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注意・集計" sheetId="1" state="visible" r:id="rId3"/>
    <sheet name="01_取得リスト" sheetId="2" state="visible" r:id="rId4"/>
    <sheet name="02_根拠データ" sheetId="3" state="visible" r:id="rId5"/>
    <sheet name="03_未確定・追加確認" sheetId="4" state="visible" r:id="rId6"/>
  </sheets>
  <definedNames>
    <definedName function="false" hidden="true" localSheetId="1" name="_xlnm._FilterDatabase" vbProcedure="false">01_取得リスト!$A$4:$O$19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<sst xmlns="http://schemas.openxmlformats.org/spreadsheetml/2006/main" count="383" uniqueCount="232">
  <si>
    <t xml:space="preserve">登記簿等 取得確認リスト｜株式会社慈久庵</t>
  </si>
  <si>
    <r>
      <rPr>
        <sz val="10"/>
        <color rgb="FF17365D"/>
        <rFont val="WenQuanYi Zen Hei"/>
        <family val="2"/>
      </rPr>
      <t xml:space="preserve">作成日：</t>
    </r>
    <r>
      <rPr>
        <sz val="10"/>
        <color rgb="FF17365D"/>
        <rFont val="Yu Gothic"/>
        <family val="0"/>
        <charset val="1"/>
      </rPr>
      <t xml:space="preserve">2026-10-21 </t>
    </r>
    <r>
      <rPr>
        <sz val="10"/>
        <color rgb="FF17365D"/>
        <rFont val="WenQuanYi Zen Hei"/>
        <family val="2"/>
      </rPr>
      <t xml:space="preserve">／ 出所：法人登記簿（</t>
    </r>
    <r>
      <rPr>
        <sz val="10"/>
        <color rgb="FF17365D"/>
        <rFont val="Yu Gothic"/>
        <family val="0"/>
        <charset val="1"/>
      </rPr>
      <t xml:space="preserve">2026</t>
    </r>
    <r>
      <rPr>
        <sz val="10"/>
        <color rgb="FF17365D"/>
        <rFont val="WenQuanYi Zen Hei"/>
        <family val="2"/>
      </rPr>
      <t xml:space="preserve">年</t>
    </r>
    <r>
      <rPr>
        <sz val="10"/>
        <color rgb="FF17365D"/>
        <rFont val="Yu Gothic"/>
        <family val="0"/>
        <charset val="1"/>
      </rPr>
      <t xml:space="preserve">9</t>
    </r>
    <r>
      <rPr>
        <sz val="10"/>
        <color rgb="FF17365D"/>
        <rFont val="WenQuanYi Zen Hei"/>
        <family val="2"/>
      </rPr>
      <t xml:space="preserve">月</t>
    </r>
    <r>
      <rPr>
        <sz val="10"/>
        <color rgb="FF17365D"/>
        <rFont val="Yu Gothic"/>
        <family val="0"/>
        <charset val="1"/>
      </rPr>
      <t xml:space="preserve">15</t>
    </r>
    <r>
      <rPr>
        <sz val="10"/>
        <color rgb="FF17365D"/>
        <rFont val="WenQuanYi Zen Hei"/>
        <family val="2"/>
      </rPr>
      <t xml:space="preserve">日）、勘定科目内訳明細書（</t>
    </r>
    <r>
      <rPr>
        <sz val="10"/>
        <color rgb="FF17365D"/>
        <rFont val="Yu Gothic"/>
        <family val="0"/>
        <charset val="1"/>
      </rPr>
      <t xml:space="preserve">2026</t>
    </r>
    <r>
      <rPr>
        <sz val="10"/>
        <color rgb="FF17365D"/>
        <rFont val="WenQuanYi Zen Hei"/>
        <family val="2"/>
      </rPr>
      <t xml:space="preserve">年</t>
    </r>
    <r>
      <rPr>
        <sz val="10"/>
        <color rgb="FF17365D"/>
        <rFont val="Yu Gothic"/>
        <family val="0"/>
        <charset val="1"/>
      </rPr>
      <t xml:space="preserve">5</t>
    </r>
    <r>
      <rPr>
        <sz val="10"/>
        <color rgb="FF17365D"/>
        <rFont val="WenQuanYi Zen Hei"/>
        <family val="2"/>
      </rPr>
      <t xml:space="preserve">月期）、固定資産減価償却内訳明細書、面談ヒアリング</t>
    </r>
  </si>
  <si>
    <t xml:space="preserve">登記簿請求時の重要事項</t>
  </si>
  <si>
    <t xml:space="preserve">① 固定資産税課税明細書・名寄帳が未受領のため、地番が確定していない。まず常陸太田市で名寄帳（法人名義・代表者個人名義の双方）を取得すること。鳥塚案件では課税明細書を起点に地番を確定させており、本件も同じ順序で進める。</t>
  </si>
  <si>
    <t xml:space="preserve">② 店舗建物は「未登記」との由。登記の有無は推定で済ませず、土地からの建物検索で確定させる。未登記であれば表題登記・保存登記が必要となり、費用と所要期間がクロージング日程を左右する。</t>
  </si>
  <si>
    <r>
      <rPr>
        <sz val="10"/>
        <rFont val="WenQuanYi Zen Hei"/>
        <family val="2"/>
      </rPr>
      <t xml:space="preserve">③ 本店は「天下野町</t>
    </r>
    <r>
      <rPr>
        <sz val="10"/>
        <rFont val="Yu Gothic"/>
        <family val="0"/>
        <charset val="1"/>
      </rPr>
      <t xml:space="preserve">2162</t>
    </r>
    <r>
      <rPr>
        <sz val="10"/>
        <rFont val="WenQuanYi Zen Hei"/>
        <family val="2"/>
      </rPr>
      <t xml:space="preserve">番地」だが、代表取締役の登記上の住所は「天下野町</t>
    </r>
    <r>
      <rPr>
        <sz val="10"/>
        <rFont val="Yu Gothic"/>
        <family val="0"/>
        <charset val="1"/>
      </rPr>
      <t xml:space="preserve">2162</t>
    </r>
    <r>
      <rPr>
        <sz val="10"/>
        <rFont val="WenQuanYi Zen Hei"/>
        <family val="2"/>
      </rPr>
      <t xml:space="preserve">番地の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」。少なくとも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筆ある可能性が高く、法人名義／個人名義の切り分けを登記簿で確認する。</t>
    </r>
  </si>
  <si>
    <r>
      <rPr>
        <sz val="10"/>
        <rFont val="WenQuanYi Zen Hei"/>
        <family val="2"/>
      </rPr>
      <t xml:space="preserve">④ 塩町館は減価償却明細書上「改造工事」のみが資産計上されている（簿価</t>
    </r>
    <r>
      <rPr>
        <sz val="10"/>
        <rFont val="Yu Gothic"/>
        <family val="0"/>
        <charset val="1"/>
      </rPr>
      <t xml:space="preserve">5,442</t>
    </r>
    <r>
      <rPr>
        <sz val="10"/>
        <rFont val="WenQuanYi Zen Hei"/>
        <family val="2"/>
      </rPr>
      <t xml:space="preserve">千円）。建物本体の所有者が当社か第三者かが未確定であり、登記簿で名義・担保・賃借権を確認する。</t>
    </r>
  </si>
  <si>
    <r>
      <rPr>
        <sz val="10"/>
        <rFont val="WenQuanYi Zen Hei"/>
        <family val="2"/>
      </rPr>
      <t xml:space="preserve">⑤ 金融機関借入はないが、過去の抵当権・根抵当権が抹消されずに残っていないか乙区を必ず確認する。役員借入金</t>
    </r>
    <r>
      <rPr>
        <sz val="10"/>
        <rFont val="Yu Gothic"/>
        <family val="0"/>
        <charset val="1"/>
      </rPr>
      <t xml:space="preserve">32,744</t>
    </r>
    <r>
      <rPr>
        <sz val="10"/>
        <rFont val="WenQuanYi Zen Hei"/>
        <family val="2"/>
      </rPr>
      <t xml:space="preserve">千円についても担保設定の有無を確認する。</t>
    </r>
  </si>
  <si>
    <t xml:space="preserve">⑥ 当社は株券発行会社である（法人登記簿）。株券の現物の有無・所在は登記簿では分からないため、別途ヒアリングで確認する。株式の譲渡には取締役会の承認を要する。</t>
  </si>
  <si>
    <r>
      <rPr>
        <sz val="10"/>
        <rFont val="WenQuanYi Zen Hei"/>
        <family val="2"/>
      </rPr>
      <t xml:space="preserve">⑦【</t>
    </r>
    <r>
      <rPr>
        <sz val="10"/>
        <rFont val="Yu Gothic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Yu Gothic"/>
        <family val="0"/>
        <charset val="1"/>
      </rPr>
      <t xml:space="preserve">10</t>
    </r>
    <r>
      <rPr>
        <sz val="10"/>
        <rFont val="WenQuanYi Zen Hei"/>
        <family val="2"/>
      </rPr>
      <t xml:space="preserve">月</t>
    </r>
    <r>
      <rPr>
        <sz val="10"/>
        <rFont val="Yu Gothic"/>
        <family val="0"/>
        <charset val="1"/>
      </rPr>
      <t xml:space="preserve">21</t>
    </r>
    <r>
      <rPr>
        <sz val="10"/>
        <rFont val="WenQuanYi Zen Hei"/>
        <family val="2"/>
      </rPr>
      <t xml:space="preserve">日 追記】受領した不動産関係書類により、管轄は水戸地方法務局 常陸太田支局、本店の所在は「天下野町字桜石</t>
    </r>
    <r>
      <rPr>
        <sz val="10"/>
        <rFont val="Yu Gothic"/>
        <family val="0"/>
        <charset val="1"/>
      </rPr>
      <t xml:space="preserve">2162</t>
    </r>
    <r>
      <rPr>
        <sz val="10"/>
        <rFont val="WenQuanYi Zen Hei"/>
        <family val="2"/>
      </rPr>
      <t xml:space="preserve">番」と確定した。あわせて、滑川里美氏（</t>
    </r>
    <r>
      <rPr>
        <sz val="10"/>
        <rFont val="Yu Gothic"/>
        <family val="0"/>
        <charset val="1"/>
      </rPr>
      <t xml:space="preserve">2161-1</t>
    </r>
    <r>
      <rPr>
        <sz val="10"/>
        <rFont val="WenQuanYi Zen Hei"/>
        <family val="2"/>
      </rPr>
      <t xml:space="preserve">・</t>
    </r>
    <r>
      <rPr>
        <sz val="10"/>
        <rFont val="Yu Gothic"/>
        <family val="0"/>
        <charset val="1"/>
      </rPr>
      <t xml:space="preserve">2161-2</t>
    </r>
    <r>
      <rPr>
        <sz val="10"/>
        <rFont val="WenQuanYi Zen Hei"/>
        <family val="2"/>
      </rPr>
      <t xml:space="preserve">・</t>
    </r>
    <r>
      <rPr>
        <sz val="10"/>
        <rFont val="Yu Gothic"/>
        <family val="0"/>
        <charset val="1"/>
      </rPr>
      <t xml:space="preserve">2162-1</t>
    </r>
    <r>
      <rPr>
        <sz val="10"/>
        <rFont val="WenQuanYi Zen Hei"/>
        <family val="2"/>
      </rPr>
      <t xml:space="preserve">・</t>
    </r>
    <r>
      <rPr>
        <sz val="10"/>
        <rFont val="Yu Gothic"/>
        <family val="0"/>
        <charset val="1"/>
      </rPr>
      <t xml:space="preserve">2175</t>
    </r>
    <r>
      <rPr>
        <sz val="10"/>
        <rFont val="WenQuanYi Zen Hei"/>
        <family val="2"/>
      </rPr>
      <t xml:space="preserve">）および長嶋新一氏（</t>
    </r>
    <r>
      <rPr>
        <sz val="10"/>
        <rFont val="Yu Gothic"/>
        <family val="0"/>
        <charset val="1"/>
      </rPr>
      <t xml:space="preserve">2178-3</t>
    </r>
    <r>
      <rPr>
        <sz val="10"/>
        <rFont val="WenQuanYi Zen Hei"/>
        <family val="2"/>
      </rPr>
      <t xml:space="preserve">・</t>
    </r>
    <r>
      <rPr>
        <sz val="10"/>
        <rFont val="Yu Gothic"/>
        <family val="0"/>
        <charset val="1"/>
      </rPr>
      <t xml:space="preserve">2174-1</t>
    </r>
    <r>
      <rPr>
        <sz val="10"/>
        <rFont val="WenQuanYi Zen Hei"/>
        <family val="2"/>
      </rPr>
      <t xml:space="preserve">）からの土地取得に関する書類（公図・登記原因証明情報・売買契約署名欄・手書きメモ）を確認。いずれも地目が畑・原野であり、農地法の制約と取得の完了状況が新たな論点となる。</t>
    </r>
  </si>
  <si>
    <t xml:space="preserve">件数集計</t>
  </si>
  <si>
    <t xml:space="preserve">区分</t>
  </si>
  <si>
    <t xml:space="preserve">件数</t>
  </si>
  <si>
    <t xml:space="preserve">取得済</t>
  </si>
  <si>
    <t xml:space="preserve">未取得</t>
  </si>
  <si>
    <t xml:space="preserve">優先度「高」以上</t>
  </si>
  <si>
    <t xml:space="preserve">不動産登記</t>
  </si>
  <si>
    <t xml:space="preserve">商業・法人登記</t>
  </si>
  <si>
    <t xml:space="preserve">その他の公的証明</t>
  </si>
  <si>
    <t xml:space="preserve">合計</t>
  </si>
  <si>
    <r>
      <rPr>
        <b val="true"/>
        <sz val="10"/>
        <color rgb="FFFFFFFF"/>
        <rFont val="WenQuanYi Zen Hei"/>
        <family val="2"/>
      </rPr>
      <t xml:space="preserve">優先して着手する</t>
    </r>
    <r>
      <rPr>
        <b val="true"/>
        <sz val="10"/>
        <color rgb="FFFFFFFF"/>
        <rFont val="Yu Gothic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点</t>
    </r>
  </si>
  <si>
    <t xml:space="preserve">No</t>
  </si>
  <si>
    <t xml:space="preserve">ID</t>
  </si>
  <si>
    <t xml:space="preserve">着手すること</t>
  </si>
  <si>
    <t xml:space="preserve">理由</t>
  </si>
  <si>
    <t xml:space="preserve">1</t>
  </si>
  <si>
    <t xml:space="preserve">OT-01</t>
  </si>
  <si>
    <t xml:space="preserve">常陸太田市で名寄帳・固定資産評価証明書を取得（法人名義・個人名義の双方）</t>
  </si>
  <si>
    <t xml:space="preserve">これがないと地番が確定せず、登記簿の請求自体ができない。時価純資産の算定にも使う。</t>
  </si>
  <si>
    <t xml:space="preserve">2</t>
  </si>
  <si>
    <t xml:space="preserve">RE-B01</t>
  </si>
  <si>
    <t xml:space="preserve">店舗建物の登記の有無を「土地からの建物検索」で確定</t>
  </si>
  <si>
    <t xml:space="preserve">未登記であれば表題登記・保存登記が必要。費用・所要期間がクロージング日程を左右する。</t>
  </si>
  <si>
    <t xml:space="preserve">3</t>
  </si>
  <si>
    <t xml:space="preserve">RE-S01</t>
  </si>
  <si>
    <t xml:space="preserve">塩町館の所在地番を特定し、土地・建物の登記名義を確認</t>
  </si>
  <si>
    <t xml:space="preserve">改造工事のみ資産計上されており、建物本体の所有者が当社か第三者かが未確定。</t>
  </si>
  <si>
    <r>
      <rPr>
        <b val="true"/>
        <sz val="16"/>
        <color rgb="FFFFFFFF"/>
        <rFont val="WenQuanYi Zen Hei"/>
        <family val="2"/>
      </rPr>
      <t xml:space="preserve">登記簿等 取得確認リスト（全</t>
    </r>
    <r>
      <rPr>
        <b val="true"/>
        <sz val="16"/>
        <color rgb="FFFFFFFF"/>
        <rFont val="Yu Gothic"/>
        <family val="0"/>
        <charset val="1"/>
      </rPr>
      <t xml:space="preserve">15</t>
    </r>
    <r>
      <rPr>
        <b val="true"/>
        <sz val="16"/>
        <color rgb="FFFFFFFF"/>
        <rFont val="WenQuanYi Zen Hei"/>
        <family val="2"/>
      </rPr>
      <t xml:space="preserve">件）</t>
    </r>
  </si>
  <si>
    <r>
      <rPr>
        <sz val="10"/>
        <color rgb="FF17365D"/>
        <rFont val="WenQuanYi Zen Hei"/>
        <family val="2"/>
      </rPr>
      <t xml:space="preserve">「取得状況」「依頼日」は入力欄（青字・薄青セル）。区分・優先度でフィルターできます。地番が未確定の項目は </t>
    </r>
    <r>
      <rPr>
        <sz val="10"/>
        <color rgb="FF17365D"/>
        <rFont val="Yu Gothic"/>
        <family val="0"/>
        <charset val="1"/>
      </rPr>
      <t xml:space="preserve">03_</t>
    </r>
    <r>
      <rPr>
        <sz val="10"/>
        <color rgb="FF17365D"/>
        <rFont val="WenQuanYi Zen Hei"/>
        <family val="2"/>
      </rPr>
      <t xml:space="preserve">未確定・追加確認 を先に処理してください。</t>
    </r>
  </si>
  <si>
    <t xml:space="preserve">取得状況</t>
  </si>
  <si>
    <t xml:space="preserve">依頼日</t>
  </si>
  <si>
    <t xml:space="preserve">名義（想定）</t>
  </si>
  <si>
    <t xml:space="preserve">都道府県</t>
  </si>
  <si>
    <t xml:space="preserve">市区町村</t>
  </si>
  <si>
    <t xml:space="preserve">種別・証明書</t>
  </si>
  <si>
    <t xml:space="preserve">申請画面「所在」</t>
  </si>
  <si>
    <t xml:space="preserve">地番・家屋番号・番号</t>
  </si>
  <si>
    <t xml:space="preserve">請求先</t>
  </si>
  <si>
    <t xml:space="preserve">推奨請求方法</t>
  </si>
  <si>
    <t xml:space="preserve">優先度</t>
  </si>
  <si>
    <t xml:space="preserve">確認したいこと</t>
  </si>
  <si>
    <t xml:space="preserve">根拠・出所</t>
  </si>
  <si>
    <t xml:space="preserve">RE-L01</t>
  </si>
  <si>
    <t xml:space="preserve">不動産</t>
  </si>
  <si>
    <t xml:space="preserve">株式会社慈久庵</t>
  </si>
  <si>
    <t xml:space="preserve">茨城県</t>
  </si>
  <si>
    <t xml:space="preserve">常陸太田市</t>
  </si>
  <si>
    <t xml:space="preserve">土地／全部事項証明書</t>
  </si>
  <si>
    <t xml:space="preserve">天下野町</t>
  </si>
  <si>
    <r>
      <rPr>
        <sz val="10"/>
        <color rgb="FF000000"/>
        <rFont val="Yu Gothic"/>
        <family val="0"/>
        <charset val="1"/>
      </rPr>
      <t xml:space="preserve">2162</t>
    </r>
    <r>
      <rPr>
        <sz val="10"/>
        <color rgb="FF000000"/>
        <rFont val="WenQuanYi Zen Hei"/>
        <family val="2"/>
      </rPr>
      <t xml:space="preserve">番（推定）</t>
    </r>
  </si>
  <si>
    <t xml:space="preserve">水戸地方法務局 常陸太田支局</t>
  </si>
  <si>
    <t xml:space="preserve">所在指定（土地）</t>
  </si>
  <si>
    <t xml:space="preserve">高</t>
  </si>
  <si>
    <r>
      <rPr>
        <sz val="10"/>
        <color rgb="FF000000"/>
        <rFont val="WenQuanYi Zen Hei"/>
        <family val="2"/>
      </rPr>
      <t xml:space="preserve">所有者が当社かを確定。公簿面積・地目・共有持分の有無。乙区に過去の抵当権・根抵当権が抹消されず残っていないか。</t>
    </r>
    <r>
      <rPr>
        <sz val="10"/>
        <color rgb="FF000000"/>
        <rFont val="Yu Gothic"/>
        <family val="0"/>
        <charset val="1"/>
      </rPr>
      <t xml:space="preserve">BS</t>
    </r>
    <r>
      <rPr>
        <sz val="10"/>
        <color rgb="FF000000"/>
        <rFont val="WenQuanYi Zen Hei"/>
        <family val="2"/>
      </rPr>
      <t xml:space="preserve">計上の土地</t>
    </r>
    <r>
      <rPr>
        <sz val="10"/>
        <color rgb="FF000000"/>
        <rFont val="Yu Gothic"/>
        <family val="0"/>
        <charset val="1"/>
      </rPr>
      <t xml:space="preserve">3,450</t>
    </r>
    <r>
      <rPr>
        <sz val="10"/>
        <color rgb="FF000000"/>
        <rFont val="WenQuanYi Zen Hei"/>
        <family val="2"/>
      </rPr>
      <t xml:space="preserve">千円との対応。</t>
    </r>
  </si>
  <si>
    <r>
      <rPr>
        <sz val="10"/>
        <color rgb="FF000000"/>
        <rFont val="WenQuanYi Zen Hei"/>
        <family val="2"/>
      </rPr>
      <t xml:space="preserve">法人登記簿／</t>
    </r>
    <r>
      <rPr>
        <sz val="10"/>
        <color rgb="FF000000"/>
        <rFont val="Yu Gothic"/>
        <family val="0"/>
        <charset val="1"/>
      </rPr>
      <t xml:space="preserve">BS</t>
    </r>
    <r>
      <rPr>
        <sz val="10"/>
        <color rgb="FF000000"/>
        <rFont val="WenQuanYi Zen Hei"/>
        <family val="2"/>
      </rPr>
      <t xml:space="preserve">「土地」</t>
    </r>
    <r>
      <rPr>
        <sz val="10"/>
        <color rgb="FF000000"/>
        <rFont val="Yu Gothic"/>
        <family val="0"/>
        <charset val="1"/>
      </rPr>
      <t xml:space="preserve">3,450</t>
    </r>
    <r>
      <rPr>
        <sz val="10"/>
        <color rgb="FF000000"/>
        <rFont val="WenQuanYi Zen Hei"/>
        <family val="2"/>
      </rPr>
      <t xml:space="preserve">千円／公図（令和元年</t>
    </r>
    <r>
      <rPr>
        <sz val="10"/>
        <color rgb="FF000000"/>
        <rFont val="Yu Gothic"/>
        <family val="0"/>
        <charset val="1"/>
      </rPr>
      <t xml:space="preserve">11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Yu Gothic"/>
        <family val="0"/>
        <charset val="1"/>
      </rPr>
      <t xml:space="preserve">25</t>
    </r>
    <r>
      <rPr>
        <sz val="10"/>
        <color rgb="FF000000"/>
        <rFont val="WenQuanYi Zen Hei"/>
        <family val="2"/>
      </rPr>
      <t xml:space="preserve">日交付・所在「天下野町字桜石」地番</t>
    </r>
    <r>
      <rPr>
        <sz val="10"/>
        <color rgb="FF000000"/>
        <rFont val="Yu Gothic"/>
        <family val="0"/>
        <charset val="1"/>
      </rPr>
      <t xml:space="preserve">2162</t>
    </r>
    <r>
      <rPr>
        <sz val="10"/>
        <color rgb="FF000000"/>
        <rFont val="WenQuanYi Zen Hei"/>
        <family val="2"/>
      </rPr>
      <t xml:space="preserve">番）</t>
    </r>
  </si>
  <si>
    <t xml:space="preserve">RE-L02</t>
  </si>
  <si>
    <t xml:space="preserve">要確認（個人名義の可能性）</t>
  </si>
  <si>
    <r>
      <rPr>
        <sz val="10"/>
        <color rgb="FF000000"/>
        <rFont val="Yu Gothic"/>
        <family val="0"/>
        <charset val="1"/>
      </rPr>
      <t xml:space="preserve">2162</t>
    </r>
    <r>
      <rPr>
        <sz val="10"/>
        <color rgb="FF000000"/>
        <rFont val="WenQuanYi Zen Hei"/>
        <family val="2"/>
      </rPr>
      <t xml:space="preserve">番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（推定）</t>
    </r>
  </si>
  <si>
    <t xml:space="preserve">代表取締役の登記上の住所かつ（株）慈久庵咸亨酒の所在地。所有者が法人か個人かを確定。駐車場がこの地番に含まれる可能性。</t>
  </si>
  <si>
    <r>
      <rPr>
        <sz val="10"/>
        <color rgb="FF000000"/>
        <rFont val="WenQuanYi Zen Hei"/>
        <family val="2"/>
      </rPr>
      <t xml:space="preserve">法人登記簿（代表取締役の住所「</t>
    </r>
    <r>
      <rPr>
        <sz val="10"/>
        <color rgb="FF000000"/>
        <rFont val="Yu Gothic"/>
        <family val="0"/>
        <charset val="1"/>
      </rPr>
      <t xml:space="preserve">2162</t>
    </r>
    <r>
      <rPr>
        <sz val="10"/>
        <color rgb="FF000000"/>
        <rFont val="WenQuanYi Zen Hei"/>
        <family val="2"/>
      </rPr>
      <t xml:space="preserve">番地の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」）／内訳書（出資金）</t>
    </r>
  </si>
  <si>
    <t xml:space="preserve">建物／全部事項証明書</t>
  </si>
  <si>
    <t xml:space="preserve">天下野町（店舗兼住居）</t>
  </si>
  <si>
    <t xml:space="preserve">家屋番号 未確定</t>
  </si>
  <si>
    <t xml:space="preserve">土地からの建物検索指定</t>
  </si>
  <si>
    <t xml:space="preserve">「未登記」との由だが、登記の有無は登記簿で確定させる。未登記であれば表題登記・保存登記の要否、費用、所要期間を確認（クロージング日程に影響）。</t>
  </si>
  <si>
    <r>
      <rPr>
        <sz val="10"/>
        <color rgb="FF000000"/>
        <rFont val="WenQuanYi Zen Hei"/>
        <family val="2"/>
      </rPr>
      <t xml:space="preserve">面談ヒアリング／案件マスター「拠点</t>
    </r>
    <r>
      <rPr>
        <sz val="10"/>
        <color rgb="FF000000"/>
        <rFont val="Yu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本社等</t>
    </r>
    <r>
      <rPr>
        <sz val="10"/>
        <color rgb="FF000000"/>
        <rFont val="Yu Gothic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」</t>
    </r>
  </si>
  <si>
    <t xml:space="preserve">要確認</t>
  </si>
  <si>
    <t xml:space="preserve">土地・建物／全部事項証明書</t>
  </si>
  <si>
    <t xml:space="preserve">塩町館（所在地番 要確認）</t>
  </si>
  <si>
    <t xml:space="preserve">名寄帳で地番を特定してから所在指定</t>
  </si>
  <si>
    <t xml:space="preserve">減価償却明細書には「塩町館改造工事」等の改造費のみが計上されており、建物本体の所有者が当社か第三者かが未確定。名義・担保・賃借権／使用貸借の有無、営業譲渡後の登記名義（未変更との由）を確認。</t>
  </si>
  <si>
    <r>
      <rPr>
        <sz val="10"/>
        <color rgb="FF000000"/>
        <rFont val="WenQuanYi Zen Hei"/>
        <family val="2"/>
      </rPr>
      <t xml:space="preserve">減価償却明細書（塩町館改造工事ほか</t>
    </r>
    <r>
      <rPr>
        <sz val="10"/>
        <color rgb="FF000000"/>
        <rFont val="Yu Gothic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件・簿価</t>
    </r>
    <r>
      <rPr>
        <sz val="10"/>
        <color rgb="FF000000"/>
        <rFont val="Yu Gothic"/>
        <family val="0"/>
        <charset val="1"/>
      </rPr>
      <t xml:space="preserve">5,442</t>
    </r>
    <r>
      <rPr>
        <sz val="10"/>
        <color rgb="FF000000"/>
        <rFont val="WenQuanYi Zen Hei"/>
        <family val="2"/>
      </rPr>
      <t xml:space="preserve">千円）／面談ヒアリング</t>
    </r>
  </si>
  <si>
    <t xml:space="preserve">RE-N01</t>
  </si>
  <si>
    <t xml:space="preserve">滑川 里美 氏（取得交渉先）</t>
  </si>
  <si>
    <t xml:space="preserve">土地（農地）／全部事項証明書</t>
  </si>
  <si>
    <r>
      <rPr>
        <sz val="10"/>
        <color rgb="FF000000"/>
        <rFont val="Yu Gothic"/>
        <family val="0"/>
        <charset val="1"/>
      </rPr>
      <t xml:space="preserve">2161</t>
    </r>
    <r>
      <rPr>
        <sz val="10"/>
        <color rgb="FF000000"/>
        <rFont val="WenQuanYi Zen Hei"/>
        <family val="2"/>
      </rPr>
      <t xml:space="preserve">番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Yu Gothic"/>
        <family val="0"/>
        <charset val="1"/>
      </rPr>
      <t xml:space="preserve">2161</t>
    </r>
    <r>
      <rPr>
        <sz val="10"/>
        <color rgb="FF000000"/>
        <rFont val="WenQuanYi Zen Hei"/>
        <family val="2"/>
      </rPr>
      <t xml:space="preserve">番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Yu Gothic"/>
        <family val="0"/>
        <charset val="1"/>
      </rPr>
      <t xml:space="preserve">2162</t>
    </r>
    <r>
      <rPr>
        <sz val="10"/>
        <color rgb="FF000000"/>
        <rFont val="WenQuanYi Zen Hei"/>
        <family val="2"/>
      </rPr>
      <t xml:space="preserve">番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Yu Gothic"/>
        <family val="0"/>
        <charset val="1"/>
      </rPr>
      <t xml:space="preserve">2175</t>
    </r>
    <r>
      <rPr>
        <sz val="10"/>
        <color rgb="FF000000"/>
        <rFont val="WenQuanYi Zen Hei"/>
        <family val="2"/>
      </rPr>
      <t xml:space="preserve">番</t>
    </r>
  </si>
  <si>
    <r>
      <rPr>
        <sz val="10"/>
        <color rgb="FF000000"/>
        <rFont val="WenQuanYi Zen Hei"/>
        <family val="2"/>
      </rPr>
      <t xml:space="preserve">受領資料の手書きメモに「滑川里美氏所有 </t>
    </r>
    <r>
      <rPr>
        <sz val="10"/>
        <color rgb="FF000000"/>
        <rFont val="Yu Gothic"/>
        <family val="0"/>
        <charset val="1"/>
      </rPr>
      <t xml:space="preserve">2161-1 </t>
    </r>
    <r>
      <rPr>
        <sz val="10"/>
        <color rgb="FF000000"/>
        <rFont val="WenQuanYi Zen Hei"/>
        <family val="2"/>
      </rPr>
      <t xml:space="preserve">畑</t>
    </r>
    <r>
      <rPr>
        <sz val="10"/>
        <color rgb="FF000000"/>
        <rFont val="Yu Gothic"/>
        <family val="0"/>
        <charset val="1"/>
      </rPr>
      <t xml:space="preserve">407</t>
    </r>
    <r>
      <rPr>
        <sz val="10"/>
        <color rgb="FF000000"/>
        <rFont val="WenQuanYi Zen Hei"/>
        <family val="2"/>
      </rPr>
      <t xml:space="preserve">㎡／</t>
    </r>
    <r>
      <rPr>
        <sz val="10"/>
        <color rgb="FF000000"/>
        <rFont val="Yu Gothic"/>
        <family val="0"/>
        <charset val="1"/>
      </rPr>
      <t xml:space="preserve">2161-2 </t>
    </r>
    <r>
      <rPr>
        <sz val="10"/>
        <color rgb="FF000000"/>
        <rFont val="WenQuanYi Zen Hei"/>
        <family val="2"/>
      </rPr>
      <t xml:space="preserve">畑</t>
    </r>
    <r>
      <rPr>
        <sz val="10"/>
        <color rgb="FF000000"/>
        <rFont val="Yu Gothic"/>
        <family val="0"/>
        <charset val="1"/>
      </rPr>
      <t xml:space="preserve">212</t>
    </r>
    <r>
      <rPr>
        <sz val="10"/>
        <color rgb="FF000000"/>
        <rFont val="WenQuanYi Zen Hei"/>
        <family val="2"/>
      </rPr>
      <t xml:space="preserve">㎡／</t>
    </r>
    <r>
      <rPr>
        <sz val="10"/>
        <color rgb="FF000000"/>
        <rFont val="Yu Gothic"/>
        <family val="0"/>
        <charset val="1"/>
      </rPr>
      <t xml:space="preserve">2162-1 </t>
    </r>
    <r>
      <rPr>
        <sz val="10"/>
        <color rgb="FF000000"/>
        <rFont val="WenQuanYi Zen Hei"/>
        <family val="2"/>
      </rPr>
      <t xml:space="preserve">原野</t>
    </r>
    <r>
      <rPr>
        <sz val="10"/>
        <color rgb="FF000000"/>
        <rFont val="Yu Gothic"/>
        <family val="0"/>
        <charset val="1"/>
      </rPr>
      <t xml:space="preserve">917</t>
    </r>
    <r>
      <rPr>
        <sz val="10"/>
        <color rgb="FF000000"/>
        <rFont val="WenQuanYi Zen Hei"/>
        <family val="2"/>
      </rPr>
      <t xml:space="preserve">㎡／</t>
    </r>
    <r>
      <rPr>
        <sz val="10"/>
        <color rgb="FF000000"/>
        <rFont val="Yu Gothic"/>
        <family val="0"/>
        <charset val="1"/>
      </rPr>
      <t xml:space="preserve">2175 </t>
    </r>
    <r>
      <rPr>
        <sz val="10"/>
        <color rgb="FF000000"/>
        <rFont val="WenQuanYi Zen Hei"/>
        <family val="2"/>
      </rPr>
      <t xml:space="preserve">畑</t>
    </r>
    <r>
      <rPr>
        <sz val="10"/>
        <color rgb="FF000000"/>
        <rFont val="Yu Gothic"/>
        <family val="0"/>
        <charset val="1"/>
      </rPr>
      <t xml:space="preserve">472</t>
    </r>
    <r>
      <rPr>
        <sz val="10"/>
        <color rgb="FF000000"/>
        <rFont val="WenQuanYi Zen Hei"/>
        <family val="2"/>
      </rPr>
      <t xml:space="preserve">㎡」の記載。別紙の登記原因証明情報では当社が滑川里美氏から取得している。取得済か交渉中かを登記簿で確定させる。地目が畑・原野のため農地法</t>
    </r>
    <r>
      <rPr>
        <sz val="10"/>
        <color rgb="FF000000"/>
        <rFont val="Yu Gothic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条・</t>
    </r>
    <r>
      <rPr>
        <sz val="10"/>
        <color rgb="FF000000"/>
        <rFont val="Yu Gothic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条の制約を確認。</t>
    </r>
  </si>
  <si>
    <t xml:space="preserve">不動産関係書類（公図・登記原因証明情報・手書きメモ）</t>
  </si>
  <si>
    <t xml:space="preserve">RE-N02</t>
  </si>
  <si>
    <t xml:space="preserve">長嶋 新一 氏（取得交渉先）</t>
  </si>
  <si>
    <r>
      <rPr>
        <sz val="10"/>
        <color rgb="FF000000"/>
        <rFont val="Yu Gothic"/>
        <family val="0"/>
        <charset val="1"/>
      </rPr>
      <t xml:space="preserve">2178</t>
    </r>
    <r>
      <rPr>
        <sz val="10"/>
        <color rgb="FF000000"/>
        <rFont val="WenQuanYi Zen Hei"/>
        <family val="2"/>
      </rPr>
      <t xml:space="preserve">番</t>
    </r>
    <r>
      <rPr>
        <sz val="10"/>
        <color rgb="FF000000"/>
        <rFont val="Yu Gothic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Yu Gothic"/>
        <family val="0"/>
        <charset val="1"/>
      </rPr>
      <t xml:space="preserve">2174</t>
    </r>
    <r>
      <rPr>
        <sz val="10"/>
        <color rgb="FF000000"/>
        <rFont val="WenQuanYi Zen Hei"/>
        <family val="2"/>
      </rPr>
      <t xml:space="preserve">番</t>
    </r>
    <r>
      <rPr>
        <sz val="10"/>
        <color rgb="FF000000"/>
        <rFont val="Yu Gothic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</si>
  <si>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同メモに「長嶋新一氏所有 </t>
    </r>
    <r>
      <rPr>
        <sz val="10"/>
        <color rgb="FF000000"/>
        <rFont val="Yu Gothic"/>
        <family val="0"/>
        <charset val="1"/>
      </rPr>
      <t xml:space="preserve">2178-3 </t>
    </r>
    <r>
      <rPr>
        <sz val="10"/>
        <color rgb="FF000000"/>
        <rFont val="WenQuanYi Zen Hei"/>
        <family val="2"/>
      </rPr>
      <t xml:space="preserve">原野</t>
    </r>
    <r>
      <rPr>
        <sz val="10"/>
        <color rgb="FF000000"/>
        <rFont val="Yu Gothic"/>
        <family val="0"/>
        <charset val="1"/>
      </rPr>
      <t xml:space="preserve">512</t>
    </r>
    <r>
      <rPr>
        <sz val="10"/>
        <color rgb="FF000000"/>
        <rFont val="WenQuanYi Zen Hei"/>
        <family val="2"/>
      </rPr>
      <t xml:space="preserve">㎡／</t>
    </r>
    <r>
      <rPr>
        <sz val="10"/>
        <color rgb="FF000000"/>
        <rFont val="Yu Gothic"/>
        <family val="0"/>
        <charset val="1"/>
      </rPr>
      <t xml:space="preserve">2174-1 </t>
    </r>
    <r>
      <rPr>
        <sz val="10"/>
        <color rgb="FF000000"/>
        <rFont val="WenQuanYi Zen Hei"/>
        <family val="2"/>
      </rPr>
      <t xml:space="preserve">畑</t>
    </r>
    <r>
      <rPr>
        <sz val="10"/>
        <color rgb="FF000000"/>
        <rFont val="Yu Gothic"/>
        <family val="0"/>
        <charset val="1"/>
      </rPr>
      <t xml:space="preserve">292</t>
    </r>
    <r>
      <rPr>
        <sz val="10"/>
        <color rgb="FF000000"/>
        <rFont val="WenQuanYi Zen Hei"/>
        <family val="2"/>
      </rPr>
      <t xml:space="preserve">㎡」の記載。別紙に長嶋新一氏（常陸太田市新宿町</t>
    </r>
    <r>
      <rPr>
        <sz val="10"/>
        <color rgb="FF000000"/>
        <rFont val="Yu Gothic"/>
        <family val="0"/>
        <charset val="1"/>
      </rPr>
      <t xml:space="preserve">154</t>
    </r>
    <r>
      <rPr>
        <sz val="10"/>
        <color rgb="FF000000"/>
        <rFont val="WenQuanYi Zen Hei"/>
        <family val="2"/>
      </rPr>
      <t xml:space="preserve">番地）および相続人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名の署名押印がある。取得済か否か、相続登記の完了状況を確認。</t>
    </r>
  </si>
  <si>
    <t xml:space="preserve">不動産関係書類（売買契約署名欄・手書きメモ）</t>
  </si>
  <si>
    <t xml:space="preserve">RE-P01</t>
  </si>
  <si>
    <t xml:space="preserve">小川 宣夫／小川 喜久子（個人）</t>
  </si>
  <si>
    <t xml:space="preserve">個人名義の名寄帳で洗い出してから所在指定</t>
  </si>
  <si>
    <r>
      <rPr>
        <sz val="10"/>
        <color rgb="FF000000"/>
        <rFont val="WenQuanYi Zen Hei"/>
        <family val="2"/>
      </rPr>
      <t xml:space="preserve">代表者・配偶者が店舗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階に居住。事業用資産が個人名義で混在していないかを確定させる。明渡し・賃貸借条件の整理にも必要。</t>
    </r>
  </si>
  <si>
    <t xml:space="preserve">法人登記簿（代表取締役の住所）／面談ヒアリング</t>
  </si>
  <si>
    <t xml:space="preserve">2026-09-15</t>
  </si>
  <si>
    <t xml:space="preserve">CO-01</t>
  </si>
  <si>
    <t xml:space="preserve">商業登記</t>
  </si>
  <si>
    <t xml:space="preserve">履歴事項全部証明書</t>
  </si>
  <si>
    <r>
      <rPr>
        <sz val="10"/>
        <color rgb="FF000000"/>
        <rFont val="WenQuanYi Zen Hei"/>
        <family val="2"/>
      </rPr>
      <t xml:space="preserve">天下野町</t>
    </r>
    <r>
      <rPr>
        <sz val="10"/>
        <color rgb="FF000000"/>
        <rFont val="Yu Gothic"/>
        <family val="0"/>
        <charset val="1"/>
      </rPr>
      <t xml:space="preserve">2162</t>
    </r>
    <r>
      <rPr>
        <sz val="10"/>
        <color rgb="FF000000"/>
        <rFont val="WenQuanYi Zen Hei"/>
        <family val="2"/>
      </rPr>
      <t xml:space="preserve">番地</t>
    </r>
  </si>
  <si>
    <r>
      <rPr>
        <sz val="10"/>
        <color rgb="FF000000"/>
        <rFont val="WenQuanYi Zen Hei"/>
        <family val="2"/>
      </rPr>
      <t xml:space="preserve">会社法人等番号 </t>
    </r>
    <r>
      <rPr>
        <sz val="10"/>
        <color rgb="FF000000"/>
        <rFont val="Yu Gothic"/>
        <family val="0"/>
        <charset val="1"/>
      </rPr>
      <t xml:space="preserve">0500-01-026647</t>
    </r>
  </si>
  <si>
    <t xml:space="preserve">法務局（オンライン請求可）</t>
  </si>
  <si>
    <t xml:space="preserve">会社法人等番号で請求</t>
  </si>
  <si>
    <t xml:space="preserve">－</t>
  </si>
  <si>
    <r>
      <rPr>
        <sz val="10"/>
        <color rgb="FF000000"/>
        <rFont val="WenQuanYi Zen Hei"/>
        <family val="2"/>
      </rPr>
      <t xml:space="preserve">取得済。株式の譲渡制限は「取締役会の承認」。</t>
    </r>
    <r>
      <rPr>
        <sz val="10"/>
        <color rgb="FF000000"/>
        <rFont val="Yu Gothic"/>
        <family val="0"/>
        <charset val="1"/>
      </rPr>
      <t xml:space="preserve">**</t>
    </r>
    <r>
      <rPr>
        <sz val="10"/>
        <color rgb="FF000000"/>
        <rFont val="WenQuanYi Zen Hei"/>
        <family val="2"/>
      </rPr>
      <t xml:space="preserve">株券発行会社</t>
    </r>
    <r>
      <rPr>
        <sz val="10"/>
        <color rgb="FF000000"/>
        <rFont val="Yu Gothic"/>
        <family val="0"/>
        <charset val="1"/>
      </rPr>
      <t xml:space="preserve">**</t>
    </r>
    <r>
      <rPr>
        <sz val="10"/>
        <color rgb="FF000000"/>
        <rFont val="WenQuanYi Zen Hei"/>
        <family val="2"/>
      </rPr>
      <t xml:space="preserve">である点に留意し、株券の現物の有無・所在を別途確認する（不発行なら定款変更の要否）。</t>
    </r>
  </si>
  <si>
    <r>
      <rPr>
        <sz val="10"/>
        <color rgb="FF000000"/>
        <rFont val="Yu Gothic"/>
        <family val="0"/>
        <charset val="1"/>
      </rPr>
      <t xml:space="preserve">01_</t>
    </r>
    <r>
      <rPr>
        <sz val="10"/>
        <color rgb="FF000000"/>
        <rFont val="WenQuanYi Zen Hei"/>
        <family val="2"/>
      </rPr>
      <t xml:space="preserve">概要／株式会社慈久庵法人登記簿（全部事項）</t>
    </r>
    <r>
      <rPr>
        <sz val="10"/>
        <color rgb="FF000000"/>
        <rFont val="Yu Gothic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Yu Gothic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Yu Gothic"/>
        <family val="0"/>
        <charset val="1"/>
      </rPr>
      <t xml:space="preserve">15</t>
    </r>
    <r>
      <rPr>
        <sz val="10"/>
        <color rgb="FF000000"/>
        <rFont val="WenQuanYi Zen Hei"/>
        <family val="2"/>
      </rPr>
      <t xml:space="preserve">日</t>
    </r>
  </si>
  <si>
    <t xml:space="preserve">CO-02</t>
  </si>
  <si>
    <t xml:space="preserve">株式会社慈久庵咸亨酒</t>
  </si>
  <si>
    <r>
      <rPr>
        <sz val="10"/>
        <color rgb="FF000000"/>
        <rFont val="WenQuanYi Zen Hei"/>
        <family val="2"/>
      </rPr>
      <t xml:space="preserve">天下野町</t>
    </r>
    <r>
      <rPr>
        <sz val="10"/>
        <color rgb="FF000000"/>
        <rFont val="Yu Gothic"/>
        <family val="0"/>
        <charset val="1"/>
      </rPr>
      <t xml:space="preserve">2162-1</t>
    </r>
  </si>
  <si>
    <t xml:space="preserve">会社法人等番号 要確認</t>
  </si>
  <si>
    <t xml:space="preserve">商号・本店で請求</t>
  </si>
  <si>
    <r>
      <rPr>
        <sz val="10"/>
        <color rgb="FF000000"/>
        <rFont val="WenQuanYi Zen Hei"/>
        <family val="2"/>
      </rPr>
      <t xml:space="preserve">出資金</t>
    </r>
    <r>
      <rPr>
        <sz val="10"/>
        <color rgb="FF000000"/>
        <rFont val="Yu Gothic"/>
        <family val="0"/>
        <charset val="1"/>
      </rPr>
      <t xml:space="preserve">1,000</t>
    </r>
    <r>
      <rPr>
        <sz val="10"/>
        <color rgb="FF000000"/>
        <rFont val="WenQuanYi Zen Hei"/>
        <family val="2"/>
      </rPr>
      <t xml:space="preserve">千円の出資先。事業内容・株主構成・役員・当社との取引関係、本件での取扱い（譲渡対象に含めるか）を確認。</t>
    </r>
  </si>
  <si>
    <r>
      <rPr>
        <sz val="10"/>
        <color rgb="FF000000"/>
        <rFont val="Yu Gothic"/>
        <family val="0"/>
        <charset val="1"/>
      </rPr>
      <t xml:space="preserve">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Yu Gothic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月期 勘定科目内訳明細書（出資金 </t>
    </r>
    <r>
      <rPr>
        <sz val="10"/>
        <color rgb="FF000000"/>
        <rFont val="Yu Gothic"/>
        <family val="0"/>
        <charset val="1"/>
      </rPr>
      <t xml:space="preserve">1,000,000</t>
    </r>
    <r>
      <rPr>
        <sz val="10"/>
        <color rgb="FF000000"/>
        <rFont val="WenQuanYi Zen Hei"/>
        <family val="2"/>
      </rPr>
      <t xml:space="preserve">円／常陸太田市天下野町</t>
    </r>
    <r>
      <rPr>
        <sz val="10"/>
        <color rgb="FF000000"/>
        <rFont val="Yu Gothic"/>
        <family val="0"/>
        <charset val="1"/>
      </rPr>
      <t xml:space="preserve">2162-1</t>
    </r>
    <r>
      <rPr>
        <sz val="10"/>
        <color rgb="FF000000"/>
        <rFont val="WenQuanYi Zen Hei"/>
        <family val="2"/>
      </rPr>
      <t xml:space="preserve">）</t>
    </r>
  </si>
  <si>
    <t xml:space="preserve">CO-03</t>
  </si>
  <si>
    <t xml:space="preserve">株式会社慈久庵伊勢又</t>
  </si>
  <si>
    <r>
      <rPr>
        <sz val="10"/>
        <color rgb="FF000000"/>
        <rFont val="WenQuanYi Zen Hei"/>
        <family val="2"/>
      </rPr>
      <t xml:space="preserve">中城町</t>
    </r>
    <r>
      <rPr>
        <sz val="10"/>
        <color rgb="FF000000"/>
        <rFont val="Yu Gothic"/>
        <family val="0"/>
        <charset val="1"/>
      </rPr>
      <t xml:space="preserve">199-3</t>
    </r>
  </si>
  <si>
    <r>
      <rPr>
        <sz val="10"/>
        <color rgb="FF000000"/>
        <rFont val="WenQuanYi Zen Hei"/>
        <family val="2"/>
      </rPr>
      <t xml:space="preserve">出資金</t>
    </r>
    <r>
      <rPr>
        <sz val="10"/>
        <color rgb="FF000000"/>
        <rFont val="Yu Gothic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千円の出資先。棚卸資産「伊勢又預け分」</t>
    </r>
    <r>
      <rPr>
        <sz val="10"/>
        <color rgb="FF000000"/>
        <rFont val="Yu Gothic"/>
        <family val="0"/>
        <charset val="1"/>
      </rPr>
      <t xml:space="preserve">329</t>
    </r>
    <r>
      <rPr>
        <sz val="10"/>
        <color rgb="FF000000"/>
        <rFont val="WenQuanYi Zen Hei"/>
        <family val="2"/>
      </rPr>
      <t xml:space="preserve">千円の預け先との同一性、在庫の実在性・所有権の確認につながる。</t>
    </r>
  </si>
  <si>
    <r>
      <rPr>
        <sz val="10"/>
        <color rgb="FF000000"/>
        <rFont val="Yu Gothic"/>
        <family val="0"/>
        <charset val="1"/>
      </rPr>
      <t xml:space="preserve">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Yu Gothic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月期 勘定科目内訳明細書（出資金 </t>
    </r>
    <r>
      <rPr>
        <sz val="10"/>
        <color rgb="FF000000"/>
        <rFont val="Yu Gothic"/>
        <family val="0"/>
        <charset val="1"/>
      </rPr>
      <t xml:space="preserve">100,000</t>
    </r>
    <r>
      <rPr>
        <sz val="10"/>
        <color rgb="FF000000"/>
        <rFont val="WenQuanYi Zen Hei"/>
        <family val="2"/>
      </rPr>
      <t xml:space="preserve">円／常陸太田市中城町</t>
    </r>
    <r>
      <rPr>
        <sz val="10"/>
        <color rgb="FF000000"/>
        <rFont val="Yu Gothic"/>
        <family val="0"/>
        <charset val="1"/>
      </rPr>
      <t xml:space="preserve">199-3</t>
    </r>
    <r>
      <rPr>
        <sz val="10"/>
        <color rgb="FF000000"/>
        <rFont val="WenQuanYi Zen Hei"/>
        <family val="2"/>
      </rPr>
      <t xml:space="preserve">）</t>
    </r>
  </si>
  <si>
    <t xml:space="preserve">CO-04</t>
  </si>
  <si>
    <t xml:space="preserve">代表者が役員を務める他の法人</t>
  </si>
  <si>
    <t xml:space="preserve">ヒアリングで法人名を特定後に請求</t>
  </si>
  <si>
    <t xml:space="preserve">中</t>
  </si>
  <si>
    <t xml:space="preserve">兼任の有無、関連当事者取引の有無を確認。未収入金の相手先「小びと」等の法人格もあわせて確認する。</t>
  </si>
  <si>
    <r>
      <rPr>
        <sz val="10"/>
        <color rgb="FF000000"/>
        <rFont val="WenQuanYi Zen Hei"/>
        <family val="2"/>
      </rPr>
      <t xml:space="preserve">面談ヒアリング／取引先シート（小びと 等 </t>
    </r>
    <r>
      <rPr>
        <sz val="10"/>
        <color rgb="FF000000"/>
        <rFont val="Yu Gothic"/>
        <family val="0"/>
        <charset val="1"/>
      </rPr>
      <t xml:space="preserve">698,819</t>
    </r>
    <r>
      <rPr>
        <sz val="10"/>
        <color rgb="FF000000"/>
        <rFont val="WenQuanYi Zen Hei"/>
        <family val="2"/>
      </rPr>
      <t xml:space="preserve">円）</t>
    </r>
  </si>
  <si>
    <t xml:space="preserve">その他</t>
  </si>
  <si>
    <t xml:space="preserve">株式会社慈久庵／小川 宣夫／小川 喜久子</t>
  </si>
  <si>
    <t xml:space="preserve">固定資産課税台帳（名寄帳）・固定資産評価証明書</t>
  </si>
  <si>
    <t xml:space="preserve">常陸太田市 税務課</t>
  </si>
  <si>
    <t xml:space="preserve">窓口・郵送（法人は代表者印、個人分は委任状が必要）</t>
  </si>
  <si>
    <t xml:space="preserve">最優先</t>
  </si>
  <si>
    <r>
      <rPr>
        <sz val="10"/>
        <color rgb="FF000000"/>
        <rFont val="Yu Gothic"/>
        <family val="0"/>
        <charset val="1"/>
      </rPr>
      <t xml:space="preserve">**</t>
    </r>
    <r>
      <rPr>
        <sz val="10"/>
        <color rgb="FF000000"/>
        <rFont val="WenQuanYi Zen Hei"/>
        <family val="2"/>
      </rPr>
      <t xml:space="preserve">本リストの起点。</t>
    </r>
    <r>
      <rPr>
        <sz val="10"/>
        <color rgb="FF000000"/>
        <rFont val="Yu Gothic"/>
        <family val="0"/>
        <charset val="1"/>
      </rPr>
      <t xml:space="preserve">** </t>
    </r>
    <r>
      <rPr>
        <sz val="10"/>
        <color rgb="FF000000"/>
        <rFont val="WenQuanYi Zen Hei"/>
        <family val="2"/>
      </rPr>
      <t xml:space="preserve">法人名義・個人名義それぞれの全不動産を地番単位で洗い出す。これを取らないと登記簿を請求する地番が確定せず、</t>
    </r>
    <r>
      <rPr>
        <sz val="10"/>
        <color rgb="FF000000"/>
        <rFont val="Yu Gothic"/>
        <family val="0"/>
        <charset val="1"/>
      </rPr>
      <t xml:space="preserve">RE-S01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Yu Gothic"/>
        <family val="0"/>
        <charset val="1"/>
      </rPr>
      <t xml:space="preserve">RE-N01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Yu Gothic"/>
        <family val="0"/>
        <charset val="1"/>
      </rPr>
      <t xml:space="preserve">RE-P01 </t>
    </r>
    <r>
      <rPr>
        <sz val="10"/>
        <color rgb="FF000000"/>
        <rFont val="WenQuanYi Zen Hei"/>
        <family val="2"/>
      </rPr>
      <t xml:space="preserve">は着手できない。評価額は時価純資産の算定にも使う。</t>
    </r>
  </si>
  <si>
    <r>
      <rPr>
        <sz val="10"/>
        <color rgb="FF000000"/>
        <rFont val="WenQuanYi Zen Hei"/>
        <family val="2"/>
      </rPr>
      <t xml:space="preserve">－（未受領。案件マスター「その他」Ⅱ</t>
    </r>
    <r>
      <rPr>
        <sz val="10"/>
        <color rgb="FF000000"/>
        <rFont val="Yu Gothic"/>
        <family val="0"/>
        <charset val="1"/>
      </rPr>
      <t xml:space="preserve">-4 </t>
    </r>
    <r>
      <rPr>
        <sz val="10"/>
        <color rgb="FF000000"/>
        <rFont val="WenQuanYi Zen Hei"/>
        <family val="2"/>
      </rPr>
      <t xml:space="preserve">の未回収資料）</t>
    </r>
  </si>
  <si>
    <t xml:space="preserve">OT-02</t>
  </si>
  <si>
    <t xml:space="preserve">公図・地積測量図・建物図面</t>
  </si>
  <si>
    <r>
      <rPr>
        <sz val="10"/>
        <color rgb="FF000000"/>
        <rFont val="WenQuanYi Zen Hei"/>
        <family val="2"/>
      </rPr>
      <t xml:space="preserve">天下野町</t>
    </r>
    <r>
      <rPr>
        <sz val="10"/>
        <color rgb="FF000000"/>
        <rFont val="Yu Gothic"/>
        <family val="0"/>
        <charset val="1"/>
      </rPr>
      <t xml:space="preserve">2162 </t>
    </r>
    <r>
      <rPr>
        <sz val="10"/>
        <color rgb="FF000000"/>
        <rFont val="WenQuanYi Zen Hei"/>
        <family val="2"/>
      </rPr>
      <t xml:space="preserve">ほか</t>
    </r>
  </si>
  <si>
    <t xml:space="preserve">法務局</t>
  </si>
  <si>
    <t xml:space="preserve">地番確定後に請求</t>
  </si>
  <si>
    <r>
      <rPr>
        <sz val="10"/>
        <color rgb="FF000000"/>
        <rFont val="WenQuanYi Zen Hei"/>
        <family val="2"/>
      </rPr>
      <t xml:space="preserve">公図（</t>
    </r>
    <r>
      <rPr>
        <sz val="10"/>
        <color rgb="FF000000"/>
        <rFont val="Yu Gothic"/>
        <family val="0"/>
        <charset val="1"/>
      </rPr>
      <t xml:space="preserve">2162</t>
    </r>
    <r>
      <rPr>
        <sz val="10"/>
        <color rgb="FF000000"/>
        <rFont val="WenQuanYi Zen Hei"/>
        <family val="2"/>
      </rPr>
      <t xml:space="preserve">番・字桜石・</t>
    </r>
    <r>
      <rPr>
        <sz val="10"/>
        <color rgb="FF000000"/>
        <rFont val="Yu Gothic"/>
        <family val="0"/>
        <charset val="1"/>
      </rPr>
      <t xml:space="preserve">1/500</t>
    </r>
    <r>
      <rPr>
        <sz val="10"/>
        <color rgb="FF000000"/>
        <rFont val="WenQuanYi Zen Hei"/>
        <family val="2"/>
      </rPr>
      <t xml:space="preserve">）は受領済。地積測量図と建物図面が未入手であり、各筆の地積・境界・接道、駐車場の範囲、店舗建物の位置関係を確定させる。</t>
    </r>
  </si>
  <si>
    <r>
      <rPr>
        <sz val="10"/>
        <color rgb="FF000000"/>
        <rFont val="WenQuanYi Zen Hei"/>
        <family val="2"/>
      </rPr>
      <t xml:space="preserve">公図（受領済）／案件マスター「不動産</t>
    </r>
    <r>
      <rPr>
        <sz val="10"/>
        <color rgb="FF000000"/>
        <rFont val="Yu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所有</t>
    </r>
    <r>
      <rPr>
        <sz val="10"/>
        <color rgb="FF000000"/>
        <rFont val="Yu Gothic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」（面積すべて要確認）</t>
    </r>
  </si>
  <si>
    <t xml:space="preserve">OT-03</t>
  </si>
  <si>
    <r>
      <rPr>
        <sz val="10"/>
        <color rgb="FF000000"/>
        <rFont val="WenQuanYi Zen Hei"/>
        <family val="2"/>
      </rPr>
      <t xml:space="preserve">商標登録原簿（</t>
    </r>
    <r>
      <rPr>
        <sz val="10"/>
        <color rgb="FF000000"/>
        <rFont val="Yu Gothic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件）</t>
    </r>
  </si>
  <si>
    <t xml:space="preserve">登録番号 要確認</t>
  </si>
  <si>
    <r>
      <rPr>
        <sz val="10"/>
        <color rgb="FF000000"/>
        <rFont val="WenQuanYi Zen Hei"/>
        <family val="2"/>
      </rPr>
      <t xml:space="preserve">特許庁（番号は</t>
    </r>
    <r>
      <rPr>
        <sz val="10"/>
        <color rgb="FF000000"/>
        <rFont val="Yu Gothic"/>
        <family val="0"/>
        <charset val="1"/>
      </rPr>
      <t xml:space="preserve">J-PlatPat</t>
    </r>
    <r>
      <rPr>
        <sz val="10"/>
        <color rgb="FF000000"/>
        <rFont val="WenQuanYi Zen Hei"/>
        <family val="2"/>
      </rPr>
      <t xml:space="preserve">で特定可）</t>
    </r>
  </si>
  <si>
    <t xml:space="preserve">オンライン又は郵送で登録原簿を請求</t>
  </si>
  <si>
    <r>
      <rPr>
        <sz val="10"/>
        <color rgb="FF000000"/>
        <rFont val="WenQuanYi Zen Hei"/>
        <family val="2"/>
      </rPr>
      <t xml:space="preserve">区分・指定商品役務・存続期間・更新期限、質権／専用使用権の有無。とくに「古式けんちんそば」の権利範囲は買手の最大の関心事。特許事務所への年間</t>
    </r>
    <r>
      <rPr>
        <sz val="10"/>
        <color rgb="FF000000"/>
        <rFont val="Yu Gothic"/>
        <family val="0"/>
        <charset val="1"/>
      </rPr>
      <t xml:space="preserve">60</t>
    </r>
    <r>
      <rPr>
        <sz val="10"/>
        <color rgb="FF000000"/>
        <rFont val="WenQuanYi Zen Hei"/>
        <family val="2"/>
      </rPr>
      <t xml:space="preserve">千円の支払内容（更新料か管理料か）もあわせて確認。</t>
    </r>
  </si>
  <si>
    <r>
      <rPr>
        <sz val="10"/>
        <color rgb="FF000000"/>
        <rFont val="WenQuanYi Zen Hei"/>
        <family val="2"/>
      </rPr>
      <t xml:space="preserve">沿革（</t>
    </r>
    <r>
      <rPr>
        <sz val="10"/>
        <color rgb="FF000000"/>
        <rFont val="Yu Gothic"/>
        <family val="0"/>
        <charset val="1"/>
      </rPr>
      <t xml:space="preserve">2011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Yu Gothic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月 商標</t>
    </r>
    <r>
      <rPr>
        <sz val="10"/>
        <color rgb="FF000000"/>
        <rFont val="Yu Gothic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件登録）／減価償却明細書（商標権 取得価額</t>
    </r>
    <r>
      <rPr>
        <sz val="10"/>
        <color rgb="FF000000"/>
        <rFont val="Yu Gothic"/>
        <family val="0"/>
        <charset val="1"/>
      </rPr>
      <t xml:space="preserve">703</t>
    </r>
    <r>
      <rPr>
        <sz val="10"/>
        <color rgb="FF000000"/>
        <rFont val="WenQuanYi Zen Hei"/>
        <family val="2"/>
      </rPr>
      <t xml:space="preserve">千円・簿価</t>
    </r>
    <r>
      <rPr>
        <sz val="10"/>
        <color rgb="FF000000"/>
        <rFont val="Yu Gothic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円）</t>
    </r>
  </si>
  <si>
    <t xml:space="preserve">OT-04</t>
  </si>
  <si>
    <t xml:space="preserve">印鑑証明書・代表者事項証明書</t>
  </si>
  <si>
    <t xml:space="preserve">クロージング時に取得</t>
  </si>
  <si>
    <t xml:space="preserve">低</t>
  </si>
  <si>
    <r>
      <rPr>
        <sz val="10"/>
        <color rgb="FF000000"/>
        <rFont val="WenQuanYi Zen Hei"/>
        <family val="2"/>
      </rPr>
      <t xml:space="preserve">契約締結・登記手続に使用。有効期限（</t>
    </r>
    <r>
      <rPr>
        <sz val="10"/>
        <color rgb="FF000000"/>
        <rFont val="Yu Gothic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か月）があるため取得時期に注意。</t>
    </r>
  </si>
  <si>
    <t xml:space="preserve">根拠データ（取得リストの各項目が何に基づくか）</t>
  </si>
  <si>
    <t xml:space="preserve">受領済資料から読み取れた事実のみを記載。推定は「（推定）」と明示している。</t>
  </si>
  <si>
    <t xml:space="preserve">項目</t>
  </si>
  <si>
    <t xml:space="preserve">読み取れた内容</t>
  </si>
  <si>
    <t xml:space="preserve">出所資料</t>
  </si>
  <si>
    <t xml:space="preserve">確度</t>
  </si>
  <si>
    <t xml:space="preserve">本店所在地</t>
  </si>
  <si>
    <r>
      <rPr>
        <sz val="10"/>
        <color rgb="FF000000"/>
        <rFont val="WenQuanYi Zen Hei"/>
        <family val="2"/>
      </rPr>
      <t xml:space="preserve">茨城県常陸太田市天下野町</t>
    </r>
    <r>
      <rPr>
        <sz val="10"/>
        <color rgb="FF000000"/>
        <rFont val="Yu Gothic"/>
        <family val="0"/>
        <charset val="1"/>
      </rPr>
      <t xml:space="preserve">2162</t>
    </r>
    <r>
      <rPr>
        <sz val="10"/>
        <color rgb="FF000000"/>
        <rFont val="WenQuanYi Zen Hei"/>
        <family val="2"/>
      </rPr>
      <t xml:space="preserve">番地（平成</t>
    </r>
    <r>
      <rPr>
        <sz val="10"/>
        <color rgb="FF000000"/>
        <rFont val="Yu Gothic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Yu Gothic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日に「久慈郡水府村天下野</t>
    </r>
    <r>
      <rPr>
        <sz val="10"/>
        <color rgb="FF000000"/>
        <rFont val="Yu Gothic"/>
        <family val="0"/>
        <charset val="1"/>
      </rPr>
      <t xml:space="preserve">2162</t>
    </r>
    <r>
      <rPr>
        <sz val="10"/>
        <color rgb="FF000000"/>
        <rFont val="WenQuanYi Zen Hei"/>
        <family val="2"/>
      </rPr>
      <t xml:space="preserve">番地」から変更）</t>
    </r>
  </si>
  <si>
    <r>
      <rPr>
        <sz val="10"/>
        <color rgb="FF000000"/>
        <rFont val="WenQuanYi Zen Hei"/>
        <family val="2"/>
      </rPr>
      <t xml:space="preserve">法人登記簿（全部事項・</t>
    </r>
    <r>
      <rPr>
        <sz val="10"/>
        <color rgb="FF000000"/>
        <rFont val="Yu Gothic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Yu Gothic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Yu Gothic"/>
        <family val="0"/>
        <charset val="1"/>
      </rPr>
      <t xml:space="preserve">15</t>
    </r>
    <r>
      <rPr>
        <sz val="10"/>
        <color rgb="FF000000"/>
        <rFont val="WenQuanYi Zen Hei"/>
        <family val="2"/>
      </rPr>
      <t xml:space="preserve">日）</t>
    </r>
  </si>
  <si>
    <t xml:space="preserve">確定</t>
  </si>
  <si>
    <t xml:space="preserve">土地の簿価</t>
  </si>
  <si>
    <r>
      <rPr>
        <sz val="10"/>
        <color rgb="FF000000"/>
        <rFont val="WenQuanYi Zen Hei"/>
        <family val="2"/>
      </rPr>
      <t xml:space="preserve">土地 </t>
    </r>
    <r>
      <rPr>
        <sz val="10"/>
        <color rgb="FF000000"/>
        <rFont val="Yu Gothic"/>
        <family val="0"/>
        <charset val="1"/>
      </rPr>
      <t xml:space="preserve">3,450,000</t>
    </r>
    <r>
      <rPr>
        <sz val="10"/>
        <color rgb="FF000000"/>
        <rFont val="WenQuanYi Zen Hei"/>
        <family val="2"/>
      </rPr>
      <t xml:space="preserve">円（取得原価）。減価償却資産ではないため減価償却明細書には記載がない</t>
    </r>
  </si>
  <si>
    <r>
      <rPr>
        <sz val="10"/>
        <color rgb="FF000000"/>
        <rFont val="Yu Gothic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Yu Gothic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月期 決算書・</t>
    </r>
    <r>
      <rPr>
        <sz val="10"/>
        <color rgb="FF000000"/>
        <rFont val="Yu Gothic"/>
        <family val="0"/>
        <charset val="1"/>
      </rPr>
      <t xml:space="preserve">BS</t>
    </r>
  </si>
  <si>
    <t xml:space="preserve">代表取締役の住所</t>
  </si>
  <si>
    <r>
      <rPr>
        <sz val="10"/>
        <color rgb="FF000000"/>
        <rFont val="WenQuanYi Zen Hei"/>
        <family val="2"/>
      </rPr>
      <t xml:space="preserve">茨城県常陸太田市天下野町</t>
    </r>
    <r>
      <rPr>
        <sz val="10"/>
        <color rgb="FF000000"/>
        <rFont val="Yu Gothic"/>
        <family val="0"/>
        <charset val="1"/>
      </rPr>
      <t xml:space="preserve">2162</t>
    </r>
    <r>
      <rPr>
        <sz val="10"/>
        <color rgb="FF000000"/>
        <rFont val="WenQuanYi Zen Hei"/>
        <family val="2"/>
      </rPr>
      <t xml:space="preserve">番地の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。本店（</t>
    </r>
    <r>
      <rPr>
        <sz val="10"/>
        <color rgb="FF000000"/>
        <rFont val="Yu Gothic"/>
        <family val="0"/>
        <charset val="1"/>
      </rPr>
      <t xml:space="preserve">2162</t>
    </r>
    <r>
      <rPr>
        <sz val="10"/>
        <color rgb="FF000000"/>
        <rFont val="WenQuanYi Zen Hei"/>
        <family val="2"/>
      </rPr>
      <t xml:space="preserve">番地）と地番が異なる（推定：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筆以上）</t>
    </r>
  </si>
  <si>
    <t xml:space="preserve">法人登記簿（役員に関する事項）</t>
  </si>
  <si>
    <t xml:space="preserve">確定（筆数は推定）</t>
  </si>
  <si>
    <t xml:space="preserve">店舗建物</t>
  </si>
  <si>
    <r>
      <rPr>
        <sz val="10"/>
        <color rgb="FF000000"/>
        <rFont val="WenQuanYi Zen Hei"/>
        <family val="2"/>
      </rPr>
      <t xml:space="preserve">木造モルタル造（板倉造・茅葺き屋根）。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階 店舗／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階 代表者住居。</t>
    </r>
    <r>
      <rPr>
        <sz val="10"/>
        <color rgb="FF000000"/>
        <rFont val="Yu Gothic"/>
        <family val="0"/>
        <charset val="1"/>
      </rPr>
      <t xml:space="preserve">2002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月取得、取得価額</t>
    </r>
    <r>
      <rPr>
        <sz val="10"/>
        <color rgb="FF000000"/>
        <rFont val="Yu Gothic"/>
        <family val="0"/>
        <charset val="1"/>
      </rPr>
      <t xml:space="preserve">85,704,291</t>
    </r>
    <r>
      <rPr>
        <sz val="10"/>
        <color rgb="FF000000"/>
        <rFont val="WenQuanYi Zen Hei"/>
        <family val="2"/>
      </rPr>
      <t xml:space="preserve">円。未登記との由</t>
    </r>
  </si>
  <si>
    <t xml:space="preserve">減価償却明細書／面談ヒアリング</t>
  </si>
  <si>
    <t xml:space="preserve">簿価は確定・登記は未確認</t>
  </si>
  <si>
    <t xml:space="preserve">塩町館</t>
  </si>
  <si>
    <r>
      <rPr>
        <sz val="10"/>
        <color rgb="FF000000"/>
        <rFont val="WenQuanYi Zen Hei"/>
        <family val="2"/>
      </rPr>
      <t xml:space="preserve">資産計上されているのは「塩町館改造工事」（</t>
    </r>
    <r>
      <rPr>
        <sz val="10"/>
        <color rgb="FF000000"/>
        <rFont val="Yu Gothic"/>
        <family val="0"/>
        <charset val="1"/>
      </rPr>
      <t xml:space="preserve">H16.12.29</t>
    </r>
    <r>
      <rPr>
        <sz val="10"/>
        <color rgb="FF000000"/>
        <rFont val="WenQuanYi Zen Hei"/>
        <family val="2"/>
      </rPr>
      <t xml:space="preserve">）、「塩町館改造建興通商」（</t>
    </r>
    <r>
      <rPr>
        <sz val="10"/>
        <color rgb="FF000000"/>
        <rFont val="Yu Gothic"/>
        <family val="0"/>
        <charset val="1"/>
      </rPr>
      <t xml:space="preserve">H17.3.9</t>
    </r>
    <r>
      <rPr>
        <sz val="10"/>
        <color rgb="FF000000"/>
        <rFont val="WenQuanYi Zen Hei"/>
        <family val="2"/>
      </rPr>
      <t xml:space="preserve">）、「塩町館改造左官工事」（</t>
    </r>
    <r>
      <rPr>
        <sz val="10"/>
        <color rgb="FF000000"/>
        <rFont val="Yu Gothic"/>
        <family val="0"/>
        <charset val="1"/>
      </rPr>
      <t xml:space="preserve">H17.3.20</t>
    </r>
    <r>
      <rPr>
        <sz val="10"/>
        <color rgb="FF000000"/>
        <rFont val="WenQuanYi Zen Hei"/>
        <family val="2"/>
      </rPr>
      <t xml:space="preserve">）、「塩町館改造トイレ水道」（</t>
    </r>
    <r>
      <rPr>
        <sz val="10"/>
        <color rgb="FF000000"/>
        <rFont val="Yu Gothic"/>
        <family val="0"/>
        <charset val="1"/>
      </rPr>
      <t xml:space="preserve">H17.4.30</t>
    </r>
    <r>
      <rPr>
        <sz val="10"/>
        <color rgb="FF000000"/>
        <rFont val="WenQuanYi Zen Hei"/>
        <family val="2"/>
      </rPr>
      <t xml:space="preserve">）の</t>
    </r>
    <r>
      <rPr>
        <sz val="10"/>
        <color rgb="FF000000"/>
        <rFont val="Yu Gothic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件・いずれも木造モルタル造店舗用。建物本体の計上はない</t>
    </r>
  </si>
  <si>
    <t xml:space="preserve">固定資産減価償却内訳明細書</t>
  </si>
  <si>
    <t xml:space="preserve">地代家賃</t>
  </si>
  <si>
    <r>
      <rPr>
        <sz val="10"/>
        <color rgb="FF000000"/>
        <rFont val="WenQuanYi Zen Hei"/>
        <family val="2"/>
      </rPr>
      <t xml:space="preserve">地代家賃の計上はない（＝当社は土地・建物を賃借していない）。雑収入に小川宣夫氏からの家賃収入</t>
    </r>
    <r>
      <rPr>
        <sz val="10"/>
        <color rgb="FF000000"/>
        <rFont val="Yu Gothic"/>
        <family val="0"/>
        <charset val="1"/>
      </rPr>
      <t xml:space="preserve">180,000</t>
    </r>
    <r>
      <rPr>
        <sz val="10"/>
        <color rgb="FF000000"/>
        <rFont val="WenQuanYi Zen Hei"/>
        <family val="2"/>
      </rPr>
      <t xml:space="preserve">円の計上がある</t>
    </r>
  </si>
  <si>
    <r>
      <rPr>
        <sz val="10"/>
        <color rgb="FF000000"/>
        <rFont val="Yu Gothic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Yu Gothic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月期 勘定科目内訳明細書</t>
    </r>
  </si>
  <si>
    <t xml:space="preserve">会社法人等番号</t>
  </si>
  <si>
    <r>
      <rPr>
        <sz val="10"/>
        <color rgb="FF000000"/>
        <rFont val="Yu Gothic"/>
        <family val="0"/>
        <charset val="1"/>
      </rPr>
      <t xml:space="preserve">0500-01-026647</t>
    </r>
    <r>
      <rPr>
        <sz val="10"/>
        <color rgb="FF000000"/>
        <rFont val="WenQuanYi Zen Hei"/>
        <family val="2"/>
      </rPr>
      <t xml:space="preserve">。会社成立 平成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Yu Gothic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Yu Gothic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日。発行済株式</t>
    </r>
    <r>
      <rPr>
        <sz val="10"/>
        <color rgb="FF000000"/>
        <rFont val="Yu Gothic"/>
        <family val="0"/>
        <charset val="1"/>
      </rPr>
      <t xml:space="preserve">200</t>
    </r>
    <r>
      <rPr>
        <sz val="10"/>
        <color rgb="FF000000"/>
        <rFont val="WenQuanYi Zen Hei"/>
        <family val="2"/>
      </rPr>
      <t xml:space="preserve">株、資本金</t>
    </r>
    <r>
      <rPr>
        <sz val="10"/>
        <color rgb="FF000000"/>
        <rFont val="Yu Gothic"/>
        <family val="0"/>
        <charset val="1"/>
      </rPr>
      <t xml:space="preserve">1,000</t>
    </r>
    <r>
      <rPr>
        <sz val="10"/>
        <color rgb="FF000000"/>
        <rFont val="WenQuanYi Zen Hei"/>
        <family val="2"/>
      </rPr>
      <t xml:space="preserve">万円。株券を発行する旨の定めあり。株式の譲渡には取締役会の承認を要する</t>
    </r>
  </si>
  <si>
    <t xml:space="preserve">法人登記簿（全部事項）</t>
  </si>
  <si>
    <t xml:space="preserve">慈久庵咸亨酒</t>
  </si>
  <si>
    <r>
      <rPr>
        <sz val="10"/>
        <color rgb="FF000000"/>
        <rFont val="WenQuanYi Zen Hei"/>
        <family val="2"/>
      </rPr>
      <t xml:space="preserve">出資金 </t>
    </r>
    <r>
      <rPr>
        <sz val="10"/>
        <color rgb="FF000000"/>
        <rFont val="Yu Gothic"/>
        <family val="0"/>
        <charset val="1"/>
      </rPr>
      <t xml:space="preserve">1,000,000</t>
    </r>
    <r>
      <rPr>
        <sz val="10"/>
        <color rgb="FF000000"/>
        <rFont val="WenQuanYi Zen Hei"/>
        <family val="2"/>
      </rPr>
      <t xml:space="preserve">円。所在地 常陸太田市天下野町</t>
    </r>
    <r>
      <rPr>
        <sz val="10"/>
        <color rgb="FF000000"/>
        <rFont val="Yu Gothic"/>
        <family val="0"/>
        <charset val="1"/>
      </rPr>
      <t xml:space="preserve">2162-1</t>
    </r>
  </si>
  <si>
    <t xml:space="preserve">慈久庵伊勢又</t>
  </si>
  <si>
    <r>
      <rPr>
        <sz val="10"/>
        <color rgb="FF000000"/>
        <rFont val="WenQuanYi Zen Hei"/>
        <family val="2"/>
      </rPr>
      <t xml:space="preserve">出資金 </t>
    </r>
    <r>
      <rPr>
        <sz val="10"/>
        <color rgb="FF000000"/>
        <rFont val="Yu Gothic"/>
        <family val="0"/>
        <charset val="1"/>
      </rPr>
      <t xml:space="preserve">100,000</t>
    </r>
    <r>
      <rPr>
        <sz val="10"/>
        <color rgb="FF000000"/>
        <rFont val="WenQuanYi Zen Hei"/>
        <family val="2"/>
      </rPr>
      <t xml:space="preserve">円。所在地 常陸太田市中城町</t>
    </r>
    <r>
      <rPr>
        <sz val="10"/>
        <color rgb="FF000000"/>
        <rFont val="Yu Gothic"/>
        <family val="0"/>
        <charset val="1"/>
      </rPr>
      <t xml:space="preserve">199-3</t>
    </r>
  </si>
  <si>
    <t xml:space="preserve">商標権</t>
  </si>
  <si>
    <r>
      <rPr>
        <sz val="10"/>
        <color rgb="FF000000"/>
        <rFont val="Yu Gothic"/>
        <family val="0"/>
        <charset val="1"/>
      </rPr>
      <t xml:space="preserve">2011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Yu Gothic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月に商標</t>
    </r>
    <r>
      <rPr>
        <sz val="10"/>
        <color rgb="FF000000"/>
        <rFont val="Yu Gothic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件を登録。取得価額</t>
    </r>
    <r>
      <rPr>
        <sz val="10"/>
        <color rgb="FF000000"/>
        <rFont val="Yu Gothic"/>
        <family val="0"/>
        <charset val="1"/>
      </rPr>
      <t xml:space="preserve">703,000</t>
    </r>
    <r>
      <rPr>
        <sz val="10"/>
        <color rgb="FF000000"/>
        <rFont val="WenQuanYi Zen Hei"/>
        <family val="2"/>
      </rPr>
      <t xml:space="preserve">円・期末簿価</t>
    </r>
    <r>
      <rPr>
        <sz val="10"/>
        <color rgb="FF000000"/>
        <rFont val="Yu Gothic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円。松田国際特許事務所へ年間</t>
    </r>
    <r>
      <rPr>
        <sz val="10"/>
        <color rgb="FF000000"/>
        <rFont val="Yu Gothic"/>
        <family val="0"/>
        <charset val="1"/>
      </rPr>
      <t xml:space="preserve">60</t>
    </r>
    <r>
      <rPr>
        <sz val="10"/>
        <color rgb="FF000000"/>
        <rFont val="WenQuanYi Zen Hei"/>
        <family val="2"/>
      </rPr>
      <t xml:space="preserve">千円を支払</t>
    </r>
  </si>
  <si>
    <t xml:space="preserve">沿革／減価償却明細書／総勘定元帳（支払手数料）</t>
  </si>
  <si>
    <t xml:space="preserve">件数は確定・登録番号は未確認</t>
  </si>
  <si>
    <t xml:space="preserve">課税明細書</t>
  </si>
  <si>
    <t xml:space="preserve">未受領。地番・公簿面積・固定資産税評価額のいずれも把握できていない</t>
  </si>
  <si>
    <r>
      <rPr>
        <sz val="10"/>
        <color rgb="FF000000"/>
        <rFont val="WenQuanYi Zen Hei"/>
        <family val="2"/>
      </rPr>
      <t xml:space="preserve">案件マスター「その他」Ⅱ</t>
    </r>
    <r>
      <rPr>
        <sz val="10"/>
        <color rgb="FF000000"/>
        <rFont val="Yu Gothic"/>
        <family val="0"/>
        <charset val="1"/>
      </rPr>
      <t xml:space="preserve">-4</t>
    </r>
    <r>
      <rPr>
        <sz val="10"/>
        <color rgb="FF000000"/>
        <rFont val="WenQuanYi Zen Hei"/>
        <family val="2"/>
      </rPr>
      <t xml:space="preserve">（未回収資料）</t>
    </r>
  </si>
  <si>
    <t xml:space="preserve">未受領</t>
  </si>
  <si>
    <t xml:space="preserve">未確定・追加確認リスト</t>
  </si>
  <si>
    <t xml:space="preserve">登記簿を請求する前に確定させる必要がある事項。案件マスター「その他」シートと対応。</t>
  </si>
  <si>
    <r>
      <rPr>
        <b val="true"/>
        <sz val="10"/>
        <color rgb="FFFFFFFF"/>
        <rFont val="WenQuanYi Zen Hei"/>
        <family val="2"/>
      </rPr>
      <t xml:space="preserve">対象</t>
    </r>
    <r>
      <rPr>
        <b val="true"/>
        <sz val="10"/>
        <color rgb="FFFFFFFF"/>
        <rFont val="Yu Gothic"/>
        <family val="0"/>
        <charset val="1"/>
      </rPr>
      <t xml:space="preserve">ID</t>
    </r>
  </si>
  <si>
    <t xml:space="preserve">未確定の内容</t>
  </si>
  <si>
    <t xml:space="preserve">確定させる方法</t>
  </si>
  <si>
    <t xml:space="preserve">案件マスター対応</t>
  </si>
  <si>
    <t xml:space="preserve">法人名義・個人名義の不動産の地番がすべて未確定</t>
  </si>
  <si>
    <t xml:space="preserve">常陸太田市で名寄帳・固定資産評価証明書を取得（個人分は委任状が必要）</t>
  </si>
  <si>
    <r>
      <rPr>
        <sz val="10"/>
        <color rgb="FF000000"/>
        <rFont val="Yu Gothic"/>
        <family val="0"/>
        <charset val="1"/>
      </rPr>
      <t xml:space="preserve">Ⅱ-4 </t>
    </r>
    <r>
      <rPr>
        <sz val="10"/>
        <color rgb="FF000000"/>
        <rFont val="WenQuanYi Zen Hei"/>
        <family val="2"/>
      </rPr>
      <t xml:space="preserve">未回収資料</t>
    </r>
  </si>
  <si>
    <t xml:space="preserve">塩町館の所在地番・建物本体の所有者</t>
  </si>
  <si>
    <t xml:space="preserve">名寄帳で地番を特定 → 土地・建物の全部事項証明書を取得。あわせて売主へ「建物本体は誰の所有か」「賃料の授受はあるか」をヒアリング</t>
  </si>
  <si>
    <r>
      <rPr>
        <sz val="10"/>
        <color rgb="FF000000"/>
        <rFont val="Yu Gothic"/>
        <family val="0"/>
        <charset val="1"/>
      </rPr>
      <t xml:space="preserve">Ⅰ-3 </t>
    </r>
    <r>
      <rPr>
        <sz val="10"/>
        <color rgb="FF000000"/>
        <rFont val="WenQuanYi Zen Hei"/>
        <family val="2"/>
      </rPr>
      <t xml:space="preserve">塩町館の取扱い</t>
    </r>
  </si>
  <si>
    <t xml:space="preserve">店舗建物の登記の有無（未登記との由）</t>
  </si>
  <si>
    <t xml:space="preserve">土地からの建物検索で確定。未登記なら土地家屋調査士へ表題登記の費用・期間を照会</t>
  </si>
  <si>
    <r>
      <rPr>
        <sz val="10"/>
        <color rgb="FF000000"/>
        <rFont val="Yu Gothic"/>
        <family val="0"/>
        <charset val="1"/>
      </rPr>
      <t xml:space="preserve">Ⅰ-1 </t>
    </r>
    <r>
      <rPr>
        <sz val="10"/>
        <color rgb="FF000000"/>
        <rFont val="WenQuanYi Zen Hei"/>
        <family val="2"/>
      </rPr>
      <t xml:space="preserve">建物未登記</t>
    </r>
  </si>
  <si>
    <r>
      <rPr>
        <sz val="10"/>
        <color rgb="FF000000"/>
        <rFont val="WenQuanYi Zen Hei"/>
        <family val="2"/>
      </rPr>
      <t xml:space="preserve">天下野町</t>
    </r>
    <r>
      <rPr>
        <sz val="10"/>
        <color rgb="FF000000"/>
        <rFont val="Yu Gothic"/>
        <family val="0"/>
        <charset val="1"/>
      </rPr>
      <t xml:space="preserve">2162</t>
    </r>
    <r>
      <rPr>
        <sz val="10"/>
        <color rgb="FF000000"/>
        <rFont val="WenQuanYi Zen Hei"/>
        <family val="2"/>
      </rPr>
      <t xml:space="preserve">番と</t>
    </r>
    <r>
      <rPr>
        <sz val="10"/>
        <color rgb="FF000000"/>
        <rFont val="Yu Gothic"/>
        <family val="0"/>
        <charset val="1"/>
      </rPr>
      <t xml:space="preserve">2162</t>
    </r>
    <r>
      <rPr>
        <sz val="10"/>
        <color rgb="FF000000"/>
        <rFont val="WenQuanYi Zen Hei"/>
        <family val="2"/>
      </rPr>
      <t xml:space="preserve">番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の名義の切り分け（駐車場がどちらに属するか）</t>
    </r>
  </si>
  <si>
    <t xml:space="preserve">両地番の全部事項証明書と公図を取得</t>
  </si>
  <si>
    <r>
      <rPr>
        <sz val="10"/>
        <color rgb="FF000000"/>
        <rFont val="Yu Gothic"/>
        <family val="0"/>
        <charset val="1"/>
      </rPr>
      <t xml:space="preserve">Ⅰ-1 </t>
    </r>
    <r>
      <rPr>
        <sz val="10"/>
        <color rgb="FF000000"/>
        <rFont val="WenQuanYi Zen Hei"/>
        <family val="2"/>
      </rPr>
      <t xml:space="preserve">不動産・権利</t>
    </r>
  </si>
  <si>
    <t xml:space="preserve">代表者・配偶者個人名義の不動産の有無</t>
  </si>
  <si>
    <t xml:space="preserve">個人名義の名寄帳を取得（委任状が必要）</t>
  </si>
  <si>
    <r>
      <rPr>
        <sz val="10"/>
        <color rgb="FF000000"/>
        <rFont val="Yu Gothic"/>
        <family val="0"/>
        <charset val="1"/>
      </rPr>
      <t xml:space="preserve">Ⅰ-2 </t>
    </r>
    <r>
      <rPr>
        <sz val="10"/>
        <color rgb="FF000000"/>
        <rFont val="WenQuanYi Zen Hei"/>
        <family val="2"/>
      </rPr>
      <t xml:space="preserve">明渡し・賃貸借条件</t>
    </r>
  </si>
  <si>
    <r>
      <rPr>
        <sz val="10"/>
        <color rgb="FF000000"/>
        <rFont val="WenQuanYi Zen Hei"/>
        <family val="2"/>
      </rPr>
      <t xml:space="preserve">商標</t>
    </r>
    <r>
      <rPr>
        <sz val="10"/>
        <color rgb="FF000000"/>
        <rFont val="Yu Gothic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件の登録番号・区分・指定商品役務・存続期間</t>
    </r>
  </si>
  <si>
    <r>
      <rPr>
        <sz val="10"/>
        <color rgb="FF000000"/>
        <rFont val="Yu Gothic"/>
        <family val="0"/>
        <charset val="1"/>
      </rPr>
      <t xml:space="preserve">J-PlatPat</t>
    </r>
    <r>
      <rPr>
        <sz val="10"/>
        <color rgb="FF000000"/>
        <rFont val="WenQuanYi Zen Hei"/>
        <family val="2"/>
      </rPr>
      <t xml:space="preserve">で「慈久庵」「古式けんちんそば」等を検索し登録番号を特定 → 登録原簿を請求</t>
    </r>
  </si>
  <si>
    <r>
      <rPr>
        <sz val="10"/>
        <color rgb="FF000000"/>
        <rFont val="Yu Gothic"/>
        <family val="0"/>
        <charset val="1"/>
      </rPr>
      <t xml:space="preserve">Ⅰ-7 </t>
    </r>
    <r>
      <rPr>
        <sz val="10"/>
        <color rgb="FF000000"/>
        <rFont val="WenQuanYi Zen Hei"/>
        <family val="2"/>
      </rPr>
      <t xml:space="preserve">知的財産</t>
    </r>
  </si>
  <si>
    <t xml:space="preserve">焼き畑によるそば栽培地の所在・権利関係（所有／賃借）</t>
  </si>
  <si>
    <t xml:space="preserve">売主へヒアリング → 所有であれば名寄帳・登記簿で確認。農地法の制約も確認</t>
  </si>
  <si>
    <r>
      <rPr>
        <sz val="10"/>
        <color rgb="FF000000"/>
        <rFont val="WenQuanYi Zen Hei"/>
        <family val="2"/>
      </rPr>
      <t xml:space="preserve">追加論点</t>
    </r>
    <r>
      <rPr>
        <sz val="10"/>
        <color rgb="FF000000"/>
        <rFont val="Yu Gothic"/>
        <family val="0"/>
        <charset val="1"/>
      </rPr>
      <t xml:space="preserve">5</t>
    </r>
  </si>
  <si>
    <t xml:space="preserve">CO-02/03</t>
  </si>
  <si>
    <t xml:space="preserve">慈久庵咸亨酒・慈久庵伊勢又の会社法人等番号</t>
  </si>
  <si>
    <t xml:space="preserve">法務局の商号・本店検索で特定 → 履歴事項全部証明書を請求</t>
  </si>
  <si>
    <r>
      <rPr>
        <sz val="10"/>
        <color rgb="FF000000"/>
        <rFont val="Yu Gothic"/>
        <family val="0"/>
        <charset val="1"/>
      </rPr>
      <t xml:space="preserve">Ⅰ-4 </t>
    </r>
    <r>
      <rPr>
        <sz val="10"/>
        <color rgb="FF000000"/>
        <rFont val="WenQuanYi Zen Hei"/>
        <family val="2"/>
      </rPr>
      <t xml:space="preserve">関係会社</t>
    </r>
  </si>
  <si>
    <t xml:space="preserve">株券の現物の有無・所在（当社は株券発行会社）</t>
  </si>
  <si>
    <t xml:space="preserve">売主へヒアリング。不発行であれば定款変更・株券不所持の手続を検討</t>
  </si>
  <si>
    <t xml:space="preserve">－（本リストで新規に把握）</t>
  </si>
  <si>
    <t xml:space="preserve">過去の抵当権・根抵当権の抹消漏れの有無</t>
  </si>
  <si>
    <t xml:space="preserve">全部事項証明書の乙区を確認（金融機関借入はないが、過去の設定が残る例がある）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</si>
</sst>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WenQuanYi Zen Hei"/>
      <family val="2"/>
    </font>
    <font>
      <sz val="10"/>
      <color rgb="FF17365D"/>
      <name val="WenQuanYi Zen Hei"/>
      <family val="2"/>
    </font>
    <font>
      <sz val="10"/>
      <color rgb="FF17365D"/>
      <name val="Yu Gothic"/>
      <family val="0"/>
      <charset val="1"/>
    </font>
    <font>
      <b val="true"/>
      <sz val="10"/>
      <color rgb="FFFFFFFF"/>
      <name val="WenQuanYi Zen Hei"/>
      <family val="2"/>
    </font>
    <font>
      <sz val="10"/>
      <name val="WenQuanYi Zen Hei"/>
      <family val="2"/>
    </font>
    <font>
      <sz val="10"/>
      <name val="Yu Gothic"/>
      <family val="0"/>
      <charset val="1"/>
    </font>
    <font>
      <sz val="10"/>
      <color rgb="FF000000"/>
      <name val="WenQuanYi Zen Hei"/>
      <family val="2"/>
    </font>
    <font>
      <b val="true"/>
      <sz val="10"/>
      <name val="WenQuanYi Zen Hei"/>
      <family val="2"/>
    </font>
    <font>
      <sz val="10"/>
      <color rgb="FF000000"/>
      <name val="Yu Gothic"/>
      <family val="0"/>
      <charset val="1"/>
    </font>
    <font>
      <b val="true"/>
      <sz val="10"/>
      <color rgb="FFFFFFFF"/>
      <name val="Yu Gothic"/>
      <family val="0"/>
      <charset val="1"/>
    </font>
    <font>
      <b val="true"/>
      <sz val="16"/>
      <color rgb="FFFFFFFF"/>
      <name val="Yu Gothic"/>
      <family val="0"/>
      <charset val="1"/>
    </font>
    <font>
      <sz val="10"/>
      <color rgb="FF0000FF"/>
      <name val="WenQuanYi Zen Hei"/>
      <family val="2"/>
    </font>
    <font>
      <sz val="10"/>
      <color rgb="FF0000FF"/>
      <name val="Yu Gothic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1F4E78"/>
        <bgColor rgb="FF17365D"/>
      </patternFill>
    </fill>
    <fill>
      <patternFill patternType="solid">
        <fgColor rgb="FFEAF3F8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D9EAF7"/>
        <bgColor rgb="FFEAF3F8"/>
      </patternFill>
    </fill>
    <fill>
      <patternFill patternType="solid">
        <fgColor rgb="FFFCE4D6"/>
        <bgColor rgb="FFEAF3F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AF3F8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BFBFBF"/>
      <rgbColor rgb="FF808080"/>
      <rgbColor rgb="FF9999FF"/>
      <rgbColor rgb="FF993366"/>
      <rgbColor rgb="FFF7F9F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8" min="6" style="0" width="14"/>
  </cols>
  <sheetData>
    <row r="1" customFormat="false" ht="27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  <c r="H4" s="4"/>
    </row>
    <row r="5" customFormat="false" ht="31.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</row>
    <row r="6" customFormat="false" ht="31.5" hidden="false" customHeight="true" outlineLevel="0" collapsed="false">
      <c r="A6" s="5" t="s">
        <v>4</v>
      </c>
      <c r="B6" s="5"/>
      <c r="C6" s="5"/>
      <c r="D6" s="5"/>
      <c r="E6" s="5"/>
      <c r="F6" s="5"/>
      <c r="G6" s="5"/>
      <c r="H6" s="5"/>
    </row>
    <row r="7" customFormat="false" ht="31.5" hidden="false" customHeight="true" outlineLevel="0" collapsed="false">
      <c r="A7" s="5" t="s">
        <v>5</v>
      </c>
      <c r="B7" s="5"/>
      <c r="C7" s="5"/>
      <c r="D7" s="5"/>
      <c r="E7" s="5"/>
      <c r="F7" s="5"/>
      <c r="G7" s="5"/>
      <c r="H7" s="5"/>
    </row>
    <row r="8" customFormat="false" ht="31.5" hidden="false" customHeight="true" outlineLevel="0" collapsed="false">
      <c r="A8" s="5" t="s">
        <v>6</v>
      </c>
      <c r="B8" s="5"/>
      <c r="C8" s="5"/>
      <c r="D8" s="5"/>
      <c r="E8" s="5"/>
      <c r="F8" s="5"/>
      <c r="G8" s="5"/>
      <c r="H8" s="5"/>
    </row>
    <row r="9" customFormat="false" ht="31.5" hidden="false" customHeight="true" outlineLevel="0" collapsed="false">
      <c r="A9" s="5" t="s">
        <v>7</v>
      </c>
      <c r="B9" s="5"/>
      <c r="C9" s="5"/>
      <c r="D9" s="5"/>
      <c r="E9" s="5"/>
      <c r="F9" s="5"/>
      <c r="G9" s="5"/>
      <c r="H9" s="5"/>
    </row>
    <row r="10" customFormat="false" ht="31.5" hidden="false" customHeight="true" outlineLevel="0" collapsed="false">
      <c r="A10" s="5" t="s">
        <v>8</v>
      </c>
      <c r="B10" s="5"/>
      <c r="C10" s="5"/>
      <c r="D10" s="5"/>
      <c r="E10" s="5"/>
      <c r="F10" s="5"/>
      <c r="G10" s="5"/>
      <c r="H10" s="5"/>
    </row>
    <row r="11" customFormat="false" ht="31.5" hidden="false" customHeight="true" outlineLevel="0" collapsed="false">
      <c r="A11" s="5" t="s">
        <v>9</v>
      </c>
      <c r="B11" s="5"/>
      <c r="C11" s="5"/>
      <c r="D11" s="5"/>
      <c r="E11" s="5"/>
      <c r="F11" s="5"/>
      <c r="G11" s="5"/>
      <c r="H11" s="5"/>
    </row>
    <row r="13" customFormat="false" ht="15" hidden="false" customHeight="false" outlineLevel="0" collapsed="false">
      <c r="A13" s="3" t="s">
        <v>10</v>
      </c>
      <c r="B13" s="4"/>
      <c r="C13" s="4"/>
      <c r="D13" s="4"/>
      <c r="E13" s="4"/>
      <c r="F13" s="4"/>
      <c r="G13" s="4"/>
      <c r="H13" s="4"/>
    </row>
    <row r="14" customFormat="false" ht="30" hidden="false" customHeight="true" outlineLevel="0" collapsed="false">
      <c r="A14" s="6" t="s">
        <v>11</v>
      </c>
      <c r="B14" s="6" t="s">
        <v>12</v>
      </c>
      <c r="C14" s="6" t="s">
        <v>13</v>
      </c>
      <c r="D14" s="6" t="s">
        <v>14</v>
      </c>
      <c r="E14" s="6" t="s">
        <v>15</v>
      </c>
      <c r="F14" s="6"/>
      <c r="G14" s="6"/>
      <c r="H14" s="6"/>
    </row>
    <row r="15" customFormat="false" ht="18" hidden="false" customHeight="true" outlineLevel="0" collapsed="false">
      <c r="A15" s="7" t="s">
        <v>16</v>
      </c>
      <c r="B15" s="7" t="n">
        <f aca="false">COUNTIF(01_取得リスト!$C$5:$C$19,"RE-*")</f>
        <v>7</v>
      </c>
      <c r="C15" s="7" t="n">
        <f aca="false">COUNTIFS(01_取得リスト!$C$5:$C$19,"RE-*",01_取得リスト!$A$5:$A$19,"取得済")</f>
        <v>0</v>
      </c>
      <c r="D15" s="7" t="n">
        <f aca="false">COUNTIFS(01_取得リスト!$C$5:$C$19,"RE-*",01_取得リスト!$A$5:$A$19,"未取得")</f>
        <v>7</v>
      </c>
      <c r="E15" s="7" t="n">
        <f aca="false">COUNTIFS(01_取得リスト!$C$5:$C$19,"RE-*",01_取得リスト!$M$5:$M$19,"高")+COUNTIFS(01_取得リスト!$C$5:$C$19,"RE-*",01_取得リスト!$M$5:$M$19,"最優先")</f>
        <v>7</v>
      </c>
      <c r="F15" s="7"/>
      <c r="G15" s="7"/>
      <c r="H15" s="7"/>
    </row>
    <row r="16" customFormat="false" ht="18" hidden="false" customHeight="true" outlineLevel="0" collapsed="false">
      <c r="A16" s="8" t="s">
        <v>17</v>
      </c>
      <c r="B16" s="8" t="n">
        <f aca="false">COUNTIF(01_取得リスト!$C$5:$C$19,"CO-*")</f>
        <v>4</v>
      </c>
      <c r="C16" s="8" t="n">
        <f aca="false">COUNTIFS(01_取得リスト!$C$5:$C$19,"CO-*",01_取得リスト!$A$5:$A$19,"取得済")</f>
        <v>1</v>
      </c>
      <c r="D16" s="8" t="n">
        <f aca="false">COUNTIFS(01_取得リスト!$C$5:$C$19,"CO-*",01_取得リスト!$A$5:$A$19,"未取得")</f>
        <v>3</v>
      </c>
      <c r="E16" s="8" t="n">
        <f aca="false">COUNTIFS(01_取得リスト!$C$5:$C$19,"CO-*",01_取得リスト!$M$5:$M$19,"高")+COUNTIFS(01_取得リスト!$C$5:$C$19,"CO-*",01_取得リスト!$M$5:$M$19,"最優先")</f>
        <v>2</v>
      </c>
      <c r="F16" s="8"/>
      <c r="G16" s="8"/>
      <c r="H16" s="8"/>
    </row>
    <row r="17" customFormat="false" ht="18" hidden="false" customHeight="true" outlineLevel="0" collapsed="false">
      <c r="A17" s="7" t="s">
        <v>18</v>
      </c>
      <c r="B17" s="7" t="n">
        <f aca="false">COUNTIF(01_取得リスト!$C$5:$C$19,"OT-*")</f>
        <v>4</v>
      </c>
      <c r="C17" s="7" t="n">
        <f aca="false">COUNTIFS(01_取得リスト!$C$5:$C$19,"OT-*",01_取得リスト!$A$5:$A$19,"取得済")</f>
        <v>0</v>
      </c>
      <c r="D17" s="7" t="n">
        <f aca="false">COUNTIFS(01_取得リスト!$C$5:$C$19,"OT-*",01_取得リスト!$A$5:$A$19,"未取得")</f>
        <v>4</v>
      </c>
      <c r="E17" s="7" t="n">
        <f aca="false">COUNTIFS(01_取得リスト!$C$5:$C$19,"OT-*",01_取得リスト!$M$5:$M$19,"高")+COUNTIFS(01_取得リスト!$C$5:$C$19,"OT-*",01_取得リスト!$M$5:$M$19,"最優先")</f>
        <v>2</v>
      </c>
      <c r="F17" s="7"/>
      <c r="G17" s="7"/>
      <c r="H17" s="7"/>
    </row>
    <row r="18" customFormat="false" ht="18" hidden="false" customHeight="true" outlineLevel="0" collapsed="false">
      <c r="A18" s="9" t="s">
        <v>19</v>
      </c>
      <c r="B18" s="9" t="n">
        <f aca="false">SUM(B15:B17)</f>
        <v>15</v>
      </c>
      <c r="C18" s="9" t="n">
        <f aca="false">SUM(C15:C17)</f>
        <v>1</v>
      </c>
      <c r="D18" s="9" t="n">
        <f aca="false">SUM(D15:D17)</f>
        <v>14</v>
      </c>
      <c r="E18" s="9" t="n">
        <f aca="false">SUM(E15:E17)</f>
        <v>11</v>
      </c>
      <c r="F18" s="10"/>
      <c r="G18" s="10"/>
      <c r="H18" s="10"/>
    </row>
    <row r="20" customFormat="false" ht="15" hidden="false" customHeight="false" outlineLevel="0" collapsed="false">
      <c r="A20" s="3" t="s">
        <v>20</v>
      </c>
      <c r="B20" s="4"/>
      <c r="C20" s="4"/>
      <c r="D20" s="4"/>
      <c r="E20" s="4"/>
      <c r="F20" s="4"/>
      <c r="G20" s="4"/>
      <c r="H20" s="4"/>
    </row>
    <row r="21" customFormat="false" ht="30" hidden="false" customHeight="true" outlineLevel="0" collapsed="false">
      <c r="A21" s="11" t="s">
        <v>21</v>
      </c>
      <c r="B21" s="11" t="s">
        <v>22</v>
      </c>
      <c r="C21" s="6" t="s">
        <v>23</v>
      </c>
      <c r="D21" s="6" t="s">
        <v>24</v>
      </c>
      <c r="E21" s="6"/>
      <c r="F21" s="6"/>
      <c r="G21" s="6"/>
      <c r="H21" s="6"/>
    </row>
    <row r="22" customFormat="false" ht="30" hidden="false" customHeight="true" outlineLevel="0" collapsed="false">
      <c r="A22" s="12" t="s">
        <v>25</v>
      </c>
      <c r="B22" s="12" t="s">
        <v>26</v>
      </c>
      <c r="C22" s="13" t="s">
        <v>27</v>
      </c>
      <c r="D22" s="13" t="s">
        <v>28</v>
      </c>
      <c r="E22" s="13"/>
      <c r="F22" s="13"/>
      <c r="G22" s="13"/>
      <c r="H22" s="13"/>
    </row>
    <row r="23" customFormat="false" ht="30" hidden="false" customHeight="true" outlineLevel="0" collapsed="false">
      <c r="A23" s="12" t="s">
        <v>29</v>
      </c>
      <c r="B23" s="12" t="s">
        <v>30</v>
      </c>
      <c r="C23" s="13" t="s">
        <v>31</v>
      </c>
      <c r="D23" s="13" t="s">
        <v>32</v>
      </c>
      <c r="E23" s="13"/>
      <c r="F23" s="13"/>
      <c r="G23" s="13"/>
      <c r="H23" s="13"/>
    </row>
    <row r="24" customFormat="false" ht="30" hidden="false" customHeight="true" outlineLevel="0" collapsed="false">
      <c r="A24" s="12" t="s">
        <v>33</v>
      </c>
      <c r="B24" s="12" t="s">
        <v>34</v>
      </c>
      <c r="C24" s="13" t="s">
        <v>35</v>
      </c>
      <c r="D24" s="13" t="s">
        <v>36</v>
      </c>
      <c r="E24" s="13"/>
      <c r="F24" s="13"/>
      <c r="G24" s="13"/>
      <c r="H24" s="13"/>
    </row>
  </sheetData>
  <mergeCells count="11">
    <mergeCell ref="A5:H5"/>
    <mergeCell ref="A6:H6"/>
    <mergeCell ref="A7:H7"/>
    <mergeCell ref="A8:H8"/>
    <mergeCell ref="A9:H9"/>
    <mergeCell ref="A10:H10"/>
    <mergeCell ref="A11:H11"/>
    <mergeCell ref="D21:H21"/>
    <mergeCell ref="D22:H22"/>
    <mergeCell ref="D23:H23"/>
    <mergeCell ref="D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78"/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1" min="10" style="0" width="22"/>
    <col collapsed="false" customWidth="true" hidden="false" outlineLevel="0" max="12" min="12" style="0" width="26"/>
    <col collapsed="false" customWidth="true" hidden="false" outlineLevel="0" max="13" min="13" style="0" width="8"/>
    <col collapsed="false" customWidth="true" hidden="false" outlineLevel="0" max="14" min="14" style="0" width="58"/>
    <col collapsed="false" customWidth="true" hidden="false" outlineLevel="0" max="15" min="15" style="0" width="40"/>
  </cols>
  <sheetData>
    <row r="1" customFormat="false" ht="27.75" hidden="false" customHeight="tru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30" hidden="false" customHeight="true" outlineLevel="0" collapsed="false">
      <c r="A4" s="14" t="s">
        <v>39</v>
      </c>
      <c r="B4" s="14" t="s">
        <v>40</v>
      </c>
      <c r="C4" s="15" t="s">
        <v>22</v>
      </c>
      <c r="D4" s="14" t="s">
        <v>11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  <c r="K4" s="14" t="s">
        <v>47</v>
      </c>
      <c r="L4" s="14" t="s">
        <v>48</v>
      </c>
      <c r="M4" s="14" t="s">
        <v>49</v>
      </c>
      <c r="N4" s="14" t="s">
        <v>50</v>
      </c>
      <c r="O4" s="14" t="s">
        <v>51</v>
      </c>
    </row>
    <row r="5" customFormat="false" ht="61.5" hidden="false" customHeight="true" outlineLevel="0" collapsed="false">
      <c r="A5" s="16" t="s">
        <v>14</v>
      </c>
      <c r="B5" s="16"/>
      <c r="C5" s="17" t="s">
        <v>52</v>
      </c>
      <c r="D5" s="7" t="s">
        <v>53</v>
      </c>
      <c r="E5" s="7" t="s">
        <v>54</v>
      </c>
      <c r="F5" s="7" t="s">
        <v>55</v>
      </c>
      <c r="G5" s="7" t="s">
        <v>56</v>
      </c>
      <c r="H5" s="7" t="s">
        <v>57</v>
      </c>
      <c r="I5" s="7" t="s">
        <v>58</v>
      </c>
      <c r="J5" s="17" t="s">
        <v>59</v>
      </c>
      <c r="K5" s="7" t="s">
        <v>60</v>
      </c>
      <c r="L5" s="7" t="s">
        <v>61</v>
      </c>
      <c r="M5" s="7" t="s">
        <v>62</v>
      </c>
      <c r="N5" s="7" t="s">
        <v>63</v>
      </c>
      <c r="O5" s="7" t="s">
        <v>64</v>
      </c>
    </row>
    <row r="6" customFormat="false" ht="61.5" hidden="false" customHeight="true" outlineLevel="0" collapsed="false">
      <c r="A6" s="16" t="s">
        <v>14</v>
      </c>
      <c r="B6" s="16"/>
      <c r="C6" s="18" t="s">
        <v>65</v>
      </c>
      <c r="D6" s="8" t="s">
        <v>53</v>
      </c>
      <c r="E6" s="8" t="s">
        <v>66</v>
      </c>
      <c r="F6" s="8" t="s">
        <v>55</v>
      </c>
      <c r="G6" s="8" t="s">
        <v>56</v>
      </c>
      <c r="H6" s="8" t="s">
        <v>57</v>
      </c>
      <c r="I6" s="8" t="s">
        <v>58</v>
      </c>
      <c r="J6" s="18" t="s">
        <v>67</v>
      </c>
      <c r="K6" s="8" t="s">
        <v>60</v>
      </c>
      <c r="L6" s="8" t="s">
        <v>61</v>
      </c>
      <c r="M6" s="8" t="s">
        <v>62</v>
      </c>
      <c r="N6" s="8" t="s">
        <v>68</v>
      </c>
      <c r="O6" s="8" t="s">
        <v>69</v>
      </c>
    </row>
    <row r="7" customFormat="false" ht="61.5" hidden="false" customHeight="true" outlineLevel="0" collapsed="false">
      <c r="A7" s="16" t="s">
        <v>14</v>
      </c>
      <c r="B7" s="16"/>
      <c r="C7" s="17" t="s">
        <v>30</v>
      </c>
      <c r="D7" s="7" t="s">
        <v>53</v>
      </c>
      <c r="E7" s="7" t="s">
        <v>54</v>
      </c>
      <c r="F7" s="7" t="s">
        <v>55</v>
      </c>
      <c r="G7" s="7" t="s">
        <v>56</v>
      </c>
      <c r="H7" s="7" t="s">
        <v>70</v>
      </c>
      <c r="I7" s="7" t="s">
        <v>71</v>
      </c>
      <c r="J7" s="7" t="s">
        <v>72</v>
      </c>
      <c r="K7" s="7" t="s">
        <v>60</v>
      </c>
      <c r="L7" s="7" t="s">
        <v>73</v>
      </c>
      <c r="M7" s="7" t="s">
        <v>62</v>
      </c>
      <c r="N7" s="7" t="s">
        <v>74</v>
      </c>
      <c r="O7" s="7" t="s">
        <v>75</v>
      </c>
    </row>
    <row r="8" customFormat="false" ht="61.5" hidden="false" customHeight="true" outlineLevel="0" collapsed="false">
      <c r="A8" s="16" t="s">
        <v>14</v>
      </c>
      <c r="B8" s="16"/>
      <c r="C8" s="18" t="s">
        <v>34</v>
      </c>
      <c r="D8" s="8" t="s">
        <v>53</v>
      </c>
      <c r="E8" s="8" t="s">
        <v>76</v>
      </c>
      <c r="F8" s="8" t="s">
        <v>55</v>
      </c>
      <c r="G8" s="8" t="s">
        <v>56</v>
      </c>
      <c r="H8" s="8" t="s">
        <v>77</v>
      </c>
      <c r="I8" s="8" t="s">
        <v>78</v>
      </c>
      <c r="J8" s="8" t="s">
        <v>76</v>
      </c>
      <c r="K8" s="8" t="s">
        <v>60</v>
      </c>
      <c r="L8" s="8" t="s">
        <v>79</v>
      </c>
      <c r="M8" s="8" t="s">
        <v>62</v>
      </c>
      <c r="N8" s="8" t="s">
        <v>80</v>
      </c>
      <c r="O8" s="8" t="s">
        <v>81</v>
      </c>
    </row>
    <row r="9" customFormat="false" ht="61.5" hidden="false" customHeight="true" outlineLevel="0" collapsed="false">
      <c r="A9" s="16" t="s">
        <v>14</v>
      </c>
      <c r="B9" s="16"/>
      <c r="C9" s="17" t="s">
        <v>82</v>
      </c>
      <c r="D9" s="7" t="s">
        <v>53</v>
      </c>
      <c r="E9" s="7" t="s">
        <v>83</v>
      </c>
      <c r="F9" s="7" t="s">
        <v>55</v>
      </c>
      <c r="G9" s="7" t="s">
        <v>56</v>
      </c>
      <c r="H9" s="7" t="s">
        <v>84</v>
      </c>
      <c r="I9" s="7" t="s">
        <v>58</v>
      </c>
      <c r="J9" s="17" t="s">
        <v>85</v>
      </c>
      <c r="K9" s="7" t="s">
        <v>60</v>
      </c>
      <c r="L9" s="7" t="s">
        <v>61</v>
      </c>
      <c r="M9" s="7" t="s">
        <v>62</v>
      </c>
      <c r="N9" s="7" t="s">
        <v>86</v>
      </c>
      <c r="O9" s="7" t="s">
        <v>87</v>
      </c>
    </row>
    <row r="10" customFormat="false" ht="61.5" hidden="false" customHeight="true" outlineLevel="0" collapsed="false">
      <c r="A10" s="16" t="s">
        <v>14</v>
      </c>
      <c r="B10" s="16"/>
      <c r="C10" s="18" t="s">
        <v>88</v>
      </c>
      <c r="D10" s="8" t="s">
        <v>53</v>
      </c>
      <c r="E10" s="8" t="s">
        <v>89</v>
      </c>
      <c r="F10" s="8" t="s">
        <v>55</v>
      </c>
      <c r="G10" s="8" t="s">
        <v>56</v>
      </c>
      <c r="H10" s="8" t="s">
        <v>84</v>
      </c>
      <c r="I10" s="8" t="s">
        <v>58</v>
      </c>
      <c r="J10" s="18" t="s">
        <v>90</v>
      </c>
      <c r="K10" s="8" t="s">
        <v>60</v>
      </c>
      <c r="L10" s="8" t="s">
        <v>61</v>
      </c>
      <c r="M10" s="8" t="s">
        <v>62</v>
      </c>
      <c r="N10" s="8" t="s">
        <v>91</v>
      </c>
      <c r="O10" s="8" t="s">
        <v>92</v>
      </c>
    </row>
    <row r="11" customFormat="false" ht="61.5" hidden="false" customHeight="true" outlineLevel="0" collapsed="false">
      <c r="A11" s="16" t="s">
        <v>14</v>
      </c>
      <c r="B11" s="16"/>
      <c r="C11" s="17" t="s">
        <v>93</v>
      </c>
      <c r="D11" s="7" t="s">
        <v>53</v>
      </c>
      <c r="E11" s="7" t="s">
        <v>94</v>
      </c>
      <c r="F11" s="7" t="s">
        <v>55</v>
      </c>
      <c r="G11" s="7" t="s">
        <v>56</v>
      </c>
      <c r="H11" s="7" t="s">
        <v>77</v>
      </c>
      <c r="I11" s="7" t="s">
        <v>76</v>
      </c>
      <c r="J11" s="7" t="s">
        <v>76</v>
      </c>
      <c r="K11" s="7" t="s">
        <v>60</v>
      </c>
      <c r="L11" s="7" t="s">
        <v>95</v>
      </c>
      <c r="M11" s="7" t="s">
        <v>62</v>
      </c>
      <c r="N11" s="7" t="s">
        <v>96</v>
      </c>
      <c r="O11" s="7" t="s">
        <v>97</v>
      </c>
    </row>
    <row r="12" customFormat="false" ht="61.5" hidden="false" customHeight="true" outlineLevel="0" collapsed="false">
      <c r="A12" s="16" t="s">
        <v>13</v>
      </c>
      <c r="B12" s="19" t="s">
        <v>98</v>
      </c>
      <c r="C12" s="18" t="s">
        <v>99</v>
      </c>
      <c r="D12" s="8" t="s">
        <v>100</v>
      </c>
      <c r="E12" s="8" t="s">
        <v>54</v>
      </c>
      <c r="F12" s="8" t="s">
        <v>55</v>
      </c>
      <c r="G12" s="8" t="s">
        <v>56</v>
      </c>
      <c r="H12" s="8" t="s">
        <v>101</v>
      </c>
      <c r="I12" s="8" t="s">
        <v>102</v>
      </c>
      <c r="J12" s="8" t="s">
        <v>103</v>
      </c>
      <c r="K12" s="8" t="s">
        <v>104</v>
      </c>
      <c r="L12" s="8" t="s">
        <v>105</v>
      </c>
      <c r="M12" s="8" t="s">
        <v>106</v>
      </c>
      <c r="N12" s="8" t="s">
        <v>107</v>
      </c>
      <c r="O12" s="18" t="s">
        <v>108</v>
      </c>
    </row>
    <row r="13" customFormat="false" ht="61.5" hidden="false" customHeight="true" outlineLevel="0" collapsed="false">
      <c r="A13" s="16" t="s">
        <v>14</v>
      </c>
      <c r="B13" s="16"/>
      <c r="C13" s="17" t="s">
        <v>109</v>
      </c>
      <c r="D13" s="7" t="s">
        <v>100</v>
      </c>
      <c r="E13" s="7" t="s">
        <v>110</v>
      </c>
      <c r="F13" s="7" t="s">
        <v>55</v>
      </c>
      <c r="G13" s="7" t="s">
        <v>56</v>
      </c>
      <c r="H13" s="7" t="s">
        <v>101</v>
      </c>
      <c r="I13" s="7" t="s">
        <v>111</v>
      </c>
      <c r="J13" s="7" t="s">
        <v>112</v>
      </c>
      <c r="K13" s="7" t="s">
        <v>104</v>
      </c>
      <c r="L13" s="7" t="s">
        <v>113</v>
      </c>
      <c r="M13" s="7" t="s">
        <v>62</v>
      </c>
      <c r="N13" s="7" t="s">
        <v>114</v>
      </c>
      <c r="O13" s="17" t="s">
        <v>115</v>
      </c>
    </row>
    <row r="14" customFormat="false" ht="61.5" hidden="false" customHeight="true" outlineLevel="0" collapsed="false">
      <c r="A14" s="16" t="s">
        <v>14</v>
      </c>
      <c r="B14" s="16"/>
      <c r="C14" s="18" t="s">
        <v>116</v>
      </c>
      <c r="D14" s="8" t="s">
        <v>100</v>
      </c>
      <c r="E14" s="8" t="s">
        <v>117</v>
      </c>
      <c r="F14" s="8" t="s">
        <v>55</v>
      </c>
      <c r="G14" s="8" t="s">
        <v>56</v>
      </c>
      <c r="H14" s="8" t="s">
        <v>101</v>
      </c>
      <c r="I14" s="8" t="s">
        <v>118</v>
      </c>
      <c r="J14" s="8" t="s">
        <v>112</v>
      </c>
      <c r="K14" s="8" t="s">
        <v>104</v>
      </c>
      <c r="L14" s="8" t="s">
        <v>113</v>
      </c>
      <c r="M14" s="8" t="s">
        <v>62</v>
      </c>
      <c r="N14" s="8" t="s">
        <v>119</v>
      </c>
      <c r="O14" s="18" t="s">
        <v>120</v>
      </c>
    </row>
    <row r="15" customFormat="false" ht="61.5" hidden="false" customHeight="true" outlineLevel="0" collapsed="false">
      <c r="A15" s="16" t="s">
        <v>14</v>
      </c>
      <c r="B15" s="16"/>
      <c r="C15" s="17" t="s">
        <v>121</v>
      </c>
      <c r="D15" s="7" t="s">
        <v>100</v>
      </c>
      <c r="E15" s="7" t="s">
        <v>122</v>
      </c>
      <c r="F15" s="7"/>
      <c r="G15" s="7"/>
      <c r="H15" s="7" t="s">
        <v>101</v>
      </c>
      <c r="I15" s="7" t="s">
        <v>76</v>
      </c>
      <c r="J15" s="7" t="s">
        <v>76</v>
      </c>
      <c r="K15" s="7" t="s">
        <v>104</v>
      </c>
      <c r="L15" s="7" t="s">
        <v>123</v>
      </c>
      <c r="M15" s="7" t="s">
        <v>124</v>
      </c>
      <c r="N15" s="7" t="s">
        <v>125</v>
      </c>
      <c r="O15" s="7" t="s">
        <v>126</v>
      </c>
    </row>
    <row r="16" customFormat="false" ht="61.5" hidden="false" customHeight="true" outlineLevel="0" collapsed="false">
      <c r="A16" s="16" t="s">
        <v>14</v>
      </c>
      <c r="B16" s="16"/>
      <c r="C16" s="18" t="s">
        <v>26</v>
      </c>
      <c r="D16" s="8" t="s">
        <v>127</v>
      </c>
      <c r="E16" s="8" t="s">
        <v>128</v>
      </c>
      <c r="F16" s="8" t="s">
        <v>55</v>
      </c>
      <c r="G16" s="8" t="s">
        <v>56</v>
      </c>
      <c r="H16" s="8" t="s">
        <v>129</v>
      </c>
      <c r="I16" s="8" t="s">
        <v>106</v>
      </c>
      <c r="J16" s="8" t="s">
        <v>106</v>
      </c>
      <c r="K16" s="8" t="s">
        <v>130</v>
      </c>
      <c r="L16" s="8" t="s">
        <v>131</v>
      </c>
      <c r="M16" s="8" t="s">
        <v>132</v>
      </c>
      <c r="N16" s="18" t="s">
        <v>133</v>
      </c>
      <c r="O16" s="8" t="s">
        <v>134</v>
      </c>
    </row>
    <row r="17" customFormat="false" ht="61.5" hidden="false" customHeight="true" outlineLevel="0" collapsed="false">
      <c r="A17" s="16" t="s">
        <v>14</v>
      </c>
      <c r="B17" s="16"/>
      <c r="C17" s="17" t="s">
        <v>135</v>
      </c>
      <c r="D17" s="7" t="s">
        <v>127</v>
      </c>
      <c r="E17" s="7" t="s">
        <v>106</v>
      </c>
      <c r="F17" s="7" t="s">
        <v>55</v>
      </c>
      <c r="G17" s="7" t="s">
        <v>56</v>
      </c>
      <c r="H17" s="7" t="s">
        <v>136</v>
      </c>
      <c r="I17" s="7" t="s">
        <v>137</v>
      </c>
      <c r="J17" s="7" t="s">
        <v>106</v>
      </c>
      <c r="K17" s="7" t="s">
        <v>138</v>
      </c>
      <c r="L17" s="7" t="s">
        <v>139</v>
      </c>
      <c r="M17" s="7" t="s">
        <v>124</v>
      </c>
      <c r="N17" s="7" t="s">
        <v>140</v>
      </c>
      <c r="O17" s="7" t="s">
        <v>141</v>
      </c>
    </row>
    <row r="18" customFormat="false" ht="61.5" hidden="false" customHeight="true" outlineLevel="0" collapsed="false">
      <c r="A18" s="16" t="s">
        <v>14</v>
      </c>
      <c r="B18" s="16"/>
      <c r="C18" s="18" t="s">
        <v>142</v>
      </c>
      <c r="D18" s="8" t="s">
        <v>127</v>
      </c>
      <c r="E18" s="8" t="s">
        <v>54</v>
      </c>
      <c r="F18" s="8" t="s">
        <v>106</v>
      </c>
      <c r="G18" s="8" t="s">
        <v>106</v>
      </c>
      <c r="H18" s="8" t="s">
        <v>143</v>
      </c>
      <c r="I18" s="8" t="s">
        <v>106</v>
      </c>
      <c r="J18" s="8" t="s">
        <v>144</v>
      </c>
      <c r="K18" s="8" t="s">
        <v>145</v>
      </c>
      <c r="L18" s="8" t="s">
        <v>146</v>
      </c>
      <c r="M18" s="8" t="s">
        <v>62</v>
      </c>
      <c r="N18" s="8" t="s">
        <v>147</v>
      </c>
      <c r="O18" s="8" t="s">
        <v>148</v>
      </c>
    </row>
    <row r="19" customFormat="false" ht="61.5" hidden="false" customHeight="true" outlineLevel="0" collapsed="false">
      <c r="A19" s="16" t="s">
        <v>14</v>
      </c>
      <c r="B19" s="16"/>
      <c r="C19" s="17" t="s">
        <v>149</v>
      </c>
      <c r="D19" s="7" t="s">
        <v>127</v>
      </c>
      <c r="E19" s="7" t="s">
        <v>54</v>
      </c>
      <c r="F19" s="7" t="s">
        <v>55</v>
      </c>
      <c r="G19" s="7" t="s">
        <v>56</v>
      </c>
      <c r="H19" s="7" t="s">
        <v>150</v>
      </c>
      <c r="I19" s="7" t="s">
        <v>102</v>
      </c>
      <c r="J19" s="7" t="s">
        <v>106</v>
      </c>
      <c r="K19" s="7" t="s">
        <v>138</v>
      </c>
      <c r="L19" s="7" t="s">
        <v>151</v>
      </c>
      <c r="M19" s="7" t="s">
        <v>152</v>
      </c>
      <c r="N19" s="7" t="s">
        <v>153</v>
      </c>
      <c r="O19" s="7" t="s">
        <v>106</v>
      </c>
    </row>
  </sheetData>
  <autoFilter ref="A4:O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76"/>
    <col collapsed="false" customWidth="true" hidden="false" outlineLevel="0" max="4" min="4" style="0" width="38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4" customFormat="false" ht="30" hidden="false" customHeight="true" outlineLevel="0" collapsed="false">
      <c r="A4" s="11" t="s">
        <v>22</v>
      </c>
      <c r="B4" s="6" t="s">
        <v>156</v>
      </c>
      <c r="C4" s="6" t="s">
        <v>157</v>
      </c>
      <c r="D4" s="6" t="s">
        <v>158</v>
      </c>
      <c r="E4" s="6" t="s">
        <v>159</v>
      </c>
    </row>
    <row r="5" customFormat="false" ht="42" hidden="false" customHeight="true" outlineLevel="0" collapsed="false">
      <c r="A5" s="17" t="s">
        <v>52</v>
      </c>
      <c r="B5" s="7" t="s">
        <v>160</v>
      </c>
      <c r="C5" s="7" t="s">
        <v>161</v>
      </c>
      <c r="D5" s="7" t="s">
        <v>162</v>
      </c>
      <c r="E5" s="7" t="s">
        <v>163</v>
      </c>
    </row>
    <row r="6" customFormat="false" ht="42" hidden="false" customHeight="true" outlineLevel="0" collapsed="false">
      <c r="A6" s="18" t="s">
        <v>52</v>
      </c>
      <c r="B6" s="8" t="s">
        <v>164</v>
      </c>
      <c r="C6" s="8" t="s">
        <v>165</v>
      </c>
      <c r="D6" s="18" t="s">
        <v>166</v>
      </c>
      <c r="E6" s="8" t="s">
        <v>163</v>
      </c>
    </row>
    <row r="7" customFormat="false" ht="42" hidden="false" customHeight="true" outlineLevel="0" collapsed="false">
      <c r="A7" s="17" t="s">
        <v>65</v>
      </c>
      <c r="B7" s="7" t="s">
        <v>167</v>
      </c>
      <c r="C7" s="7" t="s">
        <v>168</v>
      </c>
      <c r="D7" s="7" t="s">
        <v>169</v>
      </c>
      <c r="E7" s="7" t="s">
        <v>170</v>
      </c>
    </row>
    <row r="8" customFormat="false" ht="42" hidden="false" customHeight="true" outlineLevel="0" collapsed="false">
      <c r="A8" s="18" t="s">
        <v>30</v>
      </c>
      <c r="B8" s="8" t="s">
        <v>171</v>
      </c>
      <c r="C8" s="8" t="s">
        <v>172</v>
      </c>
      <c r="D8" s="8" t="s">
        <v>173</v>
      </c>
      <c r="E8" s="8" t="s">
        <v>174</v>
      </c>
    </row>
    <row r="9" customFormat="false" ht="42" hidden="false" customHeight="true" outlineLevel="0" collapsed="false">
      <c r="A9" s="17" t="s">
        <v>34</v>
      </c>
      <c r="B9" s="7" t="s">
        <v>175</v>
      </c>
      <c r="C9" s="7" t="s">
        <v>176</v>
      </c>
      <c r="D9" s="7" t="s">
        <v>177</v>
      </c>
      <c r="E9" s="7" t="s">
        <v>163</v>
      </c>
    </row>
    <row r="10" customFormat="false" ht="42" hidden="false" customHeight="true" outlineLevel="0" collapsed="false">
      <c r="A10" s="18" t="s">
        <v>93</v>
      </c>
      <c r="B10" s="8" t="s">
        <v>178</v>
      </c>
      <c r="C10" s="8" t="s">
        <v>179</v>
      </c>
      <c r="D10" s="18" t="s">
        <v>180</v>
      </c>
      <c r="E10" s="8" t="s">
        <v>163</v>
      </c>
    </row>
    <row r="11" customFormat="false" ht="42" hidden="false" customHeight="true" outlineLevel="0" collapsed="false">
      <c r="A11" s="17" t="s">
        <v>99</v>
      </c>
      <c r="B11" s="7" t="s">
        <v>181</v>
      </c>
      <c r="C11" s="17" t="s">
        <v>182</v>
      </c>
      <c r="D11" s="7" t="s">
        <v>183</v>
      </c>
      <c r="E11" s="7" t="s">
        <v>163</v>
      </c>
    </row>
    <row r="12" customFormat="false" ht="42" hidden="false" customHeight="true" outlineLevel="0" collapsed="false">
      <c r="A12" s="18" t="s">
        <v>109</v>
      </c>
      <c r="B12" s="8" t="s">
        <v>184</v>
      </c>
      <c r="C12" s="8" t="s">
        <v>185</v>
      </c>
      <c r="D12" s="18" t="s">
        <v>180</v>
      </c>
      <c r="E12" s="8" t="s">
        <v>163</v>
      </c>
    </row>
    <row r="13" customFormat="false" ht="42" hidden="false" customHeight="true" outlineLevel="0" collapsed="false">
      <c r="A13" s="17" t="s">
        <v>116</v>
      </c>
      <c r="B13" s="7" t="s">
        <v>186</v>
      </c>
      <c r="C13" s="7" t="s">
        <v>187</v>
      </c>
      <c r="D13" s="17" t="s">
        <v>180</v>
      </c>
      <c r="E13" s="7" t="s">
        <v>163</v>
      </c>
    </row>
    <row r="14" customFormat="false" ht="42" hidden="false" customHeight="true" outlineLevel="0" collapsed="false">
      <c r="A14" s="18" t="s">
        <v>142</v>
      </c>
      <c r="B14" s="8" t="s">
        <v>188</v>
      </c>
      <c r="C14" s="18" t="s">
        <v>189</v>
      </c>
      <c r="D14" s="8" t="s">
        <v>190</v>
      </c>
      <c r="E14" s="8" t="s">
        <v>191</v>
      </c>
    </row>
    <row r="15" customFormat="false" ht="42" hidden="false" customHeight="true" outlineLevel="0" collapsed="false">
      <c r="A15" s="17" t="s">
        <v>26</v>
      </c>
      <c r="B15" s="7" t="s">
        <v>192</v>
      </c>
      <c r="C15" s="7" t="s">
        <v>193</v>
      </c>
      <c r="D15" s="7" t="s">
        <v>194</v>
      </c>
      <c r="E15" s="7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62"/>
    <col collapsed="false" customWidth="true" hidden="false" outlineLevel="0" max="5" min="5" style="0" width="10"/>
    <col collapsed="false" customWidth="true" hidden="false" outlineLevel="0" max="6" min="6" style="0" width="24"/>
  </cols>
  <sheetData>
    <row r="1" customFormat="false" ht="27.75" hidden="false" customHeight="true" outlineLevel="0" collapsed="false">
      <c r="A1" s="1" t="s">
        <v>196</v>
      </c>
    </row>
    <row r="2" customFormat="false" ht="15" hidden="false" customHeight="false" outlineLevel="0" collapsed="false">
      <c r="A2" s="2" t="s">
        <v>197</v>
      </c>
    </row>
    <row r="4" customFormat="false" ht="30" hidden="false" customHeight="true" outlineLevel="0" collapsed="false">
      <c r="A4" s="11" t="s">
        <v>21</v>
      </c>
      <c r="B4" s="6" t="s">
        <v>198</v>
      </c>
      <c r="C4" s="6" t="s">
        <v>199</v>
      </c>
      <c r="D4" s="6" t="s">
        <v>200</v>
      </c>
      <c r="E4" s="6" t="s">
        <v>49</v>
      </c>
      <c r="F4" s="6" t="s">
        <v>201</v>
      </c>
    </row>
    <row r="5" customFormat="false" ht="42" hidden="false" customHeight="true" outlineLevel="0" collapsed="false">
      <c r="A5" s="13" t="n">
        <v>1</v>
      </c>
      <c r="B5" s="12" t="s">
        <v>26</v>
      </c>
      <c r="C5" s="13" t="s">
        <v>202</v>
      </c>
      <c r="D5" s="13" t="s">
        <v>203</v>
      </c>
      <c r="E5" s="13" t="s">
        <v>132</v>
      </c>
      <c r="F5" s="12" t="s">
        <v>204</v>
      </c>
    </row>
    <row r="6" customFormat="false" ht="42" hidden="false" customHeight="true" outlineLevel="0" collapsed="false">
      <c r="A6" s="13" t="n">
        <v>2</v>
      </c>
      <c r="B6" s="12" t="s">
        <v>34</v>
      </c>
      <c r="C6" s="13" t="s">
        <v>205</v>
      </c>
      <c r="D6" s="13" t="s">
        <v>206</v>
      </c>
      <c r="E6" s="13" t="s">
        <v>62</v>
      </c>
      <c r="F6" s="12" t="s">
        <v>207</v>
      </c>
    </row>
    <row r="7" customFormat="false" ht="42" hidden="false" customHeight="true" outlineLevel="0" collapsed="false">
      <c r="A7" s="13" t="n">
        <v>3</v>
      </c>
      <c r="B7" s="12" t="s">
        <v>30</v>
      </c>
      <c r="C7" s="13" t="s">
        <v>208</v>
      </c>
      <c r="D7" s="13" t="s">
        <v>209</v>
      </c>
      <c r="E7" s="13" t="s">
        <v>62</v>
      </c>
      <c r="F7" s="12" t="s">
        <v>210</v>
      </c>
    </row>
    <row r="8" customFormat="false" ht="42" hidden="false" customHeight="true" outlineLevel="0" collapsed="false">
      <c r="A8" s="13" t="n">
        <v>4</v>
      </c>
      <c r="B8" s="12" t="s">
        <v>65</v>
      </c>
      <c r="C8" s="13" t="s">
        <v>211</v>
      </c>
      <c r="D8" s="13" t="s">
        <v>212</v>
      </c>
      <c r="E8" s="13" t="s">
        <v>62</v>
      </c>
      <c r="F8" s="12" t="s">
        <v>213</v>
      </c>
    </row>
    <row r="9" customFormat="false" ht="42" hidden="false" customHeight="true" outlineLevel="0" collapsed="false">
      <c r="A9" s="13" t="n">
        <v>5</v>
      </c>
      <c r="B9" s="12" t="s">
        <v>93</v>
      </c>
      <c r="C9" s="13" t="s">
        <v>214</v>
      </c>
      <c r="D9" s="13" t="s">
        <v>215</v>
      </c>
      <c r="E9" s="13" t="s">
        <v>62</v>
      </c>
      <c r="F9" s="12" t="s">
        <v>216</v>
      </c>
    </row>
    <row r="10" customFormat="false" ht="42" hidden="false" customHeight="true" outlineLevel="0" collapsed="false">
      <c r="A10" s="13" t="n">
        <v>6</v>
      </c>
      <c r="B10" s="12" t="s">
        <v>142</v>
      </c>
      <c r="C10" s="13" t="s">
        <v>217</v>
      </c>
      <c r="D10" s="12" t="s">
        <v>218</v>
      </c>
      <c r="E10" s="13" t="s">
        <v>62</v>
      </c>
      <c r="F10" s="12" t="s">
        <v>219</v>
      </c>
    </row>
    <row r="11" customFormat="false" ht="42" hidden="false" customHeight="true" outlineLevel="0" collapsed="false">
      <c r="A11" s="7" t="n">
        <v>7</v>
      </c>
      <c r="B11" s="17" t="s">
        <v>82</v>
      </c>
      <c r="C11" s="7" t="s">
        <v>220</v>
      </c>
      <c r="D11" s="7" t="s">
        <v>221</v>
      </c>
      <c r="E11" s="7" t="s">
        <v>124</v>
      </c>
      <c r="F11" s="7" t="s">
        <v>222</v>
      </c>
    </row>
    <row r="12" customFormat="false" ht="42" hidden="false" customHeight="true" outlineLevel="0" collapsed="false">
      <c r="A12" s="13" t="n">
        <v>8</v>
      </c>
      <c r="B12" s="12" t="s">
        <v>223</v>
      </c>
      <c r="C12" s="13" t="s">
        <v>224</v>
      </c>
      <c r="D12" s="13" t="s">
        <v>225</v>
      </c>
      <c r="E12" s="13" t="s">
        <v>62</v>
      </c>
      <c r="F12" s="12" t="s">
        <v>226</v>
      </c>
    </row>
    <row r="13" customFormat="false" ht="42" hidden="false" customHeight="true" outlineLevel="0" collapsed="false">
      <c r="A13" s="13" t="n">
        <v>9</v>
      </c>
      <c r="B13" s="12" t="s">
        <v>99</v>
      </c>
      <c r="C13" s="13" t="s">
        <v>227</v>
      </c>
      <c r="D13" s="13" t="s">
        <v>228</v>
      </c>
      <c r="E13" s="13" t="s">
        <v>62</v>
      </c>
      <c r="F13" s="13" t="s">
        <v>229</v>
      </c>
    </row>
    <row r="14" customFormat="false" ht="42" hidden="false" customHeight="true" outlineLevel="0" collapsed="false">
      <c r="A14" s="7" t="n">
        <v>10</v>
      </c>
      <c r="B14" s="17" t="s">
        <v>52</v>
      </c>
      <c r="C14" s="7" t="s">
        <v>230</v>
      </c>
      <c r="D14" s="7" t="s">
        <v>231</v>
      </c>
      <c r="E14" s="7" t="s">
        <v>124</v>
      </c>
      <c r="F14" s="7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2026-10-21T15:08:05Z</dcterms:created>
  <dc:creator>openpyxl</dc:creator>
  <dc:description/>
  <dc:language>en-US</dc:language>
  <cp:lastModifiedBy/>
  <dcterms:modified xsi:type="dcterms:W3CDTF">2026-10-21T15:08:05Z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