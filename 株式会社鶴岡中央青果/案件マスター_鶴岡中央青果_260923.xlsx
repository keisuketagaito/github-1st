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ルール" sheetId="1" state="visible" r:id="rId1"/>
    <sheet xmlns:r="http://schemas.openxmlformats.org/officeDocument/2006/relationships" name="財務入力→" sheetId="2" state="visible" r:id="rId2"/>
    <sheet xmlns:r="http://schemas.openxmlformats.org/officeDocument/2006/relationships" name="BS(借方)" sheetId="3" state="visible" r:id="rId3"/>
    <sheet xmlns:r="http://schemas.openxmlformats.org/officeDocument/2006/relationships" name="BS (貸方)" sheetId="4" state="visible" r:id="rId4"/>
    <sheet xmlns:r="http://schemas.openxmlformats.org/officeDocument/2006/relationships" name="SGA" sheetId="5" state="visible" r:id="rId5"/>
    <sheet xmlns:r="http://schemas.openxmlformats.org/officeDocument/2006/relationships" name="PL" sheetId="6" state="visible" r:id="rId6"/>
    <sheet xmlns:r="http://schemas.openxmlformats.org/officeDocument/2006/relationships" name="IM→" sheetId="7" state="visible" r:id="rId7"/>
    <sheet xmlns:r="http://schemas.openxmlformats.org/officeDocument/2006/relationships" name="会社概要" sheetId="8" state="visible" r:id="rId8"/>
    <sheet xmlns:r="http://schemas.openxmlformats.org/officeDocument/2006/relationships" name="PLハイライト" sheetId="9" state="visible" r:id="rId9"/>
    <sheet xmlns:r="http://schemas.openxmlformats.org/officeDocument/2006/relationships" name="BSハイライト" sheetId="10" state="visible" r:id="rId10"/>
    <sheet xmlns:r="http://schemas.openxmlformats.org/officeDocument/2006/relationships" name="取引先" sheetId="11" state="visible" r:id="rId11"/>
    <sheet xmlns:r="http://schemas.openxmlformats.org/officeDocument/2006/relationships" name="仕入先" sheetId="12" state="visible" r:id="rId12"/>
    <sheet xmlns:r="http://schemas.openxmlformats.org/officeDocument/2006/relationships" name="株主" sheetId="13" state="visible" r:id="rId13"/>
    <sheet xmlns:r="http://schemas.openxmlformats.org/officeDocument/2006/relationships" name="取締役" sheetId="14" state="visible" r:id="rId14"/>
    <sheet xmlns:r="http://schemas.openxmlformats.org/officeDocument/2006/relationships" name="従業員" sheetId="15" state="visible" r:id="rId15"/>
    <sheet xmlns:r="http://schemas.openxmlformats.org/officeDocument/2006/relationships" name="拠点(本社等)" sheetId="16" state="visible" r:id="rId16"/>
    <sheet xmlns:r="http://schemas.openxmlformats.org/officeDocument/2006/relationships" name="不動産(所有)" sheetId="17" state="visible" r:id="rId17"/>
    <sheet xmlns:r="http://schemas.openxmlformats.org/officeDocument/2006/relationships" name="設備" sheetId="18" state="visible" r:id="rId18"/>
    <sheet xmlns:r="http://schemas.openxmlformats.org/officeDocument/2006/relationships" name="月別売上" sheetId="19" state="visible" r:id="rId19"/>
    <sheet xmlns:r="http://schemas.openxmlformats.org/officeDocument/2006/relationships" name="その他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,;[Red]△#,##0,;&quot;-&quot;"/>
    <numFmt numFmtId="165" formatCode="0.0%;[Red]△0.0%;&quot;-&quot;"/>
    <numFmt numFmtId="166" formatCode="#,##0;[Red]△#,##0;&quot;-&quot;"/>
  </numFmts>
  <fonts count="10">
    <font>
      <name val="Calibri"/>
      <family val="2"/>
      <color theme="1"/>
      <sz val="11"/>
      <scheme val="minor"/>
    </font>
    <font>
      <name val="游ゴシック"/>
      <b val="1"/>
      <color rgb="000B3041"/>
      <sz val="14"/>
    </font>
    <font>
      <name val="游ゴシック"/>
      <sz val="10"/>
    </font>
    <font>
      <name val="游ゴシック Medium"/>
      <color rgb="00555555"/>
      <sz val="9"/>
    </font>
    <font>
      <name val="游ゴシック"/>
      <b val="1"/>
      <color rgb="00FFFFFF"/>
      <sz val="10"/>
    </font>
    <font>
      <name val="游ゴシック"/>
      <b val="1"/>
      <sz val="10"/>
    </font>
    <font>
      <name val="Arial"/>
      <sz val="10"/>
    </font>
    <font>
      <name val="Arial"/>
      <b val="1"/>
      <sz val="10"/>
    </font>
    <font>
      <name val="游ゴシック Medium"/>
      <sz val="9"/>
    </font>
    <font>
      <name val="游ゴシック"/>
      <sz val="9"/>
    </font>
  </fonts>
  <fills count="5">
    <fill>
      <patternFill/>
    </fill>
    <fill>
      <patternFill patternType="gray125"/>
    </fill>
    <fill>
      <patternFill patternType="solid">
        <fgColor rgb="000B3041"/>
      </patternFill>
    </fill>
    <fill>
      <patternFill patternType="solid">
        <fgColor rgb="00E3E7E9"/>
      </patternFill>
    </fill>
    <fill>
      <patternFill patternType="solid">
        <fgColor rgb="00E1F3FB"/>
      </patternFill>
    </fill>
  </fills>
  <borders count="2">
    <border>
      <left/>
      <right/>
      <top/>
      <bottom/>
      <diagonal/>
    </border>
    <border>
      <bottom style="hair">
        <color rgb="009AA5A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indent="1"/>
    </xf>
    <xf numFmtId="164" fontId="6" fillId="0" borderId="1" pivotButton="0" quotePrefix="0" xfId="0"/>
    <xf numFmtId="0" fontId="5" fillId="3" borderId="1" applyAlignment="1" pivotButton="0" quotePrefix="0" xfId="0">
      <alignment vertical="center"/>
    </xf>
    <xf numFmtId="164" fontId="7" fillId="3" borderId="1" pivotButton="0" quotePrefix="0" xfId="0"/>
    <xf numFmtId="0" fontId="5" fillId="4" borderId="1" applyAlignment="1" pivotButton="0" quotePrefix="0" xfId="0">
      <alignment vertical="center"/>
    </xf>
    <xf numFmtId="164" fontId="7" fillId="4" borderId="1" pivotButton="0" quotePrefix="0" xfId="0"/>
    <xf numFmtId="0" fontId="2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165" fontId="6" fillId="0" borderId="1" pivotButton="0" quotePrefix="0" xfId="0"/>
    <xf numFmtId="0" fontId="8" fillId="0" borderId="0" pivotButton="0" quotePrefix="0" xfId="0"/>
    <xf numFmtId="0" fontId="2" fillId="0" borderId="1" applyAlignment="1" pivotButton="0" quotePrefix="0" xfId="0">
      <alignment vertical="top" wrapText="1"/>
    </xf>
    <xf numFmtId="164" fontId="7" fillId="0" borderId="1" pivotButton="0" quotePrefix="0" xfId="0"/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166" fontId="6" fillId="0" borderId="1" pivotButton="0" quotePrefix="0" xfId="0"/>
    <xf numFmtId="166" fontId="7" fillId="3" borderId="1" pivotButton="0" quotePrefix="0" xfId="0"/>
    <xf numFmtId="165" fontId="7" fillId="3" borderId="1" pivotButton="0" quotePrefix="0" xfId="0"/>
    <xf numFmtId="0" fontId="6" fillId="0" borderId="1" pivotButton="0" quotePrefix="0" xfId="0"/>
    <xf numFmtId="0" fontId="2" fillId="0" borderId="1" pivotButton="0" quotePrefix="0" xfId="0"/>
    <xf numFmtId="4" fontId="6" fillId="0" borderId="1" pivotButton="0" quotePrefix="0" xfId="0"/>
    <xf numFmtId="4" fontId="7" fillId="3" borderId="1" pivotButton="0" quotePrefix="0" xfId="0"/>
    <xf numFmtId="166" fontId="7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>
        <is>
          <t>案件マスター 運用ルール（株式会社鶴岡中央青果）</t>
        </is>
      </c>
    </row>
    <row r="3">
      <c r="B3" s="2" t="inlineStr">
        <is>
          <t>1. 本ファイルが唯一の数値ソース。企業概要書・評価書の数字は必ず本ファイルから転記する（パワポに直接打たない）。</t>
        </is>
      </c>
    </row>
    <row r="4">
      <c r="B4" s="2" t="inlineStr">
        <is>
          <t>2. 文字は「游ゴシック」、数字は「Arial」、備考等の細かい文章は「游ゴシック Medium」。タイトル・合計欄は太字。</t>
        </is>
      </c>
    </row>
    <row r="5">
      <c r="B5" s="2" t="inlineStr">
        <is>
          <t>3. 数字は円単位で入力する。表示は千円単位に設定済み（千円で入力すると1000倍ずれる）。</t>
        </is>
      </c>
    </row>
    <row r="6">
      <c r="B6" s="2" t="inlineStr">
        <is>
          <t>4. 未確認事項は推測で埋めず「要確認」と記載し、「その他」シートに集約する。推測を書く場合は「推察」「想定」「（仮説）」と明記。</t>
        </is>
      </c>
    </row>
    <row r="7">
      <c r="B7" s="2" t="inlineStr">
        <is>
          <t>5. 転記元：第51〜53期決算報告書（勘定科目内訳明細書・法人税申告書・法人事業概況説明書を含む）、2026年7月試算表、</t>
        </is>
      </c>
    </row>
    <row r="8">
      <c r="B8" s="2" t="inlineStr">
        <is>
          <t xml:space="preserve">   職員名簿（2026/9/1現在）、履歴事項全部証明書（2026/9/10取得）、R8年度固定資産税課税明細書。</t>
        </is>
      </c>
    </row>
    <row r="9">
      <c r="B9" s="2" t="inlineStr">
        <is>
          <t>6. 進行期（G列）は2026年4月〜7月の4か月累計。7〜8月が繁忙期（だだちゃ豆・メロン等）のため単純年換算しない。</t>
        </is>
      </c>
    </row>
    <row r="10">
      <c r="B10" s="2" t="inlineStr">
        <is>
          <t>7. 作成日：2026年9月23日　初版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04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貸借対照表（資産の部）</t>
        </is>
      </c>
    </row>
    <row r="2">
      <c r="A2" s="3" t="inlineStr">
        <is>
          <t>単位：千円（入力は円）</t>
        </is>
      </c>
    </row>
    <row r="4" ht="30" customHeight="1">
      <c r="A4" s="4" t="inlineStr"/>
      <c r="B4" s="4" t="inlineStr">
        <is>
          <t>勘定科目</t>
        </is>
      </c>
      <c r="C4" s="4" t="inlineStr">
        <is>
          <t>2024年3月期
(第51期)</t>
        </is>
      </c>
      <c r="D4" s="4" t="inlineStr">
        <is>
          <t>2025年3月期
(第52期)</t>
        </is>
      </c>
      <c r="E4" s="4" t="inlineStr">
        <is>
          <t>2026年3月期
(第53期)</t>
        </is>
      </c>
      <c r="F4" s="4" t="inlineStr">
        <is>
          <t>（4期目）</t>
        </is>
      </c>
      <c r="G4" s="4" t="inlineStr">
        <is>
          <t>2026年7月
(試算表)</t>
        </is>
      </c>
    </row>
    <row r="5">
      <c r="B5" s="5" t="inlineStr">
        <is>
          <t>【流動資産】</t>
        </is>
      </c>
    </row>
    <row r="6">
      <c r="B6" s="6" t="inlineStr">
        <is>
          <t>現金及び預金</t>
        </is>
      </c>
      <c r="C6" s="7" t="n">
        <v>339552632</v>
      </c>
      <c r="D6" s="7" t="n">
        <v>259719301</v>
      </c>
      <c r="E6" s="7" t="n">
        <v>210887077</v>
      </c>
      <c r="F6" s="7" t="n"/>
      <c r="G6" s="7" t="n">
        <v>162087296</v>
      </c>
    </row>
    <row r="7">
      <c r="B7" s="6" t="inlineStr">
        <is>
          <t>売掛金</t>
        </is>
      </c>
      <c r="C7" s="7" t="n">
        <v>21171056</v>
      </c>
      <c r="D7" s="7" t="n">
        <v>21896538</v>
      </c>
      <c r="E7" s="7" t="n">
        <v>19608899</v>
      </c>
      <c r="F7" s="7" t="n"/>
      <c r="G7" s="7" t="n">
        <v>40586984</v>
      </c>
    </row>
    <row r="8">
      <c r="B8" s="6" t="inlineStr">
        <is>
          <t>資材肥料売掛金</t>
        </is>
      </c>
      <c r="C8" s="7" t="n">
        <v>1352474</v>
      </c>
      <c r="D8" s="7" t="n">
        <v>1269087</v>
      </c>
      <c r="E8" s="7" t="n">
        <v>1227419</v>
      </c>
      <c r="F8" s="7" t="n"/>
      <c r="G8" s="7" t="n">
        <v>2365307</v>
      </c>
    </row>
    <row r="9">
      <c r="B9" s="6" t="inlineStr">
        <is>
          <t>棚卸資産</t>
        </is>
      </c>
      <c r="C9" s="7" t="n">
        <v>9859795</v>
      </c>
      <c r="D9" s="7" t="n">
        <v>15443609</v>
      </c>
      <c r="E9" s="7" t="n">
        <v>14596695</v>
      </c>
      <c r="F9" s="7" t="n"/>
      <c r="G9" s="7" t="n">
        <v>36647736</v>
      </c>
    </row>
    <row r="10">
      <c r="B10" s="6" t="inlineStr">
        <is>
          <t>立替金</t>
        </is>
      </c>
      <c r="C10" s="7" t="n">
        <v>96860</v>
      </c>
      <c r="D10" s="7" t="n">
        <v>6400</v>
      </c>
      <c r="E10" s="7" t="n">
        <v>0</v>
      </c>
      <c r="F10" s="7" t="n"/>
      <c r="G10" s="7" t="n">
        <v>0</v>
      </c>
    </row>
    <row r="11">
      <c r="B11" s="6" t="inlineStr">
        <is>
          <t>未収入金</t>
        </is>
      </c>
      <c r="C11" s="7" t="n">
        <v>3684415</v>
      </c>
      <c r="D11" s="7" t="n">
        <v>3905410</v>
      </c>
      <c r="E11" s="7" t="n">
        <v>3011112</v>
      </c>
      <c r="F11" s="7" t="n"/>
      <c r="G11" s="7" t="n">
        <v>2664958</v>
      </c>
    </row>
    <row r="12">
      <c r="B12" s="6" t="inlineStr">
        <is>
          <t>前払費用</t>
        </is>
      </c>
      <c r="C12" s="7" t="n">
        <v>108779</v>
      </c>
      <c r="D12" s="7" t="n">
        <v>96162</v>
      </c>
      <c r="E12" s="7" t="n">
        <v>83575</v>
      </c>
      <c r="F12" s="7" t="n"/>
      <c r="G12" s="7" t="n">
        <v>101324</v>
      </c>
    </row>
    <row r="13">
      <c r="B13" s="6" t="inlineStr">
        <is>
          <t>仮払金</t>
        </is>
      </c>
      <c r="C13" s="7" t="n">
        <v>0</v>
      </c>
      <c r="D13" s="7" t="n">
        <v>0</v>
      </c>
      <c r="E13" s="7" t="n">
        <v>493135</v>
      </c>
      <c r="F13" s="7" t="n"/>
      <c r="G13" s="7" t="n">
        <v>0</v>
      </c>
    </row>
    <row r="14">
      <c r="B14" s="6" t="inlineStr">
        <is>
          <t>仮払税金等</t>
        </is>
      </c>
      <c r="C14" s="7" t="n">
        <v>0</v>
      </c>
      <c r="D14" s="7" t="n">
        <v>998300</v>
      </c>
      <c r="E14" s="7" t="n">
        <v>0</v>
      </c>
      <c r="F14" s="7" t="n"/>
      <c r="G14" s="7" t="n">
        <v>0</v>
      </c>
    </row>
    <row r="15">
      <c r="B15" s="6" t="inlineStr">
        <is>
          <t>貸倒引当金</t>
        </is>
      </c>
      <c r="C15" s="7" t="n">
        <v>-237000</v>
      </c>
      <c r="D15" s="7" t="n">
        <v>-234000</v>
      </c>
      <c r="E15" s="7" t="n">
        <v>-203000</v>
      </c>
      <c r="F15" s="7" t="n"/>
      <c r="G15" s="7" t="n">
        <v>-203000</v>
      </c>
    </row>
    <row r="16">
      <c r="B16" s="8" t="inlineStr">
        <is>
          <t>流動資産計</t>
        </is>
      </c>
      <c r="C16" s="9">
        <f>SUM(C6:C15)</f>
        <v>375589011</v>
      </c>
      <c r="D16" s="9">
        <f>SUM(D6:D15)</f>
        <v>303100807</v>
      </c>
      <c r="E16" s="9">
        <f>SUM(E6:E15)</f>
        <v>249704912</v>
      </c>
      <c r="F16" s="9">
        <f>SUM(F6:F15)</f>
        <v>0</v>
      </c>
      <c r="G16" s="9">
        <f>SUM(G6:G15)</f>
        <v>244250605</v>
      </c>
    </row>
    <row r="17">
      <c r="B17" s="5" t="inlineStr">
        <is>
          <t>【有形固定資産】</t>
        </is>
      </c>
    </row>
    <row r="18">
      <c r="B18" s="6" t="inlineStr">
        <is>
          <t>建物</t>
        </is>
      </c>
      <c r="C18" s="7" t="n">
        <v>101161720</v>
      </c>
      <c r="D18" s="7" t="n">
        <v>95851274</v>
      </c>
      <c r="E18" s="7" t="n">
        <v>92065694</v>
      </c>
      <c r="F18" s="7" t="n"/>
      <c r="G18" s="7" t="n">
        <v>92065694</v>
      </c>
    </row>
    <row r="19">
      <c r="B19" s="6" t="inlineStr">
        <is>
          <t>建物付属設備</t>
        </is>
      </c>
      <c r="C19" s="7" t="n">
        <v>15416918</v>
      </c>
      <c r="D19" s="7" t="n">
        <v>13503020</v>
      </c>
      <c r="E19" s="7" t="n">
        <v>11399836</v>
      </c>
      <c r="F19" s="7" t="n"/>
      <c r="G19" s="7" t="n">
        <v>11399836</v>
      </c>
    </row>
    <row r="20">
      <c r="B20" s="6" t="inlineStr">
        <is>
          <t>構築物</t>
        </is>
      </c>
      <c r="C20" s="7" t="n">
        <v>382601</v>
      </c>
      <c r="D20" s="7" t="n">
        <v>333498</v>
      </c>
      <c r="E20" s="7" t="n">
        <v>284395</v>
      </c>
      <c r="F20" s="7" t="n"/>
      <c r="G20" s="7" t="n">
        <v>284395</v>
      </c>
    </row>
    <row r="21">
      <c r="B21" s="6" t="inlineStr">
        <is>
          <t>機械装置</t>
        </is>
      </c>
      <c r="C21" s="7" t="n">
        <v>133566</v>
      </c>
      <c r="D21" s="7" t="n">
        <v>2</v>
      </c>
      <c r="E21" s="7" t="n">
        <v>2</v>
      </c>
      <c r="F21" s="7" t="n"/>
      <c r="G21" s="7" t="n">
        <v>2</v>
      </c>
    </row>
    <row r="22">
      <c r="B22" s="6" t="inlineStr">
        <is>
          <t>車両運搬具</t>
        </is>
      </c>
      <c r="C22" s="7" t="n">
        <v>5837529</v>
      </c>
      <c r="D22" s="7" t="n">
        <v>1281878</v>
      </c>
      <c r="E22" s="7" t="n">
        <v>15</v>
      </c>
      <c r="F22" s="7" t="n"/>
      <c r="G22" s="7" t="n">
        <v>15</v>
      </c>
    </row>
    <row r="23">
      <c r="B23" s="6" t="inlineStr">
        <is>
          <t>工具器具備品</t>
        </is>
      </c>
      <c r="C23" s="7" t="n">
        <v>287873</v>
      </c>
      <c r="D23" s="7" t="n">
        <v>153209</v>
      </c>
      <c r="E23" s="7" t="n">
        <v>18546</v>
      </c>
      <c r="F23" s="7" t="n"/>
      <c r="G23" s="7" t="n">
        <v>18546</v>
      </c>
    </row>
    <row r="24">
      <c r="B24" s="6" t="inlineStr">
        <is>
          <t>土地</t>
        </is>
      </c>
      <c r="C24" s="7" t="n">
        <v>93137240</v>
      </c>
      <c r="D24" s="7" t="n">
        <v>93137240</v>
      </c>
      <c r="E24" s="7" t="n">
        <v>93137240</v>
      </c>
      <c r="F24" s="7" t="n"/>
      <c r="G24" s="7" t="n">
        <v>93137240</v>
      </c>
    </row>
    <row r="25">
      <c r="B25" s="6" t="inlineStr">
        <is>
          <t>減価償却累計額（期中計上分）</t>
        </is>
      </c>
      <c r="C25" s="7" t="n">
        <v>0</v>
      </c>
      <c r="D25" s="7" t="n">
        <v>0</v>
      </c>
      <c r="E25" s="7" t="n">
        <v>0</v>
      </c>
      <c r="F25" s="7" t="n"/>
      <c r="G25" s="7" t="n">
        <v>-2436000</v>
      </c>
    </row>
    <row r="26">
      <c r="B26" s="8" t="inlineStr">
        <is>
          <t>有形固定資産計</t>
        </is>
      </c>
      <c r="C26" s="9">
        <f>SUM(C18:C25)</f>
        <v>216357447</v>
      </c>
      <c r="D26" s="9">
        <f>SUM(D18:D25)</f>
        <v>204260121</v>
      </c>
      <c r="E26" s="9">
        <f>SUM(E18:E25)</f>
        <v>196905728</v>
      </c>
      <c r="F26" s="9">
        <f>SUM(F18:F25)</f>
        <v>0</v>
      </c>
      <c r="G26" s="9">
        <f>SUM(G18:G25)</f>
        <v>194469728</v>
      </c>
    </row>
    <row r="27">
      <c r="B27" s="5" t="inlineStr">
        <is>
          <t>【無形固定資産】</t>
        </is>
      </c>
    </row>
    <row r="28">
      <c r="B28" s="6" t="inlineStr">
        <is>
          <t>電話加入権</t>
        </is>
      </c>
      <c r="C28" s="7" t="n">
        <v>2155595</v>
      </c>
      <c r="D28" s="7" t="n">
        <v>2155595</v>
      </c>
      <c r="E28" s="7" t="n">
        <v>2155595</v>
      </c>
      <c r="F28" s="7" t="n"/>
      <c r="G28" s="7" t="n">
        <v>2155595</v>
      </c>
    </row>
    <row r="29">
      <c r="B29" s="6" t="inlineStr">
        <is>
          <t>ソフトウェア</t>
        </is>
      </c>
      <c r="C29" s="7" t="n">
        <v>715000</v>
      </c>
      <c r="D29" s="7" t="n">
        <v>543400</v>
      </c>
      <c r="E29" s="7" t="n">
        <v>371800</v>
      </c>
      <c r="F29" s="7" t="n"/>
      <c r="G29" s="7" t="n">
        <v>371800</v>
      </c>
    </row>
    <row r="30">
      <c r="B30" s="8" t="inlineStr">
        <is>
          <t>無形固定資産計</t>
        </is>
      </c>
      <c r="C30" s="9">
        <f>SUM(C28:C29)</f>
        <v>2870595</v>
      </c>
      <c r="D30" s="9">
        <f>SUM(D28:D29)</f>
        <v>2698995</v>
      </c>
      <c r="E30" s="9">
        <f>SUM(E28:E29)</f>
        <v>2527395</v>
      </c>
      <c r="F30" s="9">
        <f>SUM(F28:F29)</f>
        <v>0</v>
      </c>
      <c r="G30" s="9">
        <f>SUM(G28:G29)</f>
        <v>2527395</v>
      </c>
    </row>
    <row r="31">
      <c r="B31" s="5" t="inlineStr">
        <is>
          <t>【投資その他の資産】</t>
        </is>
      </c>
    </row>
    <row r="32">
      <c r="B32" s="6" t="inlineStr">
        <is>
          <t>投資有価証券</t>
        </is>
      </c>
      <c r="C32" s="7" t="n">
        <v>3250000</v>
      </c>
      <c r="D32" s="7" t="n">
        <v>3250000</v>
      </c>
      <c r="E32" s="7" t="n">
        <v>2600000</v>
      </c>
      <c r="F32" s="7" t="n"/>
      <c r="G32" s="7" t="n">
        <v>1600000</v>
      </c>
    </row>
    <row r="33">
      <c r="B33" s="6" t="inlineStr">
        <is>
          <t>出資金</t>
        </is>
      </c>
      <c r="C33" s="7" t="n">
        <v>75000</v>
      </c>
      <c r="D33" s="7" t="n">
        <v>75000</v>
      </c>
      <c r="E33" s="7" t="n">
        <v>75000</v>
      </c>
      <c r="F33" s="7" t="n"/>
      <c r="G33" s="7" t="n">
        <v>75000</v>
      </c>
    </row>
    <row r="34">
      <c r="B34" s="6" t="inlineStr">
        <is>
          <t>長期前払費用</t>
        </is>
      </c>
      <c r="C34" s="7" t="n">
        <v>397411</v>
      </c>
      <c r="D34" s="7" t="n">
        <v>74500</v>
      </c>
      <c r="E34" s="7" t="n">
        <v>74500</v>
      </c>
      <c r="F34" s="7" t="n"/>
      <c r="G34" s="7" t="n">
        <v>74500</v>
      </c>
    </row>
    <row r="35">
      <c r="B35" s="6" t="inlineStr">
        <is>
          <t>保証金</t>
        </is>
      </c>
      <c r="C35" s="7" t="n">
        <v>32002569</v>
      </c>
      <c r="D35" s="7" t="n">
        <v>33002569</v>
      </c>
      <c r="E35" s="7" t="n">
        <v>33302569</v>
      </c>
      <c r="F35" s="7" t="n"/>
      <c r="G35" s="7" t="n">
        <v>33302569</v>
      </c>
    </row>
    <row r="36">
      <c r="B36" s="6" t="inlineStr">
        <is>
          <t>事業保険積立金</t>
        </is>
      </c>
      <c r="C36" s="7" t="n">
        <v>21161692</v>
      </c>
      <c r="D36" s="7" t="n">
        <v>20900138</v>
      </c>
      <c r="E36" s="7" t="n">
        <v>0</v>
      </c>
      <c r="F36" s="7" t="n"/>
      <c r="G36" s="7" t="n">
        <v>0</v>
      </c>
    </row>
    <row r="37">
      <c r="B37" s="8" t="inlineStr">
        <is>
          <t>投資その他の資産計</t>
        </is>
      </c>
      <c r="C37" s="9">
        <f>SUM(C32:C36)</f>
        <v>56886672</v>
      </c>
      <c r="D37" s="9">
        <f>SUM(D32:D36)</f>
        <v>57302207</v>
      </c>
      <c r="E37" s="9">
        <f>SUM(E32:E36)</f>
        <v>36052069</v>
      </c>
      <c r="F37" s="9">
        <f>SUM(F32:F36)</f>
        <v>0</v>
      </c>
      <c r="G37" s="9">
        <f>SUM(G32:G36)</f>
        <v>35052069</v>
      </c>
    </row>
    <row r="38">
      <c r="B38" s="8" t="inlineStr">
        <is>
          <t>固定資産計</t>
        </is>
      </c>
      <c r="C38" s="9">
        <f>C26+C30+C37</f>
        <v>276114714</v>
      </c>
      <c r="D38" s="9">
        <f>D26+D30+D37</f>
        <v>264261323</v>
      </c>
      <c r="E38" s="9">
        <f>E26+E30+E37</f>
        <v>235485192</v>
      </c>
      <c r="F38" s="9">
        <f>F26+F30+F37</f>
        <v>0</v>
      </c>
      <c r="G38" s="9">
        <f>G26+G30+G37</f>
        <v>232049192</v>
      </c>
    </row>
    <row r="39">
      <c r="B39" s="6" t="inlineStr">
        <is>
          <t>繰延資産</t>
        </is>
      </c>
      <c r="C39" s="7" t="n">
        <v>243834</v>
      </c>
      <c r="D39" s="7" t="n">
        <v>166834</v>
      </c>
      <c r="E39" s="7" t="n">
        <v>0</v>
      </c>
      <c r="F39" s="7" t="n"/>
      <c r="G39" s="7" t="n">
        <v>0</v>
      </c>
    </row>
    <row r="40">
      <c r="B40" s="10" t="inlineStr">
        <is>
          <t>資産の部合計</t>
        </is>
      </c>
      <c r="C40" s="11">
        <f>C16+C38+C39</f>
        <v>651947559</v>
      </c>
      <c r="D40" s="11">
        <f>D16+D38+D39</f>
        <v>567528964</v>
      </c>
      <c r="E40" s="11">
        <f>E16+E38+E39</f>
        <v>485190104</v>
      </c>
      <c r="F40" s="11">
        <f>F16+F38+F39</f>
        <v>0</v>
      </c>
      <c r="G40" s="11">
        <f>G16+G38+G39</f>
        <v>476299797</v>
      </c>
    </row>
    <row r="42">
      <c r="B42" s="12" t="inlineStr">
        <is>
          <t>決算書記載の資産合計</t>
        </is>
      </c>
      <c r="C42" s="7" t="n">
        <v>651947559</v>
      </c>
      <c r="D42" s="7" t="n">
        <v>567528964</v>
      </c>
      <c r="E42" s="7" t="n">
        <v>485190104</v>
      </c>
      <c r="G42" s="7" t="n">
        <v>476299797</v>
      </c>
    </row>
    <row r="43">
      <c r="B43" s="5" t="inlineStr">
        <is>
          <t>チェック：借貸一致</t>
        </is>
      </c>
      <c r="C43" s="13" t="b">
        <f>EXACT(C40,'BS (貸方)'!C23)</f>
        <v>1</v>
      </c>
      <c r="D43" s="13" t="b">
        <f>EXACT(D40,'BS (貸方)'!D23)</f>
        <v>1</v>
      </c>
      <c r="E43" s="13" t="b">
        <f>EXACT(E40,'BS (貸方)'!E23)</f>
        <v>1</v>
      </c>
      <c r="G43" s="13" t="b">
        <f>EXACT(G40,'BS (貸方)'!G23)</f>
        <v>1</v>
      </c>
    </row>
    <row r="44">
      <c r="B44" s="5" t="inlineStr">
        <is>
          <t>チェック：決算書合計と一致</t>
        </is>
      </c>
      <c r="C44" s="13" t="b">
        <f>EXACT(C40,C42)</f>
        <v>1</v>
      </c>
      <c r="D44" s="13" t="b">
        <f>EXACT(D40,D42)</f>
        <v>1</v>
      </c>
      <c r="E44" s="13" t="b">
        <f>EXACT(E40,E42)</f>
        <v>1</v>
      </c>
      <c r="G44" s="13" t="b">
        <f>EXACT(G40,G42)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貸借対照表（負債・純資産の部）</t>
        </is>
      </c>
    </row>
    <row r="2">
      <c r="A2" s="3" t="inlineStr">
        <is>
          <t>単位：千円（入力は円）</t>
        </is>
      </c>
    </row>
    <row r="4" ht="30" customHeight="1">
      <c r="A4" s="4" t="inlineStr"/>
      <c r="B4" s="4" t="inlineStr">
        <is>
          <t>勘定科目</t>
        </is>
      </c>
      <c r="C4" s="4" t="inlineStr">
        <is>
          <t>2024年3月期
(第51期)</t>
        </is>
      </c>
      <c r="D4" s="4" t="inlineStr">
        <is>
          <t>2025年3月期
(第52期)</t>
        </is>
      </c>
      <c r="E4" s="4" t="inlineStr">
        <is>
          <t>2026年3月期
(第53期)</t>
        </is>
      </c>
      <c r="F4" s="4" t="inlineStr">
        <is>
          <t>（4期目）</t>
        </is>
      </c>
      <c r="G4" s="4" t="inlineStr">
        <is>
          <t>2026年7月
(試算表)</t>
        </is>
      </c>
    </row>
    <row r="5">
      <c r="B5" s="5" t="inlineStr">
        <is>
          <t>【流動負債】</t>
        </is>
      </c>
    </row>
    <row r="6">
      <c r="B6" s="6" t="inlineStr">
        <is>
          <t>買掛金</t>
        </is>
      </c>
      <c r="C6" s="7" t="n">
        <v>18127739</v>
      </c>
      <c r="D6" s="7" t="n">
        <v>19954920</v>
      </c>
      <c r="E6" s="7" t="n">
        <v>26349122</v>
      </c>
      <c r="F6" s="7" t="n"/>
      <c r="G6" s="7" t="n">
        <v>32102162</v>
      </c>
    </row>
    <row r="7">
      <c r="B7" s="6" t="inlineStr">
        <is>
          <t>未払金</t>
        </is>
      </c>
      <c r="C7" s="7" t="n">
        <v>10198849</v>
      </c>
      <c r="D7" s="7" t="n">
        <v>7302614</v>
      </c>
      <c r="E7" s="7" t="n">
        <v>6630301</v>
      </c>
      <c r="F7" s="7" t="n"/>
      <c r="G7" s="7" t="n">
        <v>3999712</v>
      </c>
    </row>
    <row r="8">
      <c r="B8" s="6" t="inlineStr">
        <is>
          <t>仮受金</t>
        </is>
      </c>
      <c r="C8" s="7" t="n">
        <v>0</v>
      </c>
      <c r="D8" s="7" t="n">
        <v>0</v>
      </c>
      <c r="E8" s="7" t="n">
        <v>0</v>
      </c>
      <c r="F8" s="7" t="n"/>
      <c r="G8" s="7" t="n">
        <v>5641499</v>
      </c>
    </row>
    <row r="9">
      <c r="B9" s="6" t="inlineStr">
        <is>
          <t>預り金</t>
        </is>
      </c>
      <c r="C9" s="7" t="n">
        <v>504234</v>
      </c>
      <c r="D9" s="7" t="n">
        <v>557594</v>
      </c>
      <c r="E9" s="7" t="n">
        <v>281300</v>
      </c>
      <c r="F9" s="7" t="n"/>
      <c r="G9" s="7" t="n">
        <v>196956</v>
      </c>
    </row>
    <row r="10">
      <c r="B10" s="6" t="inlineStr">
        <is>
          <t>未払法人税等</t>
        </is>
      </c>
      <c r="C10" s="7" t="n">
        <v>2308000</v>
      </c>
      <c r="D10" s="7" t="n">
        <v>33900</v>
      </c>
      <c r="E10" s="7" t="n">
        <v>1851300</v>
      </c>
      <c r="F10" s="7" t="n"/>
      <c r="G10" s="7" t="n">
        <v>0</v>
      </c>
    </row>
    <row r="11">
      <c r="B11" s="6" t="inlineStr">
        <is>
          <t>未払消費税</t>
        </is>
      </c>
      <c r="C11" s="7" t="n">
        <v>2970400</v>
      </c>
      <c r="D11" s="7" t="n">
        <v>1606700</v>
      </c>
      <c r="E11" s="7" t="n">
        <v>2167500</v>
      </c>
      <c r="F11" s="7" t="n"/>
      <c r="G11" s="7" t="n">
        <v>3760000</v>
      </c>
    </row>
    <row r="12">
      <c r="B12" s="8" t="inlineStr">
        <is>
          <t>流動負債計</t>
        </is>
      </c>
      <c r="C12" s="9">
        <f>SUM(C6:C11)</f>
        <v>34109222</v>
      </c>
      <c r="D12" s="9">
        <f>SUM(D6:D11)</f>
        <v>29455728</v>
      </c>
      <c r="E12" s="9">
        <f>SUM(E6:E11)</f>
        <v>37279523</v>
      </c>
      <c r="F12" s="9">
        <f>SUM(F6:F11)</f>
        <v>0</v>
      </c>
      <c r="G12" s="9">
        <f>SUM(G6:G11)</f>
        <v>45700329</v>
      </c>
    </row>
    <row r="13">
      <c r="B13" s="5" t="inlineStr">
        <is>
          <t>【固定負債】</t>
        </is>
      </c>
    </row>
    <row r="14">
      <c r="B14" s="6" t="inlineStr">
        <is>
          <t>長期借入金</t>
        </is>
      </c>
      <c r="C14" s="7" t="n">
        <v>514690000</v>
      </c>
      <c r="D14" s="7" t="n">
        <v>434046000</v>
      </c>
      <c r="E14" s="7" t="n">
        <v>361058000</v>
      </c>
      <c r="F14" s="7" t="n"/>
      <c r="G14" s="7" t="n">
        <v>337862000</v>
      </c>
    </row>
    <row r="15">
      <c r="B15" s="6" t="inlineStr">
        <is>
          <t>預り保証金</t>
        </is>
      </c>
      <c r="C15" s="7" t="n">
        <v>10320000</v>
      </c>
      <c r="D15" s="7" t="n">
        <v>10270000</v>
      </c>
      <c r="E15" s="7" t="n">
        <v>8980000</v>
      </c>
      <c r="F15" s="7" t="n"/>
      <c r="G15" s="7" t="n">
        <v>8980000</v>
      </c>
    </row>
    <row r="16">
      <c r="B16" s="8" t="inlineStr">
        <is>
          <t>固定負債計</t>
        </is>
      </c>
      <c r="C16" s="9">
        <f>SUM(C14:C15)</f>
        <v>525010000</v>
      </c>
      <c r="D16" s="9">
        <f>SUM(D14:D15)</f>
        <v>444316000</v>
      </c>
      <c r="E16" s="9">
        <f>SUM(E14:E15)</f>
        <v>370038000</v>
      </c>
      <c r="F16" s="9">
        <f>SUM(F14:F15)</f>
        <v>0</v>
      </c>
      <c r="G16" s="9">
        <f>SUM(G14:G15)</f>
        <v>346842000</v>
      </c>
    </row>
    <row r="17">
      <c r="B17" s="10" t="inlineStr">
        <is>
          <t>負債の部合計</t>
        </is>
      </c>
      <c r="C17" s="11">
        <f>C12+C16</f>
        <v>559119222</v>
      </c>
      <c r="D17" s="11">
        <f>D12+D16</f>
        <v>473771728</v>
      </c>
      <c r="E17" s="11">
        <f>E12+E16</f>
        <v>407317523</v>
      </c>
      <c r="F17" s="11">
        <f>F12+F16</f>
        <v>0</v>
      </c>
      <c r="G17" s="11">
        <f>G12+G16</f>
        <v>392542329</v>
      </c>
    </row>
    <row r="18">
      <c r="B18" s="5" t="inlineStr">
        <is>
          <t>【純資産】</t>
        </is>
      </c>
    </row>
    <row r="19">
      <c r="B19" s="6" t="inlineStr">
        <is>
          <t>資本金</t>
        </is>
      </c>
      <c r="C19" s="7" t="n">
        <v>40000000</v>
      </c>
      <c r="D19" s="7" t="n">
        <v>40000000</v>
      </c>
      <c r="E19" s="7" t="n">
        <v>40000000</v>
      </c>
      <c r="F19" s="7" t="n"/>
      <c r="G19" s="7" t="n">
        <v>40000000</v>
      </c>
    </row>
    <row r="20">
      <c r="B20" s="6" t="inlineStr">
        <is>
          <t>利益準備金</t>
        </is>
      </c>
      <c r="C20" s="7" t="n">
        <v>1800000</v>
      </c>
      <c r="D20" s="7" t="n">
        <v>2000000</v>
      </c>
      <c r="E20" s="7" t="n">
        <v>2080000</v>
      </c>
      <c r="F20" s="7" t="n"/>
      <c r="G20" s="7" t="n">
        <v>2080000</v>
      </c>
    </row>
    <row r="21">
      <c r="B21" s="6" t="inlineStr">
        <is>
          <t>繰越利益剰余金</t>
        </is>
      </c>
      <c r="C21" s="7" t="n">
        <v>51028337</v>
      </c>
      <c r="D21" s="7" t="n">
        <v>51757236</v>
      </c>
      <c r="E21" s="7" t="n">
        <v>35792581</v>
      </c>
      <c r="F21" s="7" t="n"/>
      <c r="G21" s="7" t="n">
        <v>41677468</v>
      </c>
    </row>
    <row r="22">
      <c r="B22" s="10" t="inlineStr">
        <is>
          <t>純資産の部合計</t>
        </is>
      </c>
      <c r="C22" s="11">
        <f>SUM(C19:C21)</f>
        <v>92828337</v>
      </c>
      <c r="D22" s="11">
        <f>SUM(D19:D21)</f>
        <v>93757236</v>
      </c>
      <c r="E22" s="11">
        <f>SUM(E19:E21)</f>
        <v>77872581</v>
      </c>
      <c r="F22" s="11">
        <f>SUM(F19:F21)</f>
        <v>0</v>
      </c>
      <c r="G22" s="11">
        <f>SUM(G19:G21)</f>
        <v>83757468</v>
      </c>
    </row>
    <row r="23">
      <c r="B23" s="10" t="inlineStr">
        <is>
          <t>負債・純資産の部合計</t>
        </is>
      </c>
      <c r="C23" s="11">
        <f>C17+C22</f>
        <v>651947559</v>
      </c>
      <c r="D23" s="11">
        <f>D17+D22</f>
        <v>567528964</v>
      </c>
      <c r="E23" s="11">
        <f>E17+E22</f>
        <v>485190104</v>
      </c>
      <c r="F23" s="11">
        <f>F17+F22</f>
        <v>0</v>
      </c>
      <c r="G23" s="11">
        <f>G17+G22</f>
        <v>476299797</v>
      </c>
    </row>
    <row r="25">
      <c r="B25" s="14" t="inlineStr">
        <is>
          <t>※2026年7月の買掛金は委託分6,457千円・仕入分25,126千円・資材分519千円の合計。長期借入金は1年内返済予定額を区分していない（要確認）。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9" customWidth="1" min="4" max="4"/>
    <col width="15" customWidth="1" min="5" max="5"/>
    <col width="9" customWidth="1" min="6" max="6"/>
    <col width="15" customWidth="1" min="7" max="7"/>
    <col width="9" customWidth="1" min="8" max="8"/>
    <col width="15" customWidth="1" min="9" max="9"/>
    <col width="9" customWidth="1" min="10" max="10"/>
  </cols>
  <sheetData>
    <row r="1">
      <c r="A1" s="1" t="inlineStr">
        <is>
          <t>販売費及び一般管理費</t>
        </is>
      </c>
    </row>
    <row r="2">
      <c r="A2" s="3" t="inlineStr">
        <is>
          <t>単位：千円（入力は円）／売上高比</t>
        </is>
      </c>
    </row>
    <row r="4" ht="30" customHeight="1">
      <c r="A4" s="4" t="inlineStr"/>
      <c r="B4" s="4" t="inlineStr">
        <is>
          <t>勘定科目</t>
        </is>
      </c>
      <c r="C4" s="4" t="inlineStr">
        <is>
          <t>2024年3月期
(第51期)</t>
        </is>
      </c>
      <c r="D4" s="4" t="inlineStr">
        <is>
          <t>売上比</t>
        </is>
      </c>
      <c r="E4" s="4" t="inlineStr">
        <is>
          <t>2025年3月期
(第52期)</t>
        </is>
      </c>
      <c r="F4" s="4" t="inlineStr">
        <is>
          <t>売上比</t>
        </is>
      </c>
      <c r="G4" s="4" t="inlineStr">
        <is>
          <t>2026年3月期
(第53期)</t>
        </is>
      </c>
      <c r="H4" s="4" t="inlineStr">
        <is>
          <t>売上比</t>
        </is>
      </c>
      <c r="I4" s="4" t="inlineStr">
        <is>
          <t>2026年7月
(試算表)</t>
        </is>
      </c>
      <c r="J4" s="4" t="inlineStr">
        <is>
          <t>売上比</t>
        </is>
      </c>
    </row>
    <row r="5">
      <c r="B5" s="6" t="inlineStr">
        <is>
          <t>役員報酬</t>
        </is>
      </c>
      <c r="C5" s="7" t="n">
        <v>22200000</v>
      </c>
      <c r="D5" s="15">
        <f>IFERROR(C5/PL!C$10,"")</f>
        <v>0.0188376795658741</v>
      </c>
      <c r="E5" s="7" t="n">
        <v>22200000</v>
      </c>
      <c r="F5" s="15">
        <f>IFERROR(E5/PL!E$10,"")</f>
        <v>0.0187825626816843</v>
      </c>
      <c r="G5" s="7" t="n">
        <v>15360000</v>
      </c>
      <c r="H5" s="15">
        <f>IFERROR(G5/PL!G$10,"")</f>
        <v>0.012843955558713</v>
      </c>
      <c r="I5" s="7" t="n">
        <v>4730000</v>
      </c>
      <c r="J5" s="15">
        <f>IFERROR(I5/PL!I$10,"")</f>
        <v>0.0115041787397003</v>
      </c>
    </row>
    <row r="6">
      <c r="B6" s="6" t="inlineStr">
        <is>
          <t>給料手当</t>
        </is>
      </c>
      <c r="C6" s="7" t="n">
        <v>73148460</v>
      </c>
      <c r="D6" s="15">
        <f>IFERROR(C6/PL!C$10,"")</f>
        <v>0.0620696959557279</v>
      </c>
      <c r="E6" s="7" t="n">
        <v>74179162</v>
      </c>
      <c r="F6" s="15">
        <f>IFERROR(E6/PL!E$10,"")</f>
        <v>0.0627601243216132</v>
      </c>
      <c r="G6" s="7" t="n">
        <v>71673365</v>
      </c>
      <c r="H6" s="15">
        <f>IFERROR(G6/PL!G$10,"")</f>
        <v>0.059932911120014</v>
      </c>
      <c r="I6" s="7" t="n">
        <v>19328747</v>
      </c>
      <c r="J6" s="15">
        <f>IFERROR(I6/PL!I$10,"")</f>
        <v>0.0470108584148934</v>
      </c>
    </row>
    <row r="7">
      <c r="B7" s="6" t="inlineStr">
        <is>
          <t>賞与</t>
        </is>
      </c>
      <c r="C7" s="7" t="n">
        <v>6002150</v>
      </c>
      <c r="D7" s="15">
        <f>IFERROR(C7/PL!C$10,"")</f>
        <v>0.00509308911740141</v>
      </c>
      <c r="E7" s="7" t="n">
        <v>5692500</v>
      </c>
      <c r="F7" s="15">
        <f>IFERROR(E7/PL!E$10,"")</f>
        <v>0.00481620441736431</v>
      </c>
      <c r="G7" s="7" t="n">
        <v>0</v>
      </c>
      <c r="H7" s="15">
        <f>IFERROR(G7/PL!G$10,"")</f>
        <v>0</v>
      </c>
      <c r="I7" s="7" t="n">
        <v>0</v>
      </c>
      <c r="J7" s="15">
        <f>IFERROR(I7/PL!I$10,"")</f>
        <v>0</v>
      </c>
    </row>
    <row r="8">
      <c r="B8" s="6" t="inlineStr">
        <is>
          <t>退職金共済掛金</t>
        </is>
      </c>
      <c r="C8" s="7" t="n">
        <v>3175000</v>
      </c>
      <c r="D8" s="15">
        <f>IFERROR(C8/PL!C$10,"")</f>
        <v>0.00269412759556983</v>
      </c>
      <c r="E8" s="7" t="n">
        <v>3166000</v>
      </c>
      <c r="F8" s="15">
        <f>IFERROR(E8/PL!E$10,"")</f>
        <v>0.00267863033559515</v>
      </c>
      <c r="G8" s="7" t="n">
        <v>3026000</v>
      </c>
      <c r="H8" s="15">
        <f>IFERROR(G8/PL!G$10,"")</f>
        <v>0.00253032614066833</v>
      </c>
      <c r="I8" s="7" t="n">
        <v>769000</v>
      </c>
      <c r="J8" s="15">
        <f>IFERROR(I8/PL!I$10,"")</f>
        <v>0.00187034111011195</v>
      </c>
    </row>
    <row r="9">
      <c r="B9" s="6" t="inlineStr">
        <is>
          <t>退職金</t>
        </is>
      </c>
      <c r="C9" s="7" t="n">
        <v>0</v>
      </c>
      <c r="D9" s="15">
        <f>IFERROR(C9/PL!C$10,"")</f>
        <v>0</v>
      </c>
      <c r="E9" s="7" t="n">
        <v>356400</v>
      </c>
      <c r="F9" s="15">
        <f>IFERROR(E9/PL!E$10,"")</f>
        <v>0.000301536276565418</v>
      </c>
      <c r="G9" s="7" t="n">
        <v>746960</v>
      </c>
      <c r="H9" s="15">
        <f>IFERROR(G9/PL!G$10,"")</f>
        <v>0.000624604234644288</v>
      </c>
      <c r="I9" s="7" t="n">
        <v>0</v>
      </c>
      <c r="J9" s="15">
        <f>IFERROR(I9/PL!I$10,"")</f>
        <v>0</v>
      </c>
    </row>
    <row r="10">
      <c r="B10" s="6" t="inlineStr">
        <is>
          <t>法定福利費</t>
        </is>
      </c>
      <c r="C10" s="7" t="n">
        <v>15154087</v>
      </c>
      <c r="D10" s="15">
        <f>IFERROR(C10/PL!C$10,"")</f>
        <v>0.0128589114873594</v>
      </c>
      <c r="E10" s="7" t="n">
        <v>14913183</v>
      </c>
      <c r="F10" s="15">
        <f>IFERROR(E10/PL!E$10,"")</f>
        <v>0.0126174682198616</v>
      </c>
      <c r="G10" s="7" t="n">
        <v>13295870</v>
      </c>
      <c r="H10" s="15">
        <f>IFERROR(G10/PL!G$10,"")</f>
        <v>0.0111179403251579</v>
      </c>
      <c r="I10" s="7" t="n">
        <v>3603031</v>
      </c>
      <c r="J10" s="15">
        <f>IFERROR(I10/PL!I$10,"")</f>
        <v>0.00876319505891778</v>
      </c>
    </row>
    <row r="11">
      <c r="B11" s="6" t="inlineStr">
        <is>
          <t>福利厚生費</t>
        </is>
      </c>
      <c r="C11" s="7" t="n">
        <v>594849</v>
      </c>
      <c r="D11" s="15">
        <f>IFERROR(C11/PL!C$10,"")</f>
        <v>0.000504755623967597</v>
      </c>
      <c r="E11" s="7" t="n">
        <v>899852</v>
      </c>
      <c r="F11" s="15">
        <f>IFERROR(E11/PL!E$10,"")</f>
        <v>0.000761330026767521</v>
      </c>
      <c r="G11" s="7" t="n">
        <v>460243</v>
      </c>
      <c r="H11" s="15">
        <f>IFERROR(G11/PL!G$10,"")</f>
        <v>0.000384852906133382</v>
      </c>
      <c r="I11" s="7" t="n">
        <v>95149</v>
      </c>
      <c r="J11" s="15">
        <f>IFERROR(I11/PL!I$10,"")</f>
        <v>0.000231418837823201</v>
      </c>
    </row>
    <row r="12">
      <c r="B12" s="6" t="inlineStr">
        <is>
          <t>広告宣伝費</t>
        </is>
      </c>
      <c r="C12" s="7" t="n">
        <v>203020</v>
      </c>
      <c r="D12" s="15">
        <f>IFERROR(C12/PL!C$10,"")</f>
        <v>0.000172271428174043</v>
      </c>
      <c r="E12" s="7" t="n">
        <v>114444</v>
      </c>
      <c r="F12" s="15">
        <f>IFERROR(E12/PL!E$10,"")</f>
        <v>9.68266488082286e-05</v>
      </c>
      <c r="G12" s="7" t="n">
        <v>89300</v>
      </c>
      <c r="H12" s="15">
        <f>IFERROR(G12/PL!G$10,"")</f>
        <v>7.46722155854863e-05</v>
      </c>
      <c r="I12" s="7" t="n">
        <v>10000</v>
      </c>
      <c r="J12" s="15">
        <f>IFERROR(I12/PL!I$10,"")</f>
        <v>2.43217309507406e-05</v>
      </c>
    </row>
    <row r="13">
      <c r="B13" s="6" t="inlineStr">
        <is>
          <t>旅費交通費</t>
        </is>
      </c>
      <c r="C13" s="7" t="n">
        <v>44957</v>
      </c>
      <c r="D13" s="15">
        <f>IFERROR(C13/PL!C$10,"")</f>
        <v>3.81479982091442e-05</v>
      </c>
      <c r="E13" s="7" t="n">
        <v>212048</v>
      </c>
      <c r="F13" s="15">
        <f>IFERROR(E13/PL!E$10,"")</f>
        <v>0.000179405623942603</v>
      </c>
      <c r="G13" s="7" t="n">
        <v>78650</v>
      </c>
      <c r="H13" s="15">
        <f>IFERROR(G13/PL!G$10,"")</f>
        <v>6.57667385867693e-05</v>
      </c>
      <c r="I13" s="7" t="n">
        <v>9490</v>
      </c>
      <c r="J13" s="15">
        <f>IFERROR(I13/PL!I$10,"")</f>
        <v>2.30813226722528e-05</v>
      </c>
    </row>
    <row r="14">
      <c r="B14" s="6" t="inlineStr">
        <is>
          <t>通信費</t>
        </is>
      </c>
      <c r="C14" s="7" t="n">
        <v>1434812</v>
      </c>
      <c r="D14" s="15">
        <f>IFERROR(C14/PL!C$10,"")</f>
        <v>0.00121750129248968</v>
      </c>
      <c r="E14" s="7" t="n">
        <v>1143086</v>
      </c>
      <c r="F14" s="15">
        <f>IFERROR(E14/PL!E$10,"")</f>
        <v>0.00096712092097098</v>
      </c>
      <c r="G14" s="7" t="n">
        <v>1191701</v>
      </c>
      <c r="H14" s="15">
        <f>IFERROR(G14/PL!G$10,"")</f>
        <v>0.00099649444552564</v>
      </c>
      <c r="I14" s="7" t="n">
        <v>296684</v>
      </c>
      <c r="J14" s="15">
        <f>IFERROR(I14/PL!I$10,"")</f>
        <v>0.000721586842538952</v>
      </c>
    </row>
    <row r="15">
      <c r="B15" s="6" t="inlineStr">
        <is>
          <t>車両関連費</t>
        </is>
      </c>
      <c r="C15" s="7" t="n">
        <v>8475295</v>
      </c>
      <c r="D15" s="15">
        <f>IFERROR(C15/PL!C$10,"")</f>
        <v>0.00719166177640788</v>
      </c>
      <c r="E15" s="7" t="n">
        <v>10126052</v>
      </c>
      <c r="F15" s="15">
        <f>IFERROR(E15/PL!E$10,"")</f>
        <v>0.00856726154990966</v>
      </c>
      <c r="G15" s="7" t="n">
        <v>9861597</v>
      </c>
      <c r="H15" s="15">
        <f>IFERROR(G15/PL!G$10,"")</f>
        <v>0.00824621833371988</v>
      </c>
      <c r="I15" s="7" t="n">
        <v>2954932</v>
      </c>
      <c r="J15" s="15">
        <f>IFERROR(I15/PL!I$10,"")</f>
        <v>0.00718690610817338</v>
      </c>
    </row>
    <row r="16">
      <c r="B16" s="6" t="inlineStr">
        <is>
          <t>運賃</t>
        </is>
      </c>
      <c r="C16" s="7" t="n">
        <v>27546757</v>
      </c>
      <c r="D16" s="15">
        <f>IFERROR(C16/PL!C$10,"")</f>
        <v>0.0233746388038288</v>
      </c>
      <c r="E16" s="7" t="n">
        <v>29493733</v>
      </c>
      <c r="F16" s="15">
        <f>IFERROR(E16/PL!E$10,"")</f>
        <v>0.0249535085040252</v>
      </c>
      <c r="G16" s="7" t="n">
        <v>28996599</v>
      </c>
      <c r="H16" s="15">
        <f>IFERROR(G16/PL!G$10,"")</f>
        <v>0.0242468117779832</v>
      </c>
      <c r="I16" s="7" t="n">
        <v>8099852</v>
      </c>
      <c r="J16" s="15">
        <f>IFERROR(I16/PL!I$10,"")</f>
        <v>0.0197002421084818</v>
      </c>
    </row>
    <row r="17">
      <c r="B17" s="6" t="inlineStr">
        <is>
          <t>振込手数料負担金</t>
        </is>
      </c>
      <c r="C17" s="7" t="n">
        <v>122652</v>
      </c>
      <c r="D17" s="15">
        <f>IFERROR(C17/PL!C$10,"")</f>
        <v>0.000104075633969081</v>
      </c>
      <c r="E17" s="7" t="n">
        <v>207322</v>
      </c>
      <c r="F17" s="15">
        <f>IFERROR(E17/PL!E$10,"")</f>
        <v>0.000175407137850998</v>
      </c>
      <c r="G17" s="7" t="n">
        <v>215198</v>
      </c>
      <c r="H17" s="15">
        <f>IFERROR(G17/PL!G$10,"")</f>
        <v>0.000179947496635672</v>
      </c>
      <c r="I17" s="7" t="n">
        <v>60288</v>
      </c>
      <c r="J17" s="15">
        <f>IFERROR(I17/PL!I$10,"")</f>
        <v>0.000146630851555825</v>
      </c>
    </row>
    <row r="18">
      <c r="B18" s="6" t="inlineStr">
        <is>
          <t>委託手数料</t>
        </is>
      </c>
      <c r="C18" s="7" t="n">
        <v>3709319</v>
      </c>
      <c r="D18" s="15">
        <f>IFERROR(C18/PL!C$10,"")</f>
        <v>0.00314752084367606</v>
      </c>
      <c r="E18" s="7" t="n">
        <v>3538995</v>
      </c>
      <c r="F18" s="15">
        <f>IFERROR(E18/PL!E$10,"")</f>
        <v>0.00299420700079582</v>
      </c>
      <c r="G18" s="7" t="n">
        <v>4075300</v>
      </c>
      <c r="H18" s="15">
        <f>IFERROR(G18/PL!G$10,"")</f>
        <v>0.00340774557867338</v>
      </c>
      <c r="I18" s="7" t="n">
        <v>910303</v>
      </c>
      <c r="J18" s="15">
        <f>IFERROR(I18/PL!I$10,"")</f>
        <v>0.0022140144649652</v>
      </c>
    </row>
    <row r="19">
      <c r="B19" s="6" t="inlineStr">
        <is>
          <t>接待交際費</t>
        </is>
      </c>
      <c r="C19" s="7" t="n">
        <v>3474959</v>
      </c>
      <c r="D19" s="15">
        <f>IFERROR(C19/PL!C$10,"")</f>
        <v>0.0029486560426374</v>
      </c>
      <c r="E19" s="7" t="n">
        <v>2485921</v>
      </c>
      <c r="F19" s="15">
        <f>IFERROR(E19/PL!E$10,"")</f>
        <v>0.00210324175694663</v>
      </c>
      <c r="G19" s="7" t="n">
        <v>1580405</v>
      </c>
      <c r="H19" s="15">
        <f>IFERROR(G19/PL!G$10,"")</f>
        <v>0.00132152679588332</v>
      </c>
      <c r="I19" s="7" t="n">
        <v>930135</v>
      </c>
      <c r="J19" s="15">
        <f>IFERROR(I19/PL!I$10,"")</f>
        <v>0.00226224932178671</v>
      </c>
    </row>
    <row r="20">
      <c r="B20" s="6" t="inlineStr">
        <is>
          <t>水道光熱費</t>
        </is>
      </c>
      <c r="C20" s="7" t="n">
        <v>4423538</v>
      </c>
      <c r="D20" s="15">
        <f>IFERROR(C20/PL!C$10,"")</f>
        <v>0.00375356717979584</v>
      </c>
      <c r="E20" s="7" t="n">
        <v>4700697</v>
      </c>
      <c r="F20" s="15">
        <f>IFERROR(E20/PL!E$10,"")</f>
        <v>0.00397707820045519</v>
      </c>
      <c r="G20" s="7" t="n">
        <v>4684668</v>
      </c>
      <c r="H20" s="15">
        <f>IFERROR(G20/PL!G$10,"")</f>
        <v>0.00391729606766438</v>
      </c>
      <c r="I20" s="7" t="n">
        <v>1495968</v>
      </c>
      <c r="J20" s="15">
        <f>IFERROR(I20/PL!I$10,"")</f>
        <v>0.00363845312069175</v>
      </c>
    </row>
    <row r="21">
      <c r="B21" s="6" t="inlineStr">
        <is>
          <t>消耗品費</t>
        </is>
      </c>
      <c r="C21" s="7" t="n">
        <v>35750</v>
      </c>
      <c r="D21" s="15">
        <f>IFERROR(C21/PL!C$10,"")</f>
        <v>3.0335452454054e-05</v>
      </c>
      <c r="E21" s="7" t="n">
        <v>0</v>
      </c>
      <c r="F21" s="15">
        <f>IFERROR(E21/PL!E$10,"")</f>
        <v>0</v>
      </c>
      <c r="G21" s="7" t="n">
        <v>95055</v>
      </c>
      <c r="H21" s="15">
        <f>IFERROR(G21/PL!G$10,"")</f>
        <v>7.94845179448869e-05</v>
      </c>
      <c r="I21" s="7" t="n">
        <v>0</v>
      </c>
      <c r="J21" s="15">
        <f>IFERROR(I21/PL!I$10,"")</f>
        <v>0</v>
      </c>
    </row>
    <row r="22">
      <c r="B22" s="6" t="inlineStr">
        <is>
          <t>租税公課</t>
        </is>
      </c>
      <c r="C22" s="7" t="n">
        <v>14464767</v>
      </c>
      <c r="D22" s="15">
        <f>IFERROR(C22/PL!C$10,"")</f>
        <v>0.0122739930513977</v>
      </c>
      <c r="E22" s="7" t="n">
        <v>12813800</v>
      </c>
      <c r="F22" s="15">
        <f>IFERROR(E22/PL!E$10,"")</f>
        <v>0.0108412613374129</v>
      </c>
      <c r="G22" s="7" t="n">
        <v>12176834</v>
      </c>
      <c r="H22" s="15">
        <f>IFERROR(G22/PL!G$10,"")</f>
        <v>0.0101822079910043</v>
      </c>
      <c r="I22" s="7" t="n">
        <v>889634</v>
      </c>
      <c r="J22" s="15">
        <f>IFERROR(I22/PL!I$10,"")</f>
        <v>0.00216374387926311</v>
      </c>
    </row>
    <row r="23">
      <c r="B23" s="6" t="inlineStr">
        <is>
          <t>消費税引当金</t>
        </is>
      </c>
      <c r="C23" s="7" t="n">
        <v>0</v>
      </c>
      <c r="D23" s="15">
        <f>IFERROR(C23/PL!C$10,"")</f>
        <v>0</v>
      </c>
      <c r="E23" s="7" t="n">
        <v>0</v>
      </c>
      <c r="F23" s="15">
        <f>IFERROR(E23/PL!E$10,"")</f>
        <v>0</v>
      </c>
      <c r="G23" s="7" t="n">
        <v>0</v>
      </c>
      <c r="H23" s="15">
        <f>IFERROR(G23/PL!G$10,"")</f>
        <v>0</v>
      </c>
      <c r="I23" s="7" t="n">
        <v>3760000</v>
      </c>
      <c r="J23" s="15">
        <f>IFERROR(I23/PL!I$10,"")</f>
        <v>0.00914497083747846</v>
      </c>
    </row>
    <row r="24">
      <c r="B24" s="6" t="inlineStr">
        <is>
          <t>支払手数料</t>
        </is>
      </c>
      <c r="C24" s="7" t="n">
        <v>1546474</v>
      </c>
      <c r="D24" s="15">
        <f>IFERROR(C24/PL!C$10,"")</f>
        <v>0.00131225142652953</v>
      </c>
      <c r="E24" s="7" t="n">
        <v>1527460</v>
      </c>
      <c r="F24" s="15">
        <f>IFERROR(E24/PL!E$10,"")</f>
        <v>0.00129232491863808</v>
      </c>
      <c r="G24" s="7" t="n">
        <v>1596627</v>
      </c>
      <c r="H24" s="15">
        <f>IFERROR(G24/PL!G$10,"")</f>
        <v>0.00133509155155216</v>
      </c>
      <c r="I24" s="7" t="n">
        <v>866958</v>
      </c>
      <c r="J24" s="15">
        <f>IFERROR(I24/PL!I$10,"")</f>
        <v>0.00210859192215921</v>
      </c>
    </row>
    <row r="25">
      <c r="B25" s="6" t="inlineStr">
        <is>
          <t>諸会費</t>
        </is>
      </c>
      <c r="C25" s="7" t="n">
        <v>181000</v>
      </c>
      <c r="D25" s="15">
        <f>IFERROR(C25/PL!C$10,"")</f>
        <v>0.000153586486550595</v>
      </c>
      <c r="E25" s="7" t="n">
        <v>141000</v>
      </c>
      <c r="F25" s="15">
        <f>IFERROR(E25/PL!E$10,"")</f>
        <v>0.000119294654870157</v>
      </c>
      <c r="G25" s="7" t="n">
        <v>138400</v>
      </c>
      <c r="H25" s="15">
        <f>IFERROR(G25/PL!G$10,"")</f>
        <v>0.000115729391232154</v>
      </c>
      <c r="I25" s="7" t="n">
        <v>116000</v>
      </c>
      <c r="J25" s="15">
        <f>IFERROR(I25/PL!I$10,"")</f>
        <v>0.000282132079028591</v>
      </c>
    </row>
    <row r="26">
      <c r="B26" s="6" t="inlineStr">
        <is>
          <t>寄付金</t>
        </is>
      </c>
      <c r="C26" s="7" t="n">
        <v>13000</v>
      </c>
      <c r="D26" s="15">
        <f>IFERROR(C26/PL!C$10,"")</f>
        <v>1.1031073619656e-05</v>
      </c>
      <c r="E26" s="7" t="n">
        <v>71000</v>
      </c>
      <c r="F26" s="15">
        <f>IFERROR(E26/PL!E$10,"")</f>
        <v>6.00703581261074e-05</v>
      </c>
      <c r="G26" s="7" t="n">
        <v>11000</v>
      </c>
      <c r="H26" s="15">
        <f>IFERROR(G26/PL!G$10,"")</f>
        <v>9.19814525689081e-06</v>
      </c>
      <c r="I26" s="7" t="n">
        <v>0</v>
      </c>
      <c r="J26" s="15">
        <f>IFERROR(I26/PL!I$10,"")</f>
        <v>0</v>
      </c>
    </row>
    <row r="27">
      <c r="B27" s="6" t="inlineStr">
        <is>
          <t>リース料</t>
        </is>
      </c>
      <c r="C27" s="7" t="n">
        <v>4711966</v>
      </c>
      <c r="D27" s="15">
        <f>IFERROR(C27/PL!C$10,"")</f>
        <v>0.00399831106456277</v>
      </c>
      <c r="E27" s="7" t="n">
        <v>6710821</v>
      </c>
      <c r="F27" s="15">
        <f>IFERROR(E27/PL!E$10,"")</f>
        <v>0.00567776649000285</v>
      </c>
      <c r="G27" s="7" t="n">
        <v>6227194</v>
      </c>
      <c r="H27" s="15">
        <f>IFERROR(G27/PL!G$10,"")</f>
        <v>0.00520714863225809</v>
      </c>
      <c r="I27" s="7" t="n">
        <v>2046083</v>
      </c>
      <c r="J27" s="15">
        <f>IFERROR(I27/PL!I$10,"")</f>
        <v>0.00497642802288841</v>
      </c>
    </row>
    <row r="28">
      <c r="B28" s="6" t="inlineStr">
        <is>
          <t>支払保険料</t>
        </is>
      </c>
      <c r="C28" s="7" t="n">
        <v>2772322</v>
      </c>
      <c r="D28" s="15">
        <f>IFERROR(C28/PL!C$10,"")</f>
        <v>0.00235243754456861</v>
      </c>
      <c r="E28" s="7" t="n">
        <v>1431329</v>
      </c>
      <c r="F28" s="15">
        <f>IFERROR(E28/PL!E$10,"")</f>
        <v>0.00121099219191948</v>
      </c>
      <c r="G28" s="7" t="n">
        <v>1541660</v>
      </c>
      <c r="H28" s="15">
        <f>IFERROR(G28/PL!G$10,"")</f>
        <v>0.00128912841970348</v>
      </c>
      <c r="I28" s="7" t="n">
        <v>195474</v>
      </c>
      <c r="J28" s="15">
        <f>IFERROR(I28/PL!I$10,"")</f>
        <v>0.000475426603586506</v>
      </c>
    </row>
    <row r="29">
      <c r="B29" s="6" t="inlineStr">
        <is>
          <t>修繕費</t>
        </is>
      </c>
      <c r="C29" s="7" t="n">
        <v>1169740</v>
      </c>
      <c r="D29" s="15">
        <f>IFERROR(C29/PL!C$10,"")</f>
        <v>0.000992576004296647</v>
      </c>
      <c r="E29" s="7" t="n">
        <v>707846</v>
      </c>
      <c r="F29" s="15">
        <f>IFERROR(E29/PL!E$10,"")</f>
        <v>0.000598881165044121</v>
      </c>
      <c r="G29" s="7" t="n">
        <v>123750</v>
      </c>
      <c r="H29" s="15">
        <f>IFERROR(G29/PL!G$10,"")</f>
        <v>0.000103479134140022</v>
      </c>
      <c r="I29" s="7" t="n">
        <v>207130</v>
      </c>
      <c r="J29" s="15">
        <f>IFERROR(I29/PL!I$10,"")</f>
        <v>0.00050377601318269</v>
      </c>
    </row>
    <row r="30">
      <c r="B30" s="6" t="inlineStr">
        <is>
          <t>事務用消耗品費</t>
        </is>
      </c>
      <c r="C30" s="7" t="n">
        <v>2033078</v>
      </c>
      <c r="D30" s="15">
        <f>IFERROR(C30/PL!C$10,"")</f>
        <v>0.001725156391731</v>
      </c>
      <c r="E30" s="7" t="n">
        <v>1934919</v>
      </c>
      <c r="F30" s="15">
        <f>IFERROR(E30/PL!E$10,"")</f>
        <v>0.00163706024330999</v>
      </c>
      <c r="G30" s="7" t="n">
        <v>2335738</v>
      </c>
      <c r="H30" s="15">
        <f>IFERROR(G30/PL!G$10,"")</f>
        <v>0.00195313249145815</v>
      </c>
      <c r="I30" s="7" t="n">
        <v>819112</v>
      </c>
      <c r="J30" s="15">
        <f>IFERROR(I30/PL!I$10,"")</f>
        <v>0.0019922221682523</v>
      </c>
    </row>
    <row r="31">
      <c r="B31" s="6" t="inlineStr">
        <is>
          <t>減価償却費</t>
        </is>
      </c>
      <c r="C31" s="7" t="n">
        <v>13663684</v>
      </c>
      <c r="D31" s="15">
        <f>IFERROR(C31/PL!C$10,"")</f>
        <v>0.0115942387784397</v>
      </c>
      <c r="E31" s="7" t="n">
        <v>12557564</v>
      </c>
      <c r="F31" s="15">
        <f>IFERROR(E31/PL!E$10,"")</f>
        <v>0.0106244699531199</v>
      </c>
      <c r="G31" s="7" t="n">
        <v>8878970</v>
      </c>
      <c r="H31" s="15">
        <f>IFERROR(G31/PL!G$10,"")</f>
        <v>0.00742455052650689</v>
      </c>
      <c r="I31" s="7" t="n">
        <v>2436000</v>
      </c>
      <c r="J31" s="15">
        <f>IFERROR(I31/PL!I$10,"")</f>
        <v>0.0059247736596004</v>
      </c>
    </row>
    <row r="32">
      <c r="B32" s="6" t="inlineStr">
        <is>
          <t>雑費</t>
        </is>
      </c>
      <c r="C32" s="7" t="n">
        <v>4521805</v>
      </c>
      <c r="D32" s="15">
        <f>IFERROR(C32/PL!C$10,"")</f>
        <v>0.00383695106528682</v>
      </c>
      <c r="E32" s="7" t="n">
        <v>4393320</v>
      </c>
      <c r="F32" s="15">
        <f>IFERROR(E32/PL!E$10,"")</f>
        <v>0.0037170183910224</v>
      </c>
      <c r="G32" s="7" t="n">
        <v>4689970</v>
      </c>
      <c r="H32" s="15">
        <f>IFERROR(G32/PL!G$10,"")</f>
        <v>0.0039217295736782</v>
      </c>
      <c r="I32" s="7" t="n">
        <v>1266623</v>
      </c>
      <c r="J32" s="15">
        <f>IFERROR(I32/PL!I$10,"")</f>
        <v>0.00308064638220199</v>
      </c>
    </row>
    <row r="33">
      <c r="B33" s="8" t="inlineStr">
        <is>
          <t>販売費及び一般管理費 計</t>
        </is>
      </c>
      <c r="C33" s="9">
        <f>SUM(C5:C32)</f>
        <v>214823441</v>
      </c>
      <c r="D33" s="15">
        <f>IFERROR(C33/PL!C$10,"")</f>
        <v>0.182287168684525</v>
      </c>
      <c r="E33" s="9">
        <f>SUM(E5:E32)</f>
        <v>215718454</v>
      </c>
      <c r="F33" s="15">
        <f>IFERROR(E33/PL!E$10,"")</f>
        <v>0.182511053326623</v>
      </c>
      <c r="G33" s="9">
        <f>SUM(G5:G32)</f>
        <v>193151054</v>
      </c>
      <c r="H33" s="15">
        <f>IFERROR(G33/PL!G$10,"")</f>
        <v>0.161511950110324</v>
      </c>
      <c r="I33" s="9">
        <f>SUM(I5:I32)</f>
        <v>55896593</v>
      </c>
      <c r="J33" s="15">
        <f>IFERROR(I33/PL!I$10,"")</f>
        <v>0.135950189600905</v>
      </c>
    </row>
    <row r="34">
      <c r="B34" s="12" t="inlineStr">
        <is>
          <t>決算書記載の販管費計</t>
        </is>
      </c>
      <c r="C34" s="7" t="n">
        <v>214823441</v>
      </c>
      <c r="E34" s="7" t="n">
        <v>215718454</v>
      </c>
      <c r="G34" s="7" t="n">
        <v>193151054</v>
      </c>
      <c r="I34" s="7" t="n">
        <v>55896593</v>
      </c>
    </row>
    <row r="35">
      <c r="B35" s="5" t="inlineStr">
        <is>
          <t>チェック</t>
        </is>
      </c>
      <c r="C35" t="b">
        <f>EXACT(C33,C34)</f>
        <v>1</v>
      </c>
      <c r="E35" t="b">
        <f>EXACT(E33,E34)</f>
        <v>1</v>
      </c>
      <c r="G35" t="b">
        <f>EXACT(G33,G34)</f>
        <v>1</v>
      </c>
      <c r="I35" t="b">
        <f>EXACT(I33,I34)</f>
        <v>1</v>
      </c>
    </row>
    <row r="37">
      <c r="B37" s="16" t="inlineStr">
        <is>
          <t>※消費税等は税込方式のため、納付消費税相当は租税公課（決算）／消費税引当金（試算表）に計上されている。2026/3期は賞与の計上なし（要確認）。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9" customWidth="1" min="4" max="4"/>
    <col width="15" customWidth="1" min="5" max="5"/>
    <col width="9" customWidth="1" min="6" max="6"/>
    <col width="15" customWidth="1" min="7" max="7"/>
    <col width="9" customWidth="1" min="8" max="8"/>
    <col width="15" customWidth="1" min="9" max="9"/>
    <col width="9" customWidth="1" min="10" max="10"/>
  </cols>
  <sheetData>
    <row r="1">
      <c r="A1" s="1" t="inlineStr">
        <is>
          <t>損益計算書</t>
        </is>
      </c>
    </row>
    <row r="2">
      <c r="A2" s="3" t="inlineStr">
        <is>
          <t>単位：千円（入力は円）／売上高比</t>
        </is>
      </c>
    </row>
    <row r="4" ht="30" customHeight="1">
      <c r="A4" s="4" t="inlineStr"/>
      <c r="B4" s="4" t="inlineStr">
        <is>
          <t>勘定科目</t>
        </is>
      </c>
      <c r="C4" s="4" t="inlineStr">
        <is>
          <t>2024年3月期
(第51期)</t>
        </is>
      </c>
      <c r="D4" s="4" t="inlineStr">
        <is>
          <t>売上比</t>
        </is>
      </c>
      <c r="E4" s="4" t="inlineStr">
        <is>
          <t>2025年3月期
(第52期)</t>
        </is>
      </c>
      <c r="F4" s="4" t="inlineStr">
        <is>
          <t>売上比</t>
        </is>
      </c>
      <c r="G4" s="4" t="inlineStr">
        <is>
          <t>2026年3月期
(第53期)</t>
        </is>
      </c>
      <c r="H4" s="4" t="inlineStr">
        <is>
          <t>売上比</t>
        </is>
      </c>
      <c r="I4" s="4" t="inlineStr">
        <is>
          <t>2026年7月
(試算表)</t>
        </is>
      </c>
      <c r="J4" s="4" t="inlineStr">
        <is>
          <t>売上比</t>
        </is>
      </c>
    </row>
    <row r="5">
      <c r="B5" s="6" t="inlineStr">
        <is>
          <t>商品売上高</t>
        </is>
      </c>
      <c r="C5" s="7" t="n">
        <v>1179974308</v>
      </c>
      <c r="D5" s="15">
        <f>IFERROR(C5/C$10,"")</f>
        <v>1.00126026621928</v>
      </c>
      <c r="E5" s="7" t="n">
        <v>1183308630</v>
      </c>
      <c r="F5" s="15">
        <f>IFERROR(E5/E$10,"")</f>
        <v>1.00115173489878</v>
      </c>
      <c r="G5" s="7" t="n">
        <v>1197530299</v>
      </c>
      <c r="H5" s="15">
        <f>IFERROR(G5/G$10,"")</f>
        <v>1.00136887633908</v>
      </c>
      <c r="I5" s="7" t="n">
        <v>375960544</v>
      </c>
      <c r="J5" s="15">
        <f>IFERROR(I5/I$10,"")</f>
        <v>0.914401119926206</v>
      </c>
    </row>
    <row r="6">
      <c r="B6" s="6" t="inlineStr">
        <is>
          <t>資材売上高</t>
        </is>
      </c>
      <c r="C6" s="7" t="n">
        <v>0</v>
      </c>
      <c r="D6" s="15">
        <f>IFERROR(C6/C$10,"")</f>
        <v>0</v>
      </c>
      <c r="E6" s="7" t="n">
        <v>0</v>
      </c>
      <c r="F6" s="15">
        <f>IFERROR(E6/E$10,"")</f>
        <v>0</v>
      </c>
      <c r="G6" s="7" t="n">
        <v>0</v>
      </c>
      <c r="H6" s="15">
        <f>IFERROR(G6/G$10,"")</f>
        <v>0</v>
      </c>
      <c r="I6" s="7" t="n">
        <v>10820414</v>
      </c>
      <c r="J6" s="15">
        <f>IFERROR(I6/I$10,"")</f>
        <v>0.0263171198083627</v>
      </c>
    </row>
    <row r="7">
      <c r="B7" s="6" t="inlineStr">
        <is>
          <t>センター費収入</t>
        </is>
      </c>
      <c r="C7" s="7" t="n">
        <v>0</v>
      </c>
      <c r="D7" s="15">
        <f>IFERROR(C7/C$10,"")</f>
        <v>0</v>
      </c>
      <c r="E7" s="7" t="n">
        <v>0</v>
      </c>
      <c r="F7" s="15">
        <f>IFERROR(E7/E$10,"")</f>
        <v>0</v>
      </c>
      <c r="G7" s="7" t="n">
        <v>0</v>
      </c>
      <c r="H7" s="15">
        <f>IFERROR(G7/G$10,"")</f>
        <v>0</v>
      </c>
      <c r="I7" s="7" t="n">
        <v>12272629</v>
      </c>
      <c r="J7" s="15">
        <f>IFERROR(I7/I$10,"")</f>
        <v>0.0298491580596256</v>
      </c>
    </row>
    <row r="8">
      <c r="B8" s="6" t="inlineStr">
        <is>
          <t>委託手数料収入</t>
        </is>
      </c>
      <c r="C8" s="7" t="n">
        <v>0</v>
      </c>
      <c r="D8" s="15">
        <f>IFERROR(C8/C$10,"")</f>
        <v>0</v>
      </c>
      <c r="E8" s="7" t="n">
        <v>0</v>
      </c>
      <c r="F8" s="15">
        <f>IFERROR(E8/E$10,"")</f>
        <v>0</v>
      </c>
      <c r="G8" s="7" t="n">
        <v>0</v>
      </c>
      <c r="H8" s="15">
        <f>IFERROR(G8/G$10,"")</f>
        <v>0</v>
      </c>
      <c r="I8" s="7" t="n">
        <v>12563500</v>
      </c>
      <c r="J8" s="15">
        <f>IFERROR(I8/I$10,"")</f>
        <v>0.0305566066799629</v>
      </c>
    </row>
    <row r="9">
      <c r="B9" s="6" t="inlineStr">
        <is>
          <t>売上割戻</t>
        </is>
      </c>
      <c r="C9" s="7" t="n">
        <v>-1485210</v>
      </c>
      <c r="D9" s="15">
        <f>IFERROR(C9/C$10,"")</f>
        <v>-0.00126026621928072</v>
      </c>
      <c r="E9" s="7" t="n">
        <v>-1361290</v>
      </c>
      <c r="F9" s="15">
        <f>IFERROR(E9/E$10,"")</f>
        <v>-0.00115173489878153</v>
      </c>
      <c r="G9" s="7" t="n">
        <v>-1637030</v>
      </c>
      <c r="H9" s="15">
        <f>IFERROR(G9/G$10,"")</f>
        <v>-0.00136887633908072</v>
      </c>
      <c r="I9" s="7" t="n">
        <v>-462140</v>
      </c>
      <c r="J9" s="15">
        <f>IFERROR(I9/I$10,"")</f>
        <v>-0.00112400447415753</v>
      </c>
    </row>
    <row r="10">
      <c r="B10" s="10" t="inlineStr">
        <is>
          <t>売上高</t>
        </is>
      </c>
      <c r="C10" s="11">
        <f>SUM(C5:C9)</f>
        <v>1178489098</v>
      </c>
      <c r="D10" s="15">
        <f>IFERROR(C10/C$10,"")</f>
        <v>1</v>
      </c>
      <c r="E10" s="11">
        <f>SUM(E5:E9)</f>
        <v>1181947340</v>
      </c>
      <c r="F10" s="15">
        <f>IFERROR(E10/E$10,"")</f>
        <v>1</v>
      </c>
      <c r="G10" s="11">
        <f>SUM(G5:G9)</f>
        <v>1195893269</v>
      </c>
      <c r="H10" s="15">
        <f>IFERROR(G10/G$10,"")</f>
        <v>1</v>
      </c>
      <c r="I10" s="11">
        <f>SUM(I5:I9)</f>
        <v>411154947</v>
      </c>
      <c r="J10" s="15">
        <f>IFERROR(I10/I$10,"")</f>
        <v>1</v>
      </c>
    </row>
    <row r="11">
      <c r="B11" s="6" t="inlineStr">
        <is>
          <t>期首棚卸高</t>
        </is>
      </c>
      <c r="C11" s="7" t="n">
        <v>15470384</v>
      </c>
      <c r="D11" s="15">
        <f>IFERROR(C11/C$10,"")</f>
        <v>0.0131273034483345</v>
      </c>
      <c r="E11" s="7" t="n">
        <v>9859795</v>
      </c>
      <c r="F11" s="15">
        <f>IFERROR(E11/E$10,"")</f>
        <v>0.00834199178450708</v>
      </c>
      <c r="G11" s="7" t="n">
        <v>15443609</v>
      </c>
      <c r="H11" s="15">
        <f>IFERROR(G11/G$10,"")</f>
        <v>0.0129138689884206</v>
      </c>
      <c r="I11" s="7" t="n">
        <v>14596695</v>
      </c>
      <c r="J11" s="15">
        <f>IFERROR(I11/I$10,"")</f>
        <v>0.035501688856002</v>
      </c>
    </row>
    <row r="12">
      <c r="B12" s="6" t="inlineStr">
        <is>
          <t>当期仕入高</t>
        </is>
      </c>
      <c r="C12" s="7" t="n">
        <v>953298320</v>
      </c>
      <c r="D12" s="15">
        <f>IFERROR(C12/C$10,"")</f>
        <v>0.808915688416491</v>
      </c>
      <c r="E12" s="7" t="n">
        <v>976235640</v>
      </c>
      <c r="F12" s="15">
        <f>IFERROR(E12/E$10,"")</f>
        <v>0.82595527479253</v>
      </c>
      <c r="G12" s="7" t="n">
        <v>996035389</v>
      </c>
      <c r="H12" s="15">
        <f>IFERROR(G12/G$10,"")</f>
        <v>0.832879835365977</v>
      </c>
      <c r="I12" s="7" t="n">
        <v>371992415</v>
      </c>
      <c r="J12" s="15">
        <f>IFERROR(I12/I$10,"")</f>
        <v>0.904749943334623</v>
      </c>
    </row>
    <row r="13">
      <c r="B13" s="6" t="inlineStr">
        <is>
          <t>期末棚卸高</t>
        </is>
      </c>
      <c r="C13" s="7" t="n">
        <v>-9859795</v>
      </c>
      <c r="D13" s="15">
        <f>IFERROR(C13/C$10,"")</f>
        <v>-0.00836647111690124</v>
      </c>
      <c r="E13" s="7" t="n">
        <v>-15443609</v>
      </c>
      <c r="F13" s="15">
        <f>IFERROR(E13/E$10,"")</f>
        <v>-0.0130662411745011</v>
      </c>
      <c r="G13" s="7" t="n">
        <v>-14596695</v>
      </c>
      <c r="H13" s="15">
        <f>IFERROR(G13/G$10,"")</f>
        <v>-0.012205683716412</v>
      </c>
      <c r="I13" s="7" t="n">
        <v>-36647736</v>
      </c>
      <c r="J13" s="15">
        <f>IFERROR(I13/I$10,"")</f>
        <v>-0.089133637494577</v>
      </c>
    </row>
    <row r="14">
      <c r="B14" s="8" t="inlineStr">
        <is>
          <t>売上原価</t>
        </is>
      </c>
      <c r="C14" s="9">
        <f>SUM(C11:C13)</f>
        <v>958908909</v>
      </c>
      <c r="D14" s="15">
        <f>IFERROR(C14/C$10,"")</f>
        <v>0.813676520747925</v>
      </c>
      <c r="E14" s="9">
        <f>SUM(E11:E13)</f>
        <v>970651826</v>
      </c>
      <c r="F14" s="15">
        <f>IFERROR(E14/E$10,"")</f>
        <v>0.821231025402536</v>
      </c>
      <c r="G14" s="9">
        <f>SUM(G11:G13)</f>
        <v>996882303</v>
      </c>
      <c r="H14" s="15">
        <f>IFERROR(G14/G$10,"")</f>
        <v>0.833588020637986</v>
      </c>
      <c r="I14" s="9">
        <f>SUM(I11:I13)</f>
        <v>349941374</v>
      </c>
      <c r="J14" s="15">
        <f>IFERROR(I14/I$10,"")</f>
        <v>0.851117994696048</v>
      </c>
    </row>
    <row r="15">
      <c r="B15" s="10" t="inlineStr">
        <is>
          <t>売上総利益</t>
        </is>
      </c>
      <c r="C15" s="11">
        <f>C10-C14</f>
        <v>219580189</v>
      </c>
      <c r="D15" s="15">
        <f>IFERROR(C15/C$10,"")</f>
        <v>0.186323479252075</v>
      </c>
      <c r="E15" s="11">
        <f>E10-E14</f>
        <v>211295514</v>
      </c>
      <c r="F15" s="15">
        <f>IFERROR(E15/E$10,"")</f>
        <v>0.178768974597464</v>
      </c>
      <c r="G15" s="11">
        <f>G10-G14</f>
        <v>199010966</v>
      </c>
      <c r="H15" s="15">
        <f>IFERROR(G15/G$10,"")</f>
        <v>0.166411979362014</v>
      </c>
      <c r="I15" s="11">
        <f>I10-I14</f>
        <v>61213573</v>
      </c>
      <c r="J15" s="15">
        <f>IFERROR(I15/I$10,"")</f>
        <v>0.148882005303952</v>
      </c>
    </row>
    <row r="16">
      <c r="B16" s="8" t="inlineStr">
        <is>
          <t>販売費及び一般管理費</t>
        </is>
      </c>
      <c r="C16" s="9">
        <f>SGA!C33</f>
        <v>214823441</v>
      </c>
      <c r="D16" s="15">
        <f>IFERROR(C16/C$10,"")</f>
        <v>0.182287168684525</v>
      </c>
      <c r="E16" s="9">
        <f>SGA!E33</f>
        <v>215718454</v>
      </c>
      <c r="F16" s="15">
        <f>IFERROR(E16/E$10,"")</f>
        <v>0.182511053326623</v>
      </c>
      <c r="G16" s="9">
        <f>SGA!G33</f>
        <v>193151054</v>
      </c>
      <c r="H16" s="15">
        <f>IFERROR(G16/G$10,"")</f>
        <v>0.161511950110324</v>
      </c>
      <c r="I16" s="9">
        <f>SGA!I33</f>
        <v>55896593</v>
      </c>
      <c r="J16" s="15">
        <f>IFERROR(I16/I$10,"")</f>
        <v>0.135950189600905</v>
      </c>
    </row>
    <row r="17">
      <c r="B17" s="10" t="inlineStr">
        <is>
          <t>営業利益</t>
        </is>
      </c>
      <c r="C17" s="11">
        <f>C15-C16</f>
        <v>4756748</v>
      </c>
      <c r="D17" s="15">
        <f>IFERROR(C17/C$10,"")</f>
        <v>0.00403631056755011</v>
      </c>
      <c r="E17" s="11">
        <f>E15-E16</f>
        <v>-4422940</v>
      </c>
      <c r="F17" s="15">
        <f>IFERROR(E17/E$10,"")</f>
        <v>-0.00374207872915895</v>
      </c>
      <c r="G17" s="11">
        <f>G15-G16</f>
        <v>5859912</v>
      </c>
      <c r="H17" s="15">
        <f>IFERROR(G17/G$10,"")</f>
        <v>0.00490002925169069</v>
      </c>
      <c r="I17" s="11">
        <f>I15-I16</f>
        <v>5316980</v>
      </c>
      <c r="J17" s="15">
        <f>IFERROR(I17/I$10,"")</f>
        <v>0.0129318157030469</v>
      </c>
    </row>
    <row r="18">
      <c r="B18" s="6" t="inlineStr">
        <is>
          <t>受取利息</t>
        </is>
      </c>
      <c r="C18" s="7" t="n">
        <v>1252</v>
      </c>
      <c r="D18" s="15">
        <f>IFERROR(C18/C$10,"")</f>
        <v>1.06237724398533e-06</v>
      </c>
      <c r="E18" s="7" t="n">
        <v>84858</v>
      </c>
      <c r="F18" s="15">
        <f>IFERROR(E18/E$10,"")</f>
        <v>7.17950767586651e-05</v>
      </c>
      <c r="G18" s="7" t="n">
        <v>267463</v>
      </c>
      <c r="H18" s="15">
        <f>IFERROR(G18/G$10,"")</f>
        <v>0.000223651229531253</v>
      </c>
      <c r="I18" s="7" t="n">
        <v>0</v>
      </c>
      <c r="J18" s="15">
        <f>IFERROR(I18/I$10,"")</f>
        <v>0</v>
      </c>
    </row>
    <row r="19">
      <c r="B19" s="6" t="inlineStr">
        <is>
          <t>受取配当金</t>
        </is>
      </c>
      <c r="C19" s="7" t="n">
        <v>30500</v>
      </c>
      <c r="D19" s="15">
        <f>IFERROR(C19/C$10,"")</f>
        <v>2.58805957999622e-05</v>
      </c>
      <c r="E19" s="7" t="n">
        <v>30500</v>
      </c>
      <c r="F19" s="15">
        <f>IFERROR(E19/E$10,"")</f>
        <v>2.58048721527644e-05</v>
      </c>
      <c r="G19" s="7" t="n">
        <v>30500</v>
      </c>
      <c r="H19" s="15">
        <f>IFERROR(G19/G$10,"")</f>
        <v>2.55039482122882e-05</v>
      </c>
      <c r="I19" s="7" t="n">
        <v>30950</v>
      </c>
      <c r="J19" s="15">
        <f>IFERROR(I19/I$10,"")</f>
        <v>7.52757572925421e-05</v>
      </c>
    </row>
    <row r="20">
      <c r="B20" s="6" t="inlineStr">
        <is>
          <t>受取奨励金</t>
        </is>
      </c>
      <c r="C20" s="7" t="n">
        <v>2284370</v>
      </c>
      <c r="D20" s="15">
        <f>IFERROR(C20/C$10,"")</f>
        <v>0.0019383887418872</v>
      </c>
      <c r="E20" s="7" t="n">
        <v>2406729</v>
      </c>
      <c r="F20" s="15">
        <f>IFERROR(E20/E$10,"")</f>
        <v>0.00203624046397871</v>
      </c>
      <c r="G20" s="7" t="n">
        <v>2513377</v>
      </c>
      <c r="H20" s="15">
        <f>IFERROR(G20/G$10,"")</f>
        <v>0.00210167333921168</v>
      </c>
      <c r="I20" s="7" t="n">
        <v>652788</v>
      </c>
      <c r="J20" s="15">
        <f>IFERROR(I20/I$10,"")</f>
        <v>0.0015876934103872</v>
      </c>
    </row>
    <row r="21">
      <c r="B21" s="6" t="inlineStr">
        <is>
          <t>受取延滞料</t>
        </is>
      </c>
      <c r="C21" s="7" t="n">
        <v>170242</v>
      </c>
      <c r="D21" s="15">
        <f>IFERROR(C21/C$10,"")</f>
        <v>0.000144457848858268</v>
      </c>
      <c r="E21" s="7" t="n">
        <v>147416</v>
      </c>
      <c r="F21" s="15">
        <f>IFERROR(E21/E$10,"")</f>
        <v>0.00012472298469744</v>
      </c>
      <c r="G21" s="7" t="n">
        <v>96879</v>
      </c>
      <c r="H21" s="15">
        <f>IFERROR(G21/G$10,"")</f>
        <v>8.10097376674841e-05</v>
      </c>
      <c r="I21" s="7" t="n">
        <v>51327</v>
      </c>
      <c r="J21" s="15">
        <f>IFERROR(I21/I$10,"")</f>
        <v>0.000124836148450866</v>
      </c>
    </row>
    <row r="22">
      <c r="B22" s="6" t="inlineStr">
        <is>
          <t>受取運賃・配達収入</t>
        </is>
      </c>
      <c r="C22" s="7" t="n">
        <v>0</v>
      </c>
      <c r="D22" s="15">
        <f>IFERROR(C22/C$10,"")</f>
        <v>0</v>
      </c>
      <c r="E22" s="7" t="n">
        <v>0</v>
      </c>
      <c r="F22" s="15">
        <f>IFERROR(E22/E$10,"")</f>
        <v>0</v>
      </c>
      <c r="G22" s="7" t="n">
        <v>0</v>
      </c>
      <c r="H22" s="15">
        <f>IFERROR(G22/G$10,"")</f>
        <v>0</v>
      </c>
      <c r="I22" s="7" t="n">
        <v>49500</v>
      </c>
      <c r="J22" s="15">
        <f>IFERROR(I22/I$10,"")</f>
        <v>0.000120392568206166</v>
      </c>
    </row>
    <row r="23">
      <c r="B23" s="6" t="inlineStr">
        <is>
          <t>雑収入</t>
        </is>
      </c>
      <c r="C23" s="7" t="n">
        <v>8141731</v>
      </c>
      <c r="D23" s="15">
        <f>IFERROR(C23/C$10,"")</f>
        <v>0.0069086180040335</v>
      </c>
      <c r="E23" s="7" t="n">
        <v>8067387</v>
      </c>
      <c r="F23" s="15">
        <f>IFERROR(E23/E$10,"")</f>
        <v>0.00682550459481554</v>
      </c>
      <c r="G23" s="7" t="n">
        <v>3669539</v>
      </c>
      <c r="H23" s="15">
        <f>IFERROR(G23/G$10,"")</f>
        <v>0.00306845024980235</v>
      </c>
      <c r="I23" s="7" t="n">
        <v>976086</v>
      </c>
      <c r="J23" s="15">
        <f>IFERROR(I23/I$10,"")</f>
        <v>0.00237401010767846</v>
      </c>
    </row>
    <row r="24">
      <c r="B24" s="12" t="inlineStr">
        <is>
          <t>営業外収益計</t>
        </is>
      </c>
      <c r="C24" s="7">
        <f>SUM(C18:C23)</f>
        <v>10628095</v>
      </c>
      <c r="D24" s="15">
        <f>IFERROR(C24/C$10,"")</f>
        <v>0.00901840756782292</v>
      </c>
      <c r="E24" s="7">
        <f>SUM(E18:E23)</f>
        <v>10736890</v>
      </c>
      <c r="F24" s="15">
        <f>IFERROR(E24/E$10,"")</f>
        <v>0.00908406799240311</v>
      </c>
      <c r="G24" s="7">
        <f>SUM(G18:G23)</f>
        <v>6577758</v>
      </c>
      <c r="H24" s="15">
        <f>IFERROR(G24/G$10,"")</f>
        <v>0.00550028850442506</v>
      </c>
      <c r="I24" s="7">
        <f>SUM(I18:I23)</f>
        <v>1760651</v>
      </c>
      <c r="J24" s="15">
        <f>IFERROR(I24/I$10,"")</f>
        <v>0.00428220799201523</v>
      </c>
    </row>
    <row r="25">
      <c r="B25" s="6" t="inlineStr">
        <is>
          <t>支払利息</t>
        </is>
      </c>
      <c r="C25" s="7" t="n">
        <v>3962441</v>
      </c>
      <c r="D25" s="15">
        <f>IFERROR(C25/C$10,"")</f>
        <v>0.00336230602958026</v>
      </c>
      <c r="E25" s="7" t="n">
        <v>4040547</v>
      </c>
      <c r="F25" s="15">
        <f>IFERROR(E25/E$10,"")</f>
        <v>0.0034185507790897</v>
      </c>
      <c r="G25" s="7" t="n">
        <v>3895556</v>
      </c>
      <c r="H25" s="15">
        <f>IFERROR(G25/G$10,"")</f>
        <v>0.00325744454039569</v>
      </c>
      <c r="I25" s="7" t="n">
        <v>1192744</v>
      </c>
      <c r="J25" s="15">
        <f>IFERROR(I25/I$10,"")</f>
        <v>0.00290095986611101</v>
      </c>
    </row>
    <row r="26">
      <c r="B26" s="6" t="inlineStr">
        <is>
          <t>出荷奨励金</t>
        </is>
      </c>
      <c r="C26" s="7" t="n">
        <v>105862</v>
      </c>
      <c r="D26" s="15">
        <f>IFERROR(C26/C$10,"")</f>
        <v>8.98285781172326e-05</v>
      </c>
      <c r="E26" s="7" t="n">
        <v>92022</v>
      </c>
      <c r="F26" s="15">
        <f>IFERROR(E26/E$10,"")</f>
        <v>7.78562604997275e-05</v>
      </c>
      <c r="G26" s="7" t="n">
        <v>94929</v>
      </c>
      <c r="H26" s="15">
        <f>IFERROR(G26/G$10,"")</f>
        <v>7.93791573719444e-05</v>
      </c>
      <c r="I26" s="7" t="n">
        <v>0</v>
      </c>
      <c r="J26" s="15">
        <f>IFERROR(I26/I$10,"")</f>
        <v>0</v>
      </c>
    </row>
    <row r="27">
      <c r="B27" s="6" t="inlineStr">
        <is>
          <t>雑損失</t>
        </is>
      </c>
      <c r="C27" s="7" t="n">
        <v>0</v>
      </c>
      <c r="D27" s="15">
        <f>IFERROR(C27/C$10,"")</f>
        <v>0</v>
      </c>
      <c r="E27" s="7" t="n">
        <v>0</v>
      </c>
      <c r="F27" s="15">
        <f>IFERROR(E27/E$10,"")</f>
        <v>0</v>
      </c>
      <c r="G27" s="7" t="n">
        <v>379401</v>
      </c>
      <c r="H27" s="15">
        <f>IFERROR(G27/G$10,"")</f>
        <v>0.000317253228055421</v>
      </c>
      <c r="I27" s="7" t="n">
        <v>0</v>
      </c>
      <c r="J27" s="15">
        <f>IFERROR(I27/I$10,"")</f>
        <v>0</v>
      </c>
    </row>
    <row r="28">
      <c r="B28" s="12" t="inlineStr">
        <is>
          <t>営業外費用計</t>
        </is>
      </c>
      <c r="C28" s="7">
        <f>SUM(C25:C27)</f>
        <v>4068303</v>
      </c>
      <c r="D28" s="15">
        <f>IFERROR(C28/C$10,"")</f>
        <v>0.00345213460769749</v>
      </c>
      <c r="E28" s="7">
        <f>SUM(E25:E27)</f>
        <v>4132569</v>
      </c>
      <c r="F28" s="15">
        <f>IFERROR(E28/E$10,"")</f>
        <v>0.00349640703958943</v>
      </c>
      <c r="G28" s="7">
        <f>SUM(G25:G27)</f>
        <v>4369886</v>
      </c>
      <c r="H28" s="15">
        <f>IFERROR(G28/G$10,"")</f>
        <v>0.00365407692582305</v>
      </c>
      <c r="I28" s="7">
        <f>SUM(I25:I27)</f>
        <v>1192744</v>
      </c>
      <c r="J28" s="15">
        <f>IFERROR(I28/I$10,"")</f>
        <v>0.00290095986611101</v>
      </c>
    </row>
    <row r="29">
      <c r="B29" s="10" t="inlineStr">
        <is>
          <t>経常利益</t>
        </is>
      </c>
      <c r="C29" s="11">
        <f>C17+C24-C28</f>
        <v>11316540</v>
      </c>
      <c r="D29" s="15">
        <f>IFERROR(C29/C$10,"")</f>
        <v>0.00960258352767554</v>
      </c>
      <c r="E29" s="11">
        <f>E17+E24-E28</f>
        <v>2181381</v>
      </c>
      <c r="F29" s="15">
        <f>IFERROR(E29/E$10,"")</f>
        <v>0.00184558222365474</v>
      </c>
      <c r="G29" s="11">
        <f>G17+G24-G28</f>
        <v>8067784</v>
      </c>
      <c r="H29" s="15">
        <f>IFERROR(G29/G$10,"")</f>
        <v>0.00674624083029269</v>
      </c>
      <c r="I29" s="11">
        <f>I17+I24-I28</f>
        <v>5884887</v>
      </c>
      <c r="J29" s="15">
        <f>IFERROR(I29/I$10,"")</f>
        <v>0.0143130638289511</v>
      </c>
    </row>
    <row r="30">
      <c r="B30" s="6" t="inlineStr">
        <is>
          <t>固定資産売却益</t>
        </is>
      </c>
      <c r="C30" s="7" t="n">
        <v>1711177</v>
      </c>
      <c r="D30" s="15">
        <f>IFERROR(C30/C$10,"")</f>
        <v>0.0014520091894817</v>
      </c>
      <c r="E30" s="7" t="n">
        <v>1608918</v>
      </c>
      <c r="F30" s="15">
        <f>IFERROR(E30/E$10,"")</f>
        <v>0.00136124338669775</v>
      </c>
      <c r="G30" s="7" t="n">
        <v>0</v>
      </c>
      <c r="H30" s="15">
        <f>IFERROR(G30/G$10,"")</f>
        <v>0</v>
      </c>
      <c r="I30" s="7" t="n">
        <v>0</v>
      </c>
      <c r="J30" s="15">
        <f>IFERROR(I30/I$10,"")</f>
        <v>0</v>
      </c>
    </row>
    <row r="31">
      <c r="B31" s="6" t="inlineStr">
        <is>
          <t>貸倒引当金戻入</t>
        </is>
      </c>
      <c r="C31" s="7" t="n">
        <v>176000</v>
      </c>
      <c r="D31" s="15">
        <f>IFERROR(C31/C$10,"")</f>
        <v>0.000149343765927651</v>
      </c>
      <c r="E31" s="7" t="n">
        <v>237000</v>
      </c>
      <c r="F31" s="15">
        <f>IFERROR(E31/E$10,"")</f>
        <v>0.000200516547547711</v>
      </c>
      <c r="G31" s="7" t="n">
        <v>234000</v>
      </c>
      <c r="H31" s="15">
        <f>IFERROR(G31/G$10,"")</f>
        <v>0.000195669635464768</v>
      </c>
      <c r="I31" s="7" t="n">
        <v>0</v>
      </c>
      <c r="J31" s="15">
        <f>IFERROR(I31/I$10,"")</f>
        <v>0</v>
      </c>
    </row>
    <row r="32">
      <c r="B32" s="12" t="inlineStr">
        <is>
          <t>特別利益計</t>
        </is>
      </c>
      <c r="C32" s="7">
        <f>SUM(C30:C31)</f>
        <v>1887177</v>
      </c>
      <c r="D32" s="15">
        <f>IFERROR(C32/C$10,"")</f>
        <v>0.00160135295540935</v>
      </c>
      <c r="E32" s="7">
        <f>SUM(E30:E31)</f>
        <v>1845918</v>
      </c>
      <c r="F32" s="15">
        <f>IFERROR(E32/E$10,"")</f>
        <v>0.00156175993424546</v>
      </c>
      <c r="G32" s="7">
        <f>SUM(G30:G31)</f>
        <v>234000</v>
      </c>
      <c r="H32" s="15">
        <f>IFERROR(G32/G$10,"")</f>
        <v>0.000195669635464768</v>
      </c>
      <c r="I32" s="7">
        <f>SUM(I30:I31)</f>
        <v>0</v>
      </c>
      <c r="J32" s="15">
        <f>IFERROR(I32/I$10,"")</f>
        <v>0</v>
      </c>
    </row>
    <row r="33">
      <c r="B33" s="6" t="inlineStr">
        <is>
          <t>固定資産売却除却損</t>
        </is>
      </c>
      <c r="C33" s="7" t="n">
        <v>201719</v>
      </c>
      <c r="D33" s="15">
        <f>IFERROR(C33/C$10,"")</f>
        <v>0.000171167472267953</v>
      </c>
      <c r="E33" s="7" t="n">
        <v>0</v>
      </c>
      <c r="F33" s="15">
        <f>IFERROR(E33/E$10,"")</f>
        <v>0</v>
      </c>
      <c r="G33" s="7" t="n">
        <v>1</v>
      </c>
      <c r="H33" s="15">
        <f>IFERROR(G33/G$10,"")</f>
        <v>8.3619502335371e-10</v>
      </c>
      <c r="I33" s="7" t="n">
        <v>0</v>
      </c>
      <c r="J33" s="15">
        <f>IFERROR(I33/I$10,"")</f>
        <v>0</v>
      </c>
    </row>
    <row r="34">
      <c r="B34" s="6" t="inlineStr">
        <is>
          <t>貸倒引当金繰入</t>
        </is>
      </c>
      <c r="C34" s="7" t="n">
        <v>237000</v>
      </c>
      <c r="D34" s="15">
        <f>IFERROR(C34/C$10,"")</f>
        <v>0.000201104957527575</v>
      </c>
      <c r="E34" s="7" t="n">
        <v>234000</v>
      </c>
      <c r="F34" s="15">
        <f>IFERROR(E34/E$10,"")</f>
        <v>0.000197978363401537</v>
      </c>
      <c r="G34" s="7" t="n">
        <v>203000</v>
      </c>
      <c r="H34" s="15">
        <f>IFERROR(G34/G$10,"")</f>
        <v>0.000169747589740803</v>
      </c>
      <c r="I34" s="7" t="n">
        <v>0</v>
      </c>
      <c r="J34" s="15">
        <f>IFERROR(I34/I$10,"")</f>
        <v>0</v>
      </c>
    </row>
    <row r="35">
      <c r="B35" s="6" t="inlineStr">
        <is>
          <t>前期損益修正損</t>
        </is>
      </c>
      <c r="C35" s="7" t="n">
        <v>0</v>
      </c>
      <c r="D35" s="15">
        <f>IFERROR(C35/C$10,"")</f>
        <v>0</v>
      </c>
      <c r="E35" s="7" t="n">
        <v>0</v>
      </c>
      <c r="F35" s="15">
        <f>IFERROR(E35/E$10,"")</f>
        <v>0</v>
      </c>
      <c r="G35" s="7" t="n">
        <v>20900138</v>
      </c>
      <c r="H35" s="15">
        <f>IFERROR(G35/G$10,"")</f>
        <v>0.0174765913830058</v>
      </c>
      <c r="I35" s="7" t="n">
        <v>0</v>
      </c>
      <c r="J35" s="15">
        <f>IFERROR(I35/I$10,"")</f>
        <v>0</v>
      </c>
    </row>
    <row r="36">
      <c r="B36" s="12" t="inlineStr">
        <is>
          <t>特別損失計</t>
        </is>
      </c>
      <c r="C36" s="7">
        <f>SUM(C33:C35)</f>
        <v>438719</v>
      </c>
      <c r="D36" s="15">
        <f>IFERROR(C36/C$10,"")</f>
        <v>0.000372272429795528</v>
      </c>
      <c r="E36" s="7">
        <f>SUM(E33:E35)</f>
        <v>234000</v>
      </c>
      <c r="F36" s="15">
        <f>IFERROR(E36/E$10,"")</f>
        <v>0.000197978363401537</v>
      </c>
      <c r="G36" s="7">
        <f>SUM(G33:G35)</f>
        <v>21103139</v>
      </c>
      <c r="H36" s="15">
        <f>IFERROR(G36/G$10,"")</f>
        <v>0.0176463398089416</v>
      </c>
      <c r="I36" s="7">
        <f>SUM(I33:I35)</f>
        <v>0</v>
      </c>
      <c r="J36" s="15">
        <f>IFERROR(I36/I$10,"")</f>
        <v>0</v>
      </c>
    </row>
    <row r="37">
      <c r="B37" s="8" t="inlineStr">
        <is>
          <t>税引前当期純利益</t>
        </is>
      </c>
      <c r="C37" s="9">
        <f>C29+C32-C36</f>
        <v>12764998</v>
      </c>
      <c r="D37" s="15">
        <f>IFERROR(C37/C$10,"")</f>
        <v>0.0108316640532894</v>
      </c>
      <c r="E37" s="9">
        <f>E29+E32-E36</f>
        <v>3793299</v>
      </c>
      <c r="F37" s="15">
        <f>IFERROR(E37/E$10,"")</f>
        <v>0.00320936379449866</v>
      </c>
      <c r="G37" s="9">
        <f>G29+G32-G36</f>
        <v>-12801355</v>
      </c>
      <c r="H37" s="15">
        <f>IFERROR(G37/G$10,"")</f>
        <v>-0.0107044293431841</v>
      </c>
      <c r="I37" s="9">
        <f>I29+I32-I36</f>
        <v>5884887</v>
      </c>
      <c r="J37" s="15">
        <f>IFERROR(I37/I$10,"")</f>
        <v>0.0143130638289511</v>
      </c>
    </row>
    <row r="38">
      <c r="B38" s="6" t="inlineStr">
        <is>
          <t>法人税等</t>
        </is>
      </c>
      <c r="C38" s="7" t="n">
        <v>3658100</v>
      </c>
      <c r="D38" s="15">
        <f>IFERROR(C38/C$10,"")</f>
        <v>0.00310405926215874</v>
      </c>
      <c r="E38" s="7" t="n">
        <v>864400</v>
      </c>
      <c r="F38" s="15">
        <f>IFERROR(E38/E$10,"")</f>
        <v>0.000731335458650806</v>
      </c>
      <c r="G38" s="7" t="n">
        <v>2283300</v>
      </c>
      <c r="H38" s="15">
        <f>IFERROR(G38/G$10,"")</f>
        <v>0.00190928409682353</v>
      </c>
      <c r="I38" s="7" t="n">
        <v>0</v>
      </c>
      <c r="J38" s="15">
        <f>IFERROR(I38/I$10,"")</f>
        <v>0</v>
      </c>
    </row>
    <row r="39">
      <c r="B39" s="10" t="inlineStr">
        <is>
          <t>当期純利益</t>
        </is>
      </c>
      <c r="C39" s="11">
        <f>C37-C38</f>
        <v>9106898</v>
      </c>
      <c r="D39" s="15">
        <f>IFERROR(C39/C$10,"")</f>
        <v>0.00772760479113062</v>
      </c>
      <c r="E39" s="11">
        <f>E37-E38</f>
        <v>2928899</v>
      </c>
      <c r="F39" s="15">
        <f>IFERROR(E39/E$10,"")</f>
        <v>0.00247802833584786</v>
      </c>
      <c r="G39" s="11">
        <f>G37-G38</f>
        <v>-15084655</v>
      </c>
      <c r="H39" s="15">
        <f>IFERROR(G39/G$10,"")</f>
        <v>-0.0126137134400077</v>
      </c>
      <c r="I39" s="11">
        <f>I37-I38</f>
        <v>5884887</v>
      </c>
      <c r="J39" s="15">
        <f>IFERROR(I39/I$10,"")</f>
        <v>0.0143130638289511</v>
      </c>
    </row>
    <row r="41">
      <c r="B41" s="5" t="inlineStr">
        <is>
          <t>チェック：営業利益</t>
        </is>
      </c>
      <c r="C41" t="b">
        <f>EXACT(C17,4756748)</f>
        <v>1</v>
      </c>
      <c r="E41" t="b">
        <f>EXACT(E17,-4422940)</f>
        <v>1</v>
      </c>
      <c r="G41" t="b">
        <f>EXACT(G17,5859912)</f>
        <v>1</v>
      </c>
      <c r="I41" t="b">
        <f>EXACT(I17,5316980)</f>
        <v>1</v>
      </c>
    </row>
    <row r="42">
      <c r="B42" s="5" t="inlineStr">
        <is>
          <t>チェック：当期純利益</t>
        </is>
      </c>
      <c r="C42" t="b">
        <f>EXACT(C39,9106898)</f>
        <v>1</v>
      </c>
      <c r="E42" t="b">
        <f>EXACT(E39,2928899)</f>
        <v>1</v>
      </c>
      <c r="G42" t="b">
        <f>EXACT(G39,-15084655)</f>
        <v>1</v>
      </c>
      <c r="I42" t="b">
        <f>EXACT(I39,5884887)</f>
        <v>1</v>
      </c>
    </row>
    <row r="44">
      <c r="B44" s="16" t="inlineStr">
        <is>
          <t>※決算書では売上高は「商品売上高」1本で表示。試算表では資材売上・センター費・委託手数料収入を区分しており、決算上の内訳は要確認。</t>
        </is>
      </c>
    </row>
    <row r="45">
      <c r="B45" s="16" t="inlineStr">
        <is>
          <t>※受託販売は2019年10月以降、受託手数料のみの純額表示（個別注記表）。買付販売（総額）と受託販売（純額）が混在するため、粗利率の期間比較には留意。</t>
        </is>
      </c>
    </row>
    <row r="46">
      <c r="B46" s="16" t="inlineStr">
        <is>
          <t>※2026/3期の前期損益修正損20,900千円は「過年度保険解約訂正額」（事業保険積立金の取崩し）。非経常損失。</t>
        </is>
      </c>
    </row>
    <row r="47">
      <c r="B47" s="16" t="inlineStr">
        <is>
          <t>※進行期（2026年7月試算表）は4か月累計。繁忙期（7〜8月）を含むため年換算しない。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304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0" customWidth="1" min="3" max="3"/>
  </cols>
  <sheetData>
    <row r="1">
      <c r="A1" s="1" t="inlineStr">
        <is>
          <t>会社概要（基本情報ページの原本）</t>
        </is>
      </c>
    </row>
    <row r="3" ht="30" customHeight="1">
      <c r="A3" s="4" t="inlineStr"/>
      <c r="B3" s="4" t="inlineStr">
        <is>
          <t>項目</t>
        </is>
      </c>
      <c r="C3" s="4" t="inlineStr">
        <is>
          <t>内容</t>
        </is>
      </c>
    </row>
    <row r="4">
      <c r="B4" s="10" t="inlineStr">
        <is>
          <t>商号</t>
        </is>
      </c>
      <c r="C4" s="17" t="inlineStr">
        <is>
          <t>株式会社鶴岡中央青果</t>
        </is>
      </c>
    </row>
    <row r="5">
      <c r="B5" s="10" t="inlineStr">
        <is>
          <t>本店所在地</t>
        </is>
      </c>
      <c r="C5" s="17" t="inlineStr">
        <is>
          <t>山形県鶴岡市宝田一丁目4番20号</t>
        </is>
      </c>
    </row>
    <row r="6">
      <c r="B6" s="10" t="inlineStr">
        <is>
          <t>設立</t>
        </is>
      </c>
      <c r="C6" s="17" t="inlineStr">
        <is>
          <t>1973年（昭和48年）11月22日</t>
        </is>
      </c>
    </row>
    <row r="7">
      <c r="B7" s="10" t="inlineStr">
        <is>
          <t>代表者</t>
        </is>
      </c>
      <c r="C7" s="17" t="inlineStr">
        <is>
          <t>代表取締役　岡部 寛</t>
        </is>
      </c>
    </row>
    <row r="8">
      <c r="B8" s="10" t="inlineStr">
        <is>
          <t>資本金</t>
        </is>
      </c>
      <c r="C8" s="17" t="inlineStr">
        <is>
          <t>40,000千円</t>
        </is>
      </c>
    </row>
    <row r="9">
      <c r="B9" s="10" t="inlineStr">
        <is>
          <t>発行済株式総数</t>
        </is>
      </c>
      <c r="C9" s="17" t="inlineStr">
        <is>
          <t>4,000株（発行可能株式総数5,000株、譲渡制限あり：取締役会の承認）</t>
        </is>
      </c>
    </row>
    <row r="10">
      <c r="B10" s="10" t="inlineStr">
        <is>
          <t>事業内容</t>
        </is>
      </c>
      <c r="C10" s="17" t="inlineStr">
        <is>
          <t>青果物（野菜・果実）の卸売（鶴岡市宝田における地方卸売市場の開設・運営および卸売業）、包装資材・肥料等の販売、パッケージ（小分け・包装）業務、倉庫業</t>
        </is>
      </c>
    </row>
    <row r="11">
      <c r="B11" s="10" t="inlineStr">
        <is>
          <t>登記上の目的</t>
        </is>
      </c>
      <c r="C11" s="17" t="inlineStr">
        <is>
          <t>1 青果物の販売及び卸売の業務　2 倉庫業　3 前号に附帯する一切の業務</t>
        </is>
      </c>
    </row>
    <row r="12">
      <c r="B12" s="10" t="inlineStr">
        <is>
          <t>機関設計</t>
        </is>
      </c>
      <c r="C12" s="17" t="inlineStr">
        <is>
          <t>取締役会設置会社／監査役設置会社（監査の範囲を会計に限定）</t>
        </is>
      </c>
    </row>
    <row r="13">
      <c r="B13" s="10" t="inlineStr">
        <is>
          <t>従業員数</t>
        </is>
      </c>
      <c r="C13" s="17" t="inlineStr">
        <is>
          <t>職員名簿24名（うち正社員等17名・嘱託/再雇用/試用3名・パート3名・アルバイト1名）＋常勤役員2名（2026年9月1日現在）</t>
        </is>
      </c>
    </row>
    <row r="14">
      <c r="B14" s="10" t="inlineStr">
        <is>
          <t>決算期</t>
        </is>
      </c>
      <c r="C14" s="17" t="inlineStr">
        <is>
          <t>3月</t>
        </is>
      </c>
    </row>
    <row r="15">
      <c r="B15" s="10" t="inlineStr">
        <is>
          <t>営業時間／定休日</t>
        </is>
      </c>
      <c r="C15" s="17" t="inlineStr">
        <is>
          <t>6時〜17時（推察。概況説明書上「開店6時・閉店5時」）／水・日・祝日</t>
        </is>
      </c>
    </row>
    <row r="16">
      <c r="B16" s="10" t="inlineStr">
        <is>
          <t>主要取引金融機関</t>
        </is>
      </c>
      <c r="C16" s="17" t="inlineStr">
        <is>
          <t>鶴岡信用金庫、山形銀行、荘内銀行、日本政策金融公庫</t>
        </is>
      </c>
    </row>
    <row r="17">
      <c r="B17" s="10" t="inlineStr">
        <is>
          <t>顧問税理士</t>
        </is>
      </c>
      <c r="C17" s="17" t="inlineStr">
        <is>
          <t>池田昭一税理士事務所（山形県酒田市）</t>
        </is>
      </c>
    </row>
    <row r="18">
      <c r="B18" s="10" t="inlineStr">
        <is>
          <t>Webサイト</t>
        </is>
      </c>
      <c r="C18" s="17" t="inlineStr">
        <is>
          <t>https://www.turu-chu.co.jp/（検索結果により存在を確認。法人事業概況説明書では「HPなし」と記載：要確認）</t>
        </is>
      </c>
    </row>
    <row r="19">
      <c r="B19" s="10" t="inlineStr">
        <is>
          <t>直近業績(2026/3期)</t>
        </is>
      </c>
      <c r="C19" s="17" t="inlineStr">
        <is>
          <t>売上高 1,195,893千円／営業利益 5,859千円／経常利益 8,067千円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財務ハイライト（P/L）・調整後EBITDA</t>
        </is>
      </c>
    </row>
    <row r="2">
      <c r="A2" s="3" t="inlineStr">
        <is>
          <t>単位：千円（入力は円）</t>
        </is>
      </c>
    </row>
    <row r="4" ht="30" customHeight="1">
      <c r="A4" s="4" t="inlineStr"/>
      <c r="B4" s="4" t="inlineStr">
        <is>
          <t>項目</t>
        </is>
      </c>
      <c r="C4" s="4" t="inlineStr">
        <is>
          <t>2024年3月期
(第51期)</t>
        </is>
      </c>
      <c r="D4" s="4" t="inlineStr">
        <is>
          <t>2025年3月期
(第52期)</t>
        </is>
      </c>
      <c r="E4" s="4" t="inlineStr">
        <is>
          <t>2026年3月期
(第53期)</t>
        </is>
      </c>
      <c r="F4" s="4" t="inlineStr">
        <is>
          <t>3期平均</t>
        </is>
      </c>
      <c r="G4" s="4" t="inlineStr">
        <is>
          <t>直近2期平均</t>
        </is>
      </c>
      <c r="H4" s="4" t="inlineStr">
        <is>
          <t>備考</t>
        </is>
      </c>
    </row>
    <row r="5">
      <c r="B5" s="5" t="inlineStr">
        <is>
          <t>売上高</t>
        </is>
      </c>
      <c r="C5" s="18">
        <f>PL!C10</f>
        <v>1178489098</v>
      </c>
      <c r="D5" s="18">
        <f>PL!E10</f>
        <v>1181947340</v>
      </c>
      <c r="E5" s="18">
        <f>PL!G10</f>
        <v>1195893269</v>
      </c>
      <c r="F5" s="18">
        <f>AVERAGE(C5:E5)</f>
        <v>1185443235.66667</v>
      </c>
      <c r="G5" s="18">
        <f>AVERAGE(D5:E5)</f>
        <v>1188920304.5</v>
      </c>
      <c r="H5" s="19" t="inlineStr"/>
    </row>
    <row r="6">
      <c r="B6" s="12" t="inlineStr">
        <is>
          <t>売上総利益</t>
        </is>
      </c>
      <c r="C6" s="7">
        <f>PL!C15</f>
        <v>219580189</v>
      </c>
      <c r="D6" s="7">
        <f>PL!E15</f>
        <v>211295514</v>
      </c>
      <c r="E6" s="7">
        <f>PL!G15</f>
        <v>199010966</v>
      </c>
      <c r="F6" s="7">
        <f>AVERAGE(C6:E6)</f>
        <v>209962223</v>
      </c>
      <c r="G6" s="7">
        <f>AVERAGE(D6:E6)</f>
        <v>205153240</v>
      </c>
      <c r="H6" s="19" t="inlineStr"/>
    </row>
    <row r="7">
      <c r="B7" s="12" t="inlineStr">
        <is>
          <t>売上総利益率</t>
        </is>
      </c>
      <c r="C7" s="15">
        <f>IFERROR(C6/C5,"")</f>
        <v>0.186323479252075</v>
      </c>
      <c r="D7" s="15">
        <f>IFERROR(D6/D5,"")</f>
        <v>0.178768974597464</v>
      </c>
      <c r="E7" s="15">
        <f>IFERROR(E6/E5,"")</f>
        <v>0.166411979362014</v>
      </c>
      <c r="H7" s="19" t="inlineStr"/>
    </row>
    <row r="8">
      <c r="B8" s="12" t="inlineStr">
        <is>
          <t>販売費及び一般管理費</t>
        </is>
      </c>
      <c r="C8" s="7">
        <f>PL!C16</f>
        <v>214823441</v>
      </c>
      <c r="D8" s="7">
        <f>PL!E16</f>
        <v>215718454</v>
      </c>
      <c r="E8" s="7">
        <f>PL!G16</f>
        <v>193151054</v>
      </c>
      <c r="F8" s="7">
        <f>AVERAGE(C8:E8)</f>
        <v>207897649.666667</v>
      </c>
      <c r="G8" s="7">
        <f>AVERAGE(D8:E8)</f>
        <v>204434754</v>
      </c>
      <c r="H8" s="19" t="inlineStr"/>
    </row>
    <row r="9">
      <c r="B9" s="5" t="inlineStr">
        <is>
          <t>営業利益</t>
        </is>
      </c>
      <c r="C9" s="18">
        <f>PL!C17</f>
        <v>4756748</v>
      </c>
      <c r="D9" s="18">
        <f>PL!E17</f>
        <v>-4422940</v>
      </c>
      <c r="E9" s="18">
        <f>PL!G17</f>
        <v>5859912</v>
      </c>
      <c r="F9" s="18">
        <f>AVERAGE(C9:E9)</f>
        <v>2064573.33333333</v>
      </c>
      <c r="G9" s="18">
        <f>AVERAGE(D9:E9)</f>
        <v>718486</v>
      </c>
      <c r="H9" s="19" t="inlineStr"/>
    </row>
    <row r="10">
      <c r="B10" s="12" t="inlineStr">
        <is>
          <t>減価償却費</t>
        </is>
      </c>
      <c r="C10" s="7">
        <f>SGA!C31</f>
        <v>13663684</v>
      </c>
      <c r="D10" s="7">
        <f>SGA!E31</f>
        <v>12557564</v>
      </c>
      <c r="E10" s="7">
        <f>SGA!G31</f>
        <v>8878970</v>
      </c>
      <c r="F10" s="7">
        <f>AVERAGE(C10:E10)</f>
        <v>11700072.6666667</v>
      </c>
      <c r="G10" s="7">
        <f>AVERAGE(D10:E10)</f>
        <v>10718267</v>
      </c>
      <c r="H10" s="19" t="inlineStr"/>
    </row>
    <row r="11">
      <c r="B11" s="8" t="inlineStr">
        <is>
          <t>EBITDA（営業利益＋減価償却費）</t>
        </is>
      </c>
      <c r="C11" s="9">
        <f>C9+C10</f>
        <v>18420432</v>
      </c>
      <c r="D11" s="9">
        <f>D9+D10</f>
        <v>8134624</v>
      </c>
      <c r="E11" s="9">
        <f>E9+E10</f>
        <v>14738882</v>
      </c>
      <c r="F11" s="9">
        <f>AVERAGE(C11:E11)</f>
        <v>13764646</v>
      </c>
      <c r="G11" s="9">
        <f>AVERAGE(D11:E11)</f>
        <v>11436753</v>
      </c>
      <c r="H11" s="19" t="inlineStr"/>
    </row>
    <row r="12">
      <c r="B12" s="5" t="inlineStr">
        <is>
          <t>【調整項目】</t>
        </is>
      </c>
    </row>
    <row r="13">
      <c r="B13" s="6" t="inlineStr">
        <is>
          <t>代表者及びその家族分の役員報酬（実績）</t>
        </is>
      </c>
      <c r="C13" s="7" t="n">
        <v>10680000</v>
      </c>
      <c r="D13" s="7" t="n">
        <v>10680000</v>
      </c>
      <c r="E13" s="7" t="n">
        <v>4440000</v>
      </c>
      <c r="H13" s="19" t="inlineStr">
        <is>
          <t>勘定科目内訳書「人件費の内訳」</t>
        </is>
      </c>
    </row>
    <row r="14">
      <c r="B14" s="6" t="inlineStr">
        <is>
          <t>後任経営者の想定報酬（仮定）</t>
        </is>
      </c>
      <c r="C14" s="7" t="n">
        <v>8000000</v>
      </c>
      <c r="D14" s="7" t="n">
        <v>8000000</v>
      </c>
      <c r="E14" s="7" t="n">
        <v>8000000</v>
      </c>
      <c r="H14" s="19" t="inlineStr">
        <is>
          <t>（仮定）年8,000千円。譲渡後の経営体制により見直す</t>
        </is>
      </c>
    </row>
    <row r="15">
      <c r="B15" s="12" t="inlineStr">
        <is>
          <t>①役員報酬の正常化</t>
        </is>
      </c>
      <c r="C15" s="7">
        <f>C13-C14</f>
        <v>2680000</v>
      </c>
      <c r="D15" s="7">
        <f>D13-D14</f>
        <v>2680000</v>
      </c>
      <c r="E15" s="7">
        <f>E13-E14</f>
        <v>-3560000</v>
      </c>
      <c r="F15" s="7">
        <f>AVERAGE(C15:E15)</f>
        <v>600000</v>
      </c>
      <c r="G15" s="7">
        <f>AVERAGE(D15:E15)</f>
        <v>-440000</v>
      </c>
      <c r="H15" s="19" t="inlineStr">
        <is>
          <t>代表者・配偶者報酬を後任経営者想定報酬に置換（仮定）。常務取締役（2026/5退任、年6,600千円）の後任要否は要確認のため調整対象外</t>
        </is>
      </c>
    </row>
    <row r="16">
      <c r="B16" s="12" t="inlineStr">
        <is>
          <t>②賞与の正常化</t>
        </is>
      </c>
      <c r="C16" s="7">
        <f>0</f>
        <v>0</v>
      </c>
      <c r="D16" s="7">
        <f>0</f>
        <v>0</v>
      </c>
      <c r="E16" s="7">
        <f>-AVERAGE(SGA!C7,SGA!E7)</f>
        <v>-5847325</v>
      </c>
      <c r="F16" s="7">
        <f>AVERAGE(C16:E16)</f>
        <v>-1949108.33333333</v>
      </c>
      <c r="G16" s="7">
        <f>AVERAGE(D16:E16)</f>
        <v>-2923662.5</v>
      </c>
      <c r="H16" s="19" t="inlineStr">
        <is>
          <t>2026/3期は賞与計上なし。前2期平均相当を費用として控除（仮説：今後支給が再開される前提）。不支給の経緯は要確認</t>
        </is>
      </c>
    </row>
    <row r="17">
      <c r="B17" s="12" t="inlineStr">
        <is>
          <t>③受取奨励金（純額）の加算</t>
        </is>
      </c>
      <c r="C17" s="7">
        <f>PL!C20-PL!C26</f>
        <v>2178508</v>
      </c>
      <c r="D17" s="7">
        <f>PL!E20-PL!E26</f>
        <v>2314707</v>
      </c>
      <c r="E17" s="7">
        <f>PL!G20-PL!G26</f>
        <v>2418448</v>
      </c>
      <c r="F17" s="7">
        <f>AVERAGE(C17:E17)</f>
        <v>2303887.66666667</v>
      </c>
      <c r="G17" s="7">
        <f>AVERAGE(D17:E17)</f>
        <v>2366577.5</v>
      </c>
      <c r="H17" s="19" t="inlineStr">
        <is>
          <t>仕入完納等に伴い毎期経常的に発生する事業関連収益（受取奨励金−出荷奨励金）。発生根拠は要確認</t>
        </is>
      </c>
    </row>
    <row r="18">
      <c r="B18" s="12" t="inlineStr">
        <is>
          <t>調整額 計</t>
        </is>
      </c>
      <c r="C18" s="7">
        <f>C15+C16+C17</f>
        <v>4858508</v>
      </c>
      <c r="D18" s="7">
        <f>D15+D16+D17</f>
        <v>4994707</v>
      </c>
      <c r="E18" s="7">
        <f>E15+E16+E17</f>
        <v>-6988877</v>
      </c>
      <c r="F18" s="7">
        <f>AVERAGE(C18:E18)</f>
        <v>954779.333333333</v>
      </c>
      <c r="G18" s="7">
        <f>AVERAGE(D18:E18)</f>
        <v>-997085</v>
      </c>
      <c r="H18" s="19" t="inlineStr"/>
    </row>
    <row r="19">
      <c r="B19" s="10" t="inlineStr">
        <is>
          <t>調整後EBITDA</t>
        </is>
      </c>
      <c r="C19" s="11">
        <f>C11+C18</f>
        <v>23278940</v>
      </c>
      <c r="D19" s="11">
        <f>D11+D18</f>
        <v>13129331</v>
      </c>
      <c r="E19" s="11">
        <f>E11+E18</f>
        <v>7750005</v>
      </c>
      <c r="F19" s="11">
        <f>AVERAGE(C19:E19)</f>
        <v>14719425.3333333</v>
      </c>
      <c r="G19" s="11">
        <f>AVERAGE(D19:E19)</f>
        <v>10439668</v>
      </c>
      <c r="H19" s="19" t="inlineStr"/>
    </row>
    <row r="21">
      <c r="B21" s="12" t="inlineStr">
        <is>
          <t>経常利益</t>
        </is>
      </c>
      <c r="C21" s="7">
        <f>PL!C29</f>
        <v>11316540</v>
      </c>
      <c r="D21" s="7">
        <f>PL!E29</f>
        <v>2181381</v>
      </c>
      <c r="E21" s="7">
        <f>PL!G29</f>
        <v>8067784</v>
      </c>
      <c r="F21" s="7">
        <f>AVERAGE(C21:E21)</f>
        <v>7188568.33333333</v>
      </c>
      <c r="G21" s="7">
        <f>AVERAGE(D21:E21)</f>
        <v>5124582.5</v>
      </c>
      <c r="H21" s="19" t="inlineStr"/>
    </row>
    <row r="22">
      <c r="B22" s="12" t="inlineStr">
        <is>
          <t>当期純利益</t>
        </is>
      </c>
      <c r="C22" s="7">
        <f>PL!C39</f>
        <v>9106898</v>
      </c>
      <c r="D22" s="7">
        <f>PL!E39</f>
        <v>2928899</v>
      </c>
      <c r="E22" s="7">
        <f>PL!G39</f>
        <v>-15084655</v>
      </c>
      <c r="F22" s="7">
        <f>AVERAGE(C22:E22)</f>
        <v>-1016286</v>
      </c>
      <c r="G22" s="7">
        <f>AVERAGE(D22:E22)</f>
        <v>-6077878</v>
      </c>
      <c r="H22" s="19" t="inlineStr"/>
    </row>
    <row r="23">
      <c r="B23" s="12" t="inlineStr">
        <is>
          <t>支払利息</t>
        </is>
      </c>
      <c r="C23" s="7">
        <f>PL!C25</f>
        <v>3962441</v>
      </c>
      <c r="D23" s="7">
        <f>PL!E25</f>
        <v>4040547</v>
      </c>
      <c r="E23" s="7">
        <f>PL!G25</f>
        <v>3895556</v>
      </c>
      <c r="F23" s="7">
        <f>AVERAGE(C23:E23)</f>
        <v>3966181.33333333</v>
      </c>
      <c r="G23" s="7">
        <f>AVERAGE(D23:E23)</f>
        <v>3968051.5</v>
      </c>
      <c r="H23" s="19" t="inlineStr"/>
    </row>
    <row r="24">
      <c r="B24" s="12" t="inlineStr">
        <is>
          <t>人件費（役員報酬・給与・賞与・法定福利等）</t>
        </is>
      </c>
      <c r="C24" s="7">
        <f>SGA!C5+SGA!C6+SGA!C7+SGA!C8+SGA!C9+SGA!C10+SGA!C11</f>
        <v>120274546</v>
      </c>
      <c r="D24" s="7">
        <f>SGA!E5+SGA!E6+SGA!E7+SGA!E8+SGA!E9+SGA!E10+SGA!E11</f>
        <v>121407097</v>
      </c>
      <c r="E24" s="7">
        <f>SGA!G5+SGA!G6+SGA!G7+SGA!G8+SGA!G9+SGA!G10+SGA!G11</f>
        <v>104562438</v>
      </c>
      <c r="F24" s="7">
        <f>AVERAGE(C24:E24)</f>
        <v>115414693.666667</v>
      </c>
      <c r="G24" s="7">
        <f>AVERAGE(D24:E24)</f>
        <v>112984767.5</v>
      </c>
      <c r="H24" s="19" t="inlineStr"/>
    </row>
    <row r="25">
      <c r="B25" s="12" t="inlineStr">
        <is>
          <t>運賃＋車両関連費</t>
        </is>
      </c>
      <c r="C25" s="7">
        <f>SGA!C16+SGA!C15</f>
        <v>36022052</v>
      </c>
      <c r="D25" s="7">
        <f>SGA!E16+SGA!E15</f>
        <v>39619785</v>
      </c>
      <c r="E25" s="7">
        <f>SGA!G16+SGA!G15</f>
        <v>38858196</v>
      </c>
      <c r="F25" s="7">
        <f>AVERAGE(C25:E25)</f>
        <v>38166677.6666667</v>
      </c>
      <c r="G25" s="7">
        <f>AVERAGE(D25:E25)</f>
        <v>39238990.5</v>
      </c>
      <c r="H25" s="19" t="inlineStr"/>
    </row>
    <row r="27">
      <c r="B27" s="5" t="inlineStr">
        <is>
          <t>【進行期：2026年4〜7月（4か月累計）】</t>
        </is>
      </c>
    </row>
    <row r="28">
      <c r="B28" s="6" t="inlineStr">
        <is>
          <t>売上高</t>
        </is>
      </c>
      <c r="C28" s="7">
        <f>PL!I10</f>
        <v>411154947</v>
      </c>
    </row>
    <row r="29">
      <c r="B29" s="6" t="inlineStr">
        <is>
          <t>売上総利益</t>
        </is>
      </c>
      <c r="C29" s="7">
        <f>PL!I15</f>
        <v>61213573</v>
      </c>
    </row>
    <row r="30">
      <c r="B30" s="6" t="inlineStr">
        <is>
          <t>営業利益</t>
        </is>
      </c>
      <c r="C30" s="7">
        <f>PL!I17</f>
        <v>5316980</v>
      </c>
    </row>
    <row r="31">
      <c r="B31" s="6" t="inlineStr">
        <is>
          <t>減価償却費</t>
        </is>
      </c>
      <c r="C31" s="7">
        <f>SGA!I31</f>
        <v>2436000</v>
      </c>
    </row>
    <row r="32">
      <c r="B32" s="6" t="inlineStr">
        <is>
          <t>経常利益</t>
        </is>
      </c>
      <c r="C32" s="7">
        <f>PL!I29</f>
        <v>5884887</v>
      </c>
    </row>
    <row r="33">
      <c r="B33" s="6" t="inlineStr">
        <is>
          <t>売上総利益率</t>
        </is>
      </c>
      <c r="C33" s="15">
        <f>IFERROR(C29/C28,"")</f>
        <v>0.148882005303952</v>
      </c>
    </row>
    <row r="34">
      <c r="B34" s="6" t="inlineStr">
        <is>
          <t>前期同期間（4〜7月）売上高：概況説明書月別</t>
        </is>
      </c>
      <c r="C34" s="7" t="n">
        <v>419288000</v>
      </c>
      <c r="H34" s="19" t="inlineStr">
        <is>
          <t>2025年4〜7月の月別売上合計（千円単位の記載を円換算）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1" t="inlineStr">
        <is>
          <t>財務ハイライト（B/S）</t>
        </is>
      </c>
    </row>
    <row r="2">
      <c r="A2" s="3" t="inlineStr">
        <is>
          <t>単位：千円（入力は円）</t>
        </is>
      </c>
    </row>
    <row r="4" ht="30" customHeight="1">
      <c r="A4" s="4" t="inlineStr"/>
      <c r="B4" s="4" t="inlineStr">
        <is>
          <t>項目</t>
        </is>
      </c>
      <c r="C4" s="4" t="inlineStr">
        <is>
          <t>2024年3月期
(第51期)</t>
        </is>
      </c>
      <c r="D4" s="4" t="inlineStr">
        <is>
          <t>2025年3月期
(第52期)</t>
        </is>
      </c>
      <c r="E4" s="4" t="inlineStr">
        <is>
          <t>2026年3月期
(第53期)</t>
        </is>
      </c>
      <c r="F4" s="4" t="inlineStr">
        <is>
          <t>2026年7月
(試算表)</t>
        </is>
      </c>
      <c r="G4" s="4" t="inlineStr">
        <is>
          <t>備考</t>
        </is>
      </c>
    </row>
    <row r="5">
      <c r="B5" s="12" t="inlineStr">
        <is>
          <t>現金及び預金</t>
        </is>
      </c>
      <c r="C5" s="7">
        <f>'BS(借方)'!C6</f>
        <v>339552632</v>
      </c>
      <c r="D5" s="7">
        <f>'BS(借方)'!D6</f>
        <v>259719301</v>
      </c>
      <c r="E5" s="7">
        <f>'BS(借方)'!E6</f>
        <v>210887077</v>
      </c>
      <c r="F5" s="7">
        <f>'BS(借方)'!G6</f>
        <v>162087296</v>
      </c>
      <c r="G5" s="19" t="inlineStr"/>
    </row>
    <row r="6">
      <c r="B6" s="12" t="inlineStr">
        <is>
          <t>売上債権（売掛金・資材肥料売掛金）</t>
        </is>
      </c>
      <c r="C6" s="7">
        <f>'BS(借方)'!C7+'BS(借方)'!C8</f>
        <v>22523530</v>
      </c>
      <c r="D6" s="7">
        <f>'BS(借方)'!D7+'BS(借方)'!D8</f>
        <v>23165625</v>
      </c>
      <c r="E6" s="7">
        <f>'BS(借方)'!E7+'BS(借方)'!E8</f>
        <v>20836318</v>
      </c>
      <c r="F6" s="7">
        <f>'BS(借方)'!G7+'BS(借方)'!G8</f>
        <v>42952291</v>
      </c>
      <c r="G6" s="19" t="inlineStr"/>
    </row>
    <row r="7">
      <c r="B7" s="12" t="inlineStr">
        <is>
          <t>棚卸資産</t>
        </is>
      </c>
      <c r="C7" s="7">
        <f>'BS(借方)'!C9</f>
        <v>9859795</v>
      </c>
      <c r="D7" s="7">
        <f>'BS(借方)'!D9</f>
        <v>15443609</v>
      </c>
      <c r="E7" s="7">
        <f>'BS(借方)'!E9</f>
        <v>14596695</v>
      </c>
      <c r="F7" s="7">
        <f>'BS(借方)'!G9</f>
        <v>36647736</v>
      </c>
      <c r="G7" s="19" t="inlineStr"/>
    </row>
    <row r="8">
      <c r="B8" s="5" t="inlineStr">
        <is>
          <t>流動資産計</t>
        </is>
      </c>
      <c r="C8" s="18">
        <f>'BS(借方)'!C16</f>
        <v>375589011</v>
      </c>
      <c r="D8" s="18">
        <f>'BS(借方)'!D16</f>
        <v>303100807</v>
      </c>
      <c r="E8" s="18">
        <f>'BS(借方)'!E16</f>
        <v>249704912</v>
      </c>
      <c r="F8" s="18">
        <f>'BS(借方)'!G16</f>
        <v>244250605</v>
      </c>
      <c r="G8" s="19" t="inlineStr"/>
    </row>
    <row r="9">
      <c r="B9" s="12" t="inlineStr">
        <is>
          <t>建物・附属設備・構築物</t>
        </is>
      </c>
      <c r="C9" s="7">
        <f>'BS(借方)'!C18+'BS(借方)'!C19+'BS(借方)'!C20</f>
        <v>116961239</v>
      </c>
      <c r="D9" s="7">
        <f>'BS(借方)'!D18+'BS(借方)'!D19+'BS(借方)'!D20</f>
        <v>109687792</v>
      </c>
      <c r="E9" s="7">
        <f>'BS(借方)'!E18+'BS(借方)'!E19+'BS(借方)'!E20</f>
        <v>103749925</v>
      </c>
      <c r="F9" s="7">
        <f>'BS(借方)'!G18+'BS(借方)'!G19+'BS(借方)'!G20</f>
        <v>103749925</v>
      </c>
      <c r="G9" s="19" t="inlineStr"/>
    </row>
    <row r="10">
      <c r="B10" s="12" t="inlineStr">
        <is>
          <t>土地</t>
        </is>
      </c>
      <c r="C10" s="7">
        <f>'BS(借方)'!C24</f>
        <v>93137240</v>
      </c>
      <c r="D10" s="7">
        <f>'BS(借方)'!D24</f>
        <v>93137240</v>
      </c>
      <c r="E10" s="7">
        <f>'BS(借方)'!E24</f>
        <v>93137240</v>
      </c>
      <c r="F10" s="7">
        <f>'BS(借方)'!G24</f>
        <v>93137240</v>
      </c>
      <c r="G10" s="19" t="inlineStr">
        <is>
          <t>固定資産税評価額合計47,478千円（R8年度）。簿価との差は時価評価で要確認</t>
        </is>
      </c>
    </row>
    <row r="11">
      <c r="B11" s="12" t="inlineStr">
        <is>
          <t>保証金</t>
        </is>
      </c>
      <c r="C11" s="7">
        <f>'BS(借方)'!C35</f>
        <v>32002569</v>
      </c>
      <c r="D11" s="7">
        <f>'BS(借方)'!D35</f>
        <v>33002569</v>
      </c>
      <c r="E11" s="7">
        <f>'BS(借方)'!E35</f>
        <v>33302569</v>
      </c>
      <c r="F11" s="7">
        <f>'BS(借方)'!G35</f>
        <v>33302569</v>
      </c>
      <c r="G11" s="19" t="inlineStr">
        <is>
          <t>うち庄内青果物卸売精算(有)31,993千円（FY53）</t>
        </is>
      </c>
    </row>
    <row r="12">
      <c r="B12" s="12" t="inlineStr">
        <is>
          <t>事業保険積立金</t>
        </is>
      </c>
      <c r="C12" s="7">
        <f>'BS(借方)'!C36</f>
        <v>21161692</v>
      </c>
      <c r="D12" s="7">
        <f>'BS(借方)'!D36</f>
        <v>20900138</v>
      </c>
      <c r="E12" s="7">
        <f>'BS(借方)'!E36</f>
        <v>0</v>
      </c>
      <c r="F12" s="7">
        <f>'BS(借方)'!G36</f>
        <v>0</v>
      </c>
      <c r="G12" s="19" t="inlineStr">
        <is>
          <t>2026/3期に前期損益修正損として全額取崩し</t>
        </is>
      </c>
    </row>
    <row r="13">
      <c r="B13" s="8" t="inlineStr">
        <is>
          <t>資産合計</t>
        </is>
      </c>
      <c r="C13" s="9">
        <f>'BS(借方)'!C40</f>
        <v>651947559</v>
      </c>
      <c r="D13" s="9">
        <f>'BS(借方)'!D40</f>
        <v>567528964</v>
      </c>
      <c r="E13" s="9">
        <f>'BS(借方)'!E40</f>
        <v>485190104</v>
      </c>
      <c r="F13" s="9">
        <f>'BS(借方)'!G40</f>
        <v>476299797</v>
      </c>
      <c r="G13" s="19" t="inlineStr"/>
    </row>
    <row r="14">
      <c r="B14" s="12" t="inlineStr">
        <is>
          <t>仕入債務（買掛金）</t>
        </is>
      </c>
      <c r="C14" s="7">
        <f>'BS (貸方)'!C6</f>
        <v>18127739</v>
      </c>
      <c r="D14" s="7">
        <f>'BS (貸方)'!D6</f>
        <v>19954920</v>
      </c>
      <c r="E14" s="7">
        <f>'BS (貸方)'!E6</f>
        <v>26349122</v>
      </c>
      <c r="F14" s="7">
        <f>'BS (貸方)'!G6</f>
        <v>32102162</v>
      </c>
      <c r="G14" s="19" t="inlineStr"/>
    </row>
    <row r="15">
      <c r="B15" s="12" t="inlineStr">
        <is>
          <t>有利子負債（長期借入金）</t>
        </is>
      </c>
      <c r="C15" s="7">
        <f>'BS (貸方)'!C14</f>
        <v>514690000</v>
      </c>
      <c r="D15" s="7">
        <f>'BS (貸方)'!D14</f>
        <v>434046000</v>
      </c>
      <c r="E15" s="7">
        <f>'BS (貸方)'!E14</f>
        <v>361058000</v>
      </c>
      <c r="F15" s="7">
        <f>'BS (貸方)'!G14</f>
        <v>337862000</v>
      </c>
      <c r="G15" s="19" t="inlineStr"/>
    </row>
    <row r="16">
      <c r="B16" s="12" t="inlineStr">
        <is>
          <t>預り保証金</t>
        </is>
      </c>
      <c r="C16" s="7">
        <f>'BS (貸方)'!C15</f>
        <v>10320000</v>
      </c>
      <c r="D16" s="7">
        <f>'BS (貸方)'!D15</f>
        <v>10270000</v>
      </c>
      <c r="E16" s="7">
        <f>'BS (貸方)'!E15</f>
        <v>8980000</v>
      </c>
      <c r="F16" s="7">
        <f>'BS (貸方)'!G15</f>
        <v>8980000</v>
      </c>
      <c r="G16" s="19" t="inlineStr">
        <is>
          <t>取引先（仲卸・買参人等と推察）からの預り。債務類似項目</t>
        </is>
      </c>
    </row>
    <row r="17">
      <c r="B17" s="5" t="inlineStr">
        <is>
          <t>負債合計</t>
        </is>
      </c>
      <c r="C17" s="18">
        <f>'BS (貸方)'!C17</f>
        <v>559119222</v>
      </c>
      <c r="D17" s="18">
        <f>'BS (貸方)'!D17</f>
        <v>473771728</v>
      </c>
      <c r="E17" s="18">
        <f>'BS (貸方)'!E17</f>
        <v>407317523</v>
      </c>
      <c r="F17" s="18">
        <f>'BS (貸方)'!G17</f>
        <v>392542329</v>
      </c>
      <c r="G17" s="19" t="inlineStr"/>
    </row>
    <row r="18">
      <c r="B18" s="10" t="inlineStr">
        <is>
          <t>純資産</t>
        </is>
      </c>
      <c r="C18" s="11">
        <f>'BS (貸方)'!C22</f>
        <v>92828337</v>
      </c>
      <c r="D18" s="11">
        <f>'BS (貸方)'!D22</f>
        <v>93757236</v>
      </c>
      <c r="E18" s="11">
        <f>'BS (貸方)'!E22</f>
        <v>77872581</v>
      </c>
      <c r="F18" s="11">
        <f>'BS (貸方)'!G22</f>
        <v>83757468</v>
      </c>
      <c r="G18" s="19" t="inlineStr"/>
    </row>
    <row r="19">
      <c r="B19" s="12" t="inlineStr">
        <is>
          <t>自己資本比率</t>
        </is>
      </c>
      <c r="C19" s="15">
        <f>IFERROR(C18/C13,"")</f>
        <v>0.142386202262014</v>
      </c>
      <c r="D19" s="15">
        <f>IFERROR(D18/D13,"")</f>
        <v>0.165202556957075</v>
      </c>
      <c r="E19" s="15">
        <f>IFERROR(E18/E13,"")</f>
        <v>0.160499112323198</v>
      </c>
      <c r="F19" s="15">
        <f>IFERROR(F18/F13,"")</f>
        <v>0.175850312193184</v>
      </c>
      <c r="G19" s="19" t="inlineStr"/>
    </row>
    <row r="20">
      <c r="B20" s="5" t="inlineStr">
        <is>
          <t>ネットデット（有利子負債−現預金）</t>
        </is>
      </c>
      <c r="C20" s="18">
        <f>C15-C5</f>
        <v>175137368</v>
      </c>
      <c r="D20" s="18">
        <f>D15-D5</f>
        <v>174326699</v>
      </c>
      <c r="E20" s="18">
        <f>E15-E5</f>
        <v>150170923</v>
      </c>
      <c r="F20" s="18">
        <f>F15-F5</f>
        <v>175774704</v>
      </c>
      <c r="G20" s="19" t="inlineStr">
        <is>
          <t>預り保証金は含めず</t>
        </is>
      </c>
    </row>
    <row r="22">
      <c r="B22" s="5" t="inlineStr">
        <is>
          <t>借入先別残高（2026/3期末）</t>
        </is>
      </c>
    </row>
    <row r="23">
      <c r="B23" s="6" t="inlineStr">
        <is>
          <t>鶴岡信用金庫 本店営業部</t>
        </is>
      </c>
      <c r="E23" s="7" t="n">
        <v>182840000</v>
      </c>
    </row>
    <row r="24">
      <c r="B24" s="6" t="inlineStr">
        <is>
          <t>山形銀行 鶴岡支店</t>
        </is>
      </c>
      <c r="E24" s="7" t="n">
        <v>70250000</v>
      </c>
    </row>
    <row r="25">
      <c r="B25" s="6" t="inlineStr">
        <is>
          <t>日本政策金融公庫 山形支店（1）</t>
        </is>
      </c>
      <c r="E25" s="7" t="n">
        <v>60730000</v>
      </c>
    </row>
    <row r="26">
      <c r="B26" s="6" t="inlineStr">
        <is>
          <t>日本政策金融公庫 山形支店（2）</t>
        </is>
      </c>
      <c r="E26" s="7" t="n">
        <v>39380000</v>
      </c>
    </row>
    <row r="27">
      <c r="B27" s="6" t="inlineStr">
        <is>
          <t>日本政策金融公庫 山形支店（3）</t>
        </is>
      </c>
      <c r="E27" s="7" t="n">
        <v>7858000</v>
      </c>
    </row>
    <row r="28">
      <c r="B28" s="5" t="inlineStr">
        <is>
          <t>合計</t>
        </is>
      </c>
      <c r="E28" s="18">
        <f>SUM(E23:E27)</f>
        <v>361058000</v>
      </c>
    </row>
    <row r="29">
      <c r="B29" s="19" t="inlineStr">
        <is>
          <t>※金利・返済条件・担保・保証（代表者の連帯保証含む）は内訳書に記載がなく要確認。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主要販売先（期末売掛金残高ベース）</t>
        </is>
      </c>
    </row>
    <row r="2">
      <c r="A2" s="3" t="inlineStr">
        <is>
          <t>単位：千円（入力は円）／年間取引高は資料未受領のため期末残高で代替（要確認）</t>
        </is>
      </c>
    </row>
    <row r="4" ht="30" customHeight="1">
      <c r="A4" s="4" t="inlineStr"/>
      <c r="B4" s="4" t="inlineStr">
        <is>
          <t>相手先</t>
        </is>
      </c>
      <c r="C4" s="4" t="inlineStr">
        <is>
          <t>2024/3末</t>
        </is>
      </c>
      <c r="D4" s="4" t="inlineStr">
        <is>
          <t>2025/3末</t>
        </is>
      </c>
      <c r="E4" s="4" t="inlineStr">
        <is>
          <t>2026/3末</t>
        </is>
      </c>
      <c r="F4" s="4" t="inlineStr">
        <is>
          <t>所在地</t>
        </is>
      </c>
      <c r="G4" s="4" t="inlineStr">
        <is>
          <t>業態・備考</t>
        </is>
      </c>
    </row>
    <row r="5">
      <c r="B5" s="12" t="inlineStr">
        <is>
          <t>(株)主婦の店</t>
        </is>
      </c>
      <c r="C5" s="7" t="n">
        <v>7624554</v>
      </c>
      <c r="D5" s="7" t="n">
        <v>7465020</v>
      </c>
      <c r="E5" s="7" t="n">
        <v>7194026</v>
      </c>
      <c r="F5" s="19" t="inlineStr">
        <is>
          <t>鶴岡市</t>
        </is>
      </c>
      <c r="G5" s="19" t="inlineStr">
        <is>
          <t>食品スーパー（推察）</t>
        </is>
      </c>
    </row>
    <row r="6">
      <c r="B6" s="12" t="inlineStr">
        <is>
          <t>小島商店</t>
        </is>
      </c>
      <c r="C6" s="7" t="n">
        <v>3566319</v>
      </c>
      <c r="D6" s="7" t="n">
        <v>1609526</v>
      </c>
      <c r="E6" s="7" t="n">
        <v>2482212</v>
      </c>
      <c r="F6" s="19" t="inlineStr">
        <is>
          <t>鶴岡市</t>
        </is>
      </c>
      <c r="G6" s="19" t="inlineStr">
        <is>
          <t>青果小売（推察）</t>
        </is>
      </c>
    </row>
    <row r="7">
      <c r="B7" s="12" t="inlineStr">
        <is>
          <t>長井中央青果(株)</t>
        </is>
      </c>
      <c r="C7" s="7" t="n">
        <v>3038668</v>
      </c>
      <c r="D7" s="7" t="n">
        <v>4185185</v>
      </c>
      <c r="E7" s="7" t="n">
        <v>1785378</v>
      </c>
      <c r="F7" s="19" t="inlineStr">
        <is>
          <t>長井市</t>
        </is>
      </c>
      <c r="G7" s="19" t="inlineStr">
        <is>
          <t>青果卸（長井中央青果地方卸売市場）</t>
        </is>
      </c>
    </row>
    <row r="8">
      <c r="B8" s="12" t="inlineStr">
        <is>
          <t>生活協同組合共立社</t>
        </is>
      </c>
      <c r="C8" s="7" t="n">
        <v>1109653</v>
      </c>
      <c r="D8" s="7" t="n">
        <v>2034205</v>
      </c>
      <c r="E8" s="7" t="n">
        <v>1931830</v>
      </c>
      <c r="F8" s="19" t="inlineStr">
        <is>
          <t>鶴岡市</t>
        </is>
      </c>
      <c r="G8" s="19" t="inlineStr">
        <is>
          <t>生協</t>
        </is>
      </c>
    </row>
    <row r="9">
      <c r="B9" s="12" t="inlineStr">
        <is>
          <t>給食センター</t>
        </is>
      </c>
      <c r="C9" s="7" t="n">
        <v>793291</v>
      </c>
      <c r="D9" s="7" t="n">
        <v>1307264</v>
      </c>
      <c r="E9" s="7" t="n">
        <v>1121037</v>
      </c>
      <c r="F9" s="19" t="inlineStr">
        <is>
          <t>鶴岡市</t>
        </is>
      </c>
      <c r="G9" s="19" t="inlineStr">
        <is>
          <t>学校給食（推察）</t>
        </is>
      </c>
    </row>
    <row r="10">
      <c r="B10" s="12" t="inlineStr">
        <is>
          <t>元青果</t>
        </is>
      </c>
      <c r="C10" s="7" t="n">
        <v>1050840</v>
      </c>
      <c r="D10" s="7" t="n">
        <v>1018741</v>
      </c>
      <c r="E10" s="7" t="n">
        <v>745635</v>
      </c>
      <c r="F10" s="19" t="inlineStr">
        <is>
          <t>三川町</t>
        </is>
      </c>
      <c r="G10" s="19" t="inlineStr">
        <is>
          <t>公設庄内青果物地方卸売市場内事業者（推察）</t>
        </is>
      </c>
    </row>
    <row r="11">
      <c r="B11" s="12" t="inlineStr">
        <is>
          <t>生活協同組合連合会アイチョイス</t>
        </is>
      </c>
      <c r="C11" s="7" t="n">
        <v>751258</v>
      </c>
      <c r="D11" s="7" t="n">
        <v>1032520</v>
      </c>
      <c r="E11" s="7" t="n">
        <v>617729</v>
      </c>
      <c r="F11" s="19" t="inlineStr">
        <is>
          <t>名古屋市</t>
        </is>
      </c>
      <c r="G11" s="19" t="inlineStr">
        <is>
          <t>生協連合会</t>
        </is>
      </c>
    </row>
    <row r="12">
      <c r="B12" s="12" t="inlineStr">
        <is>
          <t>(株)みどりの里</t>
        </is>
      </c>
      <c r="C12" s="7" t="n">
        <v>502958</v>
      </c>
      <c r="D12" s="7" t="n">
        <v>886182</v>
      </c>
      <c r="E12" s="7" t="n"/>
      <c r="F12" s="19" t="inlineStr">
        <is>
          <t>愛知県豊田市</t>
        </is>
      </c>
      <c r="G12" s="19" t="inlineStr"/>
    </row>
    <row r="13">
      <c r="B13" s="12" t="inlineStr">
        <is>
          <t>(有)新庄丸果青果</t>
        </is>
      </c>
      <c r="C13" s="7" t="n">
        <v>825334</v>
      </c>
      <c r="D13" s="7" t="n">
        <v>705974</v>
      </c>
      <c r="E13" s="7" t="n"/>
      <c r="F13" s="19" t="inlineStr">
        <is>
          <t>新庄市</t>
        </is>
      </c>
      <c r="G13" s="19" t="inlineStr">
        <is>
          <t>青果卸（推察）</t>
        </is>
      </c>
    </row>
    <row r="14">
      <c r="B14" s="12" t="inlineStr">
        <is>
          <t>(株)やま高商店</t>
        </is>
      </c>
      <c r="C14" s="7" t="n">
        <v>862435</v>
      </c>
      <c r="D14" s="7" t="n"/>
      <c r="E14" s="7" t="n"/>
      <c r="F14" s="19" t="inlineStr">
        <is>
          <t>仙台市</t>
        </is>
      </c>
      <c r="G14" s="19" t="inlineStr"/>
    </row>
    <row r="15">
      <c r="B15" s="12" t="inlineStr">
        <is>
          <t>みどり水産</t>
        </is>
      </c>
      <c r="C15" s="7" t="n"/>
      <c r="D15" s="7" t="n">
        <v>630388</v>
      </c>
      <c r="E15" s="7" t="n"/>
      <c r="F15" s="19" t="inlineStr"/>
      <c r="G15" s="19" t="inlineStr"/>
    </row>
    <row r="16">
      <c r="B16" s="12" t="inlineStr">
        <is>
          <t>その他</t>
        </is>
      </c>
      <c r="C16" s="7" t="n">
        <v>2398220</v>
      </c>
      <c r="D16" s="7" t="n">
        <v>2290620</v>
      </c>
      <c r="E16" s="7" t="n">
        <v>4958471</v>
      </c>
    </row>
    <row r="17">
      <c r="B17" s="8" t="inlineStr">
        <is>
          <t>合計</t>
        </is>
      </c>
      <c r="C17" s="9" t="n">
        <v>22523530</v>
      </c>
      <c r="D17" s="9" t="n">
        <v>23165625</v>
      </c>
      <c r="E17" s="9" t="n">
        <v>20836318</v>
      </c>
    </row>
    <row r="18">
      <c r="B18" s="5" t="inlineStr">
        <is>
          <t>チェック（明細合計＝合計）</t>
        </is>
      </c>
      <c r="C18" t="b">
        <f>EXACT(SUM(C5:C16),C17)</f>
        <v>1</v>
      </c>
      <c r="D18" t="b">
        <f>EXACT(SUM(D5:D16),D17)</f>
        <v>1</v>
      </c>
      <c r="E18" t="b">
        <f>EXACT(SUM(E5:E16),E17)</f>
        <v>1</v>
      </c>
    </row>
    <row r="20">
      <c r="B20" s="20" t="inlineStr">
        <is>
          <t>※内訳書は残高50万円以上の相手先のみ個別記載。空欄は「その他」に含まれる。業態は公開情報からの推察を含む。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主要仕入先（期末買掛金残高ベース）</t>
        </is>
      </c>
    </row>
    <row r="2">
      <c r="A2" s="3" t="inlineStr">
        <is>
          <t>単位：千円（入力は円）／年間取引高は資料未受領のため期末残高で代替（要確認）</t>
        </is>
      </c>
    </row>
    <row r="4" ht="30" customHeight="1">
      <c r="A4" s="4" t="inlineStr"/>
      <c r="B4" s="4" t="inlineStr">
        <is>
          <t>相手先</t>
        </is>
      </c>
      <c r="C4" s="4" t="inlineStr">
        <is>
          <t>2024/3末</t>
        </is>
      </c>
      <c r="D4" s="4" t="inlineStr">
        <is>
          <t>2025/3末</t>
        </is>
      </c>
      <c r="E4" s="4" t="inlineStr">
        <is>
          <t>2026/3末</t>
        </is>
      </c>
      <c r="F4" s="4" t="inlineStr">
        <is>
          <t>所在地</t>
        </is>
      </c>
      <c r="G4" s="4" t="inlineStr">
        <is>
          <t>業態・備考</t>
        </is>
      </c>
    </row>
    <row r="5">
      <c r="B5" s="12" t="inlineStr">
        <is>
          <t>丸果庄内青果(株)</t>
        </is>
      </c>
      <c r="C5" s="7" t="n">
        <v>6568837</v>
      </c>
      <c r="D5" s="7" t="n">
        <v>5733427</v>
      </c>
      <c r="E5" s="7" t="n">
        <v>12426183</v>
      </c>
      <c r="F5" s="19" t="inlineStr">
        <is>
          <t>三川町</t>
        </is>
      </c>
      <c r="G5" s="19" t="inlineStr">
        <is>
          <t>青果卸（公設庄内青果物地方卸売市場）</t>
        </is>
      </c>
    </row>
    <row r="6">
      <c r="B6" s="12" t="inlineStr">
        <is>
          <t>長井中央青果(株)</t>
        </is>
      </c>
      <c r="C6" s="7" t="n">
        <v>1308421</v>
      </c>
      <c r="D6" s="7" t="n">
        <v>2086538</v>
      </c>
      <c r="E6" s="7" t="n">
        <v>7397876</v>
      </c>
      <c r="F6" s="19" t="inlineStr">
        <is>
          <t>長井市</t>
        </is>
      </c>
      <c r="G6" s="19" t="inlineStr">
        <is>
          <t>青果卸</t>
        </is>
      </c>
    </row>
    <row r="7">
      <c r="B7" s="12" t="inlineStr">
        <is>
          <t>(株)庄果</t>
        </is>
      </c>
      <c r="C7" s="7" t="n">
        <v>3610982</v>
      </c>
      <c r="D7" s="7" t="n">
        <v>4495652</v>
      </c>
      <c r="E7" s="7" t="n"/>
      <c r="F7" s="19" t="inlineStr">
        <is>
          <t>三川町</t>
        </is>
      </c>
      <c r="G7" s="19" t="inlineStr">
        <is>
          <t>青果卸（公設庄内青果物地方卸売市場）</t>
        </is>
      </c>
    </row>
    <row r="8">
      <c r="B8" s="12" t="inlineStr">
        <is>
          <t>(株)マルト直治郎商店</t>
        </is>
      </c>
      <c r="C8" s="7" t="n">
        <v>1228678</v>
      </c>
      <c r="D8" s="7" t="n">
        <v>1954193</v>
      </c>
      <c r="E8" s="7" t="n">
        <v>676643</v>
      </c>
      <c r="F8" s="19" t="inlineStr">
        <is>
          <t>三川町</t>
        </is>
      </c>
      <c r="G8" s="19" t="inlineStr"/>
    </row>
    <row r="9">
      <c r="B9" s="12" t="inlineStr">
        <is>
          <t>成田食品(株)</t>
        </is>
      </c>
      <c r="C9" s="7" t="n">
        <v>540882</v>
      </c>
      <c r="D9" s="7" t="n">
        <v>698863</v>
      </c>
      <c r="E9" s="7" t="n">
        <v>615054</v>
      </c>
      <c r="F9" s="19" t="inlineStr">
        <is>
          <t>福島県相馬市</t>
        </is>
      </c>
      <c r="G9" s="19" t="inlineStr"/>
    </row>
    <row r="10">
      <c r="B10" s="12" t="inlineStr">
        <is>
          <t>(株)ファーマインド</t>
        </is>
      </c>
      <c r="C10" s="7" t="n"/>
      <c r="D10" s="7" t="n"/>
      <c r="E10" s="7" t="n">
        <v>707255</v>
      </c>
      <c r="F10" s="19" t="inlineStr">
        <is>
          <t>東京都千代田区</t>
        </is>
      </c>
      <c r="G10" s="19" t="inlineStr">
        <is>
          <t>青果流通（バナナ等・推察）</t>
        </is>
      </c>
    </row>
    <row r="11">
      <c r="B11" s="12" t="inlineStr">
        <is>
          <t>(株)東根農産センター</t>
        </is>
      </c>
      <c r="C11" s="7" t="n"/>
      <c r="D11" s="7" t="n"/>
      <c r="E11" s="7" t="n">
        <v>547560</v>
      </c>
      <c r="F11" s="19" t="inlineStr">
        <is>
          <t>東根市</t>
        </is>
      </c>
      <c r="G11" s="19" t="inlineStr"/>
    </row>
    <row r="12">
      <c r="B12" s="12" t="inlineStr">
        <is>
          <t>その他</t>
        </is>
      </c>
      <c r="C12" s="7" t="n">
        <v>4869939</v>
      </c>
      <c r="D12" s="7" t="n">
        <v>4986247</v>
      </c>
      <c r="E12" s="7" t="n">
        <v>3978551</v>
      </c>
    </row>
    <row r="13">
      <c r="B13" s="8" t="inlineStr">
        <is>
          <t>合計</t>
        </is>
      </c>
      <c r="C13" s="9" t="n">
        <v>18127739</v>
      </c>
      <c r="D13" s="9" t="n">
        <v>19954920</v>
      </c>
      <c r="E13" s="9" t="n">
        <v>26349122</v>
      </c>
    </row>
    <row r="14">
      <c r="B14" s="5" t="inlineStr">
        <is>
          <t>チェック（明細合計＝合計）</t>
        </is>
      </c>
      <c r="C14" t="b">
        <f>EXACT(SUM(C5:C12),C13)</f>
        <v>1</v>
      </c>
      <c r="D14" t="b">
        <f>EXACT(SUM(D5:D12),D13)</f>
        <v>1</v>
      </c>
      <c r="E14" t="b">
        <f>EXACT(SUM(E5:E12),E13)</f>
        <v>1</v>
      </c>
    </row>
    <row r="16">
      <c r="B16" s="20" t="inlineStr">
        <is>
          <t>※内訳書は残高50万円以上の相手先のみ個別記載。空欄は「その他」に含まれる。業態は公開情報からの推察を含む。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34" customWidth="1" min="3" max="3"/>
    <col width="12" customWidth="1" min="4" max="4"/>
    <col width="12" customWidth="1" min="5" max="5"/>
  </cols>
  <sheetData>
    <row r="1">
      <c r="A1" s="1" t="inlineStr">
        <is>
          <t>株主構成</t>
        </is>
      </c>
    </row>
    <row r="2">
      <c r="A2" s="3" t="inlineStr">
        <is>
          <t>出所：法人税申告書 別表二（2026/3期）</t>
        </is>
      </c>
    </row>
    <row r="4" ht="30" customHeight="1">
      <c r="A4" s="4" t="inlineStr"/>
      <c r="B4" s="4" t="inlineStr">
        <is>
          <t>株主名</t>
        </is>
      </c>
      <c r="C4" s="4" t="inlineStr">
        <is>
          <t>続柄・役職</t>
        </is>
      </c>
      <c r="D4" s="4" t="inlineStr">
        <is>
          <t>株式数</t>
        </is>
      </c>
      <c r="E4" s="4" t="inlineStr">
        <is>
          <t>持株比率</t>
        </is>
      </c>
    </row>
    <row r="5">
      <c r="B5" s="12" t="inlineStr">
        <is>
          <t>岡部 寛</t>
        </is>
      </c>
      <c r="C5" s="17" t="inlineStr">
        <is>
          <t>代表取締役（本人）</t>
        </is>
      </c>
      <c r="D5" s="21" t="n">
        <v>1510</v>
      </c>
      <c r="E5" s="15">
        <f>D5/D$13</f>
        <v>0.3775</v>
      </c>
    </row>
    <row r="6">
      <c r="B6" s="12" t="inlineStr">
        <is>
          <t>岡部 一</t>
        </is>
      </c>
      <c r="C6" s="17" t="inlineStr">
        <is>
          <t>取締役・代表者の兄弟</t>
        </is>
      </c>
      <c r="D6" s="21" t="n">
        <v>720</v>
      </c>
      <c r="E6" s="15">
        <f>D6/D$13</f>
        <v>0.18</v>
      </c>
    </row>
    <row r="7">
      <c r="B7" s="12" t="inlineStr">
        <is>
          <t>岡部 和子</t>
        </is>
      </c>
      <c r="C7" s="17" t="inlineStr">
        <is>
          <t>代表者の兄弟</t>
        </is>
      </c>
      <c r="D7" s="21" t="n">
        <v>500</v>
      </c>
      <c r="E7" s="15">
        <f>D7/D$13</f>
        <v>0.125</v>
      </c>
    </row>
    <row r="8">
      <c r="B8" s="12" t="inlineStr">
        <is>
          <t>梅津 恵一</t>
        </is>
      </c>
      <c r="C8" s="17" t="inlineStr">
        <is>
          <t>—</t>
        </is>
      </c>
      <c r="D8" s="21" t="n">
        <v>360</v>
      </c>
      <c r="E8" s="15">
        <f>D8/D$13</f>
        <v>0.09</v>
      </c>
    </row>
    <row r="9">
      <c r="B9" s="12" t="inlineStr">
        <is>
          <t>小野寺 則和</t>
        </is>
      </c>
      <c r="C9" s="17" t="inlineStr">
        <is>
          <t>監査役</t>
        </is>
      </c>
      <c r="D9" s="21" t="n">
        <v>350</v>
      </c>
      <c r="E9" s="15">
        <f>D9/D$13</f>
        <v>0.0875</v>
      </c>
    </row>
    <row r="10">
      <c r="B10" s="12" t="inlineStr">
        <is>
          <t>岡部 竹古</t>
        </is>
      </c>
      <c r="C10" s="17" t="inlineStr">
        <is>
          <t>取締役・代表者の配偶者</t>
        </is>
      </c>
      <c r="D10" s="21" t="n">
        <v>300</v>
      </c>
      <c r="E10" s="15">
        <f>D10/D$13</f>
        <v>0.075</v>
      </c>
    </row>
    <row r="11">
      <c r="B11" s="12" t="inlineStr">
        <is>
          <t>佐藤 令子</t>
        </is>
      </c>
      <c r="C11" s="17" t="inlineStr">
        <is>
          <t>—</t>
        </is>
      </c>
      <c r="D11" s="21" t="n">
        <v>200</v>
      </c>
      <c r="E11" s="15">
        <f>D11/D$13</f>
        <v>0.05</v>
      </c>
    </row>
    <row r="12">
      <c r="B12" s="12" t="inlineStr">
        <is>
          <t>菅原 圭吾</t>
        </is>
      </c>
      <c r="C12" s="17" t="inlineStr">
        <is>
          <t>元常務取締役（2026年5月退任）</t>
        </is>
      </c>
      <c r="D12" s="21" t="n">
        <v>60</v>
      </c>
      <c r="E12" s="15">
        <f>D12/D$13</f>
        <v>0.015</v>
      </c>
    </row>
    <row r="13">
      <c r="B13" s="8" t="inlineStr">
        <is>
          <t>合計</t>
        </is>
      </c>
      <c r="D13" s="22">
        <f>SUM(D5:D12)</f>
        <v>4000</v>
      </c>
      <c r="E13" s="23">
        <f>D13/D13</f>
        <v>1</v>
      </c>
    </row>
    <row r="14">
      <c r="B14" s="12" t="inlineStr">
        <is>
          <t>うち岡部家（4名）</t>
        </is>
      </c>
      <c r="D14" s="21">
        <f>D5+D6+D7+D10</f>
        <v>3030</v>
      </c>
      <c r="E14" s="15">
        <f>D14/D13</f>
        <v>0.7575</v>
      </c>
    </row>
    <row r="16">
      <c r="B16" s="20" t="inlineStr">
        <is>
          <t>※株主名簿・名義株の有無・親族外株主（4名・合計970株）の取得経緯は要確認。発行済株式総数4,000株と一致。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0" customWidth="1" min="4" max="4"/>
    <col width="3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役員構成・役員報酬</t>
        </is>
      </c>
    </row>
    <row r="2">
      <c r="A2" s="3" t="inlineStr">
        <is>
          <t>出所：履歴事項全部証明書（2026/9/10）、勘定科目内訳書（役員給与等）</t>
        </is>
      </c>
    </row>
    <row r="4" ht="30" customHeight="1">
      <c r="A4" s="4" t="inlineStr"/>
      <c r="B4" s="4" t="inlineStr">
        <is>
          <t>役職</t>
        </is>
      </c>
      <c r="C4" s="4" t="inlineStr">
        <is>
          <t>氏名</t>
        </is>
      </c>
      <c r="D4" s="4" t="inlineStr">
        <is>
          <t>常勤/非常勤</t>
        </is>
      </c>
      <c r="E4" s="4" t="inlineStr">
        <is>
          <t>備考</t>
        </is>
      </c>
      <c r="F4" s="4" t="inlineStr">
        <is>
          <t>2024/3期</t>
        </is>
      </c>
      <c r="G4" s="4" t="inlineStr">
        <is>
          <t>2025/3期</t>
        </is>
      </c>
      <c r="H4" s="4" t="inlineStr">
        <is>
          <t>2026/3期</t>
        </is>
      </c>
    </row>
    <row r="5">
      <c r="B5" s="12" t="inlineStr">
        <is>
          <t>代表取締役</t>
        </is>
      </c>
      <c r="C5" s="12" t="inlineStr">
        <is>
          <t>岡部 寛</t>
        </is>
      </c>
      <c r="D5" s="17" t="inlineStr">
        <is>
          <t>常勤</t>
        </is>
      </c>
      <c r="E5" s="19" t="inlineStr">
        <is>
          <t>社長</t>
        </is>
      </c>
      <c r="F5" s="7" t="n">
        <v>10560000</v>
      </c>
      <c r="G5" s="7" t="n">
        <v>10560000</v>
      </c>
      <c r="H5" s="7" t="n">
        <v>4320000</v>
      </c>
    </row>
    <row r="6">
      <c r="B6" s="12" t="inlineStr">
        <is>
          <t>取締役</t>
        </is>
      </c>
      <c r="C6" s="12" t="inlineStr">
        <is>
          <t>岡部 一</t>
        </is>
      </c>
      <c r="D6" s="17" t="inlineStr">
        <is>
          <t>常勤</t>
        </is>
      </c>
      <c r="E6" s="19" t="inlineStr">
        <is>
          <t>部長（代表者の兄弟）</t>
        </is>
      </c>
      <c r="F6" s="7" t="n">
        <v>4800000</v>
      </c>
      <c r="G6" s="7" t="n">
        <v>4800000</v>
      </c>
      <c r="H6" s="7" t="n">
        <v>4200000</v>
      </c>
    </row>
    <row r="7">
      <c r="B7" s="12" t="inlineStr">
        <is>
          <t>取締役</t>
        </is>
      </c>
      <c r="C7" s="12" t="inlineStr">
        <is>
          <t>岡部 竹古</t>
        </is>
      </c>
      <c r="D7" s="17" t="inlineStr">
        <is>
          <t>非常勤</t>
        </is>
      </c>
      <c r="E7" s="19" t="inlineStr">
        <is>
          <t>代表者の配偶者</t>
        </is>
      </c>
      <c r="F7" s="7" t="n">
        <v>120000</v>
      </c>
      <c r="G7" s="7" t="n">
        <v>120000</v>
      </c>
      <c r="H7" s="7" t="n">
        <v>120000</v>
      </c>
    </row>
    <row r="8">
      <c r="B8" s="12" t="inlineStr">
        <is>
          <t>監査役</t>
        </is>
      </c>
      <c r="C8" s="12" t="inlineStr">
        <is>
          <t>小野寺 則和</t>
        </is>
      </c>
      <c r="D8" s="17" t="inlineStr">
        <is>
          <t>非常勤</t>
        </is>
      </c>
      <c r="E8" s="19" t="inlineStr">
        <is>
          <t>会計監査限定</t>
        </is>
      </c>
      <c r="F8" s="7" t="n">
        <v>120000</v>
      </c>
      <c r="G8" s="7" t="n">
        <v>120000</v>
      </c>
      <c r="H8" s="7" t="n">
        <v>120000</v>
      </c>
    </row>
    <row r="9">
      <c r="B9" s="12" t="inlineStr">
        <is>
          <t>（退任）常務取締役</t>
        </is>
      </c>
      <c r="C9" s="12" t="inlineStr">
        <is>
          <t>菅原 圭吾</t>
        </is>
      </c>
      <c r="D9" s="17" t="inlineStr">
        <is>
          <t>常勤</t>
        </is>
      </c>
      <c r="E9" s="19" t="inlineStr">
        <is>
          <t>2026年5月29日退任</t>
        </is>
      </c>
      <c r="F9" s="7" t="n">
        <v>6600000</v>
      </c>
      <c r="G9" s="7" t="n">
        <v>6600000</v>
      </c>
      <c r="H9" s="7" t="n">
        <v>6600000</v>
      </c>
    </row>
    <row r="10">
      <c r="B10" s="8" t="inlineStr">
        <is>
          <t>役員報酬 計</t>
        </is>
      </c>
      <c r="F10" s="9">
        <f>SUM(F5:F9)</f>
        <v>22200000</v>
      </c>
      <c r="G10" s="9">
        <f>SUM(G5:G9)</f>
        <v>22200000</v>
      </c>
      <c r="H10" s="9">
        <f>SUM(H5:H9)</f>
        <v>15360000</v>
      </c>
    </row>
    <row r="12">
      <c r="B12" s="20" t="inlineStr">
        <is>
          <t>※任期：取締役は2年（直近重任2026/5/29）、監査役は2024/5/18重任。代表者の連帯保証・退職慰労金規程の有無は要確認。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9" customWidth="1" min="4" max="4"/>
    <col width="13" customWidth="1" min="5" max="5"/>
    <col width="6" customWidth="1" min="6" max="6"/>
    <col width="6" customWidth="1" min="7" max="7"/>
    <col width="8" customWidth="1" min="8" max="8"/>
    <col width="8" customWidth="1" min="9" max="9"/>
    <col width="12" customWidth="1" min="10" max="10"/>
    <col width="8" customWidth="1" min="11" max="11"/>
    <col width="10" customWidth="1" min="12" max="12"/>
    <col width="30" customWidth="1" min="13" max="13"/>
  </cols>
  <sheetData>
    <row r="1">
      <c r="A1" s="1" t="inlineStr">
        <is>
          <t>従業員一覧（2026年9月1日現在）</t>
        </is>
      </c>
    </row>
    <row r="2">
      <c r="A2" s="3" t="inlineStr">
        <is>
          <t>出所：職員名簿。氏名・住所・電話番号は概要書に記載しない</t>
        </is>
      </c>
    </row>
    <row r="4" ht="30" customHeight="1">
      <c r="A4" s="4" t="inlineStr"/>
      <c r="B4" s="4" t="inlineStr">
        <is>
          <t>No.</t>
        </is>
      </c>
      <c r="C4" s="4" t="inlineStr">
        <is>
          <t>部署</t>
        </is>
      </c>
      <c r="D4" s="4" t="inlineStr">
        <is>
          <t>役職</t>
        </is>
      </c>
      <c r="E4" s="4" t="inlineStr">
        <is>
          <t>雇用形態</t>
        </is>
      </c>
      <c r="F4" s="4" t="inlineStr">
        <is>
          <t>性別</t>
        </is>
      </c>
      <c r="G4" s="4" t="inlineStr">
        <is>
          <t>年齢</t>
        </is>
      </c>
      <c r="H4" s="4" t="inlineStr">
        <is>
          <t>入社年</t>
        </is>
      </c>
      <c r="I4" s="4" t="inlineStr">
        <is>
          <t>勤続年数</t>
        </is>
      </c>
      <c r="J4" s="4" t="inlineStr">
        <is>
          <t>所定労働</t>
        </is>
      </c>
      <c r="K4" s="4" t="inlineStr">
        <is>
          <t>セリ人資格</t>
        </is>
      </c>
      <c r="L4" s="4" t="inlineStr">
        <is>
          <t>フォークリフト</t>
        </is>
      </c>
      <c r="M4" s="4" t="inlineStr">
        <is>
          <t>備考</t>
        </is>
      </c>
    </row>
    <row r="5">
      <c r="B5" s="24" t="n">
        <v>1</v>
      </c>
      <c r="C5" s="25" t="inlineStr">
        <is>
          <t>野菜営業部</t>
        </is>
      </c>
      <c r="D5" s="25" t="inlineStr">
        <is>
          <t>副部長</t>
        </is>
      </c>
      <c r="E5" s="25" t="inlineStr">
        <is>
          <t>正社員</t>
        </is>
      </c>
      <c r="F5" s="25" t="inlineStr">
        <is>
          <t>男</t>
        </is>
      </c>
      <c r="G5" s="24" t="n">
        <v>63</v>
      </c>
      <c r="H5" s="24" t="n">
        <v>2025</v>
      </c>
      <c r="I5" s="24" t="n">
        <v>1</v>
      </c>
      <c r="J5" s="25" t="inlineStr">
        <is>
          <t>8h</t>
        </is>
      </c>
      <c r="K5" s="25" t="inlineStr"/>
      <c r="L5" s="25" t="inlineStr"/>
      <c r="M5" s="25" t="inlineStr"/>
    </row>
    <row r="6">
      <c r="B6" s="24" t="n">
        <v>2</v>
      </c>
      <c r="C6" s="25" t="inlineStr">
        <is>
          <t>野菜営業部</t>
        </is>
      </c>
      <c r="D6" s="25" t="inlineStr">
        <is>
          <t>副部長</t>
        </is>
      </c>
      <c r="E6" s="25" t="inlineStr">
        <is>
          <t>正社員</t>
        </is>
      </c>
      <c r="F6" s="25" t="inlineStr">
        <is>
          <t>男</t>
        </is>
      </c>
      <c r="G6" s="24" t="n">
        <v>47</v>
      </c>
      <c r="H6" s="24" t="n">
        <v>2002</v>
      </c>
      <c r="I6" s="24" t="n">
        <v>24</v>
      </c>
      <c r="J6" s="25" t="inlineStr">
        <is>
          <t>8h</t>
        </is>
      </c>
      <c r="K6" s="25" t="inlineStr">
        <is>
          <t>○</t>
        </is>
      </c>
      <c r="L6" s="25" t="inlineStr">
        <is>
          <t>○</t>
        </is>
      </c>
      <c r="M6" s="25" t="inlineStr"/>
    </row>
    <row r="7">
      <c r="B7" s="24" t="n">
        <v>3</v>
      </c>
      <c r="C7" s="25" t="inlineStr">
        <is>
          <t>近郷部</t>
        </is>
      </c>
      <c r="D7" s="25" t="inlineStr">
        <is>
          <t>課長</t>
        </is>
      </c>
      <c r="E7" s="25" t="inlineStr">
        <is>
          <t>正社員</t>
        </is>
      </c>
      <c r="F7" s="25" t="inlineStr">
        <is>
          <t>男</t>
        </is>
      </c>
      <c r="G7" s="24" t="n">
        <v>31</v>
      </c>
      <c r="H7" s="24" t="n">
        <v>2014</v>
      </c>
      <c r="I7" s="24" t="n">
        <v>12</v>
      </c>
      <c r="J7" s="25" t="inlineStr">
        <is>
          <t>8h</t>
        </is>
      </c>
      <c r="K7" s="25" t="inlineStr">
        <is>
          <t>○</t>
        </is>
      </c>
      <c r="L7" s="25" t="inlineStr">
        <is>
          <t>○</t>
        </is>
      </c>
      <c r="M7" s="25" t="inlineStr"/>
    </row>
    <row r="8">
      <c r="B8" s="24" t="n">
        <v>4</v>
      </c>
      <c r="C8" s="25" t="inlineStr">
        <is>
          <t>近郷部</t>
        </is>
      </c>
      <c r="D8" s="25" t="inlineStr"/>
      <c r="E8" s="25" t="inlineStr">
        <is>
          <t>正社員</t>
        </is>
      </c>
      <c r="F8" s="25" t="inlineStr">
        <is>
          <t>男</t>
        </is>
      </c>
      <c r="G8" s="24" t="n">
        <v>42</v>
      </c>
      <c r="H8" s="24" t="n">
        <v>2019</v>
      </c>
      <c r="I8" s="24" t="n">
        <v>7</v>
      </c>
      <c r="J8" s="25" t="inlineStr">
        <is>
          <t>8h</t>
        </is>
      </c>
      <c r="K8" s="25" t="inlineStr"/>
      <c r="L8" s="25" t="inlineStr">
        <is>
          <t>○</t>
        </is>
      </c>
      <c r="M8" s="25" t="inlineStr"/>
    </row>
    <row r="9">
      <c r="B9" s="24" t="n">
        <v>5</v>
      </c>
      <c r="C9" s="25" t="inlineStr">
        <is>
          <t>近郷部</t>
        </is>
      </c>
      <c r="D9" s="25" t="inlineStr"/>
      <c r="E9" s="25" t="inlineStr">
        <is>
          <t>正社員</t>
        </is>
      </c>
      <c r="F9" s="25" t="inlineStr">
        <is>
          <t>男</t>
        </is>
      </c>
      <c r="G9" s="24" t="n">
        <v>45</v>
      </c>
      <c r="H9" s="24" t="n">
        <v>2019</v>
      </c>
      <c r="I9" s="24" t="n">
        <v>7</v>
      </c>
      <c r="J9" s="25" t="inlineStr">
        <is>
          <t>8h</t>
        </is>
      </c>
      <c r="K9" s="25" t="inlineStr"/>
      <c r="L9" s="25" t="inlineStr">
        <is>
          <t>○</t>
        </is>
      </c>
      <c r="M9" s="25" t="inlineStr"/>
    </row>
    <row r="10">
      <c r="B10" s="24" t="n">
        <v>6</v>
      </c>
      <c r="C10" s="25" t="inlineStr">
        <is>
          <t>集配部</t>
        </is>
      </c>
      <c r="D10" s="25" t="inlineStr"/>
      <c r="E10" s="25" t="inlineStr">
        <is>
          <t>正社員</t>
        </is>
      </c>
      <c r="F10" s="25" t="inlineStr">
        <is>
          <t>男</t>
        </is>
      </c>
      <c r="G10" s="24" t="n">
        <v>63</v>
      </c>
      <c r="H10" s="24" t="n">
        <v>2020</v>
      </c>
      <c r="I10" s="24" t="n">
        <v>6</v>
      </c>
      <c r="J10" s="25" t="inlineStr">
        <is>
          <t>8h</t>
        </is>
      </c>
      <c r="K10" s="25" t="inlineStr"/>
      <c r="L10" s="25" t="inlineStr">
        <is>
          <t>○</t>
        </is>
      </c>
      <c r="M10" s="25" t="inlineStr"/>
    </row>
    <row r="11">
      <c r="B11" s="24" t="n">
        <v>7</v>
      </c>
      <c r="C11" s="25" t="inlineStr">
        <is>
          <t>野菜営業部</t>
        </is>
      </c>
      <c r="D11" s="25" t="inlineStr"/>
      <c r="E11" s="25" t="inlineStr">
        <is>
          <t>正社員</t>
        </is>
      </c>
      <c r="F11" s="25" t="inlineStr">
        <is>
          <t>男</t>
        </is>
      </c>
      <c r="G11" s="24" t="n">
        <v>32</v>
      </c>
      <c r="H11" s="24" t="n">
        <v>2020</v>
      </c>
      <c r="I11" s="24" t="n">
        <v>6</v>
      </c>
      <c r="J11" s="25" t="inlineStr">
        <is>
          <t>8h</t>
        </is>
      </c>
      <c r="K11" s="25" t="inlineStr"/>
      <c r="L11" s="25" t="inlineStr">
        <is>
          <t>○</t>
        </is>
      </c>
      <c r="M11" s="25" t="inlineStr"/>
    </row>
    <row r="12">
      <c r="B12" s="24" t="n">
        <v>8</v>
      </c>
      <c r="C12" s="25" t="inlineStr">
        <is>
          <t>果実営業部</t>
        </is>
      </c>
      <c r="D12" s="25" t="inlineStr"/>
      <c r="E12" s="25" t="inlineStr">
        <is>
          <t>正社員</t>
        </is>
      </c>
      <c r="F12" s="25" t="inlineStr">
        <is>
          <t>男</t>
        </is>
      </c>
      <c r="G12" s="24" t="n">
        <v>36</v>
      </c>
      <c r="H12" s="24" t="n">
        <v>2021</v>
      </c>
      <c r="I12" s="24" t="n">
        <v>4</v>
      </c>
      <c r="J12" s="25" t="inlineStr">
        <is>
          <t>8h</t>
        </is>
      </c>
      <c r="K12" s="25" t="inlineStr"/>
      <c r="L12" s="25" t="inlineStr">
        <is>
          <t>○</t>
        </is>
      </c>
      <c r="M12" s="25" t="inlineStr"/>
    </row>
    <row r="13">
      <c r="B13" s="24" t="n">
        <v>9</v>
      </c>
      <c r="C13" s="25" t="inlineStr">
        <is>
          <t>集配部</t>
        </is>
      </c>
      <c r="D13" s="25" t="inlineStr"/>
      <c r="E13" s="25" t="inlineStr">
        <is>
          <t>正社員</t>
        </is>
      </c>
      <c r="F13" s="25" t="inlineStr">
        <is>
          <t>男</t>
        </is>
      </c>
      <c r="G13" s="24" t="n">
        <v>42</v>
      </c>
      <c r="H13" s="24" t="n">
        <v>2012</v>
      </c>
      <c r="I13" s="24" t="n">
        <v>14</v>
      </c>
      <c r="J13" s="25" t="inlineStr">
        <is>
          <t>8h</t>
        </is>
      </c>
      <c r="K13" s="25" t="inlineStr"/>
      <c r="L13" s="25" t="inlineStr">
        <is>
          <t>○</t>
        </is>
      </c>
      <c r="M13" s="25" t="inlineStr">
        <is>
          <t>2022年4月よりフルタイム</t>
        </is>
      </c>
    </row>
    <row r="14">
      <c r="B14" s="24" t="n">
        <v>10</v>
      </c>
      <c r="C14" s="25" t="inlineStr">
        <is>
          <t>生花部</t>
        </is>
      </c>
      <c r="D14" s="25" t="inlineStr"/>
      <c r="E14" s="25" t="inlineStr">
        <is>
          <t>嘱託社員</t>
        </is>
      </c>
      <c r="F14" s="25" t="inlineStr">
        <is>
          <t>男</t>
        </is>
      </c>
      <c r="G14" s="24" t="n">
        <v>69</v>
      </c>
      <c r="H14" s="24" t="n">
        <v>2006</v>
      </c>
      <c r="I14" s="24" t="n">
        <v>20</v>
      </c>
      <c r="J14" s="25" t="inlineStr">
        <is>
          <t>8h</t>
        </is>
      </c>
      <c r="K14" s="25" t="inlineStr"/>
      <c r="L14" s="25" t="inlineStr">
        <is>
          <t>○</t>
        </is>
      </c>
      <c r="M14" s="25" t="inlineStr"/>
    </row>
    <row r="15">
      <c r="B15" s="24" t="n">
        <v>11</v>
      </c>
      <c r="C15" s="25" t="inlineStr">
        <is>
          <t>集配部</t>
        </is>
      </c>
      <c r="D15" s="25" t="inlineStr"/>
      <c r="E15" s="25" t="inlineStr">
        <is>
          <t>再雇用正社員</t>
        </is>
      </c>
      <c r="F15" s="25" t="inlineStr">
        <is>
          <t>男</t>
        </is>
      </c>
      <c r="G15" s="24" t="n">
        <v>40</v>
      </c>
      <c r="H15" s="24" t="n">
        <v>2023</v>
      </c>
      <c r="I15" s="24" t="n">
        <v>3</v>
      </c>
      <c r="J15" s="25" t="inlineStr">
        <is>
          <t>8h</t>
        </is>
      </c>
      <c r="K15" s="25" t="inlineStr"/>
      <c r="L15" s="25" t="inlineStr"/>
      <c r="M15" s="25" t="inlineStr"/>
    </row>
    <row r="16">
      <c r="B16" s="24" t="n">
        <v>12</v>
      </c>
      <c r="C16" s="25" t="inlineStr">
        <is>
          <t>近郷部</t>
        </is>
      </c>
      <c r="D16" s="25" t="inlineStr"/>
      <c r="E16" s="25" t="inlineStr">
        <is>
          <t>試用期間</t>
        </is>
      </c>
      <c r="F16" s="25" t="inlineStr">
        <is>
          <t>男</t>
        </is>
      </c>
      <c r="G16" s="24" t="n">
        <v>66</v>
      </c>
      <c r="H16" s="24" t="n">
        <v>2024</v>
      </c>
      <c r="I16" s="24" t="n">
        <v>2</v>
      </c>
      <c r="J16" s="25" t="inlineStr">
        <is>
          <t>8h</t>
        </is>
      </c>
      <c r="K16" s="25" t="inlineStr">
        <is>
          <t>○</t>
        </is>
      </c>
      <c r="L16" s="25" t="inlineStr"/>
      <c r="M16" s="25" t="inlineStr"/>
    </row>
    <row r="17">
      <c r="B17" s="24" t="n">
        <v>13</v>
      </c>
      <c r="C17" s="25" t="inlineStr">
        <is>
          <t>集配部</t>
        </is>
      </c>
      <c r="D17" s="25" t="inlineStr"/>
      <c r="E17" s="25" t="inlineStr">
        <is>
          <t>アルバイト</t>
        </is>
      </c>
      <c r="F17" s="25" t="inlineStr">
        <is>
          <t>男</t>
        </is>
      </c>
      <c r="G17" s="24" t="n">
        <v>55</v>
      </c>
      <c r="H17" s="24" t="n">
        <v>2026</v>
      </c>
      <c r="I17" s="24" t="n">
        <v>0</v>
      </c>
      <c r="J17" s="25" t="inlineStr">
        <is>
          <t>休日のみ配送</t>
        </is>
      </c>
      <c r="K17" s="25" t="inlineStr"/>
      <c r="L17" s="25" t="inlineStr"/>
      <c r="M17" s="25" t="inlineStr"/>
    </row>
    <row r="18">
      <c r="B18" s="24" t="n">
        <v>14</v>
      </c>
      <c r="C18" s="25" t="inlineStr">
        <is>
          <t>総務部</t>
        </is>
      </c>
      <c r="D18" s="25" t="inlineStr">
        <is>
          <t>部長</t>
        </is>
      </c>
      <c r="E18" s="25" t="inlineStr">
        <is>
          <t>正社員</t>
        </is>
      </c>
      <c r="F18" s="25" t="inlineStr">
        <is>
          <t>女</t>
        </is>
      </c>
      <c r="G18" s="24" t="n">
        <v>56</v>
      </c>
      <c r="H18" s="24" t="n">
        <v>1988</v>
      </c>
      <c r="I18" s="24" t="n">
        <v>38</v>
      </c>
      <c r="J18" s="25" t="inlineStr">
        <is>
          <t>8h</t>
        </is>
      </c>
      <c r="K18" s="25" t="inlineStr"/>
      <c r="L18" s="25" t="inlineStr"/>
      <c r="M18" s="25" t="inlineStr"/>
    </row>
    <row r="19">
      <c r="B19" s="24" t="n">
        <v>15</v>
      </c>
      <c r="C19" s="25" t="inlineStr">
        <is>
          <t>資材部</t>
        </is>
      </c>
      <c r="D19" s="25" t="inlineStr">
        <is>
          <t>課長</t>
        </is>
      </c>
      <c r="E19" s="25" t="inlineStr">
        <is>
          <t>正社員</t>
        </is>
      </c>
      <c r="F19" s="25" t="inlineStr">
        <is>
          <t>女</t>
        </is>
      </c>
      <c r="G19" s="24" t="n">
        <v>65</v>
      </c>
      <c r="H19" s="24" t="n">
        <v>1979</v>
      </c>
      <c r="I19" s="24" t="n">
        <v>47</v>
      </c>
      <c r="J19" s="25" t="inlineStr">
        <is>
          <t>8h</t>
        </is>
      </c>
      <c r="K19" s="25" t="inlineStr"/>
      <c r="L19" s="25" t="inlineStr"/>
      <c r="M19" s="25" t="inlineStr">
        <is>
          <t>定年後再雇用</t>
        </is>
      </c>
    </row>
    <row r="20">
      <c r="B20" s="24" t="n">
        <v>16</v>
      </c>
      <c r="C20" s="25" t="inlineStr">
        <is>
          <t>果実営業部</t>
        </is>
      </c>
      <c r="D20" s="25" t="inlineStr">
        <is>
          <t>課長</t>
        </is>
      </c>
      <c r="E20" s="25" t="inlineStr">
        <is>
          <t>正社員</t>
        </is>
      </c>
      <c r="F20" s="25" t="inlineStr">
        <is>
          <t>女</t>
        </is>
      </c>
      <c r="G20" s="24" t="n">
        <v>49</v>
      </c>
      <c r="H20" s="24" t="n">
        <v>2007</v>
      </c>
      <c r="I20" s="24" t="n">
        <v>19</v>
      </c>
      <c r="J20" s="25" t="inlineStr">
        <is>
          <t>8h</t>
        </is>
      </c>
      <c r="K20" s="25" t="inlineStr"/>
      <c r="L20" s="25" t="inlineStr"/>
      <c r="M20" s="25" t="inlineStr"/>
    </row>
    <row r="21">
      <c r="B21" s="24" t="n">
        <v>17</v>
      </c>
      <c r="C21" s="25" t="inlineStr">
        <is>
          <t>事務</t>
        </is>
      </c>
      <c r="D21" s="25" t="inlineStr"/>
      <c r="E21" s="25" t="inlineStr">
        <is>
          <t>正社員</t>
        </is>
      </c>
      <c r="F21" s="25" t="inlineStr">
        <is>
          <t>女</t>
        </is>
      </c>
      <c r="G21" s="24" t="n">
        <v>28</v>
      </c>
      <c r="H21" s="24" t="n">
        <v>2019</v>
      </c>
      <c r="I21" s="24" t="n">
        <v>7</v>
      </c>
      <c r="J21" s="25" t="inlineStr">
        <is>
          <t>8h</t>
        </is>
      </c>
      <c r="K21" s="25" t="inlineStr"/>
      <c r="L21" s="25" t="inlineStr"/>
      <c r="M21" s="25" t="inlineStr"/>
    </row>
    <row r="22">
      <c r="B22" s="24" t="n">
        <v>18</v>
      </c>
      <c r="C22" s="25" t="inlineStr">
        <is>
          <t>パッケージ部</t>
        </is>
      </c>
      <c r="D22" s="25" t="inlineStr">
        <is>
          <t>係長</t>
        </is>
      </c>
      <c r="E22" s="25" t="inlineStr">
        <is>
          <t>正社員</t>
        </is>
      </c>
      <c r="F22" s="25" t="inlineStr">
        <is>
          <t>女</t>
        </is>
      </c>
      <c r="G22" s="24" t="n">
        <v>52</v>
      </c>
      <c r="H22" s="24" t="n">
        <v>2006</v>
      </c>
      <c r="I22" s="24" t="n">
        <v>20</v>
      </c>
      <c r="J22" s="25" t="inlineStr">
        <is>
          <t>8h</t>
        </is>
      </c>
      <c r="K22" s="25" t="inlineStr"/>
      <c r="L22" s="25" t="inlineStr"/>
      <c r="M22" s="25" t="inlineStr">
        <is>
          <t>2012年4月よりフルタイム</t>
        </is>
      </c>
    </row>
    <row r="23">
      <c r="B23" s="24" t="n">
        <v>19</v>
      </c>
      <c r="C23" s="25" t="inlineStr">
        <is>
          <t>パッケージ部</t>
        </is>
      </c>
      <c r="D23" s="25" t="inlineStr"/>
      <c r="E23" s="25" t="inlineStr">
        <is>
          <t>正社員</t>
        </is>
      </c>
      <c r="F23" s="25" t="inlineStr">
        <is>
          <t>女</t>
        </is>
      </c>
      <c r="G23" s="24" t="n">
        <v>65</v>
      </c>
      <c r="H23" s="24" t="n">
        <v>2006</v>
      </c>
      <c r="I23" s="24" t="n">
        <v>20</v>
      </c>
      <c r="J23" s="25" t="inlineStr">
        <is>
          <t>8h</t>
        </is>
      </c>
      <c r="K23" s="25" t="inlineStr"/>
      <c r="L23" s="25" t="inlineStr"/>
      <c r="M23" s="25" t="inlineStr">
        <is>
          <t>2012年4月よりフルタイム／定年後再雇用</t>
        </is>
      </c>
    </row>
    <row r="24">
      <c r="B24" s="24" t="n">
        <v>20</v>
      </c>
      <c r="C24" s="25" t="inlineStr">
        <is>
          <t>パッケージ部</t>
        </is>
      </c>
      <c r="D24" s="25" t="inlineStr"/>
      <c r="E24" s="25" t="inlineStr">
        <is>
          <t>正社員</t>
        </is>
      </c>
      <c r="F24" s="25" t="inlineStr">
        <is>
          <t>女</t>
        </is>
      </c>
      <c r="G24" s="24" t="n">
        <v>55</v>
      </c>
      <c r="H24" s="24" t="n">
        <v>2021</v>
      </c>
      <c r="I24" s="24" t="n">
        <v>5</v>
      </c>
      <c r="J24" s="25" t="inlineStr">
        <is>
          <t>8h</t>
        </is>
      </c>
      <c r="K24" s="25" t="inlineStr"/>
      <c r="L24" s="25" t="inlineStr"/>
      <c r="M24" s="25" t="inlineStr"/>
    </row>
    <row r="25">
      <c r="B25" s="24" t="n">
        <v>21</v>
      </c>
      <c r="C25" s="25" t="inlineStr">
        <is>
          <t>パッケージ部</t>
        </is>
      </c>
      <c r="D25" s="25" t="inlineStr"/>
      <c r="E25" s="25" t="inlineStr">
        <is>
          <t>正社員</t>
        </is>
      </c>
      <c r="F25" s="25" t="inlineStr">
        <is>
          <t>女</t>
        </is>
      </c>
      <c r="G25" s="24" t="n">
        <v>65</v>
      </c>
      <c r="H25" s="24" t="n">
        <v>2009</v>
      </c>
      <c r="I25" s="24" t="n">
        <v>17</v>
      </c>
      <c r="J25" s="25" t="inlineStr">
        <is>
          <t>8h</t>
        </is>
      </c>
      <c r="K25" s="25" t="inlineStr"/>
      <c r="L25" s="25" t="inlineStr"/>
      <c r="M25" s="25" t="inlineStr">
        <is>
          <t>2012年4月よりフルタイム</t>
        </is>
      </c>
    </row>
    <row r="26">
      <c r="B26" s="24" t="n">
        <v>22</v>
      </c>
      <c r="C26" s="25" t="inlineStr">
        <is>
          <t>パッケージ部</t>
        </is>
      </c>
      <c r="D26" s="25" t="inlineStr"/>
      <c r="E26" s="25" t="inlineStr">
        <is>
          <t>パート</t>
        </is>
      </c>
      <c r="F26" s="25" t="inlineStr">
        <is>
          <t>女</t>
        </is>
      </c>
      <c r="G26" s="24" t="n">
        <v>67</v>
      </c>
      <c r="H26" s="24" t="n">
        <v>2012</v>
      </c>
      <c r="I26" s="24" t="n">
        <v>14</v>
      </c>
      <c r="J26" s="25" t="inlineStr">
        <is>
          <t>4h</t>
        </is>
      </c>
      <c r="K26" s="25" t="inlineStr"/>
      <c r="L26" s="25" t="inlineStr"/>
      <c r="M26" s="25" t="inlineStr"/>
    </row>
    <row r="27">
      <c r="B27" s="24" t="n">
        <v>23</v>
      </c>
      <c r="C27" s="25" t="inlineStr">
        <is>
          <t>パッケージ部</t>
        </is>
      </c>
      <c r="D27" s="25" t="inlineStr"/>
      <c r="E27" s="25" t="inlineStr">
        <is>
          <t>パート</t>
        </is>
      </c>
      <c r="F27" s="25" t="inlineStr">
        <is>
          <t>男</t>
        </is>
      </c>
      <c r="G27" s="24" t="n">
        <v>29</v>
      </c>
      <c r="H27" s="24" t="n">
        <v>2018</v>
      </c>
      <c r="I27" s="24" t="n">
        <v>8</v>
      </c>
      <c r="J27" s="25" t="inlineStr">
        <is>
          <t>4h</t>
        </is>
      </c>
      <c r="K27" s="25" t="inlineStr"/>
      <c r="L27" s="25" t="inlineStr"/>
      <c r="M27" s="25" t="inlineStr"/>
    </row>
    <row r="28">
      <c r="B28" s="24" t="n">
        <v>24</v>
      </c>
      <c r="C28" s="25" t="inlineStr">
        <is>
          <t>パッケージ部</t>
        </is>
      </c>
      <c r="D28" s="25" t="inlineStr"/>
      <c r="E28" s="25" t="inlineStr">
        <is>
          <t>パート</t>
        </is>
      </c>
      <c r="F28" s="25" t="inlineStr">
        <is>
          <t>女</t>
        </is>
      </c>
      <c r="G28" s="24" t="n">
        <v>59</v>
      </c>
      <c r="H28" s="24" t="n">
        <v>2023</v>
      </c>
      <c r="I28" s="24" t="n">
        <v>3</v>
      </c>
      <c r="J28" s="25" t="inlineStr">
        <is>
          <t>4h</t>
        </is>
      </c>
      <c r="K28" s="25" t="inlineStr"/>
      <c r="L28" s="25" t="inlineStr"/>
      <c r="M28" s="25" t="inlineStr"/>
    </row>
    <row r="30">
      <c r="B30" s="20" t="inlineStr">
        <is>
          <t>※セリ人資格保有3名（No.2・3・12）。定年は60歳（名簿注記「当時60歳定年退職後、再雇用契約更新」）と65歳の両記載あり、就業規則で要確認。</t>
        </is>
      </c>
    </row>
    <row r="31">
      <c r="B31" s="20" t="inlineStr">
        <is>
          <t>※法人事業概況説明書（2026/3期末）では常勤役員3名＋その他27名＝30名、山形県資料では40名と記載。人数定義の差は要確認。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</cols>
  <sheetData>
    <row r="1">
      <c r="A1" s="1" t="inlineStr">
        <is>
          <t>拠点概要</t>
        </is>
      </c>
    </row>
    <row r="3" ht="30" customHeight="1">
      <c r="A3" s="4" t="inlineStr"/>
      <c r="B3" s="4" t="inlineStr">
        <is>
          <t>項目</t>
        </is>
      </c>
      <c r="C3" s="4" t="inlineStr">
        <is>
          <t>内容</t>
        </is>
      </c>
    </row>
    <row r="4">
      <c r="B4" s="10" t="inlineStr">
        <is>
          <t>本社・市場</t>
        </is>
      </c>
      <c r="C4" s="17" t="inlineStr">
        <is>
          <t>山形県鶴岡市宝田一丁目4番20号（宝田一丁目4-2：宅地3,100.22㎡。事務所・市場・倉庫・貯蔵庫。自社所有）</t>
        </is>
      </c>
    </row>
    <row r="5">
      <c r="B5" s="10" t="inlineStr">
        <is>
          <t>パッケージ場・倉庫</t>
        </is>
      </c>
      <c r="C5" s="17" t="inlineStr">
        <is>
          <t>鶴岡市宝田一丁目5-1（宅地900.50㎡。事務所兼倉庫〔パッケージ場〕629.34㎡・倉庫139.08㎡。自社所有）</t>
        </is>
      </c>
    </row>
    <row r="6">
      <c r="B6" s="10" t="inlineStr">
        <is>
          <t>倉庫敷地</t>
        </is>
      </c>
      <c r="C6" s="17" t="inlineStr">
        <is>
          <t>東田川郡庄内町長沼字宮前304-7（宅地261.81㎡。自社所有。建物の課税明細なし＝建物の有無は要確認）</t>
        </is>
      </c>
    </row>
    <row r="7">
      <c r="B7" s="10" t="inlineStr">
        <is>
          <t>賃借物件</t>
        </is>
      </c>
      <c r="C7" s="17" t="inlineStr">
        <is>
          <t>なし（地代家賃の計上なし）。ただしリース料年6,227千円（車両・冷蔵設備等と推察、要確認）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12" customWidth="1" min="5" max="5"/>
    <col width="16" customWidth="1" min="6" max="6"/>
    <col width="22" customWidth="1" min="7" max="7"/>
    <col width="16" customWidth="1" min="8" max="8"/>
    <col width="16" customWidth="1" min="9" max="9"/>
  </cols>
  <sheetData>
    <row r="1">
      <c r="A1" s="1" t="inlineStr">
        <is>
          <t>所有不動産</t>
        </is>
      </c>
    </row>
    <row r="2">
      <c r="A2" s="3" t="inlineStr">
        <is>
          <t>出所：R8年度固定資産税課税明細書、固定資産（土地・建物）内訳書</t>
        </is>
      </c>
    </row>
    <row r="4" ht="30" customHeight="1">
      <c r="A4" s="4" t="inlineStr"/>
      <c r="B4" s="4" t="inlineStr">
        <is>
          <t>所在</t>
        </is>
      </c>
      <c r="C4" s="4" t="inlineStr">
        <is>
          <t>地目</t>
        </is>
      </c>
      <c r="D4" s="4" t="inlineStr">
        <is>
          <t>用途</t>
        </is>
      </c>
      <c r="E4" s="4" t="inlineStr">
        <is>
          <t>地積(㎡)</t>
        </is>
      </c>
      <c r="F4" s="4" t="inlineStr">
        <is>
          <t>固定資産税評価額</t>
        </is>
      </c>
      <c r="G4" s="4" t="inlineStr"/>
      <c r="H4" s="4" t="inlineStr">
        <is>
          <t>簿価(2026/3末)</t>
        </is>
      </c>
      <c r="I4" s="4" t="inlineStr"/>
    </row>
    <row r="5">
      <c r="B5" s="12" t="inlineStr">
        <is>
          <t>鶴岡市宝田一丁目4-2</t>
        </is>
      </c>
      <c r="C5" s="17" t="inlineStr">
        <is>
          <t>宅地</t>
        </is>
      </c>
      <c r="D5" s="17" t="inlineStr">
        <is>
          <t>市場・事務所・倉庫</t>
        </is>
      </c>
      <c r="E5" s="26" t="n">
        <v>3100.22</v>
      </c>
      <c r="F5" s="7" t="n">
        <v>35861205</v>
      </c>
      <c r="H5" s="7" t="n">
        <v>70757240</v>
      </c>
    </row>
    <row r="6">
      <c r="B6" s="12" t="inlineStr">
        <is>
          <t>鶴岡市宝田一丁目5-1</t>
        </is>
      </c>
      <c r="C6" s="17" t="inlineStr">
        <is>
          <t>宅地</t>
        </is>
      </c>
      <c r="D6" s="17" t="inlineStr">
        <is>
          <t>パッケージ場・倉庫</t>
        </is>
      </c>
      <c r="E6" s="26" t="n">
        <v>900.5</v>
      </c>
      <c r="F6" s="7" t="n">
        <v>10560298</v>
      </c>
      <c r="H6" s="7" t="n">
        <v>21380000</v>
      </c>
    </row>
    <row r="7">
      <c r="B7" s="12" t="inlineStr">
        <is>
          <t>東田川郡庄内町長沼字宮前304-7</t>
        </is>
      </c>
      <c r="C7" s="17" t="inlineStr">
        <is>
          <t>宅地</t>
        </is>
      </c>
      <c r="D7" s="17" t="inlineStr">
        <is>
          <t>倉庫敷地</t>
        </is>
      </c>
      <c r="E7" s="26" t="n">
        <v>261.81</v>
      </c>
      <c r="F7" s="7" t="n">
        <v>1056005</v>
      </c>
      <c r="H7" s="7" t="n">
        <v>1000000</v>
      </c>
    </row>
    <row r="8">
      <c r="B8" s="8" t="inlineStr">
        <is>
          <t>土地 計</t>
        </is>
      </c>
      <c r="E8" s="27">
        <f>SUM(E5:E7)</f>
        <v>4262.53</v>
      </c>
      <c r="F8" s="9">
        <f>SUM(F5:F7)</f>
        <v>47477508</v>
      </c>
      <c r="H8" s="9">
        <f>SUM(H5:H7)</f>
        <v>93137240</v>
      </c>
    </row>
    <row r="10" ht="30" customHeight="1">
      <c r="A10" s="4" t="inlineStr"/>
      <c r="B10" s="4" t="inlineStr">
        <is>
          <t>所在</t>
        </is>
      </c>
      <c r="C10" s="4" t="inlineStr">
        <is>
          <t>種類</t>
        </is>
      </c>
      <c r="D10" s="4" t="inlineStr">
        <is>
          <t>構造</t>
        </is>
      </c>
      <c r="E10" s="4" t="inlineStr">
        <is>
          <t>階数</t>
        </is>
      </c>
      <c r="F10" s="4" t="inlineStr">
        <is>
          <t>床面積(㎡)</t>
        </is>
      </c>
      <c r="G10" s="4" t="inlineStr">
        <is>
          <t>建築年</t>
        </is>
      </c>
      <c r="H10" s="4" t="inlineStr">
        <is>
          <t>固定資産税評価額</t>
        </is>
      </c>
      <c r="I10" s="4" t="inlineStr"/>
    </row>
    <row r="11">
      <c r="B11" s="12" t="inlineStr">
        <is>
          <t>宝田一丁目4-2</t>
        </is>
      </c>
      <c r="C11" s="17" t="inlineStr">
        <is>
          <t>事務所</t>
        </is>
      </c>
      <c r="D11" s="19" t="inlineStr">
        <is>
          <t>鉄骨造 亜鉛メッキ鋼板葺</t>
        </is>
      </c>
      <c r="E11" s="17" t="inlineStr">
        <is>
          <t>2階</t>
        </is>
      </c>
      <c r="F11" s="26" t="n">
        <v>365.63</v>
      </c>
      <c r="G11" s="17" t="inlineStr">
        <is>
          <t>1981年（昭和56年）</t>
        </is>
      </c>
      <c r="H11" s="7" t="n">
        <v>11218061</v>
      </c>
    </row>
    <row r="12">
      <c r="B12" s="12" t="inlineStr">
        <is>
          <t>宝田一丁目4-2</t>
        </is>
      </c>
      <c r="C12" s="17" t="inlineStr">
        <is>
          <t>市場</t>
        </is>
      </c>
      <c r="D12" s="19" t="inlineStr">
        <is>
          <t>鉄骨造 亜鉛メッキ鋼板葺</t>
        </is>
      </c>
      <c r="E12" s="17" t="inlineStr">
        <is>
          <t>1階</t>
        </is>
      </c>
      <c r="F12" s="26" t="n">
        <v>320.22</v>
      </c>
      <c r="G12" s="17" t="inlineStr">
        <is>
          <t>1981年（昭和56年）</t>
        </is>
      </c>
      <c r="H12" s="7" t="n">
        <v>4712536</v>
      </c>
    </row>
    <row r="13">
      <c r="B13" s="12" t="inlineStr">
        <is>
          <t>宝田一丁目4-2</t>
        </is>
      </c>
      <c r="C13" s="17" t="inlineStr">
        <is>
          <t>倉庫</t>
        </is>
      </c>
      <c r="D13" s="19" t="inlineStr">
        <is>
          <t>鉄骨造 亜鉛メッキ鋼板葺</t>
        </is>
      </c>
      <c r="E13" s="17" t="inlineStr">
        <is>
          <t>1階</t>
        </is>
      </c>
      <c r="F13" s="26" t="n">
        <v>327.13</v>
      </c>
      <c r="G13" s="17" t="inlineStr">
        <is>
          <t>1981年（昭和56年）</t>
        </is>
      </c>
      <c r="H13" s="7" t="n">
        <v>4560792</v>
      </c>
    </row>
    <row r="14">
      <c r="B14" s="12" t="inlineStr">
        <is>
          <t>宝田一丁目4-2</t>
        </is>
      </c>
      <c r="C14" s="17" t="inlineStr">
        <is>
          <t>倉庫</t>
        </is>
      </c>
      <c r="D14" s="19" t="inlineStr">
        <is>
          <t>軽量鉄骨造</t>
        </is>
      </c>
      <c r="E14" s="17" t="inlineStr">
        <is>
          <t>2階</t>
        </is>
      </c>
      <c r="F14" s="26" t="n">
        <v>198.74</v>
      </c>
      <c r="G14" s="17" t="inlineStr">
        <is>
          <t>1981年（昭和56年）</t>
        </is>
      </c>
      <c r="H14" s="7" t="n">
        <v>1237049</v>
      </c>
    </row>
    <row r="15">
      <c r="B15" s="12" t="inlineStr">
        <is>
          <t>宝田一丁目4-2</t>
        </is>
      </c>
      <c r="C15" s="17" t="inlineStr">
        <is>
          <t>貯蔵庫</t>
        </is>
      </c>
      <c r="D15" s="19" t="inlineStr">
        <is>
          <t>軽量鉄骨造</t>
        </is>
      </c>
      <c r="E15" s="17" t="inlineStr">
        <is>
          <t>1階</t>
        </is>
      </c>
      <c r="F15" s="26" t="n">
        <v>34.48</v>
      </c>
      <c r="G15" s="17" t="inlineStr">
        <is>
          <t>1981年（昭和56年）</t>
        </is>
      </c>
      <c r="H15" s="7" t="n">
        <v>566907</v>
      </c>
    </row>
    <row r="16">
      <c r="B16" s="12" t="inlineStr">
        <is>
          <t>宝田一丁目5-1</t>
        </is>
      </c>
      <c r="C16" s="17" t="inlineStr">
        <is>
          <t>事務所兼倉庫</t>
        </is>
      </c>
      <c r="D16" s="19" t="inlineStr">
        <is>
          <t>鉄骨造 亜鉛メッキ鋼板葺</t>
        </is>
      </c>
      <c r="E16" s="17" t="inlineStr">
        <is>
          <t>2階</t>
        </is>
      </c>
      <c r="F16" s="26" t="n">
        <v>627.4</v>
      </c>
      <c r="G16" s="17" t="inlineStr">
        <is>
          <t>1982年（昭和57年）</t>
        </is>
      </c>
      <c r="H16" s="7" t="n">
        <v>13110977</v>
      </c>
    </row>
    <row r="17">
      <c r="B17" s="12" t="inlineStr">
        <is>
          <t>宝田一丁目5-1</t>
        </is>
      </c>
      <c r="C17" s="17" t="inlineStr">
        <is>
          <t>倉庫</t>
        </is>
      </c>
      <c r="D17" s="19" t="inlineStr">
        <is>
          <t>鉄骨造 亜鉛メッキ鋼板葺</t>
        </is>
      </c>
      <c r="E17" s="17" t="inlineStr">
        <is>
          <t>1階</t>
        </is>
      </c>
      <c r="F17" s="26" t="n">
        <v>139.08</v>
      </c>
      <c r="G17" s="17" t="inlineStr">
        <is>
          <t>2012年（平成24年）</t>
        </is>
      </c>
      <c r="H17" s="7" t="n">
        <v>11655678</v>
      </c>
    </row>
    <row r="18">
      <c r="B18" s="8" t="inlineStr">
        <is>
          <t>建物 計</t>
        </is>
      </c>
      <c r="F18" s="27">
        <f>SUM(F11:F17)</f>
        <v>2012.68</v>
      </c>
      <c r="H18" s="9">
        <f>SUM(H11:H17)</f>
        <v>47062000</v>
      </c>
    </row>
    <row r="20">
      <c r="B20" s="20" t="inlineStr">
        <is>
          <t>※建物簿価（2026/3末）92,066千円・建物付属設備11,400千円。主要棟は1981〜82年築であり、新耐震基準への適合（確認済証の日付）・アスベスト・修繕履歴は要確認。</t>
        </is>
      </c>
    </row>
    <row r="21">
      <c r="B21" s="20" t="inlineStr">
        <is>
          <t>※土地の簿価93,137千円に対し、固定資産税評価額は47,478千円。評価額÷0.7で推計した時価は約67,800千円（推察）であり、含み損の可能性あり。鑑定・路線価で要確認。</t>
        </is>
      </c>
    </row>
    <row r="22">
      <c r="B22" s="20" t="inlineStr">
        <is>
          <t>※償却資産の課税標準額9,779千円。R8年度固定資産税・都市計画税の年税額1,488千円。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60" customWidth="1" min="4" max="4"/>
  </cols>
  <sheetData>
    <row r="1">
      <c r="A1" s="1" t="inlineStr">
        <is>
          <t>保有設備</t>
        </is>
      </c>
    </row>
    <row r="2">
      <c r="A2" s="3" t="inlineStr">
        <is>
          <t>固定資産台帳は未受領（要確認）。BS科目別簿価で代替</t>
        </is>
      </c>
    </row>
    <row r="4" ht="30" customHeight="1">
      <c r="A4" s="4" t="inlineStr"/>
      <c r="B4" s="4" t="inlineStr">
        <is>
          <t>区分</t>
        </is>
      </c>
      <c r="C4" s="4" t="inlineStr">
        <is>
          <t>簿価(2026/3末)</t>
        </is>
      </c>
      <c r="D4" s="4" t="inlineStr">
        <is>
          <t>備考</t>
        </is>
      </c>
    </row>
    <row r="5">
      <c r="B5" s="12" t="inlineStr">
        <is>
          <t>建物付属設備</t>
        </is>
      </c>
      <c r="C5" s="7">
        <f>'BS(借方)'!E19</f>
        <v>11399836</v>
      </c>
      <c r="D5" s="19" t="inlineStr">
        <is>
          <t>冷蔵庫ユニット交換・シャッター更新等（内訳書記載の改修工事）</t>
        </is>
      </c>
    </row>
    <row r="6">
      <c r="B6" s="12" t="inlineStr">
        <is>
          <t>構築物</t>
        </is>
      </c>
      <c r="C6" s="7">
        <f>'BS(借方)'!E20</f>
        <v>284395</v>
      </c>
      <c r="D6" s="19" t="inlineStr"/>
    </row>
    <row r="7">
      <c r="B7" s="12" t="inlineStr">
        <is>
          <t>機械装置</t>
        </is>
      </c>
      <c r="C7" s="7">
        <f>'BS(借方)'!E21</f>
        <v>2</v>
      </c>
      <c r="D7" s="19" t="inlineStr">
        <is>
          <t>備忘価額のみ（償却済）</t>
        </is>
      </c>
    </row>
    <row r="8">
      <c r="B8" s="12" t="inlineStr">
        <is>
          <t>車両運搬具</t>
        </is>
      </c>
      <c r="C8" s="7">
        <f>'BS(借方)'!E22</f>
        <v>15</v>
      </c>
      <c r="D8" s="19" t="inlineStr">
        <is>
          <t>備忘価額のみ。集配車両はリースと推察（要確認）</t>
        </is>
      </c>
    </row>
    <row r="9">
      <c r="B9" s="12" t="inlineStr">
        <is>
          <t>工具器具備品</t>
        </is>
      </c>
      <c r="C9" s="7">
        <f>'BS(借方)'!E23</f>
        <v>18546</v>
      </c>
      <c r="D9" s="19" t="inlineStr"/>
    </row>
    <row r="10">
      <c r="B10" s="12" t="inlineStr">
        <is>
          <t>ソフトウェア</t>
        </is>
      </c>
      <c r="C10" s="7">
        <f>'BS(借方)'!E29</f>
        <v>371800</v>
      </c>
      <c r="D10" s="19" t="inlineStr">
        <is>
          <t>販売管理システム等と推察（要確認）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A1" s="1" t="inlineStr">
        <is>
          <t>月別売上高・仕入高（2026/3期）</t>
        </is>
      </c>
    </row>
    <row r="2">
      <c r="A2" s="3" t="inlineStr">
        <is>
          <t>出所：法人事業概況説明書。単位：千円（概況説明書記載値をそのまま転記）</t>
        </is>
      </c>
    </row>
    <row r="4" ht="30" customHeight="1">
      <c r="A4" s="4" t="inlineStr"/>
      <c r="B4" s="4" t="inlineStr">
        <is>
          <t>項目</t>
        </is>
      </c>
      <c r="C4" s="4" t="inlineStr">
        <is>
          <t>4月</t>
        </is>
      </c>
      <c r="D4" s="4" t="inlineStr">
        <is>
          <t>5月</t>
        </is>
      </c>
      <c r="E4" s="4" t="inlineStr">
        <is>
          <t>6月</t>
        </is>
      </c>
      <c r="F4" s="4" t="inlineStr">
        <is>
          <t>7月</t>
        </is>
      </c>
      <c r="G4" s="4" t="inlineStr">
        <is>
          <t>8月</t>
        </is>
      </c>
      <c r="H4" s="4" t="inlineStr">
        <is>
          <t>9月</t>
        </is>
      </c>
      <c r="I4" s="4" t="inlineStr">
        <is>
          <t>10月</t>
        </is>
      </c>
      <c r="J4" s="4" t="inlineStr">
        <is>
          <t>11月</t>
        </is>
      </c>
      <c r="K4" s="4" t="inlineStr">
        <is>
          <t>12月</t>
        </is>
      </c>
      <c r="L4" s="4" t="inlineStr">
        <is>
          <t>1月</t>
        </is>
      </c>
      <c r="M4" s="4" t="inlineStr">
        <is>
          <t>2月</t>
        </is>
      </c>
      <c r="N4" s="4" t="inlineStr">
        <is>
          <t>3月</t>
        </is>
      </c>
      <c r="O4" s="4" t="inlineStr">
        <is>
          <t>合計</t>
        </is>
      </c>
    </row>
    <row r="5">
      <c r="B5" s="5" t="inlineStr">
        <is>
          <t>売上高</t>
        </is>
      </c>
      <c r="C5" s="21" t="n">
        <v>87736</v>
      </c>
      <c r="D5" s="21" t="n">
        <v>101698</v>
      </c>
      <c r="E5" s="21" t="n">
        <v>83794</v>
      </c>
      <c r="F5" s="21" t="n">
        <v>146060</v>
      </c>
      <c r="G5" s="21" t="n">
        <v>138177</v>
      </c>
      <c r="H5" s="21" t="n">
        <v>110175</v>
      </c>
      <c r="I5" s="21" t="n">
        <v>106499</v>
      </c>
      <c r="J5" s="21" t="n">
        <v>100617</v>
      </c>
      <c r="K5" s="21" t="n">
        <v>98058</v>
      </c>
      <c r="L5" s="21" t="n">
        <v>69520</v>
      </c>
      <c r="M5" s="21" t="n">
        <v>69339</v>
      </c>
      <c r="N5" s="21" t="n">
        <v>84221</v>
      </c>
      <c r="O5" s="28">
        <f>SUM(C5:N5)</f>
        <v>1195894</v>
      </c>
    </row>
    <row r="6">
      <c r="B6" s="5" t="inlineStr">
        <is>
          <t>仕入高</t>
        </is>
      </c>
      <c r="C6" s="21" t="n">
        <v>76904</v>
      </c>
      <c r="D6" s="21" t="n">
        <v>86235</v>
      </c>
      <c r="E6" s="21" t="n">
        <v>74095</v>
      </c>
      <c r="F6" s="21" t="n">
        <v>139243</v>
      </c>
      <c r="G6" s="21" t="n">
        <v>96826</v>
      </c>
      <c r="H6" s="21" t="n">
        <v>85074</v>
      </c>
      <c r="I6" s="21" t="n">
        <v>84386</v>
      </c>
      <c r="J6" s="21" t="n">
        <v>85425</v>
      </c>
      <c r="K6" s="21" t="n">
        <v>82345</v>
      </c>
      <c r="L6" s="21" t="n">
        <v>56698</v>
      </c>
      <c r="M6" s="21" t="n">
        <v>58088</v>
      </c>
      <c r="N6" s="21" t="n">
        <v>70716</v>
      </c>
      <c r="O6" s="28">
        <f>SUM(C6:N6)</f>
        <v>996035</v>
      </c>
    </row>
    <row r="7">
      <c r="B7" s="5" t="inlineStr">
        <is>
          <t>人件費</t>
        </is>
      </c>
      <c r="C7" s="21" t="n">
        <v>4204</v>
      </c>
      <c r="D7" s="21" t="n">
        <v>7349</v>
      </c>
      <c r="E7" s="21" t="n">
        <v>7586</v>
      </c>
      <c r="F7" s="21" t="n">
        <v>7363</v>
      </c>
      <c r="G7" s="21" t="n">
        <v>7717</v>
      </c>
      <c r="H7" s="21" t="n">
        <v>7474</v>
      </c>
      <c r="I7" s="21" t="n">
        <v>7291</v>
      </c>
      <c r="J7" s="21" t="n">
        <v>7298</v>
      </c>
      <c r="K7" s="21" t="n">
        <v>7200</v>
      </c>
      <c r="L7" s="21" t="n">
        <v>6903</v>
      </c>
      <c r="M7" s="21" t="n">
        <v>6884</v>
      </c>
      <c r="N7" s="21" t="n">
        <v>9764</v>
      </c>
      <c r="O7" s="28">
        <f>SUM(C7:N7)</f>
        <v>87033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80" customWidth="1" min="4" max="4"/>
    <col width="10" customWidth="1" min="5" max="5"/>
  </cols>
  <sheetData>
    <row r="1">
      <c r="A1" s="1" t="inlineStr">
        <is>
          <t>要確認事項・Web調査メモ（ヒアリング項目／資料依頼の原本）</t>
        </is>
      </c>
    </row>
    <row r="3" ht="30" customHeight="1">
      <c r="A3" s="4" t="inlineStr"/>
      <c r="B3" s="4" t="inlineStr">
        <is>
          <t>No.</t>
        </is>
      </c>
      <c r="C3" s="4" t="inlineStr">
        <is>
          <t>区分</t>
        </is>
      </c>
      <c r="D3" s="4" t="inlineStr">
        <is>
          <t>内容</t>
        </is>
      </c>
      <c r="E3" s="4" t="inlineStr">
        <is>
          <t>優先度</t>
        </is>
      </c>
    </row>
    <row r="4">
      <c r="B4" s="29" t="n">
        <v>1</v>
      </c>
      <c r="C4" s="17" t="inlineStr">
        <is>
          <t>事業</t>
        </is>
      </c>
      <c r="D4" s="17" t="inlineStr">
        <is>
          <t>売上高の構成（買付販売／受託販売手数料／センター費／資材・肥料売上）の年度別内訳。決算書では「商品売上高」1本表示</t>
        </is>
      </c>
      <c r="E4" s="17" t="inlineStr">
        <is>
          <t>高</t>
        </is>
      </c>
    </row>
    <row r="5">
      <c r="B5" s="29" t="n">
        <v>2</v>
      </c>
      <c r="C5" s="17" t="inlineStr">
        <is>
          <t>事業</t>
        </is>
      </c>
      <c r="D5" s="17" t="inlineStr">
        <is>
          <t>市場の法的位置づけ（卸売市場法上の地方卸売市場の認定／開設者兼卸売業者）、認定日・条件、仲卸業者数・売買参加者数</t>
        </is>
      </c>
      <c r="E5" s="17" t="inlineStr">
        <is>
          <t>高</t>
        </is>
      </c>
    </row>
    <row r="6">
      <c r="B6" s="29" t="n">
        <v>3</v>
      </c>
      <c r="C6" s="17" t="inlineStr">
        <is>
          <t>事業</t>
        </is>
      </c>
      <c r="D6" s="17" t="inlineStr">
        <is>
          <t>主要販売先別・仕入先（出荷者）別の年間取引高（内訳書は期末残高のみ）。(株)主婦の店への依存度</t>
        </is>
      </c>
      <c r="E6" s="17" t="inlineStr">
        <is>
          <t>高</t>
        </is>
      </c>
    </row>
    <row r="7">
      <c r="B7" s="29" t="n">
        <v>4</v>
      </c>
      <c r="C7" s="17" t="inlineStr">
        <is>
          <t>事業</t>
        </is>
      </c>
      <c r="D7" s="17" t="inlineStr">
        <is>
          <t>「主婦センター費」「センター費」の内容（主婦の店の物流センター業務の受託と推察）、契約条件</t>
        </is>
      </c>
      <c r="E7" s="17" t="inlineStr">
        <is>
          <t>高</t>
        </is>
      </c>
    </row>
    <row r="8">
      <c r="B8" s="29" t="n">
        <v>5</v>
      </c>
      <c r="C8" s="17" t="inlineStr">
        <is>
          <t>財務</t>
        </is>
      </c>
      <c r="D8" s="17" t="inlineStr">
        <is>
          <t>2025/3期の営業赤字（△4,423千円）の要因。売上総利益率は18.6%→17.9%→16.6%と低下</t>
        </is>
      </c>
      <c r="E8" s="17" t="inlineStr">
        <is>
          <t>高</t>
        </is>
      </c>
    </row>
    <row r="9">
      <c r="B9" s="29" t="n">
        <v>6</v>
      </c>
      <c r="C9" s="17" t="inlineStr">
        <is>
          <t>財務</t>
        </is>
      </c>
      <c r="D9" s="17" t="inlineStr">
        <is>
          <t>2026/3期に賞与計上がない理由。今後の支給方針</t>
        </is>
      </c>
      <c r="E9" s="17" t="inlineStr">
        <is>
          <t>高</t>
        </is>
      </c>
    </row>
    <row r="10">
      <c r="B10" s="29" t="n">
        <v>7</v>
      </c>
      <c r="C10" s="17" t="inlineStr">
        <is>
          <t>財務</t>
        </is>
      </c>
      <c r="D10" s="17" t="inlineStr">
        <is>
          <t>前期損益修正損20,900千円（過年度保険解約訂正額）の経緯。解約返戻金の受領有無</t>
        </is>
      </c>
      <c r="E10" s="17" t="inlineStr">
        <is>
          <t>高</t>
        </is>
      </c>
    </row>
    <row r="11">
      <c r="B11" s="29" t="n">
        <v>8</v>
      </c>
      <c r="C11" s="17" t="inlineStr">
        <is>
          <t>財務</t>
        </is>
      </c>
      <c r="D11" s="17" t="inlineStr">
        <is>
          <t>役員報酬の減額（代表者10,560千円→4,320千円）の理由、常務取締役退任（2026/5）後の体制</t>
        </is>
      </c>
      <c r="E11" s="17" t="inlineStr">
        <is>
          <t>高</t>
        </is>
      </c>
    </row>
    <row r="12">
      <c r="B12" s="29" t="n">
        <v>9</v>
      </c>
      <c r="C12" s="17" t="inlineStr">
        <is>
          <t>財務</t>
        </is>
      </c>
      <c r="D12" s="17" t="inlineStr">
        <is>
          <t>借入金の金利・返済予定・担保・代表者保証。有利子負債361,058千円（2026/3末）</t>
        </is>
      </c>
      <c r="E12" s="17" t="inlineStr">
        <is>
          <t>高</t>
        </is>
      </c>
    </row>
    <row r="13">
      <c r="B13" s="29" t="n">
        <v>10</v>
      </c>
      <c r="C13" s="17" t="inlineStr">
        <is>
          <t>財務</t>
        </is>
      </c>
      <c r="D13" s="17" t="inlineStr">
        <is>
          <t>保証金31,993千円（庄内青果物卸売精算(有)）の性質・返還条件、預り保証金8,980千円の相手先</t>
        </is>
      </c>
      <c r="E13" s="17" t="inlineStr">
        <is>
          <t>中</t>
        </is>
      </c>
    </row>
    <row r="14">
      <c r="B14" s="29" t="n">
        <v>11</v>
      </c>
      <c r="C14" s="17" t="inlineStr">
        <is>
          <t>財務</t>
        </is>
      </c>
      <c r="D14" s="17" t="inlineStr">
        <is>
          <t>投資有価証券の減少（2026/3末2,600千円→2026/7末1,600千円）。(株)庄果株式の処分有無</t>
        </is>
      </c>
      <c r="E14" s="17" t="inlineStr">
        <is>
          <t>中</t>
        </is>
      </c>
    </row>
    <row r="15">
      <c r="B15" s="29" t="n">
        <v>12</v>
      </c>
      <c r="C15" s="17" t="inlineStr">
        <is>
          <t>財務</t>
        </is>
      </c>
      <c r="D15" s="17" t="inlineStr">
        <is>
          <t>租税公課12,177千円の内訳（税込経理による消費税納付額と推察）</t>
        </is>
      </c>
      <c r="E15" s="17" t="inlineStr">
        <is>
          <t>中</t>
        </is>
      </c>
    </row>
    <row r="16">
      <c r="B16" s="29" t="n">
        <v>13</v>
      </c>
      <c r="C16" s="17" t="inlineStr">
        <is>
          <t>不動産</t>
        </is>
      </c>
      <c r="D16" s="17" t="inlineStr">
        <is>
          <t>土地の時価（簿価93,137千円／固定資産税評価額47,478千円）。建物の耐震性・修繕計画</t>
        </is>
      </c>
      <c r="E16" s="17" t="inlineStr">
        <is>
          <t>高</t>
        </is>
      </c>
    </row>
    <row r="17">
      <c r="B17" s="29" t="n">
        <v>14</v>
      </c>
      <c r="C17" s="17" t="inlineStr">
        <is>
          <t>不動産</t>
        </is>
      </c>
      <c r="D17" s="17" t="inlineStr">
        <is>
          <t>庄内町長沼の倉庫敷地の利用状況（建物の有無）</t>
        </is>
      </c>
      <c r="E17" s="17" t="inlineStr">
        <is>
          <t>中</t>
        </is>
      </c>
    </row>
    <row r="18">
      <c r="B18" s="29" t="n">
        <v>15</v>
      </c>
      <c r="C18" s="17" t="inlineStr">
        <is>
          <t>人事</t>
        </is>
      </c>
      <c r="D18" s="17" t="inlineStr">
        <is>
          <t>従業員数の定義差（名簿24名／概況説明書30名／県資料40名）。セリ人・キーパーソン、後継体制</t>
        </is>
      </c>
      <c r="E18" s="17" t="inlineStr">
        <is>
          <t>高</t>
        </is>
      </c>
    </row>
    <row r="19">
      <c r="B19" s="29" t="n">
        <v>16</v>
      </c>
      <c r="C19" s="17" t="inlineStr">
        <is>
          <t>人事</t>
        </is>
      </c>
      <c r="D19" s="17" t="inlineStr">
        <is>
          <t>就業規則・退職金規程（退職金共済加入のみか）・未払残業代の有無</t>
        </is>
      </c>
      <c r="E19" s="17" t="inlineStr">
        <is>
          <t>中</t>
        </is>
      </c>
    </row>
    <row r="20">
      <c r="B20" s="29" t="n">
        <v>17</v>
      </c>
      <c r="C20" s="17" t="inlineStr">
        <is>
          <t>Web</t>
        </is>
      </c>
      <c r="D20" s="17" t="inlineStr">
        <is>
          <t>会社HP（turu-chu.co.jp）で「だだちゃ豆」「庄内柿」「和梨・洋梨の特別栽培」等を紹介（検索結果の要約。ネットワーク制限により本文未閲覧：要確認）</t>
        </is>
      </c>
      <c r="E20" s="17" t="inlineStr">
        <is>
          <t>中</t>
        </is>
      </c>
    </row>
    <row r="21">
      <c r="B21" s="29" t="n">
        <v>18</v>
      </c>
      <c r="C21" s="17" t="inlineStr">
        <is>
          <t>Web</t>
        </is>
      </c>
      <c r="D21" s="17" t="inlineStr">
        <is>
          <t>山形県「地方卸売市場の概要」に鶴岡中央青果（開設者兼卸売業者）が掲載。従業員40名・開設時期の記載あり（本文未閲覧：要確認）</t>
        </is>
      </c>
      <c r="E21" s="17" t="inlineStr">
        <is>
          <t>中</t>
        </is>
      </c>
    </row>
    <row r="22">
      <c r="B22" s="29" t="n">
        <v>19</v>
      </c>
      <c r="C22" s="17" t="inlineStr">
        <is>
          <t>Web</t>
        </is>
      </c>
      <c r="D22" s="17" t="inlineStr">
        <is>
          <t>近隣には公設庄内青果物地方卸売市場（三川町、庄内広域行政組合開設）があり、仕入先の丸果庄内青果(株)・(株)庄果が入場</t>
        </is>
      </c>
      <c r="E22" s="17" t="inlineStr">
        <is>
          <t>中</t>
        </is>
      </c>
    </row>
    <row r="23">
      <c r="B23" s="29" t="n">
        <v>20</v>
      </c>
      <c r="C23" s="17" t="inlineStr">
        <is>
          <t>譲渡条件</t>
        </is>
      </c>
      <c r="D23" s="17" t="inlineStr">
        <is>
          <t>スキーム（株式譲渡100%を想定）、希望価格、役員の継続関与、従業員の雇用維持、譲渡理由</t>
        </is>
      </c>
      <c r="E23" s="17" t="inlineStr">
        <is>
          <t>高</t>
        </is>
      </c>
    </row>
    <row r="25">
      <c r="C25" s="16" t="inlineStr">
        <is>
          <t>Web出所：https://www.turu-chu.co.jp/ ／ https://www.pref.yamagata.jp/140031/sangyo/nourinsuisangyou/nogyo/business/oroshiurisijyou.html ／</t>
        </is>
      </c>
    </row>
    <row r="26">
      <c r="C26" s="16" t="inlineStr">
        <is>
          <t>https://www.pref.yamagata.jp/documents/26382/r7shijo_gaiyou.pdf ／ https://www.inetshonai.or.jp/~seika/main.html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2026-09-23T14:28:12Z</dcterms:created>
  <dcterms:modified xmlns:dcterms="http://purl.org/dc/terms/" xmlns:xsi="http://www.w3.org/2001/XMLSchema-instance" xsi:type="dcterms:W3CDTF">2026-09-23T14:28:12Z</dcterms:modified>
</cp:coreProperties>
</file>