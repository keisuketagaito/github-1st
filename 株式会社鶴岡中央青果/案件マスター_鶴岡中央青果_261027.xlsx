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drawings/drawing2.xml" ContentType="application/vnd.openxmlformats-officedocument.drawing+xml"/>
  <Override PartName="/xl/worksheets/sheet5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700" yWindow="285" windowWidth="21900" windowHeight="14775" tabRatio="739" firstSheet="0" activeTab="2" autoFilterDateGrouping="1"/>
  </bookViews>
  <sheets>
    <sheet xmlns:r="http://schemas.openxmlformats.org/officeDocument/2006/relationships" name="ルール" sheetId="1" state="visible" r:id="rId1"/>
    <sheet xmlns:r="http://schemas.openxmlformats.org/officeDocument/2006/relationships" name="財務入力→" sheetId="2" state="visible" r:id="rId2"/>
    <sheet xmlns:r="http://schemas.openxmlformats.org/officeDocument/2006/relationships" name="BS(借方)" sheetId="3" state="visible" r:id="rId3"/>
    <sheet xmlns:r="http://schemas.openxmlformats.org/officeDocument/2006/relationships" name="BS (貸方)" sheetId="4" state="visible" r:id="rId4"/>
    <sheet xmlns:r="http://schemas.openxmlformats.org/officeDocument/2006/relationships" name="PL" sheetId="5" state="visible" r:id="rId5"/>
    <sheet xmlns:r="http://schemas.openxmlformats.org/officeDocument/2006/relationships" name="CR" sheetId="6" state="visible" r:id="rId6"/>
    <sheet xmlns:r="http://schemas.openxmlformats.org/officeDocument/2006/relationships" name="SGA" sheetId="7" state="visible" r:id="rId7"/>
    <sheet xmlns:r="http://schemas.openxmlformats.org/officeDocument/2006/relationships" name="VR→ " sheetId="8" state="visible" r:id="rId8"/>
    <sheet xmlns:r="http://schemas.openxmlformats.org/officeDocument/2006/relationships" name="株式価値 " sheetId="9" state="visible" r:id="rId9"/>
    <sheet xmlns:r="http://schemas.openxmlformats.org/officeDocument/2006/relationships" name="修正BS(借方)" sheetId="10" state="visible" r:id="rId10"/>
    <sheet xmlns:r="http://schemas.openxmlformats.org/officeDocument/2006/relationships" name="売掛・棚卸" sheetId="11" state="visible" r:id="rId11"/>
    <sheet xmlns:r="http://schemas.openxmlformats.org/officeDocument/2006/relationships" name="減価償却" sheetId="12" state="visible" r:id="rId12"/>
    <sheet xmlns:r="http://schemas.openxmlformats.org/officeDocument/2006/relationships" name="土地" sheetId="13" state="visible" r:id="rId13"/>
    <sheet xmlns:r="http://schemas.openxmlformats.org/officeDocument/2006/relationships" name="保険" sheetId="14" state="visible" r:id="rId14"/>
    <sheet xmlns:r="http://schemas.openxmlformats.org/officeDocument/2006/relationships" name="有価証券" sheetId="15" state="visible" r:id="rId15"/>
    <sheet xmlns:r="http://schemas.openxmlformats.org/officeDocument/2006/relationships" name="修正BS(貸方) " sheetId="16" state="visible" r:id="rId16"/>
    <sheet xmlns:r="http://schemas.openxmlformats.org/officeDocument/2006/relationships" name="未払人件費・賞与" sheetId="17" state="visible" r:id="rId17"/>
    <sheet xmlns:r="http://schemas.openxmlformats.org/officeDocument/2006/relationships" name="退職金" sheetId="18" state="visible" r:id="rId18"/>
    <sheet xmlns:r="http://schemas.openxmlformats.org/officeDocument/2006/relationships" name="税効果" sheetId="19" state="visible" r:id="rId19"/>
    <sheet xmlns:r="http://schemas.openxmlformats.org/officeDocument/2006/relationships" name="ネットキャッシュ" sheetId="20" state="visible" r:id="rId20"/>
    <sheet xmlns:r="http://schemas.openxmlformats.org/officeDocument/2006/relationships" name="修正PL" sheetId="21" state="visible" r:id="rId21"/>
    <sheet xmlns:r="http://schemas.openxmlformats.org/officeDocument/2006/relationships" name="修正SGA" sheetId="22" state="visible" r:id="rId22"/>
    <sheet xmlns:r="http://schemas.openxmlformats.org/officeDocument/2006/relationships" name="修正CR" sheetId="23" state="visible" r:id="rId23"/>
    <sheet xmlns:r="http://schemas.openxmlformats.org/officeDocument/2006/relationships" name="年買法" sheetId="24" state="visible" r:id="rId24"/>
    <sheet xmlns:r="http://schemas.openxmlformats.org/officeDocument/2006/relationships" name="EV EBITDAマルチプル" sheetId="25" state="visible" r:id="rId25"/>
    <sheet xmlns:r="http://schemas.openxmlformats.org/officeDocument/2006/relationships" name="参照企業" sheetId="26" state="visible" r:id="rId26"/>
    <sheet xmlns:r="http://schemas.openxmlformats.org/officeDocument/2006/relationships" name="IM→" sheetId="27" state="visible" r:id="rId27"/>
    <sheet xmlns:r="http://schemas.openxmlformats.org/officeDocument/2006/relationships" name="会社概要" sheetId="28" state="visible" r:id="rId28"/>
    <sheet xmlns:r="http://schemas.openxmlformats.org/officeDocument/2006/relationships" name="PLハイライト" sheetId="29" state="visible" r:id="rId29"/>
    <sheet xmlns:r="http://schemas.openxmlformats.org/officeDocument/2006/relationships" name="BSハイライト" sheetId="30" state="visible" r:id="rId30"/>
    <sheet xmlns:r="http://schemas.openxmlformats.org/officeDocument/2006/relationships" name="売上構成" sheetId="31" state="visible" r:id="rId31"/>
    <sheet xmlns:r="http://schemas.openxmlformats.org/officeDocument/2006/relationships" name="品目別売上" sheetId="32" state="visible" r:id="rId32"/>
    <sheet xmlns:r="http://schemas.openxmlformats.org/officeDocument/2006/relationships" name="取引先" sheetId="33" state="visible" r:id="rId33"/>
    <sheet xmlns:r="http://schemas.openxmlformats.org/officeDocument/2006/relationships" name="仕入先" sheetId="34" state="visible" r:id="rId34"/>
    <sheet xmlns:r="http://schemas.openxmlformats.org/officeDocument/2006/relationships" name="外注先" sheetId="35" state="visible" r:id="rId35"/>
    <sheet xmlns:r="http://schemas.openxmlformats.org/officeDocument/2006/relationships" name="月別売上" sheetId="36" state="visible" r:id="rId36"/>
    <sheet xmlns:r="http://schemas.openxmlformats.org/officeDocument/2006/relationships" name="株主" sheetId="37" state="visible" r:id="rId37"/>
    <sheet xmlns:r="http://schemas.openxmlformats.org/officeDocument/2006/relationships" name="取締役" sheetId="38" state="visible" r:id="rId38"/>
    <sheet xmlns:r="http://schemas.openxmlformats.org/officeDocument/2006/relationships" name="従業員" sheetId="39" state="visible" r:id="rId39"/>
    <sheet xmlns:r="http://schemas.openxmlformats.org/officeDocument/2006/relationships" name="拠点(本社等)" sheetId="40" state="visible" r:id="rId40"/>
    <sheet xmlns:r="http://schemas.openxmlformats.org/officeDocument/2006/relationships" name="不動産概況" sheetId="41" state="visible" r:id="rId41"/>
    <sheet xmlns:r="http://schemas.openxmlformats.org/officeDocument/2006/relationships" name="不動産(所有)" sheetId="42" state="visible" r:id="rId42"/>
    <sheet xmlns:r="http://schemas.openxmlformats.org/officeDocument/2006/relationships" name="不動産(賃借) " sheetId="43" state="visible" r:id="rId43"/>
    <sheet xmlns:r="http://schemas.openxmlformats.org/officeDocument/2006/relationships" name="設備" sheetId="44" state="visible" r:id="rId44"/>
    <sheet xmlns:r="http://schemas.openxmlformats.org/officeDocument/2006/relationships" name="許認可" sheetId="45" state="visible" r:id="rId45"/>
    <sheet xmlns:r="http://schemas.openxmlformats.org/officeDocument/2006/relationships" name="沿革" sheetId="46" state="visible" r:id="rId46"/>
    <sheet xmlns:r="http://schemas.openxmlformats.org/officeDocument/2006/relationships" name="その他補足" sheetId="47" state="visible" r:id="rId47"/>
    <sheet xmlns:r="http://schemas.openxmlformats.org/officeDocument/2006/relationships" name="財務" sheetId="48" state="visible" r:id="rId48"/>
    <sheet xmlns:r="http://schemas.openxmlformats.org/officeDocument/2006/relationships" name="その他" sheetId="49" state="visible" r:id="rId49"/>
    <sheet xmlns:r="http://schemas.openxmlformats.org/officeDocument/2006/relationships" name="スケジュール(横)" sheetId="50" state="visible" r:id="rId50"/>
    <sheet xmlns:r="http://schemas.openxmlformats.org/officeDocument/2006/relationships" name="スケジュール(縦)" sheetId="51" state="visible" r:id="rId51"/>
    <sheet xmlns:r="http://schemas.openxmlformats.org/officeDocument/2006/relationships" name="グラフ" sheetId="52" state="visible" r:id="rId52"/>
    <sheet xmlns:r="http://schemas.openxmlformats.org/officeDocument/2006/relationships" name="表" sheetId="53" state="visible" r:id="rId53"/>
  </sheets>
  <definedNames/>
  <calcPr calcId="191029" fullCalcOnLoad="1"/>
</workbook>
</file>

<file path=xl/styles.xml><?xml version="1.0" encoding="utf-8"?>
<styleSheet xmlns="http://schemas.openxmlformats.org/spreadsheetml/2006/main">
  <numFmts count="18">
    <numFmt numFmtId="164" formatCode="#,##0;&quot;△&quot;\ #,##0"/>
    <numFmt numFmtId="165" formatCode="0.0%"/>
    <numFmt numFmtId="166" formatCode="#,##0,"/>
    <numFmt numFmtId="167" formatCode="0.00_);[Red]\(0.00\)"/>
    <numFmt numFmtId="168" formatCode="#,##0,;\△#,##0,;0"/>
    <numFmt numFmtId="169" formatCode="#,##0.00_ "/>
    <numFmt numFmtId="170" formatCode="#,##0.0_ "/>
    <numFmt numFmtId="171" formatCode="#,##0_ "/>
    <numFmt numFmtId="172" formatCode="0_);[Red]\(0\)"/>
    <numFmt numFmtId="173" formatCode="m&quot;月&quot;d&quot;日&quot;;@"/>
    <numFmt numFmtId="174" formatCode="#,##0;△#,##0;&quot;-&quot;"/>
    <numFmt numFmtId="175" formatCode="#,##0,;△#,##0,"/>
    <numFmt numFmtId="176" formatCode="yyyy/mm/dd"/>
    <numFmt numFmtId="177" formatCode="yyyy-mm-dd h:mm:ss"/>
    <numFmt numFmtId="178" formatCode="#,##0,;△#,##0,;&quot;-&quot;"/>
    <numFmt numFmtId="179" formatCode="0.0%;△0.0%;&quot;-&quot;"/>
    <numFmt numFmtId="180" formatCode="#,##0.00;△#,##0.00;&quot;-&quot;"/>
    <numFmt numFmtId="181" formatCode="0.00&quot;倍&quot;"/>
  </numFmts>
  <fonts count="82">
    <font>
      <name val="游ゴシック Medium"/>
      <charset val="128"/>
      <family val="2"/>
      <color theme="1"/>
      <sz val="11"/>
      <scheme val="minor"/>
    </font>
    <font>
      <name val="游ゴシック Medium"/>
      <charset val="128"/>
      <family val="2"/>
      <sz val="6"/>
      <scheme val="minor"/>
    </font>
    <font>
      <name val="游ゴシック"/>
      <charset val="128"/>
      <family val="3"/>
      <b val="1"/>
      <color theme="0"/>
      <sz val="12"/>
    </font>
    <font>
      <name val="游ゴシック Medium"/>
      <charset val="128"/>
      <family val="3"/>
      <color theme="1"/>
      <sz val="9"/>
    </font>
    <font>
      <name val="游ゴシック Medium"/>
      <charset val="128"/>
      <family val="3"/>
      <color theme="1"/>
      <sz val="11"/>
    </font>
    <font>
      <name val="Arial"/>
      <family val="2"/>
      <b val="1"/>
      <color theme="1"/>
      <sz val="14"/>
    </font>
    <font>
      <name val="游ゴシック"/>
      <charset val="128"/>
      <family val="3"/>
      <b val="1"/>
      <color theme="1"/>
      <sz val="12"/>
    </font>
    <font>
      <name val="Arial"/>
      <family val="2"/>
      <b val="1"/>
      <color theme="1"/>
      <sz val="12"/>
    </font>
    <font>
      <name val="Arial"/>
      <family val="2"/>
      <color theme="1"/>
      <sz val="12"/>
    </font>
    <font>
      <name val="游ゴシック"/>
      <charset val="128"/>
      <family val="2"/>
      <b val="1"/>
      <color theme="1"/>
      <sz val="12"/>
    </font>
    <font>
      <name val="游ゴシック Medium"/>
      <charset val="128"/>
      <family val="2"/>
      <color rgb="FFFF0000"/>
      <sz val="11"/>
      <scheme val="minor"/>
    </font>
    <font>
      <name val="游ゴシック"/>
      <charset val="128"/>
      <family val="3"/>
      <b val="1"/>
      <color rgb="FFFF0000"/>
      <sz val="12"/>
    </font>
    <font>
      <name val="游ゴシック"/>
      <charset val="128"/>
      <family val="3"/>
      <color theme="1"/>
      <sz val="12"/>
      <scheme val="major"/>
    </font>
    <font>
      <name val="游ゴシック"/>
      <charset val="128"/>
      <family val="3"/>
      <b val="1"/>
      <color theme="0"/>
      <sz val="12"/>
      <scheme val="major"/>
    </font>
    <font>
      <name val="游ゴシック"/>
      <charset val="128"/>
      <family val="3"/>
      <color theme="1"/>
      <sz val="11"/>
      <scheme val="major"/>
    </font>
    <font>
      <name val="游ゴシック"/>
      <charset val="128"/>
      <family val="3"/>
      <b val="1"/>
      <color theme="1"/>
      <sz val="12"/>
      <scheme val="major"/>
    </font>
    <font>
      <name val="游ゴシック"/>
      <charset val="128"/>
      <family val="3"/>
      <color rgb="FFFF0000"/>
      <sz val="11"/>
      <scheme val="major"/>
    </font>
    <font>
      <name val="游ゴシック"/>
      <charset val="128"/>
      <family val="3"/>
      <color theme="1"/>
      <sz val="10"/>
      <scheme val="major"/>
    </font>
    <font>
      <name val="Arial"/>
      <family val="2"/>
      <color theme="1"/>
      <sz val="11"/>
    </font>
    <font>
      <name val="Arial"/>
      <family val="2"/>
      <color theme="1"/>
      <sz val="10"/>
    </font>
    <font>
      <name val="游ゴシック"/>
      <charset val="128"/>
      <family val="3"/>
      <b val="1"/>
      <color theme="1"/>
      <sz val="11"/>
      <scheme val="major"/>
    </font>
    <font>
      <name val="游ゴシック"/>
      <charset val="128"/>
      <family val="3"/>
      <color theme="0"/>
      <sz val="12"/>
      <scheme val="major"/>
    </font>
    <font>
      <name val="游ゴシック Medium"/>
      <charset val="128"/>
      <family val="2"/>
      <color theme="1"/>
      <sz val="11"/>
      <scheme val="minor"/>
    </font>
    <font>
      <name val="游ゴシック Medium"/>
      <charset val="128"/>
      <family val="2"/>
      <b val="1"/>
      <color theme="1"/>
      <sz val="11"/>
      <scheme val="minor"/>
    </font>
    <font>
      <name val="ＭＳ Ｐゴシック"/>
      <charset val="128"/>
      <family val="2"/>
      <color theme="1"/>
      <sz val="12"/>
    </font>
    <font>
      <name val="游ゴシック"/>
      <charset val="128"/>
      <family val="3"/>
      <color theme="1"/>
      <sz val="12"/>
    </font>
    <font>
      <name val="游ゴシック"/>
      <charset val="128"/>
      <family val="2"/>
      <color theme="1"/>
      <sz val="12"/>
    </font>
    <font>
      <name val="游ゴシック"/>
      <charset val="128"/>
      <family val="3"/>
      <color theme="1"/>
      <sz val="9"/>
      <scheme val="major"/>
    </font>
    <font>
      <name val="Arial"/>
      <family val="2"/>
      <b val="1"/>
      <color theme="0"/>
      <sz val="12"/>
    </font>
    <font>
      <name val="Arial"/>
      <family val="2"/>
      <sz val="12"/>
    </font>
    <font>
      <name val="Meiryo UI"/>
      <charset val="128"/>
      <family val="2"/>
      <color theme="1"/>
      <sz val="10"/>
    </font>
    <font>
      <name val="Arial"/>
      <family val="2"/>
      <color rgb="FFFF0000"/>
      <sz val="12"/>
    </font>
    <font>
      <name val="游ゴシック Medium"/>
      <charset val="128"/>
      <family val="2"/>
      <color rgb="FFFF0000"/>
      <sz val="12"/>
    </font>
    <font>
      <name val="游ゴシック"/>
      <charset val="128"/>
      <family val="2"/>
      <sz val="12"/>
    </font>
    <font>
      <name val="游ゴシック"/>
      <charset val="128"/>
      <family val="3"/>
      <i val="1"/>
      <color theme="1"/>
      <sz val="9"/>
      <scheme val="major"/>
    </font>
    <font>
      <name val="Arial"/>
      <family val="2"/>
      <i val="1"/>
      <color theme="1"/>
      <sz val="9"/>
    </font>
    <font>
      <name val="游ゴシック"/>
      <charset val="128"/>
      <family val="3"/>
      <b val="1"/>
      <color theme="1"/>
      <sz val="14"/>
      <scheme val="major"/>
    </font>
    <font>
      <name val="游ゴシック Medium"/>
      <charset val="128"/>
      <family val="3"/>
      <color theme="1"/>
      <sz val="9"/>
      <scheme val="minor"/>
    </font>
    <font>
      <name val="游ゴシック Medium"/>
      <charset val="128"/>
      <family val="3"/>
      <b val="1"/>
      <color theme="1"/>
      <sz val="9"/>
      <scheme val="minor"/>
    </font>
    <font>
      <name val="游ゴシック"/>
      <charset val="128"/>
      <family val="3"/>
      <b val="1"/>
      <color rgb="FFFF0000"/>
      <sz val="10"/>
    </font>
    <font>
      <name val="游ゴシック Medium"/>
      <charset val="128"/>
      <family val="3"/>
      <b val="1"/>
      <color rgb="FFFF0000"/>
      <sz val="11"/>
      <scheme val="minor"/>
    </font>
    <font>
      <name val="游ゴシック"/>
      <charset val="128"/>
      <family val="3"/>
      <b val="1"/>
      <color rgb="FFFF0000"/>
      <sz val="11"/>
      <scheme val="major"/>
    </font>
    <font>
      <name val="Arial"/>
      <charset val="128"/>
      <family val="3"/>
      <color theme="1"/>
      <sz val="12"/>
    </font>
    <font>
      <name val="Arial"/>
      <family val="3"/>
      <color theme="1"/>
      <sz val="12"/>
    </font>
    <font>
      <name val="游ゴシック"/>
      <charset val="128"/>
      <family val="3"/>
      <color theme="0"/>
      <sz val="12"/>
    </font>
    <font>
      <name val="Arial"/>
      <family val="2"/>
      <b val="1"/>
      <color theme="1"/>
      <sz val="11"/>
    </font>
    <font>
      <name val="Arial"/>
      <charset val="128"/>
      <family val="2"/>
      <color theme="1"/>
      <sz val="12"/>
    </font>
    <font>
      <name val="游ゴシック"/>
      <charset val="128"/>
      <family val="3"/>
      <sz val="11"/>
      <scheme val="major"/>
    </font>
    <font>
      <name val="游ゴシック"/>
      <charset val="128"/>
      <family val="3"/>
      <sz val="12"/>
      <scheme val="major"/>
    </font>
    <font>
      <name val="游ゴシック"/>
      <charset val="128"/>
      <family val="3"/>
      <b val="1"/>
      <color theme="0"/>
      <sz val="11"/>
      <scheme val="major"/>
    </font>
    <font>
      <name val="游ゴシック"/>
      <charset val="128"/>
      <family val="3"/>
      <color theme="0"/>
      <sz val="8"/>
      <scheme val="major"/>
    </font>
    <font>
      <name val="游ゴシック"/>
      <charset val="128"/>
      <family val="3"/>
      <sz val="8"/>
      <scheme val="major"/>
    </font>
    <font>
      <name val="游ゴシック"/>
      <charset val="128"/>
      <family val="3"/>
      <b val="1"/>
      <color theme="0" tint="-0.0499893185216834"/>
      <sz val="11"/>
      <scheme val="major"/>
    </font>
    <font>
      <name val="游ゴシック"/>
      <charset val="128"/>
      <family val="3"/>
      <color theme="1"/>
      <sz val="8"/>
      <scheme val="major"/>
    </font>
    <font>
      <name val="游ゴシック"/>
      <charset val="128"/>
      <family val="3"/>
      <color theme="9"/>
      <sz val="11"/>
      <scheme val="major"/>
    </font>
    <font>
      <name val="游ゴシック Medium"/>
      <charset val="128"/>
      <family val="2"/>
      <color theme="1"/>
      <sz val="12"/>
      <scheme val="minor"/>
    </font>
    <font>
      <name val="Arial"/>
      <family val="2"/>
      <color theme="0" tint="-0.1499984740745262"/>
      <sz val="12"/>
    </font>
    <font>
      <name val="游ゴシック Medium"/>
      <color rgb="00C00000"/>
      <sz val="9"/>
    </font>
    <font>
      <name val="游ゴシック"/>
      <b val="1"/>
      <color rgb="000B3041"/>
      <sz val="11"/>
    </font>
    <font>
      <name val="游ゴシック"/>
      <sz val="11"/>
    </font>
    <font>
      <name val="游ゴシック"/>
      <b val="1"/>
      <sz val="11"/>
    </font>
    <font>
      <name val="游ゴシック Medium"/>
      <sz val="9"/>
    </font>
    <font>
      <name val="游ゴシック"/>
      <b val="1"/>
      <sz val="12"/>
    </font>
    <font>
      <name val="Arial"/>
      <b val="1"/>
      <sz val="12"/>
    </font>
    <font>
      <name val="游ゴシック"/>
      <b val="1"/>
      <color rgb="000B3041"/>
      <sz val="14"/>
    </font>
    <font>
      <name val="游ゴシック"/>
      <color rgb="00000000"/>
      <sz val="9"/>
    </font>
    <font>
      <name val="游ゴシック"/>
      <color rgb="00FFFFFF"/>
      <sz val="10"/>
    </font>
    <font>
      <name val="游ゴシック"/>
      <color rgb="00000000"/>
      <sz val="10.5"/>
    </font>
    <font>
      <name val="Arial"/>
      <color rgb="00000000"/>
      <sz val="10.5"/>
    </font>
    <font>
      <name val="游ゴシック"/>
      <color rgb="00000000"/>
      <sz val="10"/>
    </font>
    <font>
      <name val="游ゴシック"/>
      <b val="1"/>
      <color rgb="00000000"/>
      <sz val="10.5"/>
    </font>
    <font>
      <name val="Arial"/>
      <b val="1"/>
      <color rgb="00000000"/>
      <sz val="10.5"/>
    </font>
    <font>
      <name val="游ゴシック"/>
      <b val="1"/>
      <sz val="10"/>
    </font>
    <font>
      <name val="Arial"/>
      <i val="1"/>
      <color rgb="00000000"/>
      <sz val="7"/>
    </font>
    <font>
      <name val="Arial"/>
      <sz val="9"/>
    </font>
    <font>
      <name val="游ゴシック"/>
      <sz val="9"/>
    </font>
    <font>
      <name val="游ゴシック"/>
      <i val="1"/>
      <color rgb="00000000"/>
      <sz val="7"/>
    </font>
    <font>
      <name val="游ゴシック Medium"/>
      <color rgb="00555555"/>
      <sz val="9"/>
    </font>
    <font>
      <name val="游ゴシック"/>
      <b val="1"/>
      <color rgb="00FFFFFF"/>
      <sz val="10"/>
    </font>
    <font>
      <name val="Arial"/>
      <sz val="10"/>
    </font>
    <font>
      <name val="游ゴシック"/>
      <sz val="10"/>
    </font>
    <font>
      <name val="游ゴシック"/>
      <b val="1"/>
      <color rgb="00C00000"/>
      <sz val="11"/>
    </font>
  </fonts>
  <fills count="20">
    <fill>
      <patternFill/>
    </fill>
    <fill>
      <patternFill patternType="gray125"/>
    </fill>
    <fill>
      <patternFill patternType="solid">
        <fgColor theme="0"/>
        <bgColor indexed="64"/>
      </patternFill>
    </fill>
    <fill>
      <patternFill patternType="solid">
        <fgColor rgb="FF0B3041"/>
        <bgColor indexed="64"/>
      </patternFill>
    </fill>
    <fill>
      <patternFill patternType="solid">
        <fgColor rgb="FFE3E7E9"/>
        <bgColor indexed="64"/>
      </patternFill>
    </fill>
    <fill>
      <patternFill patternType="solid">
        <fgColor rgb="FFE1F2FB"/>
        <bgColor indexed="64"/>
      </patternFill>
    </fill>
    <fill>
      <patternFill patternType="solid">
        <fgColor theme="7"/>
        <bgColor indexed="64"/>
      </patternFill>
    </fill>
    <fill>
      <patternFill patternType="solid">
        <fgColor theme="5"/>
        <bgColor indexed="64"/>
      </patternFill>
    </fill>
    <fill>
      <patternFill patternType="solid">
        <fgColor rgb="FFFFFF00"/>
        <bgColor indexed="64"/>
      </patternFill>
    </fill>
    <fill>
      <patternFill patternType="solid">
        <fgColor rgb="FFFF0000"/>
        <bgColor indexed="64"/>
      </patternFill>
    </fill>
    <fill>
      <patternFill patternType="solid">
        <fgColor theme="6" tint="0.7999816888943144"/>
        <bgColor indexed="64"/>
      </patternFill>
    </fill>
    <fill>
      <patternFill patternType="solid">
        <fgColor theme="4"/>
        <bgColor indexed="64"/>
      </patternFill>
    </fill>
    <fill>
      <patternFill patternType="solid">
        <fgColor theme="3"/>
        <bgColor indexed="64"/>
      </patternFill>
    </fill>
    <fill>
      <patternFill patternType="solid">
        <fgColor theme="2"/>
        <bgColor indexed="64"/>
      </patternFill>
    </fill>
    <fill>
      <patternFill patternType="solid">
        <fgColor theme="4" tint="0.7999816888943144"/>
        <bgColor indexed="64"/>
      </patternFill>
    </fill>
    <fill>
      <patternFill patternType="solid">
        <fgColor rgb="FFCCECFF"/>
        <bgColor indexed="64"/>
      </patternFill>
    </fill>
    <fill>
      <patternFill patternType="solid">
        <fgColor rgb="FFFFCCCC"/>
        <bgColor indexed="64"/>
      </patternFill>
    </fill>
    <fill>
      <patternFill patternType="solid">
        <fgColor rgb="000B3041"/>
      </patternFill>
    </fill>
    <fill>
      <patternFill patternType="solid">
        <fgColor rgb="00E3E7E9"/>
      </patternFill>
    </fill>
    <fill>
      <patternFill patternType="solid">
        <fgColor rgb="00E1F3FB"/>
      </patternFill>
    </fill>
  </fills>
  <borders count="146">
    <border>
      <left/>
      <right/>
      <top/>
      <bottom/>
      <diagonal/>
    </border>
    <border>
      <left style="thin">
        <color theme="0"/>
      </left>
      <right style="thin">
        <color theme="0"/>
      </right>
      <top style="thin">
        <color theme="0" tint="-0.3499862666707358"/>
      </top>
      <bottom/>
      <diagonal/>
    </border>
    <border>
      <left/>
      <right style="thin">
        <color theme="0"/>
      </right>
      <top style="thin">
        <color theme="0" tint="-0.3499862666707358"/>
      </top>
      <bottom/>
      <diagonal/>
    </border>
    <border>
      <left style="thin">
        <color theme="0"/>
      </left>
      <right style="thin">
        <color theme="0"/>
      </right>
      <top style="thin">
        <color rgb="FF0B3041"/>
      </top>
      <bottom style="thin">
        <color rgb="FF0B3041"/>
      </bottom>
      <diagonal/>
    </border>
    <border>
      <left style="thin">
        <color theme="0"/>
      </left>
      <right/>
      <top style="thin">
        <color rgb="FF0B3041"/>
      </top>
      <bottom style="thin">
        <color rgb="FF0B3041"/>
      </bottom>
      <diagonal/>
    </border>
    <border>
      <left style="thin">
        <color theme="0"/>
      </left>
      <right style="medium">
        <color theme="0"/>
      </right>
      <top/>
      <bottom style="thin">
        <color theme="0" tint="-0.3499862666707358"/>
      </bottom>
      <diagonal/>
    </border>
    <border>
      <left style="medium">
        <color theme="0"/>
      </left>
      <right style="medium">
        <color theme="0"/>
      </right>
      <top/>
      <bottom style="thin">
        <color theme="0" tint="-0.3499862666707358"/>
      </bottom>
      <diagonal/>
    </border>
    <border>
      <left style="thin">
        <color theme="0"/>
      </left>
      <right style="thin">
        <color theme="0"/>
      </right>
      <top style="thin">
        <color rgb="FF0B3041"/>
      </top>
      <bottom style="medium">
        <color rgb="FF0B3041"/>
      </bottom>
      <diagonal/>
    </border>
    <border>
      <left style="thin">
        <color theme="0"/>
      </left>
      <right/>
      <top style="thin">
        <color rgb="FF0B3041"/>
      </top>
      <bottom style="medium">
        <color rgb="FF0B3041"/>
      </bottom>
      <diagonal/>
    </border>
    <border>
      <left style="thin">
        <color theme="0"/>
      </left>
      <right/>
      <top style="medium">
        <color rgb="FF0B3041"/>
      </top>
      <bottom/>
      <diagonal/>
    </border>
    <border>
      <left style="thin">
        <color theme="0"/>
      </left>
      <right style="thin">
        <color theme="0"/>
      </right>
      <top style="medium">
        <color rgb="FF0B3041"/>
      </top>
      <bottom/>
      <diagonal/>
    </border>
    <border>
      <left/>
      <right style="thin">
        <color theme="0"/>
      </right>
      <top style="thin">
        <color rgb="FF0B3041"/>
      </top>
      <bottom style="thin">
        <color rgb="FF0B3041"/>
      </bottom>
      <diagonal/>
    </border>
    <border>
      <left/>
      <right/>
      <top style="thin">
        <color rgb="FF0B3041"/>
      </top>
      <bottom style="thin">
        <color rgb="FF0B3041"/>
      </bottom>
      <diagonal/>
    </border>
    <border>
      <left/>
      <right/>
      <top style="thin">
        <color rgb="FF0B3041"/>
      </top>
      <bottom style="medium">
        <color rgb="FF0B3041"/>
      </bottom>
      <diagonal/>
    </border>
    <border>
      <left style="thin">
        <color theme="0"/>
      </left>
      <right style="medium">
        <color theme="0"/>
      </right>
      <top/>
      <bottom style="thin">
        <color rgb="FF0B3041"/>
      </bottom>
      <diagonal/>
    </border>
    <border>
      <left style="medium">
        <color theme="0"/>
      </left>
      <right style="medium">
        <color theme="0"/>
      </right>
      <top/>
      <bottom style="thin">
        <color rgb="FF0B3041"/>
      </bottom>
      <diagonal/>
    </border>
    <border>
      <left style="thin">
        <color theme="0"/>
      </left>
      <right style="thin">
        <color theme="0"/>
      </right>
      <top style="thin">
        <color theme="0" tint="-0.3499862666707358"/>
      </top>
      <bottom style="thin">
        <color theme="3"/>
      </bottom>
      <diagonal/>
    </border>
    <border>
      <left style="thin">
        <color theme="0"/>
      </left>
      <right style="thin">
        <color theme="0"/>
      </right>
      <top/>
      <bottom style="thin">
        <color theme="3"/>
      </bottom>
      <diagonal/>
    </border>
    <border>
      <left/>
      <right style="thin">
        <color theme="0"/>
      </right>
      <top style="thin">
        <color theme="3"/>
      </top>
      <bottom style="thin">
        <color theme="3"/>
      </bottom>
      <diagonal/>
    </border>
    <border>
      <left style="thin">
        <color theme="0"/>
      </left>
      <right style="thin">
        <color theme="0"/>
      </right>
      <top/>
      <bottom/>
      <diagonal/>
    </border>
    <border>
      <left style="thin">
        <color theme="0"/>
      </left>
      <right style="thin">
        <color theme="0"/>
      </right>
      <top style="thin">
        <color theme="3"/>
      </top>
      <bottom style="thin">
        <color theme="3"/>
      </bottom>
      <diagonal/>
    </border>
    <border>
      <left style="thin">
        <color theme="0"/>
      </left>
      <right/>
      <top/>
      <bottom style="thin">
        <color theme="3"/>
      </bottom>
      <diagonal/>
    </border>
    <border>
      <left/>
      <right style="thin">
        <color theme="0"/>
      </right>
      <top/>
      <bottom style="thin">
        <color theme="3"/>
      </bottom>
      <diagonal/>
    </border>
    <border>
      <left style="thin">
        <color theme="0"/>
      </left>
      <right style="thin">
        <color theme="0"/>
      </right>
      <top style="thin">
        <color theme="0" tint="-0.3499862666707358"/>
      </top>
      <bottom style="dotted">
        <color theme="3"/>
      </bottom>
      <diagonal/>
    </border>
    <border>
      <left style="thin">
        <color theme="0"/>
      </left>
      <right style="thin">
        <color theme="0"/>
      </right>
      <top style="dotted">
        <color theme="3"/>
      </top>
      <bottom style="thin">
        <color theme="3"/>
      </bottom>
      <diagonal/>
    </border>
    <border>
      <left/>
      <right style="thin">
        <color theme="0"/>
      </right>
      <top style="thin">
        <color theme="3"/>
      </top>
      <bottom/>
      <diagonal/>
    </border>
    <border>
      <left style="thin">
        <color theme="0"/>
      </left>
      <right style="thin">
        <color theme="0"/>
      </right>
      <top style="thin">
        <color theme="3"/>
      </top>
      <bottom style="dotted">
        <color theme="3"/>
      </bottom>
      <diagonal/>
    </border>
    <border>
      <left style="thin">
        <color theme="0"/>
      </left>
      <right/>
      <top style="thin">
        <color theme="3"/>
      </top>
      <bottom style="dotted">
        <color theme="3"/>
      </bottom>
      <diagonal/>
    </border>
    <border>
      <left style="thin">
        <color theme="0"/>
      </left>
      <right/>
      <top style="thin">
        <color theme="0" tint="-0.3499862666707358"/>
      </top>
      <bottom style="dotted">
        <color theme="3"/>
      </bottom>
      <diagonal/>
    </border>
    <border>
      <left/>
      <right style="thin">
        <color theme="0"/>
      </right>
      <top style="thin">
        <color theme="3"/>
      </top>
      <bottom style="dotted">
        <color theme="3"/>
      </bottom>
      <diagonal/>
    </border>
    <border>
      <left style="thin">
        <color theme="0"/>
      </left>
      <right style="thick">
        <color theme="7"/>
      </right>
      <top style="dotted">
        <color theme="3"/>
      </top>
      <bottom style="thin">
        <color theme="3"/>
      </bottom>
      <diagonal/>
    </border>
    <border>
      <left style="thin">
        <color theme="0"/>
      </left>
      <right style="thick">
        <color theme="7"/>
      </right>
      <top style="thin">
        <color theme="3"/>
      </top>
      <bottom style="dotted">
        <color theme="3"/>
      </bottom>
      <diagonal/>
    </border>
    <border>
      <left/>
      <right/>
      <top style="thin">
        <color theme="3"/>
      </top>
      <bottom style="dotted">
        <color theme="3"/>
      </bottom>
      <diagonal/>
    </border>
    <border>
      <left/>
      <right/>
      <top style="thick">
        <color theme="7"/>
      </top>
      <bottom/>
      <diagonal/>
    </border>
    <border>
      <left style="thick">
        <color theme="7"/>
      </left>
      <right style="thin">
        <color theme="0"/>
      </right>
      <top style="dotted">
        <color theme="3"/>
      </top>
      <bottom style="thin">
        <color theme="3"/>
      </bottom>
      <diagonal/>
    </border>
    <border>
      <left/>
      <right/>
      <top style="dotted">
        <color theme="3"/>
      </top>
      <bottom/>
      <diagonal/>
    </border>
    <border>
      <left style="thick">
        <color theme="7"/>
      </left>
      <right style="thin">
        <color theme="0"/>
      </right>
      <top style="thin">
        <color theme="3"/>
      </top>
      <bottom style="dotted">
        <color theme="3"/>
      </bottom>
      <diagonal/>
    </border>
    <border>
      <left style="thick">
        <color theme="7"/>
      </left>
      <right/>
      <top style="dotted">
        <color theme="3"/>
      </top>
      <bottom style="thin">
        <color theme="3"/>
      </bottom>
      <diagonal/>
    </border>
    <border>
      <left style="thick">
        <color theme="7"/>
      </left>
      <right style="thick">
        <color theme="7"/>
      </right>
      <top style="thin">
        <color theme="3"/>
      </top>
      <bottom style="dotted">
        <color theme="3"/>
      </bottom>
      <diagonal/>
    </border>
    <border>
      <left style="thick">
        <color theme="7"/>
      </left>
      <right style="thick">
        <color theme="7"/>
      </right>
      <top style="dotted">
        <color theme="3"/>
      </top>
      <bottom style="thin">
        <color theme="3"/>
      </bottom>
      <diagonal/>
    </border>
    <border>
      <left/>
      <right style="thin">
        <color theme="0"/>
      </right>
      <top style="dotted">
        <color theme="3"/>
      </top>
      <bottom style="thin">
        <color theme="3"/>
      </bottom>
      <diagonal/>
    </border>
    <border>
      <left style="thick">
        <color theme="7"/>
      </left>
      <right style="thick">
        <color theme="7"/>
      </right>
      <top style="thin">
        <color theme="0" tint="-0.3499862666707358"/>
      </top>
      <bottom style="dotted">
        <color theme="3"/>
      </bottom>
      <diagonal/>
    </border>
    <border>
      <left style="thick">
        <color theme="7"/>
      </left>
      <right style="thin">
        <color theme="0"/>
      </right>
      <top/>
      <bottom/>
      <diagonal/>
    </border>
    <border>
      <left/>
      <right style="thin">
        <color theme="0"/>
      </right>
      <top/>
      <bottom style="thick">
        <color theme="7"/>
      </bottom>
      <diagonal/>
    </border>
    <border>
      <left style="thin">
        <color theme="0"/>
      </left>
      <right style="thin">
        <color theme="0"/>
      </right>
      <top style="thick">
        <color theme="7"/>
      </top>
      <bottom style="dotted">
        <color theme="3"/>
      </bottom>
      <diagonal/>
    </border>
    <border>
      <left style="thick">
        <color theme="7"/>
      </left>
      <right/>
      <top/>
      <bottom/>
      <diagonal/>
    </border>
    <border>
      <left style="thin">
        <color theme="0"/>
      </left>
      <right/>
      <top style="thick">
        <color theme="7"/>
      </top>
      <bottom style="dotted">
        <color theme="3"/>
      </bottom>
      <diagonal/>
    </border>
    <border>
      <left style="thin">
        <color theme="0"/>
      </left>
      <right/>
      <top/>
      <bottom/>
      <diagonal/>
    </border>
    <border>
      <left style="thin">
        <color theme="0"/>
      </left>
      <right style="thin">
        <color theme="0"/>
      </right>
      <top style="thin">
        <color theme="3"/>
      </top>
      <bottom/>
      <diagonal/>
    </border>
    <border>
      <left/>
      <right style="thin">
        <color theme="0"/>
      </right>
      <top/>
      <bottom/>
      <diagonal/>
    </border>
    <border>
      <left style="thin">
        <color theme="0"/>
      </left>
      <right style="thin">
        <color theme="0"/>
      </right>
      <top style="thick">
        <color theme="7"/>
      </top>
      <bottom style="thick">
        <color theme="7"/>
      </bottom>
      <diagonal/>
    </border>
    <border>
      <left/>
      <right style="thin">
        <color theme="0"/>
      </right>
      <top style="thick">
        <color theme="7"/>
      </top>
      <bottom style="thick">
        <color theme="7"/>
      </bottom>
      <diagonal/>
    </border>
    <border>
      <left style="thin">
        <color theme="0"/>
      </left>
      <right/>
      <top/>
      <bottom style="thin">
        <color theme="0" tint="-0.3499862666707358"/>
      </bottom>
      <diagonal/>
    </border>
    <border>
      <left/>
      <right/>
      <top/>
      <bottom style="thin">
        <color theme="0" tint="-0.3499862666707358"/>
      </bottom>
      <diagonal/>
    </border>
    <border>
      <left/>
      <right/>
      <top style="thin">
        <color theme="0" tint="-0.3499862666707358"/>
      </top>
      <bottom style="thin">
        <color theme="3"/>
      </bottom>
      <diagonal/>
    </border>
    <border>
      <left style="thin">
        <color theme="0"/>
      </left>
      <right/>
      <top style="thin">
        <color theme="3"/>
      </top>
      <bottom style="thin">
        <color theme="3"/>
      </bottom>
      <diagonal/>
    </border>
    <border>
      <left/>
      <right/>
      <top style="thin">
        <color auto="1"/>
      </top>
      <bottom style="thin">
        <color theme="3"/>
      </bottom>
      <diagonal/>
    </border>
    <border>
      <left/>
      <right/>
      <top style="thin">
        <color theme="3"/>
      </top>
      <bottom style="thin">
        <color theme="3"/>
      </bottom>
      <diagonal/>
    </border>
    <border>
      <left style="thin">
        <color theme="0"/>
      </left>
      <right/>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medium">
        <color theme="0"/>
      </right>
      <top/>
      <bottom style="thin">
        <color theme="0" tint="-0.3499862666707358"/>
      </bottom>
      <diagonal/>
    </border>
    <border>
      <left style="thin">
        <color theme="0"/>
      </left>
      <right style="medium">
        <color theme="0"/>
      </right>
      <top/>
      <bottom/>
      <diagonal/>
    </border>
    <border>
      <left/>
      <right style="medium">
        <color theme="0"/>
      </right>
      <top/>
      <bottom/>
      <diagonal/>
    </border>
    <border>
      <left/>
      <right/>
      <top/>
      <bottom style="thin">
        <color theme="3"/>
      </bottom>
      <diagonal/>
    </border>
    <border>
      <left/>
      <right style="thin">
        <color theme="0"/>
      </right>
      <top style="thin">
        <color theme="0"/>
      </top>
      <bottom style="thin">
        <color theme="0"/>
      </bottom>
      <diagonal/>
    </border>
    <border>
      <left style="thin">
        <color theme="0"/>
      </left>
      <right/>
      <top style="thin">
        <color theme="0"/>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top style="thin">
        <color theme="0"/>
      </top>
      <bottom/>
      <diagonal/>
    </border>
    <border>
      <left style="thin">
        <color theme="0"/>
      </left>
      <right style="thin">
        <color theme="0"/>
      </right>
      <top/>
      <bottom style="thin">
        <color theme="0" tint="-0.3499862666707358"/>
      </bottom>
      <diagonal/>
    </border>
    <border>
      <left style="thin">
        <color theme="0"/>
      </left>
      <right/>
      <top style="thin">
        <color theme="0" tint="-0.3499862666707358"/>
      </top>
      <bottom/>
      <diagonal/>
    </border>
    <border>
      <left style="thin">
        <color theme="0"/>
      </left>
      <right style="thin">
        <color theme="0"/>
      </right>
      <top style="thin">
        <color theme="0"/>
      </top>
      <bottom style="thin">
        <color theme="0" tint="-0.3499862666707358"/>
      </bottom>
      <diagonal/>
    </border>
    <border>
      <left style="medium">
        <color theme="0"/>
      </left>
      <right style="thin">
        <color theme="0"/>
      </right>
      <top/>
      <bottom style="thin">
        <color theme="0"/>
      </bottom>
      <diagonal/>
    </border>
    <border>
      <left style="thin">
        <color theme="0"/>
      </left>
      <right style="medium">
        <color theme="0"/>
      </right>
      <top/>
      <bottom style="thin">
        <color theme="0"/>
      </bottom>
      <diagonal/>
    </border>
    <border>
      <left/>
      <right style="thin">
        <color theme="0"/>
      </right>
      <top/>
      <bottom style="thin">
        <color theme="0"/>
      </bottom>
      <diagonal/>
    </border>
    <border>
      <left/>
      <right style="medium">
        <color theme="0"/>
      </right>
      <top/>
      <bottom style="thin">
        <color theme="0"/>
      </bottom>
      <diagonal/>
    </border>
    <border>
      <left style="medium">
        <color theme="0"/>
      </left>
      <right/>
      <top/>
      <bottom style="thin">
        <color theme="0"/>
      </bottom>
      <diagonal/>
    </border>
    <border>
      <left/>
      <right/>
      <top style="thin">
        <color theme="3"/>
      </top>
      <bottom/>
      <diagonal/>
    </border>
    <border>
      <left/>
      <right style="thin">
        <color theme="0"/>
      </right>
      <top style="thin">
        <color theme="0"/>
      </top>
      <bottom/>
      <diagonal/>
    </border>
    <border>
      <left style="thin">
        <color theme="0" tint="-0.3499862666707358"/>
      </left>
      <right style="thin">
        <color theme="0" tint="-0.3499862666707358"/>
      </right>
      <top style="thin">
        <color theme="0" tint="-0.3499862666707358"/>
      </top>
      <bottom/>
      <diagonal/>
    </border>
    <border>
      <left style="thin">
        <color theme="0"/>
      </left>
      <right style="thin">
        <color theme="0"/>
      </right>
      <top style="thin">
        <color rgb="FF0B3041"/>
      </top>
      <bottom style="thin">
        <color theme="3"/>
      </bottom>
      <diagonal/>
    </border>
    <border>
      <left style="thin">
        <color theme="0"/>
      </left>
      <right style="thin">
        <color theme="0"/>
      </right>
      <top style="thin">
        <color theme="3"/>
      </top>
      <bottom style="thin">
        <color rgb="FF0B3041"/>
      </bottom>
      <diagonal/>
    </border>
    <border>
      <left style="thin">
        <color theme="0"/>
      </left>
      <right/>
      <top style="thin">
        <color theme="3"/>
      </top>
      <bottom style="thin">
        <color rgb="FF0B3041"/>
      </bottom>
      <diagonal/>
    </border>
    <border>
      <left style="thin">
        <color theme="0"/>
      </left>
      <right/>
      <top style="thin">
        <color rgb="FF0B3041"/>
      </top>
      <bottom style="thin">
        <color theme="3"/>
      </bottom>
      <diagonal/>
    </border>
    <border>
      <left style="thin">
        <color theme="0"/>
      </left>
      <right style="thin">
        <color theme="0"/>
      </right>
      <top style="thin">
        <color theme="3"/>
      </top>
      <bottom style="thin">
        <color theme="0"/>
      </bottom>
      <diagonal/>
    </border>
    <border>
      <left/>
      <right/>
      <top style="thin">
        <color theme="3"/>
      </top>
      <bottom style="thin">
        <color rgb="FF0B3041"/>
      </bottom>
      <diagonal/>
    </border>
    <border>
      <left/>
      <right/>
      <top/>
      <bottom style="thin">
        <color theme="0"/>
      </bottom>
      <diagonal/>
    </border>
    <border>
      <left style="medium">
        <color theme="7"/>
      </left>
      <right style="medium">
        <color theme="7"/>
      </right>
      <top style="medium">
        <color theme="7"/>
      </top>
      <bottom/>
      <diagonal/>
    </border>
    <border>
      <left style="medium">
        <color theme="7"/>
      </left>
      <right style="medium">
        <color theme="7"/>
      </right>
      <top/>
      <bottom style="thin">
        <color theme="3"/>
      </bottom>
      <diagonal/>
    </border>
    <border>
      <left style="medium">
        <color theme="7"/>
      </left>
      <right style="medium">
        <color theme="7"/>
      </right>
      <top/>
      <bottom/>
      <diagonal/>
    </border>
    <border>
      <left style="medium">
        <color theme="7"/>
      </left>
      <right style="medium">
        <color theme="7"/>
      </right>
      <top style="thin">
        <color theme="3"/>
      </top>
      <bottom style="thin">
        <color theme="3"/>
      </bottom>
      <diagonal/>
    </border>
    <border>
      <left style="medium">
        <color theme="7"/>
      </left>
      <right style="medium">
        <color theme="7"/>
      </right>
      <top style="thin">
        <color theme="3"/>
      </top>
      <bottom style="medium">
        <color theme="7"/>
      </bottom>
      <diagonal/>
    </border>
    <border>
      <left style="thin">
        <color theme="0" tint="-0.3499862666707358"/>
      </left>
      <right/>
      <top style="thin">
        <color theme="0" tint="-0.3499862666707358"/>
      </top>
      <bottom/>
      <diagonal/>
    </border>
    <border>
      <left style="medium">
        <color theme="7"/>
      </left>
      <right style="medium">
        <color theme="7"/>
      </right>
      <top style="thin">
        <color rgb="FF0B3041"/>
      </top>
      <bottom style="thin">
        <color theme="3"/>
      </bottom>
      <diagonal/>
    </border>
    <border>
      <left style="medium">
        <color theme="7"/>
      </left>
      <right style="medium">
        <color theme="7"/>
      </right>
      <top/>
      <bottom style="medium">
        <color theme="7"/>
      </bottom>
      <diagonal/>
    </border>
    <border>
      <left style="medium">
        <color theme="7"/>
      </left>
      <right style="medium">
        <color theme="7"/>
      </right>
      <top style="thin">
        <color theme="3"/>
      </top>
      <bottom style="thin">
        <color rgb="FF0B3041"/>
      </bottom>
      <diagonal/>
    </border>
    <border>
      <left style="medium">
        <color theme="7"/>
      </left>
      <right style="medium">
        <color theme="7"/>
      </right>
      <top/>
      <bottom style="thin">
        <color theme="0"/>
      </bottom>
      <diagonal/>
    </border>
    <border>
      <left style="medium">
        <color theme="7"/>
      </left>
      <right style="medium">
        <color theme="7"/>
      </right>
      <top style="thin">
        <color theme="0"/>
      </top>
      <bottom style="medium">
        <color theme="7"/>
      </bottom>
      <diagonal/>
    </border>
    <border>
      <left style="medium">
        <color theme="7"/>
      </left>
      <right style="medium">
        <color theme="7"/>
      </right>
      <top style="medium">
        <color theme="7"/>
      </top>
      <bottom style="thin">
        <color theme="0"/>
      </bottom>
      <diagonal/>
    </border>
    <border>
      <left style="medium">
        <color theme="7"/>
      </left>
      <right style="medium">
        <color theme="7"/>
      </right>
      <top style="thin">
        <color rgb="FF0B3041"/>
      </top>
      <bottom style="thin">
        <color rgb="FF0B3041"/>
      </bottom>
      <diagonal/>
    </border>
    <border>
      <left style="medium">
        <color theme="7"/>
      </left>
      <right style="medium">
        <color theme="7"/>
      </right>
      <top style="thin">
        <color rgb="FF0B3041"/>
      </top>
      <bottom/>
      <diagonal/>
    </border>
    <border>
      <left style="medium">
        <color theme="7"/>
      </left>
      <right style="medium">
        <color theme="7"/>
      </right>
      <top/>
      <bottom style="thin">
        <color rgb="FF0B3041"/>
      </bottom>
      <diagonal/>
    </border>
    <border>
      <left style="medium">
        <color theme="7"/>
      </left>
      <right style="medium">
        <color theme="7"/>
      </right>
      <top style="thin">
        <color rgb="FF0B3041"/>
      </top>
      <bottom style="medium">
        <color theme="7"/>
      </bottom>
      <diagonal/>
    </border>
    <border>
      <left style="medium">
        <color theme="0"/>
      </left>
      <right style="medium">
        <color theme="7" tint="-0.499984740745262"/>
      </right>
      <top/>
      <bottom style="medium">
        <color theme="7"/>
      </bottom>
      <diagonal/>
    </border>
    <border>
      <left style="thin">
        <color theme="0"/>
      </left>
      <right style="thin">
        <color theme="0"/>
      </right>
      <top style="thin">
        <color theme="0"/>
      </top>
      <bottom style="thin">
        <color theme="3"/>
      </bottom>
      <diagonal/>
    </border>
    <border>
      <left/>
      <right style="thin">
        <color theme="0"/>
      </right>
      <top style="thin">
        <color theme="0"/>
      </top>
      <bottom style="thin">
        <color theme="3"/>
      </bottom>
      <diagonal/>
    </border>
    <border>
      <left style="thin">
        <color theme="0"/>
      </left>
      <right style="medium">
        <color theme="7"/>
      </right>
      <top style="thin">
        <color theme="3"/>
      </top>
      <bottom/>
      <diagonal/>
    </border>
    <border>
      <left style="medium">
        <color theme="7"/>
      </left>
      <right style="medium">
        <color theme="7"/>
      </right>
      <top style="thin">
        <color theme="3"/>
      </top>
      <bottom/>
      <diagonal/>
    </border>
    <border>
      <left style="thin">
        <color theme="0"/>
      </left>
      <right style="thin">
        <color theme="0"/>
      </right>
      <top/>
      <bottom style="thin">
        <color rgb="FF0B3041"/>
      </bottom>
      <diagonal/>
    </border>
    <border>
      <left/>
      <right/>
      <top/>
      <bottom style="thin">
        <color rgb="FF0B3041"/>
      </bottom>
      <diagonal/>
    </border>
    <border>
      <left/>
      <right style="thin">
        <color theme="0"/>
      </right>
      <top style="thin">
        <color rgb="FF0B3041"/>
      </top>
      <bottom/>
      <diagonal/>
    </border>
    <border>
      <left style="thin">
        <color theme="0"/>
      </left>
      <right style="thin">
        <color theme="0"/>
      </right>
      <top style="thin">
        <color rgb="FF0B3041"/>
      </top>
      <bottom/>
      <diagonal/>
    </border>
    <border>
      <left style="thin">
        <color theme="0"/>
      </left>
      <right style="medium">
        <color theme="7"/>
      </right>
      <top style="thin">
        <color rgb="FF0B3041"/>
      </top>
      <bottom/>
      <diagonal/>
    </border>
    <border>
      <left style="thin">
        <color theme="0"/>
      </left>
      <right/>
      <top/>
      <bottom style="thin">
        <color rgb="FF0B3041"/>
      </bottom>
      <diagonal/>
    </border>
    <border>
      <left style="thin">
        <color theme="0"/>
      </left>
      <right/>
      <top style="thin">
        <color rgb="FF0B3041"/>
      </top>
      <bottom/>
      <diagonal/>
    </border>
    <border>
      <left style="medium">
        <color theme="7"/>
      </left>
      <right style="thin">
        <color theme="0"/>
      </right>
      <top style="medium">
        <color theme="7"/>
      </top>
      <bottom style="medium">
        <color theme="7"/>
      </bottom>
      <diagonal/>
    </border>
    <border>
      <left style="thin">
        <color theme="0"/>
      </left>
      <right style="medium">
        <color theme="7"/>
      </right>
      <top style="medium">
        <color theme="7"/>
      </top>
      <bottom style="medium">
        <color theme="7"/>
      </bottom>
      <diagonal/>
    </border>
    <border>
      <left style="thin">
        <color theme="0"/>
      </left>
      <right style="thin">
        <color theme="0"/>
      </right>
      <top style="medium">
        <color theme="7"/>
      </top>
      <bottom style="medium">
        <color theme="7"/>
      </bottom>
      <diagonal/>
    </border>
    <border>
      <left style="thin">
        <color theme="0"/>
      </left>
      <right style="thin">
        <color theme="0"/>
      </right>
      <top style="thin">
        <color theme="0" tint="-0.3499862666707358"/>
      </top>
      <bottom style="thin">
        <color rgb="FF0B3041"/>
      </bottom>
      <diagonal/>
    </border>
    <border>
      <left style="thin">
        <color theme="0"/>
      </left>
      <right style="thin">
        <color theme="0"/>
      </right>
      <top style="medium">
        <color rgb="FF0B3041"/>
      </top>
      <bottom style="thin">
        <color theme="0"/>
      </bottom>
      <diagonal/>
    </border>
    <border>
      <left style="thin">
        <color theme="0"/>
      </left>
      <right style="medium">
        <color theme="0"/>
      </right>
      <top style="thin">
        <color theme="0"/>
      </top>
      <bottom/>
      <diagonal/>
    </border>
    <border>
      <left/>
      <right style="thin">
        <color theme="0"/>
      </right>
      <top/>
      <bottom style="thin">
        <color rgb="FF0B304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hair">
        <color theme="0" tint="-0.249977111117893"/>
      </left>
      <right style="hair">
        <color theme="0" tint="-0.249977111117893"/>
      </right>
      <top style="hair">
        <color theme="0" tint="-0.249977111117893"/>
      </top>
      <bottom style="hair">
        <color theme="0" tint="-0.249977111117893"/>
      </bottom>
      <diagonal/>
    </border>
    <border>
      <left/>
      <right/>
      <top style="hair">
        <color theme="0" tint="-0.249977111117893"/>
      </top>
      <bottom/>
      <diagonal/>
    </border>
    <border>
      <left style="hair">
        <color theme="0" tint="-0.249977111117893"/>
      </left>
      <right/>
      <top/>
      <bottom/>
      <diagonal/>
    </border>
    <border>
      <left/>
      <right style="hair">
        <color theme="0" tint="-0.249977111117893"/>
      </right>
      <top style="hair">
        <color theme="0" tint="-0.249977111117893"/>
      </top>
      <bottom/>
      <diagonal/>
    </border>
    <border>
      <left/>
      <right style="hair">
        <color theme="0" tint="-0.249977111117893"/>
      </right>
      <top/>
      <bottom/>
      <diagonal/>
    </border>
    <border>
      <left style="hair">
        <color theme="0" tint="-0.249977111117893"/>
      </left>
      <right/>
      <top/>
      <bottom style="hair">
        <color theme="0" tint="-0.249977111117893"/>
      </bottom>
      <diagonal/>
    </border>
    <border>
      <left/>
      <right style="hair">
        <color theme="0" tint="-0.249977111117893"/>
      </right>
      <top/>
      <bottom style="hair">
        <color theme="0" tint="-0.249977111117893"/>
      </bottom>
      <diagonal/>
    </border>
    <border>
      <left style="hair">
        <color theme="0" tint="-0.249977111117893"/>
      </left>
      <right style="hair">
        <color theme="0" tint="-0.249977111117893"/>
      </right>
      <top/>
      <bottom/>
      <diagonal/>
    </border>
    <border>
      <left style="hair">
        <color theme="0" tint="-0.249977111117893"/>
      </left>
      <right style="hair">
        <color theme="0" tint="-0.249977111117893"/>
      </right>
      <top/>
      <bottom style="hair">
        <color theme="0" tint="-0.249977111117893"/>
      </bottom>
      <diagonal/>
    </border>
    <border>
      <left/>
      <right/>
      <top style="hair">
        <color theme="0" tint="-0.249977111117893"/>
      </top>
      <bottom style="hair">
        <color theme="0" tint="-0.249977111117893"/>
      </bottom>
      <diagonal/>
    </border>
    <border>
      <left/>
      <right style="hair">
        <color theme="0" tint="-0.249977111117893"/>
      </right>
      <top style="hair">
        <color theme="0" tint="-0.249977111117893"/>
      </top>
      <bottom style="hair">
        <color theme="0" tint="-0.249977111117893"/>
      </bottom>
      <diagonal/>
    </border>
    <border>
      <left/>
      <right/>
      <top/>
      <bottom style="hair">
        <color theme="0" tint="-0.249977111117893"/>
      </bottom>
      <diagonal/>
    </border>
    <border>
      <left/>
      <right style="thin">
        <color theme="0"/>
      </right>
      <top style="thin">
        <color theme="0" tint="-0.3499862666707358"/>
      </top>
      <bottom style="thin">
        <color theme="3"/>
      </bottom>
      <diagonal/>
    </border>
    <border>
      <left/>
      <right style="thin">
        <color theme="0"/>
      </right>
      <top style="thin">
        <color theme="3"/>
      </top>
      <bottom style="thick">
        <color theme="7"/>
      </bottom>
      <diagonal/>
    </border>
    <border/>
    <border>
      <left style="medium">
        <color rgb="00FFFFFF"/>
      </left>
      <right style="medium">
        <color rgb="00FFFFFF"/>
      </right>
      <bottom style="thin">
        <color rgb="00A6A6A6"/>
      </bottom>
    </border>
    <border>
      <left style="medium">
        <color rgb="00FFFFFF"/>
      </left>
      <right/>
      <top/>
      <bottom/>
      <diagonal/>
    </border>
    <border>
      <left style="medium">
        <color rgb="00FFFFFF"/>
      </left>
      <right style="medium">
        <color rgb="00FFFFFF"/>
      </right>
      <top/>
      <bottom/>
      <diagonal/>
    </border>
    <border>
      <left style="medium">
        <color rgb="00FFFFFF"/>
      </left>
      <right style="medium">
        <color rgb="00FFFFFF"/>
      </right>
      <top/>
      <bottom style="thin">
        <color rgb="00A6A6A6"/>
      </bottom>
      <diagonal/>
    </border>
    <border>
      <left/>
      <right style="medium">
        <color rgb="00FFFFFF"/>
      </right>
      <top/>
      <bottom/>
      <diagonal/>
    </border>
    <border>
      <left/>
      <right style="medium">
        <color rgb="00FFFFFF"/>
      </right>
      <top/>
      <bottom style="thin">
        <color rgb="00A6A6A6"/>
      </bottom>
      <diagonal/>
    </border>
    <border>
      <bottom style="hair">
        <color rgb="009AA5AB"/>
      </bottom>
    </border>
  </borders>
  <cellStyleXfs count="3">
    <xf numFmtId="0" fontId="22" fillId="0" borderId="0" applyAlignment="1">
      <alignment vertical="center"/>
    </xf>
    <xf numFmtId="38" fontId="22" fillId="0" borderId="0" applyAlignment="1">
      <alignment vertical="center"/>
    </xf>
    <xf numFmtId="0" fontId="30" fillId="0" borderId="0" applyAlignment="1">
      <alignment vertical="center"/>
    </xf>
  </cellStyleXfs>
  <cellXfs count="982">
    <xf numFmtId="0" fontId="0" fillId="0" borderId="0" applyAlignment="1" pivotButton="0" quotePrefix="0" xfId="0">
      <alignment vertical="center"/>
    </xf>
    <xf numFmtId="0" fontId="2" fillId="3" borderId="0" applyAlignment="1" pivotButton="0" quotePrefix="0" xfId="0">
      <alignment horizontal="center" vertical="center"/>
    </xf>
    <xf numFmtId="0" fontId="2" fillId="3" borderId="5" applyAlignment="1" pivotButton="0" quotePrefix="0" xfId="0">
      <alignment horizontal="center" vertical="center"/>
    </xf>
    <xf numFmtId="0" fontId="2" fillId="3" borderId="6" applyAlignment="1" pivotButton="0" quotePrefix="0" xfId="0">
      <alignment horizontal="center" vertical="center"/>
    </xf>
    <xf numFmtId="0" fontId="3" fillId="2" borderId="4" applyAlignment="1" pivotButton="0" quotePrefix="0" xfId="0">
      <alignment horizontal="left" vertical="center" indent="1"/>
    </xf>
    <xf numFmtId="0" fontId="3" fillId="2" borderId="4" applyAlignment="1" pivotButton="0" quotePrefix="0" xfId="0">
      <alignment horizontal="left" vertical="center" wrapText="1" indent="1"/>
    </xf>
    <xf numFmtId="0" fontId="3" fillId="2" borderId="8" applyAlignment="1" pivotButton="0" quotePrefix="0" xfId="0">
      <alignment horizontal="left" vertical="center" indent="1"/>
    </xf>
    <xf numFmtId="0" fontId="4" fillId="5" borderId="9" applyAlignment="1" pivotButton="0" quotePrefix="0" xfId="0">
      <alignment horizontal="left" vertical="center" indent="1"/>
    </xf>
    <xf numFmtId="0" fontId="3" fillId="2" borderId="0" applyAlignment="1" pivotButton="0" quotePrefix="0" xfId="0">
      <alignment horizontal="left" vertical="center" indent="1"/>
    </xf>
    <xf numFmtId="0" fontId="2" fillId="3" borderId="14" applyAlignment="1" pivotButton="0" quotePrefix="0" xfId="0">
      <alignment horizontal="center" vertical="center"/>
    </xf>
    <xf numFmtId="0" fontId="2" fillId="3" borderId="15" applyAlignment="1" pivotButton="0" quotePrefix="0" xfId="0">
      <alignment horizontal="center" vertical="center"/>
    </xf>
    <xf numFmtId="0" fontId="3" fillId="2" borderId="13" applyAlignment="1" pivotButton="0" quotePrefix="0" xfId="0">
      <alignment horizontal="left" vertical="center" wrapText="1" indent="1"/>
    </xf>
    <xf numFmtId="0" fontId="3" fillId="5" borderId="0" applyAlignment="1" pivotButton="0" quotePrefix="0" xfId="0">
      <alignment horizontal="left" vertical="center" indent="1"/>
    </xf>
    <xf numFmtId="0" fontId="3" fillId="2" borderId="12" applyAlignment="1" pivotButton="0" quotePrefix="0" xfId="0">
      <alignment horizontal="left" vertical="center" wrapText="1" indent="1"/>
    </xf>
    <xf numFmtId="164" fontId="8" fillId="0" borderId="1" applyAlignment="1" pivotButton="0" quotePrefix="0" xfId="0">
      <alignment horizontal="right" vertical="center" indent="1"/>
    </xf>
    <xf numFmtId="164" fontId="8" fillId="0" borderId="16" applyAlignment="1" pivotButton="0" quotePrefix="0" xfId="0">
      <alignment horizontal="right" vertical="center" indent="1"/>
    </xf>
    <xf numFmtId="164" fontId="8" fillId="0" borderId="17" applyAlignment="1" pivotButton="0" quotePrefix="0" xfId="0">
      <alignment horizontal="right" vertical="center" indent="1"/>
    </xf>
    <xf numFmtId="164" fontId="8" fillId="0" borderId="19" applyAlignment="1" pivotButton="0" quotePrefix="0" xfId="0">
      <alignment horizontal="right" vertical="center" indent="1"/>
    </xf>
    <xf numFmtId="164" fontId="8" fillId="0" borderId="20" applyAlignment="1" pivotButton="0" quotePrefix="0" xfId="0">
      <alignment horizontal="right" vertical="center" indent="1"/>
    </xf>
    <xf numFmtId="0" fontId="3" fillId="2" borderId="21" applyAlignment="1" pivotButton="0" quotePrefix="0" xfId="0">
      <alignment horizontal="left" vertical="center" wrapText="1" indent="1"/>
    </xf>
    <xf numFmtId="0" fontId="3" fillId="2" borderId="21" applyAlignment="1" pivotButton="0" quotePrefix="0" xfId="0">
      <alignment horizontal="left" vertical="center" indent="1"/>
    </xf>
    <xf numFmtId="0" fontId="3" fillId="2" borderId="16" applyAlignment="1" pivotButton="0" quotePrefix="0" xfId="0">
      <alignment horizontal="left" vertical="center" indent="1"/>
    </xf>
    <xf numFmtId="164" fontId="8" fillId="0" borderId="23" applyAlignment="1" pivotButton="0" quotePrefix="0" xfId="0">
      <alignment horizontal="right" vertical="center" indent="1"/>
    </xf>
    <xf numFmtId="164" fontId="8" fillId="0" borderId="24" applyAlignment="1" pivotButton="0" quotePrefix="0" xfId="0">
      <alignment horizontal="right" vertical="center" indent="1"/>
    </xf>
    <xf numFmtId="0" fontId="3" fillId="2" borderId="23" applyAlignment="1" pivotButton="0" quotePrefix="0" xfId="0">
      <alignment horizontal="left" vertical="center" indent="1"/>
    </xf>
    <xf numFmtId="164" fontId="8" fillId="0" borderId="26" applyAlignment="1" pivotButton="0" quotePrefix="0" xfId="0">
      <alignment horizontal="right" vertical="center" indent="1"/>
    </xf>
    <xf numFmtId="0" fontId="3" fillId="2" borderId="27" applyAlignment="1" pivotButton="0" quotePrefix="0" xfId="0">
      <alignment horizontal="left" vertical="center" wrapText="1" indent="1"/>
    </xf>
    <xf numFmtId="0" fontId="2" fillId="6" borderId="6" applyAlignment="1" pivotButton="0" quotePrefix="0" xfId="0">
      <alignment horizontal="center" vertical="center"/>
    </xf>
    <xf numFmtId="164" fontId="8" fillId="0" borderId="28" applyAlignment="1" pivotButton="0" quotePrefix="0" xfId="0">
      <alignment horizontal="right" vertical="center" indent="1"/>
    </xf>
    <xf numFmtId="164" fontId="8" fillId="0" borderId="21" applyAlignment="1" pivotButton="0" quotePrefix="0" xfId="0">
      <alignment horizontal="right" vertical="center" indent="1"/>
    </xf>
    <xf numFmtId="164" fontId="8" fillId="0" borderId="27" applyAlignment="1" pivotButton="0" quotePrefix="0" xfId="0">
      <alignment horizontal="right" vertical="center" indent="1"/>
    </xf>
    <xf numFmtId="164" fontId="8" fillId="0" borderId="29" applyAlignment="1" pivotButton="0" quotePrefix="0" xfId="0">
      <alignment horizontal="right" vertical="center" indent="1"/>
    </xf>
    <xf numFmtId="164" fontId="8" fillId="0" borderId="2" applyAlignment="1" pivotButton="0" quotePrefix="0" xfId="0">
      <alignment horizontal="right" vertical="center" indent="1"/>
    </xf>
    <xf numFmtId="164" fontId="8" fillId="0" borderId="30" applyAlignment="1" pivotButton="0" quotePrefix="0" xfId="0">
      <alignment horizontal="right" vertical="center" indent="1"/>
    </xf>
    <xf numFmtId="164" fontId="8" fillId="0" borderId="31" applyAlignment="1" pivotButton="0" quotePrefix="0" xfId="0">
      <alignment horizontal="right" vertical="center" indent="1"/>
    </xf>
    <xf numFmtId="0" fontId="0" fillId="0" borderId="33" applyAlignment="1" pivotButton="0" quotePrefix="0" xfId="0">
      <alignment vertical="center"/>
    </xf>
    <xf numFmtId="164" fontId="8" fillId="0" borderId="34" applyAlignment="1" pivotButton="0" quotePrefix="0" xfId="0">
      <alignment horizontal="right" vertical="center" indent="1"/>
    </xf>
    <xf numFmtId="164" fontId="8" fillId="0" borderId="36" applyAlignment="1" pivotButton="0" quotePrefix="0" xfId="0">
      <alignment horizontal="right" vertical="center" indent="1"/>
    </xf>
    <xf numFmtId="164" fontId="8" fillId="0" borderId="40" applyAlignment="1" pivotButton="0" quotePrefix="0" xfId="0">
      <alignment horizontal="right" vertical="center" indent="1"/>
    </xf>
    <xf numFmtId="0" fontId="0" fillId="0" borderId="45" applyAlignment="1" pivotButton="0" quotePrefix="0" xfId="0">
      <alignment vertical="center"/>
    </xf>
    <xf numFmtId="164" fontId="7" fillId="7" borderId="41" applyAlignment="1" pivotButton="0" quotePrefix="0" xfId="0">
      <alignment horizontal="right" vertical="center" indent="1"/>
    </xf>
    <xf numFmtId="164" fontId="7" fillId="7" borderId="39" applyAlignment="1" pivotButton="0" quotePrefix="0" xfId="0">
      <alignment horizontal="right" vertical="center" indent="1"/>
    </xf>
    <xf numFmtId="164" fontId="7" fillId="7" borderId="38" applyAlignment="1" pivotButton="0" quotePrefix="0" xfId="0">
      <alignment horizontal="right" vertical="center" indent="1"/>
    </xf>
    <xf numFmtId="164" fontId="7" fillId="7" borderId="37" applyAlignment="1" pivotButton="0" quotePrefix="0" xfId="0">
      <alignment horizontal="right" vertical="center" indent="1"/>
    </xf>
    <xf numFmtId="164" fontId="7" fillId="7" borderId="32" applyAlignment="1" pivotButton="0" quotePrefix="0" xfId="0">
      <alignment horizontal="right" vertical="center" indent="1"/>
    </xf>
    <xf numFmtId="164" fontId="7" fillId="7" borderId="35" applyAlignment="1" pivotButton="0" quotePrefix="0" xfId="0">
      <alignment horizontal="right" vertical="center" indent="1"/>
    </xf>
    <xf numFmtId="164" fontId="7" fillId="0" borderId="44" applyAlignment="1" pivotButton="0" quotePrefix="0" xfId="0">
      <alignment horizontal="right" vertical="center" indent="1"/>
    </xf>
    <xf numFmtId="164" fontId="7" fillId="0" borderId="46" applyAlignment="1" pivotButton="0" quotePrefix="0" xfId="0">
      <alignment horizontal="right" vertical="center" indent="1"/>
    </xf>
    <xf numFmtId="164" fontId="7" fillId="0" borderId="19" applyAlignment="1" pivotButton="0" quotePrefix="0" xfId="0">
      <alignment horizontal="right" vertical="center" indent="1"/>
    </xf>
    <xf numFmtId="164" fontId="7" fillId="0" borderId="47" applyAlignment="1" pivotButton="0" quotePrefix="0" xfId="0">
      <alignment horizontal="right" vertical="center" indent="1"/>
    </xf>
    <xf numFmtId="0" fontId="2" fillId="2" borderId="0" applyAlignment="1" pivotButton="0" quotePrefix="0" xfId="0">
      <alignment horizontal="center" vertical="center"/>
    </xf>
    <xf numFmtId="0" fontId="0" fillId="2" borderId="0" applyAlignment="1" pivotButton="0" quotePrefix="0" xfId="0">
      <alignment vertical="center"/>
    </xf>
    <xf numFmtId="0" fontId="6" fillId="2" borderId="0" applyAlignment="1" pivotButton="0" quotePrefix="0" xfId="0">
      <alignment horizontal="left" vertical="center" indent="1"/>
    </xf>
    <xf numFmtId="164" fontId="8" fillId="2" borderId="0" applyAlignment="1" pivotButton="0" quotePrefix="0" xfId="0">
      <alignment horizontal="right" vertical="center" indent="1"/>
    </xf>
    <xf numFmtId="0" fontId="9" fillId="2" borderId="0" applyAlignment="1" pivotButton="0" quotePrefix="0" xfId="0">
      <alignment horizontal="left" vertical="center" indent="1"/>
    </xf>
    <xf numFmtId="0" fontId="3" fillId="2" borderId="0" applyAlignment="1" pivotButton="0" quotePrefix="0" xfId="0">
      <alignment horizontal="left" vertical="center" wrapText="1" indent="1"/>
    </xf>
    <xf numFmtId="164" fontId="7" fillId="2" borderId="0" applyAlignment="1" pivotButton="0" quotePrefix="0" xfId="0">
      <alignment horizontal="right" vertical="center" indent="1"/>
    </xf>
    <xf numFmtId="0" fontId="10" fillId="2" borderId="0" applyAlignment="1" pivotButton="0" quotePrefix="0" xfId="0">
      <alignment vertical="center"/>
    </xf>
    <xf numFmtId="0" fontId="11" fillId="2" borderId="0" applyAlignment="1" pivotButton="0" quotePrefix="0" xfId="0">
      <alignment horizontal="left" vertical="center"/>
    </xf>
    <xf numFmtId="165" fontId="8" fillId="0" borderId="17" applyAlignment="1" pivotButton="0" quotePrefix="0" xfId="0">
      <alignment horizontal="right" vertical="center" indent="1"/>
    </xf>
    <xf numFmtId="164" fontId="12" fillId="0" borderId="16" applyAlignment="1" pivotButton="0" quotePrefix="0" xfId="0">
      <alignment horizontal="left" vertical="center" indent="1"/>
    </xf>
    <xf numFmtId="164" fontId="12" fillId="0" borderId="17" applyAlignment="1" pivotButton="0" quotePrefix="0" xfId="0">
      <alignment horizontal="left" vertical="center" indent="1"/>
    </xf>
    <xf numFmtId="164" fontId="12" fillId="0" borderId="17" applyAlignment="1" pivotButton="0" quotePrefix="0" xfId="0">
      <alignment horizontal="left" vertical="center" wrapText="1" indent="1"/>
    </xf>
    <xf numFmtId="0" fontId="13" fillId="3" borderId="5" applyAlignment="1" pivotButton="0" quotePrefix="0" xfId="0">
      <alignment horizontal="center" vertical="center"/>
    </xf>
    <xf numFmtId="0" fontId="13" fillId="3" borderId="6" applyAlignment="1" pivotButton="0" quotePrefix="0" xfId="0">
      <alignment horizontal="center" vertical="center"/>
    </xf>
    <xf numFmtId="0" fontId="14" fillId="0" borderId="0" applyAlignment="1" pivotButton="0" quotePrefix="0" xfId="0">
      <alignment vertical="center"/>
    </xf>
    <xf numFmtId="0" fontId="15" fillId="4" borderId="16" applyAlignment="1" pivotButton="0" quotePrefix="0" xfId="0">
      <alignment horizontal="left" vertical="center" indent="1"/>
    </xf>
    <xf numFmtId="0" fontId="16" fillId="0" borderId="0" applyAlignment="1" pivotButton="0" quotePrefix="0" xfId="0">
      <alignment vertical="center"/>
    </xf>
    <xf numFmtId="164" fontId="12" fillId="0" borderId="19" applyAlignment="1" pivotButton="0" quotePrefix="0" xfId="0">
      <alignment horizontal="right" vertical="center" indent="1"/>
    </xf>
    <xf numFmtId="0" fontId="14" fillId="0" borderId="33" applyAlignment="1" pivotButton="0" quotePrefix="0" xfId="0">
      <alignment vertical="center"/>
    </xf>
    <xf numFmtId="0" fontId="17" fillId="0" borderId="0" applyAlignment="1" pivotButton="0" quotePrefix="0" xfId="0">
      <alignment vertical="center"/>
    </xf>
    <xf numFmtId="0" fontId="18" fillId="0" borderId="0" applyAlignment="1" pivotButton="0" quotePrefix="0" xfId="0">
      <alignment vertical="center"/>
    </xf>
    <xf numFmtId="0" fontId="15" fillId="7" borderId="51" applyAlignment="1" pivotButton="0" quotePrefix="0" xfId="0">
      <alignment horizontal="left" vertical="center" indent="1"/>
    </xf>
    <xf numFmtId="0" fontId="14" fillId="0" borderId="0" applyAlignment="1" pivotButton="0" quotePrefix="0" xfId="0">
      <alignment horizontal="right" vertical="center"/>
    </xf>
    <xf numFmtId="0" fontId="20" fillId="0" borderId="0" applyAlignment="1" pivotButton="0" quotePrefix="0" xfId="0">
      <alignment vertical="center"/>
    </xf>
    <xf numFmtId="0" fontId="12" fillId="4" borderId="1" applyAlignment="1" pivotButton="0" quotePrefix="0" xfId="0">
      <alignment horizontal="left" vertical="center" indent="1"/>
    </xf>
    <xf numFmtId="0" fontId="12" fillId="4" borderId="25" applyAlignment="1" pivotButton="0" quotePrefix="0" xfId="0">
      <alignment horizontal="left" vertical="center" indent="1"/>
    </xf>
    <xf numFmtId="0" fontId="12" fillId="4" borderId="18" applyAlignment="1" pivotButton="0" quotePrefix="0" xfId="0">
      <alignment horizontal="left" vertical="center" indent="1"/>
    </xf>
    <xf numFmtId="0" fontId="12" fillId="4" borderId="49" applyAlignment="1" pivotButton="0" quotePrefix="0" xfId="0">
      <alignment horizontal="left" vertical="center" indent="1"/>
    </xf>
    <xf numFmtId="0" fontId="21" fillId="3" borderId="5" applyAlignment="1" pivotButton="0" quotePrefix="0" xfId="0">
      <alignment horizontal="center" vertical="center"/>
    </xf>
    <xf numFmtId="0" fontId="21" fillId="3" borderId="6" applyAlignment="1" pivotButton="0" quotePrefix="0" xfId="0">
      <alignment horizontal="center" vertical="center"/>
    </xf>
    <xf numFmtId="0" fontId="17" fillId="0" borderId="0" applyAlignment="1" pivotButton="0" quotePrefix="0" xfId="0">
      <alignment horizontal="center" vertical="center"/>
    </xf>
    <xf numFmtId="0" fontId="21" fillId="3" borderId="52" applyAlignment="1" pivotButton="0" quotePrefix="0" xfId="0">
      <alignment horizontal="centerContinuous" vertical="center"/>
    </xf>
    <xf numFmtId="0" fontId="21" fillId="3" borderId="53" applyAlignment="1" pivotButton="0" quotePrefix="0" xfId="0">
      <alignment horizontal="centerContinuous" vertical="center"/>
    </xf>
    <xf numFmtId="0" fontId="21" fillId="3" borderId="0" applyAlignment="1" pivotButton="0" quotePrefix="0" xfId="0">
      <alignment horizontal="centerContinuous" vertical="center"/>
    </xf>
    <xf numFmtId="0" fontId="12" fillId="4" borderId="54" applyAlignment="1" pivotButton="0" quotePrefix="0" xfId="0">
      <alignment horizontal="left" vertical="center" indent="1"/>
    </xf>
    <xf numFmtId="164" fontId="12" fillId="0" borderId="2" applyAlignment="1" pivotButton="0" quotePrefix="0" xfId="0">
      <alignment horizontal="right" vertical="center" indent="1"/>
    </xf>
    <xf numFmtId="0" fontId="12" fillId="4" borderId="55" applyAlignment="1" pivotButton="0" quotePrefix="0" xfId="0">
      <alignment horizontal="left" vertical="center" indent="1"/>
    </xf>
    <xf numFmtId="0" fontId="12" fillId="0" borderId="49" applyAlignment="1" pivotButton="0" quotePrefix="0" xfId="0">
      <alignment horizontal="left" vertical="center" indent="2"/>
    </xf>
    <xf numFmtId="164" fontId="12" fillId="0" borderId="19" applyAlignment="1" pivotButton="0" quotePrefix="0" xfId="0">
      <alignment horizontal="left" vertical="center" indent="2"/>
    </xf>
    <xf numFmtId="0" fontId="12" fillId="0" borderId="0" applyAlignment="1" pivotButton="0" quotePrefix="0" xfId="0">
      <alignment horizontal="left" vertical="center" indent="2"/>
    </xf>
    <xf numFmtId="164" fontId="12" fillId="0" borderId="0" applyAlignment="1" pivotButton="0" quotePrefix="0" xfId="0">
      <alignment horizontal="right" vertical="center" indent="1"/>
    </xf>
    <xf numFmtId="164" fontId="12" fillId="0" borderId="0" applyAlignment="1" pivotButton="0" quotePrefix="0" xfId="0">
      <alignment horizontal="left" vertical="center" indent="2"/>
    </xf>
    <xf numFmtId="164" fontId="12" fillId="0" borderId="17" applyAlignment="1" pivotButton="0" quotePrefix="0" xfId="0">
      <alignment horizontal="centerContinuous" vertical="center"/>
    </xf>
    <xf numFmtId="0" fontId="15" fillId="4" borderId="16" applyAlignment="1" pivotButton="0" quotePrefix="0" xfId="0">
      <alignment horizontal="center" vertical="center"/>
    </xf>
    <xf numFmtId="0" fontId="15" fillId="4" borderId="22" applyAlignment="1" pivotButton="0" quotePrefix="0" xfId="0">
      <alignment horizontal="center" vertical="center"/>
    </xf>
    <xf numFmtId="0" fontId="13" fillId="3" borderId="59" applyAlignment="1" pivotButton="0" quotePrefix="0" xfId="0">
      <alignment horizontal="centerContinuous" vertical="center"/>
    </xf>
    <xf numFmtId="0" fontId="13" fillId="3" borderId="60" applyAlignment="1" pivotButton="0" quotePrefix="0" xfId="0">
      <alignment horizontal="center" vertical="center"/>
    </xf>
    <xf numFmtId="0" fontId="12" fillId="2" borderId="17" applyAlignment="1" pivotButton="0" quotePrefix="0" xfId="0">
      <alignment horizontal="left" vertical="center" indent="1"/>
    </xf>
    <xf numFmtId="0" fontId="12" fillId="2" borderId="21" applyAlignment="1" pivotButton="0" quotePrefix="0" xfId="0">
      <alignment horizontal="left" vertical="center" indent="1"/>
    </xf>
    <xf numFmtId="166" fontId="8" fillId="0" borderId="17" applyAlignment="1" pivotButton="0" quotePrefix="0" xfId="0">
      <alignment vertical="center"/>
    </xf>
    <xf numFmtId="166" fontId="8" fillId="4" borderId="54" applyAlignment="1" pivotButton="0" quotePrefix="0" xfId="0">
      <alignment horizontal="right" vertical="center" indent="1"/>
    </xf>
    <xf numFmtId="166" fontId="8" fillId="0" borderId="19" applyAlignment="1" pivotButton="0" quotePrefix="0" xfId="0">
      <alignment horizontal="right" vertical="center" indent="1"/>
    </xf>
    <xf numFmtId="166" fontId="8" fillId="0" borderId="0" applyAlignment="1" pivotButton="0" quotePrefix="0" xfId="0">
      <alignment horizontal="right" vertical="center" indent="1"/>
    </xf>
    <xf numFmtId="166" fontId="8" fillId="4" borderId="18" applyAlignment="1" pivotButton="0" quotePrefix="0" xfId="0">
      <alignment horizontal="right" vertical="center" indent="1"/>
    </xf>
    <xf numFmtId="166" fontId="14" fillId="0" borderId="0" applyAlignment="1" pivotButton="0" quotePrefix="0" xfId="0">
      <alignment vertical="center"/>
    </xf>
    <xf numFmtId="166" fontId="8" fillId="4" borderId="57" applyAlignment="1" pivotButton="0" quotePrefix="0" xfId="0">
      <alignment vertical="center"/>
    </xf>
    <xf numFmtId="166" fontId="8" fillId="0" borderId="19" applyAlignment="1" pivotButton="0" quotePrefix="0" xfId="0">
      <alignment vertical="center"/>
    </xf>
    <xf numFmtId="166" fontId="8" fillId="0" borderId="0" applyAlignment="1" pivotButton="0" quotePrefix="0" xfId="0">
      <alignment vertical="center"/>
    </xf>
    <xf numFmtId="166" fontId="8" fillId="4" borderId="18" applyAlignment="1" pivotButton="0" quotePrefix="0" xfId="0">
      <alignment vertical="center"/>
    </xf>
    <xf numFmtId="166" fontId="8" fillId="0" borderId="47" applyAlignment="1" pivotButton="0" quotePrefix="0" xfId="0">
      <alignment horizontal="right" vertical="center" indent="1"/>
    </xf>
    <xf numFmtId="164" fontId="12" fillId="0" borderId="17" applyAlignment="1" pivotButton="0" quotePrefix="0" xfId="0">
      <alignment horizontal="right" vertical="center" indent="1"/>
    </xf>
    <xf numFmtId="166" fontId="8" fillId="0" borderId="17" applyAlignment="1" pivotButton="0" quotePrefix="0" xfId="0">
      <alignment horizontal="right" vertical="center" indent="1"/>
    </xf>
    <xf numFmtId="166" fontId="24" fillId="0" borderId="17" applyAlignment="1" pivotButton="0" quotePrefix="0" xfId="0">
      <alignment horizontal="right" vertical="center" indent="1"/>
    </xf>
    <xf numFmtId="166" fontId="12" fillId="0" borderId="17" applyAlignment="1" pivotButton="0" quotePrefix="0" xfId="0">
      <alignment horizontal="left" vertical="center" indent="1"/>
    </xf>
    <xf numFmtId="166" fontId="12" fillId="0" borderId="21" applyAlignment="1" pivotButton="0" quotePrefix="0" xfId="0">
      <alignment horizontal="left" vertical="center" indent="1"/>
    </xf>
    <xf numFmtId="0" fontId="2" fillId="3" borderId="61" applyAlignment="1" pivotButton="0" quotePrefix="0" xfId="0">
      <alignment horizontal="center" vertical="center"/>
    </xf>
    <xf numFmtId="0" fontId="23" fillId="0" borderId="0" applyAlignment="1" pivotButton="0" quotePrefix="0" xfId="0">
      <alignment vertical="center"/>
    </xf>
    <xf numFmtId="0" fontId="0" fillId="0" borderId="0" applyAlignment="1" pivotButton="0" quotePrefix="0" xfId="0">
      <alignment horizontal="center" vertical="center"/>
    </xf>
    <xf numFmtId="0" fontId="23" fillId="8" borderId="0" applyAlignment="1" pivotButton="0" quotePrefix="0" xfId="0">
      <alignment vertical="center"/>
    </xf>
    <xf numFmtId="0" fontId="23" fillId="0" borderId="0" applyAlignment="1" pivotButton="0" quotePrefix="0" xfId="0">
      <alignment horizontal="right" vertical="center"/>
    </xf>
    <xf numFmtId="0" fontId="0" fillId="0" borderId="0" applyAlignment="1" pivotButton="0" quotePrefix="0" xfId="0">
      <alignment horizontal="right" vertical="center"/>
    </xf>
    <xf numFmtId="14" fontId="23" fillId="8" borderId="0" applyAlignment="1" pivotButton="0" quotePrefix="0" xfId="0">
      <alignment horizontal="right" vertical="center"/>
    </xf>
    <xf numFmtId="164" fontId="8" fillId="0" borderId="17" applyAlignment="1" pivotButton="0" quotePrefix="0" xfId="0">
      <alignment horizontal="left" vertical="center" indent="1"/>
    </xf>
    <xf numFmtId="0" fontId="0" fillId="0" borderId="0" applyAlignment="1" pivotButton="0" quotePrefix="0" xfId="0">
      <alignment horizontal="left" vertical="center"/>
    </xf>
    <xf numFmtId="164" fontId="8" fillId="0" borderId="17" applyAlignment="1" pivotButton="0" quotePrefix="0" xfId="0">
      <alignment vertical="center"/>
    </xf>
    <xf numFmtId="0" fontId="2" fillId="9" borderId="61" applyAlignment="1" pivotButton="0" quotePrefix="0" xfId="0">
      <alignment horizontal="center" vertical="center"/>
    </xf>
    <xf numFmtId="0" fontId="2" fillId="9" borderId="6" applyAlignment="1" pivotButton="0" quotePrefix="0" xfId="0">
      <alignment horizontal="center" vertical="center"/>
    </xf>
    <xf numFmtId="0" fontId="13" fillId="3" borderId="0" applyAlignment="1" pivotButton="0" quotePrefix="0" xfId="0">
      <alignment horizontal="center" vertical="center"/>
    </xf>
    <xf numFmtId="164" fontId="12" fillId="0" borderId="16" applyAlignment="1" pivotButton="0" quotePrefix="0" xfId="0">
      <alignment horizontal="right" vertical="center" indent="1"/>
    </xf>
    <xf numFmtId="0" fontId="27" fillId="2" borderId="16" applyAlignment="1" pivotButton="0" quotePrefix="0" xfId="0">
      <alignment horizontal="left" vertical="center" indent="1"/>
    </xf>
    <xf numFmtId="166" fontId="8" fillId="0" borderId="16" applyAlignment="1" pivotButton="0" quotePrefix="0" xfId="0">
      <alignment horizontal="right" vertical="center" indent="1"/>
    </xf>
    <xf numFmtId="0" fontId="13" fillId="3" borderId="6" applyAlignment="1" pivotButton="0" quotePrefix="0" xfId="0">
      <alignment horizontal="center" vertical="center" wrapText="1"/>
    </xf>
    <xf numFmtId="0" fontId="12" fillId="0" borderId="16" applyAlignment="1" pivotButton="0" quotePrefix="0" xfId="0">
      <alignment horizontal="left" vertical="center" wrapText="1" indent="1"/>
    </xf>
    <xf numFmtId="0" fontId="12" fillId="2" borderId="16" applyAlignment="1" pivotButton="0" quotePrefix="0" xfId="0">
      <alignment horizontal="left" vertical="center" wrapText="1" indent="1"/>
    </xf>
    <xf numFmtId="164" fontId="12" fillId="0" borderId="16" applyAlignment="1" pivotButton="0" quotePrefix="0" xfId="0">
      <alignment horizontal="center" vertical="center" wrapText="1"/>
    </xf>
    <xf numFmtId="0" fontId="2" fillId="3" borderId="61" applyAlignment="1" pivotButton="0" quotePrefix="0" xfId="0">
      <alignment horizontal="center" vertical="center" wrapText="1"/>
    </xf>
    <xf numFmtId="0" fontId="2" fillId="3" borderId="6" applyAlignment="1" pivotButton="0" quotePrefix="0" xfId="0">
      <alignment horizontal="center" vertical="center" wrapText="1"/>
    </xf>
    <xf numFmtId="166" fontId="18" fillId="0" borderId="0" applyAlignment="1" pivotButton="0" quotePrefix="0" xfId="0">
      <alignment vertical="center"/>
    </xf>
    <xf numFmtId="0" fontId="27" fillId="2" borderId="21" applyAlignment="1" pivotButton="0" quotePrefix="0" xfId="0">
      <alignment horizontal="left" vertical="center" wrapText="1" indent="1"/>
    </xf>
    <xf numFmtId="167" fontId="8" fillId="0" borderId="16" applyAlignment="1" pivotButton="0" quotePrefix="0" xfId="0">
      <alignment horizontal="right" vertical="center" indent="1"/>
    </xf>
    <xf numFmtId="167" fontId="8" fillId="0" borderId="17" applyAlignment="1" pivotButton="0" quotePrefix="0" xfId="0">
      <alignment horizontal="right" vertical="center" indent="1"/>
    </xf>
    <xf numFmtId="167" fontId="18" fillId="0" borderId="0" applyAlignment="1" pivotButton="0" quotePrefix="0" xfId="0">
      <alignment vertical="center"/>
    </xf>
    <xf numFmtId="0" fontId="13" fillId="3" borderId="61" applyAlignment="1" pivotButton="0" quotePrefix="0" xfId="0">
      <alignment horizontal="center" vertical="center"/>
    </xf>
    <xf numFmtId="0" fontId="12" fillId="0" borderId="22" applyAlignment="1" pivotButton="0" quotePrefix="0" xfId="0">
      <alignment horizontal="left" vertical="center" indent="1"/>
    </xf>
    <xf numFmtId="167" fontId="24" fillId="0" borderId="17" applyAlignment="1" pivotButton="0" quotePrefix="0" xfId="0">
      <alignment horizontal="right" vertical="center" wrapText="1" indent="1"/>
    </xf>
    <xf numFmtId="0" fontId="14" fillId="0" borderId="0" applyAlignment="1" pivotButton="0" quotePrefix="0" xfId="0">
      <alignment horizontal="left" vertical="center"/>
    </xf>
    <xf numFmtId="167" fontId="8" fillId="0" borderId="17" applyAlignment="1" pivotButton="0" quotePrefix="0" xfId="0">
      <alignment horizontal="right" vertical="center" wrapText="1" indent="1"/>
    </xf>
    <xf numFmtId="0" fontId="28" fillId="3" borderId="6" applyAlignment="1" pivotButton="0" quotePrefix="0" xfId="0">
      <alignment horizontal="center" vertical="center" wrapText="1"/>
    </xf>
    <xf numFmtId="0" fontId="15" fillId="7" borderId="22" applyAlignment="1" pivotButton="0" quotePrefix="0" xfId="0">
      <alignment horizontal="center" vertical="center"/>
    </xf>
    <xf numFmtId="164" fontId="15" fillId="7" borderId="21" applyAlignment="1" pivotButton="0" quotePrefix="0" xfId="0">
      <alignment horizontal="centerContinuous" vertical="center"/>
    </xf>
    <xf numFmtId="166" fontId="7" fillId="7" borderId="21" applyAlignment="1" pivotButton="0" quotePrefix="0" xfId="0">
      <alignment horizontal="right" vertical="center" indent="1"/>
    </xf>
    <xf numFmtId="166" fontId="15" fillId="7" borderId="21" applyAlignment="1" pivotButton="0" quotePrefix="0" xfId="0">
      <alignment horizontal="left" vertical="center" indent="1"/>
    </xf>
    <xf numFmtId="0" fontId="15" fillId="7" borderId="21" applyAlignment="1" pivotButton="0" quotePrefix="0" xfId="0">
      <alignment horizontal="left" vertical="center" indent="1"/>
    </xf>
    <xf numFmtId="164" fontId="7" fillId="7" borderId="21" applyAlignment="1" pivotButton="0" quotePrefix="0" xfId="0">
      <alignment horizontal="right" vertical="center" indent="1"/>
    </xf>
    <xf numFmtId="165" fontId="7" fillId="7" borderId="17" applyAlignment="1" pivotButton="0" quotePrefix="0" xfId="0">
      <alignment horizontal="right" vertical="center" indent="1"/>
    </xf>
    <xf numFmtId="0" fontId="15" fillId="7" borderId="16" applyAlignment="1" pivotButton="0" quotePrefix="0" xfId="0">
      <alignment horizontal="left" vertical="center" indent="1"/>
    </xf>
    <xf numFmtId="164" fontId="15" fillId="7" borderId="17" applyAlignment="1" pivotButton="0" quotePrefix="0" xfId="0">
      <alignment horizontal="centerContinuous" vertical="center"/>
    </xf>
    <xf numFmtId="166" fontId="7" fillId="7" borderId="17" applyAlignment="1" pivotButton="0" quotePrefix="0" xfId="0">
      <alignment vertical="center"/>
    </xf>
    <xf numFmtId="164" fontId="7" fillId="7" borderId="17" applyAlignment="1" pivotButton="0" quotePrefix="0" xfId="0">
      <alignment horizontal="right" vertical="center"/>
    </xf>
    <xf numFmtId="164" fontId="12" fillId="4" borderId="16" applyAlignment="1" pivotButton="0" quotePrefix="0" xfId="0">
      <alignment horizontal="left" vertical="center" indent="1"/>
    </xf>
    <xf numFmtId="167" fontId="8" fillId="4" borderId="16" applyAlignment="1" pivotButton="0" quotePrefix="0" xfId="0">
      <alignment horizontal="right" vertical="center" indent="1"/>
    </xf>
    <xf numFmtId="164" fontId="12" fillId="4" borderId="16" applyAlignment="1" pivotButton="0" quotePrefix="0" xfId="0">
      <alignment horizontal="right" vertical="center" indent="1"/>
    </xf>
    <xf numFmtId="166" fontId="8" fillId="4" borderId="16" applyAlignment="1" pivotButton="0" quotePrefix="0" xfId="0">
      <alignment horizontal="right" vertical="center" indent="1"/>
    </xf>
    <xf numFmtId="0" fontId="27" fillId="4" borderId="16" applyAlignment="1" pivotButton="0" quotePrefix="0" xfId="0">
      <alignment horizontal="left" vertical="center" indent="1"/>
    </xf>
    <xf numFmtId="164" fontId="12" fillId="4" borderId="17" applyAlignment="1" pivotButton="0" quotePrefix="0" xfId="0">
      <alignment horizontal="left" vertical="center" indent="1"/>
    </xf>
    <xf numFmtId="167" fontId="8" fillId="4" borderId="17" applyAlignment="1" pivotButton="0" quotePrefix="0" xfId="0">
      <alignment horizontal="right" vertical="center" indent="1"/>
    </xf>
    <xf numFmtId="166" fontId="8" fillId="4" borderId="17" applyAlignment="1" pivotButton="0" quotePrefix="0" xfId="0">
      <alignment horizontal="right" vertical="center" indent="1"/>
    </xf>
    <xf numFmtId="0" fontId="2" fillId="3" borderId="6" applyAlignment="1" pivotButton="0" quotePrefix="0" xfId="0">
      <alignment horizontal="centerContinuous" vertical="center"/>
    </xf>
    <xf numFmtId="0" fontId="6" fillId="7" borderId="17" applyAlignment="1" pivotButton="0" quotePrefix="0" xfId="0">
      <alignment horizontal="left" vertical="center" indent="1"/>
    </xf>
    <xf numFmtId="166" fontId="7" fillId="7" borderId="17" applyAlignment="1" pivotButton="0" quotePrefix="0" xfId="0">
      <alignment horizontal="right" vertical="center" indent="1"/>
    </xf>
    <xf numFmtId="0" fontId="25" fillId="4" borderId="0" applyAlignment="1" pivotButton="0" quotePrefix="0" xfId="0">
      <alignment horizontal="left" vertical="center" indent="1"/>
    </xf>
    <xf numFmtId="0" fontId="26" fillId="4" borderId="0" applyAlignment="1" pivotButton="0" quotePrefix="0" xfId="0">
      <alignment horizontal="left" vertical="center" indent="1"/>
    </xf>
    <xf numFmtId="0" fontId="2" fillId="3" borderId="53" applyAlignment="1" pivotButton="0" quotePrefix="0" xfId="0">
      <alignment horizontal="centerContinuous" vertical="center"/>
    </xf>
    <xf numFmtId="0" fontId="2" fillId="3" borderId="0" applyAlignment="1" pivotButton="0" quotePrefix="0" xfId="0">
      <alignment horizontal="centerContinuous" vertical="center"/>
    </xf>
    <xf numFmtId="0" fontId="0" fillId="0" borderId="47" applyAlignment="1" pivotButton="0" quotePrefix="0" xfId="0">
      <alignment vertical="center"/>
    </xf>
    <xf numFmtId="0" fontId="25" fillId="4" borderId="19" applyAlignment="1" pivotButton="0" quotePrefix="0" xfId="0">
      <alignment horizontal="left" vertical="center" indent="1"/>
    </xf>
    <xf numFmtId="0" fontId="2" fillId="3" borderId="52" applyAlignment="1" pivotButton="0" quotePrefix="0" xfId="0">
      <alignment horizontal="centerContinuous" vertical="center"/>
    </xf>
    <xf numFmtId="0" fontId="6" fillId="7" borderId="21" applyAlignment="1" pivotButton="0" quotePrefix="0" xfId="0">
      <alignment horizontal="left" vertical="center" indent="1"/>
    </xf>
    <xf numFmtId="0" fontId="2" fillId="3" borderId="21" applyAlignment="1" pivotButton="0" quotePrefix="0" xfId="0">
      <alignment horizontal="left" vertical="center" indent="1"/>
    </xf>
    <xf numFmtId="0" fontId="2" fillId="3" borderId="68" applyAlignment="1" pivotButton="0" quotePrefix="0" xfId="0">
      <alignment horizontal="left" vertical="center" indent="1"/>
    </xf>
    <xf numFmtId="0" fontId="2" fillId="3" borderId="66" applyAlignment="1" pivotButton="0" quotePrefix="0" xfId="0">
      <alignment horizontal="left" vertical="center" indent="1"/>
    </xf>
    <xf numFmtId="0" fontId="0" fillId="0" borderId="19" applyAlignment="1" pivotButton="0" quotePrefix="0" xfId="0">
      <alignment vertical="center"/>
    </xf>
    <xf numFmtId="0" fontId="2" fillId="3" borderId="70" applyAlignment="1" pivotButton="0" quotePrefix="0" xfId="0">
      <alignment horizontal="centerContinuous" vertical="center"/>
    </xf>
    <xf numFmtId="0" fontId="2" fillId="3" borderId="19" applyAlignment="1" pivotButton="0" quotePrefix="0" xfId="0">
      <alignment horizontal="center" vertical="center"/>
    </xf>
    <xf numFmtId="0" fontId="26" fillId="4" borderId="19" applyAlignment="1" pivotButton="0" quotePrefix="0" xfId="0">
      <alignment horizontal="left" vertical="center" indent="1"/>
    </xf>
    <xf numFmtId="0" fontId="2" fillId="3" borderId="20" applyAlignment="1" pivotButton="0" quotePrefix="0" xfId="0">
      <alignment horizontal="left" vertical="center" indent="1"/>
    </xf>
    <xf numFmtId="0" fontId="25" fillId="7" borderId="21" applyAlignment="1" pivotButton="0" quotePrefix="0" xfId="0">
      <alignment horizontal="left" vertical="center" indent="1"/>
    </xf>
    <xf numFmtId="0" fontId="25" fillId="7" borderId="47" applyAlignment="1" pivotButton="0" quotePrefix="0" xfId="0">
      <alignment horizontal="left" vertical="center" indent="1"/>
    </xf>
    <xf numFmtId="0" fontId="25" fillId="4" borderId="64" applyAlignment="1" pivotButton="0" quotePrefix="0" xfId="0">
      <alignment horizontal="left" vertical="center" indent="1"/>
    </xf>
    <xf numFmtId="0" fontId="0" fillId="0" borderId="49" applyAlignment="1" pivotButton="0" quotePrefix="0" xfId="0">
      <alignment vertical="center"/>
    </xf>
    <xf numFmtId="0" fontId="2" fillId="3" borderId="49" applyAlignment="1" pivotButton="0" quotePrefix="0" xfId="0">
      <alignment horizontal="center" vertical="center"/>
    </xf>
    <xf numFmtId="0" fontId="2" fillId="11" borderId="49" applyAlignment="1" pivotButton="0" quotePrefix="0" xfId="0">
      <alignment horizontal="center" vertical="center"/>
    </xf>
    <xf numFmtId="0" fontId="2" fillId="3" borderId="62" applyAlignment="1" pivotButton="0" quotePrefix="0" xfId="0">
      <alignment horizontal="centerContinuous" vertical="center"/>
    </xf>
    <xf numFmtId="0" fontId="2" fillId="3" borderId="72" applyAlignment="1" pivotButton="0" quotePrefix="0" xfId="0">
      <alignment horizontal="center" vertical="center"/>
    </xf>
    <xf numFmtId="0" fontId="2" fillId="3" borderId="73" applyAlignment="1" pivotButton="0" quotePrefix="0" xfId="0">
      <alignment horizontal="centerContinuous" vertical="center"/>
    </xf>
    <xf numFmtId="0" fontId="2" fillId="3" borderId="63" applyAlignment="1" pivotButton="0" quotePrefix="0" xfId="0">
      <alignment horizontal="centerContinuous" vertical="center"/>
    </xf>
    <xf numFmtId="0" fontId="2" fillId="3" borderId="74" applyAlignment="1" pivotButton="0" quotePrefix="0" xfId="0">
      <alignment horizontal="centerContinuous" vertical="center"/>
    </xf>
    <xf numFmtId="0" fontId="2" fillId="3" borderId="75" applyAlignment="1" pivotButton="0" quotePrefix="0" xfId="0">
      <alignment horizontal="centerContinuous" vertical="center"/>
    </xf>
    <xf numFmtId="0" fontId="2" fillId="3" borderId="76" applyAlignment="1" pivotButton="0" quotePrefix="0" xfId="0">
      <alignment horizontal="centerContinuous" vertical="center"/>
    </xf>
    <xf numFmtId="0" fontId="2" fillId="3" borderId="77" applyAlignment="1" pivotButton="0" quotePrefix="0" xfId="0">
      <alignment horizontal="centerContinuous" vertical="center"/>
    </xf>
    <xf numFmtId="0" fontId="2" fillId="11" borderId="74" applyAlignment="1" pivotButton="0" quotePrefix="0" xfId="0">
      <alignment horizontal="centerContinuous" vertical="center"/>
    </xf>
    <xf numFmtId="0" fontId="2" fillId="11" borderId="73" applyAlignment="1" pivotButton="0" quotePrefix="0" xfId="0">
      <alignment horizontal="centerContinuous" vertical="center"/>
    </xf>
    <xf numFmtId="0" fontId="2" fillId="11" borderId="72" applyAlignment="1" pivotButton="0" quotePrefix="0" xfId="0">
      <alignment horizontal="center" vertical="center"/>
    </xf>
    <xf numFmtId="0" fontId="25" fillId="4" borderId="71" applyAlignment="1" pivotButton="0" quotePrefix="0" xfId="0">
      <alignment horizontal="left" vertical="center" indent="2"/>
    </xf>
    <xf numFmtId="0" fontId="25" fillId="4" borderId="0" applyAlignment="1" pivotButton="0" quotePrefix="0" xfId="0">
      <alignment horizontal="left" vertical="center" indent="2"/>
    </xf>
    <xf numFmtId="0" fontId="25" fillId="4" borderId="64" applyAlignment="1" pivotButton="0" quotePrefix="0" xfId="0">
      <alignment horizontal="left" vertical="center" indent="2"/>
    </xf>
    <xf numFmtId="0" fontId="9" fillId="4" borderId="57" applyAlignment="1" pivotButton="0" quotePrefix="0" xfId="0">
      <alignment horizontal="left" vertical="center" indent="2"/>
    </xf>
    <xf numFmtId="0" fontId="25" fillId="4" borderId="78" applyAlignment="1" pivotButton="0" quotePrefix="0" xfId="0">
      <alignment horizontal="left" vertical="center" indent="2"/>
    </xf>
    <xf numFmtId="0" fontId="9" fillId="7" borderId="57" applyAlignment="1" pivotButton="0" quotePrefix="0" xfId="0">
      <alignment horizontal="left" vertical="center" indent="1"/>
    </xf>
    <xf numFmtId="0" fontId="25" fillId="4" borderId="78" applyAlignment="1" pivotButton="0" quotePrefix="0" xfId="0">
      <alignment horizontal="left" vertical="center" indent="3"/>
    </xf>
    <xf numFmtId="0" fontId="25" fillId="4" borderId="64" applyAlignment="1" pivotButton="0" quotePrefix="0" xfId="0">
      <alignment horizontal="left" vertical="center" indent="3"/>
    </xf>
    <xf numFmtId="0" fontId="25" fillId="4" borderId="0" applyAlignment="1" pivotButton="0" quotePrefix="0" xfId="0">
      <alignment horizontal="left" vertical="center" indent="3"/>
    </xf>
    <xf numFmtId="0" fontId="6" fillId="7" borderId="57" applyAlignment="1" pivotButton="0" quotePrefix="0" xfId="0">
      <alignment horizontal="left" vertical="center" indent="1"/>
    </xf>
    <xf numFmtId="0" fontId="6" fillId="4" borderId="64" applyAlignment="1" pivotButton="0" quotePrefix="0" xfId="0">
      <alignment horizontal="left" vertical="center" indent="1"/>
    </xf>
    <xf numFmtId="0" fontId="25" fillId="4" borderId="19" applyAlignment="1" pivotButton="0" quotePrefix="0" xfId="0">
      <alignment horizontal="left" vertical="center" indent="2"/>
    </xf>
    <xf numFmtId="0" fontId="6" fillId="7" borderId="57" applyAlignment="1" pivotButton="0" quotePrefix="0" xfId="0">
      <alignment horizontal="left" vertical="center"/>
    </xf>
    <xf numFmtId="0" fontId="2" fillId="3" borderId="67" applyAlignment="1" pivotButton="0" quotePrefix="0" xfId="0">
      <alignment horizontal="center" vertical="center"/>
    </xf>
    <xf numFmtId="0" fontId="2" fillId="11" borderId="67" applyAlignment="1" pivotButton="0" quotePrefix="0" xfId="0">
      <alignment horizontal="center" vertical="center"/>
    </xf>
    <xf numFmtId="0" fontId="25" fillId="10" borderId="66" applyAlignment="1" pivotButton="0" quotePrefix="0" xfId="0">
      <alignment horizontal="left" vertical="center" indent="2"/>
    </xf>
    <xf numFmtId="0" fontId="25" fillId="4" borderId="47" applyAlignment="1" pivotButton="0" quotePrefix="0" xfId="0">
      <alignment horizontal="left" vertical="center" indent="2"/>
    </xf>
    <xf numFmtId="0" fontId="2" fillId="3" borderId="60" applyAlignment="1" pivotButton="0" quotePrefix="0" xfId="0">
      <alignment horizontal="center" vertical="center"/>
    </xf>
    <xf numFmtId="0" fontId="2" fillId="11" borderId="60" applyAlignment="1" pivotButton="0" quotePrefix="0" xfId="0">
      <alignment horizontal="center" vertical="center"/>
    </xf>
    <xf numFmtId="0" fontId="9" fillId="7" borderId="57" applyAlignment="1" pivotButton="0" quotePrefix="0" xfId="0">
      <alignment horizontal="left" vertical="center" indent="2"/>
    </xf>
    <xf numFmtId="0" fontId="9" fillId="7" borderId="57" applyAlignment="1" pivotButton="0" quotePrefix="0" xfId="0">
      <alignment horizontal="left" vertical="center" indent="3"/>
    </xf>
    <xf numFmtId="0" fontId="26" fillId="0" borderId="57" applyAlignment="1" pivotButton="0" quotePrefix="0" xfId="0">
      <alignment horizontal="left" vertical="center" indent="2"/>
    </xf>
    <xf numFmtId="0" fontId="33" fillId="0" borderId="57" applyAlignment="1" pivotButton="0" quotePrefix="0" xfId="0">
      <alignment horizontal="left" vertical="center" indent="2"/>
    </xf>
    <xf numFmtId="0" fontId="21" fillId="11" borderId="6" applyAlignment="1" pivotButton="0" quotePrefix="0" xfId="0">
      <alignment horizontal="center" vertical="center"/>
    </xf>
    <xf numFmtId="0" fontId="34" fillId="4" borderId="22" applyAlignment="1" pivotButton="0" quotePrefix="0" xfId="0">
      <alignment horizontal="right" vertical="center" indent="1"/>
    </xf>
    <xf numFmtId="165" fontId="35" fillId="0" borderId="17" applyAlignment="1" pivotButton="0" quotePrefix="0" xfId="0">
      <alignment horizontal="right" vertical="center" indent="1"/>
    </xf>
    <xf numFmtId="0" fontId="34" fillId="0" borderId="0" applyAlignment="1" pivotButton="0" quotePrefix="0" xfId="0">
      <alignment vertical="center"/>
    </xf>
    <xf numFmtId="168" fontId="7" fillId="7" borderId="21" applyAlignment="1" pivotButton="0" quotePrefix="0" xfId="0">
      <alignment horizontal="right" vertical="center" indent="1"/>
    </xf>
    <xf numFmtId="168" fontId="8" fillId="0" borderId="0" applyAlignment="1" pivotButton="0" quotePrefix="0" xfId="0">
      <alignment horizontal="right" vertical="center" indent="1"/>
    </xf>
    <xf numFmtId="168" fontId="8" fillId="0" borderId="64" applyAlignment="1" pivotButton="0" quotePrefix="0" xfId="0">
      <alignment horizontal="right" vertical="center" indent="1"/>
    </xf>
    <xf numFmtId="168" fontId="0" fillId="0" borderId="0" applyAlignment="1" pivotButton="0" quotePrefix="0" xfId="0">
      <alignment vertical="center"/>
    </xf>
    <xf numFmtId="168" fontId="18" fillId="0" borderId="0" applyAlignment="1" pivotButton="0" quotePrefix="0" xfId="0">
      <alignment vertical="center"/>
    </xf>
    <xf numFmtId="0" fontId="2" fillId="3" borderId="1" applyAlignment="1" pivotButton="0" quotePrefix="0" xfId="0">
      <alignment horizontal="center" vertical="center"/>
    </xf>
    <xf numFmtId="0" fontId="2" fillId="3" borderId="80" applyAlignment="1" pivotButton="0" quotePrefix="0" xfId="0">
      <alignment horizontal="center" vertical="center"/>
    </xf>
    <xf numFmtId="168" fontId="7" fillId="7" borderId="17" applyAlignment="1" pivotButton="0" quotePrefix="0" xfId="0">
      <alignment horizontal="right" vertical="center" indent="1"/>
    </xf>
    <xf numFmtId="168" fontId="8" fillId="0" borderId="49" applyAlignment="1" pivotButton="0" quotePrefix="0" xfId="0">
      <alignment horizontal="right" vertical="center" indent="1"/>
    </xf>
    <xf numFmtId="168" fontId="8" fillId="0" borderId="17" applyAlignment="1" pivotButton="0" quotePrefix="0" xfId="0">
      <alignment horizontal="right" vertical="center" indent="1"/>
    </xf>
    <xf numFmtId="168" fontId="8" fillId="0" borderId="21" applyAlignment="1" pivotButton="0" quotePrefix="0" xfId="0">
      <alignment horizontal="right" vertical="center" indent="1"/>
    </xf>
    <xf numFmtId="168" fontId="28" fillId="3" borderId="66" applyAlignment="1" pivotButton="0" quotePrefix="0" xfId="0">
      <alignment horizontal="right" vertical="center" indent="1"/>
    </xf>
    <xf numFmtId="168" fontId="28" fillId="3" borderId="20" applyAlignment="1" pivotButton="0" quotePrefix="0" xfId="0">
      <alignment horizontal="right" vertical="center" indent="1"/>
    </xf>
    <xf numFmtId="168" fontId="28" fillId="3" borderId="59" applyAlignment="1" pivotButton="0" quotePrefix="0" xfId="0">
      <alignment horizontal="right" vertical="center" indent="1"/>
    </xf>
    <xf numFmtId="168" fontId="7" fillId="7" borderId="20" applyAlignment="1" pivotButton="0" quotePrefix="0" xfId="0">
      <alignment horizontal="right" vertical="center" indent="1"/>
    </xf>
    <xf numFmtId="168" fontId="8" fillId="0" borderId="19" applyAlignment="1" pivotButton="0" quotePrefix="0" xfId="0">
      <alignment horizontal="right" vertical="center" indent="1"/>
    </xf>
    <xf numFmtId="168" fontId="28" fillId="3" borderId="17" applyAlignment="1" pivotButton="0" quotePrefix="0" xfId="0">
      <alignment horizontal="right" vertical="center" indent="1"/>
    </xf>
    <xf numFmtId="0" fontId="6" fillId="4" borderId="57" applyAlignment="1" pivotButton="0" quotePrefix="0" xfId="0">
      <alignment horizontal="left" vertical="center" indent="2"/>
    </xf>
    <xf numFmtId="165" fontId="8" fillId="0" borderId="19" applyAlignment="1" pivotButton="0" quotePrefix="0" xfId="0">
      <alignment horizontal="right" vertical="center" indent="1"/>
    </xf>
    <xf numFmtId="166" fontId="31" fillId="2" borderId="49" applyAlignment="1" pivotButton="0" quotePrefix="0" xfId="0">
      <alignment horizontal="left" vertical="center" indent="1"/>
    </xf>
    <xf numFmtId="165" fontId="8" fillId="10" borderId="67" applyAlignment="1" pivotButton="0" quotePrefix="0" xfId="0">
      <alignment horizontal="right" vertical="center" indent="1"/>
    </xf>
    <xf numFmtId="165" fontId="8" fillId="7" borderId="3" applyAlignment="1" pivotButton="0" quotePrefix="0" xfId="0">
      <alignment horizontal="right" vertical="center" indent="1"/>
    </xf>
    <xf numFmtId="0" fontId="2" fillId="3" borderId="71" applyAlignment="1" pivotButton="0" quotePrefix="0" xfId="0">
      <alignment horizontal="center" vertical="center"/>
    </xf>
    <xf numFmtId="168" fontId="7" fillId="7" borderId="55" applyAlignment="1" pivotButton="0" quotePrefix="0" xfId="0">
      <alignment horizontal="right" vertical="center" indent="1"/>
    </xf>
    <xf numFmtId="0" fontId="6" fillId="7" borderId="64" applyAlignment="1" pivotButton="0" quotePrefix="0" xfId="0">
      <alignment horizontal="left" vertical="center" indent="1"/>
    </xf>
    <xf numFmtId="0" fontId="2" fillId="3" borderId="64" applyAlignment="1" pivotButton="0" quotePrefix="0" xfId="0">
      <alignment horizontal="left" vertical="center" indent="1"/>
    </xf>
    <xf numFmtId="0" fontId="26" fillId="4" borderId="64" applyAlignment="1" pivotButton="0" quotePrefix="0" xfId="0">
      <alignment horizontal="left" vertical="center" indent="1"/>
    </xf>
    <xf numFmtId="0" fontId="2" fillId="3" borderId="87" applyAlignment="1" pivotButton="0" quotePrefix="0" xfId="0">
      <alignment horizontal="left" vertical="center" indent="1"/>
    </xf>
    <xf numFmtId="0" fontId="2" fillId="3" borderId="69" applyAlignment="1" pivotButton="0" quotePrefix="0" xfId="0">
      <alignment horizontal="left" vertical="center" indent="1"/>
    </xf>
    <xf numFmtId="168" fontId="7" fillId="7" borderId="89" applyAlignment="1" pivotButton="0" quotePrefix="0" xfId="0">
      <alignment horizontal="right" vertical="center" indent="1"/>
    </xf>
    <xf numFmtId="168" fontId="8" fillId="0" borderId="90" applyAlignment="1" pivotButton="0" quotePrefix="0" xfId="0">
      <alignment horizontal="right" vertical="center" indent="1"/>
    </xf>
    <xf numFmtId="168" fontId="7" fillId="7" borderId="91" applyAlignment="1" pivotButton="0" quotePrefix="0" xfId="0">
      <alignment horizontal="right" vertical="center" indent="1"/>
    </xf>
    <xf numFmtId="168" fontId="28" fillId="3" borderId="92" applyAlignment="1" pivotButton="0" quotePrefix="0" xfId="0">
      <alignment horizontal="right" vertical="center" indent="1"/>
    </xf>
    <xf numFmtId="0" fontId="2" fillId="6" borderId="88" applyAlignment="1" pivotButton="0" quotePrefix="0" xfId="0">
      <alignment horizontal="center" vertical="center"/>
    </xf>
    <xf numFmtId="0" fontId="2" fillId="3" borderId="93" applyAlignment="1" pivotButton="0" quotePrefix="0" xfId="0">
      <alignment horizontal="center" vertical="center"/>
    </xf>
    <xf numFmtId="168" fontId="8" fillId="0" borderId="47" applyAlignment="1" pivotButton="0" quotePrefix="0" xfId="0">
      <alignment horizontal="right" vertical="center" indent="1"/>
    </xf>
    <xf numFmtId="168" fontId="28" fillId="3" borderId="21" applyAlignment="1" pivotButton="0" quotePrefix="0" xfId="0">
      <alignment horizontal="right" vertical="center" indent="1"/>
    </xf>
    <xf numFmtId="168" fontId="7" fillId="7" borderId="94" applyAlignment="1" pivotButton="0" quotePrefix="0" xfId="0">
      <alignment horizontal="right" vertical="center" indent="1"/>
    </xf>
    <xf numFmtId="168" fontId="8" fillId="0" borderId="89" applyAlignment="1" pivotButton="0" quotePrefix="0" xfId="0">
      <alignment horizontal="right" vertical="center" indent="1"/>
    </xf>
    <xf numFmtId="168" fontId="28" fillId="3" borderId="95" applyAlignment="1" pivotButton="0" quotePrefix="0" xfId="0">
      <alignment horizontal="right" vertical="center" indent="1"/>
    </xf>
    <xf numFmtId="168" fontId="28" fillId="3" borderId="97" applyAlignment="1" pivotButton="0" quotePrefix="0" xfId="0">
      <alignment horizontal="right" vertical="center" indent="1"/>
    </xf>
    <xf numFmtId="168" fontId="28" fillId="3" borderId="98" applyAlignment="1" pivotButton="0" quotePrefix="0" xfId="0">
      <alignment horizontal="right" vertical="center" indent="1"/>
    </xf>
    <xf numFmtId="0" fontId="2" fillId="11" borderId="62" applyAlignment="1" pivotButton="0" quotePrefix="0" xfId="0">
      <alignment horizontal="centerContinuous" vertical="center"/>
    </xf>
    <xf numFmtId="0" fontId="2" fillId="11" borderId="0" applyAlignment="1" pivotButton="0" quotePrefix="0" xfId="0">
      <alignment horizontal="centerContinuous" vertical="center"/>
    </xf>
    <xf numFmtId="0" fontId="2" fillId="3" borderId="65" applyAlignment="1" pivotButton="0" quotePrefix="0" xfId="0">
      <alignment horizontal="center" vertical="center"/>
    </xf>
    <xf numFmtId="0" fontId="2" fillId="11" borderId="68" applyAlignment="1" pivotButton="0" quotePrefix="0" xfId="0">
      <alignment horizontal="center" vertical="center"/>
    </xf>
    <xf numFmtId="168" fontId="7" fillId="0" borderId="20" applyAlignment="1" pivotButton="0" quotePrefix="0" xfId="0">
      <alignment horizontal="right" vertical="center" indent="1"/>
    </xf>
    <xf numFmtId="168" fontId="7" fillId="0" borderId="17" applyAlignment="1" pivotButton="0" quotePrefix="0" xfId="0">
      <alignment horizontal="right" vertical="center" indent="1"/>
    </xf>
    <xf numFmtId="168" fontId="0" fillId="0" borderId="19" applyAlignment="1" pivotButton="0" quotePrefix="0" xfId="0">
      <alignment vertical="center"/>
    </xf>
    <xf numFmtId="0" fontId="2" fillId="3" borderId="68" applyAlignment="1" pivotButton="0" quotePrefix="0" xfId="0">
      <alignment horizontal="center" vertical="center"/>
    </xf>
    <xf numFmtId="168" fontId="7" fillId="0" borderId="21" applyAlignment="1" pivotButton="0" quotePrefix="0" xfId="0">
      <alignment horizontal="right" vertical="center" indent="1"/>
    </xf>
    <xf numFmtId="168" fontId="7" fillId="0" borderId="91" applyAlignment="1" pivotButton="0" quotePrefix="0" xfId="0">
      <alignment horizontal="right" vertical="center" indent="1"/>
    </xf>
    <xf numFmtId="168" fontId="7" fillId="0" borderId="89" applyAlignment="1" pivotButton="0" quotePrefix="0" xfId="0">
      <alignment horizontal="right" vertical="center" indent="1"/>
    </xf>
    <xf numFmtId="168" fontId="7" fillId="7" borderId="95" applyAlignment="1" pivotButton="0" quotePrefix="0" xfId="0">
      <alignment horizontal="right" vertical="center" indent="1"/>
    </xf>
    <xf numFmtId="0" fontId="2" fillId="6" borderId="99" applyAlignment="1" pivotButton="0" quotePrefix="0" xfId="0">
      <alignment horizontal="center" vertical="center"/>
    </xf>
    <xf numFmtId="168" fontId="29" fillId="0" borderId="17" applyAlignment="1" pivotButton="0" quotePrefix="0" xfId="0">
      <alignment horizontal="right" vertical="center" indent="1"/>
    </xf>
    <xf numFmtId="168" fontId="29" fillId="0" borderId="64" applyAlignment="1" pivotButton="0" quotePrefix="0" xfId="0">
      <alignment horizontal="right" vertical="center" indent="1"/>
    </xf>
    <xf numFmtId="168" fontId="29" fillId="0" borderId="90" applyAlignment="1" pivotButton="0" quotePrefix="0" xfId="0">
      <alignment horizontal="right" vertical="center" indent="1"/>
    </xf>
    <xf numFmtId="168" fontId="7" fillId="7" borderId="100" applyAlignment="1" pivotButton="0" quotePrefix="0" xfId="0">
      <alignment horizontal="right" vertical="center" indent="1"/>
    </xf>
    <xf numFmtId="168" fontId="7" fillId="7" borderId="101" applyAlignment="1" pivotButton="0" quotePrefix="0" xfId="0">
      <alignment horizontal="right" vertical="center" indent="1"/>
    </xf>
    <xf numFmtId="168" fontId="7" fillId="7" borderId="103" applyAlignment="1" pivotButton="0" quotePrefix="0" xfId="0">
      <alignment horizontal="right" vertical="center" indent="1"/>
    </xf>
    <xf numFmtId="0" fontId="2" fillId="12" borderId="104" applyAlignment="1" pivotButton="0" quotePrefix="0" xfId="0">
      <alignment horizontal="centerContinuous" vertical="center"/>
    </xf>
    <xf numFmtId="0" fontId="2" fillId="3" borderId="104" applyAlignment="1" pivotButton="0" quotePrefix="0" xfId="0">
      <alignment horizontal="centerContinuous" vertical="center"/>
    </xf>
    <xf numFmtId="168" fontId="8" fillId="0" borderId="1" applyAlignment="1" pivotButton="0" quotePrefix="0" xfId="0">
      <alignment horizontal="right" vertical="center" indent="1"/>
    </xf>
    <xf numFmtId="168" fontId="8" fillId="0" borderId="3" applyAlignment="1" pivotButton="0" quotePrefix="0" xfId="0">
      <alignment horizontal="right" vertical="center" indent="1"/>
    </xf>
    <xf numFmtId="168" fontId="8" fillId="0" borderId="7" applyAlignment="1" pivotButton="0" quotePrefix="0" xfId="0">
      <alignment horizontal="right" vertical="center" indent="1"/>
    </xf>
    <xf numFmtId="168" fontId="5" fillId="5" borderId="10" applyAlignment="1" pivotButton="0" quotePrefix="0" xfId="0">
      <alignment horizontal="right" vertical="center" indent="1"/>
    </xf>
    <xf numFmtId="168" fontId="8" fillId="0" borderId="12" applyAlignment="1" pivotButton="0" quotePrefix="0" xfId="0">
      <alignment horizontal="right" vertical="center" indent="1"/>
    </xf>
    <xf numFmtId="168" fontId="8" fillId="0" borderId="13" applyAlignment="1" pivotButton="0" quotePrefix="0" xfId="0">
      <alignment horizontal="right" vertical="center" indent="1"/>
    </xf>
    <xf numFmtId="168" fontId="5" fillId="5" borderId="0" applyAlignment="1" pivotButton="0" quotePrefix="0" xfId="0">
      <alignment horizontal="right" vertical="center" indent="1"/>
    </xf>
    <xf numFmtId="0" fontId="3" fillId="2" borderId="12" applyAlignment="1" pivotButton="0" quotePrefix="0" xfId="0">
      <alignment horizontal="left" vertical="center" indent="1"/>
    </xf>
    <xf numFmtId="0" fontId="25" fillId="2" borderId="17" applyAlignment="1" pivotButton="0" quotePrefix="0" xfId="0">
      <alignment horizontal="left" vertical="center" indent="1"/>
    </xf>
    <xf numFmtId="166" fontId="8" fillId="2" borderId="17" applyAlignment="1" pivotButton="0" quotePrefix="0" xfId="0">
      <alignment horizontal="right" vertical="center" indent="1"/>
    </xf>
    <xf numFmtId="0" fontId="25" fillId="7" borderId="84" applyAlignment="1" pivotButton="0" quotePrefix="0" xfId="0">
      <alignment horizontal="left" vertical="center" indent="1"/>
    </xf>
    <xf numFmtId="168" fontId="8" fillId="2" borderId="17" applyAlignment="1" pivotButton="0" quotePrefix="0" xfId="0">
      <alignment horizontal="right" vertical="center" indent="1"/>
    </xf>
    <xf numFmtId="168" fontId="8" fillId="2" borderId="89" applyAlignment="1" pivotButton="0" quotePrefix="0" xfId="0">
      <alignment horizontal="right" vertical="center" indent="1"/>
    </xf>
    <xf numFmtId="0" fontId="25" fillId="4" borderId="25" applyAlignment="1" pivotButton="0" quotePrefix="0" xfId="0">
      <alignment horizontal="left" vertical="center" indent="1"/>
    </xf>
    <xf numFmtId="168" fontId="8" fillId="0" borderId="48" applyAlignment="1" pivotButton="0" quotePrefix="0" xfId="0">
      <alignment horizontal="right" vertical="center" indent="1"/>
    </xf>
    <xf numFmtId="168" fontId="8" fillId="0" borderId="107" applyAlignment="1" pivotButton="0" quotePrefix="0" xfId="0">
      <alignment horizontal="right" vertical="center" indent="1"/>
    </xf>
    <xf numFmtId="168" fontId="8" fillId="0" borderId="108" applyAlignment="1" pivotButton="0" quotePrefix="0" xfId="0">
      <alignment horizontal="right" vertical="center" indent="1"/>
    </xf>
    <xf numFmtId="168" fontId="8" fillId="2" borderId="20" applyAlignment="1" pivotButton="0" quotePrefix="0" xfId="0">
      <alignment horizontal="right" vertical="center" indent="1"/>
    </xf>
    <xf numFmtId="168" fontId="8" fillId="2" borderId="55" applyAlignment="1" pivotButton="0" quotePrefix="0" xfId="0">
      <alignment horizontal="right" vertical="center" indent="1"/>
    </xf>
    <xf numFmtId="168" fontId="8" fillId="2" borderId="91" applyAlignment="1" pivotButton="0" quotePrefix="0" xfId="0">
      <alignment horizontal="right" vertical="center" indent="1"/>
    </xf>
    <xf numFmtId="0" fontId="25" fillId="4" borderId="109" applyAlignment="1" pivotButton="0" quotePrefix="0" xfId="0">
      <alignment horizontal="left" vertical="center" indent="1"/>
    </xf>
    <xf numFmtId="168" fontId="8" fillId="2" borderId="110" applyAlignment="1" pivotButton="0" quotePrefix="0" xfId="0">
      <alignment horizontal="right" vertical="center" indent="1"/>
    </xf>
    <xf numFmtId="168" fontId="8" fillId="0" borderId="102" applyAlignment="1" pivotButton="0" quotePrefix="0" xfId="0">
      <alignment horizontal="right" vertical="center" indent="1"/>
    </xf>
    <xf numFmtId="0" fontId="6" fillId="5" borderId="17" applyAlignment="1" pivotButton="0" quotePrefix="0" xfId="0">
      <alignment horizontal="left" vertical="center" indent="1"/>
    </xf>
    <xf numFmtId="168" fontId="7" fillId="5" borderId="64" applyAlignment="1" pivotButton="0" quotePrefix="0" xfId="0">
      <alignment horizontal="right" vertical="center" indent="1"/>
    </xf>
    <xf numFmtId="168" fontId="7" fillId="5" borderId="90" applyAlignment="1" pivotButton="0" quotePrefix="0" xfId="0">
      <alignment horizontal="right" vertical="center" indent="1"/>
    </xf>
    <xf numFmtId="0" fontId="6" fillId="5" borderId="81" applyAlignment="1" pivotButton="0" quotePrefix="0" xfId="0">
      <alignment horizontal="left" vertical="center" indent="1"/>
    </xf>
    <xf numFmtId="168" fontId="7" fillId="5" borderId="20" applyAlignment="1" pivotButton="0" quotePrefix="0" xfId="0">
      <alignment horizontal="right" vertical="center" indent="1"/>
    </xf>
    <xf numFmtId="168" fontId="7" fillId="5" borderId="91" applyAlignment="1" pivotButton="0" quotePrefix="0" xfId="0">
      <alignment horizontal="right" vertical="center" indent="1"/>
    </xf>
    <xf numFmtId="0" fontId="25" fillId="4" borderId="19" applyAlignment="1" pivotButton="0" quotePrefix="0" xfId="0">
      <alignment horizontal="left" vertical="center" indent="3"/>
    </xf>
    <xf numFmtId="0" fontId="25" fillId="4" borderId="17" applyAlignment="1" pivotButton="0" quotePrefix="0" xfId="0">
      <alignment horizontal="left" vertical="center" indent="3"/>
    </xf>
    <xf numFmtId="0" fontId="25" fillId="4" borderId="47" applyAlignment="1" pivotButton="0" quotePrefix="0" xfId="0">
      <alignment horizontal="left" vertical="center" indent="3"/>
    </xf>
    <xf numFmtId="0" fontId="25" fillId="4" borderId="21" applyAlignment="1" pivotButton="0" quotePrefix="0" xfId="0">
      <alignment horizontal="left" vertical="center" indent="3"/>
    </xf>
    <xf numFmtId="0" fontId="25" fillId="2" borderId="17" applyAlignment="1" pivotButton="0" quotePrefix="0" xfId="0">
      <alignment horizontal="left" vertical="center" indent="2"/>
    </xf>
    <xf numFmtId="0" fontId="26" fillId="4" borderId="19" applyAlignment="1" pivotButton="0" quotePrefix="0" xfId="0">
      <alignment horizontal="left" vertical="center" indent="3"/>
    </xf>
    <xf numFmtId="0" fontId="6" fillId="5" borderId="3" applyAlignment="1" pivotButton="0" quotePrefix="0" xfId="0">
      <alignment horizontal="left" vertical="center"/>
    </xf>
    <xf numFmtId="0" fontId="26" fillId="4" borderId="0" applyAlignment="1" pivotButton="0" quotePrefix="0" xfId="0">
      <alignment horizontal="left" vertical="center" indent="3"/>
    </xf>
    <xf numFmtId="0" fontId="26" fillId="4" borderId="47" applyAlignment="1" pivotButton="0" quotePrefix="0" xfId="0">
      <alignment horizontal="left" vertical="center" indent="3"/>
    </xf>
    <xf numFmtId="0" fontId="25" fillId="2" borderId="110" applyAlignment="1" pivotButton="0" quotePrefix="0" xfId="0">
      <alignment horizontal="left" vertical="center" indent="3"/>
    </xf>
    <xf numFmtId="0" fontId="25" fillId="2" borderId="111" applyAlignment="1" pivotButton="0" quotePrefix="0" xfId="0">
      <alignment horizontal="left" vertical="center" indent="3"/>
    </xf>
    <xf numFmtId="168" fontId="8" fillId="2" borderId="109" applyAlignment="1" pivotButton="0" quotePrefix="0" xfId="0">
      <alignment horizontal="right" vertical="center" indent="1"/>
    </xf>
    <xf numFmtId="168" fontId="8" fillId="2" borderId="112" applyAlignment="1" pivotButton="0" quotePrefix="0" xfId="0">
      <alignment horizontal="right" vertical="center" indent="1"/>
    </xf>
    <xf numFmtId="168" fontId="8" fillId="2" borderId="114" applyAlignment="1" pivotButton="0" quotePrefix="0" xfId="0">
      <alignment horizontal="right" vertical="center" indent="1"/>
    </xf>
    <xf numFmtId="168" fontId="8" fillId="2" borderId="113" applyAlignment="1" pivotButton="0" quotePrefix="0" xfId="0">
      <alignment horizontal="right" vertical="center" indent="1"/>
    </xf>
    <xf numFmtId="168" fontId="8" fillId="2" borderId="102" applyAlignment="1" pivotButton="0" quotePrefix="0" xfId="0">
      <alignment horizontal="right" vertical="center" indent="1"/>
    </xf>
    <xf numFmtId="168" fontId="8" fillId="2" borderId="101" applyAlignment="1" pivotButton="0" quotePrefix="0" xfId="0">
      <alignment horizontal="right" vertical="center" indent="1"/>
    </xf>
    <xf numFmtId="0" fontId="15" fillId="4" borderId="1" applyAlignment="1" pivotButton="0" quotePrefix="0" xfId="0">
      <alignment horizontal="left" vertical="center" indent="1"/>
    </xf>
    <xf numFmtId="169" fontId="8" fillId="0" borderId="1" applyAlignment="1" pivotButton="0" quotePrefix="0" xfId="0">
      <alignment horizontal="right" vertical="center" indent="1"/>
    </xf>
    <xf numFmtId="169" fontId="8" fillId="0" borderId="3" applyAlignment="1" pivotButton="0" quotePrefix="0" xfId="0">
      <alignment horizontal="right" vertical="center" indent="1"/>
    </xf>
    <xf numFmtId="169" fontId="8" fillId="0" borderId="7" applyAlignment="1" pivotButton="0" quotePrefix="0" xfId="0">
      <alignment horizontal="right" vertical="center" indent="1"/>
    </xf>
    <xf numFmtId="169" fontId="5" fillId="5" borderId="10" applyAlignment="1" pivotButton="0" quotePrefix="0" xfId="0">
      <alignment horizontal="right" vertical="center" indent="1"/>
    </xf>
    <xf numFmtId="0" fontId="15" fillId="5" borderId="10" applyAlignment="1" pivotButton="0" quotePrefix="0" xfId="0">
      <alignment horizontal="left" vertical="center" indent="1"/>
    </xf>
    <xf numFmtId="38" fontId="15" fillId="2" borderId="1" applyAlignment="1" pivotButton="0" quotePrefix="0" xfId="1">
      <alignment horizontal="right" vertical="center" indent="1"/>
    </xf>
    <xf numFmtId="38" fontId="15" fillId="2" borderId="19" applyAlignment="1" pivotButton="0" quotePrefix="0" xfId="1">
      <alignment horizontal="right" vertical="center" indent="1"/>
    </xf>
    <xf numFmtId="38" fontId="15" fillId="2" borderId="7" applyAlignment="1" pivotButton="0" quotePrefix="0" xfId="1">
      <alignment horizontal="right" vertical="center" indent="1"/>
    </xf>
    <xf numFmtId="38" fontId="15" fillId="2" borderId="3" applyAlignment="1" pivotButton="0" quotePrefix="0" xfId="1">
      <alignment horizontal="right" vertical="center" indent="1"/>
    </xf>
    <xf numFmtId="0" fontId="15" fillId="5" borderId="10" applyAlignment="1" pivotButton="0" quotePrefix="0" xfId="0">
      <alignment horizontal="right" vertical="center" indent="1"/>
    </xf>
    <xf numFmtId="168" fontId="8" fillId="5" borderId="1" applyAlignment="1" pivotButton="0" quotePrefix="0" xfId="0">
      <alignment horizontal="right" vertical="center" indent="1"/>
    </xf>
    <xf numFmtId="168" fontId="8" fillId="2" borderId="1" applyAlignment="1" pivotButton="0" quotePrefix="0" xfId="0">
      <alignment horizontal="right" vertical="center" indent="1"/>
    </xf>
    <xf numFmtId="168" fontId="12" fillId="2" borderId="1" applyAlignment="1" pivotButton="0" quotePrefix="0" xfId="0">
      <alignment horizontal="right" vertical="center" indent="1"/>
    </xf>
    <xf numFmtId="168" fontId="24" fillId="2" borderId="1" applyAlignment="1" pivotButton="0" quotePrefix="0" xfId="0">
      <alignment horizontal="right" vertical="center" indent="1"/>
    </xf>
    <xf numFmtId="168" fontId="8" fillId="5" borderId="19" applyAlignment="1" pivotButton="0" quotePrefix="0" xfId="0">
      <alignment horizontal="right" vertical="center" indent="1"/>
    </xf>
    <xf numFmtId="168" fontId="12" fillId="2" borderId="3" applyAlignment="1" pivotButton="0" quotePrefix="0" xfId="0">
      <alignment horizontal="right" vertical="center" indent="1"/>
    </xf>
    <xf numFmtId="168" fontId="13" fillId="3" borderId="3" applyAlignment="1" pivotButton="0" quotePrefix="0" xfId="0">
      <alignment horizontal="centerContinuous" vertical="center"/>
    </xf>
    <xf numFmtId="0" fontId="3" fillId="2" borderId="115" applyAlignment="1" pivotButton="0" quotePrefix="0" xfId="0">
      <alignment horizontal="left" vertical="center" indent="1"/>
    </xf>
    <xf numFmtId="38" fontId="12" fillId="2" borderId="1" applyAlignment="1" pivotButton="0" quotePrefix="0" xfId="1">
      <alignment horizontal="center" vertical="center"/>
    </xf>
    <xf numFmtId="38" fontId="12" fillId="2" borderId="3" applyAlignment="1" pivotButton="0" quotePrefix="0" xfId="1">
      <alignment horizontal="center" vertical="center"/>
    </xf>
    <xf numFmtId="38" fontId="12" fillId="2" borderId="7" applyAlignment="1" pivotButton="0" quotePrefix="0" xfId="1">
      <alignment horizontal="center" vertical="center"/>
    </xf>
    <xf numFmtId="0" fontId="12" fillId="5" borderId="10" applyAlignment="1" pivotButton="0" quotePrefix="0" xfId="0">
      <alignment horizontal="right" vertical="center" indent="1"/>
    </xf>
    <xf numFmtId="168" fontId="24" fillId="0" borderId="3" applyAlignment="1" pivotButton="0" quotePrefix="0" xfId="0">
      <alignment horizontal="right" vertical="center" indent="1"/>
    </xf>
    <xf numFmtId="168" fontId="12" fillId="2" borderId="19" applyAlignment="1" pivotButton="0" quotePrefix="0" xfId="0">
      <alignment horizontal="right" vertical="center" indent="1"/>
    </xf>
    <xf numFmtId="0" fontId="15" fillId="5" borderId="116" applyAlignment="1" pivotButton="0" quotePrefix="0" xfId="0">
      <alignment horizontal="left" vertical="center" indent="1"/>
    </xf>
    <xf numFmtId="0" fontId="15" fillId="4" borderId="11" applyAlignment="1" pivotButton="0" quotePrefix="0" xfId="0">
      <alignment horizontal="left" vertical="center" indent="1"/>
    </xf>
    <xf numFmtId="0" fontId="15" fillId="7" borderId="11" applyAlignment="1" pivotButton="0" quotePrefix="0" xfId="0">
      <alignment horizontal="left" vertical="center" indent="1"/>
    </xf>
    <xf numFmtId="0" fontId="15" fillId="5" borderId="10" applyAlignment="1" pivotButton="0" quotePrefix="0" xfId="0">
      <alignment horizontal="left" vertical="center" wrapText="1" indent="1"/>
    </xf>
    <xf numFmtId="0" fontId="15" fillId="5" borderId="10" applyAlignment="1" pivotButton="0" quotePrefix="0" xfId="0">
      <alignment horizontal="center" vertical="center" wrapText="1"/>
    </xf>
    <xf numFmtId="168" fontId="8" fillId="0" borderId="112" applyAlignment="1" pivotButton="0" quotePrefix="0" xfId="0">
      <alignment horizontal="right" vertical="center" indent="1"/>
    </xf>
    <xf numFmtId="0" fontId="15" fillId="7" borderId="116" applyAlignment="1" pivotButton="0" quotePrefix="0" xfId="0">
      <alignment horizontal="left" vertical="center" indent="1"/>
    </xf>
    <xf numFmtId="168" fontId="8" fillId="0" borderId="1" applyAlignment="1" pivotButton="0" quotePrefix="0" xfId="0">
      <alignment horizontal="centerContinuous" vertical="center"/>
    </xf>
    <xf numFmtId="168" fontId="8" fillId="0" borderId="119" applyAlignment="1" pivotButton="0" quotePrefix="0" xfId="0">
      <alignment horizontal="centerContinuous" vertical="center"/>
    </xf>
    <xf numFmtId="168" fontId="8" fillId="0" borderId="119" applyAlignment="1" pivotButton="0" quotePrefix="0" xfId="0">
      <alignment horizontal="right" vertical="center"/>
    </xf>
    <xf numFmtId="168" fontId="8" fillId="0" borderId="1" applyAlignment="1" pivotButton="0" quotePrefix="0" xfId="0">
      <alignment horizontal="right" vertical="center"/>
    </xf>
    <xf numFmtId="168" fontId="8" fillId="0" borderId="19" applyAlignment="1" pivotButton="0" quotePrefix="0" xfId="0">
      <alignment horizontal="centerContinuous" vertical="center"/>
    </xf>
    <xf numFmtId="168" fontId="8" fillId="0" borderId="112" applyAlignment="1" pivotButton="0" quotePrefix="0" xfId="0">
      <alignment horizontal="centerContinuous" vertical="center"/>
    </xf>
    <xf numFmtId="0" fontId="15" fillId="5" borderId="120" applyAlignment="1" pivotButton="0" quotePrefix="0" xfId="0">
      <alignment horizontal="left" vertical="center" indent="1"/>
    </xf>
    <xf numFmtId="0" fontId="15" fillId="5" borderId="79" applyAlignment="1" pivotButton="0" quotePrefix="0" xfId="0">
      <alignment horizontal="left" vertical="center" indent="1"/>
    </xf>
    <xf numFmtId="0" fontId="12" fillId="0" borderId="1" applyAlignment="1" pivotButton="0" quotePrefix="0" xfId="0">
      <alignment horizontal="left" vertical="center" indent="1"/>
    </xf>
    <xf numFmtId="0" fontId="12" fillId="0" borderId="11" applyAlignment="1" pivotButton="0" quotePrefix="0" xfId="0">
      <alignment horizontal="left" vertical="center" indent="1"/>
    </xf>
    <xf numFmtId="0" fontId="12" fillId="0" borderId="49" applyAlignment="1" pivotButton="0" quotePrefix="0" xfId="0">
      <alignment horizontal="left" vertical="center" indent="1"/>
    </xf>
    <xf numFmtId="0" fontId="15" fillId="5" borderId="120" applyAlignment="1" pivotButton="0" quotePrefix="0" xfId="0">
      <alignment horizontal="right" vertical="center" indent="1"/>
    </xf>
    <xf numFmtId="0" fontId="15" fillId="5" borderId="79" applyAlignment="1" pivotButton="0" quotePrefix="0" xfId="0">
      <alignment horizontal="right" vertical="center" indent="1"/>
    </xf>
    <xf numFmtId="170" fontId="8" fillId="0" borderId="1" applyAlignment="1" pivotButton="0" quotePrefix="0" xfId="0">
      <alignment horizontal="right" vertical="center" indent="1"/>
    </xf>
    <xf numFmtId="170" fontId="8" fillId="0" borderId="3" applyAlignment="1" pivotButton="0" quotePrefix="0" xfId="0">
      <alignment horizontal="right" vertical="center" indent="1"/>
    </xf>
    <xf numFmtId="170" fontId="8" fillId="0" borderId="19" applyAlignment="1" pivotButton="0" quotePrefix="0" xfId="0">
      <alignment horizontal="right" vertical="center" indent="1"/>
    </xf>
    <xf numFmtId="170" fontId="5" fillId="5" borderId="120" applyAlignment="1" pivotButton="0" quotePrefix="0" xfId="0">
      <alignment horizontal="right" vertical="center" indent="1"/>
    </xf>
    <xf numFmtId="170" fontId="5" fillId="5" borderId="0" applyAlignment="1" pivotButton="0" quotePrefix="0" xfId="0">
      <alignment horizontal="right" vertical="center" indent="1"/>
    </xf>
    <xf numFmtId="0" fontId="37" fillId="2" borderId="16" applyAlignment="1" pivotButton="0" quotePrefix="0" xfId="0">
      <alignment horizontal="left" vertical="center" indent="1"/>
    </xf>
    <xf numFmtId="0" fontId="37" fillId="2" borderId="21" applyAlignment="1" pivotButton="0" quotePrefix="0" xfId="0">
      <alignment horizontal="left" vertical="center" indent="1"/>
    </xf>
    <xf numFmtId="0" fontId="37" fillId="2" borderId="21" applyAlignment="1" pivotButton="0" quotePrefix="0" xfId="0">
      <alignment horizontal="left" vertical="center" wrapText="1" indent="1"/>
    </xf>
    <xf numFmtId="166" fontId="8" fillId="0" borderId="11" applyAlignment="1" pivotButton="0" quotePrefix="0" xfId="1">
      <alignment horizontal="right" vertical="center" indent="1"/>
    </xf>
    <xf numFmtId="166" fontId="8" fillId="0" borderId="3" applyAlignment="1" pivotButton="0" quotePrefix="0" xfId="1">
      <alignment horizontal="right" vertical="center" indent="1"/>
    </xf>
    <xf numFmtId="0" fontId="2" fillId="3" borderId="62" applyAlignment="1" pivotButton="0" quotePrefix="0" xfId="0">
      <alignment vertical="center"/>
    </xf>
    <xf numFmtId="166" fontId="8" fillId="0" borderId="3" applyAlignment="1" pivotButton="0" quotePrefix="0" xfId="1">
      <alignment horizontal="right" vertical="center" indent="1"/>
    </xf>
    <xf numFmtId="0" fontId="2" fillId="3" borderId="59" applyAlignment="1" pivotButton="0" quotePrefix="0" xfId="0">
      <alignment horizontal="centerContinuous" vertical="center"/>
    </xf>
    <xf numFmtId="0" fontId="2" fillId="11" borderId="67" applyAlignment="1" pivotButton="0" quotePrefix="0" xfId="0">
      <alignment horizontal="center" vertical="center" wrapText="1"/>
    </xf>
    <xf numFmtId="0" fontId="2" fillId="11" borderId="121" applyAlignment="1" pivotButton="0" quotePrefix="0" xfId="0">
      <alignment horizontal="center" vertical="center" wrapText="1"/>
    </xf>
    <xf numFmtId="38" fontId="2" fillId="3" borderId="6" applyAlignment="1" pivotButton="0" quotePrefix="0" xfId="0">
      <alignment horizontal="center" vertical="center"/>
    </xf>
    <xf numFmtId="0" fontId="25" fillId="0" borderId="16" applyAlignment="1" pivotButton="0" quotePrefix="0" xfId="0">
      <alignment horizontal="left" vertical="center" indent="1"/>
    </xf>
    <xf numFmtId="0" fontId="25" fillId="0" borderId="18" applyAlignment="1" pivotButton="0" quotePrefix="0" xfId="0">
      <alignment horizontal="left" vertical="center" indent="1"/>
    </xf>
    <xf numFmtId="0" fontId="6" fillId="7" borderId="18" applyAlignment="1" pivotButton="0" quotePrefix="0" xfId="0">
      <alignment horizontal="left" vertical="center" indent="1"/>
    </xf>
    <xf numFmtId="164" fontId="7" fillId="7" borderId="17" applyAlignment="1" pivotButton="0" quotePrefix="0" xfId="0">
      <alignment horizontal="right" vertical="center" indent="1"/>
    </xf>
    <xf numFmtId="0" fontId="38" fillId="7" borderId="21" applyAlignment="1" pivotButton="0" quotePrefix="0" xfId="0">
      <alignment horizontal="left" vertical="center" wrapText="1" indent="1"/>
    </xf>
    <xf numFmtId="0" fontId="40" fillId="0" borderId="47" applyAlignment="1" pivotButton="0" quotePrefix="0" xfId="0">
      <alignment vertical="center"/>
    </xf>
    <xf numFmtId="0" fontId="13" fillId="3" borderId="1" applyAlignment="1" pivotButton="0" quotePrefix="0" xfId="0">
      <alignment horizontal="center" vertical="center"/>
    </xf>
    <xf numFmtId="0" fontId="13" fillId="3" borderId="111" applyAlignment="1" pivotButton="0" quotePrefix="0" xfId="0">
      <alignment horizontal="center" vertical="center"/>
    </xf>
    <xf numFmtId="0" fontId="41" fillId="2" borderId="0" applyAlignment="1" pivotButton="0" quotePrefix="0" xfId="0">
      <alignment vertical="center"/>
    </xf>
    <xf numFmtId="168" fontId="8" fillId="2" borderId="0" applyAlignment="1" pivotButton="0" quotePrefix="0" xfId="0">
      <alignment horizontal="right" vertical="center" indent="1"/>
    </xf>
    <xf numFmtId="168" fontId="8" fillId="2" borderId="20" applyAlignment="1" pivotButton="0" quotePrefix="0" xfId="0">
      <alignment horizontal="right" vertical="center" indent="2"/>
    </xf>
    <xf numFmtId="168" fontId="8" fillId="2" borderId="55" applyAlignment="1" pivotButton="0" quotePrefix="0" xfId="0">
      <alignment horizontal="right" vertical="center" indent="2"/>
    </xf>
    <xf numFmtId="168" fontId="8" fillId="2" borderId="91" applyAlignment="1" pivotButton="0" quotePrefix="0" xfId="0">
      <alignment horizontal="right" vertical="center" indent="2"/>
    </xf>
    <xf numFmtId="0" fontId="12" fillId="4" borderId="7" applyAlignment="1" pivotButton="0" quotePrefix="0" xfId="0">
      <alignment horizontal="left" vertical="center" indent="1"/>
    </xf>
    <xf numFmtId="0" fontId="8" fillId="4" borderId="12" applyAlignment="1" pivotButton="0" quotePrefix="0" xfId="0">
      <alignment horizontal="left" vertical="center" indent="1"/>
    </xf>
    <xf numFmtId="0" fontId="42" fillId="4" borderId="12" applyAlignment="1" pivotButton="0" quotePrefix="0" xfId="0">
      <alignment horizontal="left" vertical="center" indent="1"/>
    </xf>
    <xf numFmtId="0" fontId="8" fillId="4" borderId="0" applyAlignment="1" pivotButton="0" quotePrefix="0" xfId="0">
      <alignment horizontal="left" vertical="center" indent="1"/>
    </xf>
    <xf numFmtId="0" fontId="8" fillId="4" borderId="13" applyAlignment="1" pivotButton="0" quotePrefix="0" xfId="0">
      <alignment horizontal="left" vertical="center" indent="1"/>
    </xf>
    <xf numFmtId="0" fontId="12" fillId="4" borderId="3" applyAlignment="1" pivotButton="0" quotePrefix="0" xfId="0">
      <alignment horizontal="left" vertical="center" indent="1"/>
    </xf>
    <xf numFmtId="0" fontId="12" fillId="4" borderId="19" applyAlignment="1" pivotButton="0" quotePrefix="0" xfId="0">
      <alignment horizontal="left" vertical="center" indent="1"/>
    </xf>
    <xf numFmtId="0" fontId="6" fillId="7" borderId="86" applyAlignment="1" pivotButton="0" quotePrefix="0" xfId="0">
      <alignment horizontal="left" vertical="center" indent="1"/>
    </xf>
    <xf numFmtId="168" fontId="7" fillId="7" borderId="82" applyAlignment="1" pivotButton="0" quotePrefix="0" xfId="0">
      <alignment horizontal="right" vertical="center" indent="1"/>
    </xf>
    <xf numFmtId="168" fontId="7" fillId="7" borderId="83" applyAlignment="1" pivotButton="0" quotePrefix="0" xfId="0">
      <alignment horizontal="right" vertical="center" indent="1"/>
    </xf>
    <xf numFmtId="168" fontId="7" fillId="7" borderId="96" applyAlignment="1" pivotButton="0" quotePrefix="0" xfId="0">
      <alignment horizontal="right" vertical="center" indent="1"/>
    </xf>
    <xf numFmtId="171" fontId="12" fillId="4" borderId="1" applyAlignment="1" pivotButton="0" quotePrefix="0" xfId="0">
      <alignment horizontal="left" vertical="center" indent="1"/>
    </xf>
    <xf numFmtId="168" fontId="12" fillId="4" borderId="1" applyAlignment="1" pivotButton="0" quotePrefix="0" xfId="0">
      <alignment horizontal="left" vertical="center" indent="1"/>
    </xf>
    <xf numFmtId="168" fontId="12" fillId="4" borderId="3" applyAlignment="1" pivotButton="0" quotePrefix="0" xfId="0">
      <alignment horizontal="left" vertical="center" indent="1"/>
    </xf>
    <xf numFmtId="168" fontId="12" fillId="4" borderId="19" applyAlignment="1" pivotButton="0" quotePrefix="0" xfId="0">
      <alignment horizontal="left" vertical="center" indent="1"/>
    </xf>
    <xf numFmtId="0" fontId="12" fillId="4" borderId="11" applyAlignment="1" pivotButton="0" quotePrefix="0" xfId="0">
      <alignment horizontal="left" vertical="center" indent="1"/>
    </xf>
    <xf numFmtId="0" fontId="12" fillId="4" borderId="119" applyAlignment="1" pivotButton="0" quotePrefix="0" xfId="0">
      <alignment horizontal="left" vertical="center" indent="1"/>
    </xf>
    <xf numFmtId="0" fontId="12" fillId="4" borderId="16" applyAlignment="1" pivotButton="0" quotePrefix="0" xfId="0">
      <alignment horizontal="left" vertical="center" indent="1"/>
    </xf>
    <xf numFmtId="0" fontId="12" fillId="4" borderId="17" applyAlignment="1" pivotButton="0" quotePrefix="0" xfId="0">
      <alignment horizontal="center" vertical="center"/>
    </xf>
    <xf numFmtId="0" fontId="12" fillId="4" borderId="22" applyAlignment="1" pivotButton="0" quotePrefix="0" xfId="0">
      <alignment horizontal="center" vertical="center"/>
    </xf>
    <xf numFmtId="0" fontId="12" fillId="4" borderId="16" applyAlignment="1" pivotButton="0" quotePrefix="0" xfId="0">
      <alignment horizontal="center" vertical="center"/>
    </xf>
    <xf numFmtId="0" fontId="25" fillId="4" borderId="16" applyAlignment="1" pivotButton="0" quotePrefix="0" xfId="0">
      <alignment horizontal="center" vertical="center"/>
    </xf>
    <xf numFmtId="172" fontId="8" fillId="2" borderId="16" applyAlignment="1" pivotButton="0" quotePrefix="0" xfId="0">
      <alignment horizontal="right" vertical="center" indent="1"/>
    </xf>
    <xf numFmtId="0" fontId="26" fillId="4" borderId="18" applyAlignment="1" pivotButton="0" quotePrefix="0" xfId="0">
      <alignment horizontal="center" vertical="center"/>
    </xf>
    <xf numFmtId="0" fontId="25" fillId="2" borderId="22" applyAlignment="1" pivotButton="0" quotePrefix="0" xfId="0">
      <alignment horizontal="left" vertical="center" indent="1"/>
    </xf>
    <xf numFmtId="0" fontId="25" fillId="2" borderId="22" applyAlignment="1" pivotButton="0" quotePrefix="0" xfId="0">
      <alignment horizontal="right" vertical="center" indent="1"/>
    </xf>
    <xf numFmtId="0" fontId="25" fillId="4" borderId="18" applyAlignment="1" pivotButton="0" quotePrefix="0" xfId="0">
      <alignment horizontal="center" vertical="center"/>
    </xf>
    <xf numFmtId="0" fontId="44" fillId="3" borderId="5" applyAlignment="1" pivotButton="0" quotePrefix="0" xfId="0">
      <alignment horizontal="center" vertical="center"/>
    </xf>
    <xf numFmtId="0" fontId="26" fillId="7" borderId="22" applyAlignment="1" pivotButton="0" quotePrefix="0" xfId="0">
      <alignment horizontal="center" vertical="center"/>
    </xf>
    <xf numFmtId="0" fontId="25" fillId="4" borderId="16" applyAlignment="1" pivotButton="0" quotePrefix="0" xfId="0">
      <alignment horizontal="left" vertical="center" indent="1"/>
    </xf>
    <xf numFmtId="0" fontId="25" fillId="4" borderId="18" applyAlignment="1" pivotButton="0" quotePrefix="0" xfId="0">
      <alignment horizontal="left" vertical="center" indent="1"/>
    </xf>
    <xf numFmtId="0" fontId="13" fillId="3" borderId="49" applyAlignment="1" pivotButton="0" quotePrefix="0" xfId="0">
      <alignment horizontal="center" vertical="center"/>
    </xf>
    <xf numFmtId="0" fontId="0" fillId="12" borderId="0" applyAlignment="1" pivotButton="0" quotePrefix="0" xfId="0">
      <alignment vertical="center"/>
    </xf>
    <xf numFmtId="0" fontId="0" fillId="13" borderId="0" applyAlignment="1" pivotButton="0" quotePrefix="0" xfId="0">
      <alignment vertical="center"/>
    </xf>
    <xf numFmtId="0" fontId="0" fillId="7" borderId="0" applyAlignment="1" pivotButton="0" quotePrefix="0" xfId="0">
      <alignment vertical="center"/>
    </xf>
    <xf numFmtId="0" fontId="0" fillId="6" borderId="0" applyAlignment="1" pivotButton="0" quotePrefix="0" xfId="0">
      <alignment vertical="center"/>
    </xf>
    <xf numFmtId="0" fontId="15" fillId="7" borderId="10" applyAlignment="1" pivotButton="0" quotePrefix="0" xfId="0">
      <alignment horizontal="left" vertical="center" indent="1"/>
    </xf>
    <xf numFmtId="0" fontId="15" fillId="7" borderId="57" applyAlignment="1" pivotButton="0" quotePrefix="0" xfId="0">
      <alignment horizontal="left" vertical="center" indent="1"/>
    </xf>
    <xf numFmtId="0" fontId="15" fillId="13" borderId="56" applyAlignment="1" pivotButton="0" quotePrefix="0" xfId="0">
      <alignment horizontal="left" vertical="center" indent="1"/>
    </xf>
    <xf numFmtId="166" fontId="7" fillId="13" borderId="56" applyAlignment="1" pivotButton="0" quotePrefix="0" xfId="0">
      <alignment vertical="center"/>
    </xf>
    <xf numFmtId="0" fontId="15" fillId="13" borderId="57" applyAlignment="1" pivotButton="0" quotePrefix="0" xfId="0">
      <alignment horizontal="left" vertical="center" indent="1"/>
    </xf>
    <xf numFmtId="166" fontId="7" fillId="13" borderId="57" applyAlignment="1" pivotButton="0" quotePrefix="0" xfId="0">
      <alignment vertical="center"/>
    </xf>
    <xf numFmtId="168" fontId="8" fillId="7" borderId="1" applyAlignment="1" pivotButton="0" quotePrefix="0" xfId="0">
      <alignment horizontal="right" vertical="center" indent="1"/>
    </xf>
    <xf numFmtId="0" fontId="12" fillId="4" borderId="25" applyAlignment="1" pivotButton="0" quotePrefix="0" xfId="0">
      <alignment horizontal="left" vertical="center" indent="2"/>
    </xf>
    <xf numFmtId="0" fontId="12" fillId="4" borderId="49" applyAlignment="1" pivotButton="0" quotePrefix="0" xfId="0">
      <alignment horizontal="left" vertical="center" indent="2"/>
    </xf>
    <xf numFmtId="0" fontId="12" fillId="4" borderId="122" applyAlignment="1" pivotButton="0" quotePrefix="0" xfId="0">
      <alignment horizontal="left" vertical="center" indent="2"/>
    </xf>
    <xf numFmtId="168" fontId="7" fillId="0" borderId="50" applyAlignment="1" pivotButton="0" quotePrefix="0" xfId="0">
      <alignment horizontal="right" vertical="center" indent="1"/>
    </xf>
    <xf numFmtId="168" fontId="18" fillId="0" borderId="33" applyAlignment="1" pivotButton="0" quotePrefix="0" xfId="0">
      <alignment vertical="center"/>
    </xf>
    <xf numFmtId="168" fontId="19" fillId="0" borderId="0" applyAlignment="1" pivotButton="0" quotePrefix="0" xfId="0">
      <alignment horizontal="center" vertical="center"/>
    </xf>
    <xf numFmtId="168" fontId="19" fillId="0" borderId="0" applyAlignment="1" pivotButton="0" quotePrefix="0" xfId="0">
      <alignment vertical="center"/>
    </xf>
    <xf numFmtId="168" fontId="17" fillId="0" borderId="0" applyAlignment="1" pivotButton="0" quotePrefix="0" xfId="0">
      <alignment horizontal="center" vertical="center"/>
    </xf>
    <xf numFmtId="168" fontId="17" fillId="0" borderId="0" applyAlignment="1" pivotButton="0" quotePrefix="0" xfId="0">
      <alignment vertical="center"/>
    </xf>
    <xf numFmtId="168" fontId="7" fillId="7" borderId="3" applyAlignment="1" pivotButton="0" quotePrefix="0" xfId="0">
      <alignment horizontal="right" vertical="center" indent="1"/>
    </xf>
    <xf numFmtId="168" fontId="45" fillId="0" borderId="57" applyAlignment="1" pivotButton="0" quotePrefix="0" xfId="0">
      <alignment vertical="center"/>
    </xf>
    <xf numFmtId="168" fontId="8" fillId="0" borderId="25" applyAlignment="1" pivotButton="0" quotePrefix="0" xfId="0">
      <alignment horizontal="right" vertical="center"/>
    </xf>
    <xf numFmtId="168" fontId="46" fillId="0" borderId="19" applyAlignment="1" pivotButton="0" quotePrefix="0" xfId="0">
      <alignment horizontal="right" vertical="center"/>
    </xf>
    <xf numFmtId="168" fontId="8" fillId="0" borderId="19" applyAlignment="1" pivotButton="0" quotePrefix="0" xfId="0">
      <alignment horizontal="right" vertical="center"/>
    </xf>
    <xf numFmtId="168" fontId="8" fillId="0" borderId="109" applyAlignment="1" pivotButton="0" quotePrefix="0" xfId="0">
      <alignment horizontal="right" vertical="center"/>
    </xf>
    <xf numFmtId="168" fontId="8" fillId="0" borderId="20" applyAlignment="1" pivotButton="0" quotePrefix="0" xfId="0">
      <alignment horizontal="right" vertical="center"/>
    </xf>
    <xf numFmtId="166" fontId="7" fillId="13" borderId="57" applyAlignment="1" pivotButton="0" quotePrefix="0" xfId="0">
      <alignment horizontal="right" vertical="center" indent="1"/>
    </xf>
    <xf numFmtId="168" fontId="8" fillId="2" borderId="19" applyAlignment="1" pivotButton="0" quotePrefix="0" xfId="0">
      <alignment horizontal="right" vertical="center" indent="1"/>
    </xf>
    <xf numFmtId="168" fontId="7" fillId="5" borderId="3" applyAlignment="1" pivotButton="0" quotePrefix="0" xfId="0">
      <alignment horizontal="right" vertical="center" indent="1"/>
    </xf>
    <xf numFmtId="168" fontId="28" fillId="3" borderId="85" applyAlignment="1" pivotButton="0" quotePrefix="0" xfId="0">
      <alignment horizontal="right" vertical="center" indent="1"/>
    </xf>
    <xf numFmtId="168" fontId="39" fillId="0" borderId="0" applyAlignment="1" pivotButton="0" quotePrefix="0" xfId="0">
      <alignment vertical="center"/>
    </xf>
    <xf numFmtId="168" fontId="28" fillId="3" borderId="64" applyAlignment="1" pivotButton="0" quotePrefix="0" xfId="0">
      <alignment horizontal="right" vertical="center" indent="1"/>
    </xf>
    <xf numFmtId="168" fontId="2" fillId="3" borderId="5" applyAlignment="1" pivotButton="0" quotePrefix="0" xfId="0">
      <alignment horizontal="centerContinuous" vertical="center"/>
    </xf>
    <xf numFmtId="168" fontId="2" fillId="3" borderId="61" applyAlignment="1" pivotButton="0" quotePrefix="0" xfId="0">
      <alignment horizontal="centerContinuous" vertical="center"/>
    </xf>
    <xf numFmtId="168" fontId="2" fillId="3" borderId="6" applyAlignment="1" pivotButton="0" quotePrefix="0" xfId="0">
      <alignment horizontal="centerContinuous" vertical="center"/>
    </xf>
    <xf numFmtId="168" fontId="8" fillId="7" borderId="22" applyAlignment="1" pivotButton="0" quotePrefix="0" xfId="0">
      <alignment horizontal="right" vertical="center" indent="1"/>
    </xf>
    <xf numFmtId="168" fontId="8" fillId="0" borderId="22" applyAlignment="1" pivotButton="0" quotePrefix="0" xfId="0">
      <alignment horizontal="right" vertical="center" indent="1"/>
    </xf>
    <xf numFmtId="168" fontId="8" fillId="0" borderId="106" applyAlignment="1" pivotButton="0" quotePrefix="0" xfId="0">
      <alignment horizontal="right" vertical="center" indent="1"/>
    </xf>
    <xf numFmtId="168" fontId="8" fillId="0" borderId="105" applyAlignment="1" pivotButton="0" quotePrefix="0" xfId="0">
      <alignment horizontal="right" vertical="center" indent="1"/>
    </xf>
    <xf numFmtId="168" fontId="8" fillId="7" borderId="49" applyAlignment="1" pivotButton="0" quotePrefix="0" xfId="0">
      <alignment horizontal="right" vertical="center" indent="1"/>
    </xf>
    <xf numFmtId="168" fontId="8" fillId="7" borderId="19" applyAlignment="1" pivotButton="0" quotePrefix="0" xfId="0">
      <alignment horizontal="right" vertical="center" indent="1"/>
    </xf>
    <xf numFmtId="168" fontId="28" fillId="3" borderId="60" applyAlignment="1" pivotButton="0" quotePrefix="0" xfId="0">
      <alignment horizontal="right" vertical="center" indent="1"/>
    </xf>
    <xf numFmtId="168" fontId="28" fillId="3" borderId="67" applyAlignment="1" pivotButton="0" quotePrefix="0" xfId="0">
      <alignment horizontal="right" vertical="center" indent="1"/>
    </xf>
    <xf numFmtId="168" fontId="0" fillId="0" borderId="47" applyAlignment="1" pivotButton="0" quotePrefix="0" xfId="0">
      <alignment vertical="center"/>
    </xf>
    <xf numFmtId="168" fontId="40" fillId="0" borderId="47" applyAlignment="1" pivotButton="0" quotePrefix="0" xfId="0">
      <alignment vertical="center"/>
    </xf>
    <xf numFmtId="168" fontId="8" fillId="10" borderId="79" applyAlignment="1" pivotButton="0" quotePrefix="0" xfId="0">
      <alignment horizontal="right" vertical="center" indent="1"/>
    </xf>
    <xf numFmtId="168" fontId="8" fillId="10" borderId="67" applyAlignment="1" pivotButton="0" quotePrefix="0" xfId="0">
      <alignment horizontal="right" vertical="center" indent="1"/>
    </xf>
    <xf numFmtId="168" fontId="7" fillId="7" borderId="22" applyAlignment="1" pivotButton="0" quotePrefix="0" xfId="0">
      <alignment horizontal="right" vertical="center" indent="1"/>
    </xf>
    <xf numFmtId="168" fontId="29" fillId="0" borderId="22" applyAlignment="1" pivotButton="0" quotePrefix="0" xfId="0">
      <alignment horizontal="right" vertical="center" indent="1"/>
    </xf>
    <xf numFmtId="168" fontId="0" fillId="0" borderId="49" applyAlignment="1" pivotButton="0" quotePrefix="0" xfId="0">
      <alignment vertical="center"/>
    </xf>
    <xf numFmtId="168" fontId="7" fillId="7" borderId="11" applyAlignment="1" pivotButton="0" quotePrefix="0" xfId="0">
      <alignment horizontal="right" vertical="center" indent="1"/>
    </xf>
    <xf numFmtId="173" fontId="47" fillId="0" borderId="0" applyAlignment="1" pivotButton="0" quotePrefix="0" xfId="0">
      <alignment horizontal="center" vertical="center"/>
    </xf>
    <xf numFmtId="0" fontId="48" fillId="0" borderId="0" applyAlignment="1" pivotButton="0" quotePrefix="0" xfId="0">
      <alignment vertical="center"/>
    </xf>
    <xf numFmtId="0" fontId="47" fillId="0" borderId="0" applyAlignment="1" pivotButton="0" quotePrefix="0" xfId="0">
      <alignment vertical="center"/>
    </xf>
    <xf numFmtId="173" fontId="47" fillId="0" borderId="0" applyAlignment="1" pivotButton="0" quotePrefix="0" xfId="0">
      <alignment vertical="center"/>
    </xf>
    <xf numFmtId="173" fontId="51" fillId="2" borderId="123" applyAlignment="1" pivotButton="0" quotePrefix="0" xfId="0">
      <alignment horizontal="center" vertical="center"/>
    </xf>
    <xf numFmtId="173" fontId="14" fillId="0" borderId="0" applyAlignment="1" pivotButton="0" quotePrefix="0" xfId="0">
      <alignment horizontal="center" vertical="center"/>
    </xf>
    <xf numFmtId="0" fontId="15" fillId="0" borderId="0" applyAlignment="1" pivotButton="0" quotePrefix="0" xfId="0">
      <alignment vertical="center"/>
    </xf>
    <xf numFmtId="0" fontId="15" fillId="0" borderId="0" applyAlignment="1" pivotButton="0" quotePrefix="0" xfId="0">
      <alignment horizontal="left" vertical="center"/>
    </xf>
    <xf numFmtId="0" fontId="14" fillId="0" borderId="0" applyAlignment="1" pivotButton="0" quotePrefix="0" xfId="0">
      <alignment horizontal="center" vertical="center"/>
    </xf>
    <xf numFmtId="173" fontId="14" fillId="15" borderId="123" applyAlignment="1" pivotButton="0" quotePrefix="0" xfId="0">
      <alignment horizontal="center" vertical="center"/>
    </xf>
    <xf numFmtId="173" fontId="14" fillId="16" borderId="123" applyAlignment="1" pivotButton="0" quotePrefix="0" xfId="0">
      <alignment horizontal="center" vertical="center"/>
    </xf>
    <xf numFmtId="173" fontId="14" fillId="0" borderId="0" applyAlignment="1" pivotButton="0" quotePrefix="0" xfId="0">
      <alignment vertical="center"/>
    </xf>
    <xf numFmtId="173" fontId="52" fillId="12" borderId="124" applyAlignment="1" pivotButton="0" quotePrefix="0" xfId="0">
      <alignment horizontal="center" vertical="center"/>
    </xf>
    <xf numFmtId="0" fontId="52" fillId="12" borderId="124" applyAlignment="1" pivotButton="0" quotePrefix="0" xfId="0">
      <alignment horizontal="center" vertical="center"/>
    </xf>
    <xf numFmtId="173" fontId="14" fillId="8" borderId="124" applyAlignment="1" pivotButton="0" quotePrefix="0" xfId="0">
      <alignment horizontal="center" vertical="center"/>
    </xf>
    <xf numFmtId="0" fontId="14" fillId="8" borderId="124" applyAlignment="1" pivotButton="0" quotePrefix="0" xfId="0">
      <alignment horizontal="centerContinuous" vertical="center"/>
    </xf>
    <xf numFmtId="173" fontId="14" fillId="0" borderId="124" applyAlignment="1" pivotButton="0" quotePrefix="0" xfId="0">
      <alignment horizontal="center" vertical="center"/>
    </xf>
    <xf numFmtId="0" fontId="14" fillId="0" borderId="124" applyAlignment="1" pivotButton="0" quotePrefix="0" xfId="0">
      <alignment vertical="center"/>
    </xf>
    <xf numFmtId="0" fontId="14" fillId="13" borderId="124" applyAlignment="1" pivotButton="0" quotePrefix="0" xfId="0">
      <alignment horizontal="center" vertical="center"/>
    </xf>
    <xf numFmtId="0" fontId="14" fillId="14" borderId="124" applyAlignment="1" pivotButton="0" quotePrefix="0" xfId="0">
      <alignment horizontal="center" vertical="center"/>
    </xf>
    <xf numFmtId="173" fontId="14" fillId="15" borderId="124" applyAlignment="1" pivotButton="0" quotePrefix="0" xfId="0">
      <alignment horizontal="center" vertical="center"/>
    </xf>
    <xf numFmtId="173" fontId="14" fillId="16" borderId="124" applyAlignment="1" pivotButton="0" quotePrefix="0" xfId="0">
      <alignment horizontal="center" vertical="center"/>
    </xf>
    <xf numFmtId="173" fontId="14" fillId="13" borderId="124" applyAlignment="1" pivotButton="0" quotePrefix="0" xfId="0">
      <alignment horizontal="center" vertical="center"/>
    </xf>
    <xf numFmtId="0" fontId="20" fillId="13" borderId="124" applyAlignment="1" pivotButton="0" quotePrefix="0" xfId="0">
      <alignment horizontal="center" vertical="center"/>
    </xf>
    <xf numFmtId="173" fontId="49" fillId="12" borderId="124" applyAlignment="1" pivotButton="0" quotePrefix="0" xfId="0">
      <alignment horizontal="centerContinuous" vertical="center"/>
    </xf>
    <xf numFmtId="172" fontId="50" fillId="12" borderId="124" applyAlignment="1" pivotButton="0" quotePrefix="0" xfId="0">
      <alignment horizontal="center" vertical="center"/>
    </xf>
    <xf numFmtId="172" fontId="51" fillId="15" borderId="124" applyAlignment="1" pivotButton="0" quotePrefix="0" xfId="0">
      <alignment horizontal="center" vertical="center"/>
    </xf>
    <xf numFmtId="172" fontId="53" fillId="16" borderId="124" applyAlignment="1" pivotButton="0" quotePrefix="0" xfId="0">
      <alignment horizontal="center" vertical="center"/>
    </xf>
    <xf numFmtId="173" fontId="47" fillId="6" borderId="124" applyAlignment="1" pivotButton="0" quotePrefix="0" xfId="0">
      <alignment horizontal="center" vertical="center"/>
    </xf>
    <xf numFmtId="173" fontId="47" fillId="2" borderId="124" applyAlignment="1" pivotButton="0" quotePrefix="0" xfId="0">
      <alignment horizontal="center" vertical="center"/>
    </xf>
    <xf numFmtId="173" fontId="51" fillId="2" borderId="124" applyAlignment="1" pivotButton="0" quotePrefix="0" xfId="0">
      <alignment horizontal="center" vertical="center"/>
    </xf>
    <xf numFmtId="173" fontId="47" fillId="0" borderId="124" applyAlignment="1" pivotButton="0" quotePrefix="0" xfId="0">
      <alignment horizontal="center" vertical="center"/>
    </xf>
    <xf numFmtId="173" fontId="54" fillId="6" borderId="124" applyAlignment="1" pivotButton="0" quotePrefix="0" xfId="0">
      <alignment horizontal="center" vertical="center"/>
    </xf>
    <xf numFmtId="0" fontId="55" fillId="0" borderId="0" applyAlignment="1" pivotButton="0" quotePrefix="0" xfId="0">
      <alignment vertical="center"/>
    </xf>
    <xf numFmtId="168" fontId="15" fillId="5" borderId="10" applyAlignment="1" pivotButton="0" quotePrefix="0" xfId="0">
      <alignment horizontal="center" vertical="center" wrapText="1"/>
    </xf>
    <xf numFmtId="168" fontId="5" fillId="7" borderId="118" applyAlignment="1" pivotButton="0" quotePrefix="0" xfId="0">
      <alignment horizontal="right" vertical="center" indent="1"/>
    </xf>
    <xf numFmtId="168" fontId="5" fillId="7" borderId="117" applyAlignment="1" pivotButton="0" quotePrefix="0" xfId="0">
      <alignment horizontal="right" vertical="center" indent="1"/>
    </xf>
    <xf numFmtId="168" fontId="36" fillId="5" borderId="10" applyAlignment="1" pivotButton="0" quotePrefix="0" xfId="0">
      <alignment horizontal="right" vertical="center" indent="1"/>
    </xf>
    <xf numFmtId="168" fontId="36" fillId="5" borderId="117" applyAlignment="1" pivotButton="0" quotePrefix="0" xfId="0">
      <alignment horizontal="right" vertical="center" indent="1"/>
    </xf>
    <xf numFmtId="0" fontId="40" fillId="0" borderId="0" applyAlignment="1" pivotButton="0" quotePrefix="0" xfId="0">
      <alignment horizontal="center" vertical="center"/>
    </xf>
    <xf numFmtId="0" fontId="40" fillId="8" borderId="0" applyAlignment="1" pivotButton="0" quotePrefix="0" xfId="0">
      <alignment horizontal="centerContinuous" vertical="center"/>
    </xf>
    <xf numFmtId="0" fontId="0" fillId="8" borderId="0" applyAlignment="1" pivotButton="0" quotePrefix="0" xfId="0">
      <alignment horizontal="centerContinuous" vertical="center"/>
    </xf>
    <xf numFmtId="165" fontId="7" fillId="0" borderId="20" applyAlignment="1" pivotButton="0" quotePrefix="0" xfId="0">
      <alignment horizontal="right" vertical="center" indent="1"/>
    </xf>
    <xf numFmtId="165" fontId="7" fillId="0" borderId="17" applyAlignment="1" pivotButton="0" quotePrefix="0" xfId="0">
      <alignment horizontal="right" vertical="center" indent="1"/>
    </xf>
    <xf numFmtId="165" fontId="0" fillId="0" borderId="0" applyAlignment="1" pivotButton="0" quotePrefix="0" xfId="0">
      <alignment vertical="center"/>
    </xf>
    <xf numFmtId="165" fontId="0" fillId="0" borderId="47" applyAlignment="1" pivotButton="0" quotePrefix="0" xfId="0">
      <alignment vertical="center"/>
    </xf>
    <xf numFmtId="165" fontId="29" fillId="0" borderId="17" applyAlignment="1" pivotButton="0" quotePrefix="0" xfId="0">
      <alignment horizontal="right" vertical="center" indent="1"/>
    </xf>
    <xf numFmtId="165" fontId="0" fillId="0" borderId="19" applyAlignment="1" pivotButton="0" quotePrefix="0" xfId="0">
      <alignment vertical="center"/>
    </xf>
    <xf numFmtId="165" fontId="0" fillId="0" borderId="49" applyAlignment="1" pivotButton="0" quotePrefix="0" xfId="0">
      <alignment vertical="center"/>
    </xf>
    <xf numFmtId="165" fontId="2" fillId="3" borderId="73" applyAlignment="1" pivotButton="0" quotePrefix="0" xfId="0">
      <alignment horizontal="centerContinuous" vertical="center"/>
    </xf>
    <xf numFmtId="165" fontId="2" fillId="3" borderId="75" applyAlignment="1" pivotButton="0" quotePrefix="0" xfId="0">
      <alignment horizontal="center" vertical="center"/>
    </xf>
    <xf numFmtId="165" fontId="2" fillId="3" borderId="0" applyAlignment="1" pivotButton="0" quotePrefix="0" xfId="0">
      <alignment horizontal="centerContinuous" vertical="center"/>
    </xf>
    <xf numFmtId="165" fontId="2" fillId="3" borderId="60" applyAlignment="1" pivotButton="0" quotePrefix="0" xfId="0">
      <alignment horizontal="center" vertical="center"/>
    </xf>
    <xf numFmtId="165" fontId="2" fillId="3" borderId="75" applyAlignment="1" pivotButton="0" quotePrefix="0" xfId="0">
      <alignment horizontal="centerContinuous" vertical="center"/>
    </xf>
    <xf numFmtId="165" fontId="2" fillId="3" borderId="77" applyAlignment="1" pivotButton="0" quotePrefix="0" xfId="0">
      <alignment horizontal="centerContinuous" vertical="center"/>
    </xf>
    <xf numFmtId="165" fontId="2" fillId="11" borderId="73" applyAlignment="1" pivotButton="0" quotePrefix="0" xfId="0">
      <alignment horizontal="centerContinuous" vertical="center"/>
    </xf>
    <xf numFmtId="165" fontId="2" fillId="11" borderId="75" applyAlignment="1" pivotButton="0" quotePrefix="0" xfId="0">
      <alignment horizontal="center" vertical="center"/>
    </xf>
    <xf numFmtId="166" fontId="56" fillId="0" borderId="3" applyAlignment="1" pivotButton="0" quotePrefix="0" xfId="1">
      <alignment horizontal="right" vertical="center" indent="1"/>
    </xf>
    <xf numFmtId="168" fontId="24" fillId="2" borderId="112" applyAlignment="1" pivotButton="0" quotePrefix="0" xfId="0">
      <alignment horizontal="right" vertical="center" indent="1"/>
    </xf>
    <xf numFmtId="0" fontId="26" fillId="4" borderId="0" applyAlignment="1" pivotButton="0" quotePrefix="0" xfId="0">
      <alignment horizontal="left" vertical="center" indent="2"/>
    </xf>
    <xf numFmtId="0" fontId="2" fillId="3" borderId="47" applyAlignment="1" pivotButton="0" quotePrefix="0" xfId="0">
      <alignment horizontal="center" vertical="center"/>
    </xf>
    <xf numFmtId="0" fontId="2" fillId="3" borderId="52" applyAlignment="1" pivotButton="0" quotePrefix="0" xfId="0">
      <alignment horizontal="center" vertical="center"/>
    </xf>
    <xf numFmtId="0" fontId="2" fillId="3" borderId="58" applyAlignment="1" pivotButton="0" quotePrefix="0" xfId="0">
      <alignment horizontal="center" vertical="center"/>
    </xf>
    <xf numFmtId="0" fontId="13" fillId="3" borderId="47" applyAlignment="1" pivotButton="0" quotePrefix="0" xfId="0">
      <alignment horizontal="center" vertical="center"/>
    </xf>
    <xf numFmtId="0" fontId="13" fillId="3" borderId="58" applyAlignment="1" pivotButton="0" quotePrefix="0" xfId="0">
      <alignment horizontal="center" vertical="center"/>
    </xf>
    <xf numFmtId="0" fontId="13" fillId="3" borderId="19" applyAlignment="1" pivotButton="0" quotePrefix="0" xfId="0">
      <alignment horizontal="center" vertical="center"/>
    </xf>
    <xf numFmtId="0" fontId="13" fillId="3" borderId="59" applyAlignment="1" pivotButton="0" quotePrefix="0" xfId="0">
      <alignment horizontal="center" vertical="center"/>
    </xf>
    <xf numFmtId="0" fontId="13" fillId="3" borderId="60" applyAlignment="1" pivotButton="0" quotePrefix="0" xfId="0">
      <alignment horizontal="center" vertical="center"/>
    </xf>
    <xf numFmtId="0" fontId="13" fillId="3" borderId="59" applyAlignment="1" pivotButton="0" quotePrefix="0" xfId="0">
      <alignment horizontal="center" vertical="center" wrapText="1"/>
    </xf>
    <xf numFmtId="0" fontId="13" fillId="3" borderId="19" applyAlignment="1" pivotButton="0" quotePrefix="0" xfId="0">
      <alignment horizontal="center" vertical="center" wrapText="1"/>
    </xf>
    <xf numFmtId="164" fontId="12" fillId="4" borderId="1" applyAlignment="1" pivotButton="0" quotePrefix="0" xfId="0">
      <alignment horizontal="center" vertical="center"/>
    </xf>
    <xf numFmtId="164" fontId="12" fillId="4" borderId="19" applyAlignment="1" pivotButton="0" quotePrefix="0" xfId="0">
      <alignment horizontal="center" vertical="center"/>
    </xf>
    <xf numFmtId="164" fontId="12" fillId="4" borderId="17" applyAlignment="1" pivotButton="0" quotePrefix="0" xfId="0">
      <alignment horizontal="center" vertical="center"/>
    </xf>
    <xf numFmtId="164" fontId="12" fillId="0" borderId="1" applyAlignment="1" pivotButton="0" quotePrefix="0" xfId="0">
      <alignment horizontal="center" vertical="center"/>
    </xf>
    <xf numFmtId="164" fontId="12" fillId="0" borderId="19" applyAlignment="1" pivotButton="0" quotePrefix="0" xfId="0">
      <alignment horizontal="center" vertical="center"/>
    </xf>
    <xf numFmtId="164" fontId="12" fillId="0" borderId="17" applyAlignment="1" pivotButton="0" quotePrefix="0" xfId="0">
      <alignment horizontal="center" vertical="center"/>
    </xf>
    <xf numFmtId="0" fontId="6" fillId="2" borderId="0" applyAlignment="1" pivotButton="0" quotePrefix="0" xfId="0">
      <alignment horizontal="left" vertical="center" indent="1"/>
    </xf>
    <xf numFmtId="173" fontId="49" fillId="12" borderId="124" applyAlignment="1" pivotButton="0" quotePrefix="0" xfId="0">
      <alignment horizontal="center" vertical="center"/>
    </xf>
    <xf numFmtId="173" fontId="17" fillId="13" borderId="124" applyAlignment="1" pivotButton="0" quotePrefix="0" xfId="0">
      <alignment horizontal="center" vertical="center"/>
    </xf>
    <xf numFmtId="0" fontId="14" fillId="13" borderId="124" applyAlignment="1" pivotButton="0" quotePrefix="0" xfId="0">
      <alignment horizontal="center" vertical="center"/>
    </xf>
    <xf numFmtId="0" fontId="20" fillId="13" borderId="124" applyAlignment="1" pivotButton="0" quotePrefix="0" xfId="0">
      <alignment horizontal="center" vertical="center"/>
    </xf>
    <xf numFmtId="0" fontId="14" fillId="14" borderId="124" applyAlignment="1" pivotButton="0" quotePrefix="0" xfId="0">
      <alignment horizontal="center" vertical="center"/>
    </xf>
    <xf numFmtId="0" fontId="25" fillId="4" borderId="2" applyAlignment="1" pivotButton="0" quotePrefix="0" xfId="0">
      <alignment horizontal="left" vertical="center" indent="1"/>
    </xf>
    <xf numFmtId="0" fontId="25" fillId="4" borderId="22" applyAlignment="1" pivotButton="0" quotePrefix="0" xfId="0">
      <alignment horizontal="left" vertical="center" indent="1"/>
    </xf>
    <xf numFmtId="0" fontId="25" fillId="4" borderId="25" applyAlignment="1" pivotButton="0" quotePrefix="0" xfId="0">
      <alignment horizontal="left" vertical="center" indent="1"/>
    </xf>
    <xf numFmtId="0" fontId="25" fillId="4" borderId="43" applyAlignment="1" pivotButton="0" quotePrefix="0" xfId="0">
      <alignment horizontal="left" vertical="center" indent="1"/>
    </xf>
    <xf numFmtId="0" fontId="6" fillId="7" borderId="42" applyAlignment="1" pivotButton="0" quotePrefix="0" xfId="0">
      <alignment horizontal="left" vertical="center" indent="1"/>
    </xf>
    <xf numFmtId="14" fontId="8" fillId="2" borderId="22" applyAlignment="1" pivotButton="0" quotePrefix="0" xfId="0">
      <alignment horizontal="right" vertical="center" indent="1"/>
    </xf>
    <xf numFmtId="0" fontId="12" fillId="2" borderId="16" applyAlignment="1" pivotButton="0" quotePrefix="0" xfId="0">
      <alignment horizontal="left" vertical="center" indent="1"/>
    </xf>
    <xf numFmtId="14" fontId="12" fillId="2" borderId="16" applyAlignment="1" pivotButton="0" quotePrefix="0" xfId="0">
      <alignment horizontal="right" vertical="center" indent="1"/>
    </xf>
    <xf numFmtId="172" fontId="12" fillId="2" borderId="16" applyAlignment="1" pivotButton="0" quotePrefix="0" xfId="0">
      <alignment horizontal="right" vertical="center" indent="1"/>
    </xf>
    <xf numFmtId="164" fontId="12" fillId="0" borderId="16" applyAlignment="1" pivotButton="0" quotePrefix="0" xfId="0">
      <alignment vertical="center"/>
    </xf>
    <xf numFmtId="0" fontId="12" fillId="4" borderId="18" applyAlignment="1" pivotButton="0" quotePrefix="0" xfId="0">
      <alignment horizontal="center" vertical="center"/>
    </xf>
    <xf numFmtId="0" fontId="12" fillId="2" borderId="22" applyAlignment="1" pivotButton="0" quotePrefix="0" xfId="0">
      <alignment horizontal="left" vertical="center" indent="1"/>
    </xf>
    <xf numFmtId="14" fontId="12" fillId="2" borderId="22" applyAlignment="1" pivotButton="0" quotePrefix="0" xfId="0">
      <alignment horizontal="right" vertical="center" indent="1"/>
    </xf>
    <xf numFmtId="164" fontId="12" fillId="0" borderId="17" applyAlignment="1" pivotButton="0" quotePrefix="0" xfId="0">
      <alignment vertical="center"/>
    </xf>
    <xf numFmtId="0" fontId="27" fillId="2" borderId="21" applyAlignment="1" pivotButton="0" quotePrefix="0" xfId="0">
      <alignment horizontal="left" vertical="center" indent="1"/>
    </xf>
    <xf numFmtId="0" fontId="0" fillId="0" borderId="0" pivotButton="0" quotePrefix="0" xfId="0"/>
    <xf numFmtId="168" fontId="7" fillId="7" borderId="21" applyAlignment="1" pivotButton="0" quotePrefix="0" xfId="0">
      <alignment horizontal="right" vertical="center" indent="1"/>
    </xf>
    <xf numFmtId="168" fontId="7" fillId="7" borderId="89" applyAlignment="1" pivotButton="0" quotePrefix="0" xfId="0">
      <alignment horizontal="right" vertical="center" indent="1"/>
    </xf>
    <xf numFmtId="168" fontId="8" fillId="0" borderId="0" applyAlignment="1" pivotButton="0" quotePrefix="0" xfId="0">
      <alignment horizontal="right" vertical="center" indent="1"/>
    </xf>
    <xf numFmtId="168" fontId="8" fillId="0" borderId="90" applyAlignment="1" pivotButton="0" quotePrefix="0" xfId="0">
      <alignment horizontal="right" vertical="center" indent="1"/>
    </xf>
    <xf numFmtId="0" fontId="58" fillId="0" borderId="0" pivotButton="0" quotePrefix="0" xfId="0"/>
    <xf numFmtId="0" fontId="80" fillId="0" borderId="0" pivotButton="0" quotePrefix="0" xfId="0"/>
    <xf numFmtId="0" fontId="79" fillId="0" borderId="0" pivotButton="0" quotePrefix="0" xfId="0"/>
    <xf numFmtId="0" fontId="57" fillId="0" borderId="0" applyAlignment="1" pivotButton="0" quotePrefix="0" xfId="0">
      <alignment/>
    </xf>
    <xf numFmtId="166" fontId="7" fillId="7" borderId="17" applyAlignment="1" pivotButton="0" quotePrefix="0" xfId="0">
      <alignment horizontal="right" vertical="center" indent="1"/>
    </xf>
    <xf numFmtId="166" fontId="8" fillId="0" borderId="19" applyAlignment="1" pivotButton="0" quotePrefix="0" xfId="0">
      <alignment horizontal="right" vertical="center" indent="1"/>
    </xf>
    <xf numFmtId="166" fontId="8" fillId="0" borderId="17" applyAlignment="1" pivotButton="0" quotePrefix="0" xfId="0">
      <alignment horizontal="right" vertical="center" indent="1"/>
    </xf>
    <xf numFmtId="166" fontId="8" fillId="2" borderId="17" applyAlignment="1" pivotButton="0" quotePrefix="0" xfId="0">
      <alignment horizontal="right" vertical="center" indent="1"/>
    </xf>
    <xf numFmtId="168" fontId="8" fillId="2" borderId="17" applyAlignment="1" pivotButton="0" quotePrefix="0" xfId="0">
      <alignment horizontal="right" vertical="center" indent="1"/>
    </xf>
    <xf numFmtId="168" fontId="8" fillId="0" borderId="19" applyAlignment="1" pivotButton="0" quotePrefix="0" xfId="0">
      <alignment horizontal="right" vertical="center" indent="1"/>
    </xf>
    <xf numFmtId="168" fontId="8" fillId="2" borderId="19" applyAlignment="1" pivotButton="0" quotePrefix="0" xfId="0">
      <alignment horizontal="right" vertical="center" indent="1"/>
    </xf>
    <xf numFmtId="168" fontId="8" fillId="0" borderId="17" applyAlignment="1" pivotButton="0" quotePrefix="0" xfId="0">
      <alignment horizontal="right" vertical="center" indent="1"/>
    </xf>
    <xf numFmtId="168" fontId="7" fillId="5" borderId="3" applyAlignment="1" pivotButton="0" quotePrefix="0" xfId="0">
      <alignment horizontal="right" vertical="center" indent="1"/>
    </xf>
    <xf numFmtId="168" fontId="28" fillId="3" borderId="85" applyAlignment="1" pivotButton="0" quotePrefix="0" xfId="0">
      <alignment horizontal="right" vertical="center" indent="1"/>
    </xf>
    <xf numFmtId="168" fontId="0" fillId="0" borderId="0" applyAlignment="1" pivotButton="0" quotePrefix="0" xfId="0">
      <alignment vertical="center"/>
    </xf>
    <xf numFmtId="168" fontId="39" fillId="0" borderId="0" applyAlignment="1" pivotButton="0" quotePrefix="0" xfId="0">
      <alignment vertical="center"/>
    </xf>
    <xf numFmtId="3" fontId="0" fillId="0" borderId="0" applyAlignment="1" pivotButton="0" quotePrefix="0" xfId="0">
      <alignment vertical="center"/>
    </xf>
    <xf numFmtId="0" fontId="57" fillId="0" borderId="0" pivotButton="0" quotePrefix="0" xfId="0"/>
    <xf numFmtId="168" fontId="8" fillId="0" borderId="47" applyAlignment="1" pivotButton="0" quotePrefix="0" xfId="0">
      <alignment horizontal="right" vertical="center" indent="1"/>
    </xf>
    <xf numFmtId="168" fontId="8" fillId="0" borderId="21" applyAlignment="1" pivotButton="0" quotePrefix="0" xfId="0">
      <alignment horizontal="right" vertical="center" indent="1"/>
    </xf>
    <xf numFmtId="168" fontId="8" fillId="0" borderId="64" applyAlignment="1" pivotButton="0" quotePrefix="0" xfId="0">
      <alignment horizontal="right" vertical="center" indent="1"/>
    </xf>
    <xf numFmtId="168" fontId="28" fillId="3" borderId="21" applyAlignment="1" pivotButton="0" quotePrefix="0" xfId="0">
      <alignment horizontal="right" vertical="center" indent="1"/>
    </xf>
    <xf numFmtId="168" fontId="28" fillId="3" borderId="64" applyAlignment="1" pivotButton="0" quotePrefix="0" xfId="0">
      <alignment horizontal="right" vertical="center" indent="1"/>
    </xf>
    <xf numFmtId="166" fontId="8" fillId="0" borderId="47" applyAlignment="1" pivotButton="0" quotePrefix="0" xfId="0">
      <alignment horizontal="right" vertical="center" indent="1"/>
    </xf>
    <xf numFmtId="168" fontId="8" fillId="0" borderId="49" applyAlignment="1" pivotButton="0" quotePrefix="0" xfId="0">
      <alignment horizontal="right" vertical="center" indent="1"/>
    </xf>
    <xf numFmtId="168" fontId="2" fillId="3" borderId="5" applyAlignment="1" pivotButton="0" quotePrefix="0" xfId="0">
      <alignment horizontal="centerContinuous" vertical="center"/>
    </xf>
    <xf numFmtId="168" fontId="2" fillId="3" borderId="61" applyAlignment="1" pivotButton="0" quotePrefix="0" xfId="0">
      <alignment horizontal="centerContinuous" vertical="center"/>
    </xf>
    <xf numFmtId="168" fontId="2" fillId="3" borderId="6" applyAlignment="1" pivotButton="0" quotePrefix="0" xfId="0">
      <alignment horizontal="centerContinuous" vertical="center"/>
    </xf>
    <xf numFmtId="168" fontId="8" fillId="7" borderId="22" applyAlignment="1" pivotButton="0" quotePrefix="0" xfId="0">
      <alignment horizontal="right" vertical="center" indent="1"/>
    </xf>
    <xf numFmtId="168" fontId="8" fillId="0" borderId="22" applyAlignment="1" pivotButton="0" quotePrefix="0" xfId="0">
      <alignment horizontal="right" vertical="center" indent="1"/>
    </xf>
    <xf numFmtId="168" fontId="8" fillId="0" borderId="106" applyAlignment="1" pivotButton="0" quotePrefix="0" xfId="0">
      <alignment horizontal="right" vertical="center" indent="1"/>
    </xf>
    <xf numFmtId="168" fontId="8" fillId="0" borderId="105" applyAlignment="1" pivotButton="0" quotePrefix="0" xfId="0">
      <alignment horizontal="right" vertical="center" indent="1"/>
    </xf>
    <xf numFmtId="168" fontId="8" fillId="7" borderId="49" applyAlignment="1" pivotButton="0" quotePrefix="0" xfId="0">
      <alignment horizontal="right" vertical="center" indent="1"/>
    </xf>
    <xf numFmtId="168" fontId="8" fillId="7" borderId="19" applyAlignment="1" pivotButton="0" quotePrefix="0" xfId="0">
      <alignment horizontal="right" vertical="center" indent="1"/>
    </xf>
    <xf numFmtId="168" fontId="28" fillId="3" borderId="60" applyAlignment="1" pivotButton="0" quotePrefix="0" xfId="0">
      <alignment horizontal="right" vertical="center" indent="1"/>
    </xf>
    <xf numFmtId="168" fontId="28" fillId="3" borderId="67" applyAlignment="1" pivotButton="0" quotePrefix="0" xfId="0">
      <alignment horizontal="right" vertical="center" indent="1"/>
    </xf>
    <xf numFmtId="168" fontId="0" fillId="0" borderId="47" applyAlignment="1" pivotButton="0" quotePrefix="0" xfId="0">
      <alignment vertical="center"/>
    </xf>
    <xf numFmtId="168" fontId="40" fillId="0" borderId="47" applyAlignment="1" pivotButton="0" quotePrefix="0" xfId="0">
      <alignment vertical="center"/>
    </xf>
    <xf numFmtId="0" fontId="14" fillId="0" borderId="0" applyAlignment="1" pivotButton="0" quotePrefix="0" xfId="0">
      <alignment horizontal="right"/>
    </xf>
    <xf numFmtId="0" fontId="0" fillId="0" borderId="63" pivotButton="0" quotePrefix="0" xfId="0"/>
    <xf numFmtId="0" fontId="0" fillId="0" borderId="76" pivotButton="0" quotePrefix="0" xfId="0"/>
    <xf numFmtId="0" fontId="0" fillId="0" borderId="52" pivotButton="0" quotePrefix="0" xfId="0"/>
    <xf numFmtId="168" fontId="8" fillId="0" borderId="1" applyAlignment="1" pivotButton="0" quotePrefix="0" xfId="0">
      <alignment horizontal="right" vertical="center" indent="1"/>
    </xf>
    <xf numFmtId="165" fontId="8" fillId="0" borderId="19" applyAlignment="1" pivotButton="0" quotePrefix="0" xfId="0">
      <alignment horizontal="right" vertical="center" indent="1"/>
    </xf>
    <xf numFmtId="165" fontId="8" fillId="0" borderId="17" applyAlignment="1" pivotButton="0" quotePrefix="0" xfId="0">
      <alignment horizontal="right" vertical="center" indent="1"/>
    </xf>
    <xf numFmtId="168" fontId="7" fillId="7" borderId="17" applyAlignment="1" pivotButton="0" quotePrefix="0" xfId="0">
      <alignment horizontal="right" vertical="center" indent="1"/>
    </xf>
    <xf numFmtId="165" fontId="7" fillId="7" borderId="17" applyAlignment="1" pivotButton="0" quotePrefix="0" xfId="0">
      <alignment horizontal="right" vertical="center" indent="1"/>
    </xf>
    <xf numFmtId="168" fontId="7" fillId="0" borderId="20" applyAlignment="1" pivotButton="0" quotePrefix="0" xfId="0">
      <alignment horizontal="right" vertical="center" indent="1"/>
    </xf>
    <xf numFmtId="165" fontId="7" fillId="0" borderId="20" applyAlignment="1" pivotButton="0" quotePrefix="0" xfId="0">
      <alignment horizontal="right" vertical="center" indent="1"/>
    </xf>
    <xf numFmtId="168" fontId="7" fillId="0" borderId="17" applyAlignment="1" pivotButton="0" quotePrefix="0" xfId="0">
      <alignment horizontal="right" vertical="center" indent="1"/>
    </xf>
    <xf numFmtId="165" fontId="7" fillId="0" borderId="17" applyAlignment="1" pivotButton="0" quotePrefix="0" xfId="0">
      <alignment horizontal="right" vertical="center" indent="1"/>
    </xf>
    <xf numFmtId="165" fontId="0" fillId="0" borderId="0" applyAlignment="1" pivotButton="0" quotePrefix="0" xfId="0">
      <alignment vertical="center"/>
    </xf>
    <xf numFmtId="165" fontId="0" fillId="0" borderId="47" applyAlignment="1" pivotButton="0" quotePrefix="0" xfId="0">
      <alignment vertical="center"/>
    </xf>
    <xf numFmtId="165" fontId="0" fillId="0" borderId="49" applyAlignment="1" pivotButton="0" quotePrefix="0" xfId="0">
      <alignment vertical="center"/>
    </xf>
    <xf numFmtId="165" fontId="2" fillId="3" borderId="73" applyAlignment="1" pivotButton="0" quotePrefix="0" xfId="0">
      <alignment horizontal="centerContinuous" vertical="center"/>
    </xf>
    <xf numFmtId="165" fontId="2" fillId="3" borderId="0" applyAlignment="1" pivotButton="0" quotePrefix="0" xfId="0">
      <alignment horizontal="centerContinuous" vertical="center"/>
    </xf>
    <xf numFmtId="165" fontId="2" fillId="3" borderId="75" applyAlignment="1" pivotButton="0" quotePrefix="0" xfId="0">
      <alignment horizontal="centerContinuous" vertical="center"/>
    </xf>
    <xf numFmtId="165" fontId="2" fillId="3" borderId="77" applyAlignment="1" pivotButton="0" quotePrefix="0" xfId="0">
      <alignment horizontal="centerContinuous" vertical="center"/>
    </xf>
    <xf numFmtId="165" fontId="2" fillId="11" borderId="73" applyAlignment="1" pivotButton="0" quotePrefix="0" xfId="0">
      <alignment horizontal="centerContinuous" vertical="center"/>
    </xf>
    <xf numFmtId="0" fontId="0" fillId="0" borderId="58" pivotButton="0" quotePrefix="0" xfId="0"/>
    <xf numFmtId="165" fontId="2" fillId="3" borderId="75" applyAlignment="1" pivotButton="0" quotePrefix="0" xfId="0">
      <alignment horizontal="center" vertical="center"/>
    </xf>
    <xf numFmtId="165" fontId="2" fillId="3" borderId="60" applyAlignment="1" pivotButton="0" quotePrefix="0" xfId="0">
      <alignment horizontal="center" vertical="center"/>
    </xf>
    <xf numFmtId="165" fontId="2" fillId="11" borderId="75" applyAlignment="1" pivotButton="0" quotePrefix="0" xfId="0">
      <alignment horizontal="center" vertical="center"/>
    </xf>
    <xf numFmtId="166" fontId="31" fillId="2" borderId="49" applyAlignment="1" pivotButton="0" quotePrefix="0" xfId="0">
      <alignment horizontal="left" vertical="center" indent="1"/>
    </xf>
    <xf numFmtId="168" fontId="8" fillId="10" borderId="79" applyAlignment="1" pivotButton="0" quotePrefix="0" xfId="0">
      <alignment horizontal="right" vertical="center" indent="1"/>
    </xf>
    <xf numFmtId="165" fontId="8" fillId="10" borderId="67" applyAlignment="1" pivotButton="0" quotePrefix="0" xfId="0">
      <alignment horizontal="right" vertical="center" indent="1"/>
    </xf>
    <xf numFmtId="168" fontId="8" fillId="10" borderId="67" applyAlignment="1" pivotButton="0" quotePrefix="0" xfId="0">
      <alignment horizontal="right" vertical="center" indent="1"/>
    </xf>
    <xf numFmtId="168" fontId="7" fillId="7" borderId="22" applyAlignment="1" pivotButton="0" quotePrefix="0" xfId="0">
      <alignment horizontal="right" vertical="center" indent="1"/>
    </xf>
    <xf numFmtId="168" fontId="29" fillId="0" borderId="22" applyAlignment="1" pivotButton="0" quotePrefix="0" xfId="0">
      <alignment horizontal="right" vertical="center" indent="1"/>
    </xf>
    <xf numFmtId="165" fontId="29" fillId="0" borderId="17" applyAlignment="1" pivotButton="0" quotePrefix="0" xfId="0">
      <alignment horizontal="right" vertical="center" indent="1"/>
    </xf>
    <xf numFmtId="168" fontId="29" fillId="0" borderId="17" applyAlignment="1" pivotButton="0" quotePrefix="0" xfId="0">
      <alignment horizontal="right" vertical="center" indent="1"/>
    </xf>
    <xf numFmtId="168" fontId="0" fillId="0" borderId="49" applyAlignment="1" pivotButton="0" quotePrefix="0" xfId="0">
      <alignment vertical="center"/>
    </xf>
    <xf numFmtId="165" fontId="0" fillId="0" borderId="19" applyAlignment="1" pivotButton="0" quotePrefix="0" xfId="0">
      <alignment vertical="center"/>
    </xf>
    <xf numFmtId="168" fontId="0" fillId="0" borderId="19" applyAlignment="1" pivotButton="0" quotePrefix="0" xfId="0">
      <alignment vertical="center"/>
    </xf>
    <xf numFmtId="0" fontId="0" fillId="0" borderId="47" pivotButton="0" quotePrefix="0" xfId="0"/>
    <xf numFmtId="168" fontId="7" fillId="7" borderId="11" applyAlignment="1" pivotButton="0" quotePrefix="0" xfId="0">
      <alignment horizontal="right" vertical="center" indent="1"/>
    </xf>
    <xf numFmtId="165" fontId="8" fillId="7" borderId="3" applyAlignment="1" pivotButton="0" quotePrefix="0" xfId="0">
      <alignment horizontal="right" vertical="center" indent="1"/>
    </xf>
    <xf numFmtId="168" fontId="7" fillId="7" borderId="3" applyAlignment="1" pivotButton="0" quotePrefix="0" xfId="0">
      <alignment horizontal="right" vertical="center" indent="1"/>
    </xf>
    <xf numFmtId="3" fontId="0" fillId="0" borderId="19" applyAlignment="1" pivotButton="0" quotePrefix="0" xfId="0">
      <alignment vertical="center"/>
    </xf>
    <xf numFmtId="0" fontId="57" fillId="0" borderId="47" applyAlignment="1" pivotButton="0" quotePrefix="0" xfId="0">
      <alignment vertical="center"/>
    </xf>
    <xf numFmtId="166" fontId="8" fillId="0" borderId="3" applyAlignment="1" pivotButton="0" quotePrefix="0" xfId="1">
      <alignment horizontal="right" vertical="center" indent="1"/>
    </xf>
    <xf numFmtId="166" fontId="8" fillId="0" borderId="11" applyAlignment="1" pivotButton="0" quotePrefix="0" xfId="1">
      <alignment horizontal="right" vertical="center" indent="1"/>
    </xf>
    <xf numFmtId="166" fontId="56" fillId="0" borderId="3" applyAlignment="1" pivotButton="0" quotePrefix="0" xfId="1">
      <alignment horizontal="right" vertical="center" indent="1"/>
    </xf>
    <xf numFmtId="168" fontId="7" fillId="7" borderId="20" applyAlignment="1" pivotButton="0" quotePrefix="0" xfId="0">
      <alignment horizontal="right" vertical="center" indent="1"/>
    </xf>
    <xf numFmtId="168" fontId="7" fillId="7" borderId="91" applyAlignment="1" pivotButton="0" quotePrefix="0" xfId="0">
      <alignment horizontal="right" vertical="center" indent="1"/>
    </xf>
    <xf numFmtId="168" fontId="8" fillId="2" borderId="89" applyAlignment="1" pivotButton="0" quotePrefix="0" xfId="0">
      <alignment horizontal="right" vertical="center" indent="1"/>
    </xf>
    <xf numFmtId="168" fontId="8" fillId="2" borderId="20" applyAlignment="1" pivotButton="0" quotePrefix="0" xfId="0">
      <alignment horizontal="right" vertical="center" indent="1"/>
    </xf>
    <xf numFmtId="168" fontId="8" fillId="2" borderId="55" applyAlignment="1" pivotButton="0" quotePrefix="0" xfId="0">
      <alignment horizontal="right" vertical="center" indent="1"/>
    </xf>
    <xf numFmtId="168" fontId="8" fillId="2" borderId="91" applyAlignment="1" pivotButton="0" quotePrefix="0" xfId="0">
      <alignment horizontal="right" vertical="center" indent="1"/>
    </xf>
    <xf numFmtId="168" fontId="8" fillId="2" borderId="20" applyAlignment="1" pivotButton="0" quotePrefix="0" xfId="0">
      <alignment horizontal="right" vertical="center" indent="2"/>
    </xf>
    <xf numFmtId="168" fontId="8" fillId="2" borderId="55" applyAlignment="1" pivotButton="0" quotePrefix="0" xfId="0">
      <alignment horizontal="right" vertical="center" indent="2"/>
    </xf>
    <xf numFmtId="168" fontId="8" fillId="2" borderId="91" applyAlignment="1" pivotButton="0" quotePrefix="0" xfId="0">
      <alignment horizontal="right" vertical="center" indent="2"/>
    </xf>
    <xf numFmtId="168" fontId="7" fillId="5" borderId="20" applyAlignment="1" pivotButton="0" quotePrefix="0" xfId="0">
      <alignment horizontal="right" vertical="center" indent="1"/>
    </xf>
    <xf numFmtId="168" fontId="7" fillId="5" borderId="91" applyAlignment="1" pivotButton="0" quotePrefix="0" xfId="0">
      <alignment horizontal="right" vertical="center" indent="1"/>
    </xf>
    <xf numFmtId="168" fontId="8" fillId="2" borderId="0" applyAlignment="1" pivotButton="0" quotePrefix="0" xfId="0">
      <alignment horizontal="right" vertical="center" indent="1"/>
    </xf>
    <xf numFmtId="168" fontId="8" fillId="2" borderId="110" applyAlignment="1" pivotButton="0" quotePrefix="0" xfId="0">
      <alignment horizontal="right" vertical="center" indent="1"/>
    </xf>
    <xf numFmtId="168" fontId="8" fillId="0" borderId="102" applyAlignment="1" pivotButton="0" quotePrefix="0" xfId="0">
      <alignment horizontal="right" vertical="center" indent="1"/>
    </xf>
    <xf numFmtId="168" fontId="7" fillId="5" borderId="64" applyAlignment="1" pivotButton="0" quotePrefix="0" xfId="0">
      <alignment horizontal="right" vertical="center" indent="1"/>
    </xf>
    <xf numFmtId="168" fontId="7" fillId="5" borderId="90" applyAlignment="1" pivotButton="0" quotePrefix="0" xfId="0">
      <alignment horizontal="right" vertical="center" indent="1"/>
    </xf>
    <xf numFmtId="168" fontId="28" fillId="3" borderId="20" applyAlignment="1" pivotButton="0" quotePrefix="0" xfId="0">
      <alignment horizontal="right" vertical="center" indent="1"/>
    </xf>
    <xf numFmtId="168" fontId="28" fillId="3" borderId="92" applyAlignment="1" pivotButton="0" quotePrefix="0" xfId="0">
      <alignment horizontal="right" vertical="center" indent="1"/>
    </xf>
    <xf numFmtId="168" fontId="18" fillId="0" borderId="0" applyAlignment="1" pivotButton="0" quotePrefix="0" xfId="0">
      <alignment vertical="center"/>
    </xf>
    <xf numFmtId="166" fontId="18" fillId="0" borderId="0" applyAlignment="1" pivotButton="0" quotePrefix="0" xfId="0">
      <alignment vertical="center"/>
    </xf>
    <xf numFmtId="168" fontId="8" fillId="0" borderId="3" applyAlignment="1" pivotButton="0" quotePrefix="0" xfId="0">
      <alignment horizontal="right" vertical="center" indent="1"/>
    </xf>
    <xf numFmtId="168" fontId="8" fillId="0" borderId="7" applyAlignment="1" pivotButton="0" quotePrefix="0" xfId="0">
      <alignment horizontal="right" vertical="center" indent="1"/>
    </xf>
    <xf numFmtId="168" fontId="5" fillId="5" borderId="10" applyAlignment="1" pivotButton="0" quotePrefix="0" xfId="0">
      <alignment horizontal="right" vertical="center" indent="1"/>
    </xf>
    <xf numFmtId="168" fontId="8" fillId="0" borderId="12" applyAlignment="1" pivotButton="0" quotePrefix="0" xfId="0">
      <alignment horizontal="right" vertical="center" indent="1"/>
    </xf>
    <xf numFmtId="168" fontId="8" fillId="0" borderId="13" applyAlignment="1" pivotButton="0" quotePrefix="0" xfId="0">
      <alignment horizontal="right" vertical="center" indent="1"/>
    </xf>
    <xf numFmtId="168" fontId="5" fillId="5" borderId="0" applyAlignment="1" pivotButton="0" quotePrefix="0" xfId="0">
      <alignment horizontal="right" vertical="center" indent="1"/>
    </xf>
    <xf numFmtId="4" fontId="8" fillId="0" borderId="1" applyAlignment="1" pivotButton="0" quotePrefix="0" xfId="0">
      <alignment horizontal="right" vertical="center" indent="1"/>
    </xf>
    <xf numFmtId="4" fontId="8" fillId="0" borderId="3" applyAlignment="1" pivotButton="0" quotePrefix="0" xfId="0">
      <alignment horizontal="right" vertical="center" indent="1"/>
    </xf>
    <xf numFmtId="169" fontId="8" fillId="0" borderId="7" applyAlignment="1" pivotButton="0" quotePrefix="0" xfId="0">
      <alignment horizontal="right" vertical="center" indent="1"/>
    </xf>
    <xf numFmtId="169" fontId="5" fillId="5" borderId="10" applyAlignment="1" pivotButton="0" quotePrefix="0" xfId="0">
      <alignment horizontal="right" vertical="center" indent="1"/>
    </xf>
    <xf numFmtId="168" fontId="7" fillId="7" borderId="94" applyAlignment="1" pivotButton="0" quotePrefix="0" xfId="0">
      <alignment horizontal="right" vertical="center" indent="1"/>
    </xf>
    <xf numFmtId="168" fontId="7" fillId="7" borderId="55" applyAlignment="1" pivotButton="0" quotePrefix="0" xfId="0">
      <alignment horizontal="right" vertical="center" indent="1"/>
    </xf>
    <xf numFmtId="168" fontId="28" fillId="3" borderId="17" applyAlignment="1" pivotButton="0" quotePrefix="0" xfId="0">
      <alignment horizontal="right" vertical="center" indent="1"/>
    </xf>
    <xf numFmtId="168" fontId="28" fillId="3" borderId="95" applyAlignment="1" pivotButton="0" quotePrefix="0" xfId="0">
      <alignment horizontal="right" vertical="center" indent="1"/>
    </xf>
    <xf numFmtId="166" fontId="8" fillId="0" borderId="0" applyAlignment="1" pivotButton="0" quotePrefix="0" xfId="0">
      <alignment horizontal="right" vertical="center" indent="1"/>
    </xf>
    <xf numFmtId="168" fontId="8" fillId="0" borderId="48" applyAlignment="1" pivotButton="0" quotePrefix="0" xfId="0">
      <alignment horizontal="right" vertical="center" indent="1"/>
    </xf>
    <xf numFmtId="168" fontId="8" fillId="0" borderId="107" applyAlignment="1" pivotButton="0" quotePrefix="0" xfId="0">
      <alignment horizontal="right" vertical="center" indent="1"/>
    </xf>
    <xf numFmtId="168" fontId="8" fillId="0" borderId="108" applyAlignment="1" pivotButton="0" quotePrefix="0" xfId="0">
      <alignment horizontal="right" vertical="center" indent="1"/>
    </xf>
    <xf numFmtId="168" fontId="7" fillId="7" borderId="82" applyAlignment="1" pivotButton="0" quotePrefix="0" xfId="0">
      <alignment horizontal="right" vertical="center" indent="1"/>
    </xf>
    <xf numFmtId="168" fontId="7" fillId="7" borderId="83" applyAlignment="1" pivotButton="0" quotePrefix="0" xfId="0">
      <alignment horizontal="right" vertical="center" indent="1"/>
    </xf>
    <xf numFmtId="168" fontId="7" fillId="7" borderId="96" applyAlignment="1" pivotButton="0" quotePrefix="0" xfId="0">
      <alignment horizontal="right" vertical="center" indent="1"/>
    </xf>
    <xf numFmtId="168" fontId="24" fillId="2" borderId="112" applyAlignment="1" pivotButton="0" quotePrefix="0" xfId="0">
      <alignment horizontal="right" vertical="center" indent="1"/>
    </xf>
    <xf numFmtId="168" fontId="8" fillId="2" borderId="113" applyAlignment="1" pivotButton="0" quotePrefix="0" xfId="0">
      <alignment horizontal="right" vertical="center" indent="1"/>
    </xf>
    <xf numFmtId="168" fontId="8" fillId="2" borderId="101" applyAlignment="1" pivotButton="0" quotePrefix="0" xfId="0">
      <alignment horizontal="right" vertical="center" indent="1"/>
    </xf>
    <xf numFmtId="168" fontId="8" fillId="2" borderId="109" applyAlignment="1" pivotButton="0" quotePrefix="0" xfId="0">
      <alignment horizontal="right" vertical="center" indent="1"/>
    </xf>
    <xf numFmtId="168" fontId="8" fillId="2" borderId="114" applyAlignment="1" pivotButton="0" quotePrefix="0" xfId="0">
      <alignment horizontal="right" vertical="center" indent="1"/>
    </xf>
    <xf numFmtId="168" fontId="8" fillId="2" borderId="102" applyAlignment="1" pivotButton="0" quotePrefix="0" xfId="0">
      <alignment horizontal="right" vertical="center" indent="1"/>
    </xf>
    <xf numFmtId="168" fontId="28" fillId="3" borderId="59" applyAlignment="1" pivotButton="0" quotePrefix="0" xfId="0">
      <alignment horizontal="right" vertical="center" indent="1"/>
    </xf>
    <xf numFmtId="168" fontId="28" fillId="3" borderId="97" applyAlignment="1" pivotButton="0" quotePrefix="0" xfId="0">
      <alignment horizontal="right" vertical="center" indent="1"/>
    </xf>
    <xf numFmtId="168" fontId="28" fillId="3" borderId="66" applyAlignment="1" pivotButton="0" quotePrefix="0" xfId="0">
      <alignment horizontal="right" vertical="center" indent="1"/>
    </xf>
    <xf numFmtId="168" fontId="28" fillId="3" borderId="98" applyAlignment="1" pivotButton="0" quotePrefix="0" xfId="0">
      <alignment horizontal="right" vertical="center" indent="1"/>
    </xf>
    <xf numFmtId="168" fontId="13" fillId="3" borderId="3" applyAlignment="1" pivotButton="0" quotePrefix="0" xfId="0">
      <alignment horizontal="centerContinuous" vertical="center"/>
    </xf>
    <xf numFmtId="168" fontId="8" fillId="2" borderId="1" applyAlignment="1" pivotButton="0" quotePrefix="0" xfId="0">
      <alignment horizontal="right" vertical="center" indent="1"/>
    </xf>
    <xf numFmtId="168" fontId="12" fillId="2" borderId="1" applyAlignment="1" pivotButton="0" quotePrefix="0" xfId="0">
      <alignment horizontal="right" vertical="center" indent="1"/>
    </xf>
    <xf numFmtId="168" fontId="8" fillId="5" borderId="1" applyAlignment="1" pivotButton="0" quotePrefix="0" xfId="0">
      <alignment horizontal="right" vertical="center" indent="1"/>
    </xf>
    <xf numFmtId="168" fontId="8" fillId="2" borderId="112" applyAlignment="1" pivotButton="0" quotePrefix="0" xfId="0">
      <alignment horizontal="right" vertical="center" indent="1"/>
    </xf>
    <xf numFmtId="168" fontId="24" fillId="2" borderId="1" applyAlignment="1" pivotButton="0" quotePrefix="0" xfId="0">
      <alignment horizontal="right" vertical="center" indent="1"/>
    </xf>
    <xf numFmtId="168" fontId="8" fillId="7" borderId="1" applyAlignment="1" pivotButton="0" quotePrefix="0" xfId="0">
      <alignment horizontal="right" vertical="center" indent="1"/>
    </xf>
    <xf numFmtId="168" fontId="8" fillId="5" borderId="19" applyAlignment="1" pivotButton="0" quotePrefix="0" xfId="0">
      <alignment horizontal="right" vertical="center" indent="1"/>
    </xf>
    <xf numFmtId="171" fontId="12" fillId="4" borderId="1" applyAlignment="1" pivotButton="0" quotePrefix="0" xfId="0">
      <alignment horizontal="left" vertical="center" indent="1"/>
    </xf>
    <xf numFmtId="168" fontId="12" fillId="4" borderId="1" applyAlignment="1" pivotButton="0" quotePrefix="0" xfId="0">
      <alignment horizontal="left" vertical="center" indent="1"/>
    </xf>
    <xf numFmtId="168" fontId="24" fillId="0" borderId="3" applyAlignment="1" pivotButton="0" quotePrefix="0" xfId="0">
      <alignment horizontal="right" vertical="center" indent="1"/>
    </xf>
    <xf numFmtId="168" fontId="12" fillId="4" borderId="3" applyAlignment="1" pivotButton="0" quotePrefix="0" xfId="0">
      <alignment horizontal="left" vertical="center" indent="1"/>
    </xf>
    <xf numFmtId="168" fontId="12" fillId="2" borderId="3" applyAlignment="1" pivotButton="0" quotePrefix="0" xfId="0">
      <alignment horizontal="right" vertical="center" indent="1"/>
    </xf>
    <xf numFmtId="168" fontId="12" fillId="4" borderId="19" applyAlignment="1" pivotButton="0" quotePrefix="0" xfId="0">
      <alignment horizontal="left" vertical="center" indent="1"/>
    </xf>
    <xf numFmtId="168" fontId="12" fillId="2" borderId="19" applyAlignment="1" pivotButton="0" quotePrefix="0" xfId="0">
      <alignment horizontal="right" vertical="center" indent="1"/>
    </xf>
    <xf numFmtId="168" fontId="36" fillId="5" borderId="10" applyAlignment="1" pivotButton="0" quotePrefix="0" xfId="0">
      <alignment horizontal="right" vertical="center" indent="1"/>
    </xf>
    <xf numFmtId="168" fontId="36" fillId="5" borderId="117" applyAlignment="1" pivotButton="0" quotePrefix="0" xfId="0">
      <alignment horizontal="right" vertical="center" indent="1"/>
    </xf>
    <xf numFmtId="168" fontId="8" fillId="0" borderId="89" applyAlignment="1" pivotButton="0" quotePrefix="0" xfId="0">
      <alignment horizontal="right" vertical="center" indent="1"/>
    </xf>
    <xf numFmtId="168" fontId="7" fillId="0" borderId="91" applyAlignment="1" pivotButton="0" quotePrefix="0" xfId="0">
      <alignment horizontal="right" vertical="center" indent="1"/>
    </xf>
    <xf numFmtId="168" fontId="7" fillId="0" borderId="21" applyAlignment="1" pivotButton="0" quotePrefix="0" xfId="0">
      <alignment horizontal="right" vertical="center" indent="1"/>
    </xf>
    <xf numFmtId="168" fontId="7" fillId="0" borderId="89" applyAlignment="1" pivotButton="0" quotePrefix="0" xfId="0">
      <alignment horizontal="right" vertical="center" indent="1"/>
    </xf>
    <xf numFmtId="168" fontId="7" fillId="7" borderId="95" applyAlignment="1" pivotButton="0" quotePrefix="0" xfId="0">
      <alignment horizontal="right" vertical="center" indent="1"/>
    </xf>
    <xf numFmtId="174" fontId="0" fillId="0" borderId="19" applyAlignment="1" pivotButton="0" quotePrefix="0" xfId="0">
      <alignment vertical="center"/>
    </xf>
    <xf numFmtId="9" fontId="0" fillId="0" borderId="0" pivotButton="0" quotePrefix="0" xfId="0"/>
    <xf numFmtId="174" fontId="0" fillId="0" borderId="0" pivotButton="0" quotePrefix="0" xfId="0"/>
    <xf numFmtId="168" fontId="7" fillId="7" borderId="103" applyAlignment="1" pivotButton="0" quotePrefix="0" xfId="0">
      <alignment horizontal="right" vertical="center" indent="1"/>
    </xf>
    <xf numFmtId="168" fontId="7" fillId="7" borderId="100" applyAlignment="1" pivotButton="0" quotePrefix="0" xfId="0">
      <alignment horizontal="right" vertical="center" indent="1"/>
    </xf>
    <xf numFmtId="168" fontId="7" fillId="7" borderId="101" applyAlignment="1" pivotButton="0" quotePrefix="0" xfId="0">
      <alignment horizontal="right" vertical="center" indent="1"/>
    </xf>
    <xf numFmtId="168" fontId="29" fillId="0" borderId="64" applyAlignment="1" pivotButton="0" quotePrefix="0" xfId="0">
      <alignment horizontal="right" vertical="center" indent="1"/>
    </xf>
    <xf numFmtId="168" fontId="29" fillId="0" borderId="90" applyAlignment="1" pivotButton="0" quotePrefix="0" xfId="0">
      <alignment horizontal="right" vertical="center" indent="1"/>
    </xf>
    <xf numFmtId="168" fontId="8" fillId="0" borderId="119" applyAlignment="1" pivotButton="0" quotePrefix="0" xfId="0">
      <alignment horizontal="centerContinuous" vertical="center"/>
    </xf>
    <xf numFmtId="168" fontId="8" fillId="0" borderId="1" applyAlignment="1" pivotButton="0" quotePrefix="0" xfId="0">
      <alignment horizontal="centerContinuous" vertical="center"/>
    </xf>
    <xf numFmtId="168" fontId="8" fillId="0" borderId="112" applyAlignment="1" pivotButton="0" quotePrefix="0" xfId="0">
      <alignment horizontal="right" vertical="center" indent="1"/>
    </xf>
    <xf numFmtId="168" fontId="5" fillId="7" borderId="118" applyAlignment="1" pivotButton="0" quotePrefix="0" xfId="0">
      <alignment horizontal="right" vertical="center" indent="1"/>
    </xf>
    <xf numFmtId="168" fontId="5" fillId="7" borderId="117" applyAlignment="1" pivotButton="0" quotePrefix="0" xfId="0">
      <alignment horizontal="right" vertical="center" indent="1"/>
    </xf>
    <xf numFmtId="168" fontId="15" fillId="5" borderId="10" applyAlignment="1" pivotButton="0" quotePrefix="0" xfId="0">
      <alignment horizontal="center" vertical="center" wrapText="1"/>
    </xf>
    <xf numFmtId="168" fontId="8" fillId="0" borderId="119" applyAlignment="1" pivotButton="0" quotePrefix="0" xfId="0">
      <alignment horizontal="right" vertical="center"/>
    </xf>
    <xf numFmtId="168" fontId="8" fillId="0" borderId="1" applyAlignment="1" pivotButton="0" quotePrefix="0" xfId="0">
      <alignment horizontal="right" vertical="center"/>
    </xf>
    <xf numFmtId="168" fontId="8" fillId="0" borderId="19" applyAlignment="1" pivotButton="0" quotePrefix="0" xfId="0">
      <alignment horizontal="centerContinuous" vertical="center"/>
    </xf>
    <xf numFmtId="168" fontId="8" fillId="0" borderId="112" applyAlignment="1" pivotButton="0" quotePrefix="0" xfId="0">
      <alignment horizontal="centerContinuous" vertical="center"/>
    </xf>
    <xf numFmtId="170" fontId="8" fillId="0" borderId="1" applyAlignment="1" pivotButton="0" quotePrefix="0" xfId="0">
      <alignment horizontal="right" vertical="center" indent="1"/>
    </xf>
    <xf numFmtId="170" fontId="8" fillId="0" borderId="3" applyAlignment="1" pivotButton="0" quotePrefix="0" xfId="0">
      <alignment horizontal="right" vertical="center" indent="1"/>
    </xf>
    <xf numFmtId="170" fontId="8" fillId="0" borderId="19" applyAlignment="1" pivotButton="0" quotePrefix="0" xfId="0">
      <alignment horizontal="right" vertical="center" indent="1"/>
    </xf>
    <xf numFmtId="170" fontId="5" fillId="5" borderId="120" applyAlignment="1" pivotButton="0" quotePrefix="0" xfId="0">
      <alignment horizontal="right" vertical="center" indent="1"/>
    </xf>
    <xf numFmtId="170" fontId="5" fillId="5" borderId="0" applyAlignment="1" pivotButton="0" quotePrefix="0" xfId="0">
      <alignment horizontal="right" vertical="center" indent="1"/>
    </xf>
    <xf numFmtId="164" fontId="12" fillId="0" borderId="16" applyAlignment="1" pivotButton="0" quotePrefix="0" xfId="0">
      <alignment horizontal="left" vertical="center" wrapText="1"/>
    </xf>
    <xf numFmtId="164" fontId="12" fillId="0" borderId="17" applyAlignment="1" pivotButton="0" quotePrefix="0" xfId="0">
      <alignment horizontal="left" vertical="center" wrapText="1"/>
    </xf>
    <xf numFmtId="165" fontId="35" fillId="0" borderId="17" applyAlignment="1" pivotButton="0" quotePrefix="0" xfId="0">
      <alignment horizontal="right" vertical="center" indent="1"/>
    </xf>
    <xf numFmtId="0" fontId="59" fillId="0" borderId="138" pivotButton="0" quotePrefix="0" xfId="0"/>
    <xf numFmtId="168" fontId="8" fillId="0" borderId="20" applyAlignment="1" pivotButton="0" quotePrefix="0" xfId="0">
      <alignment horizontal="right" vertical="center"/>
    </xf>
    <xf numFmtId="168" fontId="45" fillId="0" borderId="57" applyAlignment="1" pivotButton="0" quotePrefix="0" xfId="0">
      <alignment vertical="center"/>
    </xf>
    <xf numFmtId="168" fontId="8" fillId="0" borderId="25" applyAlignment="1" pivotButton="0" quotePrefix="0" xfId="0">
      <alignment horizontal="right" vertical="center"/>
    </xf>
    <xf numFmtId="168" fontId="7" fillId="0" borderId="50" applyAlignment="1" pivotButton="0" quotePrefix="0" xfId="0">
      <alignment horizontal="right" vertical="center" indent="1"/>
    </xf>
    <xf numFmtId="0" fontId="58" fillId="0" borderId="138" pivotButton="0" quotePrefix="0" xfId="0"/>
    <xf numFmtId="174" fontId="59" fillId="0" borderId="138" pivotButton="0" quotePrefix="0" xfId="0"/>
    <xf numFmtId="0" fontId="60" fillId="0" borderId="138" pivotButton="0" quotePrefix="0" xfId="0"/>
    <xf numFmtId="0" fontId="61" fillId="0" borderId="138" pivotButton="0" quotePrefix="0" xfId="0"/>
    <xf numFmtId="166" fontId="8" fillId="4" borderId="54" applyAlignment="1" pivotButton="0" quotePrefix="0" xfId="0">
      <alignment horizontal="right" vertical="center" indent="1"/>
    </xf>
    <xf numFmtId="164" fontId="12" fillId="0" borderId="2" applyAlignment="1" pivotButton="0" quotePrefix="0" xfId="0">
      <alignment horizontal="right" vertical="center" indent="1"/>
    </xf>
    <xf numFmtId="166" fontId="8" fillId="4" borderId="57" applyAlignment="1" pivotButton="0" quotePrefix="0" xfId="0">
      <alignment vertical="center"/>
    </xf>
    <xf numFmtId="164" fontId="12" fillId="0" borderId="19" applyAlignment="1" pivotButton="0" quotePrefix="0" xfId="0">
      <alignment horizontal="right" vertical="center" indent="1"/>
    </xf>
    <xf numFmtId="164" fontId="12" fillId="0" borderId="19" applyAlignment="1" pivotButton="0" quotePrefix="0" xfId="0">
      <alignment horizontal="left" vertical="center" indent="2"/>
    </xf>
    <xf numFmtId="166" fontId="8" fillId="0" borderId="19" applyAlignment="1" pivotButton="0" quotePrefix="0" xfId="0">
      <alignment vertical="center"/>
    </xf>
    <xf numFmtId="164" fontId="12" fillId="0" borderId="0" applyAlignment="1" pivotButton="0" quotePrefix="0" xfId="0">
      <alignment horizontal="right" vertical="center" indent="1"/>
    </xf>
    <xf numFmtId="164" fontId="12" fillId="0" borderId="0" applyAlignment="1" pivotButton="0" quotePrefix="0" xfId="0">
      <alignment horizontal="left" vertical="center" indent="2"/>
    </xf>
    <xf numFmtId="166" fontId="8" fillId="0" borderId="0" applyAlignment="1" pivotButton="0" quotePrefix="0" xfId="0">
      <alignment vertical="center"/>
    </xf>
    <xf numFmtId="166" fontId="8" fillId="4" borderId="18" applyAlignment="1" pivotButton="0" quotePrefix="0" xfId="0">
      <alignment horizontal="right" vertical="center" indent="1"/>
    </xf>
    <xf numFmtId="166" fontId="8" fillId="4" borderId="18" applyAlignment="1" pivotButton="0" quotePrefix="0" xfId="0">
      <alignment vertical="center"/>
    </xf>
    <xf numFmtId="166" fontId="7" fillId="13" borderId="56" applyAlignment="1" pivotButton="0" quotePrefix="0" xfId="0">
      <alignment vertical="center"/>
    </xf>
    <xf numFmtId="166" fontId="7" fillId="13" borderId="57" applyAlignment="1" pivotButton="0" quotePrefix="0" xfId="0">
      <alignment vertical="center"/>
    </xf>
    <xf numFmtId="166" fontId="7" fillId="13" borderId="57" applyAlignment="1" pivotButton="0" quotePrefix="0" xfId="0">
      <alignment horizontal="right" vertical="center" indent="1"/>
    </xf>
    <xf numFmtId="166" fontId="14" fillId="0" borderId="0" applyAlignment="1" pivotButton="0" quotePrefix="0" xfId="0">
      <alignment vertical="center"/>
    </xf>
    <xf numFmtId="175" fontId="14" fillId="0" borderId="0" applyAlignment="1" pivotButton="0" quotePrefix="0" xfId="0">
      <alignment vertical="center"/>
    </xf>
    <xf numFmtId="175" fontId="0" fillId="0" borderId="0" pivotButton="0" quotePrefix="0" xfId="0"/>
    <xf numFmtId="165" fontId="14" fillId="0" borderId="0" applyAlignment="1" pivotButton="0" quotePrefix="0" xfId="0">
      <alignment vertical="center"/>
    </xf>
    <xf numFmtId="165" fontId="0" fillId="0" borderId="0" pivotButton="0" quotePrefix="0" xfId="0"/>
    <xf numFmtId="3" fontId="14" fillId="0" borderId="0" applyAlignment="1" pivotButton="0" quotePrefix="0" xfId="0">
      <alignment vertical="center"/>
    </xf>
    <xf numFmtId="0" fontId="61" fillId="0" borderId="0" pivotButton="0" quotePrefix="0" xfId="0"/>
    <xf numFmtId="0" fontId="64" fillId="0" borderId="0" pivotButton="0" quotePrefix="0" xfId="0"/>
    <xf numFmtId="0" fontId="65" fillId="0" borderId="0" applyAlignment="1" pivotButton="0" quotePrefix="0" xfId="0">
      <alignment horizontal="right" vertical="center" wrapText="1"/>
    </xf>
    <xf numFmtId="0" fontId="66" fillId="17" borderId="139" applyAlignment="1" pivotButton="0" quotePrefix="0" xfId="0">
      <alignment horizontal="center" vertical="center" wrapText="1"/>
    </xf>
    <xf numFmtId="0" fontId="67" fillId="18" borderId="139" applyAlignment="1" pivotButton="0" quotePrefix="0" xfId="0">
      <alignment horizontal="left" vertical="center" wrapText="1"/>
    </xf>
    <xf numFmtId="178" fontId="68" fillId="0" borderId="139" applyAlignment="1" pivotButton="0" quotePrefix="0" xfId="0">
      <alignment horizontal="right" vertical="center" wrapText="1"/>
    </xf>
    <xf numFmtId="179" fontId="68" fillId="0" borderId="139" applyAlignment="1" pivotButton="0" quotePrefix="0" xfId="0">
      <alignment horizontal="right" vertical="center" wrapText="1"/>
    </xf>
    <xf numFmtId="0" fontId="69" fillId="0" borderId="139" applyAlignment="1" pivotButton="0" quotePrefix="0" xfId="0">
      <alignment horizontal="left" vertical="center" wrapText="1"/>
    </xf>
    <xf numFmtId="0" fontId="70" fillId="19" borderId="139" applyAlignment="1" pivotButton="0" quotePrefix="0" xfId="0">
      <alignment horizontal="left" vertical="center" wrapText="1"/>
    </xf>
    <xf numFmtId="178" fontId="71" fillId="19" borderId="139" applyAlignment="1" pivotButton="0" quotePrefix="0" xfId="0">
      <alignment horizontal="right" vertical="center" wrapText="1"/>
    </xf>
    <xf numFmtId="179" fontId="71" fillId="19" borderId="139" applyAlignment="1" pivotButton="0" quotePrefix="0" xfId="0">
      <alignment horizontal="right" vertical="center" wrapText="1"/>
    </xf>
    <xf numFmtId="3" fontId="0" fillId="0" borderId="0" pivotButton="0" quotePrefix="0" xfId="0"/>
    <xf numFmtId="0" fontId="0" fillId="0" borderId="144" pivotButton="0" quotePrefix="0" xfId="0"/>
    <xf numFmtId="0" fontId="0" fillId="0" borderId="142" pivotButton="0" quotePrefix="0" xfId="0"/>
    <xf numFmtId="0" fontId="67" fillId="0" borderId="139" applyAlignment="1" pivotButton="0" quotePrefix="0" xfId="0">
      <alignment horizontal="left" vertical="center" wrapText="1"/>
    </xf>
    <xf numFmtId="179" fontId="74" fillId="0" borderId="139" applyAlignment="1" pivotButton="0" quotePrefix="0" xfId="0">
      <alignment horizontal="right" vertical="center" wrapText="1"/>
    </xf>
    <xf numFmtId="0" fontId="75" fillId="0" borderId="139" applyAlignment="1" pivotButton="0" quotePrefix="0" xfId="0">
      <alignment horizontal="left" vertical="center" wrapText="1"/>
    </xf>
    <xf numFmtId="0" fontId="0" fillId="0" borderId="141" pivotButton="0" quotePrefix="0" xfId="0"/>
    <xf numFmtId="0" fontId="72" fillId="0" borderId="0" pivotButton="0" quotePrefix="0" xfId="0"/>
    <xf numFmtId="0" fontId="13" fillId="3" borderId="59" applyAlignment="1" pivotButton="0" quotePrefix="0" xfId="0">
      <alignment horizontal="centerContinuous" vertical="center" wrapText="1"/>
    </xf>
    <xf numFmtId="0" fontId="13" fillId="3" borderId="58" applyAlignment="1" pivotButton="0" quotePrefix="0" xfId="0">
      <alignment horizontal="center" vertical="center" wrapText="1"/>
    </xf>
    <xf numFmtId="0" fontId="0" fillId="0" borderId="59" applyAlignment="1" pivotButton="0" quotePrefix="0" xfId="0">
      <alignment vertical="center" wrapText="1"/>
    </xf>
    <xf numFmtId="0" fontId="13" fillId="3" borderId="60" applyAlignment="1" pivotButton="0" quotePrefix="0" xfId="0">
      <alignment horizontal="center" vertical="center" wrapText="1"/>
    </xf>
    <xf numFmtId="0" fontId="0" fillId="0" borderId="58" applyAlignment="1" pivotButton="0" quotePrefix="0" xfId="0">
      <alignment vertical="center" wrapText="1"/>
    </xf>
    <xf numFmtId="0" fontId="12" fillId="4" borderId="17" applyAlignment="1" pivotButton="0" quotePrefix="0" xfId="0">
      <alignment horizontal="center" vertical="center" wrapText="1"/>
    </xf>
    <xf numFmtId="164" fontId="12" fillId="0" borderId="17" applyAlignment="1" pivotButton="0" quotePrefix="0" xfId="0">
      <alignment horizontal="left" vertical="center" wrapText="1" indent="1"/>
    </xf>
    <xf numFmtId="166" fontId="8" fillId="0" borderId="17" applyAlignment="1" pivotButton="0" quotePrefix="0" xfId="0">
      <alignment horizontal="right" vertical="center" wrapText="1"/>
    </xf>
    <xf numFmtId="165" fontId="8" fillId="0" borderId="17" applyAlignment="1" pivotButton="0" quotePrefix="0" xfId="0">
      <alignment horizontal="right" vertical="center" wrapText="1" indent="1"/>
    </xf>
    <xf numFmtId="0" fontId="12" fillId="2" borderId="17" applyAlignment="1" pivotButton="0" quotePrefix="0" xfId="0">
      <alignment horizontal="left" vertical="center" wrapText="1" indent="1"/>
    </xf>
    <xf numFmtId="0" fontId="12" fillId="4" borderId="22" applyAlignment="1" pivotButton="0" quotePrefix="0" xfId="0">
      <alignment horizontal="center" vertical="center" wrapText="1"/>
    </xf>
    <xf numFmtId="0" fontId="12" fillId="2" borderId="21" applyAlignment="1" pivotButton="0" quotePrefix="0" xfId="0">
      <alignment horizontal="left" vertical="center" wrapText="1" indent="1"/>
    </xf>
    <xf numFmtId="0" fontId="12" fillId="4" borderId="16" applyAlignment="1" pivotButton="0" quotePrefix="0" xfId="0">
      <alignment horizontal="center" vertical="center" wrapText="1"/>
    </xf>
    <xf numFmtId="0" fontId="15" fillId="4" borderId="16" applyAlignment="1" pivotButton="0" quotePrefix="0" xfId="0">
      <alignment horizontal="left" vertical="center" wrapText="1" indent="1"/>
    </xf>
    <xf numFmtId="164" fontId="12" fillId="0" borderId="17" applyAlignment="1" pivotButton="0" quotePrefix="0" xfId="0">
      <alignment horizontal="centerContinuous" vertical="center" wrapText="1"/>
    </xf>
    <xf numFmtId="0" fontId="15" fillId="7" borderId="16" applyAlignment="1" pivotButton="0" quotePrefix="0" xfId="0">
      <alignment horizontal="left" vertical="center" wrapText="1" indent="1"/>
    </xf>
    <xf numFmtId="164" fontId="15" fillId="7" borderId="17" applyAlignment="1" pivotButton="0" quotePrefix="0" xfId="0">
      <alignment horizontal="centerContinuous" vertical="center" wrapText="1"/>
    </xf>
    <xf numFmtId="166" fontId="7" fillId="7" borderId="17" applyAlignment="1" pivotButton="0" quotePrefix="0" xfId="0">
      <alignment horizontal="right" vertical="center" wrapText="1"/>
    </xf>
    <xf numFmtId="164" fontId="7" fillId="7" borderId="17" applyAlignment="1" pivotButton="0" quotePrefix="0" xfId="0">
      <alignment horizontal="right" vertical="center" wrapText="1"/>
    </xf>
    <xf numFmtId="0" fontId="15" fillId="7" borderId="21" applyAlignment="1" pivotButton="0" quotePrefix="0" xfId="0">
      <alignment horizontal="left" vertical="center" wrapText="1" indent="1"/>
    </xf>
    <xf numFmtId="0" fontId="12" fillId="4" borderId="16" applyAlignment="1" pivotButton="0" quotePrefix="0" xfId="0">
      <alignment horizontal="left" vertical="center" wrapText="1" indent="1"/>
    </xf>
    <xf numFmtId="0" fontId="0" fillId="0" borderId="59" pivotButton="0" quotePrefix="0" xfId="0"/>
    <xf numFmtId="164" fontId="12" fillId="0" borderId="17" applyAlignment="1" pivotButton="0" quotePrefix="0" xfId="0">
      <alignment horizontal="left" vertical="center" indent="1"/>
    </xf>
    <xf numFmtId="166" fontId="8" fillId="0" borderId="17" applyAlignment="1" pivotButton="0" quotePrefix="0" xfId="0">
      <alignment vertical="center"/>
    </xf>
    <xf numFmtId="164" fontId="12" fillId="0" borderId="17" applyAlignment="1" pivotButton="0" quotePrefix="0" xfId="0">
      <alignment horizontal="centerContinuous" vertical="center"/>
    </xf>
    <xf numFmtId="164" fontId="15" fillId="7" borderId="17" applyAlignment="1" pivotButton="0" quotePrefix="0" xfId="0">
      <alignment horizontal="centerContinuous" vertical="center"/>
    </xf>
    <xf numFmtId="166" fontId="7" fillId="7" borderId="17" applyAlignment="1" pivotButton="0" quotePrefix="0" xfId="0">
      <alignment vertical="center"/>
    </xf>
    <xf numFmtId="164" fontId="7" fillId="7" borderId="17" applyAlignment="1" pivotButton="0" quotePrefix="0" xfId="0">
      <alignment horizontal="right" vertical="center"/>
    </xf>
    <xf numFmtId="174" fontId="68" fillId="0" borderId="139" applyAlignment="1" pivotButton="0" quotePrefix="0" xfId="0">
      <alignment horizontal="right" vertical="center" wrapText="1"/>
    </xf>
    <xf numFmtId="174" fontId="71" fillId="19" borderId="139" applyAlignment="1" pivotButton="0" quotePrefix="0" xfId="0">
      <alignment horizontal="right" vertical="center" wrapText="1"/>
    </xf>
    <xf numFmtId="0" fontId="76" fillId="18" borderId="139" applyAlignment="1" pivotButton="0" quotePrefix="0" xfId="0">
      <alignment horizontal="right" vertical="center" wrapText="1"/>
    </xf>
    <xf numFmtId="181" fontId="73" fillId="0" borderId="139" applyAlignment="1" pivotButton="0" quotePrefix="0" xfId="0">
      <alignment horizontal="right" vertical="center" wrapText="1"/>
    </xf>
    <xf numFmtId="164" fontId="8" fillId="0" borderId="17" applyAlignment="1" pivotButton="0" quotePrefix="0" xfId="0">
      <alignment horizontal="right" vertical="center" indent="1"/>
    </xf>
    <xf numFmtId="164" fontId="15" fillId="7" borderId="21" applyAlignment="1" pivotButton="0" quotePrefix="0" xfId="0">
      <alignment horizontal="centerContinuous" vertical="center"/>
    </xf>
    <xf numFmtId="166" fontId="7" fillId="7" borderId="21" applyAlignment="1" pivotButton="0" quotePrefix="0" xfId="0">
      <alignment horizontal="right" vertical="center" indent="1"/>
    </xf>
    <xf numFmtId="164" fontId="7" fillId="7" borderId="21" applyAlignment="1" pivotButton="0" quotePrefix="0" xfId="0">
      <alignment horizontal="right" vertical="center" indent="1"/>
    </xf>
    <xf numFmtId="166" fontId="12" fillId="0" borderId="17" applyAlignment="1" pivotButton="0" quotePrefix="0" xfId="0">
      <alignment horizontal="left" vertical="center" indent="1"/>
    </xf>
    <xf numFmtId="166" fontId="12" fillId="0" borderId="21" applyAlignment="1" pivotButton="0" quotePrefix="0" xfId="0">
      <alignment horizontal="left" vertical="center" indent="1"/>
    </xf>
    <xf numFmtId="166" fontId="24" fillId="0" borderId="17" applyAlignment="1" pivotButton="0" quotePrefix="0" xfId="0">
      <alignment horizontal="right" vertical="center" indent="1"/>
    </xf>
    <xf numFmtId="166" fontId="15" fillId="7" borderId="21" applyAlignment="1" pivotButton="0" quotePrefix="0" xfId="0">
      <alignment horizontal="left" vertical="center" indent="1"/>
    </xf>
    <xf numFmtId="1" fontId="12" fillId="2" borderId="16" applyAlignment="1" pivotButton="0" quotePrefix="0" xfId="0">
      <alignment horizontal="right" vertical="center" indent="1"/>
    </xf>
    <xf numFmtId="176" fontId="12" fillId="2" borderId="16" applyAlignment="1" pivotButton="0" quotePrefix="0" xfId="0">
      <alignment horizontal="right" vertical="center" indent="1"/>
    </xf>
    <xf numFmtId="164" fontId="12" fillId="0" borderId="16" applyAlignment="1" pivotButton="0" quotePrefix="0" xfId="0">
      <alignment horizontal="left" vertical="center" indent="1"/>
    </xf>
    <xf numFmtId="164" fontId="12" fillId="0" borderId="16" applyAlignment="1" pivotButton="0" quotePrefix="0" xfId="0">
      <alignment vertical="center"/>
    </xf>
    <xf numFmtId="164" fontId="12" fillId="0" borderId="16" applyAlignment="1" pivotButton="0" quotePrefix="0" xfId="0">
      <alignment horizontal="right" vertical="center" indent="1"/>
    </xf>
    <xf numFmtId="176" fontId="12" fillId="0" borderId="17" applyAlignment="1" pivotButton="0" quotePrefix="0" xfId="0">
      <alignment horizontal="right" vertical="center" indent="1"/>
    </xf>
    <xf numFmtId="164" fontId="12" fillId="0" borderId="17" applyAlignment="1" pivotButton="0" quotePrefix="0" xfId="0">
      <alignment vertical="center"/>
    </xf>
    <xf numFmtId="164" fontId="12" fillId="0" borderId="17" applyAlignment="1" pivotButton="0" quotePrefix="0" xfId="0">
      <alignment horizontal="right" vertical="center" indent="1"/>
    </xf>
    <xf numFmtId="172" fontId="12" fillId="2" borderId="16" applyAlignment="1" pivotButton="0" quotePrefix="0" xfId="0">
      <alignment horizontal="right" vertical="center" indent="1"/>
    </xf>
    <xf numFmtId="172" fontId="8" fillId="2" borderId="16" applyAlignment="1" pivotButton="0" quotePrefix="0" xfId="0">
      <alignment horizontal="right" vertical="center" indent="1"/>
    </xf>
    <xf numFmtId="164" fontId="8" fillId="0" borderId="17" applyAlignment="1" pivotButton="0" quotePrefix="0" xfId="0">
      <alignment horizontal="left" vertical="center" indent="1"/>
    </xf>
    <xf numFmtId="164" fontId="8" fillId="0" borderId="17" applyAlignment="1" pivotButton="0" quotePrefix="0" xfId="0">
      <alignment vertical="center"/>
    </xf>
    <xf numFmtId="164" fontId="12" fillId="0" borderId="16" applyAlignment="1" pivotButton="0" quotePrefix="0" xfId="0">
      <alignment horizontal="center" vertical="center" wrapText="1"/>
    </xf>
    <xf numFmtId="4" fontId="8" fillId="0" borderId="16" applyAlignment="1" pivotButton="0" quotePrefix="0" xfId="0">
      <alignment horizontal="right" vertical="center"/>
    </xf>
    <xf numFmtId="166" fontId="8" fillId="0" borderId="16" applyAlignment="1" pivotButton="0" quotePrefix="0" xfId="0">
      <alignment horizontal="right" vertical="center" indent="1"/>
    </xf>
    <xf numFmtId="180" fontId="68" fillId="0" borderId="139" applyAlignment="1" pivotButton="0" quotePrefix="0" xfId="0">
      <alignment horizontal="right" vertical="center" wrapText="1"/>
    </xf>
    <xf numFmtId="0" fontId="69" fillId="0" borderId="139" applyAlignment="1" pivotButton="0" quotePrefix="0" xfId="0">
      <alignment horizontal="center" vertical="center" wrapText="1"/>
    </xf>
    <xf numFmtId="180" fontId="71" fillId="19" borderId="139" applyAlignment="1" pivotButton="0" quotePrefix="0" xfId="0">
      <alignment horizontal="right" vertical="center" wrapText="1"/>
    </xf>
    <xf numFmtId="167" fontId="18" fillId="0" borderId="0" applyAlignment="1" pivotButton="0" quotePrefix="0" xfId="0">
      <alignment vertical="center"/>
    </xf>
    <xf numFmtId="164" fontId="12" fillId="4" borderId="16" applyAlignment="1" pivotButton="0" quotePrefix="0" xfId="0">
      <alignment horizontal="center" vertical="center"/>
    </xf>
    <xf numFmtId="164" fontId="12" fillId="4" borderId="16" applyAlignment="1" pivotButton="0" quotePrefix="0" xfId="0">
      <alignment horizontal="left" vertical="center" indent="1"/>
    </xf>
    <xf numFmtId="4" fontId="8" fillId="4" borderId="16" applyAlignment="1" pivotButton="0" quotePrefix="0" xfId="0">
      <alignment horizontal="right" vertical="center"/>
    </xf>
    <xf numFmtId="164" fontId="12" fillId="4" borderId="16" applyAlignment="1" pivotButton="0" quotePrefix="0" xfId="0">
      <alignment horizontal="right" vertical="center" indent="1"/>
    </xf>
    <xf numFmtId="178" fontId="8" fillId="4" borderId="16" applyAlignment="1" pivotButton="0" quotePrefix="0" xfId="0">
      <alignment horizontal="right" vertical="center"/>
    </xf>
    <xf numFmtId="164" fontId="62" fillId="4" borderId="16" applyAlignment="1" pivotButton="0" quotePrefix="0" xfId="0">
      <alignment horizontal="center" vertical="center"/>
    </xf>
    <xf numFmtId="164" fontId="62" fillId="4" borderId="16" applyAlignment="1" pivotButton="0" quotePrefix="0" xfId="0">
      <alignment horizontal="left" vertical="center" indent="1"/>
    </xf>
    <xf numFmtId="4" fontId="63" fillId="4" borderId="16" applyAlignment="1" pivotButton="0" quotePrefix="0" xfId="0">
      <alignment horizontal="right" vertical="center" indent="1"/>
    </xf>
    <xf numFmtId="164" fontId="63" fillId="4" borderId="16" applyAlignment="1" pivotButton="0" quotePrefix="0" xfId="0">
      <alignment horizontal="left" vertical="center" indent="1"/>
    </xf>
    <xf numFmtId="164" fontId="63" fillId="4" borderId="16" applyAlignment="1" pivotButton="0" quotePrefix="0" xfId="0">
      <alignment horizontal="right" vertical="center" indent="1"/>
    </xf>
    <xf numFmtId="178" fontId="63" fillId="4" borderId="16" applyAlignment="1" pivotButton="0" quotePrefix="0" xfId="0">
      <alignment horizontal="right" vertical="center" indent="1"/>
    </xf>
    <xf numFmtId="0" fontId="63" fillId="4" borderId="16" applyAlignment="1" pivotButton="0" quotePrefix="0" xfId="0">
      <alignment horizontal="left" vertical="center" indent="1"/>
    </xf>
    <xf numFmtId="167" fontId="8" fillId="0" borderId="16" applyAlignment="1" pivotButton="0" quotePrefix="0" xfId="0">
      <alignment horizontal="right" vertical="center" indent="1"/>
    </xf>
    <xf numFmtId="167" fontId="24" fillId="0" borderId="17" applyAlignment="1" pivotButton="0" quotePrefix="0" xfId="0">
      <alignment horizontal="right" vertical="center" wrapText="1" indent="1"/>
    </xf>
    <xf numFmtId="167" fontId="8" fillId="0" borderId="17" applyAlignment="1" pivotButton="0" quotePrefix="0" xfId="0">
      <alignment horizontal="right" vertical="center" indent="1"/>
    </xf>
    <xf numFmtId="164" fontId="8" fillId="0" borderId="16" applyAlignment="1" pivotButton="0" quotePrefix="0" xfId="0">
      <alignment horizontal="right" vertical="center" indent="1"/>
    </xf>
    <xf numFmtId="178" fontId="8" fillId="0" borderId="16" applyAlignment="1" pivotButton="0" quotePrefix="0" xfId="0">
      <alignment horizontal="right" vertical="center"/>
    </xf>
    <xf numFmtId="164" fontId="7" fillId="7" borderId="17" applyAlignment="1" pivotButton="0" quotePrefix="0" xfId="0">
      <alignment horizontal="right" vertical="center" indent="1"/>
    </xf>
    <xf numFmtId="178" fontId="7" fillId="7" borderId="17" applyAlignment="1" pivotButton="0" quotePrefix="0" xfId="0">
      <alignment horizontal="right" vertical="center" indent="1"/>
    </xf>
    <xf numFmtId="164" fontId="8" fillId="2" borderId="0" applyAlignment="1" pivotButton="0" quotePrefix="0" xfId="0">
      <alignment horizontal="right" vertical="center" indent="1"/>
    </xf>
    <xf numFmtId="164" fontId="7" fillId="2" borderId="0" applyAlignment="1" pivotButton="0" quotePrefix="0" xfId="0">
      <alignment horizontal="right" vertical="center" indent="1"/>
    </xf>
    <xf numFmtId="0" fontId="77" fillId="0" borderId="0" pivotButton="0" quotePrefix="0" xfId="0"/>
    <xf numFmtId="0" fontId="78" fillId="17" borderId="0" applyAlignment="1" pivotButton="0" quotePrefix="0" xfId="0">
      <alignment horizontal="center" vertical="center" wrapText="1"/>
    </xf>
    <xf numFmtId="1" fontId="79" fillId="0" borderId="145" pivotButton="0" quotePrefix="0" xfId="0"/>
    <xf numFmtId="0" fontId="80" fillId="0" borderId="145" applyAlignment="1" pivotButton="0" quotePrefix="0" xfId="0">
      <alignment vertical="top" wrapText="1"/>
    </xf>
    <xf numFmtId="0" fontId="75" fillId="0" borderId="145" applyAlignment="1" pivotButton="0" quotePrefix="0" xfId="0">
      <alignment vertical="top" wrapText="1"/>
    </xf>
    <xf numFmtId="0" fontId="81" fillId="0" borderId="0" pivotButton="0" quotePrefix="0" xfId="0"/>
    <xf numFmtId="173" fontId="47" fillId="0" borderId="0" applyAlignment="1" pivotButton="0" quotePrefix="0" xfId="0">
      <alignment horizontal="center" vertical="center"/>
    </xf>
    <xf numFmtId="173" fontId="47" fillId="0" borderId="0" applyAlignment="1" pivotButton="0" quotePrefix="0" xfId="0">
      <alignment vertical="center"/>
    </xf>
    <xf numFmtId="173" fontId="49" fillId="12" borderId="124" applyAlignment="1" pivotButton="0" quotePrefix="0" xfId="0">
      <alignment horizontal="center" vertical="center"/>
    </xf>
    <xf numFmtId="0" fontId="0" fillId="0" borderId="127" pivotButton="0" quotePrefix="0" xfId="0"/>
    <xf numFmtId="173" fontId="49" fillId="12" borderId="124" applyAlignment="1" pivotButton="0" quotePrefix="0" xfId="0">
      <alignment horizontal="centerContinuous" vertical="center"/>
    </xf>
    <xf numFmtId="0" fontId="0" fillId="0" borderId="129" pivotButton="0" quotePrefix="0" xfId="0"/>
    <xf numFmtId="0" fontId="0" fillId="0" borderId="130" pivotButton="0" quotePrefix="0" xfId="0"/>
    <xf numFmtId="172" fontId="50" fillId="12" borderId="124" applyAlignment="1" pivotButton="0" quotePrefix="0" xfId="0">
      <alignment horizontal="center" vertical="center"/>
    </xf>
    <xf numFmtId="172" fontId="51" fillId="15" borderId="124" applyAlignment="1" pivotButton="0" quotePrefix="0" xfId="0">
      <alignment horizontal="center" vertical="center"/>
    </xf>
    <xf numFmtId="172" fontId="53" fillId="16" borderId="124" applyAlignment="1" pivotButton="0" quotePrefix="0" xfId="0">
      <alignment horizontal="center" vertical="center"/>
    </xf>
    <xf numFmtId="173" fontId="17" fillId="13" borderId="124" applyAlignment="1" pivotButton="0" quotePrefix="0" xfId="0">
      <alignment horizontal="center" vertical="center"/>
    </xf>
    <xf numFmtId="173" fontId="14" fillId="0" borderId="124" applyAlignment="1" pivotButton="0" quotePrefix="0" xfId="0">
      <alignment horizontal="center" vertical="center"/>
    </xf>
    <xf numFmtId="173" fontId="47" fillId="6" borderId="124" applyAlignment="1" pivotButton="0" quotePrefix="0" xfId="0">
      <alignment horizontal="center" vertical="center"/>
    </xf>
    <xf numFmtId="173" fontId="47" fillId="2" borderId="124" applyAlignment="1" pivotButton="0" quotePrefix="0" xfId="0">
      <alignment horizontal="center" vertical="center"/>
    </xf>
    <xf numFmtId="0" fontId="0" fillId="0" borderId="131" pivotButton="0" quotePrefix="0" xfId="0"/>
    <xf numFmtId="0" fontId="0" fillId="0" borderId="132" pivotButton="0" quotePrefix="0" xfId="0"/>
    <xf numFmtId="173" fontId="51" fillId="2" borderId="124" applyAlignment="1" pivotButton="0" quotePrefix="0" xfId="0">
      <alignment horizontal="center" vertical="center"/>
    </xf>
    <xf numFmtId="173" fontId="54" fillId="6" borderId="124" applyAlignment="1" pivotButton="0" quotePrefix="0" xfId="0">
      <alignment horizontal="center" vertical="center"/>
    </xf>
    <xf numFmtId="173" fontId="47" fillId="0" borderId="124" applyAlignment="1" pivotButton="0" quotePrefix="0" xfId="0">
      <alignment horizontal="center" vertical="center"/>
    </xf>
    <xf numFmtId="173" fontId="51" fillId="2" borderId="123" applyAlignment="1" pivotButton="0" quotePrefix="0" xfId="0">
      <alignment horizontal="center" vertical="center"/>
    </xf>
    <xf numFmtId="173" fontId="14" fillId="15" borderId="123" applyAlignment="1" pivotButton="0" quotePrefix="0" xfId="0">
      <alignment horizontal="center" vertical="center"/>
    </xf>
    <xf numFmtId="173" fontId="14" fillId="16" borderId="123" applyAlignment="1" pivotButton="0" quotePrefix="0" xfId="0">
      <alignment horizontal="center" vertical="center"/>
    </xf>
    <xf numFmtId="173" fontId="14" fillId="0" borderId="0" applyAlignment="1" pivotButton="0" quotePrefix="0" xfId="0">
      <alignment horizontal="center" vertical="center"/>
    </xf>
    <xf numFmtId="173" fontId="14" fillId="0" borderId="0" applyAlignment="1" pivotButton="0" quotePrefix="0" xfId="0">
      <alignment vertical="center"/>
    </xf>
    <xf numFmtId="173" fontId="52" fillId="12" borderId="124" applyAlignment="1" pivotButton="0" quotePrefix="0" xfId="0">
      <alignment horizontal="center" vertical="center"/>
    </xf>
    <xf numFmtId="173" fontId="14" fillId="8" borderId="124" applyAlignment="1" pivotButton="0" quotePrefix="0" xfId="0">
      <alignment horizontal="center" vertical="center"/>
    </xf>
    <xf numFmtId="173" fontId="14" fillId="15" borderId="124" applyAlignment="1" pivotButton="0" quotePrefix="0" xfId="0">
      <alignment horizontal="center" vertical="center"/>
    </xf>
    <xf numFmtId="173" fontId="14" fillId="16" borderId="124" applyAlignment="1" pivotButton="0" quotePrefix="0" xfId="0">
      <alignment horizontal="center" vertical="center"/>
    </xf>
    <xf numFmtId="0" fontId="0" fillId="0" borderId="133" pivotButton="0" quotePrefix="0" xfId="0"/>
    <xf numFmtId="0" fontId="0" fillId="0" borderId="134" pivotButton="0" quotePrefix="0" xfId="0"/>
    <xf numFmtId="173" fontId="14" fillId="13" borderId="124" applyAlignment="1" pivotButton="0" quotePrefix="0" xfId="0">
      <alignment horizontal="center" vertical="center"/>
    </xf>
    <xf numFmtId="0" fontId="0" fillId="0" borderId="125" pivotButton="0" quotePrefix="0" xfId="0"/>
    <xf numFmtId="0" fontId="0" fillId="0" borderId="126" pivotButton="0" quotePrefix="0" xfId="0"/>
    <xf numFmtId="0" fontId="0" fillId="0" borderId="128" pivotButton="0" quotePrefix="0" xfId="0"/>
    <xf numFmtId="0" fontId="0" fillId="0" borderId="135" pivotButton="0" quotePrefix="0" xfId="0"/>
    <xf numFmtId="164" fontId="8" fillId="0" borderId="20" applyAlignment="1" pivotButton="0" quotePrefix="0" xfId="0">
      <alignment horizontal="right" vertical="center" indent="1"/>
    </xf>
    <xf numFmtId="0" fontId="25" fillId="4" borderId="136" applyAlignment="1" pivotButton="0" quotePrefix="0" xfId="0">
      <alignment horizontal="left" vertical="center" indent="1"/>
    </xf>
    <xf numFmtId="164" fontId="8" fillId="0" borderId="23" applyAlignment="1" pivotButton="0" quotePrefix="0" xfId="0">
      <alignment horizontal="right" vertical="center" indent="1"/>
    </xf>
    <xf numFmtId="164" fontId="8" fillId="0" borderId="1" applyAlignment="1" pivotButton="0" quotePrefix="0" xfId="0">
      <alignment horizontal="right" vertical="center" indent="1"/>
    </xf>
    <xf numFmtId="0" fontId="0" fillId="0" borderId="22" pivotButton="0" quotePrefix="0" xfId="0"/>
    <xf numFmtId="164" fontId="8" fillId="0" borderId="24" applyAlignment="1" pivotButton="0" quotePrefix="0" xfId="0">
      <alignment horizontal="right" vertical="center" indent="1"/>
    </xf>
    <xf numFmtId="164" fontId="8" fillId="0" borderId="26" applyAlignment="1" pivotButton="0" quotePrefix="0" xfId="0">
      <alignment horizontal="right" vertical="center" indent="1"/>
    </xf>
    <xf numFmtId="164" fontId="8" fillId="0" borderId="28" applyAlignment="1" pivotButton="0" quotePrefix="0" xfId="0">
      <alignment horizontal="right" vertical="center" indent="1"/>
    </xf>
    <xf numFmtId="164" fontId="7" fillId="7" borderId="41" applyAlignment="1" pivotButton="0" quotePrefix="0" xfId="0">
      <alignment horizontal="right" vertical="center" indent="1"/>
    </xf>
    <xf numFmtId="164" fontId="8" fillId="0" borderId="2" applyAlignment="1" pivotButton="0" quotePrefix="0" xfId="0">
      <alignment horizontal="right" vertical="center" indent="1"/>
    </xf>
    <xf numFmtId="164" fontId="8" fillId="0" borderId="30" applyAlignment="1" pivotButton="0" quotePrefix="0" xfId="0">
      <alignment horizontal="right" vertical="center" indent="1"/>
    </xf>
    <xf numFmtId="164" fontId="7" fillId="7" borderId="39" applyAlignment="1" pivotButton="0" quotePrefix="0" xfId="0">
      <alignment horizontal="right" vertical="center" indent="1"/>
    </xf>
    <xf numFmtId="164" fontId="8" fillId="0" borderId="40" applyAlignment="1" pivotButton="0" quotePrefix="0" xfId="0">
      <alignment horizontal="right" vertical="center" indent="1"/>
    </xf>
    <xf numFmtId="164" fontId="8" fillId="0" borderId="27" applyAlignment="1" pivotButton="0" quotePrefix="0" xfId="0">
      <alignment horizontal="right" vertical="center" indent="1"/>
    </xf>
    <xf numFmtId="164" fontId="7" fillId="7" borderId="38" applyAlignment="1" pivotButton="0" quotePrefix="0" xfId="0">
      <alignment horizontal="right" vertical="center" indent="1"/>
    </xf>
    <xf numFmtId="164" fontId="8" fillId="0" borderId="29" applyAlignment="1" pivotButton="0" quotePrefix="0" xfId="0">
      <alignment horizontal="right" vertical="center" indent="1"/>
    </xf>
    <xf numFmtId="164" fontId="8" fillId="0" borderId="21" applyAlignment="1" pivotButton="0" quotePrefix="0" xfId="0">
      <alignment horizontal="right" vertical="center" indent="1"/>
    </xf>
    <xf numFmtId="164" fontId="7" fillId="7" borderId="37" applyAlignment="1" pivotButton="0" quotePrefix="0" xfId="0">
      <alignment horizontal="right" vertical="center" indent="1"/>
    </xf>
    <xf numFmtId="164" fontId="8" fillId="0" borderId="34" applyAlignment="1" pivotButton="0" quotePrefix="0" xfId="0">
      <alignment horizontal="right" vertical="center" indent="1"/>
    </xf>
    <xf numFmtId="164" fontId="8" fillId="0" borderId="31" applyAlignment="1" pivotButton="0" quotePrefix="0" xfId="0">
      <alignment horizontal="right" vertical="center" indent="1"/>
    </xf>
    <xf numFmtId="164" fontId="7" fillId="7" borderId="32" applyAlignment="1" pivotButton="0" quotePrefix="0" xfId="0">
      <alignment horizontal="right" vertical="center" indent="1"/>
    </xf>
    <xf numFmtId="164" fontId="8" fillId="0" borderId="36" applyAlignment="1" pivotButton="0" quotePrefix="0" xfId="0">
      <alignment horizontal="right" vertical="center" indent="1"/>
    </xf>
    <xf numFmtId="164" fontId="7" fillId="7" borderId="35" applyAlignment="1" pivotButton="0" quotePrefix="0" xfId="0">
      <alignment horizontal="right" vertical="center" indent="1"/>
    </xf>
    <xf numFmtId="0" fontId="25" fillId="4" borderId="137" applyAlignment="1" pivotButton="0" quotePrefix="0" xfId="0">
      <alignment horizontal="left" vertical="center" indent="1"/>
    </xf>
    <xf numFmtId="0" fontId="0" fillId="0" borderId="43" pivotButton="0" quotePrefix="0" xfId="0"/>
    <xf numFmtId="164" fontId="8" fillId="0" borderId="19" applyAlignment="1" pivotButton="0" quotePrefix="0" xfId="0">
      <alignment horizontal="right" vertical="center" indent="1"/>
    </xf>
    <xf numFmtId="164" fontId="7" fillId="0" borderId="44" applyAlignment="1" pivotButton="0" quotePrefix="0" xfId="0">
      <alignment horizontal="right" vertical="center" indent="1"/>
    </xf>
    <xf numFmtId="164" fontId="7" fillId="0" borderId="46" applyAlignment="1" pivotButton="0" quotePrefix="0" xfId="0">
      <alignment horizontal="right" vertical="center" indent="1"/>
    </xf>
    <xf numFmtId="0" fontId="0" fillId="0" borderId="42" pivotButton="0" quotePrefix="0" xfId="0"/>
    <xf numFmtId="164" fontId="7" fillId="0" borderId="19" applyAlignment="1" pivotButton="0" quotePrefix="0" xfId="0">
      <alignment horizontal="right" vertical="center" indent="1"/>
    </xf>
    <xf numFmtId="164" fontId="7" fillId="0" borderId="47" applyAlignment="1" pivotButton="0" quotePrefix="0" xfId="0">
      <alignment horizontal="right" vertical="center" indent="1"/>
    </xf>
  </cellXfs>
  <cellStyles count="3">
    <cellStyle name="標準" xfId="0" builtinId="0"/>
    <cellStyle name="桁区切り" xfId="1" builtinId="6"/>
    <cellStyle name="標準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charts/chart1.xml><?xml version="1.0" encoding="utf-8"?>
<chartSpace xmlns="http://schemas.openxmlformats.org/drawingml/2006/chart">
  <chart>
    <plotArea>
      <layout/>
      <barChart>
        <barDir val="bar"/>
        <grouping val="stacked"/>
        <varyColors val="0"/>
        <ser>
          <idx val="0"/>
          <order val="0"/>
          <spPr>
            <a:noFill xmlns:a="http://schemas.openxmlformats.org/drawingml/2006/main"/>
            <a:ln xmlns:a="http://schemas.openxmlformats.org/drawingml/2006/main">
              <a:noFill/>
              <a:prstDash val="solid"/>
            </a:ln>
          </spPr>
          <invertIfNegative val="0"/>
          <cat>
            <strRef>
              <f>'株式価値 '!$B$4:$B$6</f>
              <strCache>
                <ptCount val="3"/>
                <pt idx="0">
                  <v>インカム</v>
                </pt>
                <pt idx="1">
                  <v>マーケット</v>
                </pt>
                <pt idx="2">
                  <v>コスト</v>
                </pt>
              </strCache>
            </strRef>
          </cat>
          <val>
            <numRef>
              <f>'株式価値 '!$C$4:$C$6</f>
              <numCache>
                <formatCode>#,##0,</formatCode>
                <ptCount val="3"/>
                <pt idx="0">
                  <v>0</v>
                </pt>
                <pt idx="1">
                  <v>1069000000</v>
                </pt>
                <pt idx="2">
                  <v>571000000</v>
                </pt>
              </numCache>
            </numRef>
          </val>
        </ser>
        <ser>
          <idx val="1"/>
          <order val="1"/>
          <spPr>
            <a:solidFill xmlns:a="http://schemas.openxmlformats.org/drawingml/2006/main">
              <a:schemeClr val="accent4"/>
            </a:solidFill>
            <a:ln xmlns:a="http://schemas.openxmlformats.org/drawingml/2006/main">
              <a:noFill/>
              <a:prstDash val="solid"/>
            </a:ln>
          </spPr>
          <invertIfNegative val="0"/>
          <cat>
            <strRef>
              <f>'株式価値 '!$B$4:$B$6</f>
              <strCache>
                <ptCount val="3"/>
                <pt idx="0">
                  <v>インカム</v>
                </pt>
                <pt idx="1">
                  <v>マーケット</v>
                </pt>
                <pt idx="2">
                  <v>コスト</v>
                </pt>
              </strCache>
            </strRef>
          </cat>
          <val>
            <numRef>
              <f>'株式価値 '!$D$4:$D$6</f>
              <numCache>
                <formatCode>#,##0,</formatCode>
                <ptCount val="3"/>
                <pt idx="0">
                  <v>0</v>
                </pt>
                <pt idx="1">
                  <v>546000000</v>
                </pt>
                <pt idx="2">
                  <v>542000000</v>
                </pt>
              </numCache>
            </numRef>
          </val>
        </ser>
        <dLbls>
          <showLegendKey val="0"/>
          <showVal val="0"/>
          <showCatName val="0"/>
          <showSerName val="0"/>
          <showPercent val="0"/>
          <showBubbleSize val="0"/>
        </dLbls>
        <gapWidth val="70"/>
        <overlap val="100"/>
        <axId val="1437092543"/>
        <axId val="1437094943"/>
      </barChart>
      <catAx>
        <axId val="1437092543"/>
        <scaling>
          <orientation val="minMax"/>
        </scaling>
        <delete val="1"/>
        <axPos val="l"/>
        <numFmt formatCode="General" sourceLinked="1"/>
        <majorTickMark val="out"/>
        <minorTickMark val="none"/>
        <tickLblPos val="nextTo"/>
        <crossAx val="1437094943"/>
        <crosses val="autoZero"/>
        <auto val="1"/>
        <lblAlgn val="ctr"/>
        <lblOffset val="100"/>
        <noMultiLvlLbl val="0"/>
      </catAx>
      <valAx>
        <axId val="1437094943"/>
        <scaling>
          <orientation val="minMax"/>
        </scaling>
        <delete val="0"/>
        <axPos val="b"/>
        <majorGridlines>
          <spPr>
            <a:ln xmlns:a="http://schemas.openxmlformats.org/drawingml/2006/main" w="9525" cap="flat" cmpd="sng" algn="ctr">
              <a:solidFill>
                <a:schemeClr val="tx2"/>
              </a:solidFill>
              <a:prstDash val="solid"/>
              <a:round/>
            </a:ln>
          </spPr>
        </majorGridlines>
        <numFmt formatCode="#,##0," sourceLinked="1"/>
        <majorTickMark val="out"/>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2"/>
                </a:solidFill>
                <a:latin typeface="+mn-lt"/>
                <a:ea typeface="+mn-ea"/>
                <a:cs typeface="+mn-cs"/>
              </a:defRPr>
            </a:pPr>
            <a:r>
              <a:t/>
            </a:r>
            <a:endParaRPr lang="ja-JP"/>
          </a:p>
        </txPr>
        <crossAx val="1437092543"/>
        <crosses val="autoZero"/>
        <crossBetween val="between"/>
      </valAx>
    </plotArea>
    <plotVisOnly val="1"/>
    <dispBlanksAs val="gap"/>
  </chart>
  <spPr>
    <a:solidFill xmlns:a="http://schemas.openxmlformats.org/drawingml/2006/main">
      <a:schemeClr val="bg1"/>
    </a:solidFill>
    <a:ln xmlns:a="http://schemas.openxmlformats.org/drawingml/2006/main" w="12700" cap="flat" cmpd="sng" algn="ctr">
      <a:noFill/>
      <a:prstDash val="solid"/>
      <a:round/>
    </a:ln>
  </spPr>
</chartSpace>
</file>

<file path=xl/charts/chart2.xml><?xml version="1.0" encoding="utf-8"?>
<chartSpace xmlns="http://schemas.openxmlformats.org/drawingml/2006/chart">
  <chart>
    <plotArea>
      <layout/>
      <barChart>
        <barDir val="col"/>
        <grouping val="stacked"/>
        <varyColors val="0"/>
        <ser>
          <idx val="0"/>
          <order val="0"/>
          <tx>
            <strRef>
              <f>グラフ!$C$2</f>
              <strCache>
                <ptCount val="1"/>
                <pt idx="0">
                  <v>A</v>
                </pt>
              </strCache>
            </strRef>
          </tx>
          <spPr>
            <a:solidFill xmlns:a="http://schemas.openxmlformats.org/drawingml/2006/main">
              <a:schemeClr val="accent4"/>
            </a:solidFill>
            <a:ln xmlns:a="http://schemas.openxmlformats.org/drawingml/2006/main">
              <a:noFill/>
              <a:prstDash val="solid"/>
            </a:ln>
          </spPr>
          <invertIfNegative val="0"/>
          <cat>
            <strRef>
              <f>グラフ!$B$3:$B$6</f>
              <strCache>
                <ptCount val="4"/>
                <pt idx="0">
                  <v>第1四半期</v>
                </pt>
                <pt idx="1">
                  <v>第2四半期</v>
                </pt>
                <pt idx="2">
                  <v>第3四半期</v>
                </pt>
                <pt idx="3">
                  <v>第4四半期</v>
                </pt>
              </strCache>
            </strRef>
          </cat>
          <val>
            <numRef>
              <f>グラフ!$C$3:$C$6</f>
              <numCache>
                <formatCode>General</formatCode>
                <ptCount val="4"/>
                <pt idx="0">
                  <v>50</v>
                </pt>
                <pt idx="1">
                  <v>55</v>
                </pt>
                <pt idx="2">
                  <v>52</v>
                </pt>
                <pt idx="3">
                  <v>50</v>
                </pt>
              </numCache>
            </numRef>
          </val>
        </ser>
        <ser>
          <idx val="1"/>
          <order val="1"/>
          <tx>
            <strRef>
              <f>グラフ!$D$2</f>
              <strCache>
                <ptCount val="1"/>
                <pt idx="0">
                  <v>B</v>
                </pt>
              </strCache>
            </strRef>
          </tx>
          <spPr>
            <a:solidFill xmlns:a="http://schemas.openxmlformats.org/drawingml/2006/main">
              <a:schemeClr val="accent2">
                <a:lumMod val="90000"/>
              </a:schemeClr>
            </a:solidFill>
            <a:ln xmlns:a="http://schemas.openxmlformats.org/drawingml/2006/main">
              <a:noFill/>
              <a:prstDash val="solid"/>
            </a:ln>
          </spPr>
          <invertIfNegative val="0"/>
          <cat>
            <strRef>
              <f>グラフ!$B$3:$B$6</f>
              <strCache>
                <ptCount val="4"/>
                <pt idx="0">
                  <v>第1四半期</v>
                </pt>
                <pt idx="1">
                  <v>第2四半期</v>
                </pt>
                <pt idx="2">
                  <v>第3四半期</v>
                </pt>
                <pt idx="3">
                  <v>第4四半期</v>
                </pt>
              </strCache>
            </strRef>
          </cat>
          <val>
            <numRef>
              <f>グラフ!$D$3:$D$6</f>
              <numCache>
                <formatCode>General</formatCode>
                <ptCount val="4"/>
                <pt idx="0">
                  <v>10</v>
                </pt>
                <pt idx="1">
                  <v>25</v>
                </pt>
                <pt idx="2">
                  <v>45</v>
                </pt>
                <pt idx="3">
                  <v>70</v>
                </pt>
              </numCache>
            </numRef>
          </val>
        </ser>
        <ser>
          <idx val="2"/>
          <order val="2"/>
          <tx>
            <strRef>
              <f>グラフ!$E$2</f>
              <strCache>
                <ptCount val="1"/>
                <pt idx="0">
                  <v>C</v>
                </pt>
              </strCache>
            </strRef>
          </tx>
          <spPr>
            <a:solidFill xmlns:a="http://schemas.openxmlformats.org/drawingml/2006/main">
              <a:schemeClr val="bg2">
                <a:lumMod val="90000"/>
              </a:schemeClr>
            </a:solidFill>
            <a:ln xmlns:a="http://schemas.openxmlformats.org/drawingml/2006/main">
              <a:noFill/>
              <a:prstDash val="solid"/>
            </a:ln>
          </spPr>
          <invertIfNegative val="0"/>
          <cat>
            <strRef>
              <f>グラフ!$B$3:$B$6</f>
              <strCache>
                <ptCount val="4"/>
                <pt idx="0">
                  <v>第1四半期</v>
                </pt>
                <pt idx="1">
                  <v>第2四半期</v>
                </pt>
                <pt idx="2">
                  <v>第3四半期</v>
                </pt>
                <pt idx="3">
                  <v>第4四半期</v>
                </pt>
              </strCache>
            </strRef>
          </cat>
          <val>
            <numRef>
              <f>グラフ!$E$3:$E$6</f>
              <numCache>
                <formatCode>General</formatCode>
                <ptCount val="4"/>
                <pt idx="0">
                  <v>20</v>
                </pt>
                <pt idx="1">
                  <v>22</v>
                </pt>
                <pt idx="2">
                  <v>25</v>
                </pt>
                <pt idx="3">
                  <v>25</v>
                </pt>
              </numCache>
            </numRef>
          </val>
        </ser>
        <dLbls>
          <showLegendKey val="0"/>
          <showVal val="0"/>
          <showCatName val="0"/>
          <showSerName val="0"/>
          <showPercent val="0"/>
          <showBubbleSize val="0"/>
        </dLbls>
        <gapWidth val="150"/>
        <overlap val="100"/>
        <axId val="1627278032"/>
        <axId val="1627282832"/>
      </barChart>
      <catAx>
        <axId val="162727803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tx1"/>
                </a:solidFill>
                <a:latin typeface="+mj-lt"/>
                <a:ea typeface="+mj-ea"/>
                <a:cs typeface="Arial" panose="020B0604020202020204" pitchFamily="34" charset="0"/>
              </a:defRPr>
            </a:pPr>
            <a:r>
              <a:t/>
            </a:r>
            <a:endParaRPr lang="ja-JP"/>
          </a:p>
        </txPr>
        <crossAx val="1627282832"/>
        <crosses val="autoZero"/>
        <auto val="1"/>
        <lblAlgn val="ctr"/>
        <lblOffset val="100"/>
        <noMultiLvlLbl val="0"/>
      </catAx>
      <valAx>
        <axId val="1627282832"/>
        <scaling>
          <orientation val="minMax"/>
        </scaling>
        <delete val="0"/>
        <axPos val="l"/>
        <majorGridlines>
          <spPr>
            <a:ln xmlns:a="http://schemas.openxmlformats.org/drawingml/2006/main" w="9525" cap="flat" cmpd="sng" algn="ctr">
              <a:no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solidFill>
                <a:latin typeface="+mn-lt"/>
                <a:ea typeface="+mn-ea"/>
                <a:cs typeface="Arial" panose="020B0604020202020204" pitchFamily="34" charset="0"/>
              </a:defRPr>
            </a:pPr>
            <a:r>
              <a:t/>
            </a:r>
            <a:endParaRPr lang="ja-JP"/>
          </a:p>
        </txPr>
        <crossAx val="1627278032"/>
        <crosses val="autoZero"/>
        <crossBetween val="between"/>
      </valAx>
    </plotArea>
    <legend>
      <legendPos val="t"/>
      <layout>
        <manualLayout>
          <xMode val="edge"/>
          <yMode val="edge"/>
          <wMode val="factor"/>
          <hMode val="factor"/>
          <x val="0.07723452048639712"/>
          <y val="0.02765957524039692"/>
          <w val="0.20066045514385"/>
          <h val="0.07866027471548206"/>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Arial" panose="020B0604020202020204" pitchFamily="34" charset="0"/>
            </a:defRPr>
          </a:pPr>
          <a:r>
            <a:t/>
          </a:r>
          <a:endParaRPr lang="ja-JP"/>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lineChart>
        <grouping val="standard"/>
        <varyColors val="0"/>
        <ser>
          <idx val="0"/>
          <order val="0"/>
          <tx>
            <strRef>
              <f>グラフ!$C$18</f>
              <strCache>
                <ptCount val="1"/>
                <pt idx="0">
                  <v>A</v>
                </pt>
              </strCache>
            </strRef>
          </tx>
          <spPr>
            <a:ln xmlns:a="http://schemas.openxmlformats.org/drawingml/2006/main" w="25400" cap="rnd">
              <a:solidFill>
                <a:schemeClr val="tx2"/>
              </a:solidFill>
              <a:prstDash val="solid"/>
              <a:round/>
            </a:ln>
          </spPr>
          <marker>
            <symbol val="circle"/>
            <size val="5"/>
            <spPr>
              <a:solidFill xmlns:a="http://schemas.openxmlformats.org/drawingml/2006/main">
                <a:schemeClr val="bg1"/>
              </a:solidFill>
              <a:ln xmlns:a="http://schemas.openxmlformats.org/drawingml/2006/main" w="12700">
                <a:solidFill>
                  <a:schemeClr val="tx2"/>
                </a:solidFill>
                <a:prstDash val="solid"/>
              </a:ln>
            </spPr>
          </marker>
          <cat>
            <strRef>
              <f>グラフ!$B$19:$B$23</f>
              <strCache>
                <ptCount val="5"/>
                <pt idx="0">
                  <v>1ヶ月目</v>
                </pt>
                <pt idx="1">
                  <v>2ヶ月目</v>
                </pt>
                <pt idx="2">
                  <v>3か月目</v>
                </pt>
                <pt idx="3">
                  <v>4か月目</v>
                </pt>
                <pt idx="4">
                  <v>5か月目</v>
                </pt>
              </strCache>
            </strRef>
          </cat>
          <val>
            <numRef>
              <f>グラフ!$C$19:$C$23</f>
              <numCache>
                <formatCode>General</formatCode>
                <ptCount val="5"/>
                <pt idx="0">
                  <v>100</v>
                </pt>
                <pt idx="1">
                  <v>105</v>
                </pt>
                <pt idx="2">
                  <v>110</v>
                </pt>
                <pt idx="3">
                  <v>115</v>
                </pt>
                <pt idx="4">
                  <v>120</v>
                </pt>
              </numCache>
            </numRef>
          </val>
          <smooth val="0"/>
        </ser>
        <ser>
          <idx val="1"/>
          <order val="1"/>
          <tx>
            <strRef>
              <f>グラフ!$D$18</f>
              <strCache>
                <ptCount val="1"/>
                <pt idx="0">
                  <v>B</v>
                </pt>
              </strCache>
            </strRef>
          </tx>
          <spPr>
            <a:ln xmlns:a="http://schemas.openxmlformats.org/drawingml/2006/main" w="25400" cap="rnd">
              <a:solidFill>
                <a:schemeClr val="bg2">
                  <a:lumMod val="75000"/>
                </a:schemeClr>
              </a:solidFill>
              <a:prstDash val="solid"/>
              <a:round/>
            </a:ln>
          </spPr>
          <marker>
            <symbol val="circle"/>
            <size val="5"/>
            <spPr>
              <a:solidFill xmlns:a="http://schemas.openxmlformats.org/drawingml/2006/main">
                <a:schemeClr val="bg1"/>
              </a:solidFill>
              <a:ln xmlns:a="http://schemas.openxmlformats.org/drawingml/2006/main" w="12700">
                <a:solidFill>
                  <a:schemeClr val="bg2">
                    <a:lumMod val="75000"/>
                  </a:schemeClr>
                </a:solidFill>
                <a:prstDash val="solid"/>
              </a:ln>
            </spPr>
          </marker>
          <cat>
            <strRef>
              <f>グラフ!$B$19:$B$23</f>
              <strCache>
                <ptCount val="5"/>
                <pt idx="0">
                  <v>1ヶ月目</v>
                </pt>
                <pt idx="1">
                  <v>2ヶ月目</v>
                </pt>
                <pt idx="2">
                  <v>3か月目</v>
                </pt>
                <pt idx="3">
                  <v>4か月目</v>
                </pt>
                <pt idx="4">
                  <v>5か月目</v>
                </pt>
              </strCache>
            </strRef>
          </cat>
          <val>
            <numRef>
              <f>グラフ!$D$19:$D$23</f>
              <numCache>
                <formatCode>General</formatCode>
                <ptCount val="5"/>
                <pt idx="0">
                  <v>100</v>
                </pt>
                <pt idx="1">
                  <v>90</v>
                </pt>
                <pt idx="2">
                  <v>75</v>
                </pt>
                <pt idx="3">
                  <v>60</v>
                </pt>
                <pt idx="4">
                  <v>55</v>
                </pt>
              </numCache>
            </numRef>
          </val>
          <smooth val="0"/>
        </ser>
        <ser>
          <idx val="2"/>
          <order val="2"/>
          <tx>
            <strRef>
              <f>グラフ!$E$18</f>
              <strCache>
                <ptCount val="1"/>
                <pt idx="0">
                  <v>C</v>
                </pt>
              </strCache>
            </strRef>
          </tx>
          <spPr>
            <a:ln xmlns:a="http://schemas.openxmlformats.org/drawingml/2006/main" w="25400" cap="rnd">
              <a:solidFill>
                <a:schemeClr val="accent4"/>
              </a:solidFill>
              <a:prstDash val="solid"/>
              <a:round/>
            </a:ln>
          </spPr>
          <marker>
            <symbol val="circle"/>
            <size val="5"/>
            <spPr>
              <a:solidFill xmlns:a="http://schemas.openxmlformats.org/drawingml/2006/main">
                <a:schemeClr val="bg1"/>
              </a:solidFill>
              <a:ln xmlns:a="http://schemas.openxmlformats.org/drawingml/2006/main" w="12700">
                <a:solidFill>
                  <a:schemeClr val="accent4"/>
                </a:solidFill>
                <a:prstDash val="solid"/>
              </a:ln>
            </spPr>
          </marker>
          <cat>
            <strRef>
              <f>グラフ!$B$19:$B$23</f>
              <strCache>
                <ptCount val="5"/>
                <pt idx="0">
                  <v>1ヶ月目</v>
                </pt>
                <pt idx="1">
                  <v>2ヶ月目</v>
                </pt>
                <pt idx="2">
                  <v>3か月目</v>
                </pt>
                <pt idx="3">
                  <v>4か月目</v>
                </pt>
                <pt idx="4">
                  <v>5か月目</v>
                </pt>
              </strCache>
            </strRef>
          </cat>
          <val>
            <numRef>
              <f>グラフ!$E$19:$E$23</f>
              <numCache>
                <formatCode>General</formatCode>
                <ptCount val="5"/>
                <pt idx="0">
                  <v>100</v>
                </pt>
                <pt idx="1">
                  <v>110</v>
                </pt>
                <pt idx="2">
                  <v>90</v>
                </pt>
                <pt idx="3">
                  <v>80</v>
                </pt>
                <pt idx="4">
                  <v>45</v>
                </pt>
              </numCache>
            </numRef>
          </val>
          <smooth val="0"/>
        </ser>
        <dLbls>
          <showLegendKey val="0"/>
          <showVal val="0"/>
          <showCatName val="0"/>
          <showSerName val="0"/>
          <showPercent val="0"/>
          <showBubbleSize val="0"/>
        </dLbls>
        <marker val="1"/>
        <smooth val="0"/>
        <axId val="1956101888"/>
        <axId val="1956103328"/>
      </lineChart>
      <catAx>
        <axId val="195610188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tx1"/>
                </a:solidFill>
                <a:latin typeface="+mj-lt"/>
                <a:ea typeface="+mj-ea"/>
                <a:cs typeface="Arial" panose="020B0604020202020204" pitchFamily="34" charset="0"/>
              </a:defRPr>
            </a:pPr>
            <a:r>
              <a:t/>
            </a:r>
            <a:endParaRPr lang="ja-JP"/>
          </a:p>
        </txPr>
        <crossAx val="1956103328"/>
        <crosses val="autoZero"/>
        <auto val="1"/>
        <lblAlgn val="ctr"/>
        <lblOffset val="100"/>
        <noMultiLvlLbl val="0"/>
      </catAx>
      <valAx>
        <axId val="1956103328"/>
        <scaling>
          <orientation val="minMax"/>
        </scaling>
        <delete val="0"/>
        <axPos val="l"/>
        <majorGridlines>
          <spPr>
            <a:ln xmlns:a="http://schemas.openxmlformats.org/drawingml/2006/main" w="9525" cap="flat" cmpd="sng" algn="ctr">
              <a:no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solidFill>
                <a:latin typeface="+mn-lt"/>
                <a:ea typeface="+mn-ea"/>
                <a:cs typeface="+mn-cs"/>
              </a:defRPr>
            </a:pPr>
            <a:r>
              <a:t/>
            </a:r>
            <a:endParaRPr lang="ja-JP"/>
          </a:p>
        </txPr>
        <crossAx val="1956101888"/>
        <crosses val="autoZero"/>
        <crossBetween val="between"/>
      </valAx>
    </plotArea>
    <legend>
      <legendPos val="t"/>
      <layout>
        <manualLayout>
          <xMode val="edge"/>
          <yMode val="edge"/>
          <wMode val="factor"/>
          <hMode val="factor"/>
          <x val="0.08400008586770855"/>
          <y val="0.03226950444712974"/>
          <w val="0.3085332458442694"/>
          <h val="0.078996427529892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
          </a:r>
          <a:endParaRPr lang="ja-JP"/>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2960837707786527"/>
          <y val="0.1579709827938174"/>
          <w val="0.4411660104986876"/>
          <h val="0.7352766841644794"/>
        </manualLayout>
      </layout>
      <doughnutChart>
        <varyColors val="1"/>
        <ser>
          <idx val="0"/>
          <order val="0"/>
          <tx>
            <strRef>
              <f>グラフ!$C$33</f>
              <strCache>
                <ptCount val="1"/>
                <pt idx="0">
                  <v>グラフタイトル</v>
                </pt>
              </strCache>
            </strRef>
          </tx>
          <spPr>
            <a:ln xmlns:a="http://schemas.openxmlformats.org/drawingml/2006/main" w="12700">
              <a:prstDash val="solid"/>
            </a:ln>
          </spPr>
          <dPt>
            <idx val="0"/>
            <bubble3D val="0"/>
            <spPr>
              <a:solidFill xmlns:a="http://schemas.openxmlformats.org/drawingml/2006/main">
                <a:schemeClr val="accent4"/>
              </a:solidFill>
              <a:ln xmlns:a="http://schemas.openxmlformats.org/drawingml/2006/main" w="12700">
                <a:solidFill>
                  <a:schemeClr val="lt1"/>
                </a:solidFill>
                <a:prstDash val="solid"/>
              </a:ln>
            </spPr>
          </dPt>
          <dPt>
            <idx val="1"/>
            <bubble3D val="0"/>
            <spPr>
              <a:solidFill xmlns:a="http://schemas.openxmlformats.org/drawingml/2006/main">
                <a:schemeClr val="accent2">
                  <a:lumMod val="90000"/>
                </a:schemeClr>
              </a:solidFill>
              <a:ln xmlns:a="http://schemas.openxmlformats.org/drawingml/2006/main" w="12700">
                <a:solidFill>
                  <a:schemeClr val="lt1"/>
                </a:solidFill>
                <a:prstDash val="solid"/>
              </a:ln>
            </spPr>
          </dPt>
          <dPt>
            <idx val="2"/>
            <bubble3D val="0"/>
            <spPr>
              <a:solidFill xmlns:a="http://schemas.openxmlformats.org/drawingml/2006/main">
                <a:schemeClr val="accent2"/>
              </a:solidFill>
              <a:ln xmlns:a="http://schemas.openxmlformats.org/drawingml/2006/main" w="12700">
                <a:solidFill>
                  <a:schemeClr val="lt1"/>
                </a:solidFill>
                <a:prstDash val="solid"/>
              </a:ln>
            </spPr>
          </dPt>
          <dPt>
            <idx val="3"/>
            <bubble3D val="0"/>
            <spPr>
              <a:solidFill xmlns:a="http://schemas.openxmlformats.org/drawingml/2006/main">
                <a:schemeClr val="bg2">
                  <a:lumMod val="90000"/>
                </a:schemeClr>
              </a:solidFill>
              <a:ln xmlns:a="http://schemas.openxmlformats.org/drawingml/2006/main" w="1270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2000" b="1" i="0" strike="noStrike" kern="1200" baseline="0">
                      <a:solidFill>
                        <a:schemeClr val="bg1"/>
                      </a:solidFill>
                      <a:latin typeface="+mj-lt"/>
                      <a:ea typeface="+mn-ea"/>
                      <a:cs typeface="+mn-cs"/>
                    </a:defRPr>
                  </a:pPr>
                  <a:r>
                    <a:t/>
                  </a:r>
                  <a:endParaRPr lang="ja-JP" altLang="en-US"/>
                </a:p>
              </txPr>
              <showLegendKey val="0"/>
              <showVal val="1"/>
              <showCatName val="0"/>
              <showSerName val="0"/>
              <showPercent val="0"/>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600" b="1" i="0" strike="noStrike" kern="1200" baseline="0">
                      <a:solidFill>
                        <a:schemeClr val="tx1"/>
                      </a:solidFill>
                      <a:latin typeface="+mj-lt"/>
                      <a:ea typeface="+mn-ea"/>
                      <a:cs typeface="+mn-cs"/>
                    </a:defRPr>
                  </a:pPr>
                  <a:r>
                    <a:t/>
                  </a:r>
                  <a:endParaRPr lang="ja-JP"/>
                </a:p>
              </txPr>
              <showLegendKey val="0"/>
              <showVal val="1"/>
              <showCatName val="0"/>
              <showSerName val="0"/>
              <showPercent val="0"/>
              <showBubbleSize val="0"/>
            </dLbl>
            <dLbl>
              <idx val="2"/>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600" b="1" i="0" strike="noStrike" kern="1200" baseline="0">
                      <a:solidFill>
                        <a:schemeClr val="tx1"/>
                      </a:solidFill>
                      <a:latin typeface="+mj-lt"/>
                      <a:ea typeface="+mn-ea"/>
                      <a:cs typeface="+mn-cs"/>
                    </a:defRPr>
                  </a:pPr>
                  <a:r>
                    <a:t/>
                  </a:r>
                  <a:endParaRPr lang="ja-JP"/>
                </a:p>
              </txPr>
              <showLegendKey val="0"/>
              <showVal val="1"/>
              <showCatName val="0"/>
              <showSerName val="0"/>
              <showPercent val="0"/>
              <showBubbleSize val="0"/>
            </dLbl>
            <dLbl>
              <idx val="3"/>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600" b="1" i="0" strike="noStrike" kern="1200" baseline="0">
                      <a:solidFill>
                        <a:schemeClr val="tx1"/>
                      </a:solidFill>
                      <a:latin typeface="+mj-lt"/>
                      <a:ea typeface="+mn-ea"/>
                      <a:cs typeface="+mn-cs"/>
                    </a:defRPr>
                  </a:pPr>
                  <a:r>
                    <a:t/>
                  </a:r>
                  <a:endParaRPr lang="ja-JP"/>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800" b="1" i="0" strike="noStrike" kern="1200" baseline="0">
                    <a:solidFill>
                      <a:schemeClr val="bg1"/>
                    </a:solidFill>
                    <a:latin typeface="+mj-lt"/>
                    <a:ea typeface="+mn-ea"/>
                    <a:cs typeface="+mn-cs"/>
                  </a:defRPr>
                </a:pPr>
                <a:r>
                  <a:t/>
                </a:r>
                <a:endParaRPr lang="ja-JP"/>
              </a:p>
            </txPr>
            <showLegendKey val="0"/>
            <showVal val="1"/>
            <showCatName val="0"/>
            <showSerName val="0"/>
            <showPercent val="0"/>
            <showBubbleSize val="0"/>
            <showLeaderLines val="1"/>
          </dLbls>
          <cat>
            <strRef>
              <f>グラフ!$B$34:$B$37</f>
              <strCache>
                <ptCount val="4"/>
                <pt idx="0">
                  <v>A</v>
                </pt>
                <pt idx="1">
                  <v>B</v>
                </pt>
                <pt idx="2">
                  <v>C</v>
                </pt>
                <pt idx="3">
                  <v>D</v>
                </pt>
              </strCache>
            </strRef>
          </cat>
          <val>
            <numRef>
              <f>グラフ!$C$34:$C$37</f>
              <numCache>
                <formatCode>General</formatCode>
                <ptCount val="4"/>
                <pt idx="0">
                  <v>60</v>
                </pt>
                <pt idx="1">
                  <v>20</v>
                </pt>
                <pt idx="2">
                  <v>15</v>
                </pt>
                <pt idx="3">
                  <v>5</v>
                </pt>
              </numCache>
            </numRef>
          </val>
        </ser>
        <dLbls>
          <showLegendKey val="0"/>
          <showVal val="1"/>
          <showCatName val="0"/>
          <showSerName val="0"/>
          <showPercent val="0"/>
          <showBubbleSize val="0"/>
          <showLeaderLines val="1"/>
        </dLbls>
        <firstSliceAng val="0"/>
        <holeSize val="50"/>
      </doughnutChart>
    </plotArea>
    <legend>
      <legendPos val="t"/>
      <layout>
        <manualLayout>
          <xMode val="edge"/>
          <yMode val="edge"/>
          <wMode val="factor"/>
          <hMode val="factor"/>
          <x val="0.2286030183727034"/>
          <y val="0.0735793963254593"/>
          <w val="0.2247023396579833"/>
          <h val="0.078996427529892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
          </a:r>
          <a:endParaRPr lang="ja-JP"/>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barChart>
        <barDir val="bar"/>
        <grouping val="stacked"/>
        <varyColors val="0"/>
        <ser>
          <idx val="0"/>
          <order val="0"/>
          <tx>
            <strRef>
              <f>グラフ!$C$51</f>
              <strCache>
                <ptCount val="1"/>
                <pt idx="0">
                  <v>X</v>
                </pt>
              </strCache>
            </strRef>
          </tx>
          <spPr>
            <a:solidFill xmlns:a="http://schemas.openxmlformats.org/drawingml/2006/main">
              <a:schemeClr val="accent4"/>
            </a:solidFill>
            <a:ln xmlns:a="http://schemas.openxmlformats.org/drawingml/2006/main">
              <a:noFill/>
              <a:prstDash val="solid"/>
            </a:ln>
          </spPr>
          <invertIfNegative val="0"/>
          <cat>
            <strRef>
              <f>グラフ!$B$52:$B$55</f>
              <strCache>
                <ptCount val="4"/>
                <pt idx="0">
                  <v>D</v>
                </pt>
                <pt idx="1">
                  <v>C</v>
                </pt>
                <pt idx="2">
                  <v>B</v>
                </pt>
                <pt idx="3">
                  <v>A</v>
                </pt>
              </strCache>
            </strRef>
          </cat>
          <val>
            <numRef>
              <f>グラフ!$C$52:$C$55</f>
              <numCache>
                <formatCode>General</formatCode>
                <ptCount val="4"/>
                <pt idx="0">
                  <v>4.3</v>
                </pt>
                <pt idx="1">
                  <v>2.5</v>
                </pt>
                <pt idx="2">
                  <v>3.5</v>
                </pt>
                <pt idx="3">
                  <v>4.5</v>
                </pt>
              </numCache>
            </numRef>
          </val>
        </ser>
        <ser>
          <idx val="1"/>
          <order val="1"/>
          <tx>
            <strRef>
              <f>グラフ!$D$51</f>
              <strCache>
                <ptCount val="1"/>
                <pt idx="0">
                  <v>Y</v>
                </pt>
              </strCache>
            </strRef>
          </tx>
          <spPr>
            <a:solidFill xmlns:a="http://schemas.openxmlformats.org/drawingml/2006/main">
              <a:schemeClr val="accent2">
                <a:lumMod val="90000"/>
              </a:schemeClr>
            </a:solidFill>
            <a:ln xmlns:a="http://schemas.openxmlformats.org/drawingml/2006/main">
              <a:noFill/>
              <a:prstDash val="solid"/>
            </a:ln>
          </spPr>
          <invertIfNegative val="0"/>
          <cat>
            <strRef>
              <f>グラフ!$B$52:$B$55</f>
              <strCache>
                <ptCount val="4"/>
                <pt idx="0">
                  <v>D</v>
                </pt>
                <pt idx="1">
                  <v>C</v>
                </pt>
                <pt idx="2">
                  <v>B</v>
                </pt>
                <pt idx="3">
                  <v>A</v>
                </pt>
              </strCache>
            </strRef>
          </cat>
          <val>
            <numRef>
              <f>グラフ!$D$52:$D$55</f>
              <numCache>
                <formatCode>General</formatCode>
                <ptCount val="4"/>
                <pt idx="0">
                  <v>2.4</v>
                </pt>
                <pt idx="1">
                  <v>4.4</v>
                </pt>
                <pt idx="2">
                  <v>1.8</v>
                </pt>
                <pt idx="3">
                  <v>2.8</v>
                </pt>
              </numCache>
            </numRef>
          </val>
        </ser>
        <ser>
          <idx val="2"/>
          <order val="2"/>
          <tx>
            <strRef>
              <f>グラフ!$E$51</f>
              <strCache>
                <ptCount val="1"/>
                <pt idx="0">
                  <v>Z</v>
                </pt>
              </strCache>
            </strRef>
          </tx>
          <spPr>
            <a:solidFill xmlns:a="http://schemas.openxmlformats.org/drawingml/2006/main">
              <a:schemeClr val="bg2">
                <a:lumMod val="90000"/>
              </a:schemeClr>
            </a:solidFill>
            <a:ln xmlns:a="http://schemas.openxmlformats.org/drawingml/2006/main">
              <a:noFill/>
              <a:prstDash val="solid"/>
            </a:ln>
          </spPr>
          <invertIfNegative val="0"/>
          <cat>
            <strRef>
              <f>グラフ!$B$52:$B$55</f>
              <strCache>
                <ptCount val="4"/>
                <pt idx="0">
                  <v>D</v>
                </pt>
                <pt idx="1">
                  <v>C</v>
                </pt>
                <pt idx="2">
                  <v>B</v>
                </pt>
                <pt idx="3">
                  <v>A</v>
                </pt>
              </strCache>
            </strRef>
          </cat>
          <val>
            <numRef>
              <f>グラフ!$E$52:$E$55</f>
              <numCache>
                <formatCode>General</formatCode>
                <ptCount val="4"/>
                <pt idx="0">
                  <v>2</v>
                </pt>
                <pt idx="1">
                  <v>2</v>
                </pt>
                <pt idx="2">
                  <v>3</v>
                </pt>
                <pt idx="3">
                  <v>5</v>
                </pt>
              </numCache>
            </numRef>
          </val>
        </ser>
        <dLbls>
          <showLegendKey val="0"/>
          <showVal val="0"/>
          <showCatName val="0"/>
          <showSerName val="0"/>
          <showPercent val="0"/>
          <showBubbleSize val="0"/>
        </dLbls>
        <gapWidth val="100"/>
        <overlap val="100"/>
        <axId val="2057801312"/>
        <axId val="2057798912"/>
      </barChart>
      <catAx>
        <axId val="2057801312"/>
        <scaling>
          <orientation val="minMax"/>
        </scaling>
        <delete val="0"/>
        <axPos val="l"/>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tx1"/>
                </a:solidFill>
                <a:latin typeface="+mj-lt"/>
                <a:ea typeface="+mn-ea"/>
                <a:cs typeface="+mn-cs"/>
              </a:defRPr>
            </a:pPr>
            <a:r>
              <a:t/>
            </a:r>
            <a:endParaRPr lang="ja-JP"/>
          </a:p>
        </txPr>
        <crossAx val="2057798912"/>
        <crosses val="autoZero"/>
        <auto val="1"/>
        <lblAlgn val="ctr"/>
        <lblOffset val="100"/>
        <noMultiLvlLbl val="0"/>
      </catAx>
      <valAx>
        <axId val="2057798912"/>
        <scaling>
          <orientation val="minMax"/>
        </scaling>
        <delete val="0"/>
        <axPos val="b"/>
        <majorGridlines>
          <spPr>
            <a:ln xmlns:a="http://schemas.openxmlformats.org/drawingml/2006/main" w="9525" cap="flat" cmpd="sng" algn="ctr">
              <a:no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solidFill>
                <a:latin typeface="+mn-lt"/>
                <a:ea typeface="+mn-ea"/>
                <a:cs typeface="+mn-cs"/>
              </a:defRPr>
            </a:pPr>
            <a:r>
              <a:t/>
            </a:r>
            <a:endParaRPr lang="ja-JP"/>
          </a:p>
        </txPr>
        <crossAx val="2057801312"/>
        <crosses val="autoZero"/>
        <crossBetween val="between"/>
      </valAx>
    </plotArea>
    <legend>
      <legendPos val="t"/>
      <layout>
        <manualLayout>
          <xMode val="edge"/>
          <yMode val="edge"/>
          <wMode val="factor"/>
          <hMode val="factor"/>
          <x val="0.04231943500098699"/>
          <y val="0.04615057445448795"/>
          <w val="0.1658688833812208"/>
          <h val="0.0783744205635429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
          </a:r>
          <a:endParaRPr lang="ja-JP"/>
        </a:p>
      </txPr>
    </legend>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barChart>
        <barDir val="col"/>
        <grouping val="stacked"/>
        <varyColors val="0"/>
        <ser>
          <idx val="0"/>
          <order val="0"/>
          <tx>
            <strRef>
              <f>グラフ!$C$2</f>
              <strCache>
                <ptCount val="1"/>
                <pt idx="0">
                  <v>A</v>
                </pt>
              </strCache>
            </strRef>
          </tx>
          <spPr>
            <a:solidFill xmlns:a="http://schemas.openxmlformats.org/drawingml/2006/main">
              <a:schemeClr val="accent2">
                <a:lumMod val="90000"/>
              </a:schemeClr>
            </a:solidFill>
            <a:ln xmlns:a="http://schemas.openxmlformats.org/drawingml/2006/main">
              <a:noFill/>
              <a:prstDash val="solid"/>
            </a:ln>
          </spPr>
          <invertIfNegative val="0"/>
          <dPt>
            <idx val="3"/>
            <invertIfNegative val="0"/>
            <bubble3D val="0"/>
            <spPr>
              <a:solidFill xmlns:a="http://schemas.openxmlformats.org/drawingml/2006/main">
                <a:schemeClr val="accent4"/>
              </a:solidFill>
              <a:ln xmlns:a="http://schemas.openxmlformats.org/drawingml/2006/main">
                <a:noFill/>
                <a:prstDash val="solid"/>
              </a:ln>
            </spPr>
          </dPt>
          <cat>
            <strRef>
              <f>グラフ!$B$3:$B$6</f>
              <strCache>
                <ptCount val="4"/>
                <pt idx="0">
                  <v>第1四半期</v>
                </pt>
                <pt idx="1">
                  <v>第2四半期</v>
                </pt>
                <pt idx="2">
                  <v>第3四半期</v>
                </pt>
                <pt idx="3">
                  <v>第4四半期</v>
                </pt>
              </strCache>
            </strRef>
          </cat>
          <val>
            <numRef>
              <f>グラフ!$T$3:$T$6</f>
              <numCache>
                <formatCode>General</formatCode>
                <ptCount val="4"/>
                <pt idx="0">
                  <v>50</v>
                </pt>
                <pt idx="1">
                  <v>55</v>
                </pt>
                <pt idx="2">
                  <v>52</v>
                </pt>
                <pt idx="3">
                  <v>80</v>
                </pt>
              </numCache>
            </numRef>
          </val>
        </ser>
        <dLbls>
          <showLegendKey val="0"/>
          <showVal val="0"/>
          <showCatName val="0"/>
          <showSerName val="0"/>
          <showPercent val="0"/>
          <showBubbleSize val="0"/>
        </dLbls>
        <gapWidth val="150"/>
        <overlap val="100"/>
        <axId val="1627278032"/>
        <axId val="1627282832"/>
      </barChart>
      <catAx>
        <axId val="162727803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tx1"/>
                </a:solidFill>
                <a:latin typeface="+mj-lt"/>
                <a:ea typeface="+mj-ea"/>
                <a:cs typeface="Arial" panose="020B0604020202020204" pitchFamily="34" charset="0"/>
              </a:defRPr>
            </a:pPr>
            <a:r>
              <a:t/>
            </a:r>
            <a:endParaRPr lang="ja-JP"/>
          </a:p>
        </txPr>
        <crossAx val="1627282832"/>
        <crosses val="autoZero"/>
        <auto val="1"/>
        <lblAlgn val="ctr"/>
        <lblOffset val="100"/>
        <noMultiLvlLbl val="0"/>
      </catAx>
      <valAx>
        <axId val="1627282832"/>
        <scaling>
          <orientation val="minMax"/>
        </scaling>
        <delete val="0"/>
        <axPos val="l"/>
        <majorGridlines>
          <spPr>
            <a:ln xmlns:a="http://schemas.openxmlformats.org/drawingml/2006/main" w="9525" cap="flat" cmpd="sng" algn="ctr">
              <a:no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solidFill>
                <a:latin typeface="+mn-lt"/>
                <a:ea typeface="+mn-ea"/>
                <a:cs typeface="Arial" panose="020B0604020202020204" pitchFamily="34" charset="0"/>
              </a:defRPr>
            </a:pPr>
            <a:r>
              <a:t/>
            </a:r>
            <a:endParaRPr lang="ja-JP"/>
          </a:p>
        </txPr>
        <crossAx val="162727803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barChart>
        <barDir val="col"/>
        <grouping val="stacked"/>
        <varyColors val="0"/>
        <ser>
          <idx val="0"/>
          <order val="0"/>
          <tx>
            <strRef>
              <f>グラフ!$C$2</f>
              <strCache>
                <ptCount val="1"/>
                <pt idx="0">
                  <v>A</v>
                </pt>
              </strCache>
            </strRef>
          </tx>
          <spPr>
            <a:solidFill xmlns:a="http://schemas.openxmlformats.org/drawingml/2006/main">
              <a:schemeClr val="bg2">
                <a:lumMod val="90000"/>
              </a:schemeClr>
            </a:solidFill>
            <a:ln xmlns:a="http://schemas.openxmlformats.org/drawingml/2006/main">
              <a:noFill/>
              <a:prstDash val="solid"/>
            </a:ln>
          </spPr>
          <invertIfNegative val="0"/>
          <dPt>
            <idx val="3"/>
            <invertIfNegative val="0"/>
            <bubble3D val="0"/>
            <spPr>
              <a:solidFill xmlns:a="http://schemas.openxmlformats.org/drawingml/2006/main">
                <a:schemeClr val="accent4"/>
              </a:solidFill>
              <a:ln xmlns:a="http://schemas.openxmlformats.org/drawingml/2006/main">
                <a:noFill/>
                <a:prstDash val="solid"/>
              </a:ln>
            </spPr>
          </dPt>
          <cat>
            <strRef>
              <f>グラフ!$B$3:$B$6</f>
              <strCache>
                <ptCount val="4"/>
                <pt idx="0">
                  <v>第1四半期</v>
                </pt>
                <pt idx="1">
                  <v>第2四半期</v>
                </pt>
                <pt idx="2">
                  <v>第3四半期</v>
                </pt>
                <pt idx="3">
                  <v>第4四半期</v>
                </pt>
              </strCache>
            </strRef>
          </cat>
          <val>
            <numRef>
              <f>グラフ!$T$20:$T$23</f>
              <numCache>
                <formatCode>General</formatCode>
                <ptCount val="4"/>
                <pt idx="0">
                  <v>50</v>
                </pt>
                <pt idx="1">
                  <v>55</v>
                </pt>
                <pt idx="2">
                  <v>52</v>
                </pt>
                <pt idx="3">
                  <v>80</v>
                </pt>
              </numCache>
            </numRef>
          </val>
        </ser>
        <dLbls>
          <showLegendKey val="0"/>
          <showVal val="0"/>
          <showCatName val="0"/>
          <showSerName val="0"/>
          <showPercent val="0"/>
          <showBubbleSize val="0"/>
        </dLbls>
        <gapWidth val="150"/>
        <overlap val="100"/>
        <axId val="1627278032"/>
        <axId val="1627282832"/>
      </barChart>
      <catAx>
        <axId val="162727803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tx1"/>
                </a:solidFill>
                <a:latin typeface="+mj-lt"/>
                <a:ea typeface="+mj-ea"/>
                <a:cs typeface="Arial" panose="020B0604020202020204" pitchFamily="34" charset="0"/>
              </a:defRPr>
            </a:pPr>
            <a:r>
              <a:t/>
            </a:r>
            <a:endParaRPr lang="ja-JP"/>
          </a:p>
        </txPr>
        <crossAx val="1627282832"/>
        <crosses val="autoZero"/>
        <auto val="1"/>
        <lblAlgn val="ctr"/>
        <lblOffset val="100"/>
        <noMultiLvlLbl val="0"/>
      </catAx>
      <valAx>
        <axId val="1627282832"/>
        <scaling>
          <orientation val="minMax"/>
        </scaling>
        <delete val="0"/>
        <axPos val="l"/>
        <majorGridlines>
          <spPr>
            <a:ln xmlns:a="http://schemas.openxmlformats.org/drawingml/2006/main" w="9525" cap="flat" cmpd="sng" algn="ctr">
              <a:no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solidFill>
                <a:latin typeface="+mn-lt"/>
                <a:ea typeface="+mn-ea"/>
                <a:cs typeface="Arial" panose="020B0604020202020204" pitchFamily="34" charset="0"/>
              </a:defRPr>
            </a:pPr>
            <a:r>
              <a:t/>
            </a:r>
            <a:endParaRPr lang="ja-JP"/>
          </a:p>
        </txPr>
        <crossAx val="1627278032"/>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 Type="http://schemas.openxmlformats.org/officeDocument/2006/relationships/chart" Target="/xl/charts/chart5.xml" Id="rId4"/><Relationship Type="http://schemas.openxmlformats.org/officeDocument/2006/relationships/chart" Target="/xl/charts/chart6.xml" Id="rId5"/><Relationship Type="http://schemas.openxmlformats.org/officeDocument/2006/relationships/chart" Target="/xl/charts/chart7.xml" Id="rId6"/></Relationships>
</file>

<file path=xl/drawings/drawing1.xml><?xml version="1.0" encoding="utf-8"?>
<wsDr xmlns="http://schemas.openxmlformats.org/drawingml/2006/spreadsheetDrawing">
  <twoCellAnchor>
    <from>
      <col>2</col>
      <colOff>240030</colOff>
      <row>7</row>
      <rowOff>160020</rowOff>
    </from>
    <to>
      <col>5</col>
      <colOff>883920</colOff>
      <row>21</row>
      <rowOff>38100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6</col>
      <colOff>206375</colOff>
      <row>0</row>
      <rowOff>206375</rowOff>
    </from>
    <to>
      <col>13</col>
      <colOff>139700</colOff>
      <row>12</row>
      <rowOff>206375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6</col>
      <colOff>219075</colOff>
      <row>16</row>
      <rowOff>174625</rowOff>
    </from>
    <to>
      <col>13</col>
      <colOff>168275</colOff>
      <row>28</row>
      <rowOff>174625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6</col>
      <colOff>225425</colOff>
      <row>31</row>
      <rowOff>180975</rowOff>
    </from>
    <to>
      <col>13</col>
      <colOff>174625</colOff>
      <row>43</row>
      <rowOff>180975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6</col>
      <colOff>376465</colOff>
      <row>48</row>
      <rowOff>20864</rowOff>
    </from>
    <to>
      <col>13</col>
      <colOff>312965</colOff>
      <row>60</row>
      <rowOff>42635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21</col>
      <colOff>206375</colOff>
      <row>0</row>
      <rowOff>206375</rowOff>
    </from>
    <to>
      <col>28</col>
      <colOff>139700</colOff>
      <row>12</row>
      <rowOff>206375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21</col>
      <colOff>206375</colOff>
      <row>17</row>
      <rowOff>206375</rowOff>
    </from>
    <to>
      <col>28</col>
      <colOff>139700</colOff>
      <row>29</row>
      <rowOff>206375</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theme/theme1.xml><?xml version="1.0" encoding="utf-8"?>
<a:theme xmlns:a="http://schemas.openxmlformats.org/drawingml/2006/main"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a:ea typeface="游ゴシック"/>
        <a:cs typeface=""/>
      </a:majorFont>
      <a:minorFont>
        <a:latin typeface="Arial"/>
        <a:ea typeface="游ゴシック Medium"/>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_rels/sheet5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tabColor rgb="FFFFFF00"/>
    <outlinePr summaryBelow="1" summaryRight="1"/>
    <pageSetUpPr/>
  </sheetPr>
  <dimension ref="B3:G47"/>
  <sheetViews>
    <sheetView showGridLines="0" workbookViewId="0">
      <selection activeCell="A1" sqref="A1"/>
    </sheetView>
  </sheetViews>
  <sheetFormatPr baseColWidth="8" defaultRowHeight="18"/>
  <cols>
    <col width="6.375" customWidth="1" style="118" min="2" max="2"/>
  </cols>
  <sheetData>
    <row r="3">
      <c r="B3" s="118" t="n">
        <v>1</v>
      </c>
      <c r="C3" s="0" t="inlineStr">
        <is>
          <t>文字は「游ゴシック」、数字は「Arial」を基本。備考欄などの細かい文章は「游ゴシック Medium」。</t>
        </is>
      </c>
    </row>
    <row r="4">
      <c r="B4" s="118" t="n">
        <v>2</v>
      </c>
      <c r="C4" s="0" t="inlineStr">
        <is>
          <t>タイトル、合計欄は太字</t>
        </is>
      </c>
    </row>
    <row r="5">
      <c r="B5" s="118" t="n">
        <v>3</v>
      </c>
      <c r="C5" s="0" t="inlineStr">
        <is>
          <t>数字は円単位で入力、表示は千円単位に設定済み</t>
        </is>
      </c>
    </row>
    <row r="6">
      <c r="B6" s="118" t="n">
        <v>4</v>
      </c>
      <c r="C6" s="0" t="inlineStr">
        <is>
          <t>基本の背景は以下の通り。紺、水色、グレー、白、青。パレットの上部の色。</t>
        </is>
      </c>
    </row>
    <row r="7">
      <c r="C7" s="446" t="n"/>
      <c r="D7" s="448" t="n"/>
      <c r="E7" s="447" t="n"/>
      <c r="F7" s="51" t="n"/>
      <c r="G7" s="449" t="n"/>
    </row>
    <row r="8">
      <c r="B8" s="0" t="n"/>
      <c r="C8" s="0" t="inlineStr">
        <is>
          <t>線は紺か白か青。</t>
        </is>
      </c>
    </row>
    <row r="10" ht="20.25" customHeight="1" s="595" thickBot="1">
      <c r="C10" s="183" t="inlineStr">
        <is>
          <t>資産の部</t>
        </is>
      </c>
      <c r="D10" s="173" t="n"/>
      <c r="E10" s="173" t="n"/>
      <c r="F10" s="174" t="n"/>
    </row>
    <row r="11" ht="19.5" customHeight="1" s="595">
      <c r="C11" s="184" t="inlineStr">
        <is>
          <t>科目</t>
        </is>
      </c>
      <c r="D11" s="236">
        <f>'BS(借方)'!F10</f>
        <v>0</v>
      </c>
      <c r="E11" s="253" t="inlineStr">
        <is>
          <t>調整額</t>
        </is>
      </c>
      <c r="F11" s="264" t="inlineStr">
        <is>
          <t>調整後</t>
        </is>
      </c>
    </row>
    <row r="12" ht="19.5" customHeight="1" s="595">
      <c r="C12" s="169" t="inlineStr">
        <is>
          <t>【流動資産】</t>
        </is>
      </c>
      <c r="D12" s="596">
        <f>SUM(D13:D26)</f>
        <v>5000000</v>
      </c>
      <c r="E12" s="596">
        <f>SUM(E13:E26)</f>
        <v>-500000</v>
      </c>
      <c r="F12" s="597">
        <f>SUM(F13:F26)</f>
        <v>4500000</v>
      </c>
    </row>
    <row r="13" ht="19.5" customHeight="1" s="595">
      <c r="C13" s="323" t="inlineStr">
        <is>
          <t>現金及び預金</t>
        </is>
      </c>
      <c r="D13" s="598" t="n">
        <v>5000000</v>
      </c>
      <c r="E13" s="598" t="n">
        <v>-500000</v>
      </c>
      <c r="F13" s="599">
        <f>D13+E13</f>
        <v>4500000</v>
      </c>
    </row>
    <row r="14" ht="19.5" customHeight="1" s="595">
      <c r="C14" s="323" t="n"/>
      <c r="D14" s="598" t="n"/>
      <c r="E14" s="598" t="n"/>
      <c r="F14" s="599">
        <f>D14+E14</f>
        <v>0</v>
      </c>
    </row>
    <row r="16">
      <c r="B16" s="600" t="inlineStr">
        <is>
          <t>■ 本案件の運用（株式会社鶴岡中央青果）</t>
        </is>
      </c>
    </row>
    <row r="17">
      <c r="B17" s="601" t="inlineStr">
        <is>
          <t>1. 本ファイルが唯一の数値ソース。企業概要書・評価書の数字は必ず本ファイルから貼る（パワポに直接打たない）。</t>
        </is>
      </c>
    </row>
    <row r="18">
      <c r="B18" s="601" t="inlineStr">
        <is>
          <t>2. 財務入力：D列=24年3月期（第51期）、E列=25年3月期、F列=26年3月期（直近期・評価基準日）、G列=進行期（2026年4〜9月の試算表、6か月累計）。1期目（C列）は未使用のため非表示。</t>
        </is>
      </c>
    </row>
    <row r="19">
      <c r="B19" s="601" t="inlineStr">
        <is>
          <t>3. 非表示の行・列は概要書に貼らない（空行・1期目・売上行・氏名等）。貼付スクリプト（im_paste.paste_range）も非表示を自動で除く。</t>
        </is>
      </c>
    </row>
    <row r="20">
      <c r="B20" s="601" t="inlineStr">
        <is>
          <t>4. 未確認事項は推測で埋めず「要確認」。推測は「推察」「想定」「（仮説）」と明記し、「その他」シートに集約。社内限の情報は「その他」の「プロセス関連（社内確認事項）」のみに記載。</t>
        </is>
      </c>
    </row>
    <row r="21">
      <c r="B21" s="601" t="inlineStr">
        <is>
          <t>5. 更新：2026/10/27 公式フォーマットへ移行（旧マスター261019の内容を転記）。9月試算表・順位表・分類別売上・認定証を反映。SGA 26/3期の行ずれ、テンプレートの数式不具合（年買法G8/H8、ネットキャッシュF15、修正BS(貸方)D50）を修正。</t>
        </is>
      </c>
    </row>
    <row r="23">
      <c r="B23" s="600" t="inlineStr">
        <is>
          <t>■ 企業概要書への貼付範囲一覧（各IMシートのA1/A2にも表記）</t>
        </is>
      </c>
    </row>
    <row r="24">
      <c r="B24" s="602" t="inlineStr">
        <is>
          <t xml:space="preserve">   会社概要!B2:C15　→　基本情報</t>
        </is>
      </c>
    </row>
    <row r="25">
      <c r="B25" s="602" t="inlineStr">
        <is>
          <t xml:space="preserve">   PLハイライト!B2:G25　→　財務ハイライト（P/L）</t>
        </is>
      </c>
    </row>
    <row r="26">
      <c r="B26" s="602" t="inlineStr">
        <is>
          <t xml:space="preserve">   BSハイライト!B2:F21　→　財務ハイライト（B/S）</t>
        </is>
      </c>
    </row>
    <row r="27">
      <c r="B27" s="602" t="inlineStr">
        <is>
          <t xml:space="preserve">   取引先!B2:M17　→　主要得意先の3期推移</t>
        </is>
      </c>
    </row>
    <row r="28">
      <c r="B28" s="602" t="inlineStr">
        <is>
          <t xml:space="preserve">   仕入先!B2:L17　→　主要仕入先の3期推移</t>
        </is>
      </c>
    </row>
    <row r="29">
      <c r="B29" s="602" t="inlineStr">
        <is>
          <t xml:space="preserve">   株主!B2:H15　→　株主及び役員（株主）</t>
        </is>
      </c>
    </row>
    <row r="30">
      <c r="B30" s="602" t="inlineStr">
        <is>
          <t xml:space="preserve">   取締役!B2:H15　→　株主及び役員（役員）</t>
        </is>
      </c>
    </row>
    <row r="31">
      <c r="B31" s="602" t="inlineStr">
        <is>
          <t xml:space="preserve">   従業員!B4:Q28　→　従業員一覧</t>
        </is>
      </c>
    </row>
    <row r="32">
      <c r="B32" s="602" t="inlineStr">
        <is>
          <t xml:space="preserve">   拠点(本社等)!B2:G6　→　拠点概要（本社・市場）</t>
        </is>
      </c>
    </row>
    <row r="33">
      <c r="B33" s="602" t="inlineStr">
        <is>
          <t xml:space="preserve">   不動産(所有)!B3:K15　→　不動産詳細</t>
        </is>
      </c>
    </row>
    <row r="34">
      <c r="B34" s="602" t="inlineStr">
        <is>
          <t xml:space="preserve">   設備!B2:K29　→　保有設備一覧（建物内訳）</t>
        </is>
      </c>
    </row>
    <row r="35">
      <c r="B35" s="602" t="inlineStr">
        <is>
          <t xml:space="preserve">   設備!D33:K41　→　保有設備一覧（科目別）</t>
        </is>
      </c>
    </row>
    <row r="36">
      <c r="B36" s="602" t="inlineStr">
        <is>
          <t xml:space="preserve">   売上構成!B4:E11　→　事業の仕組みと収益源</t>
        </is>
      </c>
    </row>
    <row r="37">
      <c r="B37" s="602" t="inlineStr">
        <is>
          <t xml:space="preserve">   品目別売上!B4:J23　→　品目別売上高の3期推移</t>
        </is>
      </c>
    </row>
    <row r="38">
      <c r="B38" s="602" t="inlineStr">
        <is>
          <t xml:space="preserve">   不動産概況!B4:J9　→　不動産概況</t>
        </is>
      </c>
    </row>
    <row r="39">
      <c r="B39" s="602" t="inlineStr">
        <is>
          <t xml:space="preserve">   許認可!B5:F8　→　許認可一覧</t>
        </is>
      </c>
    </row>
    <row r="40">
      <c r="B40" s="602" t="inlineStr">
        <is>
          <t xml:space="preserve">   月別売上!B4:O8　→　月別売上高（季節性）</t>
        </is>
      </c>
    </row>
    <row r="41">
      <c r="B41" s="602" t="inlineStr">
        <is>
          <t xml:space="preserve">   沿革!B4:C16　→　沿革</t>
        </is>
      </c>
    </row>
    <row r="42">
      <c r="B42" s="602" t="inlineStr">
        <is>
          <t xml:space="preserve">   その他補足!B4:C15　→　その他補足情報</t>
        </is>
      </c>
    </row>
    <row r="43">
      <c r="B43" s="602" t="inlineStr">
        <is>
          <t xml:space="preserve">   'BS(借方)'!B3:G61　→　貸借対照表（資産の部）</t>
        </is>
      </c>
    </row>
    <row r="44">
      <c r="B44" s="602" t="inlineStr">
        <is>
          <t xml:space="preserve">   'BS (貸方)'!B3:G25　→　貸借対照表（負債の部）</t>
        </is>
      </c>
    </row>
    <row r="45">
      <c r="B45" s="602" t="inlineStr">
        <is>
          <t xml:space="preserve">   'BS (貸方)'!B34:G51　→　貸借対照表（純資産の部）</t>
        </is>
      </c>
    </row>
    <row r="46">
      <c r="B46" s="602" t="inlineStr">
        <is>
          <t xml:space="preserve">   PL!B2:L56　→　損益計算書</t>
        </is>
      </c>
    </row>
    <row r="47">
      <c r="B47" s="602" t="inlineStr">
        <is>
          <t xml:space="preserve">   SGA!B2:L40　→　販売費及び一般管理費</t>
        </is>
      </c>
    </row>
  </sheetData>
  <pageMargins left="0.7" right="0.7" top="0.75" bottom="0.75" header="0.3" footer="0.3"/>
</worksheet>
</file>

<file path=xl/worksheets/sheet2.xml><?xml version="1.0" encoding="utf-8"?>
<worksheet xmlns="http://schemas.openxmlformats.org/spreadsheetml/2006/main">
  <sheetPr>
    <tabColor theme="7" tint="-0.499984740745262"/>
    <outlinePr summaryBelow="1" summaryRight="1"/>
    <pageSetUpPr/>
  </sheetPr>
  <dimension ref="A1:A1"/>
  <sheetViews>
    <sheetView showGridLines="0" workbookViewId="0">
      <selection activeCell="A1" sqref="A1"/>
    </sheetView>
  </sheetViews>
  <sheetFormatPr baseColWidth="8" defaultRowHeight="18"/>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78"/>
  <sheetViews>
    <sheetView showGridLines="0" tabSelected="1" zoomScale="70" zoomScaleNormal="70" workbookViewId="0">
      <pane ySplit="4" topLeftCell="A44" activePane="bottomLeft" state="frozen"/>
      <selection pane="bottomLeft" activeCell="A61" sqref="A61"/>
    </sheetView>
  </sheetViews>
  <sheetFormatPr baseColWidth="8" defaultRowHeight="18"/>
  <cols>
    <col width="28" bestFit="1" customWidth="1" style="182" min="2" max="2"/>
    <col hidden="1" width="16.125" customWidth="1" style="595" min="3" max="3"/>
    <col width="16.125" customWidth="1" style="595" min="4" max="4"/>
    <col width="16.125" customWidth="1" style="595" min="5" max="5"/>
    <col width="16.125" customWidth="1" style="595" min="6" max="6"/>
    <col width="16.125" customWidth="1" style="595" min="7" max="7"/>
    <col width="8.875" customWidth="1" style="595" min="8" max="8"/>
  </cols>
  <sheetData>
    <row r="1">
      <c r="A1" s="603" t="inlineStr">
        <is>
          <t>■ 貼付範囲 B3:G61 → 企業概要書「貸借対照表（資産の部）」（C列・空行は非表示）</t>
        </is>
      </c>
      <c r="C1" s="538" t="inlineStr">
        <is>
          <t>←基本的にはここをつかう→</t>
        </is>
      </c>
      <c r="D1" s="539" t="n"/>
      <c r="E1" s="539" t="n"/>
    </row>
    <row r="2">
      <c r="C2" s="537" t="inlineStr">
        <is>
          <t>1期目</t>
        </is>
      </c>
      <c r="D2" s="537" t="inlineStr">
        <is>
          <t>2期目</t>
        </is>
      </c>
      <c r="E2" s="537" t="inlineStr">
        <is>
          <t>3期目</t>
        </is>
      </c>
      <c r="F2" s="537" t="inlineStr">
        <is>
          <t>（4期目）</t>
        </is>
      </c>
      <c r="G2" s="537" t="inlineStr">
        <is>
          <t>進行期</t>
        </is>
      </c>
    </row>
    <row r="3" ht="28.35" customHeight="1" s="595">
      <c r="B3" s="397" t="inlineStr">
        <is>
          <t>資産の部</t>
        </is>
      </c>
      <c r="C3" s="397" t="n"/>
      <c r="D3" s="397" t="n"/>
      <c r="E3" s="397" t="n"/>
      <c r="F3" s="397" t="n"/>
      <c r="G3" s="397" t="n"/>
    </row>
    <row r="4" ht="39" customHeight="1" s="595">
      <c r="B4" s="217" t="inlineStr">
        <is>
          <t>科目</t>
        </is>
      </c>
      <c r="C4" s="217" t="inlineStr">
        <is>
          <t>●●年●月期</t>
        </is>
      </c>
      <c r="D4" s="217" t="inlineStr">
        <is>
          <t>24年3月期</t>
        </is>
      </c>
      <c r="E4" s="217" t="inlineStr">
        <is>
          <t>25年3月期</t>
        </is>
      </c>
      <c r="F4" s="217" t="inlineStr">
        <is>
          <t>26年3月期</t>
        </is>
      </c>
      <c r="G4" s="398" t="inlineStr">
        <is>
          <t>27年3月期
4〜9月TB</t>
        </is>
      </c>
    </row>
    <row r="5" ht="22.5" customHeight="1" s="595">
      <c r="B5" s="169" t="inlineStr">
        <is>
          <t>【流動資産】</t>
        </is>
      </c>
      <c r="C5" s="604">
        <f>SUM(C6:C19)</f>
        <v>0</v>
      </c>
      <c r="D5" s="604">
        <f>SUM(D6:D19)</f>
        <v>375589011</v>
      </c>
      <c r="E5" s="604">
        <f>SUM(E6:E19)</f>
        <v>303100807</v>
      </c>
      <c r="F5" s="604">
        <f>SUM(F6:F19)</f>
        <v>249704912</v>
      </c>
      <c r="G5" s="604">
        <f>SUM(G6:G19)</f>
        <v>434733191</v>
      </c>
    </row>
    <row r="6" ht="22.5" customHeight="1" s="595">
      <c r="B6" s="323" t="inlineStr">
        <is>
          <t>現金及び預金</t>
        </is>
      </c>
      <c r="C6" s="605" t="n"/>
      <c r="D6" s="605" t="n">
        <v>339552632</v>
      </c>
      <c r="E6" s="605" t="n">
        <v>259719301</v>
      </c>
      <c r="F6" s="605" t="n">
        <v>210887077</v>
      </c>
      <c r="G6" s="605" t="n">
        <v>393410846</v>
      </c>
    </row>
    <row r="7" ht="22.5" customHeight="1" s="595">
      <c r="B7" s="323" t="inlineStr">
        <is>
          <t>売掛金</t>
        </is>
      </c>
      <c r="C7" s="605" t="n"/>
      <c r="D7" s="605" t="n">
        <v>21171056</v>
      </c>
      <c r="E7" s="605" t="n">
        <v>21896538</v>
      </c>
      <c r="F7" s="605" t="n">
        <v>19608899</v>
      </c>
      <c r="G7" s="605" t="n">
        <v>22835432</v>
      </c>
    </row>
    <row r="8" ht="22.5" customHeight="1" s="595">
      <c r="B8" s="323" t="inlineStr">
        <is>
          <t>資材肥料売掛金</t>
        </is>
      </c>
      <c r="C8" s="605" t="n"/>
      <c r="D8" s="605" t="n">
        <v>1352474</v>
      </c>
      <c r="E8" s="605" t="n">
        <v>1269087</v>
      </c>
      <c r="F8" s="605" t="n">
        <v>1227419</v>
      </c>
      <c r="G8" s="605" t="n">
        <v>1137638</v>
      </c>
    </row>
    <row r="9" ht="22.5" customHeight="1" s="595">
      <c r="B9" s="323" t="inlineStr">
        <is>
          <t>棚卸資産</t>
        </is>
      </c>
      <c r="C9" s="605" t="n"/>
      <c r="D9" s="605" t="n">
        <v>9859795</v>
      </c>
      <c r="E9" s="605" t="n">
        <v>15443609</v>
      </c>
      <c r="F9" s="605" t="n">
        <v>14596695</v>
      </c>
      <c r="G9" s="605" t="n">
        <v>14405198</v>
      </c>
    </row>
    <row r="10" ht="22.5" customHeight="1" s="595">
      <c r="B10" s="323" t="inlineStr">
        <is>
          <t>立替金</t>
        </is>
      </c>
      <c r="C10" s="605" t="n"/>
      <c r="D10" s="605" t="n">
        <v>96860</v>
      </c>
      <c r="E10" s="605" t="n">
        <v>6400</v>
      </c>
      <c r="F10" s="605" t="n"/>
      <c r="G10" s="605" t="n"/>
    </row>
    <row r="11" ht="22.5" customHeight="1" s="595">
      <c r="B11" s="323" t="inlineStr">
        <is>
          <t>未収入金</t>
        </is>
      </c>
      <c r="C11" s="605" t="n"/>
      <c r="D11" s="605" t="n">
        <v>3684415</v>
      </c>
      <c r="E11" s="605" t="n">
        <v>3905410</v>
      </c>
      <c r="F11" s="605" t="n">
        <v>3011112</v>
      </c>
      <c r="G11" s="605" t="n">
        <v>3045753</v>
      </c>
    </row>
    <row r="12" ht="22.5" customHeight="1" s="595">
      <c r="B12" s="323" t="inlineStr">
        <is>
          <t>仮払金</t>
        </is>
      </c>
      <c r="C12" s="605" t="n"/>
      <c r="D12" s="605" t="n"/>
      <c r="E12" s="605" t="n"/>
      <c r="F12" s="605" t="n">
        <v>493135</v>
      </c>
      <c r="G12" s="605" t="n"/>
    </row>
    <row r="13" ht="22.5" customHeight="1" s="595">
      <c r="B13" s="323" t="inlineStr">
        <is>
          <t>前払費用</t>
        </is>
      </c>
      <c r="C13" s="605" t="n"/>
      <c r="D13" s="605" t="n">
        <v>108779</v>
      </c>
      <c r="E13" s="605" t="n">
        <v>96162</v>
      </c>
      <c r="F13" s="605" t="n">
        <v>83575</v>
      </c>
      <c r="G13" s="605" t="n">
        <v>101324</v>
      </c>
    </row>
    <row r="14" ht="22.5" customHeight="1" s="595">
      <c r="B14" s="323" t="inlineStr">
        <is>
          <t>仮払税金等</t>
        </is>
      </c>
      <c r="C14" s="605" t="n"/>
      <c r="D14" s="605" t="n"/>
      <c r="E14" s="605" t="n">
        <v>998300</v>
      </c>
      <c r="F14" s="605" t="n"/>
      <c r="G14" s="605" t="n"/>
    </row>
    <row r="15" ht="22.5" customHeight="1" s="595">
      <c r="B15" s="323" t="inlineStr">
        <is>
          <t>貸倒引当金</t>
        </is>
      </c>
      <c r="C15" s="605" t="n"/>
      <c r="D15" s="605" t="n">
        <v>-237000</v>
      </c>
      <c r="E15" s="605" t="n">
        <v>-234000</v>
      </c>
      <c r="F15" s="605" t="n">
        <v>-203000</v>
      </c>
      <c r="G15" s="605" t="n">
        <v>-203000</v>
      </c>
    </row>
    <row r="16" hidden="1" ht="22.5" customHeight="1" s="595">
      <c r="B16" s="323" t="n"/>
      <c r="C16" s="605" t="n"/>
      <c r="D16" s="605" t="n"/>
      <c r="E16" s="605" t="n"/>
      <c r="F16" s="605" t="n"/>
      <c r="G16" s="605" t="n"/>
    </row>
    <row r="17" hidden="1" ht="22.5" customHeight="1" s="595">
      <c r="B17" s="323" t="n"/>
      <c r="C17" s="605" t="n"/>
      <c r="D17" s="605" t="n"/>
      <c r="E17" s="605" t="n"/>
      <c r="F17" s="605" t="n"/>
      <c r="G17" s="605" t="n"/>
    </row>
    <row r="18" hidden="1" ht="22.5" customHeight="1" s="595">
      <c r="B18" s="323" t="n"/>
      <c r="C18" s="605" t="n"/>
      <c r="D18" s="605" t="n"/>
      <c r="E18" s="605" t="n"/>
      <c r="F18" s="605" t="n"/>
      <c r="G18" s="605" t="n"/>
    </row>
    <row r="19" hidden="1" ht="22.5" customHeight="1" s="595">
      <c r="B19" s="324" t="n"/>
      <c r="C19" s="606" t="n"/>
      <c r="D19" s="606" t="n"/>
      <c r="E19" s="606" t="n"/>
      <c r="F19" s="606" t="n"/>
      <c r="G19" s="606" t="n"/>
    </row>
    <row r="20" ht="22.5" customHeight="1" s="595">
      <c r="B20" s="169" t="inlineStr">
        <is>
          <t>【固定資産】</t>
        </is>
      </c>
      <c r="C20" s="604">
        <f>C21+C35+C46</f>
        <v>0</v>
      </c>
      <c r="D20" s="604">
        <f>D21+D35+D46</f>
        <v>276114714</v>
      </c>
      <c r="E20" s="604">
        <f>E21+E35+E46</f>
        <v>264261323</v>
      </c>
      <c r="F20" s="604">
        <f>F21+F35+F46</f>
        <v>235485192</v>
      </c>
      <c r="G20" s="604">
        <f>G21+G35+G46</f>
        <v>230831192</v>
      </c>
    </row>
    <row r="21" ht="22.5" customHeight="1" s="595">
      <c r="B21" s="327" t="inlineStr">
        <is>
          <t>［有形固定資産］</t>
        </is>
      </c>
      <c r="C21" s="607">
        <f>SUM(C22:C34)</f>
        <v>0</v>
      </c>
      <c r="D21" s="607">
        <f>SUM(D22:D34)</f>
        <v>216357447</v>
      </c>
      <c r="E21" s="607">
        <f>SUM(E22:E34)</f>
        <v>204260121</v>
      </c>
      <c r="F21" s="607">
        <f>SUM(F22:F34)</f>
        <v>196905728</v>
      </c>
      <c r="G21" s="607">
        <f>SUM(G22:G34)</f>
        <v>193251728</v>
      </c>
    </row>
    <row r="22" ht="22.5" customHeight="1" s="595">
      <c r="B22" s="323" t="inlineStr">
        <is>
          <t>建物</t>
        </is>
      </c>
      <c r="C22" s="605" t="n"/>
      <c r="D22" s="605" t="n">
        <v>101161720</v>
      </c>
      <c r="E22" s="605" t="n">
        <v>95851274</v>
      </c>
      <c r="F22" s="605" t="n">
        <v>92065694</v>
      </c>
      <c r="G22" s="605" t="n">
        <v>92065694</v>
      </c>
    </row>
    <row r="23" ht="22.5" customHeight="1" s="595">
      <c r="B23" s="323" t="inlineStr">
        <is>
          <t>建物付属設備</t>
        </is>
      </c>
      <c r="C23" s="605" t="n"/>
      <c r="D23" s="605" t="n">
        <v>15416918</v>
      </c>
      <c r="E23" s="605" t="n">
        <v>13503020</v>
      </c>
      <c r="F23" s="605" t="n">
        <v>11399836</v>
      </c>
      <c r="G23" s="605" t="n">
        <v>11399836</v>
      </c>
    </row>
    <row r="24" ht="22.5" customHeight="1" s="595">
      <c r="B24" s="323" t="inlineStr">
        <is>
          <t>構築物</t>
        </is>
      </c>
      <c r="C24" s="605" t="n"/>
      <c r="D24" s="605" t="n">
        <v>382601</v>
      </c>
      <c r="E24" s="605" t="n">
        <v>333498</v>
      </c>
      <c r="F24" s="605" t="n">
        <v>284395</v>
      </c>
      <c r="G24" s="605" t="n">
        <v>284395</v>
      </c>
    </row>
    <row r="25" ht="22.5" customHeight="1" s="595">
      <c r="B25" s="323" t="inlineStr">
        <is>
          <t>機械装置</t>
        </is>
      </c>
      <c r="C25" s="605" t="n"/>
      <c r="D25" s="605" t="n">
        <v>133566</v>
      </c>
      <c r="E25" s="605" t="n">
        <v>2</v>
      </c>
      <c r="F25" s="605" t="n">
        <v>2</v>
      </c>
      <c r="G25" s="605" t="n">
        <v>2</v>
      </c>
    </row>
    <row r="26" ht="22.5" customHeight="1" s="595">
      <c r="B26" s="323" t="inlineStr">
        <is>
          <t>車両運搬具</t>
        </is>
      </c>
      <c r="C26" s="605" t="n"/>
      <c r="D26" s="605" t="n">
        <v>5837529</v>
      </c>
      <c r="E26" s="605" t="n">
        <v>1281878</v>
      </c>
      <c r="F26" s="605" t="n">
        <v>15</v>
      </c>
      <c r="G26" s="605" t="n">
        <v>15</v>
      </c>
    </row>
    <row r="27" ht="22.5" customHeight="1" s="595">
      <c r="B27" s="323" t="inlineStr">
        <is>
          <t>工具器具備品</t>
        </is>
      </c>
      <c r="C27" s="605" t="n"/>
      <c r="D27" s="605" t="n">
        <v>287873</v>
      </c>
      <c r="E27" s="605" t="n">
        <v>153209</v>
      </c>
      <c r="F27" s="605" t="n">
        <v>18546</v>
      </c>
      <c r="G27" s="605" t="n">
        <v>18546</v>
      </c>
    </row>
    <row r="28" ht="22.5" customHeight="1" s="595">
      <c r="B28" s="323" t="inlineStr">
        <is>
          <t>土地</t>
        </is>
      </c>
      <c r="C28" s="605" t="n"/>
      <c r="D28" s="605" t="n">
        <v>93137240</v>
      </c>
      <c r="E28" s="605" t="n">
        <v>93137240</v>
      </c>
      <c r="F28" s="605" t="n">
        <v>93137240</v>
      </c>
      <c r="G28" s="605" t="n">
        <v>93137240</v>
      </c>
    </row>
    <row r="29" ht="22.5" customHeight="1" s="595">
      <c r="B29" s="323" t="inlineStr">
        <is>
          <t>減価償却累計額</t>
        </is>
      </c>
      <c r="C29" s="605" t="n"/>
      <c r="D29" s="605" t="n"/>
      <c r="E29" s="605" t="n"/>
      <c r="F29" s="605" t="n"/>
      <c r="G29" s="605" t="n">
        <v>-3654000</v>
      </c>
    </row>
    <row r="30" hidden="1" ht="22.5" customHeight="1" s="595">
      <c r="B30" s="323" t="n"/>
      <c r="C30" s="605" t="n"/>
      <c r="D30" s="605" t="n"/>
      <c r="E30" s="605" t="n"/>
      <c r="F30" s="605" t="n"/>
      <c r="G30" s="605" t="n"/>
    </row>
    <row r="31" hidden="1" ht="22.5" customHeight="1" s="595">
      <c r="B31" s="323" t="n"/>
      <c r="C31" s="605" t="n"/>
      <c r="D31" s="605" t="n"/>
      <c r="E31" s="605" t="n"/>
      <c r="F31" s="605" t="n"/>
      <c r="G31" s="605" t="n"/>
    </row>
    <row r="32" hidden="1" ht="22.5" customHeight="1" s="595">
      <c r="B32" s="323" t="n"/>
      <c r="C32" s="605" t="n"/>
      <c r="D32" s="605" t="n"/>
      <c r="E32" s="605" t="n"/>
      <c r="F32" s="605" t="n"/>
      <c r="G32" s="605" t="n"/>
    </row>
    <row r="33" hidden="1" ht="22.5" customHeight="1" s="595">
      <c r="B33" s="323" t="n"/>
      <c r="C33" s="605" t="n"/>
      <c r="D33" s="605" t="n"/>
      <c r="E33" s="605" t="n"/>
      <c r="F33" s="605" t="n"/>
      <c r="G33" s="605" t="n"/>
    </row>
    <row r="34" hidden="1" ht="22.5" customHeight="1" s="595">
      <c r="B34" s="324" t="n"/>
      <c r="C34" s="606" t="n"/>
      <c r="D34" s="606" t="n"/>
      <c r="E34" s="606" t="n"/>
      <c r="F34" s="606" t="n"/>
      <c r="G34" s="606" t="n"/>
    </row>
    <row r="35" ht="22.5" customHeight="1" s="595">
      <c r="B35" s="327" t="inlineStr">
        <is>
          <t>［無形固定資産］</t>
        </is>
      </c>
      <c r="C35" s="608">
        <f>SUM(C36:C45)</f>
        <v>0</v>
      </c>
      <c r="D35" s="608">
        <f>SUM(D36:D45)</f>
        <v>2870595</v>
      </c>
      <c r="E35" s="608">
        <f>SUM(E36:E45)</f>
        <v>2698995</v>
      </c>
      <c r="F35" s="608">
        <f>SUM(F36:F45)</f>
        <v>2527395</v>
      </c>
      <c r="G35" s="608">
        <f>SUM(G36:G45)</f>
        <v>2527395</v>
      </c>
    </row>
    <row r="36" ht="22.35" customHeight="1" s="595">
      <c r="B36" s="323" t="inlineStr">
        <is>
          <t>電話加入権</t>
        </is>
      </c>
      <c r="C36" s="609" t="n"/>
      <c r="D36" s="609" t="n">
        <v>2155595</v>
      </c>
      <c r="E36" s="609" t="n">
        <v>2155595</v>
      </c>
      <c r="F36" s="610" t="n">
        <v>2155595</v>
      </c>
      <c r="G36" s="610" t="n">
        <v>2155595</v>
      </c>
    </row>
    <row r="37" ht="22.35" customHeight="1" s="595">
      <c r="B37" s="323" t="inlineStr">
        <is>
          <t>ソフトウェア</t>
        </is>
      </c>
      <c r="C37" s="609" t="n"/>
      <c r="D37" s="609" t="n">
        <v>715000</v>
      </c>
      <c r="E37" s="609" t="n">
        <v>543400</v>
      </c>
      <c r="F37" s="610" t="n">
        <v>371800</v>
      </c>
      <c r="G37" s="610" t="n">
        <v>371800</v>
      </c>
    </row>
    <row r="38" hidden="1" ht="22.35" customHeight="1" s="595">
      <c r="B38" s="323" t="n"/>
      <c r="C38" s="609" t="n"/>
      <c r="D38" s="609" t="n"/>
      <c r="E38" s="609" t="n"/>
      <c r="F38" s="610" t="n"/>
      <c r="G38" s="610" t="n"/>
    </row>
    <row r="39" hidden="1" ht="22.35" customHeight="1" s="595">
      <c r="B39" s="323" t="n"/>
      <c r="C39" s="609" t="n"/>
      <c r="D39" s="609" t="n"/>
      <c r="E39" s="609" t="n"/>
      <c r="F39" s="610" t="n"/>
      <c r="G39" s="610" t="n"/>
    </row>
    <row r="40" hidden="1" ht="22.35" customHeight="1" s="595">
      <c r="B40" s="323" t="n"/>
      <c r="C40" s="609" t="n"/>
      <c r="D40" s="609" t="n"/>
      <c r="E40" s="609" t="n"/>
      <c r="F40" s="610" t="n"/>
      <c r="G40" s="610" t="n"/>
    </row>
    <row r="41" hidden="1" ht="22.35" customHeight="1" s="595">
      <c r="B41" s="323" t="n"/>
      <c r="C41" s="609" t="n"/>
      <c r="D41" s="609" t="n"/>
      <c r="E41" s="609" t="n"/>
      <c r="F41" s="610" t="n"/>
      <c r="G41" s="610" t="n"/>
    </row>
    <row r="42" hidden="1" ht="22.35" customHeight="1" s="595">
      <c r="B42" s="323" t="n"/>
      <c r="C42" s="609" t="n"/>
      <c r="D42" s="609" t="n"/>
      <c r="E42" s="609" t="n"/>
      <c r="F42" s="610" t="n"/>
      <c r="G42" s="610" t="n"/>
    </row>
    <row r="43" hidden="1" ht="22.35" customHeight="1" s="595">
      <c r="B43" s="323" t="n"/>
      <c r="C43" s="609" t="n"/>
      <c r="D43" s="609" t="n"/>
      <c r="E43" s="609" t="n"/>
      <c r="F43" s="610" t="n"/>
      <c r="G43" s="610" t="n"/>
    </row>
    <row r="44" hidden="1" ht="22.35" customHeight="1" s="595">
      <c r="B44" s="323" t="n"/>
      <c r="C44" s="609" t="n"/>
      <c r="D44" s="609" t="n"/>
      <c r="E44" s="609" t="n"/>
      <c r="F44" s="610" t="n"/>
      <c r="G44" s="610" t="n"/>
    </row>
    <row r="45" hidden="1" ht="22.35" customHeight="1" s="595">
      <c r="B45" s="324" t="n"/>
      <c r="C45" s="611" t="n"/>
      <c r="D45" s="611" t="n"/>
      <c r="E45" s="611" t="n"/>
      <c r="F45" s="608" t="n"/>
      <c r="G45" s="608" t="n"/>
    </row>
    <row r="46" ht="22.35" customHeight="1" s="595">
      <c r="B46" s="302" t="inlineStr">
        <is>
          <t>［投資その他資産］</t>
        </is>
      </c>
      <c r="C46" s="608">
        <f>SUM(C47:C55)</f>
        <v>0</v>
      </c>
      <c r="D46" s="608">
        <f>SUM(D47:D55)</f>
        <v>56886672</v>
      </c>
      <c r="E46" s="608">
        <f>SUM(E47:E55)</f>
        <v>57302207</v>
      </c>
      <c r="F46" s="608">
        <f>SUM(F47:F55)</f>
        <v>36052069</v>
      </c>
      <c r="G46" s="608">
        <f>SUM(G47:G55)</f>
        <v>35052069</v>
      </c>
    </row>
    <row r="47" ht="22.5" customHeight="1" s="595">
      <c r="B47" s="323" t="inlineStr">
        <is>
          <t>投資有価証券</t>
        </is>
      </c>
      <c r="C47" s="609" t="n"/>
      <c r="D47" s="609" t="n">
        <v>3250000</v>
      </c>
      <c r="E47" s="609" t="n">
        <v>3250000</v>
      </c>
      <c r="F47" s="610" t="n">
        <v>2600000</v>
      </c>
      <c r="G47" s="610" t="n">
        <v>1600000</v>
      </c>
    </row>
    <row r="48" ht="22.5" customHeight="1" s="595">
      <c r="B48" s="323" t="inlineStr">
        <is>
          <t>出資金</t>
        </is>
      </c>
      <c r="C48" s="609" t="n"/>
      <c r="D48" s="609" t="n">
        <v>75000</v>
      </c>
      <c r="E48" s="609" t="n">
        <v>75000</v>
      </c>
      <c r="F48" s="609" t="n">
        <v>75000</v>
      </c>
      <c r="G48" s="609" t="n">
        <v>75000</v>
      </c>
    </row>
    <row r="49" ht="22.5" customHeight="1" s="595">
      <c r="B49" s="328" t="inlineStr">
        <is>
          <t>長期前払費用</t>
        </is>
      </c>
      <c r="C49" s="609" t="n"/>
      <c r="D49" s="609" t="n">
        <v>397411</v>
      </c>
      <c r="E49" s="609" t="n">
        <v>74500</v>
      </c>
      <c r="F49" s="609" t="n">
        <v>74500</v>
      </c>
      <c r="G49" s="609" t="n">
        <v>74500</v>
      </c>
    </row>
    <row r="50" ht="22.5" customHeight="1" s="595">
      <c r="B50" s="323" t="inlineStr">
        <is>
          <t>保証金</t>
        </is>
      </c>
      <c r="C50" s="609" t="n"/>
      <c r="D50" s="609" t="n">
        <v>32002569</v>
      </c>
      <c r="E50" s="609" t="n">
        <v>33002569</v>
      </c>
      <c r="F50" s="609" t="n">
        <v>33302569</v>
      </c>
      <c r="G50" s="609" t="n">
        <v>33302569</v>
      </c>
    </row>
    <row r="51" ht="22.5" customHeight="1" s="595">
      <c r="B51" s="323" t="inlineStr">
        <is>
          <t>事業保険積立金</t>
        </is>
      </c>
      <c r="C51" s="609" t="n"/>
      <c r="D51" s="609" t="n">
        <v>21161692</v>
      </c>
      <c r="E51" s="609" t="n">
        <v>20900138</v>
      </c>
      <c r="F51" s="609" t="n"/>
      <c r="G51" s="609" t="n"/>
    </row>
    <row r="52" hidden="1" ht="22.5" customHeight="1" s="595">
      <c r="B52" s="323" t="n"/>
      <c r="C52" s="609" t="n"/>
      <c r="D52" s="609" t="n"/>
      <c r="E52" s="609" t="n"/>
      <c r="F52" s="609" t="n"/>
      <c r="G52" s="609" t="n"/>
    </row>
    <row r="53" hidden="1" ht="22.5" customHeight="1" s="595">
      <c r="B53" s="323" t="n"/>
      <c r="C53" s="609" t="n"/>
      <c r="D53" s="609" t="n"/>
      <c r="E53" s="609" t="n"/>
      <c r="F53" s="609" t="n"/>
      <c r="G53" s="609" t="n"/>
    </row>
    <row r="54" hidden="1" ht="22.5" customHeight="1" s="595">
      <c r="B54" s="323" t="n"/>
      <c r="C54" s="609" t="n"/>
      <c r="D54" s="609" t="n"/>
      <c r="E54" s="609" t="n"/>
      <c r="F54" s="609" t="n"/>
      <c r="G54" s="609" t="n"/>
    </row>
    <row r="55" hidden="1" ht="22.5" customHeight="1" s="595">
      <c r="B55" s="323" t="n"/>
      <c r="C55" s="609" t="n"/>
      <c r="D55" s="609" t="n"/>
      <c r="E55" s="609" t="n"/>
      <c r="F55" s="609" t="n"/>
      <c r="G55" s="609" t="n"/>
    </row>
    <row r="56" ht="22.5" customHeight="1" s="595">
      <c r="B56" s="329" t="inlineStr">
        <is>
          <t>【繰延資産】</t>
        </is>
      </c>
      <c r="C56" s="612">
        <f>SUM(C57:C60)</f>
        <v>0</v>
      </c>
      <c r="D56" s="612">
        <f>SUM(D57:D60)</f>
        <v>243834</v>
      </c>
      <c r="E56" s="612">
        <f>SUM(E57:E60)</f>
        <v>166834</v>
      </c>
      <c r="F56" s="612">
        <f>SUM(F57:F60)</f>
        <v>0</v>
      </c>
      <c r="G56" s="612">
        <f>SUM(G57:G60)</f>
        <v>0</v>
      </c>
    </row>
    <row r="57" ht="22.5" customHeight="1" s="595">
      <c r="B57" s="323" t="inlineStr">
        <is>
          <t>繰延資産</t>
        </is>
      </c>
      <c r="C57" s="609" t="n"/>
      <c r="D57" s="609" t="n">
        <v>243834</v>
      </c>
      <c r="E57" s="609" t="n">
        <v>166834</v>
      </c>
      <c r="F57" s="609" t="n"/>
      <c r="G57" s="609" t="n"/>
    </row>
    <row r="58" hidden="1" ht="22.5" customHeight="1" s="595">
      <c r="B58" s="323" t="n"/>
      <c r="C58" s="609" t="n"/>
      <c r="D58" s="609" t="n"/>
      <c r="E58" s="609" t="n"/>
      <c r="F58" s="609" t="n"/>
      <c r="G58" s="609" t="n"/>
    </row>
    <row r="59" hidden="1" ht="22.5" customHeight="1" s="595">
      <c r="B59" s="323" t="n"/>
      <c r="C59" s="609" t="n"/>
      <c r="D59" s="609" t="n"/>
      <c r="E59" s="609" t="n"/>
      <c r="F59" s="609" t="n"/>
      <c r="G59" s="609" t="n"/>
    </row>
    <row r="60" hidden="1" ht="22.5" customHeight="1" s="595">
      <c r="B60" s="324" t="n"/>
      <c r="C60" s="611" t="n"/>
      <c r="D60" s="611" t="n"/>
      <c r="E60" s="611" t="n"/>
      <c r="F60" s="611" t="n"/>
      <c r="G60" s="611" t="n"/>
    </row>
    <row r="61" ht="22.5" customHeight="1" s="595">
      <c r="B61" s="186" t="inlineStr">
        <is>
          <t>資産合計</t>
        </is>
      </c>
      <c r="C61" s="613">
        <f>C5+C20+C56</f>
        <v>0</v>
      </c>
      <c r="D61" s="613">
        <f>D5+D20+D56</f>
        <v>651947559</v>
      </c>
      <c r="E61" s="613">
        <f>E5+E20+E56</f>
        <v>567528964</v>
      </c>
      <c r="F61" s="613">
        <f>F5+F20+F56</f>
        <v>485190104</v>
      </c>
      <c r="G61" s="613">
        <f>G5+G20+G56</f>
        <v>665564383</v>
      </c>
    </row>
    <row r="62">
      <c r="C62" s="614" t="n"/>
      <c r="D62" s="614" t="n"/>
      <c r="E62" s="614" t="n"/>
      <c r="F62" s="614" t="n"/>
      <c r="G62" s="614" t="n"/>
    </row>
    <row r="63">
      <c r="B63" s="406" t="inlineStr">
        <is>
          <t>バランスチェック</t>
        </is>
      </c>
      <c r="C63" s="615">
        <f>EXACT(C61,'BS (貸方)'!C51)</f>
        <v>1</v>
      </c>
      <c r="D63" s="615">
        <f>EXACT(D61,'BS (貸方)'!D51)</f>
        <v>1</v>
      </c>
      <c r="E63" s="615">
        <f>EXACT(E61,'BS (貸方)'!E51)</f>
        <v>1</v>
      </c>
      <c r="F63" s="615">
        <f>EXACT(F61,'BS (貸方)'!F51)</f>
        <v>1</v>
      </c>
      <c r="G63" s="615">
        <f>EXACT(G61,'BS (貸方)'!G51)</f>
        <v>1</v>
      </c>
    </row>
    <row r="64">
      <c r="C64" s="614" t="n"/>
      <c r="D64" s="614" t="n"/>
      <c r="E64" s="614" t="n"/>
      <c r="F64" s="614" t="n"/>
      <c r="G64" s="614" t="n"/>
    </row>
    <row r="65">
      <c r="B65" t="inlineStr">
        <is>
          <t>決算書・試算表の資産合計</t>
        </is>
      </c>
      <c r="C65" s="614" t="n"/>
      <c r="D65" s="616" t="n">
        <v>651947559</v>
      </c>
      <c r="E65" s="616" t="n">
        <v>567528964</v>
      </c>
      <c r="F65" s="616" t="n">
        <v>485190104</v>
      </c>
      <c r="G65" s="616" t="n">
        <v>665564383</v>
      </c>
    </row>
    <row r="66">
      <c r="B66" t="inlineStr">
        <is>
          <t>チェック</t>
        </is>
      </c>
      <c r="C66" s="614" t="n"/>
      <c r="D66" s="614">
        <f>EXACT(D61,D65)</f>
        <v>1</v>
      </c>
      <c r="E66" s="614">
        <f>EXACT(E61,E65)</f>
        <v>1</v>
      </c>
      <c r="F66" s="614">
        <f>EXACT(F61,F65)</f>
        <v>1</v>
      </c>
      <c r="G66" s="614">
        <f>EXACT(G61,G65)</f>
        <v>1</v>
      </c>
    </row>
    <row r="67">
      <c r="C67" s="614" t="n"/>
      <c r="D67" s="614" t="n"/>
      <c r="E67" s="614" t="n"/>
      <c r="F67" s="614" t="n"/>
      <c r="G67" s="614" t="n"/>
    </row>
    <row r="68">
      <c r="B68" s="617" t="inlineStr">
        <is>
          <t>※進行期（G列）は2026年9月末の合計残高試算表（4〜9月の6か月累計）。2026年8〜9月に長期借入金が約1.65億円増加（資金使途は要確認）。</t>
        </is>
      </c>
      <c r="C68" s="614" t="n"/>
      <c r="D68" s="614" t="n"/>
      <c r="E68" s="614" t="n"/>
      <c r="F68" s="614" t="n"/>
      <c r="G68" s="614" t="n"/>
    </row>
    <row r="69">
      <c r="C69" s="614" t="n"/>
      <c r="D69" s="614" t="n"/>
      <c r="E69" s="614" t="n"/>
      <c r="F69" s="614" t="n"/>
      <c r="G69" s="614" t="n"/>
    </row>
    <row r="70">
      <c r="C70" s="614" t="n"/>
      <c r="D70" s="614" t="n"/>
      <c r="E70" s="614" t="n"/>
      <c r="F70" s="614" t="n"/>
      <c r="G70" s="614" t="n"/>
    </row>
    <row r="71">
      <c r="C71" s="614" t="n"/>
      <c r="D71" s="614" t="n"/>
      <c r="E71" s="614" t="n"/>
      <c r="F71" s="614" t="n"/>
      <c r="G71" s="614" t="n"/>
    </row>
    <row r="72">
      <c r="C72" s="614" t="n"/>
      <c r="D72" s="614" t="n"/>
      <c r="E72" s="614" t="n"/>
      <c r="F72" s="614" t="n"/>
      <c r="G72" s="614" t="n"/>
    </row>
    <row r="73">
      <c r="C73" s="614" t="n"/>
      <c r="D73" s="614" t="n"/>
      <c r="E73" s="614" t="n"/>
      <c r="F73" s="614" t="n"/>
      <c r="G73" s="614" t="n"/>
    </row>
    <row r="74">
      <c r="C74" s="614" t="n"/>
      <c r="D74" s="614" t="n"/>
      <c r="E74" s="614" t="n"/>
      <c r="F74" s="614" t="n"/>
      <c r="G74" s="614" t="n"/>
    </row>
    <row r="75">
      <c r="C75" s="614" t="n"/>
      <c r="D75" s="614" t="n"/>
      <c r="E75" s="614" t="n"/>
      <c r="F75" s="614" t="n"/>
      <c r="G75" s="614" t="n"/>
    </row>
    <row r="76">
      <c r="C76" s="614" t="n"/>
      <c r="D76" s="614" t="n"/>
      <c r="E76" s="614" t="n"/>
      <c r="F76" s="614" t="n"/>
      <c r="G76" s="614" t="n"/>
    </row>
    <row r="77">
      <c r="C77" s="614" t="n"/>
      <c r="D77" s="614" t="n"/>
      <c r="E77" s="614" t="n"/>
      <c r="F77" s="614" t="n"/>
      <c r="G77" s="614" t="n"/>
    </row>
    <row r="78">
      <c r="C78" s="614" t="n"/>
      <c r="D78" s="614" t="n"/>
      <c r="E78" s="614" t="n"/>
      <c r="F78" s="614" t="n"/>
      <c r="G78" s="614"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68"/>
  <sheetViews>
    <sheetView showGridLines="0" zoomScale="70" zoomScaleNormal="70" workbookViewId="0">
      <pane ySplit="4" topLeftCell="A35" activePane="bottomLeft" state="frozen"/>
      <selection pane="bottomLeft" activeCell="A51" sqref="A51"/>
    </sheetView>
  </sheetViews>
  <sheetFormatPr baseColWidth="8" defaultRowHeight="18"/>
  <cols>
    <col width="28" customWidth="1" style="175" min="2" max="2"/>
    <col hidden="1" width="16.125" customWidth="1" style="175" min="3" max="3"/>
    <col width="16.125" customWidth="1" style="595" min="4" max="4"/>
    <col width="16.125" customWidth="1" style="595" min="5" max="5"/>
    <col width="16.125" customWidth="1" style="595" min="6" max="6"/>
    <col width="16.125" customWidth="1" style="595" min="7" max="7"/>
    <col width="8.875" customWidth="1" style="595" min="8" max="8"/>
  </cols>
  <sheetData>
    <row r="1">
      <c r="A1" s="603" t="inlineStr">
        <is>
          <t>■ 貼付範囲 B3:G25（負債）／B34:G51（純資産）→ 企業概要書「貸借対照表」</t>
        </is>
      </c>
    </row>
    <row r="2" ht="18.75" customHeight="1" s="595">
      <c r="E2" s="73" t="inlineStr">
        <is>
          <t>(単位：千円)</t>
        </is>
      </c>
    </row>
    <row r="3" ht="28.35" customHeight="1" s="595">
      <c r="B3" s="397" t="inlineStr">
        <is>
          <t>負債の部</t>
        </is>
      </c>
      <c r="C3" s="397" t="n"/>
      <c r="D3" s="397" t="n"/>
      <c r="E3" s="397" t="n"/>
      <c r="F3" s="397" t="n"/>
      <c r="G3" s="197" t="n"/>
    </row>
    <row r="4" ht="40.35" customHeight="1" s="595">
      <c r="B4" s="217" t="inlineStr">
        <is>
          <t>科目</t>
        </is>
      </c>
      <c r="C4" s="217" t="str">
        <f>'BS(借方)'!C4</f>
        <v>●●年●月期</v>
      </c>
      <c r="D4" s="217" t="str">
        <f>'BS(借方)'!D4</f>
        <v>24年3月期</v>
      </c>
      <c r="E4" s="217" t="str">
        <f>'BS(借方)'!E4</f>
        <v>25年3月期</v>
      </c>
      <c r="F4" s="217" t="str">
        <f>'BS(借方)'!F4</f>
        <v>26年3月期</v>
      </c>
      <c r="G4" s="399" t="str">
        <f>'BS(借方)'!G4</f>
        <v>27年3月期
4〜9月TB</v>
      </c>
    </row>
    <row r="5" ht="22.5" customHeight="1" s="595">
      <c r="B5" s="178" t="inlineStr">
        <is>
          <t>【流動負債】</t>
        </is>
      </c>
      <c r="C5" s="596">
        <f>SUM(C6:C17)</f>
        <v>0</v>
      </c>
      <c r="D5" s="596">
        <f>SUM(D6:D17)</f>
        <v>34109222</v>
      </c>
      <c r="E5" s="596">
        <f>SUM(E6:E17)</f>
        <v>29455728</v>
      </c>
      <c r="F5" s="596">
        <f>SUM(F6:F17)</f>
        <v>37279523</v>
      </c>
      <c r="G5" s="596">
        <f>SUM(G6:G17)</f>
        <v>31281895</v>
      </c>
    </row>
    <row r="6" ht="22.5" customHeight="1" s="595">
      <c r="B6" s="325" t="inlineStr">
        <is>
          <t>買掛金</t>
        </is>
      </c>
      <c r="C6" s="618" t="n"/>
      <c r="D6" s="598" t="n">
        <v>18127739</v>
      </c>
      <c r="E6" s="598" t="n">
        <v>19954920</v>
      </c>
      <c r="F6" s="598" t="n">
        <v>26349122</v>
      </c>
      <c r="G6" s="598" t="n">
        <v>18258090</v>
      </c>
    </row>
    <row r="7" ht="22.5" customHeight="1" s="595">
      <c r="B7" s="325" t="inlineStr">
        <is>
          <t>未払金</t>
        </is>
      </c>
      <c r="C7" s="618" t="n"/>
      <c r="D7" s="598" t="n">
        <v>10198849</v>
      </c>
      <c r="E7" s="598" t="n">
        <v>7302614</v>
      </c>
      <c r="F7" s="598" t="n">
        <v>6630301</v>
      </c>
      <c r="G7" s="598" t="n">
        <v>3564068</v>
      </c>
    </row>
    <row r="8" ht="22.5" customHeight="1" s="595">
      <c r="B8" s="325" t="inlineStr">
        <is>
          <t>仮受金</t>
        </is>
      </c>
      <c r="C8" s="618" t="n"/>
      <c r="D8" s="598" t="n"/>
      <c r="E8" s="598" t="n"/>
      <c r="F8" s="598" t="n"/>
      <c r="G8" s="598" t="n">
        <v>6109017</v>
      </c>
    </row>
    <row r="9" ht="22.5" customHeight="1" s="595">
      <c r="B9" s="325" t="inlineStr">
        <is>
          <t>預り金</t>
        </is>
      </c>
      <c r="C9" s="618" t="n"/>
      <c r="D9" s="598" t="n">
        <v>504234</v>
      </c>
      <c r="E9" s="598" t="n">
        <v>557594</v>
      </c>
      <c r="F9" s="598" t="n">
        <v>281300</v>
      </c>
      <c r="G9" s="598" t="n">
        <v>327720</v>
      </c>
    </row>
    <row r="10" ht="22.5" customHeight="1" s="595">
      <c r="B10" s="325" t="inlineStr">
        <is>
          <t>未払法人税等</t>
        </is>
      </c>
      <c r="C10" s="618" t="n"/>
      <c r="D10" s="598" t="n">
        <v>2308000</v>
      </c>
      <c r="E10" s="598" t="n">
        <v>33900</v>
      </c>
      <c r="F10" s="598" t="n">
        <v>1851300</v>
      </c>
      <c r="G10" s="598" t="n"/>
    </row>
    <row r="11" ht="22.5" customHeight="1" s="595">
      <c r="B11" s="325" t="inlineStr">
        <is>
          <t>未払消費税</t>
        </is>
      </c>
      <c r="C11" s="618" t="n"/>
      <c r="D11" s="598" t="n">
        <v>2970400</v>
      </c>
      <c r="E11" s="598" t="n">
        <v>1606700</v>
      </c>
      <c r="F11" s="598" t="n">
        <v>2167500</v>
      </c>
      <c r="G11" s="598" t="n">
        <v>3023000</v>
      </c>
    </row>
    <row r="12" hidden="1" ht="22.5" customHeight="1" s="595">
      <c r="B12" s="325" t="n"/>
      <c r="C12" s="618" t="n"/>
      <c r="D12" s="598" t="n"/>
      <c r="E12" s="598" t="n"/>
      <c r="F12" s="598" t="n"/>
      <c r="G12" s="598" t="n"/>
    </row>
    <row r="13" hidden="1" ht="22.5" customHeight="1" s="595">
      <c r="B13" s="325" t="n"/>
      <c r="C13" s="618" t="n"/>
      <c r="D13" s="598" t="n"/>
      <c r="E13" s="598" t="n"/>
      <c r="F13" s="598" t="n"/>
      <c r="G13" s="598" t="n"/>
    </row>
    <row r="14" hidden="1" ht="22.5" customHeight="1" s="595">
      <c r="B14" s="325" t="n"/>
      <c r="C14" s="618" t="n"/>
      <c r="D14" s="598" t="n"/>
      <c r="E14" s="598" t="n"/>
      <c r="F14" s="598" t="n"/>
      <c r="G14" s="598" t="n"/>
    </row>
    <row r="15" hidden="1" ht="22.5" customHeight="1" s="595">
      <c r="B15" s="325" t="n"/>
      <c r="C15" s="618" t="n"/>
      <c r="D15" s="598" t="n"/>
      <c r="E15" s="598" t="n"/>
      <c r="F15" s="598" t="n"/>
      <c r="G15" s="598" t="n"/>
    </row>
    <row r="16" hidden="1" ht="22.5" customHeight="1" s="595">
      <c r="B16" s="325" t="n"/>
      <c r="C16" s="618" t="n"/>
      <c r="D16" s="598" t="n"/>
      <c r="E16" s="598" t="n"/>
      <c r="F16" s="598" t="n"/>
      <c r="G16" s="598" t="n"/>
    </row>
    <row r="17" hidden="1" ht="22.5" customHeight="1" s="595">
      <c r="B17" s="326" t="n"/>
      <c r="C17" s="619" t="n"/>
      <c r="D17" s="620" t="n"/>
      <c r="E17" s="620" t="n"/>
      <c r="F17" s="620" t="n"/>
      <c r="G17" s="620" t="n"/>
    </row>
    <row r="18" ht="22.5" customHeight="1" s="595">
      <c r="B18" s="178" t="inlineStr">
        <is>
          <t>【固定負債】</t>
        </is>
      </c>
      <c r="C18" s="596">
        <f>SUM(C19:C24)</f>
        <v>0</v>
      </c>
      <c r="D18" s="596">
        <f>SUM(D19:D24)</f>
        <v>525010000</v>
      </c>
      <c r="E18" s="596">
        <f>SUM(E19:E24)</f>
        <v>444316000</v>
      </c>
      <c r="F18" s="596">
        <f>SUM(F19:F24)</f>
        <v>370038000</v>
      </c>
      <c r="G18" s="596">
        <f>SUM(G19:G24)</f>
        <v>535244000</v>
      </c>
    </row>
    <row r="19" ht="22.5" customHeight="1" s="595">
      <c r="B19" s="325" t="inlineStr">
        <is>
          <t>長期借入金</t>
        </is>
      </c>
      <c r="C19" s="618" t="n"/>
      <c r="D19" s="598" t="n">
        <v>514690000</v>
      </c>
      <c r="E19" s="598" t="n">
        <v>434046000</v>
      </c>
      <c r="F19" s="598" t="n">
        <v>361058000</v>
      </c>
      <c r="G19" s="598" t="n">
        <v>526264000</v>
      </c>
    </row>
    <row r="20" ht="22.5" customHeight="1" s="595">
      <c r="B20" s="325" t="inlineStr">
        <is>
          <t>預り保証金</t>
        </is>
      </c>
      <c r="C20" s="618" t="n"/>
      <c r="D20" s="598" t="n">
        <v>10320000</v>
      </c>
      <c r="E20" s="598" t="n">
        <v>10270000</v>
      </c>
      <c r="F20" s="598" t="n">
        <v>8980000</v>
      </c>
      <c r="G20" s="598" t="n">
        <v>8980000</v>
      </c>
    </row>
    <row r="21" hidden="1" ht="22.5" customHeight="1" s="595">
      <c r="B21" s="325" t="n"/>
      <c r="C21" s="618" t="n"/>
      <c r="D21" s="598" t="n"/>
      <c r="E21" s="598" t="n"/>
      <c r="F21" s="598" t="n"/>
      <c r="G21" s="598" t="n"/>
    </row>
    <row r="22" hidden="1" ht="22.5" customHeight="1" s="595">
      <c r="B22" s="325" t="n"/>
      <c r="C22" s="618" t="n"/>
      <c r="D22" s="598" t="n"/>
      <c r="E22" s="598" t="n"/>
      <c r="F22" s="598" t="n"/>
      <c r="G22" s="598" t="n"/>
    </row>
    <row r="23" hidden="1" ht="22.5" customHeight="1" s="595">
      <c r="B23" s="325" t="n"/>
      <c r="C23" s="618" t="n"/>
      <c r="D23" s="598" t="n"/>
      <c r="E23" s="598" t="n"/>
      <c r="F23" s="598" t="n"/>
      <c r="G23" s="598" t="n"/>
    </row>
    <row r="24" hidden="1" ht="22.5" customHeight="1" s="595">
      <c r="B24" s="326" t="n"/>
      <c r="C24" s="619" t="n"/>
      <c r="D24" s="620" t="n"/>
      <c r="E24" s="620" t="n"/>
      <c r="F24" s="620" t="n"/>
      <c r="G24" s="620" t="n"/>
    </row>
    <row r="25" ht="22.5" customHeight="1" s="595">
      <c r="B25" s="179" t="inlineStr">
        <is>
          <t>負債合計</t>
        </is>
      </c>
      <c r="C25" s="621">
        <f>C5+C18</f>
        <v>0</v>
      </c>
      <c r="D25" s="622">
        <f>D5+D18</f>
        <v>559119222</v>
      </c>
      <c r="E25" s="622">
        <f>E5+E18</f>
        <v>473771728</v>
      </c>
      <c r="F25" s="622">
        <f>F5+F18</f>
        <v>407317523</v>
      </c>
      <c r="G25" s="622">
        <f>G5+G18</f>
        <v>566525895</v>
      </c>
    </row>
    <row r="26" ht="22.5" customHeight="1" s="595">
      <c r="B26" s="623" t="n"/>
      <c r="C26" s="609" t="n"/>
      <c r="D26" s="624" t="n"/>
      <c r="E26" s="624" t="n"/>
      <c r="F26" s="624" t="n"/>
      <c r="G26" s="624" t="n"/>
    </row>
    <row r="27" ht="22.5" customHeight="1" s="595">
      <c r="B27" s="623" t="n"/>
      <c r="C27" s="618" t="n"/>
      <c r="D27" s="598" t="n"/>
      <c r="E27" s="598" t="n"/>
      <c r="F27" s="598" t="n"/>
      <c r="G27" s="598" t="n"/>
    </row>
    <row r="28" ht="22.5" customHeight="1" s="595">
      <c r="B28" s="623" t="n"/>
      <c r="C28" s="618" t="n"/>
      <c r="D28" s="598" t="n"/>
      <c r="E28" s="598" t="n"/>
      <c r="F28" s="598" t="n"/>
      <c r="G28" s="598" t="n"/>
    </row>
    <row r="29" ht="22.5" customHeight="1" s="595">
      <c r="B29" s="623" t="n"/>
      <c r="C29" s="618" t="n"/>
      <c r="D29" s="598" t="n"/>
      <c r="E29" s="598" t="n"/>
      <c r="F29" s="598" t="n"/>
      <c r="G29" s="598" t="n"/>
    </row>
    <row r="30" ht="22.5" customHeight="1" s="595">
      <c r="B30" s="623" t="n"/>
      <c r="C30" s="618" t="n"/>
      <c r="D30" s="598" t="n"/>
      <c r="E30" s="598" t="n"/>
      <c r="F30" s="598" t="n"/>
      <c r="G30" s="598" t="n"/>
    </row>
    <row r="31" ht="22.35" customHeight="1" s="595">
      <c r="B31" s="623" t="n"/>
      <c r="C31" s="618" t="n"/>
      <c r="D31" s="598" t="n"/>
      <c r="E31" s="598" t="n"/>
      <c r="F31" s="598" t="n"/>
      <c r="G31" s="598" t="n"/>
    </row>
    <row r="32" ht="22.35" customHeight="1" s="595">
      <c r="B32" s="623" t="n"/>
      <c r="C32" s="618" t="n"/>
      <c r="D32" s="598" t="n"/>
      <c r="E32" s="598" t="n"/>
      <c r="F32" s="598" t="n"/>
      <c r="G32" s="598" t="n"/>
    </row>
    <row r="33" ht="22.35" customHeight="1" s="595">
      <c r="B33" s="623" t="n"/>
      <c r="C33" s="618" t="n"/>
      <c r="D33" s="598" t="n"/>
      <c r="E33" s="598" t="n"/>
      <c r="F33" s="598" t="n"/>
      <c r="G33" s="598" t="n"/>
    </row>
    <row r="34" ht="22.35" customHeight="1" s="595">
      <c r="B34" s="177" t="inlineStr">
        <is>
          <t>純資産の部</t>
        </is>
      </c>
      <c r="C34" s="625" t="n"/>
      <c r="D34" s="626" t="n"/>
      <c r="E34" s="627" t="n"/>
      <c r="F34" s="627" t="n"/>
      <c r="G34" s="627" t="n"/>
    </row>
    <row r="35" ht="22.35" customHeight="1" s="595">
      <c r="B35" s="187" t="inlineStr">
        <is>
          <t>【資本金】</t>
        </is>
      </c>
      <c r="C35" s="628">
        <f>SUM(C36:C38)</f>
        <v>0</v>
      </c>
      <c r="D35" s="628">
        <f>SUM(D36:D38)</f>
        <v>40000000</v>
      </c>
      <c r="E35" s="628">
        <f>SUM(E36:E38)</f>
        <v>40000000</v>
      </c>
      <c r="F35" s="628">
        <f>SUM(F36:F38)</f>
        <v>40000000</v>
      </c>
      <c r="G35" s="628">
        <f>SUM(G36:G38)</f>
        <v>40000000</v>
      </c>
    </row>
    <row r="36" ht="22.35" customHeight="1" s="595">
      <c r="B36" s="325" t="inlineStr">
        <is>
          <t>資本金</t>
        </is>
      </c>
      <c r="C36" s="624" t="n"/>
      <c r="D36" s="609" t="n">
        <v>40000000</v>
      </c>
      <c r="E36" s="609" t="n">
        <v>40000000</v>
      </c>
      <c r="F36" s="609" t="n">
        <v>40000000</v>
      </c>
      <c r="G36" s="609" t="n">
        <v>40000000</v>
      </c>
    </row>
    <row r="37" hidden="1" ht="22.35" customHeight="1" s="595">
      <c r="B37" s="325" t="n"/>
      <c r="C37" s="624" t="n"/>
      <c r="D37" s="609" t="n"/>
      <c r="E37" s="609" t="n"/>
      <c r="F37" s="609" t="n"/>
      <c r="G37" s="609" t="n"/>
    </row>
    <row r="38" hidden="1" ht="22.35" customHeight="1" s="595">
      <c r="B38" s="326" t="n"/>
      <c r="C38" s="629" t="n"/>
      <c r="D38" s="611" t="n"/>
      <c r="E38" s="611" t="n"/>
      <c r="F38" s="611" t="n"/>
      <c r="G38" s="611" t="n"/>
    </row>
    <row r="39" hidden="1" ht="22.5" customHeight="1" s="595">
      <c r="B39" s="187" t="inlineStr">
        <is>
          <t>【資本剰余金】</t>
        </is>
      </c>
      <c r="C39" s="628">
        <f>SUM(C40:C42)</f>
        <v>0</v>
      </c>
      <c r="D39" s="628">
        <f>SUM(D40:D42)</f>
        <v>0</v>
      </c>
      <c r="E39" s="628">
        <f>SUM(E40:E42)</f>
        <v>0</v>
      </c>
      <c r="F39" s="628">
        <f>SUM(F40:F42)</f>
        <v>0</v>
      </c>
      <c r="G39" s="628">
        <f>SUM(G40:G42)</f>
        <v>0</v>
      </c>
    </row>
    <row r="40" hidden="1" ht="22.5" customHeight="1" s="595">
      <c r="B40" s="325" t="n"/>
      <c r="C40" s="624" t="n"/>
      <c r="D40" s="609" t="n"/>
      <c r="E40" s="609" t="n"/>
      <c r="F40" s="609" t="n"/>
      <c r="G40" s="609" t="n"/>
    </row>
    <row r="41" hidden="1" ht="22.5" customHeight="1" s="595">
      <c r="B41" s="325" t="n"/>
      <c r="C41" s="624" t="n"/>
      <c r="D41" s="609" t="n"/>
      <c r="E41" s="609" t="n"/>
      <c r="F41" s="609" t="n"/>
      <c r="G41" s="609" t="n"/>
    </row>
    <row r="42" hidden="1" ht="22.5" customHeight="1" s="595">
      <c r="B42" s="330" t="n"/>
      <c r="C42" s="630" t="n"/>
      <c r="D42" s="631" t="n"/>
      <c r="E42" s="631" t="n"/>
      <c r="F42" s="631" t="n"/>
      <c r="G42" s="631" t="n"/>
    </row>
    <row r="43" ht="22.5" customHeight="1" s="595">
      <c r="B43" s="304" t="inlineStr">
        <is>
          <t>【利益剰余金】</t>
        </is>
      </c>
      <c r="C43" s="628">
        <f>SUM(C44:C48)</f>
        <v>0</v>
      </c>
      <c r="D43" s="628">
        <f>SUM(D44:D48)</f>
        <v>52828337</v>
      </c>
      <c r="E43" s="628">
        <f>SUM(E44:E48)</f>
        <v>53757236</v>
      </c>
      <c r="F43" s="628">
        <f>SUM(F44:F48)</f>
        <v>37872581</v>
      </c>
      <c r="G43" s="628">
        <f>SUM(G44:G48)</f>
        <v>59038488</v>
      </c>
    </row>
    <row r="44" ht="22.5" customHeight="1" s="595">
      <c r="B44" s="331" t="inlineStr">
        <is>
          <t>利益準備金</t>
        </is>
      </c>
      <c r="C44" s="624" t="n"/>
      <c r="D44" s="609" t="n">
        <v>1800000</v>
      </c>
      <c r="E44" s="609" t="n">
        <v>2000000</v>
      </c>
      <c r="F44" s="609" t="n">
        <v>2080000</v>
      </c>
      <c r="G44" s="609" t="n">
        <v>2080000</v>
      </c>
    </row>
    <row r="45" ht="22.5" customHeight="1" s="595">
      <c r="B45" s="325" t="inlineStr">
        <is>
          <t>繰越利益剰余金</t>
        </is>
      </c>
      <c r="C45" s="624" t="n"/>
      <c r="D45" s="609" t="n">
        <v>51028337</v>
      </c>
      <c r="E45" s="609" t="n">
        <v>51757236</v>
      </c>
      <c r="F45" s="609" t="n">
        <v>35792581</v>
      </c>
      <c r="G45" s="609" t="n">
        <v>56958488</v>
      </c>
    </row>
    <row r="46" ht="22.5" customHeight="1" s="595">
      <c r="B46" s="325" t="n"/>
      <c r="C46" s="624" t="n"/>
      <c r="D46" s="609" t="n"/>
      <c r="E46" s="609" t="n"/>
      <c r="F46" s="609" t="n"/>
      <c r="G46" s="609" t="n"/>
    </row>
    <row r="47" hidden="1" ht="22.5" customHeight="1" s="595">
      <c r="B47" s="325" t="n"/>
      <c r="C47" s="624" t="n"/>
      <c r="D47" s="609" t="n"/>
      <c r="E47" s="609" t="n"/>
      <c r="F47" s="609" t="n"/>
      <c r="G47" s="609" t="n"/>
    </row>
    <row r="48" hidden="1" ht="22.5" customHeight="1" s="595">
      <c r="B48" s="326" t="n"/>
      <c r="C48" s="629" t="n"/>
      <c r="D48" s="611" t="n"/>
      <c r="E48" s="611" t="n"/>
      <c r="F48" s="611" t="n"/>
      <c r="G48" s="611" t="n"/>
    </row>
    <row r="49" hidden="1" ht="22.5" customHeight="1" s="595">
      <c r="B49" s="188" t="inlineStr">
        <is>
          <t>【自己株式】</t>
        </is>
      </c>
      <c r="C49" s="632" t="n">
        <v>0</v>
      </c>
      <c r="D49" s="633" t="n">
        <v>0</v>
      </c>
      <c r="E49" s="633" t="n">
        <v>0</v>
      </c>
      <c r="F49" s="633" t="n">
        <v>0</v>
      </c>
      <c r="G49" s="633" t="n">
        <v>0</v>
      </c>
    </row>
    <row r="50" ht="22.5" customHeight="1" s="595">
      <c r="B50" s="180" t="inlineStr">
        <is>
          <t>純資産合計</t>
        </is>
      </c>
      <c r="C50" s="634">
        <f>C35+C39+C43+C49</f>
        <v>0</v>
      </c>
      <c r="D50" s="634">
        <f>D35+D39+D43+D49</f>
        <v>92828337</v>
      </c>
      <c r="E50" s="634">
        <f>E35+E39+E43+E49</f>
        <v>93757236</v>
      </c>
      <c r="F50" s="634">
        <f>F35+F39+F43+F49</f>
        <v>77872581</v>
      </c>
      <c r="G50" s="634">
        <f>G35+G39+G43+G49</f>
        <v>99038488</v>
      </c>
    </row>
    <row r="51" ht="22.5" customHeight="1" s="595">
      <c r="B51" s="181" t="inlineStr">
        <is>
          <t>負債・純資産合計</t>
        </is>
      </c>
      <c r="C51" s="635">
        <f>C25+C50</f>
        <v>0</v>
      </c>
      <c r="D51" s="635">
        <f>D25+D50</f>
        <v>651947559</v>
      </c>
      <c r="E51" s="635">
        <f>E25+E50</f>
        <v>567528964</v>
      </c>
      <c r="F51" s="635">
        <f>F25+F50</f>
        <v>485190104</v>
      </c>
      <c r="G51" s="635">
        <f>G25+G50</f>
        <v>665564383</v>
      </c>
    </row>
    <row r="52">
      <c r="C52" s="636" t="n"/>
      <c r="D52" s="614" t="n"/>
      <c r="E52" s="614" t="n"/>
      <c r="F52" s="614" t="n"/>
      <c r="G52" s="614" t="n"/>
    </row>
    <row r="53">
      <c r="B53" s="406" t="inlineStr">
        <is>
          <t>バランスチェック</t>
        </is>
      </c>
      <c r="C53" s="637">
        <f>EXACT(C51,'BS(借方)'!C61)</f>
        <v>1</v>
      </c>
      <c r="D53" s="637">
        <f>EXACT(D51,'BS(借方)'!D61)</f>
        <v>1</v>
      </c>
      <c r="E53" s="637">
        <f>EXACT(E51,'BS(借方)'!E61)</f>
        <v>1</v>
      </c>
      <c r="F53" s="637">
        <f>EXACT(F51,'BS(借方)'!F61)</f>
        <v>1</v>
      </c>
      <c r="G53" s="637">
        <f>EXACT(G51,'BS(借方)'!G61)</f>
        <v>1</v>
      </c>
    </row>
    <row r="54">
      <c r="C54" s="636" t="n"/>
      <c r="D54" s="614" t="n"/>
      <c r="E54" s="614" t="n"/>
      <c r="F54" s="614" t="n"/>
      <c r="G54" s="614" t="n"/>
    </row>
    <row r="55">
      <c r="C55" s="636" t="n"/>
      <c r="D55" s="614" t="n"/>
      <c r="E55" s="614" t="n"/>
      <c r="F55" s="614" t="n"/>
      <c r="G55" s="614" t="n"/>
    </row>
    <row r="56">
      <c r="C56" s="636" t="n"/>
      <c r="D56" s="614" t="n"/>
      <c r="E56" s="614" t="n"/>
      <c r="F56" s="614" t="n"/>
      <c r="G56" s="614" t="n"/>
    </row>
    <row r="57">
      <c r="C57" s="636" t="n"/>
      <c r="D57" s="614" t="n"/>
      <c r="E57" s="614" t="n"/>
      <c r="F57" s="614" t="n"/>
      <c r="G57" s="614" t="n"/>
    </row>
    <row r="58">
      <c r="C58" s="636" t="n"/>
      <c r="D58" s="614" t="n"/>
      <c r="E58" s="614" t="n"/>
      <c r="F58" s="614" t="n"/>
      <c r="G58" s="614" t="n"/>
    </row>
    <row r="59">
      <c r="C59" s="636" t="n"/>
      <c r="D59" s="614" t="n"/>
      <c r="E59" s="614" t="n"/>
      <c r="F59" s="614" t="n"/>
      <c r="G59" s="614" t="n"/>
    </row>
    <row r="60">
      <c r="C60" s="636" t="n"/>
      <c r="D60" s="614" t="n"/>
      <c r="E60" s="614" t="n"/>
      <c r="F60" s="614" t="n"/>
      <c r="G60" s="614" t="n"/>
    </row>
    <row r="61">
      <c r="C61" s="636" t="n"/>
      <c r="D61" s="614" t="n"/>
      <c r="E61" s="614" t="n"/>
      <c r="F61" s="614" t="n"/>
      <c r="G61" s="614" t="n"/>
    </row>
    <row r="62">
      <c r="C62" s="636" t="n"/>
      <c r="D62" s="614" t="n"/>
      <c r="E62" s="614" t="n"/>
      <c r="F62" s="614" t="n"/>
      <c r="G62" s="614" t="n"/>
    </row>
    <row r="63">
      <c r="C63" s="636" t="n"/>
      <c r="D63" s="614" t="n"/>
      <c r="E63" s="614" t="n"/>
      <c r="F63" s="614" t="n"/>
      <c r="G63" s="614" t="n"/>
    </row>
    <row r="64">
      <c r="C64" s="636" t="n"/>
      <c r="D64" s="614" t="n"/>
      <c r="E64" s="614" t="n"/>
      <c r="F64" s="614" t="n"/>
      <c r="G64" s="614" t="n"/>
    </row>
    <row r="65">
      <c r="C65" s="636" t="n"/>
      <c r="D65" s="614" t="n"/>
      <c r="E65" s="614" t="n"/>
      <c r="F65" s="614" t="n"/>
      <c r="G65" s="614" t="n"/>
    </row>
    <row r="66">
      <c r="C66" s="636" t="n"/>
      <c r="D66" s="614" t="n"/>
      <c r="E66" s="614" t="n"/>
      <c r="F66" s="614" t="n"/>
      <c r="G66" s="614" t="n"/>
    </row>
    <row r="67">
      <c r="C67" s="636" t="n"/>
      <c r="D67" s="614" t="n"/>
      <c r="E67" s="614" t="n"/>
      <c r="F67" s="614" t="n"/>
      <c r="G67" s="614" t="n"/>
    </row>
    <row r="68">
      <c r="C68" s="636" t="n"/>
      <c r="D68" s="614" t="n"/>
      <c r="E68" s="614" t="n"/>
      <c r="F68" s="614" t="n"/>
      <c r="G68" s="614" t="n"/>
    </row>
  </sheetData>
  <pageMargins left="0.7" right="0.7" top="0.75" bottom="0.75" header="0.3" footer="0.3"/>
  <pageSetup orientation="portrait" paperSize="9" horizontalDpi="1200" verticalDpi="1200"/>
</worksheet>
</file>

<file path=xl/worksheets/sheet5.xml><?xml version="1.0" encoding="utf-8"?>
<worksheet xmlns="http://schemas.openxmlformats.org/spreadsheetml/2006/main">
  <sheetPr>
    <outlinePr summaryBelow="1" summaryRight="1"/>
    <pageSetUpPr/>
  </sheetPr>
  <dimension ref="A1:L77"/>
  <sheetViews>
    <sheetView showGridLines="0" zoomScale="70" zoomScaleNormal="70" workbookViewId="0">
      <pane ySplit="4" topLeftCell="A38" activePane="bottomLeft" state="frozen"/>
      <selection pane="bottomLeft" activeCell="A56" sqref="A56"/>
    </sheetView>
  </sheetViews>
  <sheetFormatPr baseColWidth="8" defaultRowHeight="18"/>
  <cols>
    <col width="36" bestFit="1" customWidth="1" style="182" min="2" max="2"/>
    <col hidden="1" width="15" customWidth="1" style="595" min="3" max="3"/>
    <col hidden="1" width="15" customWidth="1" style="595" min="4" max="4"/>
    <col width="15" customWidth="1" style="595" min="5" max="5"/>
    <col width="15" customWidth="1" style="595" min="6" max="6"/>
    <col width="15" customWidth="1" style="595" min="7" max="7"/>
    <col width="15" customWidth="1" style="595" min="8" max="8"/>
    <col width="15" customWidth="1" style="595" min="9" max="9"/>
    <col width="15" customWidth="1" style="595" min="10" max="10"/>
    <col width="15" customWidth="1" style="595" min="11" max="11"/>
    <col width="15" customWidth="1" style="595" min="12" max="12"/>
    <col width="16.125" customWidth="1" style="595" min="13" max="13"/>
    <col width="8.875" customWidth="1" style="595" min="14" max="14"/>
  </cols>
  <sheetData>
    <row r="1">
      <c r="A1" s="603" t="inlineStr">
        <is>
          <t>■ 貼付範囲 B2:L56 → 企業概要書「損益計算書」（C:D列・空行は非表示）</t>
        </is>
      </c>
    </row>
    <row r="2" ht="18.75" customHeight="1" s="595">
      <c r="B2" s="0" t="n"/>
      <c r="C2" s="175" t="n"/>
      <c r="D2" s="190" t="n"/>
      <c r="G2" s="175" t="n"/>
      <c r="H2" s="73" t="n"/>
      <c r="I2" s="0" t="n"/>
      <c r="K2" s="175" t="n"/>
      <c r="L2" s="638" t="inlineStr">
        <is>
          <t>(単位：千円)</t>
        </is>
      </c>
    </row>
    <row r="3" ht="19.5" customHeight="1" s="595">
      <c r="B3" s="559" t="inlineStr">
        <is>
          <t>科目</t>
        </is>
      </c>
      <c r="C3" s="193" t="str">
        <f>'BS(借方)'!C4</f>
        <v>●●年●月期</v>
      </c>
      <c r="D3" s="195" t="n"/>
      <c r="E3" s="196" t="str">
        <f>'BS(借方)'!D4</f>
        <v>24年3月期</v>
      </c>
      <c r="F3" s="639" t="n"/>
      <c r="G3" s="197" t="str">
        <f>'BS(借方)'!E4</f>
        <v>25年3月期</v>
      </c>
      <c r="H3" s="640" t="n"/>
      <c r="I3" s="199" t="str">
        <f>'BS(借方)'!F4</f>
        <v>26年3月期</v>
      </c>
      <c r="J3" s="640" t="n"/>
      <c r="K3" s="199" t="str">
        <f>'BS(借方)'!G4</f>
        <v>27年3月期
4〜9月TB</v>
      </c>
      <c r="L3" s="640" t="n"/>
    </row>
    <row r="4" ht="19.5" customHeight="1" s="595">
      <c r="B4" s="641" t="n"/>
      <c r="C4" s="194" t="inlineStr">
        <is>
          <t>帳簿価額</t>
        </is>
      </c>
      <c r="D4" s="191" t="inlineStr">
        <is>
          <t>売上高比</t>
        </is>
      </c>
      <c r="E4" s="194" t="inlineStr">
        <is>
          <t>帳簿価額</t>
        </is>
      </c>
      <c r="F4" s="194" t="inlineStr">
        <is>
          <t>売上高比</t>
        </is>
      </c>
      <c r="G4" s="194" t="inlineStr">
        <is>
          <t>帳簿価額</t>
        </is>
      </c>
      <c r="H4" s="191" t="inlineStr">
        <is>
          <t>売上高比</t>
        </is>
      </c>
      <c r="I4" s="194" t="inlineStr">
        <is>
          <t>帳簿価額</t>
        </is>
      </c>
      <c r="J4" s="191" t="inlineStr">
        <is>
          <t>売上高比</t>
        </is>
      </c>
      <c r="K4" s="203" t="inlineStr">
        <is>
          <t>帳簿価額</t>
        </is>
      </c>
      <c r="L4" s="192" t="inlineStr">
        <is>
          <t>売上高比</t>
        </is>
      </c>
    </row>
    <row r="5" ht="22.5" customHeight="1" s="595">
      <c r="B5" s="204" t="inlineStr">
        <is>
          <t>商品売上高</t>
        </is>
      </c>
      <c r="C5" s="642" t="n"/>
      <c r="D5" s="643" t="str">
        <f>IF(C5=0,"",C5/C$11)</f>
        <v/>
      </c>
      <c r="E5" s="642" t="n">
        <v>1179974308</v>
      </c>
      <c r="F5" s="643">
        <f>IF(E5=0,"",E5/E$11)</f>
        <v>1.00126026621928</v>
      </c>
      <c r="G5" s="642" t="n">
        <v>1183308630</v>
      </c>
      <c r="H5" s="643">
        <f>IF(G5=0,"",G5/G$11)</f>
        <v>1.00115173489878</v>
      </c>
      <c r="I5" s="642" t="n">
        <v>1197530299</v>
      </c>
      <c r="J5" s="643">
        <f>IF(I5=0,"",I5/I$11)</f>
        <v>1.00136887633908</v>
      </c>
      <c r="K5" s="642" t="n">
        <v>568871022</v>
      </c>
      <c r="L5" s="643">
        <f>IF(K5=0,"",K5/K$11)</f>
        <v>0.915567758654513</v>
      </c>
    </row>
    <row r="6" ht="22.5" customHeight="1" s="595">
      <c r="B6" s="205" t="inlineStr">
        <is>
          <t>資材売上高</t>
        </is>
      </c>
      <c r="C6" s="609" t="n"/>
      <c r="D6" s="643" t="str">
        <f>IF(C6=0,"",C6/C$11)</f>
        <v/>
      </c>
      <c r="E6" s="609" t="n"/>
      <c r="F6" s="643" t="str">
        <f>IF(E6=0,"",E6/E$11)</f>
        <v/>
      </c>
      <c r="G6" s="609" t="n"/>
      <c r="H6" s="643" t="str">
        <f>IF(G6=0,"",G6/G$11)</f>
        <v/>
      </c>
      <c r="I6" s="609" t="n"/>
      <c r="J6" s="643" t="str">
        <f>IF(I6=0,"",I6/I$11)</f>
        <v/>
      </c>
      <c r="K6" s="609" t="n">
        <v>5369372</v>
      </c>
      <c r="L6" s="643">
        <f>IF(K6=0,"",K6/K$11)</f>
        <v>0.00864171964699284</v>
      </c>
    </row>
    <row r="7" ht="22.5" customHeight="1" s="595">
      <c r="B7" s="205" t="inlineStr">
        <is>
          <t>資材売上（自社）</t>
        </is>
      </c>
      <c r="C7" s="609" t="n"/>
      <c r="D7" s="643" t="str">
        <f>IF(C7=0,"",C7/C$11)</f>
        <v/>
      </c>
      <c r="E7" s="609" t="n"/>
      <c r="F7" s="643" t="str">
        <f>IF(E7=0,"",E7/E$11)</f>
        <v/>
      </c>
      <c r="G7" s="609" t="n"/>
      <c r="H7" s="643" t="str">
        <f>IF(G7=0,"",G7/G$11)</f>
        <v/>
      </c>
      <c r="I7" s="609" t="n"/>
      <c r="J7" s="643" t="str">
        <f>IF(I7=0,"",I7/I$11)</f>
        <v/>
      </c>
      <c r="K7" s="609" t="n">
        <v>9473775</v>
      </c>
      <c r="L7" s="643">
        <f>IF(K7=0,"",K7/K$11)</f>
        <v>0.0152475387342672</v>
      </c>
    </row>
    <row r="8" ht="22.5" customHeight="1" s="595">
      <c r="B8" s="205" t="inlineStr">
        <is>
          <t>主婦センター費</t>
        </is>
      </c>
      <c r="C8" s="609" t="n"/>
      <c r="D8" s="643" t="str">
        <f>IF(C8=0,"",C8/C$11)</f>
        <v/>
      </c>
      <c r="E8" s="609" t="n"/>
      <c r="F8" s="643" t="str">
        <f>IF(E8=0,"",E8/E$11)</f>
        <v/>
      </c>
      <c r="G8" s="609" t="n"/>
      <c r="H8" s="643" t="str">
        <f>IF(G8=0,"",G8/G$11)</f>
        <v/>
      </c>
      <c r="I8" s="609" t="n"/>
      <c r="J8" s="643" t="str">
        <f>IF(I8=0,"",I8/I$11)</f>
        <v/>
      </c>
      <c r="K8" s="609" t="n">
        <v>18416492</v>
      </c>
      <c r="L8" s="643">
        <f>IF(K8=0,"",K8/K$11)</f>
        <v>0.0296403677646262</v>
      </c>
    </row>
    <row r="9" ht="22.5" customHeight="1" s="595">
      <c r="B9" s="205" t="inlineStr">
        <is>
          <t>委託手数料収入</t>
        </is>
      </c>
      <c r="C9" s="609" t="n"/>
      <c r="D9" s="643" t="str">
        <f>IF(C9=0,"",C9/C$11)</f>
        <v/>
      </c>
      <c r="E9" s="609" t="n"/>
      <c r="F9" s="643" t="str">
        <f>IF(E9=0,"",E9/E$11)</f>
        <v/>
      </c>
      <c r="G9" s="609" t="n"/>
      <c r="H9" s="643" t="str">
        <f>IF(G9=0,"",G9/G$11)</f>
        <v/>
      </c>
      <c r="I9" s="609" t="n"/>
      <c r="J9" s="643" t="str">
        <f>IF(I9=0,"",I9/I$11)</f>
        <v/>
      </c>
      <c r="K9" s="609" t="n">
        <v>19958506</v>
      </c>
      <c r="L9" s="643">
        <f>IF(K9=0,"",K9/K$11)</f>
        <v>0.0321221575679287</v>
      </c>
    </row>
    <row r="10" ht="22.5" customHeight="1" s="595">
      <c r="B10" s="206" t="inlineStr">
        <is>
          <t>売上割戻金</t>
        </is>
      </c>
      <c r="C10" s="611" t="n"/>
      <c r="D10" s="644" t="str">
        <f>IF(C10=0,"",C10/C$11)</f>
        <v/>
      </c>
      <c r="E10" s="611" t="n">
        <v>-1485210</v>
      </c>
      <c r="F10" s="644">
        <f>IF(E10=0,"",E10/E$11)</f>
        <v>-0.00126026621928072</v>
      </c>
      <c r="G10" s="611" t="n">
        <v>-1361290</v>
      </c>
      <c r="H10" s="644">
        <f>IF(G10=0,"",G10/G$11)</f>
        <v>-0.00115173489878153</v>
      </c>
      <c r="I10" s="611" t="n">
        <v>-1637030</v>
      </c>
      <c r="J10" s="644">
        <f>IF(I10=0,"",I10/I$11)</f>
        <v>-0.00136887633908072</v>
      </c>
      <c r="K10" s="611" t="n">
        <v>-757740</v>
      </c>
      <c r="L10" s="644">
        <f>IF(K10=0,"",K10/K$11)</f>
        <v>-0.00121954236832768</v>
      </c>
    </row>
    <row r="11" ht="22.5" customHeight="1" s="595">
      <c r="B11" s="209" t="inlineStr">
        <is>
          <t>売上高</t>
        </is>
      </c>
      <c r="C11" s="645">
        <f>SUM(C5:C10)</f>
        <v>0</v>
      </c>
      <c r="D11" s="646" t="str">
        <f>IF(C11=0,"",C11/C$11)</f>
        <v/>
      </c>
      <c r="E11" s="645">
        <f>SUM(E5:E10)</f>
        <v>1178489098</v>
      </c>
      <c r="F11" s="646">
        <f>IF(E11=0,"",E11/E$11)</f>
        <v>1</v>
      </c>
      <c r="G11" s="645">
        <f>SUM(G5:G10)</f>
        <v>1181947340</v>
      </c>
      <c r="H11" s="646">
        <f>IF(G11=0,"",G11/G$11)</f>
        <v>1</v>
      </c>
      <c r="I11" s="645">
        <f>SUM(I5:I10)</f>
        <v>1195893269</v>
      </c>
      <c r="J11" s="646">
        <f>IF(I11=0,"",I11/I$11)</f>
        <v>1</v>
      </c>
      <c r="K11" s="645">
        <f>SUM(K5:K10)</f>
        <v>621331427</v>
      </c>
      <c r="L11" s="646">
        <f>IF(K11=0,"",K11/K$11)</f>
        <v>1</v>
      </c>
    </row>
    <row r="12" ht="22.5" customHeight="1" s="595">
      <c r="B12" s="208" t="inlineStr">
        <is>
          <t>期首棚卸高</t>
        </is>
      </c>
      <c r="C12" s="609" t="n"/>
      <c r="D12" s="643" t="str">
        <f>IF(C12=0,"",C12/C$11)</f>
        <v/>
      </c>
      <c r="E12" s="609" t="n">
        <v>15470384</v>
      </c>
      <c r="F12" s="643">
        <f>IF(E12=0,"",E12/E$11)</f>
        <v>0.0131273034483345</v>
      </c>
      <c r="G12" s="609" t="n">
        <v>9859795</v>
      </c>
      <c r="H12" s="643">
        <f>IF(G12=0,"",G12/G$11)</f>
        <v>0.00834199178450708</v>
      </c>
      <c r="I12" s="609" t="n">
        <v>15443609</v>
      </c>
      <c r="J12" s="643">
        <f>IF(I12=0,"",I12/I$11)</f>
        <v>0.0129138689884206</v>
      </c>
      <c r="K12" s="609" t="n">
        <v>14596695</v>
      </c>
      <c r="L12" s="643">
        <f>IF(K12=0,"",K12/K$11)</f>
        <v>0.0234926069496884</v>
      </c>
    </row>
    <row r="13" ht="22.5" customHeight="1" s="595">
      <c r="B13" s="557" t="inlineStr">
        <is>
          <t>仕入高</t>
        </is>
      </c>
      <c r="C13" s="609" t="n"/>
      <c r="D13" s="643" t="str">
        <f>IF(C13=0,"",C13/C$11)</f>
        <v/>
      </c>
      <c r="E13" s="609" t="n">
        <v>953298320</v>
      </c>
      <c r="F13" s="643">
        <f>IF(E13=0,"",E13/E$11)</f>
        <v>0.808915688416491</v>
      </c>
      <c r="G13" s="609" t="n">
        <v>976235640</v>
      </c>
      <c r="H13" s="643">
        <f>IF(G13=0,"",G13/G$11)</f>
        <v>0.82595527479253</v>
      </c>
      <c r="I13" s="609" t="n">
        <v>996035389</v>
      </c>
      <c r="J13" s="643">
        <f>IF(I13=0,"",I13/I$11)</f>
        <v>0.832879835365977</v>
      </c>
      <c r="K13" s="609" t="n">
        <v>514967990</v>
      </c>
      <c r="L13" s="643">
        <f>IF(K13=0,"",K13/K$11)</f>
        <v>0.828813685614522</v>
      </c>
    </row>
    <row r="14" ht="22.5" customHeight="1" s="595">
      <c r="B14" s="557" t="inlineStr">
        <is>
          <t>期末棚卸高</t>
        </is>
      </c>
      <c r="C14" s="609" t="n"/>
      <c r="D14" s="643" t="str">
        <f>IF(C14=0,"",C14/C$11)</f>
        <v/>
      </c>
      <c r="E14" s="609" t="n">
        <v>-9859795</v>
      </c>
      <c r="F14" s="643">
        <f>IF(E14=0,"",E14/E$11)</f>
        <v>-0.00836647111690124</v>
      </c>
      <c r="G14" s="609" t="n">
        <v>-15443609</v>
      </c>
      <c r="H14" s="643">
        <f>IF(G14=0,"",G14/G$11)</f>
        <v>-0.0130662411745011</v>
      </c>
      <c r="I14" s="609" t="n">
        <v>-14596695</v>
      </c>
      <c r="J14" s="643">
        <f>IF(I14=0,"",I14/I$11)</f>
        <v>-0.012205683716412</v>
      </c>
      <c r="K14" s="609" t="n">
        <v>-14405198</v>
      </c>
      <c r="L14" s="643">
        <f>IF(K14=0,"",K14/K$11)</f>
        <v>-0.0231844026778964</v>
      </c>
    </row>
    <row r="15" hidden="1" ht="22.5" customHeight="1" s="595">
      <c r="B15" s="557" t="n"/>
      <c r="C15" s="609" t="n"/>
      <c r="D15" s="643" t="str">
        <f>IF(C15=0,"",C15/C$11)</f>
        <v/>
      </c>
      <c r="E15" s="609" t="n"/>
      <c r="F15" s="643" t="str">
        <f>IF(E15=0,"",E15/E$11)</f>
        <v/>
      </c>
      <c r="G15" s="609" t="n"/>
      <c r="H15" s="643" t="str">
        <f>IF(G15=0,"",G15/G$11)</f>
        <v/>
      </c>
      <c r="I15" s="609" t="n"/>
      <c r="J15" s="643" t="str">
        <f>IF(I15=0,"",I15/I$11)</f>
        <v/>
      </c>
      <c r="K15" s="609" t="n"/>
      <c r="L15" s="643" t="str">
        <f>IF(K15=0,"",K15/K$11)</f>
        <v/>
      </c>
    </row>
    <row r="16" ht="22.5" customHeight="1" s="595">
      <c r="B16" s="207" t="inlineStr">
        <is>
          <t>売上原価</t>
        </is>
      </c>
      <c r="C16" s="647">
        <f>SUM(C12:C15)</f>
        <v>0</v>
      </c>
      <c r="D16" s="648" t="str">
        <f>IF(C16=0,"",C16/C$11)</f>
        <v/>
      </c>
      <c r="E16" s="647">
        <f>SUM(E12:E15)</f>
        <v>958908909</v>
      </c>
      <c r="F16" s="648">
        <f>IF(E16=0,"",E16/E$11)</f>
        <v>0.813676520747925</v>
      </c>
      <c r="G16" s="647">
        <f>SUM(G12:G15)</f>
        <v>970651826</v>
      </c>
      <c r="H16" s="648">
        <f>IF(G16=0,"",G16/G$11)</f>
        <v>0.821231025402536</v>
      </c>
      <c r="I16" s="647">
        <f>SUM(I12:I15)</f>
        <v>996882303</v>
      </c>
      <c r="J16" s="648">
        <f>IF(I16=0,"",I16/I$11)</f>
        <v>0.833588020637986</v>
      </c>
      <c r="K16" s="647">
        <f>SUM(K12:K15)</f>
        <v>515159487</v>
      </c>
      <c r="L16" s="648">
        <f>IF(K16=0,"",K16/K$11)</f>
        <v>0.829121889886313</v>
      </c>
    </row>
    <row r="17" ht="22.5" customHeight="1" s="595">
      <c r="B17" s="209" t="inlineStr">
        <is>
          <t>売上総利益</t>
        </is>
      </c>
      <c r="C17" s="645">
        <f>C11-C16</f>
        <v>0</v>
      </c>
      <c r="D17" s="646" t="str">
        <f>IF(C17=0,"",C17/C$11)</f>
        <v/>
      </c>
      <c r="E17" s="645">
        <f>E11-E16</f>
        <v>219580189</v>
      </c>
      <c r="F17" s="646">
        <f>IF(E17=0,"",E17/E$11)</f>
        <v>0.186323479252075</v>
      </c>
      <c r="G17" s="645">
        <f>G11-G16</f>
        <v>211295514</v>
      </c>
      <c r="H17" s="646">
        <f>IF(G17=0,"",G17/G$11)</f>
        <v>0.178768974597464</v>
      </c>
      <c r="I17" s="645">
        <f>I11-I16</f>
        <v>199010966</v>
      </c>
      <c r="J17" s="646">
        <f>IF(I17=0,"",I17/I$11)</f>
        <v>0.166411979362014</v>
      </c>
      <c r="K17" s="645">
        <f>K11-K16</f>
        <v>106171940</v>
      </c>
      <c r="L17" s="646">
        <f>IF(K17=0,"",K17/K$11)</f>
        <v>0.170878110113687</v>
      </c>
    </row>
    <row r="18" ht="22.5" customHeight="1" s="595">
      <c r="B18" s="207" t="inlineStr">
        <is>
          <t>販売費及び一般管理費</t>
        </is>
      </c>
      <c r="C18" s="649">
        <f>SGA!C40</f>
        <v>0</v>
      </c>
      <c r="D18" s="650" t="str">
        <f>IF(C18=0,"",C18/C$11)</f>
        <v/>
      </c>
      <c r="E18" s="649">
        <f>SGA!E40</f>
        <v>214823441</v>
      </c>
      <c r="F18" s="650">
        <f>IF(E18=0,"",E18/E$11)</f>
        <v>0.182287168684525</v>
      </c>
      <c r="G18" s="649">
        <f>SGA!G40</f>
        <v>215718454</v>
      </c>
      <c r="H18" s="650">
        <f>IF(G18=0,"",G18/G$11)</f>
        <v>0.182511053326623</v>
      </c>
      <c r="I18" s="649">
        <f>SGA!I40</f>
        <v>193151054</v>
      </c>
      <c r="J18" s="650">
        <f>IF(I18=0,"",I18/I$11)</f>
        <v>0.161511950110324</v>
      </c>
      <c r="K18" s="649">
        <f>SGA!K40</f>
        <v>85746239</v>
      </c>
      <c r="L18" s="650">
        <f>IF(K18=0,"",K18/K$11)</f>
        <v>0.138004026955488</v>
      </c>
    </row>
    <row r="19" ht="22.5" customHeight="1" s="595">
      <c r="B19" s="209" t="inlineStr">
        <is>
          <t>営業利益</t>
        </is>
      </c>
      <c r="C19" s="645">
        <f>C17- C18</f>
        <v>0</v>
      </c>
      <c r="D19" s="646" t="str">
        <f>IF(C19=0,"",C19/C$11)</f>
        <v/>
      </c>
      <c r="E19" s="645">
        <f>E17- E18</f>
        <v>4756748</v>
      </c>
      <c r="F19" s="646">
        <f>IF(E19=0,"",E19/E$11)</f>
        <v>0.00403631056755011</v>
      </c>
      <c r="G19" s="645">
        <f>G17- G18</f>
        <v>-4422940</v>
      </c>
      <c r="H19" s="646">
        <f>IF(G19=0,"",G19/G$11)</f>
        <v>-0.00374207872915895</v>
      </c>
      <c r="I19" s="645">
        <f>I17- I18</f>
        <v>5859912</v>
      </c>
      <c r="J19" s="646">
        <f>IF(I19=0,"",I19/I$11)</f>
        <v>0.00490002925169069</v>
      </c>
      <c r="K19" s="645">
        <f>K17- K18</f>
        <v>20425701</v>
      </c>
      <c r="L19" s="646">
        <f>IF(K19=0,"",K19/K$11)</f>
        <v>0.0328740831581983</v>
      </c>
    </row>
    <row r="20" ht="22.5" customHeight="1" s="595">
      <c r="B20" s="207" t="inlineStr">
        <is>
          <t>営業外収益</t>
        </is>
      </c>
      <c r="C20" s="649">
        <f>SUM(C21:C27)</f>
        <v>0</v>
      </c>
      <c r="D20" s="650" t="str">
        <f>IF(C20=0,"",C20/C$11)</f>
        <v/>
      </c>
      <c r="E20" s="649">
        <f>SUM(E21:E27)</f>
        <v>10628095</v>
      </c>
      <c r="F20" s="650">
        <f>IF(E20=0,"",E20/E$11)</f>
        <v>0.00901840756782292</v>
      </c>
      <c r="G20" s="649">
        <f>SUM(G21:G27)</f>
        <v>10736890</v>
      </c>
      <c r="H20" s="650">
        <f>IF(G20=0,"",G20/G$11)</f>
        <v>0.00908406799240311</v>
      </c>
      <c r="I20" s="649">
        <f>SUM(I21:I27)</f>
        <v>6577758</v>
      </c>
      <c r="J20" s="650">
        <f>IF(I20=0,"",I20/I$11)</f>
        <v>0.00550028850442506</v>
      </c>
      <c r="K20" s="649">
        <f>SUM(K21:K27)</f>
        <v>2830373</v>
      </c>
      <c r="L20" s="650">
        <f>IF(K20=0,"",K20/K$11)</f>
        <v>0.00455533532830619</v>
      </c>
    </row>
    <row r="21" ht="22.5" customHeight="1" s="595">
      <c r="B21" s="210" t="inlineStr">
        <is>
          <t>受取利息</t>
        </is>
      </c>
      <c r="C21" s="609" t="n"/>
      <c r="D21" s="643" t="str">
        <f>IF(C21=0,"",C21/C$11)</f>
        <v/>
      </c>
      <c r="E21" s="609" t="n">
        <v>1252</v>
      </c>
      <c r="F21" s="643">
        <f>IF(E21=0,"",E21/E$11)</f>
        <v>1.06237724398533e-06</v>
      </c>
      <c r="G21" s="609" t="n">
        <v>84858</v>
      </c>
      <c r="H21" s="643">
        <f>IF(G21=0,"",G21/G$11)</f>
        <v>7.17950767586651e-05</v>
      </c>
      <c r="I21" s="609" t="n">
        <v>267463</v>
      </c>
      <c r="J21" s="643">
        <f>IF(I21=0,"",I21/I$11)</f>
        <v>0.000223651229531253</v>
      </c>
      <c r="K21" s="609" t="n">
        <v>161697</v>
      </c>
      <c r="L21" s="643">
        <f>IF(K21=0,"",K21/K$11)</f>
        <v>0.000260242751249085</v>
      </c>
    </row>
    <row r="22" ht="22.5" customHeight="1" s="595">
      <c r="B22" s="212" t="inlineStr">
        <is>
          <t>受取配当金</t>
        </is>
      </c>
      <c r="C22" s="609" t="n"/>
      <c r="D22" s="643" t="str">
        <f>IF(C22=0,"",C22/C$11)</f>
        <v/>
      </c>
      <c r="E22" s="609" t="n">
        <v>30500</v>
      </c>
      <c r="F22" s="643">
        <f>IF(E22=0,"",E22/E$11)</f>
        <v>2.58805957999622e-05</v>
      </c>
      <c r="G22" s="609" t="n">
        <v>30500</v>
      </c>
      <c r="H22" s="643">
        <f>IF(G22=0,"",G22/G$11)</f>
        <v>2.58048721527644e-05</v>
      </c>
      <c r="I22" s="609" t="n">
        <v>30500</v>
      </c>
      <c r="J22" s="643">
        <f>IF(I22=0,"",I22/I$11)</f>
        <v>2.55039482122882e-05</v>
      </c>
      <c r="K22" s="609" t="n">
        <v>30950</v>
      </c>
      <c r="L22" s="643">
        <f>IF(K22=0,"",K22/K$11)</f>
        <v>4.981238459068e-05</v>
      </c>
    </row>
    <row r="23" ht="22.5" customHeight="1" s="595">
      <c r="B23" s="212" t="inlineStr">
        <is>
          <t>受取延滞料</t>
        </is>
      </c>
      <c r="C23" s="609" t="n"/>
      <c r="D23" s="643" t="str">
        <f>IF(C23=0,"",C23/C$11)</f>
        <v/>
      </c>
      <c r="E23" s="609" t="n">
        <v>170242</v>
      </c>
      <c r="F23" s="643">
        <f>IF(E23=0,"",E23/E$11)</f>
        <v>0.000144457848858268</v>
      </c>
      <c r="G23" s="609" t="n">
        <v>147416</v>
      </c>
      <c r="H23" s="643">
        <f>IF(G23=0,"",G23/G$11)</f>
        <v>0.00012472298469744</v>
      </c>
      <c r="I23" s="609" t="n">
        <v>96879</v>
      </c>
      <c r="J23" s="643">
        <f>IF(I23=0,"",I23/I$11)</f>
        <v>8.10097376674841e-05</v>
      </c>
      <c r="K23" s="609" t="n">
        <v>58794</v>
      </c>
      <c r="L23" s="643">
        <f>IF(K23=0,"",K23/K$11)</f>
        <v>9.4625826805313e-05</v>
      </c>
    </row>
    <row r="24" ht="22.5" customHeight="1" s="595">
      <c r="B24" s="212" t="inlineStr">
        <is>
          <t>受取奨励金</t>
        </is>
      </c>
      <c r="C24" s="609" t="n"/>
      <c r="D24" s="643" t="str">
        <f>IF(C24=0,"",C24/C$11)</f>
        <v/>
      </c>
      <c r="E24" s="609" t="n">
        <v>2284370</v>
      </c>
      <c r="F24" s="643">
        <f>IF(E24=0,"",E24/E$11)</f>
        <v>0.0019383887418872</v>
      </c>
      <c r="G24" s="609" t="n">
        <v>2406729</v>
      </c>
      <c r="H24" s="643">
        <f>IF(G24=0,"",G24/G$11)</f>
        <v>0.00203624046397871</v>
      </c>
      <c r="I24" s="609" t="n">
        <v>2513377</v>
      </c>
      <c r="J24" s="643">
        <f>IF(I24=0,"",I24/I$11)</f>
        <v>0.00210167333921168</v>
      </c>
      <c r="K24" s="609" t="n">
        <v>1184146</v>
      </c>
      <c r="L24" s="643">
        <f>IF(K24=0,"",K24/K$11)</f>
        <v>0.00190582022499242</v>
      </c>
    </row>
    <row r="25" ht="22.5" customHeight="1" s="595">
      <c r="B25" s="212" t="inlineStr">
        <is>
          <t>受取運賃・配達収入</t>
        </is>
      </c>
      <c r="C25" s="609" t="n"/>
      <c r="D25" s="643" t="str">
        <f>IF(C25=0,"",C25/C$11)</f>
        <v/>
      </c>
      <c r="E25" s="609" t="n"/>
      <c r="F25" s="643" t="str">
        <f>IF(E25=0,"",E25/E$11)</f>
        <v/>
      </c>
      <c r="G25" s="609" t="n"/>
      <c r="H25" s="643" t="str">
        <f>IF(G25=0,"",G25/G$11)</f>
        <v/>
      </c>
      <c r="I25" s="609" t="n"/>
      <c r="J25" s="643" t="str">
        <f>IF(I25=0,"",I25/I$11)</f>
        <v/>
      </c>
      <c r="K25" s="609" t="n">
        <v>163350</v>
      </c>
      <c r="L25" s="643">
        <f>IF(K25=0,"",K25/K$11)</f>
        <v>0.000262903167136917</v>
      </c>
    </row>
    <row r="26" ht="22.5" customHeight="1" s="595">
      <c r="B26" s="212" t="inlineStr">
        <is>
          <t>雑収入</t>
        </is>
      </c>
      <c r="C26" s="609" t="n"/>
      <c r="D26" s="643" t="str">
        <f>IF(C26=0,"",C26/C$11)</f>
        <v/>
      </c>
      <c r="E26" s="609" t="n">
        <v>8141731</v>
      </c>
      <c r="F26" s="643">
        <f>IF(E26=0,"",E26/E$11)</f>
        <v>0.0069086180040335</v>
      </c>
      <c r="G26" s="609" t="n">
        <v>8067387</v>
      </c>
      <c r="H26" s="643">
        <f>IF(G26=0,"",G26/G$11)</f>
        <v>0.00682550459481554</v>
      </c>
      <c r="I26" s="609" t="n">
        <v>3669539</v>
      </c>
      <c r="J26" s="643">
        <f>IF(I26=0,"",I26/I$11)</f>
        <v>0.00306845024980235</v>
      </c>
      <c r="K26" s="609" t="n">
        <v>1231436</v>
      </c>
      <c r="L26" s="643">
        <f>IF(K26=0,"",K26/K$11)</f>
        <v>0.00198193097353178</v>
      </c>
    </row>
    <row r="27" hidden="1" ht="22.5" customHeight="1" s="595">
      <c r="B27" s="211" t="n"/>
      <c r="C27" s="611" t="n"/>
      <c r="D27" s="644" t="str">
        <f>IF(C27=0,"",C27/C$11)</f>
        <v/>
      </c>
      <c r="E27" s="611" t="n"/>
      <c r="F27" s="644" t="str">
        <f>IF(E27=0,"",E27/E$11)</f>
        <v/>
      </c>
      <c r="G27" s="611" t="n"/>
      <c r="H27" s="644" t="str">
        <f>IF(G27=0,"",G27/G$11)</f>
        <v/>
      </c>
      <c r="I27" s="611" t="n"/>
      <c r="J27" s="644" t="str">
        <f>IF(I27=0,"",I27/I$11)</f>
        <v/>
      </c>
      <c r="K27" s="611" t="n"/>
      <c r="L27" s="644" t="str">
        <f>IF(K27=0,"",K27/K$11)</f>
        <v/>
      </c>
    </row>
    <row r="28" ht="22.5" customHeight="1" s="595">
      <c r="B28" s="207" t="inlineStr">
        <is>
          <t>営業外費用</t>
        </is>
      </c>
      <c r="C28" s="649">
        <f>SUM(C29:C35)</f>
        <v>0</v>
      </c>
      <c r="D28" s="650" t="str">
        <f>IF(C28=0,"",C28/C$11)</f>
        <v/>
      </c>
      <c r="E28" s="649">
        <f>SUM(E29:E35)</f>
        <v>4068303</v>
      </c>
      <c r="F28" s="650">
        <f>IF(E28=0,"",E28/E$11)</f>
        <v>0.00345213460769749</v>
      </c>
      <c r="G28" s="649">
        <f>SUM(G29:G35)</f>
        <v>4132569</v>
      </c>
      <c r="H28" s="650">
        <f>IF(G28=0,"",G28/G$11)</f>
        <v>0.00349640703958943</v>
      </c>
      <c r="I28" s="649">
        <f>SUM(I29:I35)</f>
        <v>4369886</v>
      </c>
      <c r="J28" s="650">
        <f>IF(I28=0,"",I28/I$11)</f>
        <v>0.00365407692582305</v>
      </c>
      <c r="K28" s="649">
        <f>SUM(K29:K35)</f>
        <v>2090167</v>
      </c>
      <c r="L28" s="650">
        <f>IF(K28=0,"",K28/K$11)</f>
        <v>0.0033640130036429</v>
      </c>
    </row>
    <row r="29" ht="22.5" customHeight="1" s="595">
      <c r="B29" s="210" t="inlineStr">
        <is>
          <t>支払利息</t>
        </is>
      </c>
      <c r="C29" s="609" t="n"/>
      <c r="D29" s="643" t="str">
        <f>IF(C29=0,"",C29/C$11)</f>
        <v/>
      </c>
      <c r="E29" s="609" t="n">
        <v>3962441</v>
      </c>
      <c r="F29" s="643">
        <f>IF(E29=0,"",E29/E$11)</f>
        <v>0.00336230602958026</v>
      </c>
      <c r="G29" s="609" t="n">
        <v>4040547</v>
      </c>
      <c r="H29" s="643">
        <f>IF(G29=0,"",G29/G$11)</f>
        <v>0.0034185507790897</v>
      </c>
      <c r="I29" s="609" t="n">
        <v>3895556</v>
      </c>
      <c r="J29" s="643">
        <f>IF(I29=0,"",I29/I$11)</f>
        <v>0.00325744454039569</v>
      </c>
      <c r="K29" s="609" t="n">
        <v>2090167</v>
      </c>
      <c r="L29" s="643">
        <f>IF(K29=0,"",K29/K$11)</f>
        <v>0.0033640130036429</v>
      </c>
    </row>
    <row r="30" ht="22.5" customHeight="1" s="595">
      <c r="B30" s="212" t="inlineStr">
        <is>
          <t>出荷奨励金</t>
        </is>
      </c>
      <c r="C30" s="609" t="n"/>
      <c r="D30" s="643" t="str">
        <f>IF(C30=0,"",C30/C$11)</f>
        <v/>
      </c>
      <c r="E30" s="609" t="n">
        <v>105862</v>
      </c>
      <c r="F30" s="643">
        <f>IF(E30=0,"",E30/E$11)</f>
        <v>8.98285781172326e-05</v>
      </c>
      <c r="G30" s="609" t="n">
        <v>92022</v>
      </c>
      <c r="H30" s="643">
        <f>IF(G30=0,"",G30/G$11)</f>
        <v>7.78562604997275e-05</v>
      </c>
      <c r="I30" s="609" t="n">
        <v>94929</v>
      </c>
      <c r="J30" s="643">
        <f>IF(I30=0,"",I30/I$11)</f>
        <v>7.93791573719444e-05</v>
      </c>
      <c r="K30" s="609" t="n"/>
      <c r="L30" s="643" t="str">
        <f>IF(K30=0,"",K30/K$11)</f>
        <v/>
      </c>
    </row>
    <row r="31" ht="22.5" customHeight="1" s="595">
      <c r="B31" s="212" t="inlineStr">
        <is>
          <t>雑損失</t>
        </is>
      </c>
      <c r="C31" s="609" t="n"/>
      <c r="D31" s="643" t="str">
        <f>IF(C31=0,"",C31/C$11)</f>
        <v/>
      </c>
      <c r="E31" s="609" t="n"/>
      <c r="F31" s="643" t="str">
        <f>IF(E31=0,"",E31/E$11)</f>
        <v/>
      </c>
      <c r="G31" s="609" t="n"/>
      <c r="H31" s="643" t="str">
        <f>IF(G31=0,"",G31/G$11)</f>
        <v/>
      </c>
      <c r="I31" s="609" t="n">
        <v>379401</v>
      </c>
      <c r="J31" s="643">
        <f>IF(I31=0,"",I31/I$11)</f>
        <v>0.000317253228055421</v>
      </c>
      <c r="K31" s="609" t="n"/>
      <c r="L31" s="643" t="str">
        <f>IF(K31=0,"",K31/K$11)</f>
        <v/>
      </c>
    </row>
    <row r="32" hidden="1" ht="22.5" customHeight="1" s="595">
      <c r="B32" s="212" t="n"/>
      <c r="C32" s="609" t="n"/>
      <c r="D32" s="643" t="str">
        <f>IF(C32=0,"",C32/C$11)</f>
        <v/>
      </c>
      <c r="E32" s="609" t="n"/>
      <c r="F32" s="643" t="str">
        <f>IF(E32=0,"",E32/E$11)</f>
        <v/>
      </c>
      <c r="G32" s="609" t="n"/>
      <c r="H32" s="643" t="str">
        <f>IF(G32=0,"",G32/G$11)</f>
        <v/>
      </c>
      <c r="I32" s="609" t="n"/>
      <c r="J32" s="643" t="str">
        <f>IF(I32=0,"",I32/I$11)</f>
        <v/>
      </c>
      <c r="K32" s="609" t="n"/>
      <c r="L32" s="643" t="str">
        <f>IF(K32=0,"",K32/K$11)</f>
        <v/>
      </c>
    </row>
    <row r="33" hidden="1" ht="22.5" customHeight="1" s="595">
      <c r="B33" s="212" t="n"/>
      <c r="C33" s="609" t="n"/>
      <c r="D33" s="643" t="str">
        <f>IF(C33=0,"",C33/C$11)</f>
        <v/>
      </c>
      <c r="E33" s="609" t="n"/>
      <c r="F33" s="643" t="str">
        <f>IF(E33=0,"",E33/E$11)</f>
        <v/>
      </c>
      <c r="G33" s="609" t="n"/>
      <c r="H33" s="643" t="str">
        <f>IF(G33=0,"",G33/G$11)</f>
        <v/>
      </c>
      <c r="I33" s="609" t="n"/>
      <c r="J33" s="643" t="str">
        <f>IF(I33=0,"",I33/I$11)</f>
        <v/>
      </c>
      <c r="K33" s="609" t="n"/>
      <c r="L33" s="643" t="str">
        <f>IF(K33=0,"",K33/K$11)</f>
        <v/>
      </c>
    </row>
    <row r="34" hidden="1" ht="22.5" customHeight="1" s="595">
      <c r="B34" s="212" t="n"/>
      <c r="C34" s="609" t="n"/>
      <c r="D34" s="643" t="str">
        <f>IF(C34=0,"",C34/C$11)</f>
        <v/>
      </c>
      <c r="E34" s="609" t="n"/>
      <c r="F34" s="643" t="str">
        <f>IF(E34=0,"",E34/E$11)</f>
        <v/>
      </c>
      <c r="G34" s="609" t="n"/>
      <c r="H34" s="643" t="str">
        <f>IF(G34=0,"",G34/G$11)</f>
        <v/>
      </c>
      <c r="I34" s="609" t="n"/>
      <c r="J34" s="643" t="str">
        <f>IF(I34=0,"",I34/I$11)</f>
        <v/>
      </c>
      <c r="K34" s="609" t="n"/>
      <c r="L34" s="643" t="str">
        <f>IF(K34=0,"",K34/K$11)</f>
        <v/>
      </c>
    </row>
    <row r="35" hidden="1" ht="22.5" customHeight="1" s="595">
      <c r="B35" s="211" t="n"/>
      <c r="C35" s="611" t="n"/>
      <c r="D35" s="644" t="str">
        <f>IF(C35=0,"",C35/C$11)</f>
        <v/>
      </c>
      <c r="E35" s="611" t="n"/>
      <c r="F35" s="644" t="str">
        <f>IF(E35=0,"",E35/E$11)</f>
        <v/>
      </c>
      <c r="G35" s="611" t="n"/>
      <c r="H35" s="644" t="str">
        <f>IF(G35=0,"",G35/G$11)</f>
        <v/>
      </c>
      <c r="I35" s="611" t="n"/>
      <c r="J35" s="644" t="str">
        <f>IF(I35=0,"",I35/I$11)</f>
        <v/>
      </c>
      <c r="K35" s="611" t="n"/>
      <c r="L35" s="644" t="str">
        <f>IF(K35=0,"",K35/K$11)</f>
        <v/>
      </c>
    </row>
    <row r="36" ht="22.5" customHeight="1" s="595">
      <c r="B36" s="209" t="inlineStr">
        <is>
          <t>経常利益</t>
        </is>
      </c>
      <c r="C36" s="645">
        <f>C19+C20-C28</f>
        <v>0</v>
      </c>
      <c r="D36" s="646" t="str">
        <f>IF(C36=0,"",C36/C$11)</f>
        <v/>
      </c>
      <c r="E36" s="645">
        <f>E19+E20-E28</f>
        <v>11316540</v>
      </c>
      <c r="F36" s="646">
        <f>IF(E36=0,"",E36/E$11)</f>
        <v>0.00960258352767554</v>
      </c>
      <c r="G36" s="645">
        <f>G19+G20-G28</f>
        <v>2181381</v>
      </c>
      <c r="H36" s="646">
        <f>IF(G36=0,"",G36/G$11)</f>
        <v>0.00184558222365474</v>
      </c>
      <c r="I36" s="645">
        <f>I19+I20-I28</f>
        <v>8067784</v>
      </c>
      <c r="J36" s="646">
        <f>IF(I36=0,"",I36/I$11)</f>
        <v>0.00674624083029269</v>
      </c>
      <c r="K36" s="645">
        <f>K19+K20-K28</f>
        <v>21165907</v>
      </c>
      <c r="L36" s="646">
        <f>IF(K36=0,"",K36/K$11)</f>
        <v>0.0340654054828616</v>
      </c>
    </row>
    <row r="37" ht="22.5" customHeight="1" s="595">
      <c r="B37" s="207" t="inlineStr">
        <is>
          <t>特別利益</t>
        </is>
      </c>
      <c r="C37" s="647">
        <f>SUM(C38:C43)</f>
        <v>0</v>
      </c>
      <c r="D37" s="648" t="str">
        <f>IF(C37=0,"",C37/C$11)</f>
        <v/>
      </c>
      <c r="E37" s="647">
        <f>SUM(E38:E43)</f>
        <v>1887177</v>
      </c>
      <c r="F37" s="648">
        <f>IF(E37=0,"",E37/E$11)</f>
        <v>0.00160135295540935</v>
      </c>
      <c r="G37" s="647">
        <f>SUM(G38:G43)</f>
        <v>1845918</v>
      </c>
      <c r="H37" s="648">
        <f>IF(G37=0,"",G37/G$11)</f>
        <v>0.00156175993424546</v>
      </c>
      <c r="I37" s="647">
        <f>SUM(I38:I43)</f>
        <v>234000</v>
      </c>
      <c r="J37" s="648">
        <f>IF(I37=0,"",I37/I$11)</f>
        <v>0.000195669635464768</v>
      </c>
      <c r="K37" s="647">
        <f>SUM(K38:K43)</f>
        <v>0</v>
      </c>
      <c r="L37" s="648" t="str">
        <f>IF(K37=0,"",K37/K$11)</f>
        <v/>
      </c>
    </row>
    <row r="38" ht="22.5" customHeight="1" s="595">
      <c r="B38" s="212" t="inlineStr">
        <is>
          <t>固定資産売却益</t>
        </is>
      </c>
      <c r="C38" s="609" t="n"/>
      <c r="D38" s="643" t="str">
        <f>IF(C38=0,"",C38/C$11)</f>
        <v/>
      </c>
      <c r="E38" s="609" t="n">
        <v>1711177</v>
      </c>
      <c r="F38" s="643">
        <f>IF(E38=0,"",E38/E$11)</f>
        <v>0.0014520091894817</v>
      </c>
      <c r="G38" s="609" t="n">
        <v>1608918</v>
      </c>
      <c r="H38" s="643">
        <f>IF(G38=0,"",G38/G$11)</f>
        <v>0.00136124338669775</v>
      </c>
      <c r="I38" s="609" t="n"/>
      <c r="J38" s="643" t="str">
        <f>IF(I38=0,"",I38/I$11)</f>
        <v/>
      </c>
      <c r="K38" s="609" t="n"/>
      <c r="L38" s="643" t="str">
        <f>IF(K38=0,"",K38/K$11)</f>
        <v/>
      </c>
    </row>
    <row r="39" ht="22.5" customHeight="1" s="595">
      <c r="B39" s="212" t="inlineStr">
        <is>
          <t>貸倒引当金戻入</t>
        </is>
      </c>
      <c r="C39" s="609" t="n"/>
      <c r="D39" s="643" t="str">
        <f>IF(C39=0,"",C39/C$11)</f>
        <v/>
      </c>
      <c r="E39" s="609" t="n">
        <v>176000</v>
      </c>
      <c r="F39" s="643">
        <f>IF(E39=0,"",E39/E$11)</f>
        <v>0.000149343765927651</v>
      </c>
      <c r="G39" s="609" t="n">
        <v>237000</v>
      </c>
      <c r="H39" s="643">
        <f>IF(G39=0,"",G39/G$11)</f>
        <v>0.000200516547547711</v>
      </c>
      <c r="I39" s="609" t="n">
        <v>234000</v>
      </c>
      <c r="J39" s="643">
        <f>IF(I39=0,"",I39/I$11)</f>
        <v>0.000195669635464768</v>
      </c>
      <c r="K39" s="609" t="n"/>
      <c r="L39" s="643" t="str">
        <f>IF(K39=0,"",K39/K$11)</f>
        <v/>
      </c>
    </row>
    <row r="40" hidden="1" ht="22.5" customHeight="1" s="595">
      <c r="B40" s="212" t="n"/>
      <c r="C40" s="609" t="n"/>
      <c r="D40" s="643" t="str">
        <f>IF(C40=0,"",C40/C$11)</f>
        <v/>
      </c>
      <c r="E40" s="609" t="n"/>
      <c r="F40" s="643" t="str">
        <f>IF(E40=0,"",E40/E$11)</f>
        <v/>
      </c>
      <c r="G40" s="609" t="n"/>
      <c r="H40" s="643" t="str">
        <f>IF(G40=0,"",G40/G$11)</f>
        <v/>
      </c>
      <c r="I40" s="609" t="n"/>
      <c r="J40" s="643" t="str">
        <f>IF(I40=0,"",I40/I$11)</f>
        <v/>
      </c>
      <c r="K40" s="609" t="n"/>
      <c r="L40" s="643" t="str">
        <f>IF(K40=0,"",K40/K$11)</f>
        <v/>
      </c>
    </row>
    <row r="41" hidden="1" ht="22.5" customHeight="1" s="595">
      <c r="B41" s="212" t="n"/>
      <c r="C41" s="609" t="n"/>
      <c r="D41" s="643" t="str">
        <f>IF(C41=0,"",C41/C$11)</f>
        <v/>
      </c>
      <c r="E41" s="609" t="n"/>
      <c r="F41" s="643" t="str">
        <f>IF(E41=0,"",E41/E$11)</f>
        <v/>
      </c>
      <c r="G41" s="609" t="n"/>
      <c r="H41" s="643" t="str">
        <f>IF(G41=0,"",G41/G$11)</f>
        <v/>
      </c>
      <c r="I41" s="609" t="n"/>
      <c r="J41" s="643" t="str">
        <f>IF(I41=0,"",I41/I$11)</f>
        <v/>
      </c>
      <c r="K41" s="609" t="n"/>
      <c r="L41" s="643" t="str">
        <f>IF(K41=0,"",K41/K$11)</f>
        <v/>
      </c>
    </row>
    <row r="42" hidden="1" ht="22.5" customHeight="1" s="595">
      <c r="B42" s="212" t="n"/>
      <c r="C42" s="609" t="n"/>
      <c r="D42" s="643" t="str">
        <f>IF(C42=0,"",C42/C$11)</f>
        <v/>
      </c>
      <c r="E42" s="609" t="n"/>
      <c r="F42" s="643" t="str">
        <f>IF(E42=0,"",E42/E$11)</f>
        <v/>
      </c>
      <c r="G42" s="609" t="n"/>
      <c r="H42" s="643" t="str">
        <f>IF(G42=0,"",G42/G$11)</f>
        <v/>
      </c>
      <c r="I42" s="609" t="n"/>
      <c r="J42" s="643" t="str">
        <f>IF(I42=0,"",I42/I$11)</f>
        <v/>
      </c>
      <c r="K42" s="609" t="n"/>
      <c r="L42" s="643" t="str">
        <f>IF(K42=0,"",K42/K$11)</f>
        <v/>
      </c>
    </row>
    <row r="43" hidden="1" ht="22.5" customHeight="1" s="595">
      <c r="B43" s="211" t="n"/>
      <c r="C43" s="611" t="n"/>
      <c r="D43" s="644" t="str">
        <f>IF(C43=0,"",C43/C$11)</f>
        <v/>
      </c>
      <c r="E43" s="611" t="n"/>
      <c r="F43" s="644" t="str">
        <f>IF(E43=0,"",E43/E$11)</f>
        <v/>
      </c>
      <c r="G43" s="611" t="n"/>
      <c r="H43" s="644" t="str">
        <f>IF(G43=0,"",G43/G$11)</f>
        <v/>
      </c>
      <c r="I43" s="611" t="n"/>
      <c r="J43" s="644" t="str">
        <f>IF(I43=0,"",I43/I$11)</f>
        <v/>
      </c>
      <c r="K43" s="611" t="n"/>
      <c r="L43" s="644" t="str">
        <f>IF(K43=0,"",K43/K$11)</f>
        <v/>
      </c>
    </row>
    <row r="44" ht="22.5" customHeight="1" s="595">
      <c r="B44" s="207" t="inlineStr">
        <is>
          <t>特別損失</t>
        </is>
      </c>
      <c r="C44" s="647">
        <f>SUM(C45:C50)</f>
        <v>0</v>
      </c>
      <c r="D44" s="650" t="str">
        <f>IF(C44=0,"",C44/C$11)</f>
        <v/>
      </c>
      <c r="E44" s="647">
        <f>SUM(E45:E50)</f>
        <v>438719</v>
      </c>
      <c r="F44" s="650">
        <f>IF(E44=0,"",E44/E$11)</f>
        <v>0.000372272429795528</v>
      </c>
      <c r="G44" s="647">
        <f>SUM(G45:G50)</f>
        <v>234000</v>
      </c>
      <c r="H44" s="650">
        <f>IF(G44=0,"",G44/G$11)</f>
        <v>0.000197978363401537</v>
      </c>
      <c r="I44" s="647">
        <f>SUM(I45:I50)</f>
        <v>21103139</v>
      </c>
      <c r="J44" s="650">
        <f>IF(I44=0,"",I44/I$11)</f>
        <v>0.0176463398089416</v>
      </c>
      <c r="K44" s="647">
        <f>SUM(K45:K50)</f>
        <v>0</v>
      </c>
      <c r="L44" s="650" t="str">
        <f>IF(K44=0,"",K44/K$11)</f>
        <v/>
      </c>
    </row>
    <row r="45" ht="22.5" customHeight="1" s="595">
      <c r="B45" s="210" t="inlineStr">
        <is>
          <t>固定資産売却除却損</t>
        </is>
      </c>
      <c r="C45" s="609" t="n"/>
      <c r="D45" s="643" t="str">
        <f>IF(C45=0,"",C45/C$11)</f>
        <v/>
      </c>
      <c r="E45" s="609" t="n">
        <v>201719</v>
      </c>
      <c r="F45" s="643">
        <f>IF(E45=0,"",E45/E$11)</f>
        <v>0.000171167472267953</v>
      </c>
      <c r="G45" s="609" t="n"/>
      <c r="H45" s="643" t="str">
        <f>IF(G45=0,"",G45/G$11)</f>
        <v/>
      </c>
      <c r="I45" s="609" t="n">
        <v>1</v>
      </c>
      <c r="J45" s="643">
        <f>IF(I45=0,"",I45/I$11)</f>
        <v>8.3619502335371e-10</v>
      </c>
      <c r="K45" s="609" t="n"/>
      <c r="L45" s="643" t="str">
        <f>IF(K45=0,"",K45/K$11)</f>
        <v/>
      </c>
    </row>
    <row r="46" ht="22.5" customHeight="1" s="595">
      <c r="B46" s="212" t="inlineStr">
        <is>
          <t>貸倒引当金繰入</t>
        </is>
      </c>
      <c r="C46" s="609" t="n"/>
      <c r="D46" s="643" t="str">
        <f>IF(C46=0,"",C46/C$11)</f>
        <v/>
      </c>
      <c r="E46" s="609" t="n">
        <v>237000</v>
      </c>
      <c r="F46" s="643">
        <f>IF(E46=0,"",E46/E$11)</f>
        <v>0.000201104957527575</v>
      </c>
      <c r="G46" s="609" t="n">
        <v>234000</v>
      </c>
      <c r="H46" s="643">
        <f>IF(G46=0,"",G46/G$11)</f>
        <v>0.000197978363401537</v>
      </c>
      <c r="I46" s="609" t="n">
        <v>203000</v>
      </c>
      <c r="J46" s="643">
        <f>IF(I46=0,"",I46/I$11)</f>
        <v>0.000169747589740803</v>
      </c>
      <c r="K46" s="609" t="n"/>
      <c r="L46" s="643" t="str">
        <f>IF(K46=0,"",K46/K$11)</f>
        <v/>
      </c>
    </row>
    <row r="47" ht="22.5" customHeight="1" s="595">
      <c r="B47" s="212" t="inlineStr">
        <is>
          <t>前期損益修正損</t>
        </is>
      </c>
      <c r="C47" s="609" t="n"/>
      <c r="D47" s="643" t="str">
        <f>IF(C47=0,"",C47/C$11)</f>
        <v/>
      </c>
      <c r="E47" s="609" t="n"/>
      <c r="F47" s="643" t="str">
        <f>IF(E47=0,"",E47/E$11)</f>
        <v/>
      </c>
      <c r="G47" s="609" t="n"/>
      <c r="H47" s="643" t="str">
        <f>IF(G47=0,"",G47/G$11)</f>
        <v/>
      </c>
      <c r="I47" s="609" t="n">
        <v>20900138</v>
      </c>
      <c r="J47" s="643">
        <f>IF(I47=0,"",I47/I$11)</f>
        <v>0.0174765913830058</v>
      </c>
      <c r="K47" s="609" t="n"/>
      <c r="L47" s="643" t="str">
        <f>IF(K47=0,"",K47/K$11)</f>
        <v/>
      </c>
    </row>
    <row r="48" hidden="1" ht="22.5" customHeight="1" s="595">
      <c r="B48" s="212" t="n"/>
      <c r="C48" s="609" t="n"/>
      <c r="D48" s="643" t="str">
        <f>IF(C48=0,"",C48/C$11)</f>
        <v/>
      </c>
      <c r="E48" s="609" t="n"/>
      <c r="F48" s="643" t="str">
        <f>IF(E48=0,"",E48/E$11)</f>
        <v/>
      </c>
      <c r="G48" s="609" t="n"/>
      <c r="H48" s="643" t="str">
        <f>IF(G48=0,"",G48/G$11)</f>
        <v/>
      </c>
      <c r="I48" s="609" t="n"/>
      <c r="J48" s="643" t="str">
        <f>IF(I48=0,"",I48/I$11)</f>
        <v/>
      </c>
      <c r="K48" s="609" t="n"/>
      <c r="L48" s="643" t="str">
        <f>IF(K48=0,"",K48/K$11)</f>
        <v/>
      </c>
    </row>
    <row r="49" hidden="1" ht="22.5" customHeight="1" s="595">
      <c r="B49" s="212" t="n"/>
      <c r="C49" s="609" t="n"/>
      <c r="D49" s="643" t="str">
        <f>IF(C49=0,"",C49/C$11)</f>
        <v/>
      </c>
      <c r="E49" s="609" t="n"/>
      <c r="F49" s="643" t="str">
        <f>IF(E49=0,"",E49/E$11)</f>
        <v/>
      </c>
      <c r="G49" s="609" t="n"/>
      <c r="H49" s="643" t="str">
        <f>IF(G49=0,"",G49/G$11)</f>
        <v/>
      </c>
      <c r="I49" s="609" t="n"/>
      <c r="J49" s="643" t="str">
        <f>IF(I49=0,"",I49/I$11)</f>
        <v/>
      </c>
      <c r="K49" s="609" t="n"/>
      <c r="L49" s="643" t="str">
        <f>IF(K49=0,"",K49/K$11)</f>
        <v/>
      </c>
    </row>
    <row r="50" hidden="1" ht="22.5" customHeight="1" s="595">
      <c r="B50" s="211" t="n"/>
      <c r="C50" s="611" t="n"/>
      <c r="D50" s="644" t="str">
        <f>IF(C50=0,"",C50/C$11)</f>
        <v/>
      </c>
      <c r="E50" s="611" t="n"/>
      <c r="F50" s="644" t="str">
        <f>IF(E50=0,"",E50/E$11)</f>
        <v/>
      </c>
      <c r="G50" s="611" t="n"/>
      <c r="H50" s="644" t="str">
        <f>IF(G50=0,"",G50/G$11)</f>
        <v/>
      </c>
      <c r="I50" s="611" t="n"/>
      <c r="J50" s="644" t="str">
        <f>IF(I50=0,"",I50/I$11)</f>
        <v/>
      </c>
      <c r="K50" s="611" t="n"/>
      <c r="L50" s="644" t="str">
        <f>IF(K50=0,"",K50/K$11)</f>
        <v/>
      </c>
    </row>
    <row r="51" ht="22.5" customHeight="1" s="595">
      <c r="B51" s="213" t="inlineStr">
        <is>
          <t>税引前当期純利益</t>
        </is>
      </c>
      <c r="C51" s="645">
        <f>C36+C37-C44</f>
        <v>0</v>
      </c>
      <c r="D51" s="646" t="str">
        <f>IF(C51=0,"",C51/C$11)</f>
        <v/>
      </c>
      <c r="E51" s="645">
        <f>E36+E37-E44</f>
        <v>12764998</v>
      </c>
      <c r="F51" s="646">
        <f>IF(E51=0,"",E51/E$11)</f>
        <v>0.0108316640532894</v>
      </c>
      <c r="G51" s="645">
        <f>G36+G37-G44</f>
        <v>3793299</v>
      </c>
      <c r="H51" s="646">
        <f>IF(G51=0,"",G51/G$11)</f>
        <v>0.00320936379449866</v>
      </c>
      <c r="I51" s="645">
        <f>I36+I37-I44</f>
        <v>-12801355</v>
      </c>
      <c r="J51" s="646">
        <f>IF(I51=0,"",I51/I$11)</f>
        <v>-0.0107044293431841</v>
      </c>
      <c r="K51" s="645">
        <f>K36+K37-K44</f>
        <v>21165907</v>
      </c>
      <c r="L51" s="646">
        <f>IF(K51=0,"",K51/K$11)</f>
        <v>0.0340654054828616</v>
      </c>
    </row>
    <row r="52" ht="22.5" customHeight="1" s="595">
      <c r="B52" s="248" t="inlineStr">
        <is>
          <t>法人税等</t>
        </is>
      </c>
      <c r="C52" s="647">
        <f>SUM(C53:C55)</f>
        <v>0</v>
      </c>
      <c r="D52" s="648" t="str">
        <f>IF(C52=0,"",C52/C$11)</f>
        <v/>
      </c>
      <c r="E52" s="647">
        <f>SUM(E53:E55)</f>
        <v>3658100</v>
      </c>
      <c r="F52" s="648">
        <f>IF(E52=0,"",E52/E$11)</f>
        <v>0.00310405926215874</v>
      </c>
      <c r="G52" s="647">
        <f>SUM(G53:G55)</f>
        <v>864400</v>
      </c>
      <c r="H52" s="648">
        <f>IF(G52=0,"",G52/G$11)</f>
        <v>0.000731335458650806</v>
      </c>
      <c r="I52" s="647">
        <f>SUM(I53:I55)</f>
        <v>2283300</v>
      </c>
      <c r="J52" s="648">
        <f>IF(I52=0,"",I52/I$11)</f>
        <v>0.00190928409682353</v>
      </c>
      <c r="K52" s="647">
        <f>SUM(K53:K55)</f>
        <v>0</v>
      </c>
      <c r="L52" s="648" t="str">
        <f>IF(K52=0,"",K52/K$11)</f>
        <v/>
      </c>
    </row>
    <row r="53" hidden="1" ht="22.5" customHeight="1" s="595">
      <c r="B53" s="212" t="inlineStr">
        <is>
          <t>法人税等</t>
        </is>
      </c>
      <c r="C53" s="609" t="n"/>
      <c r="D53" s="643" t="str">
        <f>IF(C53=0,"",C53/C$11)</f>
        <v/>
      </c>
      <c r="E53" s="609" t="n">
        <v>3658100</v>
      </c>
      <c r="F53" s="643">
        <f>IF(E53=0,"",E53/E$11)</f>
        <v>0.00310405926215874</v>
      </c>
      <c r="G53" s="609" t="n">
        <v>864400</v>
      </c>
      <c r="H53" s="643">
        <f>IF(G53=0,"",G53/G$11)</f>
        <v>0.000731335458650806</v>
      </c>
      <c r="I53" s="609" t="n">
        <v>2283300</v>
      </c>
      <c r="J53" s="643">
        <f>IF(I53=0,"",I53/I$11)</f>
        <v>0.00190928409682353</v>
      </c>
      <c r="K53" s="609" t="n"/>
      <c r="L53" s="643" t="str">
        <f>IF(K53=0,"",K53/K$11)</f>
        <v/>
      </c>
    </row>
    <row r="54" hidden="1" ht="22.5" customHeight="1" s="595">
      <c r="B54" s="212" t="n"/>
      <c r="C54" s="609" t="n"/>
      <c r="D54" s="643" t="n"/>
      <c r="E54" s="609" t="n"/>
      <c r="F54" s="643" t="n"/>
      <c r="G54" s="609" t="n"/>
      <c r="H54" s="643" t="n"/>
      <c r="I54" s="609" t="n"/>
      <c r="J54" s="643" t="n"/>
      <c r="K54" s="609" t="n"/>
      <c r="L54" s="643" t="n"/>
    </row>
    <row r="55" hidden="1" ht="22.5" customHeight="1" s="595">
      <c r="B55" s="214" t="n"/>
      <c r="C55" s="611" t="n"/>
      <c r="D55" s="644" t="str">
        <f>IF(C55=0,"",C55/C$11)</f>
        <v/>
      </c>
      <c r="E55" s="611" t="n"/>
      <c r="F55" s="644" t="str">
        <f>IF(E55=0,"",E55/E$11)</f>
        <v/>
      </c>
      <c r="G55" s="611" t="n"/>
      <c r="H55" s="644" t="str">
        <f>IF(G55=0,"",G55/G$11)</f>
        <v/>
      </c>
      <c r="I55" s="611" t="n"/>
      <c r="J55" s="644" t="str">
        <f>IF(I55=0,"",I55/I$11)</f>
        <v/>
      </c>
      <c r="K55" s="611" t="n"/>
      <c r="L55" s="644" t="str">
        <f>IF(K55=0,"",K55/K$11)</f>
        <v/>
      </c>
    </row>
    <row r="56" ht="22.5" customHeight="1" s="595">
      <c r="B56" s="213" t="inlineStr">
        <is>
          <t>税引後当期純利益</t>
        </is>
      </c>
      <c r="C56" s="645">
        <f>C51-C52</f>
        <v>0</v>
      </c>
      <c r="D56" s="646" t="str">
        <f>IF(C56=0,"",C56/C$11)</f>
        <v/>
      </c>
      <c r="E56" s="645">
        <f>E51-E52</f>
        <v>9106898</v>
      </c>
      <c r="F56" s="646">
        <f>IF(E56=0,"",E56/E$11)</f>
        <v>0.00772760479113062</v>
      </c>
      <c r="G56" s="645">
        <f>G51-G52</f>
        <v>2928899</v>
      </c>
      <c r="H56" s="646">
        <f>IF(G56=0,"",G56/G$11)</f>
        <v>0.00247802833584786</v>
      </c>
      <c r="I56" s="645">
        <f>I51-I52</f>
        <v>-15084655</v>
      </c>
      <c r="J56" s="646">
        <f>IF(I56=0,"",I56/I$11)</f>
        <v>-0.0126137134400077</v>
      </c>
      <c r="K56" s="645">
        <f>K51-K52</f>
        <v>21165907</v>
      </c>
      <c r="L56" s="646">
        <f>IF(K56=0,"",K56/K$11)</f>
        <v>0.0340654054828616</v>
      </c>
    </row>
    <row r="57">
      <c r="C57" s="614" t="n"/>
      <c r="D57" s="651" t="n"/>
      <c r="E57" s="614" t="n"/>
      <c r="F57" s="651" t="n"/>
      <c r="G57" s="614" t="n"/>
      <c r="H57" s="652" t="n"/>
      <c r="I57" s="636" t="n"/>
      <c r="J57" s="651" t="n"/>
      <c r="K57" s="614" t="n"/>
      <c r="L57" s="651" t="n"/>
    </row>
    <row r="58">
      <c r="C58" s="614" t="n"/>
      <c r="D58" s="651" t="n"/>
      <c r="E58" s="614" t="n">
        <v>9106898</v>
      </c>
      <c r="F58" s="651" t="n"/>
      <c r="G58" s="614" t="n">
        <v>2928899</v>
      </c>
      <c r="H58" s="652" t="n"/>
      <c r="I58" s="636" t="n">
        <v>-15084655</v>
      </c>
      <c r="J58" s="651" t="n"/>
      <c r="K58" s="614" t="n">
        <v>21165907</v>
      </c>
      <c r="L58" s="651" t="n"/>
    </row>
    <row r="59">
      <c r="C59" s="614">
        <f>C58=C56</f>
        <v>1</v>
      </c>
      <c r="D59" s="651" t="n"/>
      <c r="E59" s="614">
        <f>E58=E56</f>
        <v>1</v>
      </c>
      <c r="F59" s="651" t="n"/>
      <c r="G59" s="614">
        <f>G58=G56</f>
        <v>1</v>
      </c>
      <c r="H59" s="652" t="n"/>
      <c r="I59" s="614">
        <f>I58=I56</f>
        <v>1</v>
      </c>
      <c r="J59" s="651" t="n"/>
      <c r="K59" s="614">
        <f>K58=K56</f>
        <v>1</v>
      </c>
      <c r="L59" s="651" t="n"/>
    </row>
    <row r="60">
      <c r="C60" s="614" t="n"/>
      <c r="D60" s="651" t="n"/>
      <c r="E60" s="614" t="n"/>
      <c r="F60" s="651" t="n"/>
      <c r="G60" s="614" t="n"/>
      <c r="H60" s="652" t="n"/>
      <c r="I60" s="636" t="n"/>
      <c r="J60" s="651" t="n"/>
      <c r="K60" s="614" t="n"/>
      <c r="L60" s="651" t="n"/>
    </row>
    <row r="61">
      <c r="B61" s="617" t="inlineStr">
        <is>
          <t>※進行期（K列）は2026年4〜9月の試算表（6か月累計）。前年同期（2025年4〜9月）はPLハイライトの参考欄。決算書では売上高を「商品売上高」1本で表示（内訳は試算表のみ）。</t>
        </is>
      </c>
      <c r="C61" s="614" t="n"/>
      <c r="D61" s="651" t="n"/>
      <c r="E61" s="614" t="n"/>
      <c r="F61" s="651" t="n"/>
      <c r="G61" s="614" t="n"/>
      <c r="H61" s="652" t="n"/>
      <c r="I61" s="636" t="n"/>
      <c r="J61" s="651" t="n"/>
      <c r="K61" s="614" t="n"/>
      <c r="L61" s="651" t="n"/>
    </row>
    <row r="62">
      <c r="B62" s="617" t="inlineStr">
        <is>
          <t>※受託販売は2019年10月以降、受託手数料のみの純額表示（個別注記表）。2026/3期の前期損益修正損20,900千円は過年度保険解約訂正額（非経常）。</t>
        </is>
      </c>
      <c r="C62" s="614" t="n"/>
      <c r="D62" s="651" t="n"/>
      <c r="E62" s="614" t="n"/>
      <c r="F62" s="651" t="n"/>
      <c r="G62" s="614" t="n"/>
      <c r="H62" s="652" t="n"/>
      <c r="I62" s="636" t="n"/>
      <c r="J62" s="651" t="n"/>
      <c r="K62" s="614" t="n"/>
      <c r="L62" s="651" t="n"/>
    </row>
    <row r="63">
      <c r="C63" s="614" t="n"/>
      <c r="D63" s="651" t="n"/>
      <c r="E63" s="614" t="n"/>
      <c r="F63" s="614" t="n"/>
      <c r="G63" s="614" t="n"/>
      <c r="H63" s="652" t="n"/>
      <c r="I63" s="636" t="n"/>
      <c r="J63" s="651" t="n"/>
      <c r="K63" s="614" t="n"/>
      <c r="L63" s="651" t="n"/>
    </row>
    <row r="64">
      <c r="C64" s="614" t="n"/>
      <c r="D64" s="651" t="n"/>
      <c r="E64" s="614" t="n"/>
      <c r="F64" s="614" t="n"/>
      <c r="G64" s="614" t="n"/>
      <c r="H64" s="652" t="n"/>
      <c r="I64" s="636" t="n"/>
      <c r="J64" s="651" t="n"/>
      <c r="K64" s="614" t="n"/>
      <c r="L64" s="651" t="n"/>
    </row>
    <row r="65">
      <c r="C65" s="614" t="n"/>
      <c r="D65" s="651" t="n"/>
      <c r="E65" s="614" t="n"/>
      <c r="F65" s="614" t="n"/>
      <c r="G65" s="614" t="n"/>
      <c r="H65" s="652" t="n"/>
      <c r="I65" s="636" t="n"/>
      <c r="J65" s="651" t="n"/>
      <c r="K65" s="614" t="n"/>
      <c r="L65" s="614" t="n"/>
    </row>
    <row r="66">
      <c r="C66" s="614" t="n"/>
      <c r="D66" s="651" t="n"/>
      <c r="E66" s="614" t="n"/>
      <c r="F66" s="614" t="n"/>
      <c r="G66" s="614" t="n"/>
      <c r="H66" s="652" t="n"/>
      <c r="I66" s="636" t="n"/>
      <c r="J66" s="651" t="n"/>
      <c r="K66" s="614" t="n"/>
      <c r="L66" s="614" t="n"/>
    </row>
    <row r="67">
      <c r="C67" s="614" t="n"/>
      <c r="D67" s="614" t="n"/>
      <c r="E67" s="614" t="n"/>
      <c r="F67" s="614" t="n"/>
      <c r="G67" s="614" t="n"/>
      <c r="H67" s="652" t="n"/>
      <c r="I67" s="636" t="n"/>
      <c r="J67" s="651" t="n"/>
      <c r="K67" s="614" t="n"/>
      <c r="L67" s="614" t="n"/>
    </row>
    <row r="68">
      <c r="C68" s="614" t="n"/>
      <c r="D68" s="614" t="n"/>
      <c r="E68" s="614" t="n"/>
      <c r="F68" s="614" t="n"/>
      <c r="G68" s="614" t="n"/>
      <c r="H68" s="652" t="n"/>
      <c r="I68" s="636" t="n"/>
      <c r="J68" s="651" t="n"/>
      <c r="K68" s="614" t="n"/>
      <c r="L68" s="614" t="n"/>
    </row>
    <row r="69">
      <c r="C69" s="614" t="n"/>
      <c r="D69" s="614" t="n"/>
      <c r="E69" s="614" t="n"/>
      <c r="F69" s="614" t="n"/>
      <c r="G69" s="614" t="n"/>
      <c r="H69" s="652" t="n"/>
      <c r="I69" s="636" t="n"/>
      <c r="J69" s="651" t="n"/>
      <c r="K69" s="614" t="n"/>
      <c r="L69" s="614" t="n"/>
    </row>
    <row r="70">
      <c r="C70" s="614" t="n"/>
      <c r="D70" s="614" t="n"/>
      <c r="E70" s="614" t="n"/>
      <c r="F70" s="614" t="n"/>
      <c r="G70" s="614" t="n"/>
      <c r="H70" s="652" t="n"/>
      <c r="I70" s="636" t="n"/>
      <c r="J70" s="651" t="n"/>
      <c r="K70" s="614" t="n"/>
      <c r="L70" s="614" t="n"/>
    </row>
    <row r="71">
      <c r="C71" s="614" t="n"/>
      <c r="D71" s="614" t="n"/>
      <c r="E71" s="614" t="n"/>
      <c r="F71" s="614" t="n"/>
      <c r="G71" s="614" t="n"/>
      <c r="H71" s="636" t="n"/>
      <c r="I71" s="636" t="n"/>
      <c r="J71" s="651" t="n"/>
      <c r="K71" s="614" t="n"/>
      <c r="L71" s="614" t="n"/>
    </row>
    <row r="72">
      <c r="C72" s="614" t="n"/>
      <c r="D72" s="614" t="n"/>
      <c r="E72" s="614" t="n"/>
      <c r="F72" s="614" t="n"/>
      <c r="G72" s="614" t="n"/>
      <c r="H72" s="636" t="n"/>
      <c r="I72" s="636" t="n"/>
      <c r="J72" s="651" t="n"/>
      <c r="K72" s="614" t="n"/>
      <c r="L72" s="614" t="n"/>
    </row>
    <row r="73">
      <c r="C73" s="614" t="n"/>
      <c r="D73" s="614" t="n"/>
      <c r="E73" s="614" t="n"/>
      <c r="F73" s="614" t="n"/>
      <c r="G73" s="614" t="n"/>
      <c r="H73" s="636" t="n"/>
      <c r="I73" s="636" t="n"/>
      <c r="J73" s="651" t="n"/>
      <c r="K73" s="614" t="n"/>
      <c r="L73" s="614" t="n"/>
    </row>
    <row r="74">
      <c r="C74" s="614" t="n"/>
      <c r="D74" s="614" t="n"/>
      <c r="E74" s="614" t="n"/>
      <c r="F74" s="614" t="n"/>
      <c r="G74" s="614" t="n"/>
      <c r="H74" s="636" t="n"/>
      <c r="I74" s="636" t="n"/>
      <c r="J74" s="651" t="n"/>
      <c r="K74" s="614" t="n"/>
      <c r="L74" s="614" t="n"/>
    </row>
    <row r="75">
      <c r="C75" s="614" t="n"/>
      <c r="D75" s="614" t="n"/>
      <c r="E75" s="614" t="n"/>
      <c r="F75" s="614" t="n"/>
      <c r="G75" s="614" t="n"/>
      <c r="H75" s="636" t="n"/>
      <c r="I75" s="636" t="n"/>
      <c r="J75" s="651" t="n"/>
      <c r="K75" s="614" t="n"/>
      <c r="L75" s="614" t="n"/>
    </row>
    <row r="76">
      <c r="C76" s="614" t="n"/>
      <c r="D76" s="614" t="n"/>
      <c r="E76" s="614" t="n"/>
      <c r="F76" s="614" t="n"/>
      <c r="G76" s="614" t="n"/>
      <c r="H76" s="636" t="n"/>
      <c r="I76" s="636" t="n"/>
      <c r="J76" s="614" t="n"/>
      <c r="K76" s="614" t="n"/>
      <c r="L76" s="614" t="n"/>
    </row>
    <row r="77">
      <c r="C77" s="614" t="n"/>
      <c r="D77" s="614" t="n"/>
      <c r="E77" s="614" t="n"/>
      <c r="F77" s="614" t="n"/>
      <c r="G77" s="614" t="n"/>
      <c r="H77" s="636" t="n"/>
      <c r="I77" s="636" t="n"/>
      <c r="J77" s="614" t="n"/>
      <c r="K77" s="614" t="n"/>
      <c r="L77" s="614" t="n"/>
    </row>
  </sheetData>
  <mergeCells count="5">
    <mergeCell ref="B3:B4"/>
    <mergeCell ref="G3:H3"/>
    <mergeCell ref="E3:F3"/>
    <mergeCell ref="K3:L3"/>
    <mergeCell ref="I3:J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4:L62"/>
  <sheetViews>
    <sheetView showGridLines="0" topLeftCell="A2" zoomScale="70" zoomScaleNormal="70" workbookViewId="0">
      <pane ySplit="5" topLeftCell="A7" activePane="bottomLeft" state="frozen"/>
      <selection activeCell="A2" sqref="A2"/>
      <selection pane="bottomLeft" activeCell="A7" sqref="A7"/>
    </sheetView>
  </sheetViews>
  <sheetFormatPr baseColWidth="8" defaultRowHeight="18"/>
  <cols>
    <col width="28" bestFit="1" customWidth="1" style="182" min="2" max="2"/>
    <col width="15" customWidth="1" style="595" min="3" max="3"/>
    <col width="15" customWidth="1" style="651" min="4" max="4"/>
    <col width="15" customWidth="1" style="595" min="5" max="5"/>
    <col width="15" customWidth="1" style="651" min="6" max="6"/>
    <col width="15" customWidth="1" style="595" min="7" max="7"/>
    <col width="15" customWidth="1" style="652" min="8" max="8"/>
    <col width="15" customWidth="1" style="175" min="9" max="9"/>
    <col width="15" customWidth="1" style="651" min="10" max="10"/>
    <col width="15" customWidth="1" style="595" min="11" max="11"/>
    <col width="15" customWidth="1" style="651" min="12" max="12"/>
    <col width="16.125" customWidth="1" style="595" min="13" max="13"/>
    <col width="8.875" customWidth="1" style="595" min="14" max="14"/>
  </cols>
  <sheetData>
    <row r="4" ht="18.75" customHeight="1" s="595">
      <c r="B4" s="0" t="n"/>
      <c r="C4" s="175" t="n"/>
      <c r="D4" s="653" t="n"/>
      <c r="G4" s="175" t="n"/>
      <c r="H4" s="73" t="inlineStr">
        <is>
          <t>(単位：千円)</t>
        </is>
      </c>
      <c r="I4" s="0" t="n"/>
      <c r="K4" s="175" t="n"/>
      <c r="L4" s="653" t="n"/>
    </row>
    <row r="5" ht="19.5" customHeight="1" s="595">
      <c r="B5" s="560" t="inlineStr">
        <is>
          <t>科目</t>
        </is>
      </c>
      <c r="C5" s="193" t="str">
        <f>'BS(借方)'!C4</f>
        <v>●●年●月期</v>
      </c>
      <c r="D5" s="654" t="n"/>
      <c r="E5" s="196" t="str">
        <f>'BS(借方)'!D4</f>
        <v>24年3月期</v>
      </c>
      <c r="F5" s="655" t="n"/>
      <c r="G5" s="197" t="str">
        <f>'BS(借方)'!E4</f>
        <v>25年3月期</v>
      </c>
      <c r="H5" s="656" t="n"/>
      <c r="I5" s="199" t="str">
        <f>'BS(借方)'!F4</f>
        <v>26年3月期</v>
      </c>
      <c r="J5" s="657" t="n"/>
      <c r="K5" s="201" t="str">
        <f>'BS(借方)'!G4</f>
        <v>27年3月期
4〜9月TB</v>
      </c>
      <c r="L5" s="658" t="n"/>
    </row>
    <row r="6" ht="19.5" customHeight="1" s="595">
      <c r="B6" s="659" t="n"/>
      <c r="C6" s="221" t="inlineStr">
        <is>
          <t>帳簿価額</t>
        </is>
      </c>
      <c r="D6" s="660" t="inlineStr">
        <is>
          <t>売上高比</t>
        </is>
      </c>
      <c r="E6" s="221" t="inlineStr">
        <is>
          <t>帳簿価額</t>
        </is>
      </c>
      <c r="F6" s="661" t="inlineStr">
        <is>
          <t>売上高比</t>
        </is>
      </c>
      <c r="G6" s="221" t="inlineStr">
        <is>
          <t>帳簿価額</t>
        </is>
      </c>
      <c r="H6" s="660" t="inlineStr">
        <is>
          <t>売上高比</t>
        </is>
      </c>
      <c r="I6" s="221" t="inlineStr">
        <is>
          <t>帳簿価額</t>
        </is>
      </c>
      <c r="J6" s="660" t="inlineStr">
        <is>
          <t>売上高比</t>
        </is>
      </c>
      <c r="K6" s="222" t="inlineStr">
        <is>
          <t>帳簿価額</t>
        </is>
      </c>
      <c r="L6" s="662" t="inlineStr">
        <is>
          <t>売上高比</t>
        </is>
      </c>
    </row>
    <row r="7" ht="22.5" customHeight="1" s="595">
      <c r="A7" s="663" t="inlineStr">
        <is>
          <t>IMに貼るときは非表示→</t>
        </is>
      </c>
      <c r="B7" s="219" t="inlineStr">
        <is>
          <t>売上</t>
        </is>
      </c>
      <c r="C7" s="664">
        <f>PL!C11</f>
        <v>0</v>
      </c>
      <c r="D7" s="665" t="inlineStr">
        <is>
          <t>-</t>
        </is>
      </c>
      <c r="E7" s="666">
        <f>PL!E11</f>
        <v>1178489098</v>
      </c>
      <c r="F7" s="665" t="inlineStr">
        <is>
          <t>-</t>
        </is>
      </c>
      <c r="G7" s="666">
        <f>PL!G11</f>
        <v>1181947340</v>
      </c>
      <c r="H7" s="665" t="inlineStr">
        <is>
          <t>-</t>
        </is>
      </c>
      <c r="I7" s="666">
        <f>PL!I11</f>
        <v>1195893269</v>
      </c>
      <c r="J7" s="665" t="inlineStr">
        <is>
          <t>-</t>
        </is>
      </c>
      <c r="K7" s="666">
        <f>PL!K11</f>
        <v>621331427</v>
      </c>
      <c r="L7" s="665" t="inlineStr">
        <is>
          <t>-</t>
        </is>
      </c>
    </row>
    <row r="8" ht="22.5" customHeight="1" s="595">
      <c r="B8" s="220" t="inlineStr">
        <is>
          <t>期首原材料棚卸高</t>
        </is>
      </c>
      <c r="C8" s="624" t="n"/>
      <c r="D8" s="643" t="str">
        <f>IF(C8=0,"",C8/C$7)</f>
        <v/>
      </c>
      <c r="E8" s="609" t="n"/>
      <c r="F8" s="643" t="str">
        <f>IF(E8=0,"",E8/E$7)</f>
        <v/>
      </c>
      <c r="G8" s="609" t="n"/>
      <c r="H8" s="643" t="str">
        <f>IF(G8=0,"",G8/G$7)</f>
        <v/>
      </c>
      <c r="I8" s="609" t="n"/>
      <c r="J8" s="643" t="str">
        <f>IF(I8=0,"",I8/I$7)</f>
        <v/>
      </c>
      <c r="K8" s="609" t="n"/>
      <c r="L8" s="643" t="str">
        <f>IF(K8=0,"",K8/K$7)</f>
        <v/>
      </c>
    </row>
    <row r="9" ht="22.5" customHeight="1" s="595">
      <c r="B9" s="205" t="inlineStr">
        <is>
          <t>原材料仕入高</t>
        </is>
      </c>
      <c r="C9" s="624" t="n"/>
      <c r="D9" s="643" t="str">
        <f>IF(C9=0,"",C9/C$7)</f>
        <v/>
      </c>
      <c r="E9" s="609" t="n"/>
      <c r="F9" s="643" t="str">
        <f>IF(E9=0,"",E9/E$7)</f>
        <v/>
      </c>
      <c r="G9" s="609" t="n"/>
      <c r="H9" s="643" t="str">
        <f>IF(G9=0,"",G9/G$7)</f>
        <v/>
      </c>
      <c r="I9" s="609" t="n"/>
      <c r="J9" s="643" t="str">
        <f>IF(I9=0,"",I9/I$7)</f>
        <v/>
      </c>
      <c r="K9" s="609" t="n"/>
      <c r="L9" s="643" t="str">
        <f>IF(K9=0,"",K9/K$7)</f>
        <v/>
      </c>
    </row>
    <row r="10" ht="22.5" customHeight="1" s="595">
      <c r="B10" s="205" t="inlineStr">
        <is>
          <t>小計</t>
        </is>
      </c>
      <c r="C10" s="624" t="n"/>
      <c r="D10" s="643" t="str">
        <f>IF(C10=0,"",C10/C$7)</f>
        <v/>
      </c>
      <c r="E10" s="609" t="n"/>
      <c r="F10" s="643" t="str">
        <f>IF(E10=0,"",E10/E$7)</f>
        <v/>
      </c>
      <c r="G10" s="609" t="n"/>
      <c r="H10" s="643" t="str">
        <f>IF(G10=0,"",G10/G$7)</f>
        <v/>
      </c>
      <c r="I10" s="609" t="n"/>
      <c r="J10" s="643" t="str">
        <f>IF(I10=0,"",I10/I$7)</f>
        <v/>
      </c>
      <c r="K10" s="609" t="n"/>
      <c r="L10" s="643" t="str">
        <f>IF(K10=0,"",K10/K$7)</f>
        <v/>
      </c>
    </row>
    <row r="11" ht="22.5" customHeight="1" s="595">
      <c r="B11" s="205" t="inlineStr">
        <is>
          <t>期末原材料棚卸高</t>
        </is>
      </c>
      <c r="C11" s="624" t="n"/>
      <c r="D11" s="643" t="str">
        <f>IF(C11=0,"",C11/C$7)</f>
        <v/>
      </c>
      <c r="E11" s="609" t="n"/>
      <c r="F11" s="643" t="str">
        <f>IF(E11=0,"",E11/E$7)</f>
        <v/>
      </c>
      <c r="G11" s="609" t="n"/>
      <c r="H11" s="643" t="str">
        <f>IF(G11=0,"",G11/G$7)</f>
        <v/>
      </c>
      <c r="I11" s="609" t="n"/>
      <c r="J11" s="643" t="str">
        <f>IF(I11=0,"",I11/I$7)</f>
        <v/>
      </c>
      <c r="K11" s="609" t="n"/>
      <c r="L11" s="643" t="str">
        <f>IF(K11=0,"",K11/K$7)</f>
        <v/>
      </c>
    </row>
    <row r="12" ht="22.5" customHeight="1" s="595">
      <c r="B12" s="205" t="n"/>
      <c r="C12" s="624" t="n"/>
      <c r="D12" s="643" t="str">
        <f>IF(C12=0,"",C12/C$7)</f>
        <v/>
      </c>
      <c r="E12" s="609" t="n"/>
      <c r="F12" s="643" t="str">
        <f>IF(E12=0,"",E12/E$7)</f>
        <v/>
      </c>
      <c r="G12" s="609" t="n"/>
      <c r="H12" s="643" t="str">
        <f>IF(G12=0,"",G12/G$7)</f>
        <v/>
      </c>
      <c r="I12" s="609" t="n"/>
      <c r="J12" s="643" t="str">
        <f>IF(I12=0,"",I12/I$7)</f>
        <v/>
      </c>
      <c r="K12" s="609" t="n"/>
      <c r="L12" s="643" t="str">
        <f>IF(K12=0,"",K12/K$7)</f>
        <v/>
      </c>
    </row>
    <row r="13" ht="22.5" customHeight="1" s="595">
      <c r="B13" s="206" t="n"/>
      <c r="C13" s="629" t="n"/>
      <c r="D13" s="644" t="str">
        <f>IF(C13=0,"",C13/C$7)</f>
        <v/>
      </c>
      <c r="E13" s="611" t="n"/>
      <c r="F13" s="644" t="str">
        <f>IF(E13=0,"",E13/E$7)</f>
        <v/>
      </c>
      <c r="G13" s="611" t="n"/>
      <c r="H13" s="644" t="str">
        <f>IF(G13=0,"",G13/G$7)</f>
        <v/>
      </c>
      <c r="I13" s="611" t="n"/>
      <c r="J13" s="644" t="str">
        <f>IF(I13=0,"",I13/I$7)</f>
        <v/>
      </c>
      <c r="K13" s="611" t="n"/>
      <c r="L13" s="644" t="str">
        <f>IF(K13=0,"",K13/K$7)</f>
        <v/>
      </c>
    </row>
    <row r="14" ht="22.5" customHeight="1" s="595">
      <c r="B14" s="224" t="inlineStr">
        <is>
          <t>材料費</t>
        </is>
      </c>
      <c r="C14" s="667">
        <f>SUM(C8:C13)</f>
        <v>0</v>
      </c>
      <c r="D14" s="646" t="str">
        <f>IF(C14=0,"",C14/C$7)</f>
        <v/>
      </c>
      <c r="E14" s="645">
        <f>SUM(E8:E13)</f>
        <v>0</v>
      </c>
      <c r="F14" s="646" t="str">
        <f>IF(E14=0,"",E14/E$7)</f>
        <v/>
      </c>
      <c r="G14" s="645">
        <f>SUM(G8:G13)</f>
        <v>0</v>
      </c>
      <c r="H14" s="646" t="str">
        <f>IF(G14=0,"",G14/G$7)</f>
        <v/>
      </c>
      <c r="I14" s="645">
        <f>SUM(I8:I13)</f>
        <v>0</v>
      </c>
      <c r="J14" s="646" t="str">
        <f>IF(I14=0,"",I14/I$7)</f>
        <v/>
      </c>
      <c r="K14" s="645">
        <f>SUM(K8:K13)</f>
        <v>0</v>
      </c>
      <c r="L14" s="646" t="str">
        <f>IF(K14=0,"",K14/K$7)</f>
        <v/>
      </c>
    </row>
    <row r="15" ht="22.5" customHeight="1" s="595">
      <c r="B15" s="220" t="n"/>
      <c r="C15" s="624" t="n"/>
      <c r="D15" s="643" t="str">
        <f>IF(C15=0,"",C15/C$7)</f>
        <v/>
      </c>
      <c r="E15" s="609" t="n"/>
      <c r="F15" s="643" t="str">
        <f>IF(E15=0,"",E15/E$7)</f>
        <v/>
      </c>
      <c r="G15" s="609" t="n"/>
      <c r="H15" s="643" t="str">
        <f>IF(G15=0,"",G15/G$7)</f>
        <v/>
      </c>
      <c r="I15" s="609" t="n"/>
      <c r="J15" s="643" t="str">
        <f>IF(I15=0,"",I15/I$7)</f>
        <v/>
      </c>
      <c r="K15" s="609" t="n"/>
      <c r="L15" s="643" t="str">
        <f>IF(K15=0,"",K15/K$7)</f>
        <v/>
      </c>
    </row>
    <row r="16" ht="22.5" customHeight="1" s="595">
      <c r="B16" s="205" t="n"/>
      <c r="C16" s="624" t="n"/>
      <c r="D16" s="643" t="n"/>
      <c r="E16" s="609" t="n"/>
      <c r="F16" s="643" t="n"/>
      <c r="G16" s="609" t="n"/>
      <c r="H16" s="643" t="n"/>
      <c r="I16" s="609" t="n"/>
      <c r="J16" s="643" t="n"/>
      <c r="K16" s="609" t="n"/>
      <c r="L16" s="643" t="n"/>
    </row>
    <row r="17" ht="22.5" customHeight="1" s="595">
      <c r="B17" s="205" t="n"/>
      <c r="C17" s="624" t="n"/>
      <c r="D17" s="643" t="n"/>
      <c r="E17" s="609" t="n"/>
      <c r="F17" s="643" t="n"/>
      <c r="G17" s="609" t="n"/>
      <c r="H17" s="643" t="n"/>
      <c r="I17" s="609" t="n"/>
      <c r="J17" s="643" t="n"/>
      <c r="K17" s="609" t="n"/>
      <c r="L17" s="643" t="n"/>
    </row>
    <row r="18" ht="22.5" customHeight="1" s="595">
      <c r="B18" s="205" t="n"/>
      <c r="C18" s="624" t="n"/>
      <c r="D18" s="643" t="str">
        <f>IF(C18=0,"",C18/C$7)</f>
        <v/>
      </c>
      <c r="E18" s="609" t="n"/>
      <c r="F18" s="643" t="str">
        <f>IF(E18=0,"",E18/E$7)</f>
        <v/>
      </c>
      <c r="G18" s="609" t="n"/>
      <c r="H18" s="643" t="str">
        <f>IF(G18=0,"",G18/G$7)</f>
        <v/>
      </c>
      <c r="I18" s="609" t="n"/>
      <c r="J18" s="643" t="str">
        <f>IF(I18=0,"",I18/I$7)</f>
        <v/>
      </c>
      <c r="K18" s="609" t="n"/>
      <c r="L18" s="643" t="str">
        <f>IF(K18=0,"",K18/K$7)</f>
        <v/>
      </c>
    </row>
    <row r="19" ht="22.5" customHeight="1" s="595">
      <c r="B19" s="205" t="n"/>
      <c r="C19" s="624" t="n"/>
      <c r="D19" s="643" t="str">
        <f>IF(C19=0,"",C19/C$7)</f>
        <v/>
      </c>
      <c r="E19" s="609" t="n"/>
      <c r="F19" s="643" t="str">
        <f>IF(E19=0,"",E19/E$7)</f>
        <v/>
      </c>
      <c r="G19" s="609" t="n"/>
      <c r="H19" s="643" t="str">
        <f>IF(G19=0,"",G19/G$7)</f>
        <v/>
      </c>
      <c r="I19" s="609" t="n"/>
      <c r="J19" s="643" t="str">
        <f>IF(I19=0,"",I19/I$7)</f>
        <v/>
      </c>
      <c r="K19" s="609" t="n"/>
      <c r="L19" s="643" t="str">
        <f>IF(K19=0,"",K19/K$7)</f>
        <v/>
      </c>
    </row>
    <row r="20" ht="22.5" customHeight="1" s="595">
      <c r="B20" s="205" t="n"/>
      <c r="C20" s="624" t="n"/>
      <c r="D20" s="643" t="str">
        <f>IF(C20=0,"",C20/C$7)</f>
        <v/>
      </c>
      <c r="E20" s="609" t="n"/>
      <c r="F20" s="643" t="str">
        <f>IF(E20=0,"",E20/E$7)</f>
        <v/>
      </c>
      <c r="G20" s="609" t="n"/>
      <c r="H20" s="643" t="str">
        <f>IF(G20=0,"",G20/G$7)</f>
        <v/>
      </c>
      <c r="I20" s="609" t="n"/>
      <c r="J20" s="643" t="str">
        <f>IF(I20=0,"",I20/I$7)</f>
        <v/>
      </c>
      <c r="K20" s="609" t="n"/>
      <c r="L20" s="643" t="str">
        <f>IF(K20=0,"",K20/K$7)</f>
        <v/>
      </c>
    </row>
    <row r="21" ht="22.5" customHeight="1" s="595">
      <c r="B21" s="205" t="n"/>
      <c r="C21" s="624" t="n"/>
      <c r="D21" s="643" t="str">
        <f>IF(C21=0,"",C21/C$7)</f>
        <v/>
      </c>
      <c r="E21" s="609" t="n"/>
      <c r="F21" s="643" t="str">
        <f>IF(E21=0,"",E21/E$7)</f>
        <v/>
      </c>
      <c r="G21" s="609" t="n"/>
      <c r="H21" s="643" t="str">
        <f>IF(G21=0,"",G21/G$7)</f>
        <v/>
      </c>
      <c r="I21" s="609" t="n"/>
      <c r="J21" s="643" t="str">
        <f>IF(I21=0,"",I21/I$7)</f>
        <v/>
      </c>
      <c r="K21" s="609" t="n"/>
      <c r="L21" s="643" t="str">
        <f>IF(K21=0,"",K21/K$7)</f>
        <v/>
      </c>
    </row>
    <row r="22" ht="22.5" customHeight="1" s="595">
      <c r="B22" s="206" t="n"/>
      <c r="C22" s="629" t="n"/>
      <c r="D22" s="644" t="str">
        <f>IF(C22=0,"",C22/C$7)</f>
        <v/>
      </c>
      <c r="E22" s="611" t="n"/>
      <c r="F22" s="644" t="str">
        <f>IF(E22=0,"",E22/E$7)</f>
        <v/>
      </c>
      <c r="G22" s="611" t="n"/>
      <c r="H22" s="644" t="str">
        <f>IF(G22=0,"",G22/G$7)</f>
        <v/>
      </c>
      <c r="I22" s="611" t="n"/>
      <c r="J22" s="644" t="str">
        <f>IF(I22=0,"",I22/I$7)</f>
        <v/>
      </c>
      <c r="K22" s="611" t="n"/>
      <c r="L22" s="644" t="str">
        <f>IF(K22=0,"",K22/K$7)</f>
        <v/>
      </c>
    </row>
    <row r="23" ht="22.5" customHeight="1" s="595">
      <c r="B23" s="224" t="inlineStr">
        <is>
          <t>労務費</t>
        </is>
      </c>
      <c r="C23" s="667">
        <f>SUM(C15:C22)</f>
        <v>0</v>
      </c>
      <c r="D23" s="646" t="str">
        <f>IF(C23=0,"",C23/C$7)</f>
        <v/>
      </c>
      <c r="E23" s="645">
        <f>SUM(E15:E22)</f>
        <v>0</v>
      </c>
      <c r="F23" s="646" t="str">
        <f>IF(E23=0,"",E23/E$7)</f>
        <v/>
      </c>
      <c r="G23" s="645">
        <f>SUM(G15:G22)</f>
        <v>0</v>
      </c>
      <c r="H23" s="646" t="str">
        <f>IF(G23=0,"",G23/G$7)</f>
        <v/>
      </c>
      <c r="I23" s="645">
        <f>SUM(I15:I22)</f>
        <v>0</v>
      </c>
      <c r="J23" s="646" t="str">
        <f>IF(I23=0,"",I23/I$7)</f>
        <v/>
      </c>
      <c r="K23" s="645">
        <f>SUM(K15:K22)</f>
        <v>0</v>
      </c>
      <c r="L23" s="646" t="str">
        <f>IF(K23=0,"",K23/K$7)</f>
        <v/>
      </c>
    </row>
    <row r="24" ht="22.5" customHeight="1" s="595">
      <c r="B24" s="220" t="n"/>
      <c r="C24" s="624" t="n"/>
      <c r="D24" s="643" t="str">
        <f>IF(C24=0,"",C24/C$7)</f>
        <v/>
      </c>
      <c r="E24" s="609" t="n"/>
      <c r="F24" s="643" t="str">
        <f>IF(E24=0,"",E24/E$7)</f>
        <v/>
      </c>
      <c r="G24" s="609" t="n"/>
      <c r="H24" s="643" t="str">
        <f>IF(G24=0,"",G24/G$7)</f>
        <v/>
      </c>
      <c r="I24" s="609" t="n"/>
      <c r="J24" s="643" t="str">
        <f>IF(I24=0,"",I24/I$7)</f>
        <v/>
      </c>
      <c r="K24" s="609" t="n"/>
      <c r="L24" s="643" t="str">
        <f>IF(K24=0,"",K24/K$7)</f>
        <v/>
      </c>
    </row>
    <row r="25" ht="22.5" customHeight="1" s="595">
      <c r="B25" s="205" t="n"/>
      <c r="C25" s="624" t="n"/>
      <c r="D25" s="643" t="n"/>
      <c r="E25" s="609" t="n"/>
      <c r="F25" s="643" t="n"/>
      <c r="G25" s="609" t="n"/>
      <c r="H25" s="643" t="n"/>
      <c r="I25" s="609" t="n"/>
      <c r="J25" s="643" t="n"/>
      <c r="K25" s="609" t="n"/>
      <c r="L25" s="643" t="n"/>
    </row>
    <row r="26" ht="22.5" customHeight="1" s="595">
      <c r="B26" s="205" t="n"/>
      <c r="C26" s="624" t="n"/>
      <c r="D26" s="643" t="n"/>
      <c r="E26" s="609" t="n"/>
      <c r="F26" s="643" t="n"/>
      <c r="G26" s="609" t="n"/>
      <c r="H26" s="643" t="n"/>
      <c r="I26" s="609" t="n"/>
      <c r="J26" s="643" t="n"/>
      <c r="K26" s="609" t="n"/>
      <c r="L26" s="643" t="n"/>
    </row>
    <row r="27" ht="22.5" customHeight="1" s="595">
      <c r="B27" s="205" t="n"/>
      <c r="C27" s="624" t="n"/>
      <c r="D27" s="643" t="n"/>
      <c r="E27" s="609" t="n"/>
      <c r="F27" s="643" t="n"/>
      <c r="G27" s="609" t="n"/>
      <c r="H27" s="643" t="n"/>
      <c r="I27" s="609" t="n"/>
      <c r="J27" s="643" t="n"/>
      <c r="K27" s="609" t="n"/>
      <c r="L27" s="643" t="n"/>
    </row>
    <row r="28" ht="22.5" customHeight="1" s="595">
      <c r="B28" s="205" t="n"/>
      <c r="C28" s="624" t="n"/>
      <c r="D28" s="643" t="str">
        <f>IF(C28=0,"",C28/C$7)</f>
        <v/>
      </c>
      <c r="E28" s="609" t="n"/>
      <c r="F28" s="643" t="str">
        <f>IF(E28=0,"",E28/E$7)</f>
        <v/>
      </c>
      <c r="G28" s="609" t="n"/>
      <c r="H28" s="643" t="str">
        <f>IF(G28=0,"",G28/G$7)</f>
        <v/>
      </c>
      <c r="I28" s="609" t="n"/>
      <c r="J28" s="643" t="str">
        <f>IF(I28=0,"",I28/I$7)</f>
        <v/>
      </c>
      <c r="K28" s="609" t="n"/>
      <c r="L28" s="643" t="str">
        <f>IF(K28=0,"",K28/K$7)</f>
        <v/>
      </c>
    </row>
    <row r="29" ht="22.5" customHeight="1" s="595">
      <c r="B29" s="205" t="n"/>
      <c r="C29" s="624" t="n"/>
      <c r="D29" s="643" t="str">
        <f>IF(C29=0,"",C29/C$7)</f>
        <v/>
      </c>
      <c r="E29" s="609" t="n"/>
      <c r="F29" s="643" t="str">
        <f>IF(E29=0,"",E29/E$7)</f>
        <v/>
      </c>
      <c r="G29" s="609" t="n"/>
      <c r="H29" s="643" t="str">
        <f>IF(G29=0,"",G29/G$7)</f>
        <v/>
      </c>
      <c r="I29" s="609" t="n"/>
      <c r="J29" s="643" t="str">
        <f>IF(I29=0,"",I29/I$7)</f>
        <v/>
      </c>
      <c r="K29" s="609" t="n"/>
      <c r="L29" s="643" t="str">
        <f>IF(K29=0,"",K29/K$7)</f>
        <v/>
      </c>
    </row>
    <row r="30" ht="22.5" customHeight="1" s="595">
      <c r="B30" s="205" t="n"/>
      <c r="C30" s="624" t="n"/>
      <c r="D30" s="643" t="str">
        <f>IF(C30=0,"",C30/C$7)</f>
        <v/>
      </c>
      <c r="E30" s="609" t="n"/>
      <c r="F30" s="643" t="str">
        <f>IF(E30=0,"",E30/E$7)</f>
        <v/>
      </c>
      <c r="G30" s="609" t="n"/>
      <c r="H30" s="643" t="str">
        <f>IF(G30=0,"",G30/G$7)</f>
        <v/>
      </c>
      <c r="I30" s="609" t="n"/>
      <c r="J30" s="643" t="str">
        <f>IF(I30=0,"",I30/I$7)</f>
        <v/>
      </c>
      <c r="K30" s="609" t="n"/>
      <c r="L30" s="643" t="str">
        <f>IF(K30=0,"",K30/K$7)</f>
        <v/>
      </c>
    </row>
    <row r="31" ht="22.5" customHeight="1" s="595">
      <c r="B31" s="205" t="n"/>
      <c r="C31" s="624" t="n"/>
      <c r="D31" s="643" t="str">
        <f>IF(C31=0,"",C31/C$7)</f>
        <v/>
      </c>
      <c r="E31" s="609" t="n"/>
      <c r="F31" s="643" t="str">
        <f>IF(E31=0,"",E31/E$7)</f>
        <v/>
      </c>
      <c r="G31" s="609" t="n"/>
      <c r="H31" s="643" t="str">
        <f>IF(G31=0,"",G31/G$7)</f>
        <v/>
      </c>
      <c r="I31" s="609" t="n"/>
      <c r="J31" s="643" t="str">
        <f>IF(I31=0,"",I31/I$7)</f>
        <v/>
      </c>
      <c r="K31" s="609" t="n"/>
      <c r="L31" s="643" t="str">
        <f>IF(K31=0,"",K31/K$7)</f>
        <v/>
      </c>
    </row>
    <row r="32" ht="22.5" customHeight="1" s="595">
      <c r="B32" s="206" t="n"/>
      <c r="C32" s="629" t="n"/>
      <c r="D32" s="644" t="str">
        <f>IF(C32=0,"",C32/C$7)</f>
        <v/>
      </c>
      <c r="E32" s="611" t="n"/>
      <c r="F32" s="644" t="str">
        <f>IF(E32=0,"",E32/E$7)</f>
        <v/>
      </c>
      <c r="G32" s="611" t="n"/>
      <c r="H32" s="644" t="str">
        <f>IF(G32=0,"",G32/G$7)</f>
        <v/>
      </c>
      <c r="I32" s="611" t="n"/>
      <c r="J32" s="644" t="str">
        <f>IF(I32=0,"",I32/I$7)</f>
        <v/>
      </c>
      <c r="K32" s="611" t="n"/>
      <c r="L32" s="644" t="str">
        <f>IF(K32=0,"",K32/K$7)</f>
        <v/>
      </c>
    </row>
    <row r="33" ht="22.5" customHeight="1" s="595">
      <c r="B33" s="224" t="inlineStr">
        <is>
          <t>外注加工費</t>
        </is>
      </c>
      <c r="C33" s="667">
        <f>SUM(C24:C32)</f>
        <v>0</v>
      </c>
      <c r="D33" s="646" t="str">
        <f>IF(C33=0,"",C33/C$7)</f>
        <v/>
      </c>
      <c r="E33" s="645">
        <f>SUM(E24:E32)</f>
        <v>0</v>
      </c>
      <c r="F33" s="646" t="str">
        <f>IF(E33=0,"",E33/E$7)</f>
        <v/>
      </c>
      <c r="G33" s="645">
        <f>SUM(G24:G32)</f>
        <v>0</v>
      </c>
      <c r="H33" s="646" t="str">
        <f>IF(G33=0,"",G33/G$7)</f>
        <v/>
      </c>
      <c r="I33" s="645">
        <f>SUM(I24:I32)</f>
        <v>0</v>
      </c>
      <c r="J33" s="646" t="str">
        <f>IF(I33=0,"",I33/I$7)</f>
        <v/>
      </c>
      <c r="K33" s="645">
        <f>SUM(K24:K32)</f>
        <v>0</v>
      </c>
      <c r="L33" s="646" t="str">
        <f>IF(K33=0,"",K33/K$7)</f>
        <v/>
      </c>
    </row>
    <row r="34" ht="22.5" customHeight="1" s="595">
      <c r="B34" s="220" t="n"/>
      <c r="C34" s="624" t="n"/>
      <c r="D34" s="643" t="str">
        <f>IF(C34=0,"",C34/C$7)</f>
        <v/>
      </c>
      <c r="E34" s="609" t="n"/>
      <c r="F34" s="643" t="str">
        <f>IF(E34=0,"",E34/E$7)</f>
        <v/>
      </c>
      <c r="G34" s="609" t="n"/>
      <c r="H34" s="643" t="str">
        <f>IF(G34=0,"",G34/G$7)</f>
        <v/>
      </c>
      <c r="I34" s="609" t="n"/>
      <c r="J34" s="643" t="str">
        <f>IF(I34=0,"",I34/I$7)</f>
        <v/>
      </c>
      <c r="K34" s="609" t="n"/>
      <c r="L34" s="643" t="str">
        <f>IF(K34=0,"",K34/K$7)</f>
        <v/>
      </c>
    </row>
    <row r="35" ht="22.5" customHeight="1" s="595">
      <c r="B35" s="205" t="n"/>
      <c r="C35" s="624" t="n"/>
      <c r="D35" s="643" t="str">
        <f>IF(C35=0,"",C35/C$7)</f>
        <v/>
      </c>
      <c r="E35" s="609" t="n"/>
      <c r="F35" s="643" t="str">
        <f>IF(E35=0,"",E35/E$7)</f>
        <v/>
      </c>
      <c r="G35" s="609" t="n"/>
      <c r="H35" s="643" t="str">
        <f>IF(G35=0,"",G35/G$7)</f>
        <v/>
      </c>
      <c r="I35" s="609" t="n"/>
      <c r="J35" s="643" t="str">
        <f>IF(I35=0,"",I35/I$7)</f>
        <v/>
      </c>
      <c r="K35" s="609" t="n"/>
      <c r="L35" s="643" t="str">
        <f>IF(K35=0,"",K35/K$7)</f>
        <v/>
      </c>
    </row>
    <row r="36" ht="22.5" customHeight="1" s="595">
      <c r="B36" s="205" t="n"/>
      <c r="C36" s="624" t="n"/>
      <c r="D36" s="643" t="str">
        <f>IF(C36=0,"",C36/C$7)</f>
        <v/>
      </c>
      <c r="E36" s="609" t="n"/>
      <c r="F36" s="643" t="str">
        <f>IF(E36=0,"",E36/E$7)</f>
        <v/>
      </c>
      <c r="G36" s="609" t="n"/>
      <c r="H36" s="643" t="str">
        <f>IF(G36=0,"",G36/G$7)</f>
        <v/>
      </c>
      <c r="I36" s="609" t="n"/>
      <c r="J36" s="643" t="str">
        <f>IF(I36=0,"",I36/I$7)</f>
        <v/>
      </c>
      <c r="K36" s="609" t="n"/>
      <c r="L36" s="643" t="str">
        <f>IF(K36=0,"",K36/K$7)</f>
        <v/>
      </c>
    </row>
    <row r="37" ht="22.5" customHeight="1" s="595">
      <c r="B37" s="205" t="n"/>
      <c r="C37" s="624" t="n"/>
      <c r="D37" s="643" t="n"/>
      <c r="E37" s="609" t="n"/>
      <c r="F37" s="643" t="n"/>
      <c r="G37" s="609" t="n"/>
      <c r="H37" s="643" t="n"/>
      <c r="I37" s="609" t="n"/>
      <c r="J37" s="643" t="n"/>
      <c r="K37" s="609" t="n"/>
      <c r="L37" s="643" t="n"/>
    </row>
    <row r="38" ht="22.5" customHeight="1" s="595">
      <c r="B38" s="205" t="n"/>
      <c r="C38" s="624" t="n"/>
      <c r="D38" s="643" t="n"/>
      <c r="E38" s="609" t="n"/>
      <c r="F38" s="643" t="n"/>
      <c r="G38" s="609" t="n"/>
      <c r="H38" s="643" t="n"/>
      <c r="I38" s="609" t="n"/>
      <c r="J38" s="643" t="n"/>
      <c r="K38" s="609" t="n"/>
      <c r="L38" s="643" t="n"/>
    </row>
    <row r="39" ht="22.5" customHeight="1" s="595">
      <c r="B39" s="205" t="n"/>
      <c r="C39" s="624" t="n"/>
      <c r="D39" s="643" t="str">
        <f>IF(C39=0,"",C39/C$7)</f>
        <v/>
      </c>
      <c r="E39" s="609" t="n"/>
      <c r="F39" s="643" t="str">
        <f>IF(E39=0,"",E39/E$7)</f>
        <v/>
      </c>
      <c r="G39" s="609" t="n"/>
      <c r="H39" s="643" t="str">
        <f>IF(G39=0,"",G39/G$7)</f>
        <v/>
      </c>
      <c r="I39" s="609" t="n"/>
      <c r="J39" s="643" t="str">
        <f>IF(I39=0,"",I39/I$7)</f>
        <v/>
      </c>
      <c r="K39" s="609" t="n"/>
      <c r="L39" s="643" t="str">
        <f>IF(K39=0,"",K39/K$7)</f>
        <v/>
      </c>
    </row>
    <row r="40" ht="22.5" customHeight="1" s="595">
      <c r="B40" s="205" t="n"/>
      <c r="C40" s="624" t="n"/>
      <c r="D40" s="643" t="str">
        <f>IF(C40=0,"",C40/C$7)</f>
        <v/>
      </c>
      <c r="E40" s="609" t="n"/>
      <c r="F40" s="643" t="str">
        <f>IF(E40=0,"",E40/E$7)</f>
        <v/>
      </c>
      <c r="G40" s="609" t="n"/>
      <c r="H40" s="643" t="str">
        <f>IF(G40=0,"",G40/G$7)</f>
        <v/>
      </c>
      <c r="I40" s="609" t="n"/>
      <c r="J40" s="643" t="str">
        <f>IF(I40=0,"",I40/I$7)</f>
        <v/>
      </c>
      <c r="K40" s="609" t="n"/>
      <c r="L40" s="643" t="str">
        <f>IF(K40=0,"",K40/K$7)</f>
        <v/>
      </c>
    </row>
    <row r="41" ht="22.5" customHeight="1" s="595">
      <c r="B41" s="205" t="n"/>
      <c r="C41" s="624" t="n"/>
      <c r="D41" s="643" t="str">
        <f>IF(C41=0,"",C41/C$7)</f>
        <v/>
      </c>
      <c r="E41" s="609" t="n"/>
      <c r="F41" s="643" t="str">
        <f>IF(E41=0,"",E41/E$7)</f>
        <v/>
      </c>
      <c r="G41" s="609" t="n"/>
      <c r="H41" s="643" t="str">
        <f>IF(G41=0,"",G41/G$7)</f>
        <v/>
      </c>
      <c r="I41" s="609" t="n"/>
      <c r="J41" s="643" t="str">
        <f>IF(I41=0,"",I41/I$7)</f>
        <v/>
      </c>
      <c r="K41" s="609" t="n"/>
      <c r="L41" s="643" t="str">
        <f>IF(K41=0,"",K41/K$7)</f>
        <v/>
      </c>
    </row>
    <row r="42" ht="22.5" customHeight="1" s="595">
      <c r="B42" s="205" t="n"/>
      <c r="C42" s="624" t="n"/>
      <c r="D42" s="643" t="str">
        <f>IF(C42=0,"",C42/C$7)</f>
        <v/>
      </c>
      <c r="E42" s="609" t="n"/>
      <c r="F42" s="643" t="str">
        <f>IF(E42=0,"",E42/E$7)</f>
        <v/>
      </c>
      <c r="G42" s="609" t="n"/>
      <c r="H42" s="643" t="str">
        <f>IF(G42=0,"",G42/G$7)</f>
        <v/>
      </c>
      <c r="I42" s="609" t="n"/>
      <c r="J42" s="643" t="str">
        <f>IF(I42=0,"",I42/I$7)</f>
        <v/>
      </c>
      <c r="K42" s="609" t="n"/>
      <c r="L42" s="643" t="str">
        <f>IF(K42=0,"",K42/K$7)</f>
        <v/>
      </c>
    </row>
    <row r="43" ht="22.5" customHeight="1" s="595">
      <c r="B43" s="205" t="n"/>
      <c r="C43" s="624" t="n"/>
      <c r="D43" s="643" t="str">
        <f>IF(C43=0,"",C43/C$7)</f>
        <v/>
      </c>
      <c r="E43" s="609" t="n"/>
      <c r="F43" s="643" t="str">
        <f>IF(E43=0,"",E43/E$7)</f>
        <v/>
      </c>
      <c r="G43" s="609" t="n"/>
      <c r="H43" s="643" t="str">
        <f>IF(G43=0,"",G43/G$7)</f>
        <v/>
      </c>
      <c r="I43" s="609" t="n"/>
      <c r="J43" s="643" t="str">
        <f>IF(I43=0,"",I43/I$7)</f>
        <v/>
      </c>
      <c r="K43" s="609" t="n"/>
      <c r="L43" s="643" t="str">
        <f>IF(K43=0,"",K43/K$7)</f>
        <v/>
      </c>
    </row>
    <row r="44" ht="22.5" customHeight="1" s="595">
      <c r="B44" s="205" t="n"/>
      <c r="C44" s="624" t="n"/>
      <c r="D44" s="643" t="str">
        <f>IF(C44=0,"",C44/C$7)</f>
        <v/>
      </c>
      <c r="E44" s="609" t="n"/>
      <c r="F44" s="643" t="str">
        <f>IF(E44=0,"",E44/E$7)</f>
        <v/>
      </c>
      <c r="G44" s="609" t="n"/>
      <c r="H44" s="643" t="str">
        <f>IF(G44=0,"",G44/G$7)</f>
        <v/>
      </c>
      <c r="I44" s="609" t="n"/>
      <c r="J44" s="643" t="str">
        <f>IF(I44=0,"",I44/I$7)</f>
        <v/>
      </c>
      <c r="K44" s="609" t="n"/>
      <c r="L44" s="643" t="str">
        <f>IF(K44=0,"",K44/K$7)</f>
        <v/>
      </c>
    </row>
    <row r="45" ht="22.5" customHeight="1" s="595">
      <c r="B45" s="206" t="n"/>
      <c r="C45" s="629" t="n"/>
      <c r="D45" s="644" t="str">
        <f>IF(C45=0,"",C45/C$7)</f>
        <v/>
      </c>
      <c r="E45" s="611" t="n"/>
      <c r="F45" s="644" t="str">
        <f>IF(E45=0,"",E45/E$7)</f>
        <v/>
      </c>
      <c r="G45" s="611" t="n"/>
      <c r="H45" s="644" t="str">
        <f>IF(G45=0,"",G45/G$7)</f>
        <v/>
      </c>
      <c r="I45" s="611" t="n"/>
      <c r="J45" s="644" t="str">
        <f>IF(I45=0,"",I45/I$7)</f>
        <v/>
      </c>
      <c r="K45" s="611" t="n"/>
      <c r="L45" s="644" t="str">
        <f>IF(K45=0,"",K45/K$7)</f>
        <v/>
      </c>
    </row>
    <row r="46" ht="22.5" customHeight="1" s="595">
      <c r="B46" s="224" t="inlineStr">
        <is>
          <t>経費</t>
        </is>
      </c>
      <c r="C46" s="667">
        <f>SUM(C34:C45)</f>
        <v>0</v>
      </c>
      <c r="D46" s="646" t="str">
        <f>IF(C46=0,"",C46/C$7)</f>
        <v/>
      </c>
      <c r="E46" s="645">
        <f>SUM(E34:E45)</f>
        <v>0</v>
      </c>
      <c r="F46" s="646" t="str">
        <f>IF(E46=0,"",E46/E$7)</f>
        <v/>
      </c>
      <c r="G46" s="645">
        <f>SUM(G34:G45)</f>
        <v>0</v>
      </c>
      <c r="H46" s="646" t="str">
        <f>IF(G46=0,"",G46/G$7)</f>
        <v/>
      </c>
      <c r="I46" s="645">
        <f>SUM(I34:I45)</f>
        <v>0</v>
      </c>
      <c r="J46" s="646" t="str">
        <f>IF(I46=0,"",I46/I$7)</f>
        <v/>
      </c>
      <c r="K46" s="645">
        <f>SUM(K34:K45)</f>
        <v>0</v>
      </c>
      <c r="L46" s="646" t="str">
        <f>IF(K46=0,"",K46/K$7)</f>
        <v/>
      </c>
    </row>
    <row r="47" ht="22.5" customHeight="1" s="595">
      <c r="B47" s="223" t="inlineStr">
        <is>
          <t>当期製造費用</t>
        </is>
      </c>
      <c r="C47" s="667">
        <f>C14+C23+C33+C46</f>
        <v>0</v>
      </c>
      <c r="D47" s="646" t="str">
        <f>IF(C47=0,"",C47/C$7)</f>
        <v/>
      </c>
      <c r="E47" s="667">
        <f>E14+E23+E33+E46</f>
        <v>0</v>
      </c>
      <c r="F47" s="646" t="str">
        <f>IF(E47=0,"",E47/E$7)</f>
        <v/>
      </c>
      <c r="G47" s="667">
        <f>G14+G23+G33+G46</f>
        <v>0</v>
      </c>
      <c r="H47" s="646" t="str">
        <f>IF(G47=0,"",G47/G$7)</f>
        <v/>
      </c>
      <c r="I47" s="667">
        <f>I14+I23+I33+I46</f>
        <v>0</v>
      </c>
      <c r="J47" s="646" t="str">
        <f>IF(I47=0,"",I47/I$7)</f>
        <v/>
      </c>
      <c r="K47" s="667">
        <f>K14+K23+K33+K46</f>
        <v>0</v>
      </c>
      <c r="L47" s="646" t="str">
        <f>IF(K47=0,"",K47/K$7)</f>
        <v/>
      </c>
    </row>
    <row r="48" ht="22.5" customHeight="1" s="595">
      <c r="B48" s="225" t="inlineStr">
        <is>
          <t>期首仕掛品棚卸高</t>
        </is>
      </c>
      <c r="C48" s="629" t="n"/>
      <c r="D48" s="644" t="str">
        <f>IF(C48=0,"",C48/C$7)</f>
        <v/>
      </c>
      <c r="E48" s="611">
        <f>SUM(E36:E47)</f>
        <v>0</v>
      </c>
      <c r="F48" s="644" t="str">
        <f>IF(E48=0,"",E48/E$7)</f>
        <v/>
      </c>
      <c r="G48" s="611">
        <f>SUM(G36:G47)</f>
        <v>0</v>
      </c>
      <c r="H48" s="644" t="str">
        <f>IF(G48=0,"",G48/G$7)</f>
        <v/>
      </c>
      <c r="I48" s="611">
        <f>SUM(I36:I47)</f>
        <v>0</v>
      </c>
      <c r="J48" s="644" t="str">
        <f>IF(I48=0,"",I48/I$7)</f>
        <v/>
      </c>
      <c r="K48" s="611">
        <f>SUM(K36:K47)</f>
        <v>0</v>
      </c>
      <c r="L48" s="644" t="str">
        <f>IF(K48=0,"",K48/K$7)</f>
        <v/>
      </c>
    </row>
    <row r="49" ht="22.5" customHeight="1" s="595">
      <c r="B49" s="209" t="inlineStr">
        <is>
          <t>合計</t>
        </is>
      </c>
      <c r="C49" s="667">
        <f>SUM(C47:C48)</f>
        <v>0</v>
      </c>
      <c r="D49" s="646" t="str">
        <f>IF(C49=0,"",C49/C$7)</f>
        <v/>
      </c>
      <c r="E49" s="645">
        <f>SUM(E47:E48)</f>
        <v>0</v>
      </c>
      <c r="F49" s="646" t="str">
        <f>IF(E49=0,"",E49/E$7)</f>
        <v/>
      </c>
      <c r="G49" s="645">
        <f>SUM(G47:G48)</f>
        <v>0</v>
      </c>
      <c r="H49" s="646" t="str">
        <f>IF(G49=0,"",G49/G$7)</f>
        <v/>
      </c>
      <c r="I49" s="645">
        <f>SUM(I47:I48)</f>
        <v>0</v>
      </c>
      <c r="J49" s="646" t="str">
        <f>IF(I49=0,"",I49/I$7)</f>
        <v/>
      </c>
      <c r="K49" s="645">
        <f>SUM(K47:K48)</f>
        <v>0</v>
      </c>
      <c r="L49" s="646" t="str">
        <f>IF(K49=0,"",K49/K$7)</f>
        <v/>
      </c>
    </row>
    <row r="50" ht="22.5" customHeight="1" s="595">
      <c r="B50" s="226" t="inlineStr">
        <is>
          <t>期末仕掛品棚卸高</t>
        </is>
      </c>
      <c r="C50" s="668" t="n"/>
      <c r="D50" s="669" t="str">
        <f>IF(C50=0,"",C50/C$7)</f>
        <v/>
      </c>
      <c r="E50" s="670">
        <f>SUM(E40:E49)</f>
        <v>0</v>
      </c>
      <c r="F50" s="669" t="str">
        <f>IF(E50=0,"",E50/E$7)</f>
        <v/>
      </c>
      <c r="G50" s="670">
        <f>SUM(G40:G49)</f>
        <v>0</v>
      </c>
      <c r="H50" s="669" t="str">
        <f>IF(G50=0,"",G50/G$7)</f>
        <v/>
      </c>
      <c r="I50" s="670">
        <f>SUM(I40:I49)</f>
        <v>0</v>
      </c>
      <c r="J50" s="669" t="str">
        <f>IF(I50=0,"",I50/I$7)</f>
        <v/>
      </c>
      <c r="K50" s="670">
        <f>SUM(K40:K49)</f>
        <v>0</v>
      </c>
      <c r="L50" s="669" t="str">
        <f>IF(K50=0,"",K50/K$7)</f>
        <v/>
      </c>
    </row>
    <row r="51" ht="22.5" customHeight="1" s="595">
      <c r="B51" s="209" t="inlineStr">
        <is>
          <t>当期製造原価</t>
        </is>
      </c>
      <c r="C51" s="667">
        <f>C49-C50</f>
        <v>0</v>
      </c>
      <c r="D51" s="646" t="str">
        <f>IF(C51=0,"",C51/C$7)</f>
        <v/>
      </c>
      <c r="E51" s="645">
        <f>E49-E50</f>
        <v>0</v>
      </c>
      <c r="F51" s="646" t="str">
        <f>IF(E51=0,"",E51/E$7)</f>
        <v/>
      </c>
      <c r="G51" s="645">
        <f>G49-G50</f>
        <v>0</v>
      </c>
      <c r="H51" s="646" t="str">
        <f>IF(G51=0,"",G51/G$7)</f>
        <v/>
      </c>
      <c r="I51" s="645">
        <f>I49-I50</f>
        <v>0</v>
      </c>
      <c r="J51" s="646" t="str">
        <f>IF(I51=0,"",I51/I$7)</f>
        <v/>
      </c>
      <c r="K51" s="645">
        <f>K49-K50</f>
        <v>0</v>
      </c>
      <c r="L51" s="646" t="str">
        <f>IF(K51=0,"",K51/K$7)</f>
        <v/>
      </c>
    </row>
    <row r="52">
      <c r="B52" s="175" t="n"/>
      <c r="C52" s="671" t="n"/>
      <c r="D52" s="672" t="n"/>
      <c r="E52" s="673" t="n"/>
      <c r="F52" s="672" t="n"/>
      <c r="G52" s="673" t="n"/>
      <c r="H52" s="672" t="n"/>
      <c r="I52" s="673" t="n"/>
      <c r="J52" s="672" t="n"/>
      <c r="K52" s="673" t="n"/>
      <c r="L52" s="672" t="n"/>
    </row>
    <row r="53">
      <c r="B53" s="175" t="n"/>
      <c r="C53" s="671" t="n"/>
      <c r="D53" s="672" t="n"/>
      <c r="E53" s="673" t="n"/>
      <c r="F53" s="672" t="n"/>
      <c r="G53" s="673" t="n"/>
      <c r="H53" s="672" t="n"/>
      <c r="I53" s="673" t="n"/>
      <c r="J53" s="672" t="n"/>
      <c r="K53" s="673" t="n"/>
      <c r="L53" s="672" t="n"/>
    </row>
    <row r="54">
      <c r="B54" s="175" t="n"/>
      <c r="C54" s="671" t="n"/>
      <c r="D54" s="672" t="n"/>
      <c r="E54" s="673" t="n"/>
      <c r="F54" s="672" t="n"/>
      <c r="G54" s="673" t="n"/>
      <c r="H54" s="672" t="n"/>
      <c r="I54" s="673" t="n"/>
      <c r="J54" s="672" t="n"/>
      <c r="K54" s="673" t="n"/>
      <c r="L54" s="672" t="n"/>
    </row>
    <row r="55">
      <c r="B55" s="175" t="n"/>
      <c r="C55" s="671" t="n"/>
      <c r="D55" s="672" t="n"/>
      <c r="E55" s="673" t="n"/>
      <c r="F55" s="672" t="n"/>
      <c r="G55" s="673" t="n"/>
      <c r="H55" s="672" t="n"/>
      <c r="I55" s="673" t="n"/>
      <c r="J55" s="672" t="n"/>
      <c r="K55" s="673" t="n"/>
      <c r="L55" s="672" t="n"/>
    </row>
    <row r="56">
      <c r="B56" s="175" t="n"/>
      <c r="C56" s="671" t="n"/>
      <c r="D56" s="672" t="n"/>
      <c r="E56" s="673" t="n"/>
      <c r="F56" s="672" t="n"/>
      <c r="G56" s="673" t="n"/>
      <c r="H56" s="672" t="n"/>
      <c r="I56" s="673" t="n"/>
      <c r="J56" s="672" t="n"/>
      <c r="K56" s="673" t="n"/>
      <c r="L56" s="672" t="n"/>
    </row>
    <row r="57">
      <c r="B57" s="175" t="n"/>
      <c r="C57" s="671" t="n"/>
      <c r="D57" s="672" t="n"/>
      <c r="E57" s="673" t="n"/>
      <c r="F57" s="672" t="n"/>
      <c r="G57" s="673" t="n"/>
      <c r="H57" s="672" t="n"/>
      <c r="I57" s="673" t="n"/>
      <c r="J57" s="672" t="n"/>
      <c r="K57" s="673" t="n"/>
      <c r="L57" s="672" t="n"/>
    </row>
    <row r="58">
      <c r="B58" s="175" t="n"/>
      <c r="C58" s="671" t="n"/>
      <c r="D58" s="672" t="n"/>
      <c r="E58" s="673" t="n"/>
      <c r="F58" s="672" t="n"/>
      <c r="G58" s="673" t="n"/>
      <c r="H58" s="672" t="n"/>
      <c r="I58" s="673" t="n"/>
      <c r="J58" s="672" t="n"/>
      <c r="K58" s="673" t="n"/>
      <c r="L58" s="672" t="n"/>
    </row>
    <row r="59">
      <c r="B59" s="175" t="n"/>
      <c r="C59" s="671" t="n"/>
      <c r="D59" s="672" t="n"/>
      <c r="E59" s="673" t="n"/>
      <c r="F59" s="672" t="n"/>
      <c r="G59" s="673" t="n"/>
      <c r="H59" s="672" t="n"/>
      <c r="I59" s="673" t="n"/>
      <c r="J59" s="672" t="n"/>
      <c r="K59" s="673" t="n"/>
      <c r="L59" s="672" t="n"/>
    </row>
    <row r="60">
      <c r="C60" s="614" t="n"/>
      <c r="E60" s="614" t="n"/>
      <c r="G60" s="614" t="n"/>
      <c r="I60" s="636" t="n"/>
      <c r="K60" s="614" t="n"/>
    </row>
    <row r="61">
      <c r="C61" s="614" t="n"/>
      <c r="E61" s="614" t="n"/>
      <c r="G61" s="614" t="n"/>
      <c r="I61" s="636" t="n"/>
      <c r="K61" s="614" t="n"/>
    </row>
    <row r="62">
      <c r="C62" s="614" t="n"/>
      <c r="E62" s="614" t="n"/>
      <c r="G62" s="614" t="n"/>
      <c r="I62" s="636" t="n"/>
      <c r="K62" s="614" t="n"/>
    </row>
  </sheetData>
  <mergeCells count="1">
    <mergeCell ref="B5:B6"/>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54"/>
  <sheetViews>
    <sheetView showGridLines="0" zoomScale="70" zoomScaleNormal="70" workbookViewId="0">
      <pane ySplit="4" topLeftCell="A14" activePane="bottomLeft" state="frozen"/>
      <selection pane="bottomLeft" activeCell="A5" sqref="A5"/>
    </sheetView>
  </sheetViews>
  <sheetFormatPr baseColWidth="8" defaultRowHeight="18"/>
  <cols>
    <col width="36" bestFit="1" customWidth="1" style="182" min="2" max="2"/>
    <col hidden="1" width="15" customWidth="1" style="595" min="3" max="3"/>
    <col hidden="1" width="15" customWidth="1" style="595" min="4" max="4"/>
    <col width="15" customWidth="1" style="595" min="5" max="5"/>
    <col width="15" customWidth="1" style="595" min="6" max="6"/>
    <col width="15" customWidth="1" style="595" min="7" max="7"/>
    <col width="15" customWidth="1" style="595" min="8" max="8"/>
    <col width="15" customWidth="1" style="595" min="9" max="9"/>
    <col width="15" customWidth="1" style="595" min="10" max="10"/>
    <col width="15" customWidth="1" style="595" min="11" max="11"/>
    <col width="15" customWidth="1" style="595" min="12" max="12"/>
    <col width="16.125" customWidth="1" style="595" min="13" max="13"/>
    <col width="8.875" customWidth="1" style="595" min="14" max="14"/>
  </cols>
  <sheetData>
    <row r="1">
      <c r="A1" s="603" t="inlineStr">
        <is>
          <t>■ 貼付範囲 B2:L40 → 企業概要書「販売費及び一般管理費」（売上行・C:D列・空行は非表示）</t>
        </is>
      </c>
    </row>
    <row r="2" ht="18.75" customHeight="1" s="595">
      <c r="B2" s="0" t="n"/>
      <c r="C2" s="175" t="n"/>
      <c r="D2" s="190" t="n"/>
      <c r="G2" s="175" t="n"/>
      <c r="H2" s="73" t="n"/>
      <c r="I2" s="0" t="n"/>
      <c r="K2" s="175" t="n"/>
      <c r="L2" s="638" t="inlineStr">
        <is>
          <t>(単位：千円)</t>
        </is>
      </c>
    </row>
    <row r="3" ht="19.5" customHeight="1" s="595">
      <c r="B3" s="558" t="inlineStr">
        <is>
          <t>科目</t>
        </is>
      </c>
      <c r="C3" s="193" t="str">
        <f>'BS(借方)'!C4</f>
        <v>●●年●月期</v>
      </c>
      <c r="D3" s="195" t="n"/>
      <c r="E3" s="196" t="str">
        <f>'BS(借方)'!D4</f>
        <v>24年3月期</v>
      </c>
      <c r="F3" s="639" t="n"/>
      <c r="G3" s="197" t="str">
        <f>'BS(借方)'!E4</f>
        <v>25年3月期</v>
      </c>
      <c r="H3" s="640" t="n"/>
      <c r="I3" s="199" t="str">
        <f>'BS(借方)'!F4</f>
        <v>26年3月期</v>
      </c>
      <c r="J3" s="640" t="n"/>
      <c r="K3" s="201" t="str">
        <f>'BS(借方)'!G4</f>
        <v>27年3月期
4〜9月TB</v>
      </c>
      <c r="L3" s="640" t="n"/>
    </row>
    <row r="4" ht="19.5" customHeight="1" s="595">
      <c r="B4" s="674" t="n"/>
      <c r="C4" s="217" t="inlineStr">
        <is>
          <t>帳簿価額</t>
        </is>
      </c>
      <c r="D4" s="191" t="inlineStr">
        <is>
          <t>売上高比</t>
        </is>
      </c>
      <c r="E4" s="217" t="inlineStr">
        <is>
          <t>帳簿価額</t>
        </is>
      </c>
      <c r="F4" s="217" t="inlineStr">
        <is>
          <t>売上高比</t>
        </is>
      </c>
      <c r="G4" s="217" t="inlineStr">
        <is>
          <t>帳簿価額</t>
        </is>
      </c>
      <c r="H4" s="191" t="inlineStr">
        <is>
          <t>売上高比</t>
        </is>
      </c>
      <c r="I4" s="217" t="inlineStr">
        <is>
          <t>帳簿価額</t>
        </is>
      </c>
      <c r="J4" s="191" t="inlineStr">
        <is>
          <t>売上高比</t>
        </is>
      </c>
      <c r="K4" s="218" t="inlineStr">
        <is>
          <t>帳簿価額</t>
        </is>
      </c>
      <c r="L4" s="192" t="inlineStr">
        <is>
          <t>売上高比</t>
        </is>
      </c>
    </row>
    <row r="5" hidden="1" ht="22.5" customHeight="1" s="595">
      <c r="B5" s="219" t="inlineStr">
        <is>
          <t>売上</t>
        </is>
      </c>
      <c r="C5" s="664">
        <f>PL!C11</f>
        <v>0</v>
      </c>
      <c r="D5" s="665" t="n"/>
      <c r="E5" s="666">
        <f>PL!E11</f>
        <v>1178489098</v>
      </c>
      <c r="F5" s="665" t="inlineStr">
        <is>
          <t>-</t>
        </is>
      </c>
      <c r="G5" s="666">
        <f>PL!G11</f>
        <v>1181947340</v>
      </c>
      <c r="H5" s="665" t="inlineStr">
        <is>
          <t>-</t>
        </is>
      </c>
      <c r="I5" s="666">
        <f>PL!I11</f>
        <v>1195893269</v>
      </c>
      <c r="J5" s="665" t="inlineStr">
        <is>
          <t>-</t>
        </is>
      </c>
      <c r="K5" s="666">
        <f>PL!K11</f>
        <v>621331427</v>
      </c>
      <c r="L5" s="665" t="inlineStr">
        <is>
          <t>-</t>
        </is>
      </c>
      <c r="M5" s="663" t="inlineStr">
        <is>
          <t>←IMに貼るときは非表示</t>
        </is>
      </c>
    </row>
    <row r="6" ht="22.5" customHeight="1" s="595">
      <c r="B6" s="220" t="inlineStr">
        <is>
          <t>役員報酬</t>
        </is>
      </c>
      <c r="C6" s="624" t="n"/>
      <c r="D6" s="643" t="n"/>
      <c r="E6" s="609" t="n">
        <v>22200000</v>
      </c>
      <c r="F6" s="643">
        <f>E6/$E$5</f>
        <v>0.0188376795658741</v>
      </c>
      <c r="G6" s="609" t="n">
        <v>22200000</v>
      </c>
      <c r="H6" s="643">
        <f>G6/$G$5</f>
        <v>0.0187825626816843</v>
      </c>
      <c r="I6" s="609" t="n">
        <v>15360000</v>
      </c>
      <c r="J6" s="643">
        <f>I6/$I$5</f>
        <v>0.012843955558713</v>
      </c>
      <c r="K6" s="609" t="n">
        <v>6150000</v>
      </c>
      <c r="L6" s="643">
        <f>K6/$K$5</f>
        <v>0.00989809903821266</v>
      </c>
    </row>
    <row r="7" ht="22.5" customHeight="1" s="595">
      <c r="B7" s="205" t="inlineStr">
        <is>
          <t>給料手当</t>
        </is>
      </c>
      <c r="C7" s="624" t="n"/>
      <c r="D7" s="643" t="n"/>
      <c r="E7" s="609" t="n">
        <v>73148460</v>
      </c>
      <c r="F7" s="643">
        <f>E7/$E$5</f>
        <v>0.0620696959557279</v>
      </c>
      <c r="G7" s="609" t="n">
        <v>74179162</v>
      </c>
      <c r="H7" s="643">
        <f>G7/$G$5</f>
        <v>0.0627601243216132</v>
      </c>
      <c r="I7" s="609" t="n">
        <v>71673365</v>
      </c>
      <c r="J7" s="643">
        <f>I7/$I$5</f>
        <v>0.059932911120014</v>
      </c>
      <c r="K7" s="609" t="n">
        <v>30948228</v>
      </c>
      <c r="L7" s="643">
        <f>K7/$K$5</f>
        <v>0.0498095326505994</v>
      </c>
    </row>
    <row r="8" ht="22.5" customHeight="1" s="595">
      <c r="B8" s="205" t="inlineStr">
        <is>
          <t>賞与</t>
        </is>
      </c>
      <c r="C8" s="624" t="n"/>
      <c r="D8" s="643" t="n"/>
      <c r="E8" s="609" t="n">
        <v>6002150</v>
      </c>
      <c r="F8" s="643">
        <f>E8/$E$5</f>
        <v>0.00509308911740141</v>
      </c>
      <c r="G8" s="609" t="n">
        <v>5692500</v>
      </c>
      <c r="H8" s="643">
        <f>G8/$G$5</f>
        <v>0.00481620441736431</v>
      </c>
      <c r="I8" s="609" t="n"/>
      <c r="J8" s="643">
        <f>I8/$I$5</f>
        <v>0</v>
      </c>
      <c r="K8" s="609" t="n"/>
      <c r="L8" s="643">
        <f>K8/$K$5</f>
        <v>0</v>
      </c>
    </row>
    <row r="9" ht="22.5" customHeight="1" s="595">
      <c r="B9" s="205" t="inlineStr">
        <is>
          <t>退職金共済掛金</t>
        </is>
      </c>
      <c r="C9" s="624" t="n"/>
      <c r="D9" s="643" t="n"/>
      <c r="E9" s="609" t="n">
        <v>3175000</v>
      </c>
      <c r="F9" s="643">
        <f>E9/$E$5</f>
        <v>0.00269412759556983</v>
      </c>
      <c r="G9" s="609" t="n">
        <v>3166000</v>
      </c>
      <c r="H9" s="643">
        <f>G9/$G$5</f>
        <v>0.00267863033559515</v>
      </c>
      <c r="I9" s="609" t="n">
        <v>3026000</v>
      </c>
      <c r="J9" s="643">
        <f>I9/$I$5</f>
        <v>0.00253032614066833</v>
      </c>
      <c r="K9" s="609" t="n">
        <v>1139000</v>
      </c>
      <c r="L9" s="643">
        <f>K9/$K$5</f>
        <v>0.00183316013081695</v>
      </c>
    </row>
    <row r="10" ht="22.5" customHeight="1" s="595">
      <c r="B10" s="205" t="inlineStr">
        <is>
          <t>退職金</t>
        </is>
      </c>
      <c r="C10" s="624" t="n"/>
      <c r="D10" s="643" t="n"/>
      <c r="E10" s="609" t="n"/>
      <c r="F10" s="643">
        <f>E10/$E$5</f>
        <v>0</v>
      </c>
      <c r="G10" s="609" t="n">
        <v>356400</v>
      </c>
      <c r="H10" s="643">
        <f>G10/$G$5</f>
        <v>0.000301536276565418</v>
      </c>
      <c r="I10" s="609" t="n">
        <v>746960</v>
      </c>
      <c r="J10" s="643">
        <f>I10/$I$5</f>
        <v>0.000624604234644288</v>
      </c>
      <c r="K10" s="609" t="n"/>
      <c r="L10" s="643">
        <f>K10/$K$5</f>
        <v>0</v>
      </c>
    </row>
    <row r="11" ht="22.5" customHeight="1" s="595">
      <c r="B11" s="205" t="inlineStr">
        <is>
          <t>法定福利費</t>
        </is>
      </c>
      <c r="C11" s="624" t="n"/>
      <c r="D11" s="643" t="n"/>
      <c r="E11" s="609" t="n">
        <v>15154087</v>
      </c>
      <c r="F11" s="643">
        <f>E11/$E$5</f>
        <v>0.0128589114873594</v>
      </c>
      <c r="G11" s="609" t="n">
        <v>14913183</v>
      </c>
      <c r="H11" s="643">
        <f>G11/$G$5</f>
        <v>0.0126174682198616</v>
      </c>
      <c r="I11" s="609" t="n">
        <v>13295870</v>
      </c>
      <c r="J11" s="643">
        <f>I11/$I$5</f>
        <v>0.0111179403251579</v>
      </c>
      <c r="K11" s="609" t="n">
        <v>5327882</v>
      </c>
      <c r="L11" s="643">
        <f>K11/$K$5</f>
        <v>0.00857494369104237</v>
      </c>
    </row>
    <row r="12" ht="22.5" customHeight="1" s="595">
      <c r="B12" s="205" t="inlineStr">
        <is>
          <t>福利厚生費</t>
        </is>
      </c>
      <c r="C12" s="624" t="n"/>
      <c r="D12" s="643" t="n"/>
      <c r="E12" s="609" t="n">
        <v>594849</v>
      </c>
      <c r="F12" s="643">
        <f>E12/$E$5</f>
        <v>0.000504755623967597</v>
      </c>
      <c r="G12" s="609" t="n">
        <v>899852</v>
      </c>
      <c r="H12" s="643">
        <f>G12/$G$5</f>
        <v>0.000761330026767521</v>
      </c>
      <c r="I12" s="609" t="n">
        <v>460243</v>
      </c>
      <c r="J12" s="643">
        <f>I12/$I$5</f>
        <v>0.000384852906133382</v>
      </c>
      <c r="K12" s="609" t="n">
        <v>124395</v>
      </c>
      <c r="L12" s="643">
        <f>K12/$K$5</f>
        <v>0.00020020715932658</v>
      </c>
    </row>
    <row r="13" ht="22.5" customHeight="1" s="595">
      <c r="B13" s="205" t="inlineStr">
        <is>
          <t>広告宣伝費</t>
        </is>
      </c>
      <c r="C13" s="624" t="n"/>
      <c r="D13" s="643" t="n"/>
      <c r="E13" s="609" t="n">
        <v>203020</v>
      </c>
      <c r="F13" s="643">
        <f>E13/$E$5</f>
        <v>0.000172271428174043</v>
      </c>
      <c r="G13" s="609" t="n">
        <v>114444</v>
      </c>
      <c r="H13" s="643">
        <f>G13/$G$5</f>
        <v>9.68266488082286e-05</v>
      </c>
      <c r="I13" s="609" t="n">
        <v>89300</v>
      </c>
      <c r="J13" s="643">
        <f>I13/$I$5</f>
        <v>7.46722155854863e-05</v>
      </c>
      <c r="K13" s="609" t="n">
        <v>10000</v>
      </c>
      <c r="L13" s="643">
        <f>K13/$K$5</f>
        <v>1.60944699808336e-05</v>
      </c>
    </row>
    <row r="14" ht="22.5" customHeight="1" s="595">
      <c r="B14" s="205" t="inlineStr">
        <is>
          <t>旅費交通費</t>
        </is>
      </c>
      <c r="C14" s="624" t="n"/>
      <c r="D14" s="643" t="n"/>
      <c r="E14" s="609" t="n">
        <v>44957</v>
      </c>
      <c r="F14" s="643">
        <f>E14/$E$5</f>
        <v>3.81479982091442e-05</v>
      </c>
      <c r="G14" s="609" t="n">
        <v>212048</v>
      </c>
      <c r="H14" s="643">
        <f>G14/$G$5</f>
        <v>0.000179405623942603</v>
      </c>
      <c r="I14" s="609" t="n">
        <v>78650</v>
      </c>
      <c r="J14" s="643">
        <f>I14/$I$5</f>
        <v>6.57667385867693e-05</v>
      </c>
      <c r="K14" s="609" t="n">
        <v>9490</v>
      </c>
      <c r="L14" s="643">
        <f>K14/$K$5</f>
        <v>1.52736520118111e-05</v>
      </c>
    </row>
    <row r="15" ht="22.5" customHeight="1" s="595">
      <c r="B15" s="205" t="inlineStr">
        <is>
          <t>通信費</t>
        </is>
      </c>
      <c r="C15" s="624" t="n"/>
      <c r="D15" s="643" t="n"/>
      <c r="E15" s="609" t="n">
        <v>1434812</v>
      </c>
      <c r="F15" s="643">
        <f>E15/$E$5</f>
        <v>0.00121750129248968</v>
      </c>
      <c r="G15" s="609" t="n">
        <v>1143086</v>
      </c>
      <c r="H15" s="643">
        <f>G15/$G$5</f>
        <v>0.00096712092097098</v>
      </c>
      <c r="I15" s="609" t="n">
        <v>1191701</v>
      </c>
      <c r="J15" s="643">
        <f>I15/$I$5</f>
        <v>0.00099649444552564</v>
      </c>
      <c r="K15" s="609" t="n">
        <v>502790</v>
      </c>
      <c r="L15" s="643">
        <f>K15/$K$5</f>
        <v>0.000809213856166332</v>
      </c>
    </row>
    <row r="16" ht="22.5" customHeight="1" s="595">
      <c r="B16" s="205" t="inlineStr">
        <is>
          <t>車両関連費</t>
        </is>
      </c>
      <c r="C16" s="624" t="n"/>
      <c r="D16" s="643" t="n"/>
      <c r="E16" s="609" t="n">
        <v>8475295</v>
      </c>
      <c r="F16" s="643">
        <f>E16/$E$5</f>
        <v>0.00719166177640788</v>
      </c>
      <c r="G16" s="609" t="n">
        <v>10126052</v>
      </c>
      <c r="H16" s="643">
        <f>G16/$G$5</f>
        <v>0.00856726154990966</v>
      </c>
      <c r="I16" s="609" t="n">
        <v>9861597</v>
      </c>
      <c r="J16" s="643">
        <f>I16/$I$5</f>
        <v>0.00824621833371988</v>
      </c>
      <c r="K16" s="609" t="n">
        <v>4665234</v>
      </c>
      <c r="L16" s="643">
        <f>K16/$K$5</f>
        <v>0.00750844685665642</v>
      </c>
    </row>
    <row r="17" ht="22.5" customHeight="1" s="595">
      <c r="B17" s="205" t="inlineStr">
        <is>
          <t>運賃</t>
        </is>
      </c>
      <c r="C17" s="624" t="n"/>
      <c r="D17" s="643" t="n"/>
      <c r="E17" s="609" t="n">
        <v>27546757</v>
      </c>
      <c r="F17" s="643">
        <f>E17/$E$5</f>
        <v>0.0233746388038288</v>
      </c>
      <c r="G17" s="609" t="n">
        <v>29493733</v>
      </c>
      <c r="H17" s="643">
        <f>G17/$G$5</f>
        <v>0.0249535085040252</v>
      </c>
      <c r="I17" s="609" t="n">
        <v>28996599</v>
      </c>
      <c r="J17" s="643">
        <f>I17/$I$5</f>
        <v>0.0242468117779832</v>
      </c>
      <c r="K17" s="609" t="n">
        <v>12047802</v>
      </c>
      <c r="L17" s="643">
        <f>K17/$K$5</f>
        <v>0.0193902987624027</v>
      </c>
    </row>
    <row r="18" ht="22.5" customHeight="1" s="595">
      <c r="B18" s="205" t="inlineStr">
        <is>
          <t>振込手数料負担金</t>
        </is>
      </c>
      <c r="C18" s="624" t="n"/>
      <c r="D18" s="643" t="n"/>
      <c r="E18" s="609" t="n">
        <v>122652</v>
      </c>
      <c r="F18" s="643">
        <f>E18/$E$5</f>
        <v>0.000104075633969081</v>
      </c>
      <c r="G18" s="609" t="n">
        <v>207322</v>
      </c>
      <c r="H18" s="643">
        <f>G18/$G$5</f>
        <v>0.000175407137850998</v>
      </c>
      <c r="I18" s="609" t="n">
        <v>215198</v>
      </c>
      <c r="J18" s="643">
        <f>I18/$I$5</f>
        <v>0.000179947496635672</v>
      </c>
      <c r="K18" s="609" t="n">
        <v>96382</v>
      </c>
      <c r="L18" s="643">
        <f>K18/$K$5</f>
        <v>0.00015512172056927</v>
      </c>
    </row>
    <row r="19" ht="22.5" customHeight="1" s="595">
      <c r="B19" s="205" t="inlineStr">
        <is>
          <t>委託手数料</t>
        </is>
      </c>
      <c r="C19" s="624" t="n"/>
      <c r="D19" s="643" t="n"/>
      <c r="E19" s="609" t="n">
        <v>3709319</v>
      </c>
      <c r="F19" s="643">
        <f>E19/$E$5</f>
        <v>0.00314752084367606</v>
      </c>
      <c r="G19" s="609" t="n">
        <v>3538995</v>
      </c>
      <c r="H19" s="643">
        <f>G19/$G$5</f>
        <v>0.00299420700079582</v>
      </c>
      <c r="I19" s="609" t="n">
        <v>4075300</v>
      </c>
      <c r="J19" s="643">
        <f>I19/$I$5</f>
        <v>0.00340774557867338</v>
      </c>
      <c r="K19" s="609" t="n">
        <v>2223299</v>
      </c>
      <c r="L19" s="643">
        <f>K19/$K$5</f>
        <v>0.00357828190139174</v>
      </c>
    </row>
    <row r="20" ht="22.5" customHeight="1" s="595">
      <c r="B20" s="205" t="inlineStr">
        <is>
          <t>接待交際費</t>
        </is>
      </c>
      <c r="C20" s="624" t="n"/>
      <c r="D20" s="643" t="n"/>
      <c r="E20" s="609" t="n">
        <v>3474959</v>
      </c>
      <c r="F20" s="643">
        <f>E20/$E$5</f>
        <v>0.0029486560426374</v>
      </c>
      <c r="G20" s="609" t="n">
        <v>2485921</v>
      </c>
      <c r="H20" s="643">
        <f>G20/$G$5</f>
        <v>0.00210324175694663</v>
      </c>
      <c r="I20" s="609" t="n">
        <v>1580405</v>
      </c>
      <c r="J20" s="643">
        <f>I20/$I$5</f>
        <v>0.00132152679588332</v>
      </c>
      <c r="K20" s="609" t="n">
        <v>1059003</v>
      </c>
      <c r="L20" s="643">
        <f>K20/$K$5</f>
        <v>0.00170440919931127</v>
      </c>
    </row>
    <row r="21" ht="22.5" customHeight="1" s="595">
      <c r="B21" s="205" t="inlineStr">
        <is>
          <t>水道光熱費</t>
        </is>
      </c>
      <c r="C21" s="624" t="n"/>
      <c r="D21" s="643" t="n"/>
      <c r="E21" s="609" t="n">
        <v>4423538</v>
      </c>
      <c r="F21" s="643">
        <f>E21/$E$5</f>
        <v>0.00375356717979584</v>
      </c>
      <c r="G21" s="609" t="n">
        <v>4700697</v>
      </c>
      <c r="H21" s="643">
        <f>G21/$G$5</f>
        <v>0.00397707820045519</v>
      </c>
      <c r="I21" s="609" t="n">
        <v>4684668</v>
      </c>
      <c r="J21" s="643">
        <f>I21/$I$5</f>
        <v>0.00391729606766438</v>
      </c>
      <c r="K21" s="609" t="n">
        <v>2318547</v>
      </c>
      <c r="L21" s="643">
        <f>K21/$K$5</f>
        <v>0.00373157850906518</v>
      </c>
    </row>
    <row r="22" ht="22.5" customHeight="1" s="595">
      <c r="B22" s="205" t="inlineStr">
        <is>
          <t>消耗品費</t>
        </is>
      </c>
      <c r="C22" s="624" t="n"/>
      <c r="D22" s="643" t="n"/>
      <c r="E22" s="609" t="n">
        <v>35750</v>
      </c>
      <c r="F22" s="643">
        <f>E22/$E$5</f>
        <v>3.0335452454054e-05</v>
      </c>
      <c r="G22" s="609" t="n"/>
      <c r="H22" s="643">
        <f>G22/$G$5</f>
        <v>0</v>
      </c>
      <c r="I22" s="609" t="n">
        <v>95055</v>
      </c>
      <c r="J22" s="643">
        <f>I22/$I$5</f>
        <v>7.94845179448869e-05</v>
      </c>
      <c r="K22" s="609" t="n"/>
      <c r="L22" s="643">
        <f>K22/$K$5</f>
        <v>0</v>
      </c>
    </row>
    <row r="23" ht="22.5" customHeight="1" s="595">
      <c r="B23" s="205" t="inlineStr">
        <is>
          <t>租税公課</t>
        </is>
      </c>
      <c r="C23" s="624" t="n"/>
      <c r="D23" s="643" t="n"/>
      <c r="E23" s="609" t="n">
        <v>14464767</v>
      </c>
      <c r="F23" s="643">
        <f>E23/$E$5</f>
        <v>0.0122739930513977</v>
      </c>
      <c r="G23" s="609" t="n">
        <v>12813800</v>
      </c>
      <c r="H23" s="643">
        <f>G23/$G$5</f>
        <v>0.0108412613374129</v>
      </c>
      <c r="I23" s="609" t="n">
        <v>12176834</v>
      </c>
      <c r="J23" s="643">
        <f>I23/$I$5</f>
        <v>0.0101822079910043</v>
      </c>
      <c r="K23" s="609" t="n">
        <v>3616634</v>
      </c>
      <c r="L23" s="643">
        <f>K23/$K$5</f>
        <v>0.00582078073446621</v>
      </c>
    </row>
    <row r="24" ht="22.5" customHeight="1" s="595">
      <c r="B24" s="205" t="inlineStr">
        <is>
          <t>支払手数料</t>
        </is>
      </c>
      <c r="C24" s="624" t="n"/>
      <c r="D24" s="643" t="n"/>
      <c r="E24" s="609" t="n">
        <v>1546474</v>
      </c>
      <c r="F24" s="643">
        <f>E24/$E$5</f>
        <v>0.00131225142652953</v>
      </c>
      <c r="G24" s="609" t="n">
        <v>1527460</v>
      </c>
      <c r="H24" s="643">
        <f>G24/$G$5</f>
        <v>0.00129232491863808</v>
      </c>
      <c r="I24" s="609" t="n">
        <v>1596627</v>
      </c>
      <c r="J24" s="643">
        <f>I24/$I$5</f>
        <v>0.00133509155155216</v>
      </c>
      <c r="K24" s="609" t="n">
        <v>1290018</v>
      </c>
      <c r="L24" s="643">
        <f>K24/$K$5</f>
        <v>0.0020762155975735</v>
      </c>
    </row>
    <row r="25" ht="22.5" customHeight="1" s="595">
      <c r="B25" s="205" t="inlineStr">
        <is>
          <t>諸会費</t>
        </is>
      </c>
      <c r="C25" s="624" t="n"/>
      <c r="D25" s="643" t="n"/>
      <c r="E25" s="609" t="n">
        <v>181000</v>
      </c>
      <c r="F25" s="643">
        <f>E25/$E$5</f>
        <v>0.000153586486550595</v>
      </c>
      <c r="G25" s="609" t="n">
        <v>141000</v>
      </c>
      <c r="H25" s="643">
        <f>G25/$G$5</f>
        <v>0.000119294654870157</v>
      </c>
      <c r="I25" s="609" t="n">
        <v>138400</v>
      </c>
      <c r="J25" s="643">
        <f>I25/$I$5</f>
        <v>0.000115729391232154</v>
      </c>
      <c r="K25" s="609" t="n">
        <v>116000</v>
      </c>
      <c r="L25" s="643">
        <f>K25/$K$5</f>
        <v>0.00018669585177767</v>
      </c>
    </row>
    <row r="26" ht="22.5" customHeight="1" s="595">
      <c r="B26" s="205" t="inlineStr">
        <is>
          <t>寄付金</t>
        </is>
      </c>
      <c r="C26" s="624" t="n"/>
      <c r="D26" s="643" t="n"/>
      <c r="E26" s="609" t="n">
        <v>13000</v>
      </c>
      <c r="F26" s="643">
        <f>E26/$E$5</f>
        <v>1.1031073619656e-05</v>
      </c>
      <c r="G26" s="609" t="n">
        <v>71000</v>
      </c>
      <c r="H26" s="643">
        <f>G26/$G$5</f>
        <v>6.00703581261074e-05</v>
      </c>
      <c r="I26" s="609" t="n">
        <v>11000</v>
      </c>
      <c r="J26" s="643">
        <f>I26/$I$5</f>
        <v>9.19814525689081e-06</v>
      </c>
      <c r="K26" s="609" t="n">
        <v>7000</v>
      </c>
      <c r="L26" s="643">
        <f>K26/$K$5</f>
        <v>1.12661289865835e-05</v>
      </c>
    </row>
    <row r="27" ht="22.5" customHeight="1" s="595">
      <c r="B27" s="205" t="inlineStr">
        <is>
          <t>リース料</t>
        </is>
      </c>
      <c r="C27" s="624" t="n"/>
      <c r="D27" s="643" t="n"/>
      <c r="E27" s="609" t="n">
        <v>4711966</v>
      </c>
      <c r="F27" s="643">
        <f>E27/$E$5</f>
        <v>0.00399831106456277</v>
      </c>
      <c r="G27" s="609" t="n">
        <v>6710821</v>
      </c>
      <c r="H27" s="643">
        <f>G27/$G$5</f>
        <v>0.00567776649000285</v>
      </c>
      <c r="I27" s="609" t="n">
        <v>6227194</v>
      </c>
      <c r="J27" s="643">
        <f>I27/$I$5</f>
        <v>0.00520714863225809</v>
      </c>
      <c r="K27" s="609" t="n">
        <v>3082216</v>
      </c>
      <c r="L27" s="643">
        <f>K27/$K$5</f>
        <v>0.0049606632886445</v>
      </c>
    </row>
    <row r="28" ht="22.5" customHeight="1" s="595">
      <c r="B28" s="205" t="inlineStr">
        <is>
          <t>支払保険料</t>
        </is>
      </c>
      <c r="C28" s="624" t="n"/>
      <c r="D28" s="643" t="n"/>
      <c r="E28" s="609" t="n">
        <v>2772322</v>
      </c>
      <c r="F28" s="643">
        <f>E28/$E$5</f>
        <v>0.00235243754456861</v>
      </c>
      <c r="G28" s="609" t="n">
        <v>1431329</v>
      </c>
      <c r="H28" s="643">
        <f>G28/$G$5</f>
        <v>0.00121099219191948</v>
      </c>
      <c r="I28" s="609" t="n">
        <v>1541660</v>
      </c>
      <c r="J28" s="643">
        <f>I28/$I$5</f>
        <v>0.00128912841970348</v>
      </c>
      <c r="K28" s="609" t="n">
        <v>325790</v>
      </c>
      <c r="L28" s="643">
        <f>K28/$K$5</f>
        <v>0.000524341737505578</v>
      </c>
    </row>
    <row r="29" ht="22.5" customHeight="1" s="595">
      <c r="B29" s="205" t="inlineStr">
        <is>
          <t>修繕費</t>
        </is>
      </c>
      <c r="C29" s="624" t="n"/>
      <c r="D29" s="643" t="n"/>
      <c r="E29" s="609" t="n">
        <v>1169740</v>
      </c>
      <c r="F29" s="643">
        <f>E29/$E$5</f>
        <v>0.000992576004296647</v>
      </c>
      <c r="G29" s="609" t="n">
        <v>707846</v>
      </c>
      <c r="H29" s="643">
        <f>G29/$G$5</f>
        <v>0.000598881165044121</v>
      </c>
      <c r="I29" s="609" t="n">
        <v>123750</v>
      </c>
      <c r="J29" s="643">
        <f>I29/$I$5</f>
        <v>0.000103479134140022</v>
      </c>
      <c r="K29" s="609" t="n">
        <v>702130</v>
      </c>
      <c r="L29" s="643">
        <f>K29/$K$5</f>
        <v>0.00113004102076427</v>
      </c>
    </row>
    <row r="30" ht="22.5" customHeight="1" s="595">
      <c r="B30" s="205" t="inlineStr">
        <is>
          <t>事務用消耗品費</t>
        </is>
      </c>
      <c r="C30" s="624" t="n"/>
      <c r="D30" s="643" t="n"/>
      <c r="E30" s="609" t="n">
        <v>2033078</v>
      </c>
      <c r="F30" s="643">
        <f>E30/$E$5</f>
        <v>0.001725156391731</v>
      </c>
      <c r="G30" s="609" t="n">
        <v>1934919</v>
      </c>
      <c r="H30" s="643">
        <f>G30/$G$5</f>
        <v>0.00163706024330999</v>
      </c>
      <c r="I30" s="609" t="n">
        <v>2335738</v>
      </c>
      <c r="J30" s="643">
        <f>I30/$I$5</f>
        <v>0.00195313249145815</v>
      </c>
      <c r="K30" s="609" t="n">
        <v>1408266</v>
      </c>
      <c r="L30" s="643">
        <f>K30/$K$5</f>
        <v>0.00226652948620286</v>
      </c>
    </row>
    <row r="31" ht="22.5" customHeight="1" s="595">
      <c r="B31" s="205" t="inlineStr">
        <is>
          <t>減価償却費</t>
        </is>
      </c>
      <c r="C31" s="624" t="n"/>
      <c r="D31" s="643" t="n"/>
      <c r="E31" s="609" t="n">
        <v>13663684</v>
      </c>
      <c r="F31" s="643">
        <f>E31/$E$5</f>
        <v>0.0115942387784397</v>
      </c>
      <c r="G31" s="609" t="n">
        <v>12557564</v>
      </c>
      <c r="H31" s="643">
        <f>G31/$G$5</f>
        <v>0.0106244699531199</v>
      </c>
      <c r="I31" s="609" t="n">
        <v>8878970</v>
      </c>
      <c r="J31" s="643">
        <f>I31/$I$5</f>
        <v>0.00742455052650689</v>
      </c>
      <c r="K31" s="609" t="n">
        <v>3654000</v>
      </c>
      <c r="L31" s="643">
        <f>K31/$K$5</f>
        <v>0.0058809193309966</v>
      </c>
    </row>
    <row r="32" ht="22.5" customHeight="1" s="595">
      <c r="B32" s="205" t="inlineStr">
        <is>
          <t>雑費</t>
        </is>
      </c>
      <c r="C32" s="624" t="n"/>
      <c r="D32" s="643" t="n"/>
      <c r="E32" s="609" t="n">
        <v>4521805</v>
      </c>
      <c r="F32" s="643">
        <f>E32/$E$5</f>
        <v>0.00383695106528682</v>
      </c>
      <c r="G32" s="609" t="n">
        <v>4393320</v>
      </c>
      <c r="H32" s="643">
        <f>G32/$G$5</f>
        <v>0.0037170183910224</v>
      </c>
      <c r="I32" s="609" t="n">
        <v>4689970</v>
      </c>
      <c r="J32" s="643">
        <f>I32/$I$5</f>
        <v>0.0039217295736782</v>
      </c>
      <c r="K32" s="609" t="n">
        <v>1899133</v>
      </c>
      <c r="L32" s="643">
        <f>K32/$K$5</f>
        <v>0.00305655390581104</v>
      </c>
    </row>
    <row r="33" hidden="1" ht="22.5" customHeight="1" s="595">
      <c r="B33" s="205" t="n"/>
      <c r="C33" s="624" t="n"/>
      <c r="D33" s="643" t="n"/>
      <c r="E33" s="609" t="n"/>
      <c r="F33" s="643">
        <f>E33/$E$5</f>
        <v>0</v>
      </c>
      <c r="G33" s="609" t="n"/>
      <c r="H33" s="643">
        <f>G33/$G$5</f>
        <v>0</v>
      </c>
      <c r="I33" s="609" t="n"/>
      <c r="J33" s="643">
        <f>I33/$I$5</f>
        <v>0</v>
      </c>
      <c r="K33" s="609" t="n"/>
      <c r="L33" s="643">
        <f>K33/$K$5</f>
        <v>0</v>
      </c>
    </row>
    <row r="34" ht="22.5" customHeight="1" s="595">
      <c r="B34" s="205" t="inlineStr">
        <is>
          <t>消費税引当金</t>
        </is>
      </c>
      <c r="C34" s="624" t="n"/>
      <c r="D34" s="643" t="n"/>
      <c r="E34" s="609" t="n"/>
      <c r="F34" s="643">
        <f>E34/$E$5</f>
        <v>0</v>
      </c>
      <c r="G34" s="609" t="n"/>
      <c r="H34" s="643">
        <f>G34/$G$5</f>
        <v>0</v>
      </c>
      <c r="I34" s="609" t="n"/>
      <c r="J34" s="643">
        <f>I34/$I$5</f>
        <v>0</v>
      </c>
      <c r="K34" s="609" t="n">
        <v>3023000</v>
      </c>
      <c r="L34" s="643">
        <f>K34/$K$5</f>
        <v>0.004865358275206</v>
      </c>
    </row>
    <row r="35" hidden="1" ht="22.5" customHeight="1" s="595">
      <c r="B35" s="205" t="n"/>
      <c r="C35" s="624" t="n"/>
      <c r="D35" s="643" t="n"/>
      <c r="E35" s="609" t="n"/>
      <c r="F35" s="643">
        <f>E35/$E$5</f>
        <v>0</v>
      </c>
      <c r="G35" s="609" t="n"/>
      <c r="H35" s="643">
        <f>G35/$G$5</f>
        <v>0</v>
      </c>
      <c r="I35" s="609" t="n"/>
      <c r="J35" s="643">
        <f>I35/$I$5</f>
        <v>0</v>
      </c>
      <c r="K35" s="609" t="n"/>
      <c r="L35" s="643">
        <f>K35/$K$5</f>
        <v>0</v>
      </c>
    </row>
    <row r="36" hidden="1" ht="22.5" customHeight="1" s="595">
      <c r="B36" s="205" t="n"/>
      <c r="C36" s="624" t="n"/>
      <c r="D36" s="643" t="n"/>
      <c r="E36" s="609" t="n"/>
      <c r="F36" s="643">
        <f>E36/$E$5</f>
        <v>0</v>
      </c>
      <c r="G36" s="609" t="n"/>
      <c r="H36" s="643">
        <f>G36/$G$5</f>
        <v>0</v>
      </c>
      <c r="I36" s="609" t="n"/>
      <c r="J36" s="643">
        <f>I36/$I$5</f>
        <v>0</v>
      </c>
      <c r="K36" s="609" t="n"/>
      <c r="L36" s="643">
        <f>K36/$K$5</f>
        <v>0</v>
      </c>
    </row>
    <row r="37" hidden="1" ht="22.5" customHeight="1" s="595">
      <c r="B37" s="205" t="n"/>
      <c r="C37" s="624" t="n"/>
      <c r="D37" s="643" t="n"/>
      <c r="E37" s="609" t="n"/>
      <c r="F37" s="643">
        <f>E37/$E$5</f>
        <v>0</v>
      </c>
      <c r="G37" s="609" t="n"/>
      <c r="H37" s="643">
        <f>G37/$G$5</f>
        <v>0</v>
      </c>
      <c r="I37" s="609" t="n"/>
      <c r="J37" s="643">
        <f>I37/$I$5</f>
        <v>0</v>
      </c>
      <c r="K37" s="609" t="n"/>
      <c r="L37" s="643">
        <f>K37/$K$5</f>
        <v>0</v>
      </c>
    </row>
    <row r="38" hidden="1" ht="22.5" customHeight="1" s="595">
      <c r="B38" s="205" t="n"/>
      <c r="C38" s="624" t="n"/>
      <c r="D38" s="643" t="n"/>
      <c r="E38" s="609" t="n"/>
      <c r="F38" s="643">
        <f>E38/$E$5</f>
        <v>0</v>
      </c>
      <c r="G38" s="609" t="n"/>
      <c r="H38" s="643">
        <f>G38/$G$5</f>
        <v>0</v>
      </c>
      <c r="I38" s="609" t="n"/>
      <c r="J38" s="643">
        <f>I38/$I$5</f>
        <v>0</v>
      </c>
      <c r="K38" s="609" t="n"/>
      <c r="L38" s="643">
        <f>K38/$K$5</f>
        <v>0</v>
      </c>
    </row>
    <row r="39" hidden="1" ht="22.5" customHeight="1" s="595">
      <c r="B39" s="205" t="n"/>
      <c r="C39" s="624" t="n"/>
      <c r="D39" s="643" t="n"/>
      <c r="E39" s="609" t="n"/>
      <c r="F39" s="643">
        <f>E39/$E$5</f>
        <v>0</v>
      </c>
      <c r="G39" s="609" t="n"/>
      <c r="H39" s="643">
        <f>G39/$G$5</f>
        <v>0</v>
      </c>
      <c r="I39" s="609" t="n"/>
      <c r="J39" s="643">
        <f>I39/$I$5</f>
        <v>0</v>
      </c>
      <c r="K39" s="609" t="n"/>
      <c r="L39" s="643">
        <f>K39/$K$5</f>
        <v>0</v>
      </c>
    </row>
    <row r="40" ht="22.5" customHeight="1" s="595">
      <c r="B40" s="216" t="inlineStr">
        <is>
          <t>販売費および一般管理費合計</t>
        </is>
      </c>
      <c r="C40" s="675">
        <f>SUM(C6:C39)</f>
        <v>0</v>
      </c>
      <c r="D40" s="676" t="n"/>
      <c r="E40" s="677">
        <f>SUM(E6:E39)</f>
        <v>214823441</v>
      </c>
      <c r="F40" s="676">
        <f>E40/E5</f>
        <v>0.182287168684525</v>
      </c>
      <c r="G40" s="677">
        <f>SUM(G6:G39)</f>
        <v>215718454</v>
      </c>
      <c r="H40" s="676">
        <f>G40/G5</f>
        <v>0.182511053326623</v>
      </c>
      <c r="I40" s="677">
        <f>SUM(I6:I39)</f>
        <v>193151054</v>
      </c>
      <c r="J40" s="676">
        <f>I40/I5</f>
        <v>0.161511950110324</v>
      </c>
      <c r="K40" s="677">
        <f>SUM(K6:K39)</f>
        <v>85746239</v>
      </c>
      <c r="L40" s="676">
        <f>K40/K5</f>
        <v>0.138004026955488</v>
      </c>
    </row>
    <row r="41">
      <c r="B41" s="175" t="n"/>
      <c r="C41" s="671" t="n"/>
      <c r="D41" s="182" t="n"/>
      <c r="E41" s="673" t="n"/>
      <c r="F41" s="182" t="n"/>
      <c r="G41" s="673" t="n"/>
      <c r="H41" s="182" t="n"/>
      <c r="I41" s="673" t="n"/>
      <c r="J41" s="182" t="n"/>
      <c r="K41" s="673" t="n"/>
      <c r="L41" s="182" t="n"/>
    </row>
    <row r="42">
      <c r="B42" s="175" t="inlineStr">
        <is>
          <t>決算書・試算表の販管費計</t>
        </is>
      </c>
      <c r="C42" s="671" t="n"/>
      <c r="D42" s="182" t="n"/>
      <c r="E42" s="678" t="n">
        <v>214823441</v>
      </c>
      <c r="F42" s="182" t="n"/>
      <c r="G42" s="678" t="n">
        <v>215718454</v>
      </c>
      <c r="H42" s="182" t="n"/>
      <c r="I42" s="678" t="n">
        <v>193151054</v>
      </c>
      <c r="J42" s="182" t="n"/>
      <c r="K42" s="678" t="n">
        <v>85746239</v>
      </c>
      <c r="L42" s="182" t="n"/>
    </row>
    <row r="43">
      <c r="B43" s="175" t="inlineStr">
        <is>
          <t>チェック</t>
        </is>
      </c>
      <c r="C43" s="671" t="n"/>
      <c r="D43" s="182" t="n"/>
      <c r="E43" s="673">
        <f>EXACT(E40,E42)</f>
        <v>1</v>
      </c>
      <c r="F43" s="182" t="n"/>
      <c r="G43" s="673">
        <f>EXACT(G40,G42)</f>
        <v>1</v>
      </c>
      <c r="H43" s="182" t="n"/>
      <c r="I43" s="673">
        <f>EXACT(I40,I42)</f>
        <v>1</v>
      </c>
      <c r="J43" s="182" t="n"/>
      <c r="K43" s="673">
        <f>EXACT(K40,K42)</f>
        <v>1</v>
      </c>
      <c r="L43" s="182" t="n"/>
    </row>
    <row r="44">
      <c r="B44" s="175" t="n"/>
      <c r="C44" s="671" t="n"/>
      <c r="D44" s="182" t="n"/>
      <c r="E44" s="673" t="n"/>
      <c r="F44" s="182" t="n"/>
      <c r="G44" s="673" t="n"/>
      <c r="H44" s="182" t="n"/>
      <c r="I44" s="673" t="n"/>
      <c r="J44" s="182" t="n"/>
      <c r="K44" s="673" t="n"/>
      <c r="L44" s="182" t="n"/>
    </row>
    <row r="45">
      <c r="B45" s="679" t="inlineStr">
        <is>
          <t>※2026/3期（I列）の賞与〜広告宣伝費は記入時に1行ずれていたため決算書の内訳に合わせて修正（賞与0、退職金共済掛金3,026千円、退職金747千円、法定福利費13,296千円、福利厚生費460千円、広告宣伝費89千円）。</t>
        </is>
      </c>
      <c r="C45" s="671" t="n"/>
      <c r="D45" s="182" t="n"/>
      <c r="E45" s="673" t="n"/>
      <c r="F45" s="182" t="n"/>
      <c r="G45" s="673" t="n"/>
      <c r="H45" s="182" t="n"/>
      <c r="I45" s="673" t="n"/>
      <c r="J45" s="182" t="n"/>
      <c r="K45" s="673" t="n"/>
      <c r="L45" s="182" t="n"/>
    </row>
    <row r="46">
      <c r="B46" s="679" t="inlineStr">
        <is>
          <t>※消費税は税込経理。決算では納付額を租税公課、試算表では消費税引当金に計上。進行期（K列）は2026年4〜9月の6か月累計。</t>
        </is>
      </c>
      <c r="C46" s="671" t="n"/>
      <c r="D46" s="182" t="n"/>
      <c r="E46" s="673" t="n"/>
      <c r="F46" s="182" t="n"/>
      <c r="G46" s="673" t="n"/>
      <c r="H46" s="182" t="n"/>
      <c r="I46" s="673" t="n"/>
      <c r="J46" s="182" t="n"/>
      <c r="K46" s="673" t="n"/>
      <c r="L46" s="182" t="n"/>
    </row>
    <row r="47">
      <c r="B47" s="175" t="n"/>
      <c r="C47" s="671" t="n"/>
      <c r="D47" s="182" t="n"/>
      <c r="E47" s="673" t="n"/>
      <c r="F47" s="182" t="n"/>
      <c r="G47" s="673" t="n"/>
      <c r="H47" s="182" t="n"/>
      <c r="I47" s="673" t="n"/>
      <c r="J47" s="182" t="n"/>
      <c r="K47" s="673" t="n"/>
      <c r="L47" s="182" t="n"/>
    </row>
    <row r="48">
      <c r="B48" s="175" t="n"/>
      <c r="C48" s="671" t="n"/>
      <c r="D48" s="182" t="n"/>
      <c r="E48" s="673" t="n"/>
      <c r="F48" s="182" t="n"/>
      <c r="G48" s="673" t="n"/>
      <c r="H48" s="182" t="n"/>
      <c r="I48" s="673" t="n"/>
      <c r="J48" s="182" t="n"/>
      <c r="K48" s="673" t="n"/>
      <c r="L48" s="182" t="n"/>
    </row>
    <row r="49">
      <c r="C49" s="614" t="n"/>
      <c r="E49" s="614" t="n"/>
      <c r="G49" s="614" t="n"/>
      <c r="I49" s="636" t="n"/>
      <c r="K49" s="614" t="n"/>
    </row>
    <row r="50">
      <c r="C50" s="614" t="n"/>
      <c r="E50" s="614" t="n"/>
      <c r="G50" s="614" t="n"/>
      <c r="I50" s="636" t="n"/>
      <c r="K50" s="614" t="n"/>
    </row>
    <row r="51">
      <c r="C51" s="614" t="n"/>
      <c r="E51" s="614" t="n"/>
      <c r="G51" s="614" t="n"/>
      <c r="I51" s="636" t="n"/>
      <c r="K51" s="614" t="n"/>
    </row>
    <row r="52">
      <c r="C52" s="614" t="n"/>
      <c r="E52" s="614" t="n"/>
      <c r="G52" s="614" t="n"/>
      <c r="I52" s="636" t="n"/>
      <c r="K52" s="614" t="n"/>
    </row>
    <row r="53">
      <c r="C53" s="614" t="n"/>
      <c r="E53" s="614" t="n"/>
      <c r="G53" s="614" t="n"/>
      <c r="I53" s="636" t="n"/>
      <c r="K53" s="614" t="n"/>
    </row>
    <row r="54">
      <c r="C54" s="614" t="n"/>
      <c r="E54" s="614" t="n"/>
    </row>
  </sheetData>
  <mergeCells count="5">
    <mergeCell ref="B3:B4"/>
    <mergeCell ref="G3:H3"/>
    <mergeCell ref="E3:F3"/>
    <mergeCell ref="K3:L3"/>
    <mergeCell ref="I3:J3"/>
  </mergeCells>
  <pageMargins left="0.7" right="0.7" top="0.75" bottom="0.75" header="0.3" footer="0.3"/>
</worksheet>
</file>

<file path=xl/worksheets/sheet8.xml><?xml version="1.0" encoding="utf-8"?>
<worksheet xmlns="http://schemas.openxmlformats.org/spreadsheetml/2006/main">
  <sheetPr>
    <tabColor theme="7" tint="-0.499984740745262"/>
    <outlinePr summaryBelow="1" summaryRight="1"/>
    <pageSetUpPr/>
  </sheetPr>
  <dimension ref="A1:A1"/>
  <sheetViews>
    <sheetView showGridLines="0" workbookViewId="0">
      <selection activeCell="J21" sqref="J21"/>
    </sheetView>
  </sheetViews>
  <sheetFormatPr baseColWidth="8" defaultRowHeight="18"/>
  <sheetData/>
  <pageMargins left="0.7" right="0.7" top="0.75" bottom="0.75" header="0.3" footer="0.3"/>
</worksheet>
</file>

<file path=xl/worksheets/sheet9.xml><?xml version="1.0" encoding="utf-8"?>
<worksheet xmlns="http://schemas.openxmlformats.org/spreadsheetml/2006/main">
  <sheetPr>
    <tabColor rgb="FF00B0F0"/>
    <outlinePr summaryBelow="1" summaryRight="1"/>
    <pageSetUpPr/>
  </sheetPr>
  <dimension ref="A1:I6"/>
  <sheetViews>
    <sheetView showGridLines="0" zoomScaleNormal="100" workbookViewId="0">
      <selection activeCell="I4" sqref="I4"/>
    </sheetView>
  </sheetViews>
  <sheetFormatPr baseColWidth="8" defaultRowHeight="18"/>
  <cols>
    <col width="18.625" customWidth="1" style="595" min="2" max="6"/>
  </cols>
  <sheetData>
    <row r="1">
      <c r="A1" s="409" t="inlineStr">
        <is>
          <t>作業不要（自動作成）</t>
        </is>
      </c>
    </row>
    <row r="2" ht="18.75" customHeight="1" s="595">
      <c r="F2" s="73" t="inlineStr">
        <is>
          <t>(単位：千円)</t>
        </is>
      </c>
    </row>
    <row r="3" ht="21.95" customHeight="1" s="595">
      <c r="B3" s="395" t="n"/>
      <c r="C3" s="407" t="inlineStr">
        <is>
          <t>min</t>
        </is>
      </c>
      <c r="D3" s="445" t="inlineStr">
        <is>
          <t>差（グラフ作成用）</t>
        </is>
      </c>
      <c r="E3" s="408" t="inlineStr">
        <is>
          <t>max</t>
        </is>
      </c>
      <c r="F3" s="408" t="n"/>
    </row>
    <row r="4" ht="32.1" customHeight="1" s="595">
      <c r="B4" s="429" t="inlineStr">
        <is>
          <t>インカム</t>
        </is>
      </c>
      <c r="C4" s="680" t="n">
        <v>0</v>
      </c>
      <c r="D4" s="681" t="n">
        <v>0</v>
      </c>
      <c r="E4" s="681" t="n">
        <v>0</v>
      </c>
      <c r="F4" s="680" t="n">
        <v>100</v>
      </c>
      <c r="I4" s="0" t="inlineStr">
        <is>
          <t>ｚ</t>
        </is>
      </c>
    </row>
    <row r="5" ht="32.1" customHeight="1" s="595">
      <c r="B5" s="429" t="inlineStr">
        <is>
          <t>マーケット</t>
        </is>
      </c>
      <c r="C5" s="681">
        <f>'EV EBITDAマルチプル'!K7</f>
        <v>-87379098.1075</v>
      </c>
      <c r="D5" s="682">
        <f>E5-C5</f>
        <v>37467416.595</v>
      </c>
      <c r="E5" s="681">
        <f>'EV EBITDAマルチプル'!M7</f>
        <v>-49911681.5125</v>
      </c>
      <c r="F5" s="680" t="n">
        <v>0</v>
      </c>
    </row>
    <row r="6" ht="32.1" customHeight="1" s="595">
      <c r="B6" s="419" t="inlineStr">
        <is>
          <t>コスト</t>
        </is>
      </c>
      <c r="C6" s="680">
        <f>年買法!K6</f>
        <v>65761604.0490714</v>
      </c>
      <c r="D6" s="682">
        <f>E6-C6</f>
        <v>20886293.241</v>
      </c>
      <c r="E6" s="680">
        <f>年買法!M6</f>
        <v>86647897.2900714</v>
      </c>
      <c r="F6" s="680" t="n">
        <v>0</v>
      </c>
    </row>
    <row r="7" ht="32.1" customHeight="1" s="595"/>
    <row r="8" ht="15.6" customHeight="1" s="595"/>
    <row r="9" ht="32.1" customHeight="1" s="595"/>
  </sheetData>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theme="7"/>
    <outlinePr summaryBelow="1" summaryRight="1"/>
    <pageSetUpPr/>
  </sheetPr>
  <dimension ref="B2:F119"/>
  <sheetViews>
    <sheetView showGridLines="0" zoomScale="85" zoomScaleNormal="85" workbookViewId="0">
      <pane ySplit="4" topLeftCell="A47" activePane="bottomLeft" state="frozen"/>
      <selection pane="bottomLeft" activeCell="A61" sqref="A61"/>
    </sheetView>
  </sheetViews>
  <sheetFormatPr baseColWidth="8" defaultRowHeight="18"/>
  <cols>
    <col width="28" bestFit="1" customWidth="1" style="182" min="2" max="2"/>
    <col width="16.125" customWidth="1" style="595" min="3" max="5"/>
  </cols>
  <sheetData>
    <row r="2" ht="18.75" customHeight="1" s="595">
      <c r="E2" s="73" t="inlineStr">
        <is>
          <t>(単位：千円)</t>
        </is>
      </c>
    </row>
    <row r="3" ht="28.35" customHeight="1" s="595" thickBot="1">
      <c r="B3" s="183" t="inlineStr">
        <is>
          <t>資産の部</t>
        </is>
      </c>
      <c r="C3" s="173" t="n"/>
      <c r="D3" s="173" t="n"/>
      <c r="E3" s="174" t="n"/>
    </row>
    <row r="4" ht="19.5" customHeight="1" s="595">
      <c r="B4" s="184" t="inlineStr">
        <is>
          <t>科目</t>
        </is>
      </c>
      <c r="C4" s="236" t="str">
        <f>'BS(借方)'!F4</f>
        <v>26年3月期</v>
      </c>
      <c r="D4" s="253" t="inlineStr">
        <is>
          <t>修正額</t>
        </is>
      </c>
      <c r="E4" s="264" t="inlineStr">
        <is>
          <t>修正後</t>
        </is>
      </c>
    </row>
    <row r="5" ht="22.5" customHeight="1" s="595">
      <c r="B5" s="169" t="inlineStr">
        <is>
          <t>【流動資産】</t>
        </is>
      </c>
      <c r="C5" s="596">
        <f>SUM(C6:C19)</f>
        <v>249704912</v>
      </c>
      <c r="D5" s="596">
        <f>SUM(D6:D19)</f>
        <v>203000</v>
      </c>
      <c r="E5" s="597">
        <f>C5+D5</f>
        <v>249907912</v>
      </c>
    </row>
    <row r="6" ht="22.5" customHeight="1" s="595">
      <c r="B6" s="323" t="str">
        <f>'BS(借方)'!B6</f>
        <v>現金及び預金</v>
      </c>
      <c r="C6" s="598">
        <f>'BS(借方)'!F6</f>
        <v>210887077</v>
      </c>
      <c r="D6" s="598" t="n"/>
      <c r="E6" s="599">
        <f>C6+D6</f>
        <v>210887077</v>
      </c>
    </row>
    <row r="7" ht="22.5" customHeight="1" s="595">
      <c r="B7" s="323" t="str">
        <f>'BS(借方)'!B7</f>
        <v>売掛金</v>
      </c>
      <c r="C7" s="598">
        <f>'BS(借方)'!F7</f>
        <v>19608899</v>
      </c>
      <c r="D7" s="598" t="n"/>
      <c r="E7" s="599">
        <f>C7+D7</f>
        <v>19608899</v>
      </c>
    </row>
    <row r="8" ht="22.5" customHeight="1" s="595">
      <c r="B8" s="323" t="str">
        <f>'BS(借方)'!B8</f>
        <v>資材肥料売掛金</v>
      </c>
      <c r="C8" s="598">
        <f>'BS(借方)'!F8</f>
        <v>1227419</v>
      </c>
      <c r="D8" s="598" t="n"/>
      <c r="E8" s="599">
        <f>C8+D8</f>
        <v>1227419</v>
      </c>
    </row>
    <row r="9" ht="22.5" customHeight="1" s="595">
      <c r="B9" s="323" t="str">
        <f>'BS(借方)'!B9</f>
        <v>棚卸資産</v>
      </c>
      <c r="C9" s="598">
        <f>'BS(借方)'!F9</f>
        <v>14596695</v>
      </c>
      <c r="D9" s="598" t="n"/>
      <c r="E9" s="599">
        <f>C9+D9</f>
        <v>14596695</v>
      </c>
    </row>
    <row r="10" ht="22.5" customHeight="1" s="595">
      <c r="B10" s="323" t="str">
        <f>'BS(借方)'!B10</f>
        <v>立替金</v>
      </c>
      <c r="C10" s="598">
        <f>'BS(借方)'!F10</f>
        <v>0</v>
      </c>
      <c r="D10" s="598" t="n"/>
      <c r="E10" s="599">
        <f>C10+D10</f>
        <v>0</v>
      </c>
    </row>
    <row r="11" ht="22.5" customHeight="1" s="595">
      <c r="B11" s="323" t="str">
        <f>'BS(借方)'!B11</f>
        <v>未収入金</v>
      </c>
      <c r="C11" s="598">
        <f>'BS(借方)'!F11</f>
        <v>3011112</v>
      </c>
      <c r="D11" s="598" t="n"/>
      <c r="E11" s="599">
        <f>C11+D11</f>
        <v>3011112</v>
      </c>
    </row>
    <row r="12" ht="22.5" customHeight="1" s="595">
      <c r="B12" s="323" t="str">
        <f>'BS(借方)'!B12</f>
        <v>仮払金</v>
      </c>
      <c r="C12" s="598">
        <f>'BS(借方)'!F12</f>
        <v>493135</v>
      </c>
      <c r="D12" s="598" t="n"/>
      <c r="E12" s="599">
        <f>C12+D12</f>
        <v>493135</v>
      </c>
    </row>
    <row r="13" ht="22.5" customHeight="1" s="595">
      <c r="B13" s="323" t="str">
        <f>'BS(借方)'!B13</f>
        <v>前払費用</v>
      </c>
      <c r="C13" s="598">
        <f>'BS(借方)'!F13</f>
        <v>83575</v>
      </c>
      <c r="D13" s="598" t="n"/>
      <c r="E13" s="599">
        <f>C13+D13</f>
        <v>83575</v>
      </c>
    </row>
    <row r="14" ht="22.5" customHeight="1" s="595">
      <c r="B14" s="323" t="str">
        <f>'BS(借方)'!B14</f>
        <v>仮払税金等</v>
      </c>
      <c r="C14" s="598">
        <f>'BS(借方)'!F14</f>
        <v>0</v>
      </c>
      <c r="D14" s="598" t="n"/>
      <c r="E14" s="599">
        <f>C14+D14</f>
        <v>0</v>
      </c>
    </row>
    <row r="15" ht="22.5" customHeight="1" s="595">
      <c r="B15" s="323" t="str">
        <f>'BS(借方)'!B15</f>
        <v>貸倒引当金</v>
      </c>
      <c r="C15" s="598">
        <f>'BS(借方)'!F15</f>
        <v>-203000</v>
      </c>
      <c r="D15" s="598" t="n">
        <v>203000</v>
      </c>
      <c r="E15" s="599">
        <f>C15+D15</f>
        <v>0</v>
      </c>
      <c r="F15" t="inlineStr">
        <is>
          <t>個別に回収可能性を判断するため全額戻入（貸倒実績は要確認）</t>
        </is>
      </c>
    </row>
    <row r="16" ht="22.5" customHeight="1" s="595">
      <c r="B16" s="323">
        <f>'BS(借方)'!B16</f>
        <v>0</v>
      </c>
      <c r="C16" s="598">
        <f>'BS(借方)'!F16</f>
        <v>0</v>
      </c>
      <c r="D16" s="598" t="n"/>
      <c r="E16" s="599">
        <f>C16+D16</f>
        <v>0</v>
      </c>
    </row>
    <row r="17" ht="22.5" customHeight="1" s="595">
      <c r="B17" s="323">
        <f>'BS(借方)'!B17</f>
        <v>0</v>
      </c>
      <c r="C17" s="598">
        <f>'BS(借方)'!F17</f>
        <v>0</v>
      </c>
      <c r="D17" s="598" t="n"/>
      <c r="E17" s="599">
        <f>C17+D17</f>
        <v>0</v>
      </c>
    </row>
    <row r="18" ht="22.5" customHeight="1" s="595">
      <c r="B18" s="323">
        <f>'BS(借方)'!B18</f>
        <v>0</v>
      </c>
      <c r="C18" s="598">
        <f>'BS(借方)'!F18</f>
        <v>0</v>
      </c>
      <c r="D18" s="598" t="n"/>
      <c r="E18" s="599">
        <f>C18+D18</f>
        <v>0</v>
      </c>
    </row>
    <row r="19" ht="22.5" customHeight="1" s="595">
      <c r="B19" s="324" t="n"/>
      <c r="C19" s="620" t="n"/>
      <c r="D19" s="620" t="n"/>
      <c r="E19" s="599">
        <f>C19+D19</f>
        <v>0</v>
      </c>
    </row>
    <row r="20" ht="22.5" customHeight="1" s="595">
      <c r="B20" s="169" t="inlineStr">
        <is>
          <t>【固定資産】</t>
        </is>
      </c>
      <c r="C20" s="683">
        <f>C21+C35+C46</f>
        <v>235485192</v>
      </c>
      <c r="D20" s="683">
        <f>D21+D35+D46</f>
        <v>-20225823.5714286</v>
      </c>
      <c r="E20" s="684">
        <f>C20+D20</f>
        <v>215259368.428571</v>
      </c>
    </row>
    <row r="21" ht="22.5" customHeight="1" s="595">
      <c r="B21" s="327" t="inlineStr">
        <is>
          <t>［有形固定資産］</t>
        </is>
      </c>
      <c r="C21" s="608">
        <f>SUM(C22:C34)</f>
        <v>196905728</v>
      </c>
      <c r="D21" s="608">
        <f>SUM(D22:D34)</f>
        <v>-25312228.5714286</v>
      </c>
      <c r="E21" s="685">
        <f>C21+D21</f>
        <v>171593499.428571</v>
      </c>
    </row>
    <row r="22" ht="22.5" customHeight="1" s="595">
      <c r="B22" s="323" t="str">
        <f>'BS(借方)'!B22</f>
        <v>建物</v>
      </c>
      <c r="C22" s="598">
        <f>'BS(借方)'!F22</f>
        <v>92065694</v>
      </c>
      <c r="D22" s="598" t="n"/>
      <c r="E22" s="599">
        <f>C22+D22</f>
        <v>92065694</v>
      </c>
    </row>
    <row r="23" ht="22.5" customHeight="1" s="595">
      <c r="B23" s="323" t="str">
        <f>'BS(借方)'!B23</f>
        <v>建物付属設備</v>
      </c>
      <c r="C23" s="598">
        <f>'BS(借方)'!F23</f>
        <v>11399836</v>
      </c>
      <c r="D23" s="598" t="n"/>
      <c r="E23" s="599">
        <f>C23+D23</f>
        <v>11399836</v>
      </c>
    </row>
    <row r="24" ht="22.5" customHeight="1" s="595">
      <c r="B24" s="323" t="str">
        <f>'BS(借方)'!B24</f>
        <v>構築物</v>
      </c>
      <c r="C24" s="598">
        <f>'BS(借方)'!F24</f>
        <v>284395</v>
      </c>
      <c r="D24" s="598" t="n"/>
      <c r="E24" s="599">
        <f>C24+D24</f>
        <v>284395</v>
      </c>
    </row>
    <row r="25" ht="22.5" customHeight="1" s="595">
      <c r="B25" s="323" t="str">
        <f>'BS(借方)'!B25</f>
        <v>機械装置</v>
      </c>
      <c r="C25" s="598">
        <f>'BS(借方)'!F25</f>
        <v>2</v>
      </c>
      <c r="D25" s="598" t="n"/>
      <c r="E25" s="599">
        <f>C25+D25</f>
        <v>2</v>
      </c>
    </row>
    <row r="26" ht="22.5" customHeight="1" s="595">
      <c r="B26" s="323" t="str">
        <f>'BS(借方)'!B26</f>
        <v>車両運搬具</v>
      </c>
      <c r="C26" s="598">
        <f>'BS(借方)'!F26</f>
        <v>15</v>
      </c>
      <c r="D26" s="598" t="n"/>
      <c r="E26" s="599">
        <f>C26+D26</f>
        <v>15</v>
      </c>
    </row>
    <row r="27" ht="22.5" customHeight="1" s="595">
      <c r="B27" s="323" t="str">
        <f>'BS(借方)'!B27</f>
        <v>工具器具備品</v>
      </c>
      <c r="C27" s="598">
        <f>'BS(借方)'!F27</f>
        <v>18546</v>
      </c>
      <c r="D27" s="598" t="n"/>
      <c r="E27" s="599">
        <f>C27+D27</f>
        <v>18546</v>
      </c>
    </row>
    <row r="28" ht="22.5" customHeight="1" s="595">
      <c r="B28" s="323" t="str">
        <f>'BS(借方)'!B28</f>
        <v>土地</v>
      </c>
      <c r="C28" s="598">
        <f>'BS(借方)'!F28</f>
        <v>93137240</v>
      </c>
      <c r="D28" s="598">
        <f>土地!E8</f>
        <v>-25312228.5714286</v>
      </c>
      <c r="E28" s="599">
        <f>C28+D28</f>
        <v>67825011.4285714</v>
      </c>
      <c r="F28" t="inlineStr">
        <is>
          <t>固定資産税評価額（R8年度）÷0.7で時価を推計（「土地」シート）</t>
        </is>
      </c>
    </row>
    <row r="29" ht="22.5" customHeight="1" s="595">
      <c r="B29" s="323" t="str">
        <f>'BS(借方)'!B29</f>
        <v>減価償却累計額</v>
      </c>
      <c r="C29" s="598">
        <f>'BS(借方)'!F29</f>
        <v>0</v>
      </c>
      <c r="D29" s="598" t="n"/>
      <c r="E29" s="599">
        <f>C29+D29</f>
        <v>0</v>
      </c>
    </row>
    <row r="30" ht="22.5" customHeight="1" s="595">
      <c r="B30" s="323">
        <f>'BS(借方)'!B30</f>
        <v>0</v>
      </c>
      <c r="C30" s="598">
        <f>'BS(借方)'!F30</f>
        <v>0</v>
      </c>
      <c r="D30" s="598" t="n"/>
      <c r="E30" s="599">
        <f>C30+D30</f>
        <v>0</v>
      </c>
    </row>
    <row r="31" ht="22.5" customHeight="1" s="595">
      <c r="B31" s="323">
        <f>'BS(借方)'!B31</f>
        <v>0</v>
      </c>
      <c r="C31" s="598">
        <f>'BS(借方)'!F31</f>
        <v>0</v>
      </c>
      <c r="D31" s="598" t="n"/>
      <c r="E31" s="599">
        <f>C31+D31</f>
        <v>0</v>
      </c>
    </row>
    <row r="32" ht="22.5" customHeight="1" s="595">
      <c r="B32" s="323">
        <f>'BS(借方)'!B32</f>
        <v>0</v>
      </c>
      <c r="C32" s="598">
        <f>'BS(借方)'!F32</f>
        <v>0</v>
      </c>
      <c r="D32" s="598" t="n"/>
      <c r="E32" s="599">
        <f>C32+D32</f>
        <v>0</v>
      </c>
    </row>
    <row r="33" ht="22.5" customHeight="1" s="595">
      <c r="B33" s="323">
        <f>'BS(借方)'!B33</f>
        <v>0</v>
      </c>
      <c r="C33" s="598">
        <f>'BS(借方)'!F33</f>
        <v>0</v>
      </c>
      <c r="D33" s="598" t="n"/>
      <c r="E33" s="599">
        <f>C33+D33</f>
        <v>0</v>
      </c>
    </row>
    <row r="34" ht="22.5" customHeight="1" s="595">
      <c r="B34" s="324" t="n"/>
      <c r="C34" s="620" t="n"/>
      <c r="D34" s="620" t="n"/>
      <c r="E34" s="599">
        <f>C34+D34</f>
        <v>0</v>
      </c>
    </row>
    <row r="35" ht="22.5" customHeight="1" s="595">
      <c r="B35" s="327" t="inlineStr">
        <is>
          <t>［無形固定資産］</t>
        </is>
      </c>
      <c r="C35" s="686">
        <f>SUM(C36:C45)</f>
        <v>2527395</v>
      </c>
      <c r="D35" s="687">
        <f>SUM(D36:D45)</f>
        <v>-2155595</v>
      </c>
      <c r="E35" s="688">
        <f>C35+D35</f>
        <v>371800</v>
      </c>
    </row>
    <row r="36" ht="22.35" customHeight="1" s="595">
      <c r="B36" s="323" t="str">
        <f>'BS(借方)'!B36</f>
        <v>電話加入権</v>
      </c>
      <c r="C36" s="598">
        <f>'BS(借方)'!F36</f>
        <v>2155595</v>
      </c>
      <c r="D36" s="598" t="n">
        <v>-2155595</v>
      </c>
      <c r="E36" s="599">
        <f>C36+D36</f>
        <v>0</v>
      </c>
      <c r="F36" t="inlineStr">
        <is>
          <t>換金価値なしとしてゼロ評価</t>
        </is>
      </c>
    </row>
    <row r="37" ht="22.35" customHeight="1" s="595">
      <c r="B37" s="323" t="str">
        <f>'BS(借方)'!B37</f>
        <v>ソフトウェア</v>
      </c>
      <c r="C37" s="598">
        <f>'BS(借方)'!F37</f>
        <v>371800</v>
      </c>
      <c r="D37" s="598" t="n"/>
      <c r="E37" s="599">
        <f>C37+D37</f>
        <v>371800</v>
      </c>
    </row>
    <row r="38" ht="22.35" customHeight="1" s="595">
      <c r="B38" s="323">
        <f>'BS(借方)'!B38</f>
        <v>0</v>
      </c>
      <c r="C38" s="598">
        <f>'BS(借方)'!F38</f>
        <v>0</v>
      </c>
      <c r="D38" s="598" t="n"/>
      <c r="E38" s="599">
        <f>C38+D38</f>
        <v>0</v>
      </c>
    </row>
    <row r="39" ht="22.35" customHeight="1" s="595">
      <c r="B39" s="323">
        <f>'BS(借方)'!B39</f>
        <v>0</v>
      </c>
      <c r="C39" s="598">
        <f>'BS(借方)'!F39</f>
        <v>0</v>
      </c>
      <c r="D39" s="598" t="n"/>
      <c r="E39" s="599">
        <f>C39+D39</f>
        <v>0</v>
      </c>
    </row>
    <row r="40" ht="22.35" customHeight="1" s="595">
      <c r="B40" s="323">
        <f>'BS(借方)'!B40</f>
        <v>0</v>
      </c>
      <c r="C40" s="598">
        <f>'BS(借方)'!F40</f>
        <v>0</v>
      </c>
      <c r="D40" s="598" t="n"/>
      <c r="E40" s="599">
        <f>C40+D40</f>
        <v>0</v>
      </c>
    </row>
    <row r="41" ht="22.35" customHeight="1" s="595">
      <c r="B41" s="323" t="n"/>
      <c r="C41" s="598" t="n"/>
      <c r="D41" s="598" t="n"/>
      <c r="E41" s="599">
        <f>C41+D41</f>
        <v>0</v>
      </c>
    </row>
    <row r="42" ht="22.35" customHeight="1" s="595">
      <c r="B42" s="323" t="n"/>
      <c r="C42" s="598" t="n"/>
      <c r="D42" s="598" t="n"/>
      <c r="E42" s="599">
        <f>C42+D42</f>
        <v>0</v>
      </c>
    </row>
    <row r="43" ht="22.35" customHeight="1" s="595">
      <c r="B43" s="323" t="n"/>
      <c r="C43" s="598" t="n"/>
      <c r="D43" s="598" t="n"/>
      <c r="E43" s="599">
        <f>C43+D43</f>
        <v>0</v>
      </c>
    </row>
    <row r="44" ht="22.35" customHeight="1" s="595">
      <c r="B44" s="323" t="n"/>
      <c r="C44" s="598" t="n"/>
      <c r="D44" s="598" t="n"/>
      <c r="E44" s="599">
        <f>C44+D44</f>
        <v>0</v>
      </c>
    </row>
    <row r="45" ht="22.35" customHeight="1" s="595">
      <c r="B45" s="324" t="n"/>
      <c r="C45" s="620" t="n"/>
      <c r="D45" s="620" t="n"/>
      <c r="E45" s="599">
        <f>C45+D45</f>
        <v>0</v>
      </c>
    </row>
    <row r="46" ht="22.35" customHeight="1" s="595">
      <c r="B46" s="327" t="inlineStr">
        <is>
          <t>［投資その他資産］</t>
        </is>
      </c>
      <c r="C46" s="689">
        <f>SUM(C47:C54)</f>
        <v>36052069</v>
      </c>
      <c r="D46" s="690">
        <f>SUM(D47:D54)</f>
        <v>7242000</v>
      </c>
      <c r="E46" s="691">
        <f>C46+D46</f>
        <v>43294069</v>
      </c>
    </row>
    <row r="47" ht="22.5" customHeight="1" s="595">
      <c r="B47" s="176" t="str">
        <f>'BS(借方)'!B47</f>
        <v>投資有価証券</v>
      </c>
      <c r="C47" s="598">
        <f>'BS(借方)'!F47</f>
        <v>2600000</v>
      </c>
      <c r="D47" s="598">
        <f>有価証券!E9</f>
        <v>7242000</v>
      </c>
      <c r="E47" s="599">
        <f>C47+D47</f>
        <v>9842000</v>
      </c>
      <c r="F47" t="inlineStr">
        <is>
          <t>フィデアHD株式を時価評価（「有価証券」シート）</t>
        </is>
      </c>
    </row>
    <row r="48" ht="22.5" customHeight="1" s="595">
      <c r="B48" s="176" t="str">
        <f>'BS(借方)'!B48</f>
        <v>出資金</v>
      </c>
      <c r="C48" s="598">
        <f>'BS(借方)'!F48</f>
        <v>75000</v>
      </c>
      <c r="D48" s="598" t="n"/>
      <c r="E48" s="599">
        <f>C48+D48</f>
        <v>75000</v>
      </c>
    </row>
    <row r="49" ht="22.5" customHeight="1" s="595">
      <c r="B49" s="185" t="str">
        <f>'BS(借方)'!B49</f>
        <v>長期前払費用</v>
      </c>
      <c r="C49" s="598">
        <f>'BS(借方)'!F49</f>
        <v>74500</v>
      </c>
      <c r="D49" s="598" t="n"/>
      <c r="E49" s="599">
        <f>C49+D49</f>
        <v>74500</v>
      </c>
    </row>
    <row r="50" ht="22.5" customHeight="1" s="595">
      <c r="B50" s="176" t="str">
        <f>'BS(借方)'!B50</f>
        <v>保証金</v>
      </c>
      <c r="C50" s="598">
        <f>'BS(借方)'!F50</f>
        <v>33302569</v>
      </c>
      <c r="D50" s="598" t="n"/>
      <c r="E50" s="599">
        <f>C50+D50</f>
        <v>33302569</v>
      </c>
    </row>
    <row r="51" ht="22.5" customHeight="1" s="595">
      <c r="B51" s="185" t="str">
        <f>'BS(借方)'!B51</f>
        <v>事業保険積立金</v>
      </c>
      <c r="C51" s="598">
        <f>'BS(借方)'!F51</f>
        <v>0</v>
      </c>
      <c r="D51" s="598" t="n"/>
      <c r="E51" s="599">
        <f>C51+D51</f>
        <v>0</v>
      </c>
    </row>
    <row r="52" ht="22.5" customHeight="1" s="595">
      <c r="B52" s="185">
        <f>'BS(借方)'!B52</f>
        <v>0</v>
      </c>
      <c r="C52" s="598">
        <f>'BS(借方)'!F52</f>
        <v>0</v>
      </c>
      <c r="D52" s="598" t="n"/>
      <c r="E52" s="599">
        <f>C52+D52</f>
        <v>0</v>
      </c>
    </row>
    <row r="53" ht="22.5" customHeight="1" s="595">
      <c r="B53" s="176">
        <f>'BS(借方)'!B53</f>
        <v>0</v>
      </c>
      <c r="C53" s="598">
        <f>'BS(借方)'!F53</f>
        <v>0</v>
      </c>
      <c r="D53" s="598" t="n"/>
      <c r="E53" s="599">
        <f>C53+D53</f>
        <v>0</v>
      </c>
    </row>
    <row r="54" ht="22.5" customHeight="1" s="595">
      <c r="B54" s="176">
        <f>'BS(借方)'!B54</f>
        <v>0</v>
      </c>
      <c r="C54" s="598">
        <f>'BS(借方)'!F54</f>
        <v>0</v>
      </c>
      <c r="D54" s="598" t="n"/>
      <c r="E54" s="599">
        <f>C54+D54</f>
        <v>0</v>
      </c>
    </row>
    <row r="55" ht="22.35" customHeight="1" s="595">
      <c r="B55" s="176" t="n"/>
      <c r="C55" s="598" t="n"/>
      <c r="D55" s="598" t="n"/>
      <c r="E55" s="599">
        <f>C55+D55</f>
        <v>0</v>
      </c>
    </row>
    <row r="56" ht="22.35" customHeight="1" s="595">
      <c r="B56" s="320" t="inlineStr">
        <is>
          <t>【繰延資産】</t>
        </is>
      </c>
      <c r="C56" s="692">
        <f>SUM(C57:C59)</f>
        <v>0</v>
      </c>
      <c r="D56" s="692">
        <f>SUM(D57:D59)</f>
        <v>0</v>
      </c>
      <c r="E56" s="693">
        <f>C56+D56</f>
        <v>0</v>
      </c>
    </row>
    <row r="57" ht="22.35" customHeight="1" s="595">
      <c r="B57" s="176" t="str">
        <f>'BS(借方)'!B57</f>
        <v>繰延資産</v>
      </c>
      <c r="C57" s="694">
        <f>'BS(借方)'!F57</f>
        <v>0</v>
      </c>
      <c r="D57" s="694" t="n"/>
      <c r="E57" s="599">
        <f>C57+D57</f>
        <v>0</v>
      </c>
    </row>
    <row r="58" ht="22.35" customHeight="1" s="595">
      <c r="B58" s="176" t="n"/>
      <c r="C58" s="694" t="n"/>
      <c r="D58" s="694" t="n"/>
      <c r="E58" s="599">
        <f>C58+D58</f>
        <v>0</v>
      </c>
    </row>
    <row r="59" ht="22.35" customHeight="1" s="595">
      <c r="B59" s="314" t="n"/>
      <c r="C59" s="695" t="n"/>
      <c r="D59" s="695" t="n"/>
      <c r="E59" s="696">
        <f>C59+D59</f>
        <v>0</v>
      </c>
    </row>
    <row r="60" ht="22.35" customHeight="1" s="595">
      <c r="B60" s="317" t="inlineStr">
        <is>
          <t>【繰延税金資産】</t>
        </is>
      </c>
      <c r="C60" s="697" t="n">
        <v>0</v>
      </c>
      <c r="D60" s="697" t="n">
        <v>0</v>
      </c>
      <c r="E60" s="698">
        <f>C60+D60</f>
        <v>0</v>
      </c>
    </row>
    <row r="61" ht="22.5" customHeight="1" s="595" thickBot="1">
      <c r="B61" s="186" t="inlineStr">
        <is>
          <t>資産合計</t>
        </is>
      </c>
      <c r="C61" s="699">
        <f>C5+C20+C56+C60</f>
        <v>485190104</v>
      </c>
      <c r="D61" s="699">
        <f>D5+D20+D56+D60</f>
        <v>-20022823.5714286</v>
      </c>
      <c r="E61" s="700">
        <f>C61+D61</f>
        <v>465167280.428571</v>
      </c>
    </row>
    <row r="62">
      <c r="C62" s="701" t="n"/>
      <c r="D62" s="701" t="n"/>
      <c r="E62" s="701" t="n"/>
    </row>
    <row r="63">
      <c r="C63" s="701" t="n"/>
      <c r="D63" s="701" t="n"/>
      <c r="E63" s="701" t="n"/>
    </row>
    <row r="64">
      <c r="C64" s="701" t="n"/>
      <c r="D64" s="701" t="n"/>
      <c r="E64" s="701" t="n"/>
    </row>
    <row r="65">
      <c r="C65" s="701" t="n"/>
      <c r="D65" s="701" t="n"/>
      <c r="E65" s="701" t="n"/>
    </row>
    <row r="66">
      <c r="C66" s="701" t="n"/>
      <c r="D66" s="701" t="n"/>
      <c r="E66" s="701" t="n"/>
    </row>
    <row r="67">
      <c r="C67" s="701" t="n"/>
      <c r="D67" s="701" t="n"/>
      <c r="E67" s="701" t="n"/>
    </row>
    <row r="68">
      <c r="C68" s="701" t="n"/>
      <c r="D68" s="701" t="n"/>
      <c r="E68" s="701" t="n"/>
    </row>
    <row r="69">
      <c r="C69" s="701" t="n"/>
      <c r="D69" s="701" t="n"/>
      <c r="E69" s="701" t="n"/>
    </row>
    <row r="70">
      <c r="C70" s="701" t="n"/>
      <c r="D70" s="701" t="n"/>
      <c r="E70" s="701" t="n"/>
    </row>
    <row r="71">
      <c r="C71" s="701" t="n"/>
      <c r="D71" s="701" t="n"/>
      <c r="E71" s="701" t="n"/>
    </row>
    <row r="72">
      <c r="C72" s="701" t="n"/>
      <c r="D72" s="701" t="n"/>
      <c r="E72" s="701" t="n"/>
    </row>
    <row r="73">
      <c r="C73" s="701" t="n"/>
      <c r="D73" s="701" t="n"/>
      <c r="E73" s="701" t="n"/>
    </row>
    <row r="74">
      <c r="C74" s="701" t="n"/>
      <c r="D74" s="701" t="n"/>
      <c r="E74" s="701" t="n"/>
    </row>
    <row r="75">
      <c r="C75" s="701" t="n"/>
      <c r="D75" s="701" t="n"/>
      <c r="E75" s="701" t="n"/>
    </row>
    <row r="76">
      <c r="C76" s="701" t="n"/>
      <c r="D76" s="701" t="n"/>
      <c r="E76" s="701" t="n"/>
    </row>
    <row r="77">
      <c r="C77" s="701" t="n"/>
      <c r="D77" s="701" t="n"/>
      <c r="E77" s="701" t="n"/>
    </row>
    <row r="78">
      <c r="C78" s="701" t="n"/>
      <c r="D78" s="701" t="n"/>
      <c r="E78" s="701" t="n"/>
    </row>
    <row r="79">
      <c r="C79" s="701" t="n"/>
      <c r="D79" s="701" t="n"/>
      <c r="E79" s="701" t="n"/>
    </row>
    <row r="80">
      <c r="C80" s="701" t="n"/>
      <c r="D80" s="701" t="n"/>
      <c r="E80" s="701" t="n"/>
    </row>
    <row r="81">
      <c r="C81" s="701" t="n"/>
      <c r="D81" s="701" t="n"/>
      <c r="E81" s="701" t="n"/>
    </row>
    <row r="82">
      <c r="C82" s="701" t="n"/>
      <c r="D82" s="701" t="n"/>
      <c r="E82" s="701" t="n"/>
    </row>
    <row r="83">
      <c r="C83" s="701" t="n"/>
      <c r="D83" s="701" t="n"/>
      <c r="E83" s="701" t="n"/>
    </row>
    <row r="84">
      <c r="C84" s="701" t="n"/>
      <c r="D84" s="701" t="n"/>
      <c r="E84" s="701" t="n"/>
    </row>
    <row r="85">
      <c r="C85" s="701" t="n"/>
      <c r="D85" s="701" t="n"/>
      <c r="E85" s="701" t="n"/>
    </row>
    <row r="86">
      <c r="C86" s="701" t="n"/>
      <c r="D86" s="701" t="n"/>
      <c r="E86" s="701" t="n"/>
    </row>
    <row r="87">
      <c r="C87" s="701" t="n"/>
      <c r="D87" s="701" t="n"/>
      <c r="E87" s="701" t="n"/>
    </row>
    <row r="88">
      <c r="C88" s="701" t="n"/>
      <c r="D88" s="701" t="n"/>
      <c r="E88" s="701" t="n"/>
    </row>
    <row r="89">
      <c r="C89" s="701" t="n"/>
      <c r="D89" s="701" t="n"/>
      <c r="E89" s="701" t="n"/>
    </row>
    <row r="90">
      <c r="C90" s="701" t="n"/>
      <c r="D90" s="701" t="n"/>
      <c r="E90" s="701" t="n"/>
    </row>
    <row r="91">
      <c r="C91" s="701" t="n"/>
      <c r="D91" s="701" t="n"/>
      <c r="E91" s="701" t="n"/>
    </row>
    <row r="92">
      <c r="C92" s="701" t="n"/>
      <c r="D92" s="701" t="n"/>
      <c r="E92" s="701" t="n"/>
    </row>
    <row r="93">
      <c r="C93" s="701" t="n"/>
      <c r="D93" s="701" t="n"/>
      <c r="E93" s="701" t="n"/>
    </row>
    <row r="94">
      <c r="C94" s="701" t="n"/>
      <c r="D94" s="701" t="n"/>
      <c r="E94" s="701" t="n"/>
    </row>
    <row r="95">
      <c r="C95" s="701" t="n"/>
      <c r="D95" s="701" t="n"/>
      <c r="E95" s="701" t="n"/>
    </row>
    <row r="96">
      <c r="C96" s="702" t="n"/>
      <c r="D96" s="702" t="n"/>
      <c r="E96" s="702" t="n"/>
    </row>
    <row r="97">
      <c r="C97" s="702" t="n"/>
      <c r="D97" s="702" t="n"/>
      <c r="E97" s="702" t="n"/>
    </row>
    <row r="98">
      <c r="C98" s="702" t="n"/>
      <c r="D98" s="702" t="n"/>
      <c r="E98" s="702" t="n"/>
    </row>
    <row r="99">
      <c r="C99" s="702" t="n"/>
      <c r="D99" s="702" t="n"/>
      <c r="E99" s="702" t="n"/>
    </row>
    <row r="100">
      <c r="C100" s="702" t="n"/>
      <c r="D100" s="702" t="n"/>
      <c r="E100" s="702" t="n"/>
    </row>
    <row r="101">
      <c r="C101" s="702" t="n"/>
      <c r="D101" s="702" t="n"/>
      <c r="E101" s="702" t="n"/>
    </row>
    <row r="102">
      <c r="C102" s="702" t="n"/>
      <c r="D102" s="702" t="n"/>
      <c r="E102" s="702" t="n"/>
    </row>
    <row r="103">
      <c r="C103" s="702" t="n"/>
      <c r="D103" s="702" t="n"/>
      <c r="E103" s="702" t="n"/>
    </row>
    <row r="104">
      <c r="C104" s="702" t="n"/>
      <c r="D104" s="702" t="n"/>
      <c r="E104" s="702" t="n"/>
    </row>
    <row r="105">
      <c r="C105" s="702" t="n"/>
      <c r="D105" s="702" t="n"/>
      <c r="E105" s="702" t="n"/>
    </row>
    <row r="106">
      <c r="C106" s="702" t="n"/>
      <c r="D106" s="702" t="n"/>
      <c r="E106" s="702" t="n"/>
    </row>
    <row r="107">
      <c r="C107" s="702" t="n"/>
      <c r="D107" s="702" t="n"/>
      <c r="E107" s="702" t="n"/>
    </row>
    <row r="108">
      <c r="C108" s="702" t="n"/>
      <c r="D108" s="702" t="n"/>
      <c r="E108" s="702" t="n"/>
    </row>
    <row r="109">
      <c r="C109" s="71" t="n"/>
      <c r="D109" s="71" t="n"/>
      <c r="E109" s="71" t="n"/>
    </row>
    <row r="110">
      <c r="C110" s="71" t="n"/>
      <c r="D110" s="71" t="n"/>
      <c r="E110" s="71" t="n"/>
    </row>
    <row r="111">
      <c r="C111" s="71" t="n"/>
      <c r="D111" s="71" t="n"/>
      <c r="E111" s="71" t="n"/>
    </row>
    <row r="112">
      <c r="C112" s="71" t="n"/>
      <c r="D112" s="71" t="n"/>
      <c r="E112" s="71" t="n"/>
    </row>
    <row r="113">
      <c r="C113" s="71" t="n"/>
      <c r="D113" s="71" t="n"/>
      <c r="E113" s="71" t="n"/>
    </row>
    <row r="114">
      <c r="C114" s="71" t="n"/>
      <c r="D114" s="71" t="n"/>
      <c r="E114" s="71" t="n"/>
    </row>
    <row r="115">
      <c r="C115" s="71" t="n"/>
      <c r="D115" s="71" t="n"/>
      <c r="E115" s="71" t="n"/>
    </row>
    <row r="116">
      <c r="C116" s="71" t="n"/>
      <c r="D116" s="71" t="n"/>
      <c r="E116" s="71" t="n"/>
    </row>
    <row r="117">
      <c r="C117" s="71" t="n"/>
      <c r="D117" s="71" t="n"/>
      <c r="E117" s="71" t="n"/>
    </row>
    <row r="118">
      <c r="C118" s="71" t="n"/>
      <c r="D118" s="71" t="n"/>
      <c r="E118" s="71" t="n"/>
    </row>
    <row r="119">
      <c r="C119" s="71" t="n"/>
      <c r="D119" s="71" t="n"/>
      <c r="E119" s="71"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2:F18"/>
  <sheetViews>
    <sheetView showGridLines="0" zoomScaleNormal="100" workbookViewId="0">
      <selection activeCell="E18" sqref="E18"/>
    </sheetView>
  </sheetViews>
  <sheetFormatPr baseColWidth="8" defaultRowHeight="18"/>
  <cols>
    <col width="18.625" customWidth="1" style="595" min="2" max="5"/>
    <col width="40.125" customWidth="1" style="595" min="6" max="6"/>
  </cols>
  <sheetData>
    <row r="2" ht="18.75" customHeight="1" s="595">
      <c r="E2" s="73" t="inlineStr">
        <is>
          <t>(単位：千円)</t>
        </is>
      </c>
    </row>
    <row r="3" ht="21.95" customHeight="1" s="595">
      <c r="A3" s="0" t="inlineStr">
        <is>
          <t>売掛金</t>
        </is>
      </c>
      <c r="B3" s="2" t="inlineStr">
        <is>
          <t>相手先</t>
        </is>
      </c>
      <c r="C3" s="3" t="inlineStr">
        <is>
          <t>帳簿価額</t>
        </is>
      </c>
      <c r="D3" s="3" t="inlineStr">
        <is>
          <t>評価差額</t>
        </is>
      </c>
      <c r="E3" s="3" t="inlineStr">
        <is>
          <t>評価額</t>
        </is>
      </c>
      <c r="F3" s="1" t="inlineStr">
        <is>
          <t>調整事由</t>
        </is>
      </c>
    </row>
    <row r="4" ht="32.1" customHeight="1" s="595">
      <c r="B4" s="75" t="inlineStr">
        <is>
          <t>売掛金（青果物）</t>
        </is>
      </c>
      <c r="C4" s="642">
        <f>'BS(借方)'!F7</f>
        <v>19608899</v>
      </c>
      <c r="D4" s="642" t="n">
        <v>0</v>
      </c>
      <c r="E4" s="642">
        <f>SUM(C4,D4)</f>
        <v>19608899</v>
      </c>
      <c r="F4" s="4" t="inlineStr">
        <is>
          <t>年齢表未受領のため簿価評価（長期滞留の有無は要確認）</t>
        </is>
      </c>
    </row>
    <row r="5" ht="32.1" customHeight="1" s="595">
      <c r="B5" s="75" t="inlineStr">
        <is>
          <t>資材肥料売掛金</t>
        </is>
      </c>
      <c r="C5" s="703">
        <f>'BS(借方)'!F8</f>
        <v>1227419</v>
      </c>
      <c r="D5" s="703" t="n">
        <v>0</v>
      </c>
      <c r="E5" s="703">
        <f>SUM(C5,D5)</f>
        <v>1227419</v>
      </c>
      <c r="F5" s="5" t="inlineStr">
        <is>
          <t>同上</t>
        </is>
      </c>
    </row>
    <row r="6" ht="32.1" customHeight="1" s="595">
      <c r="B6" s="75" t="n"/>
      <c r="C6" s="703" t="n"/>
      <c r="D6" s="703" t="n"/>
      <c r="E6" s="703" t="n"/>
      <c r="F6" s="5" t="n"/>
    </row>
    <row r="7" ht="32.1" customHeight="1" s="595" thickBot="1">
      <c r="B7" s="414" t="n"/>
      <c r="C7" s="704" t="n"/>
      <c r="D7" s="704" t="n"/>
      <c r="E7" s="704" t="n"/>
      <c r="F7" s="6" t="n"/>
    </row>
    <row r="8" ht="32.1" customHeight="1" s="595">
      <c r="B8" s="345" t="inlineStr">
        <is>
          <t>合計</t>
        </is>
      </c>
      <c r="C8" s="705">
        <f>SUM(C4:C7)</f>
        <v>20836318</v>
      </c>
      <c r="D8" s="705">
        <f>SUM(D4:D7)</f>
        <v>0</v>
      </c>
      <c r="E8" s="705">
        <f>C8+D8</f>
        <v>20836318</v>
      </c>
      <c r="F8" s="7" t="n"/>
    </row>
    <row r="12" ht="18.75" customHeight="1" s="595">
      <c r="E12" s="73" t="inlineStr">
        <is>
          <t>(単位：千円)</t>
        </is>
      </c>
    </row>
    <row r="13" ht="21.95" customHeight="1" s="595">
      <c r="A13" s="0" t="inlineStr">
        <is>
          <t>商品在庫</t>
        </is>
      </c>
      <c r="B13" s="9" t="inlineStr">
        <is>
          <t>相手先</t>
        </is>
      </c>
      <c r="C13" s="10" t="inlineStr">
        <is>
          <t>帳簿価額</t>
        </is>
      </c>
      <c r="D13" s="10" t="inlineStr">
        <is>
          <t>評価差額</t>
        </is>
      </c>
      <c r="E13" s="10" t="inlineStr">
        <is>
          <t>評価額</t>
        </is>
      </c>
      <c r="F13" s="1" t="inlineStr">
        <is>
          <t>調整事由</t>
        </is>
      </c>
    </row>
    <row r="14" ht="32.1" customHeight="1" s="595">
      <c r="B14" s="415" t="inlineStr">
        <is>
          <t>棚卸資産（青果物・資材）</t>
        </is>
      </c>
      <c r="C14" s="706">
        <f>'BS(借方)'!F9</f>
        <v>14596695</v>
      </c>
      <c r="D14" s="706" t="n">
        <v>0</v>
      </c>
      <c r="E14" s="706">
        <f>C14+D14</f>
        <v>14596695</v>
      </c>
      <c r="F14" s="13" t="inlineStr">
        <is>
          <t>青果物は短期回転。廃棄を要する滞留在庫はなく帳簿は概ね実態どおり（第2回面談）。資材の滞留有無は要確認</t>
        </is>
      </c>
    </row>
    <row r="15" ht="32.1" customHeight="1" s="595">
      <c r="B15" s="416" t="n"/>
      <c r="C15" s="706" t="n"/>
      <c r="D15" s="706" t="n"/>
      <c r="E15" s="706" t="n"/>
      <c r="F15" s="301" t="n"/>
    </row>
    <row r="16" ht="32.1" customHeight="1" s="595">
      <c r="B16" s="417" t="n"/>
      <c r="C16" s="598" t="n"/>
      <c r="D16" s="598" t="n"/>
      <c r="E16" s="598" t="n"/>
      <c r="F16" s="8" t="n"/>
    </row>
    <row r="17" ht="32.1" customHeight="1" s="595" thickBot="1">
      <c r="B17" s="418" t="n"/>
      <c r="C17" s="707" t="n"/>
      <c r="D17" s="707" t="n"/>
      <c r="E17" s="707" t="n"/>
      <c r="F17" s="11" t="n"/>
    </row>
    <row r="18" ht="32.1" customHeight="1" s="595">
      <c r="B18" s="345" t="inlineStr">
        <is>
          <t>合計</t>
        </is>
      </c>
      <c r="C18" s="708">
        <f>SUM(C14:C17)</f>
        <v>14596695</v>
      </c>
      <c r="D18" s="708">
        <f>SUM(D14:D17)</f>
        <v>0</v>
      </c>
      <c r="E18" s="708">
        <f>C18+D18</f>
        <v>14596695</v>
      </c>
      <c r="F18" s="12" t="n"/>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F8"/>
  <sheetViews>
    <sheetView showGridLines="0" zoomScaleNormal="100" workbookViewId="0">
      <selection activeCell="B4" sqref="B4:B7"/>
    </sheetView>
  </sheetViews>
  <sheetFormatPr baseColWidth="8" defaultRowHeight="18"/>
  <cols>
    <col width="18.625" customWidth="1" style="595" min="2" max="5"/>
    <col width="25.875" customWidth="1" style="595" min="6" max="6"/>
  </cols>
  <sheetData>
    <row r="2" ht="18.75" customHeight="1" s="595">
      <c r="E2" s="73" t="inlineStr">
        <is>
          <t>(単位：千円)</t>
        </is>
      </c>
    </row>
    <row r="3" ht="21.95" customHeight="1" s="595">
      <c r="B3" s="2" t="inlineStr">
        <is>
          <t>資産</t>
        </is>
      </c>
      <c r="C3" s="3" t="inlineStr">
        <is>
          <t>帳簿価額</t>
        </is>
      </c>
      <c r="D3" s="3" t="inlineStr">
        <is>
          <t>評価差額</t>
        </is>
      </c>
      <c r="E3" s="3" t="inlineStr">
        <is>
          <t>評価額</t>
        </is>
      </c>
      <c r="F3" s="1" t="inlineStr">
        <is>
          <t>調整事由</t>
        </is>
      </c>
    </row>
    <row r="4" ht="32.1" customHeight="1" s="595">
      <c r="B4" s="75" t="inlineStr">
        <is>
          <t>建物</t>
        </is>
      </c>
      <c r="C4" s="642">
        <f>'BS(借方)'!F22</f>
        <v>92065694</v>
      </c>
      <c r="D4" s="642" t="n">
        <v>0</v>
      </c>
      <c r="E4" s="642">
        <f>SUM(C4,D4)</f>
        <v>92065694</v>
      </c>
      <c r="F4" s="4" t="inlineStr">
        <is>
          <t>固定資産台帳未受領。別表十六で償却不足なしを確認し簿価評価</t>
        </is>
      </c>
    </row>
    <row r="5" ht="32.1" customHeight="1" s="595">
      <c r="B5" s="75" t="inlineStr">
        <is>
          <t>建物付属設備</t>
        </is>
      </c>
      <c r="C5" s="703">
        <f>'BS(借方)'!F23</f>
        <v>11399836</v>
      </c>
      <c r="D5" s="703" t="n">
        <v>0</v>
      </c>
      <c r="E5" s="703">
        <f>SUM(C5,D5)</f>
        <v>11399836</v>
      </c>
      <c r="F5" s="4" t="inlineStr">
        <is>
          <t>簿価評価</t>
        </is>
      </c>
    </row>
    <row r="6" ht="32.1" customHeight="1" s="595">
      <c r="B6" s="75" t="inlineStr">
        <is>
          <t>構築物</t>
        </is>
      </c>
      <c r="C6" s="703">
        <f>'BS(借方)'!F24</f>
        <v>284395</v>
      </c>
      <c r="D6" s="703" t="n">
        <v>0</v>
      </c>
      <c r="E6" s="703">
        <f>SUM(C6,D6)</f>
        <v>284395</v>
      </c>
      <c r="F6" s="4" t="inlineStr">
        <is>
          <t>簿価評価</t>
        </is>
      </c>
    </row>
    <row r="7" ht="32.1" customHeight="1" s="595" thickBot="1">
      <c r="B7" s="414" t="inlineStr">
        <is>
          <t>車両運搬具・工具器具備品等</t>
        </is>
      </c>
      <c r="C7" s="704">
        <f>'BS(借方)'!F25+'BS(借方)'!F26+'BS(借方)'!F27</f>
        <v>18563</v>
      </c>
      <c r="D7" s="704" t="n">
        <v>0</v>
      </c>
      <c r="E7" s="704">
        <f>SUM(C7,D7)</f>
        <v>18563</v>
      </c>
      <c r="F7" s="6" t="inlineStr">
        <is>
          <t>簿価評価</t>
        </is>
      </c>
    </row>
    <row r="8" ht="32.1" customHeight="1" s="595">
      <c r="B8" s="345" t="inlineStr">
        <is>
          <t>合計</t>
        </is>
      </c>
      <c r="C8" s="705">
        <f>SUM(C4:C7)</f>
        <v>103768488</v>
      </c>
      <c r="D8" s="705">
        <f>SUM(D4:D7)</f>
        <v>0</v>
      </c>
      <c r="E8" s="705">
        <f>C8+D8</f>
        <v>103768488</v>
      </c>
      <c r="F8" s="7" t="n"/>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B2:G8"/>
  <sheetViews>
    <sheetView showGridLines="0" zoomScaleNormal="100" workbookViewId="0">
      <selection activeCell="E15" sqref="E15"/>
    </sheetView>
  </sheetViews>
  <sheetFormatPr baseColWidth="8" defaultRowHeight="18"/>
  <cols>
    <col width="49.5" customWidth="1" style="595" min="2" max="2"/>
    <col width="18.625" customWidth="1" style="595" min="3" max="6"/>
    <col width="32.875" customWidth="1" style="595" min="7" max="7"/>
  </cols>
  <sheetData>
    <row r="2" ht="18.75" customHeight="1" s="595">
      <c r="E2" s="73" t="n"/>
      <c r="F2" s="73" t="inlineStr">
        <is>
          <t>(単位：千円)</t>
        </is>
      </c>
    </row>
    <row r="3" ht="21.95" customHeight="1" s="595">
      <c r="B3" s="2" t="inlineStr">
        <is>
          <t>内容・所在地</t>
        </is>
      </c>
      <c r="C3" s="3" t="inlineStr">
        <is>
          <t>地積(㎡)</t>
        </is>
      </c>
      <c r="D3" s="3" t="inlineStr">
        <is>
          <t>帳簿価額</t>
        </is>
      </c>
      <c r="E3" s="3" t="inlineStr">
        <is>
          <t>評価差額</t>
        </is>
      </c>
      <c r="F3" s="3" t="inlineStr">
        <is>
          <t>時価評価額</t>
        </is>
      </c>
      <c r="G3" s="1" t="inlineStr">
        <is>
          <t>調整事由</t>
        </is>
      </c>
    </row>
    <row r="4" ht="32.1" customHeight="1" s="595">
      <c r="B4" s="75" t="inlineStr">
        <is>
          <t>本社・市場／鶴岡市宝田一丁目4-2</t>
        </is>
      </c>
      <c r="C4" s="709" t="n">
        <v>3100.22</v>
      </c>
      <c r="D4" s="642" t="n">
        <v>70757240</v>
      </c>
      <c r="E4" s="642">
        <f>F4-D4</f>
        <v>-19526947.1428571</v>
      </c>
      <c r="F4" s="642">
        <f>'不動産(所有)'!I4</f>
        <v>51230292.8571429</v>
      </c>
      <c r="G4" s="4" t="inlineStr">
        <is>
          <t>固定資産税評価額（R8年度）÷0.7にて時価を推計（鑑定・路線価で要確認）</t>
        </is>
      </c>
    </row>
    <row r="5" ht="32.1" customHeight="1" s="595">
      <c r="B5" s="419" t="inlineStr">
        <is>
          <t>パッケージ場／鶴岡市宝田一丁目5-1</t>
        </is>
      </c>
      <c r="C5" s="710" t="n">
        <v>900.5</v>
      </c>
      <c r="D5" s="703" t="n">
        <v>21380000</v>
      </c>
      <c r="E5" s="703">
        <f>F5-D5</f>
        <v>-6293860</v>
      </c>
      <c r="F5" s="703">
        <f>'不動産(所有)'!I10</f>
        <v>15086140</v>
      </c>
      <c r="G5" s="4" t="inlineStr">
        <is>
          <t>固定資産税評価額（R8年度）÷0.7にて時価を推計（鑑定・路線価で要確認）</t>
        </is>
      </c>
    </row>
    <row r="6" ht="32.1" customHeight="1" s="595">
      <c r="B6" s="420" t="inlineStr">
        <is>
          <t>旧倉庫敷地（駐車場）／東田川郡庄内町長沼字宮前304-7</t>
        </is>
      </c>
      <c r="C6" s="710" t="n">
        <v>261.81</v>
      </c>
      <c r="D6" s="609" t="n">
        <v>1000000</v>
      </c>
      <c r="E6" s="703">
        <f>F6-D6</f>
        <v>508578.571428572</v>
      </c>
      <c r="F6" s="703">
        <f>'不動産(所有)'!I13</f>
        <v>1508578.57142857</v>
      </c>
      <c r="G6" s="4" t="inlineStr">
        <is>
          <t>固定資産税評価額（R8年度）÷0.7にて時価を推計（鑑定・路線価で要確認）</t>
        </is>
      </c>
    </row>
    <row r="7" ht="32.1" customHeight="1" s="595" thickBot="1">
      <c r="B7" s="414" t="n"/>
      <c r="C7" s="711" t="n"/>
      <c r="D7" s="704" t="n"/>
      <c r="E7" s="609" t="n"/>
      <c r="F7" s="609" t="n"/>
      <c r="G7" s="6" t="n"/>
    </row>
    <row r="8" ht="32.1" customHeight="1" s="595">
      <c r="B8" s="345" t="inlineStr">
        <is>
          <t>合計</t>
        </is>
      </c>
      <c r="C8" s="712">
        <f>SUM(C4:C7)</f>
        <v>4262.53</v>
      </c>
      <c r="D8" s="705">
        <f>SUM(D4:D7)</f>
        <v>93137240</v>
      </c>
      <c r="E8" s="705">
        <f>SUM(E4:E7)</f>
        <v>-25312228.5714286</v>
      </c>
      <c r="F8" s="705">
        <f>SUM(F4:F7)</f>
        <v>67825011.4285714</v>
      </c>
      <c r="G8" s="7" t="n"/>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B2:F8"/>
  <sheetViews>
    <sheetView showGridLines="0" zoomScaleNormal="100" workbookViewId="0">
      <selection activeCell="B12" sqref="B12"/>
    </sheetView>
  </sheetViews>
  <sheetFormatPr baseColWidth="8" defaultRowHeight="18"/>
  <cols>
    <col width="41.375" bestFit="1" customWidth="1" style="595" min="2" max="2"/>
    <col width="18.625" customWidth="1" style="595" min="3" max="5"/>
    <col width="33.125" bestFit="1" customWidth="1" style="595" min="6" max="6"/>
  </cols>
  <sheetData>
    <row r="2" ht="18.75" customHeight="1" s="595">
      <c r="E2" s="73" t="inlineStr">
        <is>
          <t>(単位：千円)</t>
        </is>
      </c>
    </row>
    <row r="3" ht="21.95" customHeight="1" s="595">
      <c r="B3" s="2" t="inlineStr">
        <is>
          <t>保険商品</t>
        </is>
      </c>
      <c r="C3" s="3" t="inlineStr">
        <is>
          <t>帳簿価額</t>
        </is>
      </c>
      <c r="D3" s="3" t="inlineStr">
        <is>
          <t>評価差額</t>
        </is>
      </c>
      <c r="E3" s="3" t="inlineStr">
        <is>
          <t>評価額</t>
        </is>
      </c>
      <c r="F3" s="1" t="inlineStr">
        <is>
          <t>調整事由</t>
        </is>
      </c>
    </row>
    <row r="4" ht="32.1" customHeight="1" s="595">
      <c r="B4" s="75" t="inlineStr">
        <is>
          <t>事業保険積立金</t>
        </is>
      </c>
      <c r="C4" s="642" t="n">
        <v>0</v>
      </c>
      <c r="D4" s="642">
        <f>E4-C4</f>
        <v>0</v>
      </c>
      <c r="E4" s="642" t="n">
        <v>0</v>
      </c>
      <c r="F4" s="4" t="inlineStr">
        <is>
          <t>2026/3期に全額取崩し済（前期損益修正損20,900千円）。簿外の解約返戻金の有無は要確認</t>
        </is>
      </c>
    </row>
    <row r="5" ht="32.1" customHeight="1" s="595">
      <c r="B5" s="419" t="n"/>
      <c r="C5" s="703" t="n"/>
      <c r="D5" s="703" t="n"/>
      <c r="E5" s="703" t="n"/>
      <c r="F5" s="4" t="n"/>
    </row>
    <row r="6" ht="32.1" customHeight="1" s="595">
      <c r="B6" s="420" t="n"/>
      <c r="C6" s="703" t="n"/>
      <c r="D6" s="703" t="n"/>
      <c r="E6" s="703" t="n"/>
      <c r="F6" s="4" t="n"/>
    </row>
    <row r="7" ht="32.1" customHeight="1" s="595" thickBot="1">
      <c r="B7" s="414" t="n"/>
      <c r="C7" s="704" t="n"/>
      <c r="D7" s="704" t="n"/>
      <c r="E7" s="704" t="n"/>
      <c r="F7" s="6" t="n"/>
    </row>
    <row r="8" ht="32.1" customHeight="1" s="595">
      <c r="B8" s="450" t="inlineStr">
        <is>
          <t>合計</t>
        </is>
      </c>
      <c r="C8" s="705">
        <f>SUM(C4:C7)</f>
        <v>0</v>
      </c>
      <c r="D8" s="705">
        <f>SUM(D4:D7)</f>
        <v>0</v>
      </c>
      <c r="E8" s="705">
        <f>C8+D8</f>
        <v>0</v>
      </c>
      <c r="F8" s="7" t="n"/>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B2:G9"/>
  <sheetViews>
    <sheetView showGridLines="0" zoomScaleNormal="100" workbookViewId="0">
      <selection activeCell="F14" sqref="F14"/>
    </sheetView>
  </sheetViews>
  <sheetFormatPr baseColWidth="8" defaultRowHeight="18"/>
  <cols>
    <col width="35.125" customWidth="1" style="595" min="2" max="2"/>
    <col width="21.125" customWidth="1" style="595" min="3" max="3"/>
    <col width="18.625" customWidth="1" style="595" min="4" max="6"/>
    <col width="31.375" bestFit="1" customWidth="1" style="595" min="7" max="7"/>
  </cols>
  <sheetData>
    <row r="2" ht="18.75" customHeight="1" s="595">
      <c r="F2" s="73" t="inlineStr">
        <is>
          <t>(単位：千円)</t>
        </is>
      </c>
    </row>
    <row r="3" ht="21.95" customHeight="1" s="595">
      <c r="B3" s="2" t="inlineStr">
        <is>
          <t>銘柄</t>
        </is>
      </c>
      <c r="C3" s="116" t="inlineStr">
        <is>
          <t>数量</t>
        </is>
      </c>
      <c r="D3" s="3" t="inlineStr">
        <is>
          <t>帳簿価額</t>
        </is>
      </c>
      <c r="E3" s="3" t="inlineStr">
        <is>
          <t>評価差額</t>
        </is>
      </c>
      <c r="F3" s="3" t="inlineStr">
        <is>
          <t>評価額</t>
        </is>
      </c>
      <c r="G3" s="1" t="inlineStr">
        <is>
          <t>調整事由</t>
        </is>
      </c>
    </row>
    <row r="4" ht="32.1" customHeight="1" s="595">
      <c r="B4" s="75" t="inlineStr">
        <is>
          <t>株式）フィデアホールディングス</t>
        </is>
      </c>
      <c r="C4" s="346" t="n">
        <v>3000</v>
      </c>
      <c r="D4" s="642" t="n">
        <v>1200000</v>
      </c>
      <c r="E4" s="642">
        <f>F4-D4</f>
        <v>7242000</v>
      </c>
      <c r="F4" s="642">
        <f>2814*C4</f>
        <v>8442000</v>
      </c>
      <c r="G4" s="4" t="inlineStr">
        <is>
          <t>2026年9月18日終値（2,814円）を元に時価を算出（算定日終値で要更新）</t>
        </is>
      </c>
    </row>
    <row r="5" ht="32.1" customHeight="1" s="595">
      <c r="B5" s="419" t="inlineStr">
        <is>
          <t>株式）(株)庄果・出資金）鶴岡信用金庫ほか</t>
        </is>
      </c>
      <c r="C5" s="349" t="inlineStr">
        <is>
          <t>-</t>
        </is>
      </c>
      <c r="D5" s="703" t="n">
        <v>1400000</v>
      </c>
      <c r="E5" s="703">
        <f>F5-D5</f>
        <v>0</v>
      </c>
      <c r="F5" s="703">
        <f>D5</f>
        <v>1400000</v>
      </c>
      <c r="G5" s="4" t="inlineStr">
        <is>
          <t>取引関係上の保有。市場価格なし（簿価評価）</t>
        </is>
      </c>
    </row>
    <row r="6" ht="32.1" customHeight="1" s="595">
      <c r="B6" s="420" t="n"/>
      <c r="C6" s="347" t="n"/>
      <c r="D6" s="703" t="n"/>
      <c r="E6" s="703" t="n"/>
      <c r="F6" s="703" t="n"/>
      <c r="G6" s="4" t="n"/>
    </row>
    <row r="7" ht="32.1" customHeight="1" s="595">
      <c r="B7" s="419" t="n"/>
      <c r="C7" s="349" t="n"/>
      <c r="D7" s="703" t="n"/>
      <c r="E7" s="703" t="n"/>
      <c r="F7" s="703" t="n"/>
      <c r="G7" s="4" t="n"/>
    </row>
    <row r="8" ht="32.1" customHeight="1" s="595" thickBot="1">
      <c r="B8" s="414" t="n"/>
      <c r="C8" s="348" t="n"/>
      <c r="D8" s="704" t="n"/>
      <c r="E8" s="609" t="n"/>
      <c r="F8" s="704" t="n"/>
      <c r="G8" s="6" t="n"/>
    </row>
    <row r="9" ht="32.1" customHeight="1" s="595">
      <c r="B9" s="345" t="inlineStr">
        <is>
          <t>合計</t>
        </is>
      </c>
      <c r="C9" s="350" t="inlineStr">
        <is>
          <t>-</t>
        </is>
      </c>
      <c r="D9" s="705">
        <f>SUM(D4:D8)</f>
        <v>2600000</v>
      </c>
      <c r="E9" s="705">
        <f>SUM(E4:E8)</f>
        <v>7242000</v>
      </c>
      <c r="F9" s="705">
        <f>D9+E9</f>
        <v>9842000</v>
      </c>
      <c r="G9" s="7" t="n"/>
    </row>
  </sheetData>
  <pageMargins left="0.7" right="0.7" top="0.75" bottom="0.75" header="0.3" footer="0.3"/>
</worksheet>
</file>

<file path=xl/worksheets/sheet16.xml><?xml version="1.0" encoding="utf-8"?>
<worksheet xmlns="http://schemas.openxmlformats.org/spreadsheetml/2006/main">
  <sheetPr>
    <tabColor theme="7"/>
    <outlinePr summaryBelow="1" summaryRight="1"/>
    <pageSetUpPr/>
  </sheetPr>
  <dimension ref="B2:E103"/>
  <sheetViews>
    <sheetView showGridLines="0" zoomScale="85" zoomScaleNormal="85" workbookViewId="0">
      <pane ySplit="4" topLeftCell="A41" activePane="bottomLeft" state="frozen"/>
      <selection pane="bottomLeft" activeCell="A53" sqref="A53"/>
    </sheetView>
  </sheetViews>
  <sheetFormatPr baseColWidth="8" defaultRowHeight="18"/>
  <cols>
    <col width="28" customWidth="1" style="175" min="2" max="2"/>
    <col width="16.125" customWidth="1" style="595" min="3" max="5"/>
    <col width="8.875" customWidth="1" style="595" min="6" max="6"/>
  </cols>
  <sheetData>
    <row r="2" ht="18.75" customHeight="1" s="595">
      <c r="E2" s="73" t="inlineStr">
        <is>
          <t>(単位：千円)</t>
        </is>
      </c>
    </row>
    <row r="3" ht="28.35" customHeight="1" s="595" thickBot="1">
      <c r="B3" s="177" t="inlineStr">
        <is>
          <t>負債の部</t>
        </is>
      </c>
      <c r="C3" s="168" t="n"/>
      <c r="D3" s="168" t="n"/>
      <c r="E3" s="292" t="n"/>
    </row>
    <row r="4" ht="19.5" customHeight="1" s="595">
      <c r="B4" s="1" t="inlineStr">
        <is>
          <t>科目</t>
        </is>
      </c>
      <c r="C4" s="237" t="str">
        <f>'修正BS(借方)'!C4</f>
        <v>26年3月期</v>
      </c>
      <c r="D4" s="265" t="inlineStr">
        <is>
          <t>修正額</t>
        </is>
      </c>
      <c r="E4" s="264" t="inlineStr">
        <is>
          <t>修正後</t>
        </is>
      </c>
    </row>
    <row r="5" ht="22.5" customHeight="1" s="595">
      <c r="B5" s="255" t="inlineStr">
        <is>
          <t>【流動負債】</t>
        </is>
      </c>
      <c r="C5" s="645">
        <f>SUM(C6:C17)</f>
        <v>37279523</v>
      </c>
      <c r="D5" s="596">
        <f>SUM(D6:D17)</f>
        <v>0</v>
      </c>
      <c r="E5" s="597">
        <f>C5+D5</f>
        <v>37279523</v>
      </c>
    </row>
    <row r="6" ht="22.5" customHeight="1" s="595">
      <c r="B6" s="212" t="str">
        <f>'BS (貸方)'!B6</f>
        <v>買掛金</v>
      </c>
      <c r="C6" s="609">
        <f>'BS (貸方)'!F6</f>
        <v>26349122</v>
      </c>
      <c r="D6" s="618" t="n"/>
      <c r="E6" s="599">
        <f>C6+D6</f>
        <v>26349122</v>
      </c>
    </row>
    <row r="7" ht="22.5" customHeight="1" s="595">
      <c r="B7" s="212" t="str">
        <f>'BS (貸方)'!B7</f>
        <v>未払金</v>
      </c>
      <c r="C7" s="609">
        <f>'BS (貸方)'!F7</f>
        <v>6630301</v>
      </c>
      <c r="D7" s="618" t="n"/>
      <c r="E7" s="599">
        <f>C7+D7</f>
        <v>6630301</v>
      </c>
    </row>
    <row r="8" ht="22.5" customHeight="1" s="595">
      <c r="B8" s="212" t="str">
        <f>'BS (貸方)'!B8</f>
        <v>仮受金</v>
      </c>
      <c r="C8" s="609">
        <f>'BS (貸方)'!F8</f>
        <v>0</v>
      </c>
      <c r="D8" s="618" t="n"/>
      <c r="E8" s="599">
        <f>C8+D8</f>
        <v>0</v>
      </c>
    </row>
    <row r="9" ht="22.5" customHeight="1" s="595">
      <c r="B9" s="212" t="str">
        <f>'BS (貸方)'!B9</f>
        <v>預り金</v>
      </c>
      <c r="C9" s="609">
        <f>'BS (貸方)'!F9</f>
        <v>281300</v>
      </c>
      <c r="D9" s="618" t="n"/>
      <c r="E9" s="599">
        <f>C9+D9</f>
        <v>281300</v>
      </c>
    </row>
    <row r="10" ht="22.5" customHeight="1" s="595">
      <c r="B10" s="212" t="str">
        <f>'BS (貸方)'!B10</f>
        <v>未払法人税等</v>
      </c>
      <c r="C10" s="609">
        <f>'BS (貸方)'!F10</f>
        <v>1851300</v>
      </c>
      <c r="D10" s="618" t="n"/>
      <c r="E10" s="599">
        <f>C10+D10</f>
        <v>1851300</v>
      </c>
    </row>
    <row r="11" ht="22.5" customHeight="1" s="595">
      <c r="B11" s="212" t="str">
        <f>'BS (貸方)'!B11</f>
        <v>未払消費税</v>
      </c>
      <c r="C11" s="609">
        <f>'BS (貸方)'!F11</f>
        <v>2167500</v>
      </c>
      <c r="D11" s="618" t="n"/>
      <c r="E11" s="599">
        <f>C11+D11</f>
        <v>2167500</v>
      </c>
    </row>
    <row r="12" ht="22.5" customHeight="1" s="595">
      <c r="B12" s="212">
        <f>'BS (貸方)'!B12</f>
        <v>0</v>
      </c>
      <c r="C12" s="609">
        <f>'BS (貸方)'!F12</f>
        <v>0</v>
      </c>
      <c r="D12" s="618" t="n"/>
      <c r="E12" s="599">
        <f>C12+D12</f>
        <v>0</v>
      </c>
    </row>
    <row r="13" ht="22.5" customHeight="1" s="595">
      <c r="B13" s="212">
        <f>'BS (貸方)'!B13</f>
        <v>0</v>
      </c>
      <c r="C13" s="609">
        <f>'BS (貸方)'!F13</f>
        <v>0</v>
      </c>
      <c r="D13" s="618" t="n"/>
      <c r="E13" s="599">
        <f>C13+D13</f>
        <v>0</v>
      </c>
    </row>
    <row r="14" ht="22.5" customHeight="1" s="595">
      <c r="B14" s="212">
        <f>'BS (貸方)'!B14</f>
        <v>0</v>
      </c>
      <c r="C14" s="609">
        <f>'BS (貸方)'!F14</f>
        <v>0</v>
      </c>
      <c r="D14" s="618" t="n"/>
      <c r="E14" s="599">
        <f>C14+D14</f>
        <v>0</v>
      </c>
    </row>
    <row r="15" ht="22.5" customHeight="1" s="595">
      <c r="B15" s="212">
        <f>'BS (貸方)'!B15</f>
        <v>0</v>
      </c>
      <c r="C15" s="609">
        <f>'BS (貸方)'!F15</f>
        <v>0</v>
      </c>
      <c r="D15" s="618" t="n"/>
      <c r="E15" s="599">
        <f>C15+D15</f>
        <v>0</v>
      </c>
    </row>
    <row r="16" ht="22.5" customHeight="1" s="595">
      <c r="B16" s="212">
        <f>'BS (貸方)'!B16</f>
        <v>0</v>
      </c>
      <c r="C16" s="609">
        <f>'BS (貸方)'!F16</f>
        <v>0</v>
      </c>
      <c r="D16" s="618" t="n"/>
      <c r="E16" s="599">
        <f>C16+D16</f>
        <v>0</v>
      </c>
    </row>
    <row r="17" ht="22.5" customHeight="1" s="595">
      <c r="B17" s="211" t="n"/>
      <c r="C17" s="611" t="n"/>
      <c r="D17" s="619" t="n"/>
      <c r="E17" s="599">
        <f>C17+D17</f>
        <v>0</v>
      </c>
    </row>
    <row r="18" ht="22.5" customHeight="1" s="595">
      <c r="B18" s="255" t="inlineStr">
        <is>
          <t>【固定負債】</t>
        </is>
      </c>
      <c r="C18" s="645">
        <f>SUM(C19:C26)</f>
        <v>370038000</v>
      </c>
      <c r="D18" s="596">
        <f>SUM(D19:D26)</f>
        <v>0</v>
      </c>
      <c r="E18" s="713">
        <f>C18+D18</f>
        <v>370038000</v>
      </c>
    </row>
    <row r="19" ht="22.5" customHeight="1" s="595">
      <c r="B19" s="212" t="str">
        <f>'BS (貸方)'!B19</f>
        <v>長期借入金</v>
      </c>
      <c r="C19" s="609">
        <f>'BS (貸方)'!F19</f>
        <v>361058000</v>
      </c>
      <c r="D19" s="618" t="n"/>
      <c r="E19" s="599">
        <f>C19+D19</f>
        <v>361058000</v>
      </c>
    </row>
    <row r="20" ht="22.5" customHeight="1" s="595">
      <c r="B20" s="212" t="str">
        <f>'BS (貸方)'!B20</f>
        <v>預り保証金</v>
      </c>
      <c r="C20" s="609">
        <f>'BS (貸方)'!F20</f>
        <v>8980000</v>
      </c>
      <c r="D20" s="618" t="n"/>
      <c r="E20" s="599">
        <f>C20+D20</f>
        <v>8980000</v>
      </c>
    </row>
    <row r="21" ht="22.5" customHeight="1" s="595">
      <c r="B21" s="212">
        <f>'BS (貸方)'!B21</f>
        <v>0</v>
      </c>
      <c r="C21" s="609">
        <f>'BS (貸方)'!F21</f>
        <v>0</v>
      </c>
      <c r="D21" s="618" t="n"/>
      <c r="E21" s="599">
        <f>C21+D21</f>
        <v>0</v>
      </c>
    </row>
    <row r="22" ht="22.5" customHeight="1" s="595">
      <c r="B22" s="212">
        <f>'BS (貸方)'!B22</f>
        <v>0</v>
      </c>
      <c r="C22" s="609">
        <f>'BS (貸方)'!F22</f>
        <v>0</v>
      </c>
      <c r="D22" s="618" t="n"/>
      <c r="E22" s="599">
        <f>C22+D22</f>
        <v>0</v>
      </c>
    </row>
    <row r="23" ht="22.5" customHeight="1" s="595">
      <c r="B23" s="212">
        <f>'BS (貸方)'!B23</f>
        <v>0</v>
      </c>
      <c r="C23" s="609">
        <f>'BS (貸方)'!F23</f>
        <v>0</v>
      </c>
      <c r="D23" s="618" t="n"/>
      <c r="E23" s="599">
        <f>C23+D23</f>
        <v>0</v>
      </c>
    </row>
    <row r="24" ht="22.5" customHeight="1" s="595">
      <c r="B24" s="212" t="n"/>
      <c r="C24" s="609" t="n"/>
      <c r="D24" s="618" t="n"/>
      <c r="E24" s="599">
        <f>C24+D24</f>
        <v>0</v>
      </c>
    </row>
    <row r="25" ht="22.5" customHeight="1" s="595">
      <c r="B25" s="212" t="n"/>
      <c r="C25" s="609" t="n"/>
      <c r="D25" s="618" t="n"/>
      <c r="E25" s="599">
        <f>C25+D25</f>
        <v>0</v>
      </c>
    </row>
    <row r="26" ht="22.5" customHeight="1" s="595">
      <c r="B26" s="212" t="n"/>
      <c r="C26" s="609" t="n"/>
      <c r="D26" s="618" t="n"/>
      <c r="E26" s="599">
        <f>C26+D26</f>
        <v>0</v>
      </c>
    </row>
    <row r="27" ht="22.5" customHeight="1" s="595">
      <c r="B27" s="213" t="inlineStr">
        <is>
          <t>【繰延税金負債】</t>
        </is>
      </c>
      <c r="C27" s="683" t="n">
        <v>0</v>
      </c>
      <c r="D27" s="714">
        <f>税効果!E18</f>
        <v>2531300</v>
      </c>
      <c r="E27" s="684">
        <f>C27+D27</f>
        <v>2531300</v>
      </c>
    </row>
    <row r="28" ht="22.5" customHeight="1" s="595" thickBot="1">
      <c r="B28" s="256" t="inlineStr">
        <is>
          <t>負債合計</t>
        </is>
      </c>
      <c r="C28" s="715">
        <f>C5+C18+C27</f>
        <v>407317523</v>
      </c>
      <c r="D28" s="621">
        <f>D5+D18+D27</f>
        <v>2531300</v>
      </c>
      <c r="E28" s="716">
        <f>C28+D28</f>
        <v>409848823</v>
      </c>
    </row>
    <row r="29" ht="22.5" customHeight="1" s="595">
      <c r="B29" s="717" t="n"/>
      <c r="C29" s="624" t="n"/>
      <c r="D29" s="624" t="n"/>
      <c r="E29" s="624" t="n"/>
    </row>
    <row r="30" ht="22.5" customHeight="1" s="595">
      <c r="B30" s="717" t="n"/>
      <c r="C30" s="598" t="n"/>
      <c r="D30" s="598" t="n"/>
      <c r="E30" s="598" t="n"/>
    </row>
    <row r="31" ht="22.5" customHeight="1" s="595">
      <c r="B31" s="717" t="n"/>
      <c r="C31" s="598" t="n"/>
      <c r="D31" s="598" t="n"/>
      <c r="E31" s="598" t="n"/>
    </row>
    <row r="32" ht="22.5" customHeight="1" s="595">
      <c r="B32" s="717" t="n"/>
      <c r="C32" s="598" t="n"/>
      <c r="D32" s="598" t="n"/>
      <c r="E32" s="598" t="n"/>
    </row>
    <row r="33" ht="22.5" customHeight="1" s="595">
      <c r="B33" s="717" t="n"/>
      <c r="C33" s="598" t="n"/>
      <c r="D33" s="598" t="n"/>
      <c r="E33" s="598" t="n"/>
    </row>
    <row r="34" ht="22.35" customHeight="1" s="595" thickBot="1">
      <c r="B34" s="173" t="inlineStr">
        <is>
          <t>純資産の部</t>
        </is>
      </c>
      <c r="C34" s="168" t="n"/>
      <c r="D34" s="168" t="n"/>
      <c r="E34" s="293" t="n"/>
    </row>
    <row r="35" ht="22.35" customHeight="1" s="595">
      <c r="B35" s="255" t="inlineStr">
        <is>
          <t>【資本金】</t>
        </is>
      </c>
      <c r="C35" s="645">
        <f>SUM(C36:C38)</f>
        <v>40000000</v>
      </c>
      <c r="D35" s="596">
        <f>SUM(D36:D38)</f>
        <v>0</v>
      </c>
      <c r="E35" s="597">
        <f>C35+D35</f>
        <v>40000000</v>
      </c>
    </row>
    <row r="36" ht="22.35" customHeight="1" s="595">
      <c r="B36" s="171" t="str">
        <f>'BS (貸方)'!B36</f>
        <v>資本金</v>
      </c>
      <c r="C36" s="624">
        <f>'BS (貸方)'!F36</f>
        <v>40000000</v>
      </c>
      <c r="D36" s="598" t="n"/>
      <c r="E36" s="599">
        <f>C36+D36</f>
        <v>40000000</v>
      </c>
    </row>
    <row r="37" ht="22.35" customHeight="1" s="595">
      <c r="B37" s="171" t="n"/>
      <c r="C37" s="598" t="n"/>
      <c r="D37" s="598" t="n"/>
      <c r="E37" s="599">
        <f>C37+D37</f>
        <v>0</v>
      </c>
    </row>
    <row r="38" ht="22.35" customHeight="1" s="595">
      <c r="B38" s="189" t="n"/>
      <c r="C38" s="611" t="n"/>
      <c r="D38" s="619" t="n"/>
      <c r="E38" s="599">
        <f>C38+D38</f>
        <v>0</v>
      </c>
    </row>
    <row r="39" ht="22.35" customHeight="1" s="595">
      <c r="B39" s="255" t="inlineStr">
        <is>
          <t>【資本剰余金】</t>
        </is>
      </c>
      <c r="C39" s="683">
        <f>SUM(C40:C42)</f>
        <v>0</v>
      </c>
      <c r="D39" s="714">
        <f>SUM(D40:D42)</f>
        <v>0</v>
      </c>
      <c r="E39" s="684">
        <f>C39+D39</f>
        <v>0</v>
      </c>
    </row>
    <row r="40" ht="22.35" customHeight="1" s="595">
      <c r="B40" s="582" t="n"/>
      <c r="C40" s="718" t="n"/>
      <c r="D40" s="719" t="n"/>
      <c r="E40" s="720">
        <f>C40+D40</f>
        <v>0</v>
      </c>
    </row>
    <row r="41" ht="22.35" customHeight="1" s="595">
      <c r="B41" s="171" t="n"/>
      <c r="C41" s="609" t="n"/>
      <c r="D41" s="618" t="n"/>
      <c r="E41" s="599">
        <f>C41+D41</f>
        <v>0</v>
      </c>
    </row>
    <row r="42" ht="22.35" customHeight="1" s="595">
      <c r="B42" s="257" t="n"/>
      <c r="C42" s="611" t="n"/>
      <c r="D42" s="619" t="n"/>
      <c r="E42" s="599">
        <f>C42+D42</f>
        <v>0</v>
      </c>
    </row>
    <row r="43" ht="22.5" customHeight="1" s="595">
      <c r="B43" s="255" t="inlineStr">
        <is>
          <t>【利益剰余金】</t>
        </is>
      </c>
      <c r="C43" s="683">
        <f>SUM(C44:C47)</f>
        <v>37872581</v>
      </c>
      <c r="D43" s="714">
        <f>SUM(D44:D47)</f>
        <v>0</v>
      </c>
      <c r="E43" s="684">
        <f>C43+D43</f>
        <v>37872581</v>
      </c>
    </row>
    <row r="44" ht="22.5" customHeight="1" s="595">
      <c r="B44" s="172" t="str">
        <f>'BS (貸方)'!B44</f>
        <v>利益準備金</v>
      </c>
      <c r="C44" s="624">
        <f>'BS (貸方)'!F44</f>
        <v>2080000</v>
      </c>
      <c r="D44" s="598" t="n"/>
      <c r="E44" s="599">
        <f>C44+D44</f>
        <v>2080000</v>
      </c>
    </row>
    <row r="45" ht="22.5" customHeight="1" s="595">
      <c r="B45" s="171" t="str">
        <f>'BS (貸方)'!B45</f>
        <v>繰越利益剰余金</v>
      </c>
      <c r="C45" s="598">
        <f>'BS (貸方)'!F45</f>
        <v>35792581</v>
      </c>
      <c r="D45" s="598" t="n"/>
      <c r="E45" s="599">
        <f>C45+D45</f>
        <v>35792581</v>
      </c>
    </row>
    <row r="46" ht="22.5" customHeight="1" s="595">
      <c r="B46" s="171">
        <f>'BS (貸方)'!B46</f>
        <v>0</v>
      </c>
      <c r="C46" s="598">
        <f>'BS (貸方)'!F46</f>
        <v>0</v>
      </c>
      <c r="D46" s="598" t="n"/>
      <c r="E46" s="599">
        <f>C46+D46</f>
        <v>0</v>
      </c>
    </row>
    <row r="47" ht="22.5" customHeight="1" s="595">
      <c r="B47" s="189" t="n"/>
      <c r="C47" s="611" t="n"/>
      <c r="D47" s="619" t="n"/>
      <c r="E47" s="599">
        <f>C47+D47</f>
        <v>0</v>
      </c>
    </row>
    <row r="48" ht="22.5" customHeight="1" s="595">
      <c r="B48" s="421" t="inlineStr">
        <is>
          <t>【自己株式】</t>
        </is>
      </c>
      <c r="C48" s="721" t="n">
        <v>0</v>
      </c>
      <c r="D48" s="722" t="n">
        <v>0</v>
      </c>
      <c r="E48" s="723">
        <f>C48+D48</f>
        <v>0</v>
      </c>
    </row>
    <row r="49" ht="22.5" customHeight="1" s="595">
      <c r="B49" s="421" t="inlineStr">
        <is>
          <t>【評価修正額】</t>
        </is>
      </c>
      <c r="C49" s="721" t="n"/>
      <c r="D49" s="722">
        <f>SUM(D50:D51)</f>
        <v>-22554123.5714286</v>
      </c>
      <c r="E49" s="723">
        <f>C49+D49</f>
        <v>-22554123.5714286</v>
      </c>
    </row>
    <row r="50" ht="22.5" customHeight="1" s="595">
      <c r="B50" s="333" t="inlineStr">
        <is>
          <t>修正額</t>
        </is>
      </c>
      <c r="C50" s="724" t="n"/>
      <c r="D50" s="725">
        <f>'修正BS(借方)'!D61-'修正BS(借方)'!D60-(D28-D27)</f>
        <v>-20022823.5714286</v>
      </c>
      <c r="E50" s="726">
        <f>C50+D50</f>
        <v>-20022823.5714286</v>
      </c>
    </row>
    <row r="51" ht="22.5" customHeight="1" s="595">
      <c r="B51" s="332" t="inlineStr">
        <is>
          <t>修正税効果</t>
        </is>
      </c>
      <c r="C51" s="727" t="n"/>
      <c r="D51" s="728">
        <f>'修正BS(借方)'!D60-D27</f>
        <v>-2531300</v>
      </c>
      <c r="E51" s="729">
        <f>C51+D51</f>
        <v>-2531300</v>
      </c>
    </row>
    <row r="52" ht="22.5" customHeight="1" s="595">
      <c r="B52" s="258" t="inlineStr">
        <is>
          <t>純資産合計</t>
        </is>
      </c>
      <c r="C52" s="730">
        <f>C35+C39+C43+C48</f>
        <v>77872581</v>
      </c>
      <c r="D52" s="730">
        <f>D35+D39+D43+D48+D49</f>
        <v>-22554123.5714286</v>
      </c>
      <c r="E52" s="731">
        <f>C52+D52</f>
        <v>55318457.4285714</v>
      </c>
    </row>
    <row r="53" ht="22.5" customHeight="1" s="595" thickBot="1">
      <c r="B53" s="259" t="inlineStr">
        <is>
          <t>負債・純資産合計</t>
        </is>
      </c>
      <c r="C53" s="732">
        <f>C28+C52</f>
        <v>485190104</v>
      </c>
      <c r="D53" s="732">
        <f>D28+D52</f>
        <v>-20022823.5714286</v>
      </c>
      <c r="E53" s="733">
        <f>C53+D53</f>
        <v>465167280.428571</v>
      </c>
    </row>
    <row r="54">
      <c r="C54" s="614" t="n"/>
      <c r="D54" s="614" t="n"/>
      <c r="E54" s="614" t="n"/>
    </row>
    <row r="55">
      <c r="C55" s="614">
        <f>C53='修正BS(借方)'!C61</f>
        <v>1</v>
      </c>
      <c r="D55" s="614" t="n"/>
      <c r="E55" s="614" t="n"/>
    </row>
    <row r="56">
      <c r="C56" s="614" t="n"/>
      <c r="D56" s="614" t="n"/>
      <c r="E56" s="614" t="n"/>
    </row>
    <row r="57">
      <c r="C57" s="614" t="n"/>
      <c r="D57" s="614" t="n"/>
      <c r="E57" s="614" t="n"/>
    </row>
    <row r="58">
      <c r="C58" s="614" t="n"/>
      <c r="D58" s="614" t="n"/>
      <c r="E58" s="614" t="n"/>
    </row>
    <row r="59">
      <c r="C59" s="614" t="n"/>
      <c r="D59" s="614" t="n"/>
      <c r="E59" s="614" t="n"/>
    </row>
    <row r="60">
      <c r="C60" s="614" t="n"/>
      <c r="D60" s="614" t="n"/>
      <c r="E60" s="614" t="n"/>
    </row>
    <row r="61">
      <c r="C61" s="614" t="n"/>
      <c r="D61" s="614" t="n"/>
      <c r="E61" s="614" t="n"/>
    </row>
    <row r="62">
      <c r="C62" s="614" t="n"/>
      <c r="D62" s="614" t="n"/>
      <c r="E62" s="614" t="n"/>
    </row>
    <row r="63">
      <c r="C63" s="614" t="n"/>
      <c r="D63" s="614" t="n"/>
      <c r="E63" s="614" t="n"/>
    </row>
    <row r="64">
      <c r="C64" s="614" t="n"/>
      <c r="D64" s="614" t="n"/>
      <c r="E64" s="614" t="n"/>
    </row>
    <row r="65">
      <c r="C65" s="614" t="n"/>
      <c r="D65" s="614" t="n"/>
      <c r="E65" s="614" t="n"/>
    </row>
    <row r="66">
      <c r="C66" s="614" t="n"/>
      <c r="D66" s="614" t="n"/>
      <c r="E66" s="614" t="n"/>
    </row>
    <row r="67">
      <c r="C67" s="614" t="n"/>
      <c r="D67" s="614" t="n"/>
      <c r="E67" s="614" t="n"/>
    </row>
    <row r="68">
      <c r="C68" s="614" t="n"/>
      <c r="D68" s="614" t="n"/>
      <c r="E68" s="614" t="n"/>
    </row>
    <row r="69">
      <c r="C69" s="614" t="n"/>
      <c r="D69" s="614" t="n"/>
      <c r="E69" s="614" t="n"/>
    </row>
    <row r="70">
      <c r="C70" s="614" t="n"/>
      <c r="D70" s="614" t="n"/>
      <c r="E70" s="614" t="n"/>
    </row>
    <row r="71">
      <c r="C71" s="614" t="n"/>
      <c r="D71" s="614" t="n"/>
      <c r="E71" s="614" t="n"/>
    </row>
    <row r="72">
      <c r="C72" s="614" t="n"/>
      <c r="D72" s="614" t="n"/>
      <c r="E72" s="614" t="n"/>
    </row>
    <row r="73">
      <c r="C73" s="614" t="n"/>
      <c r="D73" s="614" t="n"/>
      <c r="E73" s="614" t="n"/>
    </row>
    <row r="74">
      <c r="C74" s="614" t="n"/>
      <c r="D74" s="614" t="n"/>
      <c r="E74" s="614" t="n"/>
    </row>
    <row r="75">
      <c r="C75" s="614" t="n"/>
      <c r="D75" s="614" t="n"/>
      <c r="E75" s="614" t="n"/>
    </row>
    <row r="76">
      <c r="C76" s="614" t="n"/>
      <c r="D76" s="614" t="n"/>
      <c r="E76" s="614" t="n"/>
    </row>
    <row r="77">
      <c r="C77" s="614" t="n"/>
      <c r="D77" s="614" t="n"/>
      <c r="E77" s="614" t="n"/>
    </row>
    <row r="78">
      <c r="C78" s="614" t="n"/>
      <c r="D78" s="614" t="n"/>
      <c r="E78" s="614" t="n"/>
    </row>
    <row r="79">
      <c r="C79" s="614" t="n"/>
      <c r="D79" s="614" t="n"/>
      <c r="E79" s="614" t="n"/>
    </row>
    <row r="80">
      <c r="C80" s="614" t="n"/>
      <c r="D80" s="614" t="n"/>
      <c r="E80" s="614" t="n"/>
    </row>
    <row r="81">
      <c r="C81" s="614" t="n"/>
      <c r="D81" s="614" t="n"/>
      <c r="E81" s="614" t="n"/>
    </row>
    <row r="82">
      <c r="C82" s="614" t="n"/>
      <c r="D82" s="614" t="n"/>
      <c r="E82" s="614" t="n"/>
    </row>
    <row r="83">
      <c r="C83" s="614" t="n"/>
      <c r="D83" s="614" t="n"/>
      <c r="E83" s="614" t="n"/>
    </row>
    <row r="84">
      <c r="C84" s="614" t="n"/>
      <c r="D84" s="614" t="n"/>
      <c r="E84" s="614" t="n"/>
    </row>
    <row r="85">
      <c r="C85" s="614" t="n"/>
      <c r="D85" s="614" t="n"/>
      <c r="E85" s="614" t="n"/>
    </row>
    <row r="86">
      <c r="C86" s="614" t="n"/>
      <c r="D86" s="614" t="n"/>
      <c r="E86" s="614" t="n"/>
    </row>
    <row r="87">
      <c r="C87" s="614" t="n"/>
      <c r="D87" s="614" t="n"/>
      <c r="E87" s="614" t="n"/>
    </row>
    <row r="88">
      <c r="C88" s="614" t="n"/>
      <c r="D88" s="614" t="n"/>
      <c r="E88" s="614" t="n"/>
    </row>
    <row r="89">
      <c r="C89" s="614" t="n"/>
      <c r="D89" s="614" t="n"/>
      <c r="E89" s="614" t="n"/>
    </row>
    <row r="90">
      <c r="C90" s="614" t="n"/>
      <c r="D90" s="614" t="n"/>
      <c r="E90" s="614" t="n"/>
    </row>
    <row r="91">
      <c r="C91" s="614" t="n"/>
      <c r="D91" s="614" t="n"/>
      <c r="E91" s="614" t="n"/>
    </row>
    <row r="92">
      <c r="C92" s="614" t="n"/>
      <c r="D92" s="614" t="n"/>
      <c r="E92" s="614" t="n"/>
    </row>
    <row r="93">
      <c r="C93" s="614" t="n"/>
      <c r="D93" s="614" t="n"/>
      <c r="E93" s="614" t="n"/>
    </row>
    <row r="94">
      <c r="C94" s="614" t="n"/>
      <c r="D94" s="614" t="n"/>
      <c r="E94" s="614" t="n"/>
    </row>
    <row r="95">
      <c r="C95" s="614" t="n"/>
      <c r="D95" s="614" t="n"/>
      <c r="E95" s="614" t="n"/>
    </row>
    <row r="96">
      <c r="C96" s="614" t="n"/>
      <c r="D96" s="614" t="n"/>
      <c r="E96" s="614" t="n"/>
    </row>
    <row r="97">
      <c r="C97" s="614" t="n"/>
      <c r="D97" s="614" t="n"/>
      <c r="E97" s="614" t="n"/>
    </row>
    <row r="98">
      <c r="C98" s="614" t="n"/>
      <c r="D98" s="614" t="n"/>
      <c r="E98" s="614" t="n"/>
    </row>
    <row r="99">
      <c r="C99" s="614" t="n"/>
      <c r="D99" s="614" t="n"/>
      <c r="E99" s="614" t="n"/>
    </row>
    <row r="100">
      <c r="C100" s="614" t="n"/>
      <c r="D100" s="614" t="n"/>
      <c r="E100" s="614" t="n"/>
    </row>
    <row r="101">
      <c r="C101" s="614" t="n"/>
      <c r="D101" s="614" t="n"/>
      <c r="E101" s="614" t="n"/>
    </row>
    <row r="102">
      <c r="C102" s="614" t="n"/>
      <c r="D102" s="614" t="n"/>
      <c r="E102" s="614" t="n"/>
    </row>
    <row r="103">
      <c r="C103" s="614" t="n"/>
      <c r="D103" s="614" t="n"/>
      <c r="E103" s="614"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B2:H9"/>
  <sheetViews>
    <sheetView showGridLines="0" zoomScaleNormal="100" workbookViewId="0">
      <selection activeCell="E14" sqref="E14"/>
    </sheetView>
  </sheetViews>
  <sheetFormatPr baseColWidth="8" defaultRowHeight="18"/>
  <cols>
    <col width="37.125" customWidth="1" style="595" min="2" max="2"/>
    <col width="18.625" customWidth="1" style="595" min="3" max="4"/>
    <col width="19.625" customWidth="1" style="595" min="5" max="7"/>
  </cols>
  <sheetData>
    <row r="2" ht="18.75" customHeight="1" s="595">
      <c r="D2" s="73" t="inlineStr">
        <is>
          <t>(単位：千円)</t>
        </is>
      </c>
      <c r="E2" s="73" t="inlineStr">
        <is>
          <t>(単位：千円)</t>
        </is>
      </c>
      <c r="F2" s="73" t="inlineStr">
        <is>
          <t>(単位：千円)</t>
        </is>
      </c>
    </row>
    <row r="3" ht="21.95" customHeight="1" s="595">
      <c r="B3" s="2" t="inlineStr">
        <is>
          <t>2026年4月支払給与（3月後半分）</t>
        </is>
      </c>
      <c r="C3" s="3" t="inlineStr">
        <is>
          <t>未払日数</t>
        </is>
      </c>
      <c r="D3" s="3" t="inlineStr">
        <is>
          <t>未払給与引当額</t>
        </is>
      </c>
      <c r="E3" s="734" t="inlineStr">
        <is>
          <t>概算社会保険料</t>
        </is>
      </c>
      <c r="F3" s="3" t="inlineStr">
        <is>
          <t>未払給与引当額</t>
        </is>
      </c>
    </row>
    <row r="4" ht="32.1" customHeight="1" s="595">
      <c r="B4" s="735" t="n">
        <v>2837000</v>
      </c>
      <c r="C4" s="736" t="inlineStr">
        <is>
          <t>3/16〜3/31分</t>
        </is>
      </c>
      <c r="D4" s="737" t="n">
        <v>0</v>
      </c>
      <c r="E4" s="738" t="n">
        <v>0</v>
      </c>
      <c r="F4" s="737" t="n">
        <v>0</v>
      </c>
      <c r="G4" t="inlineStr">
        <is>
          <t>未払給与2,837千円は未払金に計上済のため追加計上なし</t>
        </is>
      </c>
    </row>
    <row r="7" ht="18.75" customHeight="1" s="595">
      <c r="D7" s="73" t="n"/>
      <c r="E7" s="73" t="inlineStr">
        <is>
          <t>(単位：千円)</t>
        </is>
      </c>
    </row>
    <row r="8" ht="19.5" customHeight="1" s="595">
      <c r="B8" s="2" t="inlineStr">
        <is>
          <t>賞与（規定なし・業績連動）</t>
        </is>
      </c>
      <c r="C8" s="3" t="inlineStr">
        <is>
          <t>支給対象月数</t>
        </is>
      </c>
      <c r="D8" s="3" t="inlineStr">
        <is>
          <t>経過月数</t>
        </is>
      </c>
      <c r="E8" s="3" t="inlineStr">
        <is>
          <t>引当額</t>
        </is>
      </c>
      <c r="F8" s="734" t="inlineStr">
        <is>
          <t>概算社会保険料</t>
        </is>
      </c>
      <c r="G8" s="734" t="inlineStr">
        <is>
          <t>社保考慮後引当不足</t>
        </is>
      </c>
    </row>
    <row r="9" ht="31.7" customHeight="1" s="595">
      <c r="B9" s="735" t="n">
        <v>0</v>
      </c>
      <c r="C9" s="736" t="inlineStr">
        <is>
          <t>-</t>
        </is>
      </c>
      <c r="D9" s="739" t="inlineStr">
        <is>
          <t>-</t>
        </is>
      </c>
      <c r="E9" s="740" t="n">
        <v>0</v>
      </c>
      <c r="F9" s="738" t="n">
        <v>0</v>
      </c>
      <c r="G9" s="741">
        <f>E9+F9</f>
        <v>0</v>
      </c>
      <c r="H9" t="inlineStr">
        <is>
          <t>賞与規定なし。2026/3期は支給なし。引当不要と判断（要確認）</t>
        </is>
      </c>
    </row>
    <row r="10" ht="31.7" customHeight="1" s="595"/>
    <row r="11" ht="31.7" customHeight="1" s="595"/>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B2:J10"/>
  <sheetViews>
    <sheetView showGridLines="0" zoomScaleNormal="100" workbookViewId="0">
      <selection activeCell="J10" sqref="J10"/>
    </sheetView>
  </sheetViews>
  <sheetFormatPr baseColWidth="8" defaultRowHeight="18"/>
  <cols>
    <col width="4.625" customWidth="1" style="595" min="2" max="2"/>
    <col width="14.5" customWidth="1" style="595" min="3" max="3"/>
    <col width="18.625" customWidth="1" style="595" min="4" max="11"/>
  </cols>
  <sheetData>
    <row r="2" ht="18.75" customHeight="1" s="595">
      <c r="J2" s="73" t="inlineStr">
        <is>
          <t>(単位：千円)</t>
        </is>
      </c>
    </row>
    <row r="3" ht="21.95" customHeight="1" s="595">
      <c r="B3" s="2" t="inlineStr">
        <is>
          <t>№</t>
        </is>
      </c>
      <c r="C3" s="2" t="inlineStr">
        <is>
          <t>氏名</t>
        </is>
      </c>
      <c r="D3" s="3" t="inlineStr">
        <is>
          <t>勤続年数(年)</t>
        </is>
      </c>
      <c r="E3" s="3" t="inlineStr">
        <is>
          <t>基本給</t>
        </is>
      </c>
      <c r="F3" s="3" t="inlineStr">
        <is>
          <t>支給倍率</t>
        </is>
      </c>
      <c r="G3" s="3" t="inlineStr">
        <is>
          <t>退職理由率</t>
        </is>
      </c>
      <c r="H3" s="3" t="inlineStr">
        <is>
          <t>要支給額</t>
        </is>
      </c>
      <c r="I3" s="3" t="inlineStr">
        <is>
          <t>中退共積立額</t>
        </is>
      </c>
      <c r="J3" s="3" t="inlineStr">
        <is>
          <t>引当不足</t>
        </is>
      </c>
    </row>
    <row r="4" ht="32.1" customHeight="1" s="595">
      <c r="B4" s="742" t="n"/>
      <c r="C4" s="743" t="inlineStr">
        <is>
          <t>全従業員</t>
        </is>
      </c>
      <c r="D4" s="736" t="n"/>
      <c r="E4" s="736" t="n"/>
      <c r="F4" s="736" t="n"/>
      <c r="G4" s="736" t="n"/>
      <c r="H4" s="736" t="n">
        <v>0</v>
      </c>
      <c r="I4" s="736" t="n">
        <v>0</v>
      </c>
      <c r="J4" s="736">
        <f>H4-I4</f>
        <v>0</v>
      </c>
    </row>
    <row r="5" ht="32.1" customHeight="1" s="595">
      <c r="B5" s="742" t="n"/>
      <c r="C5" s="743" t="n"/>
      <c r="D5" s="736" t="n"/>
      <c r="E5" s="736" t="n"/>
      <c r="F5" s="736" t="n"/>
      <c r="G5" s="736" t="n"/>
      <c r="H5" s="736" t="n"/>
      <c r="I5" s="736" t="n"/>
      <c r="J5" s="736" t="n"/>
    </row>
    <row r="6" ht="32.1" customHeight="1" s="595">
      <c r="B6" s="742" t="inlineStr">
        <is>
          <t>※中小企業退職金共済（掛金3,026千円/年）・オリックス生命で外部積立。退職時の会社の追加持出しは基本的にないとの認識（退職金規程で要確認）。</t>
        </is>
      </c>
      <c r="C6" s="743" t="n"/>
      <c r="D6" s="736" t="n"/>
      <c r="E6" s="736" t="n"/>
      <c r="F6" s="736" t="n"/>
      <c r="G6" s="736" t="n"/>
      <c r="H6" s="736" t="n"/>
      <c r="I6" s="736" t="n"/>
      <c r="J6" s="736" t="n"/>
    </row>
    <row r="7" ht="32.1" customHeight="1" s="595">
      <c r="B7" s="742" t="n"/>
      <c r="C7" s="743" t="n"/>
      <c r="D7" s="736" t="n"/>
      <c r="E7" s="736" t="n"/>
      <c r="F7" s="736" t="n"/>
      <c r="G7" s="736" t="n"/>
      <c r="H7" s="736" t="n"/>
      <c r="I7" s="736" t="n"/>
      <c r="J7" s="736" t="n"/>
    </row>
    <row r="8" ht="32.1" customHeight="1" s="595">
      <c r="B8" s="742" t="n"/>
      <c r="C8" s="743" t="n"/>
      <c r="D8" s="736" t="n"/>
      <c r="E8" s="736" t="n"/>
      <c r="F8" s="736" t="n"/>
      <c r="G8" s="736" t="n"/>
      <c r="H8" s="736" t="n"/>
      <c r="I8" s="736" t="n"/>
      <c r="J8" s="736" t="n"/>
    </row>
    <row r="9" ht="32.1" customHeight="1" s="595" thickBot="1">
      <c r="B9" s="742" t="n"/>
      <c r="C9" s="743" t="n"/>
      <c r="D9" s="736" t="n"/>
      <c r="E9" s="736" t="n"/>
      <c r="F9" s="736" t="n"/>
      <c r="G9" s="736" t="n"/>
      <c r="H9" s="736" t="n"/>
      <c r="I9" s="736" t="n"/>
      <c r="J9" s="736" t="n"/>
    </row>
    <row r="10" ht="31.7" customHeight="1" s="595">
      <c r="B10" s="345" t="n"/>
      <c r="C10" s="345" t="inlineStr">
        <is>
          <t>合計</t>
        </is>
      </c>
      <c r="D10" s="350" t="n"/>
      <c r="E10" s="350" t="n"/>
      <c r="F10" s="350" t="n"/>
      <c r="G10" s="350" t="n"/>
      <c r="H10" s="705">
        <f>SUM(H4:H9)</f>
        <v>0</v>
      </c>
      <c r="I10" s="705">
        <f>SUM(I4:I9)</f>
        <v>0</v>
      </c>
      <c r="J10" s="705">
        <f>H10-I10</f>
        <v>0</v>
      </c>
    </row>
  </sheetData>
  <pageMargins left="0.7" right="0.7" top="0.75" bottom="0.75" header="0.3" footer="0.3"/>
</worksheet>
</file>

<file path=xl/worksheets/sheet19.xml><?xml version="1.0" encoding="utf-8"?>
<worksheet xmlns="http://schemas.openxmlformats.org/spreadsheetml/2006/main">
  <sheetPr>
    <tabColor theme="6"/>
    <outlinePr summaryBelow="1" summaryRight="1"/>
    <pageSetUpPr/>
  </sheetPr>
  <dimension ref="B2:F18"/>
  <sheetViews>
    <sheetView showGridLines="0" zoomScaleNormal="100" workbookViewId="0">
      <selection activeCell="D4" sqref="D4"/>
    </sheetView>
  </sheetViews>
  <sheetFormatPr baseColWidth="8" defaultRowHeight="18"/>
  <cols>
    <col width="35.125" customWidth="1" style="595" min="2" max="2"/>
    <col width="21.125" customWidth="1" style="595" min="3" max="3"/>
    <col width="18.625" customWidth="1" style="595" min="4" max="5"/>
    <col width="51.5" customWidth="1" style="595" min="6" max="6"/>
  </cols>
  <sheetData>
    <row r="2" ht="18.75" customHeight="1" s="595">
      <c r="E2" s="73" t="inlineStr">
        <is>
          <t>(単位：千円)</t>
        </is>
      </c>
    </row>
    <row r="3" ht="21.95" customHeight="1" s="595">
      <c r="B3" s="2" t="inlineStr">
        <is>
          <t>修正科目</t>
        </is>
      </c>
      <c r="C3" s="116" t="inlineStr">
        <is>
          <t>適用判定</t>
        </is>
      </c>
      <c r="D3" s="3" t="inlineStr">
        <is>
          <t>修正額</t>
        </is>
      </c>
      <c r="E3" s="3" t="inlineStr">
        <is>
          <t>繰延税金資産/負債</t>
        </is>
      </c>
      <c r="F3" s="1" t="inlineStr">
        <is>
          <t>備考</t>
        </is>
      </c>
    </row>
    <row r="4" ht="32.1" customHeight="1" s="595">
      <c r="B4" s="75" t="inlineStr">
        <is>
          <t>貸倒引当金</t>
        </is>
      </c>
      <c r="C4" s="359" t="inlineStr">
        <is>
          <t>〇</t>
        </is>
      </c>
      <c r="D4" s="642">
        <f>'修正BS(借方)'!D15</f>
        <v>203000</v>
      </c>
      <c r="E4" s="642">
        <f>-D4*-0.34</f>
        <v>69020</v>
      </c>
      <c r="F4" s="358" t="inlineStr">
        <is>
          <t>戻入益に課税</t>
        </is>
      </c>
    </row>
    <row r="5" ht="32.1" customHeight="1" s="595">
      <c r="B5" s="419" t="inlineStr">
        <is>
          <t>土地</t>
        </is>
      </c>
      <c r="C5" s="360" t="inlineStr">
        <is>
          <t>×</t>
        </is>
      </c>
      <c r="D5" s="703">
        <f>'修正BS(借方)'!D28</f>
        <v>-25312228.5714286</v>
      </c>
      <c r="E5" s="703" t="n">
        <v>0</v>
      </c>
      <c r="F5" s="4" t="inlineStr">
        <is>
          <t>事業用不動産で売却予定がなく、実現可能性が低いため除外</t>
        </is>
      </c>
    </row>
    <row r="6" ht="32.1" customHeight="1" s="595">
      <c r="B6" s="419" t="inlineStr">
        <is>
          <t>電話加入権</t>
        </is>
      </c>
      <c r="C6" s="360" t="inlineStr">
        <is>
          <t>×</t>
        </is>
      </c>
      <c r="D6" s="703">
        <f>'修正BS(借方)'!D36</f>
        <v>-2155595</v>
      </c>
      <c r="E6" s="703" t="n">
        <v>0</v>
      </c>
      <c r="F6" s="4" t="inlineStr">
        <is>
          <t>流動性がないため除外</t>
        </is>
      </c>
    </row>
    <row r="7" ht="32.1" customHeight="1" s="595">
      <c r="B7" s="419" t="inlineStr">
        <is>
          <t>投資有価証券</t>
        </is>
      </c>
      <c r="C7" s="360" t="inlineStr">
        <is>
          <t>〇</t>
        </is>
      </c>
      <c r="D7" s="703">
        <f>'修正BS(借方)'!D47</f>
        <v>7242000</v>
      </c>
      <c r="E7" s="744">
        <f>-D7*-0.34</f>
        <v>2462280</v>
      </c>
      <c r="F7" s="4" t="inlineStr">
        <is>
          <t>評価益に課税</t>
        </is>
      </c>
    </row>
    <row r="8" ht="32.1" customHeight="1" s="595">
      <c r="B8" s="419" t="n"/>
      <c r="C8" s="360" t="n"/>
      <c r="D8" s="703" t="n"/>
      <c r="E8" s="744" t="n"/>
      <c r="F8" s="4" t="n"/>
    </row>
    <row r="9" ht="32.1" customHeight="1" s="595">
      <c r="B9" s="419" t="n"/>
      <c r="C9" s="360" t="n"/>
      <c r="D9" s="703" t="n"/>
      <c r="E9" s="703" t="n"/>
      <c r="F9" s="4" t="n"/>
    </row>
    <row r="10" ht="32.1" customHeight="1" s="595">
      <c r="B10" s="419" t="n"/>
      <c r="C10" s="360" t="n"/>
      <c r="D10" s="703" t="n"/>
      <c r="E10" s="703" t="n"/>
      <c r="F10" s="4" t="n"/>
    </row>
    <row r="11" ht="32.1" customHeight="1" s="595">
      <c r="B11" s="419" t="n"/>
      <c r="C11" s="360" t="n"/>
      <c r="D11" s="703" t="n"/>
      <c r="E11" s="703" t="n"/>
      <c r="F11" s="4" t="n"/>
    </row>
    <row r="12" ht="32.1" customHeight="1" s="595">
      <c r="B12" s="419" t="n"/>
      <c r="C12" s="360" t="n"/>
      <c r="D12" s="703" t="n"/>
      <c r="E12" s="703" t="n"/>
      <c r="F12" s="4" t="n"/>
    </row>
    <row r="13" ht="32.1" customHeight="1" s="595">
      <c r="B13" s="419" t="n"/>
      <c r="C13" s="360" t="n"/>
      <c r="D13" s="703" t="n"/>
      <c r="E13" s="703" t="n"/>
      <c r="F13" s="4" t="n"/>
    </row>
    <row r="14" ht="32.1" customHeight="1" s="595">
      <c r="B14" s="419" t="n"/>
      <c r="C14" s="360" t="n"/>
      <c r="D14" s="703" t="n"/>
      <c r="E14" s="703" t="n"/>
      <c r="F14" s="4" t="n"/>
    </row>
    <row r="15" ht="32.1" customHeight="1" s="595">
      <c r="B15" s="419" t="n"/>
      <c r="C15" s="360" t="n"/>
      <c r="D15" s="703" t="n"/>
      <c r="E15" s="703" t="n"/>
      <c r="F15" s="4" t="n"/>
    </row>
    <row r="16" ht="32.1" customHeight="1" s="595">
      <c r="B16" s="419" t="n"/>
      <c r="C16" s="360" t="n"/>
      <c r="D16" s="703" t="n"/>
      <c r="E16" s="703" t="n"/>
      <c r="F16" s="4" t="n"/>
    </row>
    <row r="17" ht="32.1" customHeight="1" s="595" thickBot="1">
      <c r="B17" s="414" t="n"/>
      <c r="C17" s="361" t="n"/>
      <c r="D17" s="704" t="n"/>
      <c r="E17" s="609" t="n"/>
      <c r="F17" s="6" t="n"/>
    </row>
    <row r="18" ht="32.1" customHeight="1" s="595">
      <c r="B18" s="345" t="inlineStr">
        <is>
          <t>合計</t>
        </is>
      </c>
      <c r="C18" s="362" t="inlineStr">
        <is>
          <t>-</t>
        </is>
      </c>
      <c r="D18" s="705">
        <f>SUM(D4:D17)</f>
        <v>-20022823.5714286</v>
      </c>
      <c r="E18" s="705">
        <f>SUM(E4:E17)</f>
        <v>2531300</v>
      </c>
      <c r="F18" s="7" t="inlineStr">
        <is>
          <t>繰延税金負債（評価益×実効税率34%）</t>
        </is>
      </c>
    </row>
  </sheetData>
  <pageMargins left="0.7" right="0.7" top="0.75" bottom="0.75" header="0.3" footer="0.3"/>
</worksheet>
</file>

<file path=xl/worksheets/sheet20.xml><?xml version="1.0" encoding="utf-8"?>
<worksheet xmlns="http://schemas.openxmlformats.org/spreadsheetml/2006/main">
  <sheetPr>
    <tabColor theme="6"/>
    <outlinePr summaryBelow="1" summaryRight="1"/>
    <pageSetUpPr/>
  </sheetPr>
  <dimension ref="B2:F19"/>
  <sheetViews>
    <sheetView showGridLines="0" zoomScaleNormal="100" workbookViewId="0">
      <selection activeCell="F15" sqref="F15"/>
    </sheetView>
  </sheetViews>
  <sheetFormatPr baseColWidth="8" defaultRowHeight="18"/>
  <cols>
    <col width="27.375" customWidth="1" style="595" min="2" max="3"/>
    <col width="4.875" customWidth="1" style="595" min="4" max="4"/>
    <col width="27.375" customWidth="1" style="595" min="5" max="6"/>
  </cols>
  <sheetData>
    <row r="2" ht="18.75" customHeight="1" s="595">
      <c r="C2" s="73" t="n"/>
      <c r="F2" s="73" t="inlineStr">
        <is>
          <t>(単位：千円)</t>
        </is>
      </c>
    </row>
    <row r="3" ht="21.95" customHeight="1" s="595">
      <c r="B3" s="2" t="inlineStr">
        <is>
          <t>キャッシュライクアイテム</t>
        </is>
      </c>
      <c r="C3" s="3" t="inlineStr">
        <is>
          <t>金額</t>
        </is>
      </c>
      <c r="E3" s="2" t="inlineStr">
        <is>
          <t>デットライクアイテム</t>
        </is>
      </c>
      <c r="F3" s="3" t="inlineStr">
        <is>
          <t>金額</t>
        </is>
      </c>
    </row>
    <row r="4" ht="32.1" customHeight="1" s="595">
      <c r="B4" s="743" t="inlineStr">
        <is>
          <t>現金及び預金</t>
        </is>
      </c>
      <c r="C4" s="736">
        <f>'修正BS(借方)'!E6</f>
        <v>210887077</v>
      </c>
      <c r="E4" s="743" t="inlineStr">
        <is>
          <t>短期借入金</t>
        </is>
      </c>
      <c r="F4" s="736" t="n"/>
    </row>
    <row r="5" ht="32.1" customHeight="1" s="595">
      <c r="B5" s="745" t="inlineStr">
        <is>
          <t>役員貸付金</t>
        </is>
      </c>
      <c r="C5" s="746" t="n"/>
      <c r="E5" s="745" t="inlineStr">
        <is>
          <t>長期借入金</t>
        </is>
      </c>
      <c r="F5" s="746">
        <f>'修正BS(貸方) '!E19</f>
        <v>361058000</v>
      </c>
    </row>
    <row r="6" ht="32.1" customHeight="1" s="595">
      <c r="B6" s="745" t="inlineStr">
        <is>
          <t>従業員貸付金</t>
        </is>
      </c>
      <c r="C6" s="746" t="n"/>
      <c r="E6" s="745" t="inlineStr">
        <is>
          <t>社債</t>
        </is>
      </c>
      <c r="F6" s="746" t="n"/>
    </row>
    <row r="7" ht="32.1" customHeight="1" s="595">
      <c r="B7" s="745" t="inlineStr">
        <is>
          <t>立替金</t>
        </is>
      </c>
      <c r="C7" s="746" t="n"/>
      <c r="E7" s="745" t="inlineStr">
        <is>
          <t>役員借入金</t>
        </is>
      </c>
      <c r="F7" s="746" t="n"/>
    </row>
    <row r="8" ht="32.1" customHeight="1" s="595">
      <c r="B8" s="745" t="inlineStr">
        <is>
          <t>保険積立金</t>
        </is>
      </c>
      <c r="C8" s="746" t="n"/>
      <c r="E8" s="745" t="inlineStr">
        <is>
          <t>未払法人税</t>
        </is>
      </c>
      <c r="F8" s="746">
        <f>'修正BS(貸方) '!E10</f>
        <v>1851300</v>
      </c>
    </row>
    <row r="9" ht="32.1" customHeight="1" s="595">
      <c r="B9" s="745" t="inlineStr">
        <is>
          <t>投資有価証券（上場株式・時価）</t>
        </is>
      </c>
      <c r="C9" s="746">
        <f>有価証券!F4</f>
        <v>8442000</v>
      </c>
      <c r="E9" s="745" t="inlineStr">
        <is>
          <t>資産除去債務</t>
        </is>
      </c>
      <c r="F9" s="746" t="n"/>
    </row>
    <row r="10" ht="32.1" customHeight="1" s="595">
      <c r="B10" s="747" t="inlineStr">
        <is>
          <t>売却予定不動産</t>
        </is>
      </c>
      <c r="C10" s="746" t="n"/>
      <c r="E10" s="745" t="inlineStr">
        <is>
          <t>役員退職慰労金</t>
        </is>
      </c>
      <c r="F10" s="746" t="n"/>
    </row>
    <row r="11" ht="32.1" customHeight="1" s="595">
      <c r="B11" s="745" t="inlineStr">
        <is>
          <t>売却予定車両</t>
        </is>
      </c>
      <c r="C11" s="746" t="n"/>
      <c r="E11" s="745" t="inlineStr">
        <is>
          <t>営業循環外前受金</t>
        </is>
      </c>
      <c r="F11" s="746" t="n"/>
    </row>
    <row r="12" ht="32.1" customHeight="1" s="595" thickBot="1">
      <c r="B12" s="747" t="n"/>
      <c r="C12" s="748" t="n"/>
      <c r="E12" s="747" t="inlineStr">
        <is>
          <t>ファイナンスリース債務</t>
        </is>
      </c>
      <c r="F12" s="748" t="n"/>
    </row>
    <row r="13" ht="31.7" customHeight="1" s="595">
      <c r="B13" s="345" t="inlineStr">
        <is>
          <t>合計</t>
        </is>
      </c>
      <c r="C13" s="749">
        <f>SUM(C4:C12)</f>
        <v>219329077</v>
      </c>
      <c r="E13" s="345" t="inlineStr">
        <is>
          <t>合計</t>
        </is>
      </c>
      <c r="F13" s="749">
        <f>SUM(F4:F12)</f>
        <v>362909300</v>
      </c>
    </row>
    <row r="14" ht="18.75" customHeight="1" s="595" thickBot="1"/>
    <row r="15" ht="31.7" customHeight="1" s="595" thickBot="1">
      <c r="B15" s="365" t="inlineStr">
        <is>
          <t>ネットキャッシュ</t>
        </is>
      </c>
      <c r="C15" s="750">
        <f>C13-F13</f>
        <v>-143580223</v>
      </c>
      <c r="E15" s="365" t="inlineStr">
        <is>
          <t>ネットデット</t>
        </is>
      </c>
      <c r="F15" s="750">
        <f>F13-C13</f>
        <v>143580223</v>
      </c>
    </row>
    <row r="17">
      <c r="C17" s="0" t="n"/>
      <c r="F17" s="0" t="n"/>
    </row>
    <row r="19">
      <c r="B19" t="inlineStr">
        <is>
          <t>※預り保証金8,980千円・保証金33,303千円は事業上の預託・預り金としてネットキャッシュに含めていない（取扱いは要確認）。(株)庄果株式・信金出資は取引関係上の保有のため除外。</t>
        </is>
      </c>
    </row>
  </sheetData>
  <pageMargins left="0.7" right="0.7" top="0.75" bottom="0.75" header="0.3" footer="0.3"/>
</worksheet>
</file>

<file path=xl/worksheets/sheet21.xml><?xml version="1.0" encoding="utf-8"?>
<worksheet xmlns="http://schemas.openxmlformats.org/spreadsheetml/2006/main">
  <sheetPr>
    <tabColor theme="7"/>
    <outlinePr summaryBelow="1" summaryRight="1"/>
    <pageSetUpPr/>
  </sheetPr>
  <dimension ref="B1:R77"/>
  <sheetViews>
    <sheetView showGridLines="0" zoomScale="70" zoomScaleNormal="70" workbookViewId="0">
      <pane ySplit="4" topLeftCell="A38" activePane="bottomLeft" state="frozen"/>
      <selection activeCell="Q4" sqref="Q4"/>
      <selection pane="bottomLeft" activeCell="A56" sqref="A56"/>
    </sheetView>
  </sheetViews>
  <sheetFormatPr baseColWidth="8" defaultRowHeight="18"/>
  <cols>
    <col width="28" bestFit="1" customWidth="1" style="175" min="2" max="2"/>
    <col width="15" customWidth="1" style="182" min="3" max="17"/>
    <col width="16.125" customWidth="1" style="595" min="18" max="18"/>
  </cols>
  <sheetData>
    <row r="1">
      <c r="B1" s="182" t="n"/>
      <c r="C1" s="0" t="n"/>
      <c r="D1" s="0" t="n"/>
      <c r="E1" s="0" t="n"/>
      <c r="F1" s="0" t="n"/>
      <c r="G1" s="0" t="n"/>
      <c r="H1" s="0" t="n"/>
      <c r="I1" s="0" t="n"/>
      <c r="J1" s="0" t="n"/>
      <c r="K1" s="0" t="n"/>
      <c r="L1" s="0" t="n"/>
      <c r="M1" s="0" t="n"/>
      <c r="N1" s="0" t="n"/>
      <c r="O1" s="0" t="n"/>
      <c r="P1" s="0" t="n"/>
      <c r="Q1" s="0" t="n"/>
    </row>
    <row r="2" ht="18.75" customHeight="1" s="595">
      <c r="B2" s="0" t="n"/>
      <c r="C2" s="175" t="n"/>
      <c r="D2" s="0" t="n"/>
      <c r="E2" s="0" t="n"/>
      <c r="F2" s="175" t="n"/>
      <c r="G2" s="0" t="n"/>
      <c r="H2" s="0" t="n"/>
      <c r="I2" s="175" t="n"/>
      <c r="J2" s="0" t="n"/>
      <c r="K2" s="73" t="inlineStr">
        <is>
          <t>(単位：千円)</t>
        </is>
      </c>
      <c r="L2" s="175" t="n"/>
      <c r="M2" s="0" t="n"/>
      <c r="N2" s="0" t="n"/>
      <c r="O2" s="175" t="n"/>
      <c r="P2" s="0" t="n"/>
      <c r="Q2" s="0" t="n"/>
    </row>
    <row r="3" ht="20.25" customHeight="1" s="595" thickBot="1">
      <c r="B3" s="559" t="inlineStr">
        <is>
          <t>科目</t>
        </is>
      </c>
      <c r="C3" s="193" t="str">
        <f>'BS(借方)'!C4</f>
        <v>●●年●月期</v>
      </c>
      <c r="D3" s="174" t="n"/>
      <c r="E3" s="174" t="n"/>
      <c r="F3" s="193" t="str">
        <f>'BS(借方)'!D4</f>
        <v>24年3月期</v>
      </c>
      <c r="G3" s="174" t="n"/>
      <c r="H3" s="174" t="n"/>
      <c r="I3" s="193" t="str">
        <f>'BS(借方)'!E4</f>
        <v>25年3月期</v>
      </c>
      <c r="J3" s="174" t="n"/>
      <c r="K3" s="174" t="n"/>
      <c r="L3" s="193" t="str">
        <f>'BS(借方)'!F4</f>
        <v>26年3月期</v>
      </c>
      <c r="M3" s="174" t="n"/>
      <c r="N3" s="174" t="n"/>
      <c r="O3" s="273" t="str">
        <f>'BS(借方)'!G4</f>
        <v>27年3月期
4〜9月TB</v>
      </c>
      <c r="P3" s="274" t="n"/>
      <c r="Q3" s="274" t="n"/>
    </row>
    <row r="4" ht="19.5" customHeight="1" s="595">
      <c r="B4" s="641" t="n"/>
      <c r="C4" s="221" t="inlineStr">
        <is>
          <t>帳簿価額</t>
        </is>
      </c>
      <c r="D4" s="280" t="inlineStr">
        <is>
          <t>修正額</t>
        </is>
      </c>
      <c r="E4" s="285" t="inlineStr">
        <is>
          <t>修正後</t>
        </is>
      </c>
      <c r="F4" s="275" t="inlineStr">
        <is>
          <t>帳簿価額</t>
        </is>
      </c>
      <c r="G4" s="280" t="inlineStr">
        <is>
          <t>修正額</t>
        </is>
      </c>
      <c r="H4" s="285" t="inlineStr">
        <is>
          <t>修正後</t>
        </is>
      </c>
      <c r="I4" s="221" t="inlineStr">
        <is>
          <t>帳簿価額</t>
        </is>
      </c>
      <c r="J4" s="280" t="inlineStr">
        <is>
          <t>修正額</t>
        </is>
      </c>
      <c r="K4" s="285" t="inlineStr">
        <is>
          <t>修正後</t>
        </is>
      </c>
      <c r="L4" s="221" t="inlineStr">
        <is>
          <t>帳簿価額</t>
        </is>
      </c>
      <c r="M4" s="280" t="inlineStr">
        <is>
          <t>修正額</t>
        </is>
      </c>
      <c r="N4" s="285" t="inlineStr">
        <is>
          <t>修正後</t>
        </is>
      </c>
      <c r="O4" s="222" t="inlineStr">
        <is>
          <t>帳簿価額</t>
        </is>
      </c>
      <c r="P4" s="222" t="inlineStr">
        <is>
          <t>修正額</t>
        </is>
      </c>
      <c r="Q4" s="285" t="inlineStr">
        <is>
          <t>修正後</t>
        </is>
      </c>
    </row>
    <row r="5" ht="22.5" customHeight="1" s="595">
      <c r="B5" s="204" t="str">
        <f>PL!B5</f>
        <v>商品売上高</v>
      </c>
      <c r="C5" s="609">
        <f>PL!C5</f>
        <v>0</v>
      </c>
      <c r="D5" s="618" t="n"/>
      <c r="E5" s="599">
        <f>C5+D5</f>
        <v>0</v>
      </c>
      <c r="F5" s="609">
        <f>PL!E5</f>
        <v>1179974308</v>
      </c>
      <c r="G5" s="618" t="n"/>
      <c r="H5" s="599">
        <f>F5+G5</f>
        <v>1179974308</v>
      </c>
      <c r="I5" s="609">
        <f>PL!G5</f>
        <v>1183308630</v>
      </c>
      <c r="J5" s="618" t="n"/>
      <c r="K5" s="599">
        <f>I5+J5</f>
        <v>1183308630</v>
      </c>
      <c r="L5" s="609">
        <f>PL!I5</f>
        <v>1197530299</v>
      </c>
      <c r="M5" s="618" t="n"/>
      <c r="N5" s="599">
        <f>L5+M5</f>
        <v>1197530299</v>
      </c>
      <c r="O5" s="609">
        <f>PL!K5</f>
        <v>568871022</v>
      </c>
      <c r="P5" s="618" t="n"/>
      <c r="Q5" s="599">
        <f>O5+P5</f>
        <v>568871022</v>
      </c>
    </row>
    <row r="6" ht="22.5" customHeight="1" s="595">
      <c r="B6" s="205" t="str">
        <f>PL!B6</f>
        <v>資材売上高</v>
      </c>
      <c r="C6" s="609">
        <f>PL!C6</f>
        <v>0</v>
      </c>
      <c r="D6" s="618" t="n"/>
      <c r="E6" s="599">
        <f>C6+D6</f>
        <v>0</v>
      </c>
      <c r="F6" s="609">
        <f>PL!E6</f>
        <v>0</v>
      </c>
      <c r="G6" s="618" t="n"/>
      <c r="H6" s="599">
        <f>F6+G6</f>
        <v>0</v>
      </c>
      <c r="I6" s="609">
        <f>PL!G6</f>
        <v>0</v>
      </c>
      <c r="J6" s="618" t="n"/>
      <c r="K6" s="599">
        <f>I6+J6</f>
        <v>0</v>
      </c>
      <c r="L6" s="609">
        <f>PL!I6</f>
        <v>0</v>
      </c>
      <c r="M6" s="618" t="n"/>
      <c r="N6" s="599">
        <f>L6+M6</f>
        <v>0</v>
      </c>
      <c r="O6" s="609">
        <f>PL!K6</f>
        <v>5369372</v>
      </c>
      <c r="P6" s="618" t="n"/>
      <c r="Q6" s="599">
        <f>O6+P6</f>
        <v>5369372</v>
      </c>
    </row>
    <row r="7" ht="22.5" customHeight="1" s="595">
      <c r="B7" s="205" t="str">
        <f>PL!B7</f>
        <v>資材売上（自社）</v>
      </c>
      <c r="C7" s="609">
        <f>PL!C7</f>
        <v>0</v>
      </c>
      <c r="D7" s="618" t="n"/>
      <c r="E7" s="599">
        <f>C7+D7</f>
        <v>0</v>
      </c>
      <c r="F7" s="609">
        <f>PL!E7</f>
        <v>0</v>
      </c>
      <c r="G7" s="618" t="n"/>
      <c r="H7" s="599">
        <f>F7+G7</f>
        <v>0</v>
      </c>
      <c r="I7" s="609">
        <f>PL!G7</f>
        <v>0</v>
      </c>
      <c r="J7" s="618" t="n"/>
      <c r="K7" s="599">
        <f>I7+J7</f>
        <v>0</v>
      </c>
      <c r="L7" s="609">
        <f>PL!I7</f>
        <v>0</v>
      </c>
      <c r="M7" s="618" t="n"/>
      <c r="N7" s="599">
        <f>L7+M7</f>
        <v>0</v>
      </c>
      <c r="O7" s="609">
        <f>PL!K7</f>
        <v>9473775</v>
      </c>
      <c r="P7" s="618" t="n"/>
      <c r="Q7" s="599">
        <f>O7+P7</f>
        <v>9473775</v>
      </c>
    </row>
    <row r="8" ht="22.5" customHeight="1" s="595">
      <c r="B8" s="205" t="str">
        <f>PL!B8</f>
        <v>主婦センター費</v>
      </c>
      <c r="C8" s="609">
        <f>PL!C8</f>
        <v>0</v>
      </c>
      <c r="D8" s="618" t="n"/>
      <c r="E8" s="599">
        <f>C8+D8</f>
        <v>0</v>
      </c>
      <c r="F8" s="609">
        <f>PL!E8</f>
        <v>0</v>
      </c>
      <c r="G8" s="618" t="n"/>
      <c r="H8" s="599">
        <f>F8+G8</f>
        <v>0</v>
      </c>
      <c r="I8" s="609">
        <f>PL!G8</f>
        <v>0</v>
      </c>
      <c r="J8" s="618" t="n"/>
      <c r="K8" s="599">
        <f>I8+J8</f>
        <v>0</v>
      </c>
      <c r="L8" s="609">
        <f>PL!I8</f>
        <v>0</v>
      </c>
      <c r="M8" s="618" t="n"/>
      <c r="N8" s="599">
        <f>L8+M8</f>
        <v>0</v>
      </c>
      <c r="O8" s="609">
        <f>PL!K8</f>
        <v>18416492</v>
      </c>
      <c r="P8" s="618" t="n"/>
      <c r="Q8" s="599">
        <f>O8+P8</f>
        <v>18416492</v>
      </c>
    </row>
    <row r="9" ht="22.5" customHeight="1" s="595">
      <c r="B9" s="205" t="str">
        <f>PL!B9</f>
        <v>委託手数料収入</v>
      </c>
      <c r="C9" s="609">
        <f>PL!C9</f>
        <v>0</v>
      </c>
      <c r="D9" s="618" t="n"/>
      <c r="E9" s="599">
        <f>C9+D9</f>
        <v>0</v>
      </c>
      <c r="F9" s="609">
        <f>PL!E9</f>
        <v>0</v>
      </c>
      <c r="G9" s="618" t="n"/>
      <c r="H9" s="599">
        <f>F9+G9</f>
        <v>0</v>
      </c>
      <c r="I9" s="609">
        <f>PL!G9</f>
        <v>0</v>
      </c>
      <c r="J9" s="618" t="n"/>
      <c r="K9" s="599">
        <f>I9+J9</f>
        <v>0</v>
      </c>
      <c r="L9" s="609">
        <f>PL!I9</f>
        <v>0</v>
      </c>
      <c r="M9" s="618" t="n"/>
      <c r="N9" s="599">
        <f>L9+M9</f>
        <v>0</v>
      </c>
      <c r="O9" s="609">
        <f>PL!K9</f>
        <v>19958506</v>
      </c>
      <c r="P9" s="618" t="n"/>
      <c r="Q9" s="599">
        <f>O9+P9</f>
        <v>19958506</v>
      </c>
    </row>
    <row r="10" ht="22.5" customHeight="1" s="595">
      <c r="B10" s="206" t="str">
        <f>PL!B10</f>
        <v>売上割戻金</v>
      </c>
      <c r="C10" s="611">
        <f>PL!C10</f>
        <v>0</v>
      </c>
      <c r="D10" s="619" t="n"/>
      <c r="E10" s="751">
        <f>C10+D10</f>
        <v>0</v>
      </c>
      <c r="F10" s="611">
        <f>PL!E10</f>
        <v>-1485210</v>
      </c>
      <c r="G10" s="619" t="n"/>
      <c r="H10" s="751">
        <f>F10+G10</f>
        <v>-1485210</v>
      </c>
      <c r="I10" s="611">
        <f>PL!G10</f>
        <v>-1361290</v>
      </c>
      <c r="J10" s="619" t="n"/>
      <c r="K10" s="751">
        <f>I10+J10</f>
        <v>-1361290</v>
      </c>
      <c r="L10" s="611">
        <f>PL!I10</f>
        <v>-1637030</v>
      </c>
      <c r="M10" s="619" t="n"/>
      <c r="N10" s="751">
        <f>L10+M10</f>
        <v>-1637030</v>
      </c>
      <c r="O10" s="611">
        <f>PL!K10</f>
        <v>-757740</v>
      </c>
      <c r="P10" s="619" t="n"/>
      <c r="Q10" s="751">
        <f>O10+P10</f>
        <v>-757740</v>
      </c>
    </row>
    <row r="11" ht="22.5" customHeight="1" s="595">
      <c r="B11" s="209" t="inlineStr">
        <is>
          <t>売上高</t>
        </is>
      </c>
      <c r="C11" s="645">
        <f>SUM(C5:C10)</f>
        <v>0</v>
      </c>
      <c r="D11" s="645">
        <f>SUM(D5:D10)</f>
        <v>0</v>
      </c>
      <c r="E11" s="597">
        <f>C11+D11</f>
        <v>0</v>
      </c>
      <c r="F11" s="645">
        <f>SUM(F5:F10)</f>
        <v>1178489098</v>
      </c>
      <c r="G11" s="645">
        <f>SUM(G5:G10)</f>
        <v>0</v>
      </c>
      <c r="H11" s="597">
        <f>F11+G11</f>
        <v>1178489098</v>
      </c>
      <c r="I11" s="645">
        <f>SUM(I5:I10)</f>
        <v>1181947340</v>
      </c>
      <c r="J11" s="645">
        <f>SUM(J5:J10)</f>
        <v>0</v>
      </c>
      <c r="K11" s="597">
        <f>I11+J11</f>
        <v>1181947340</v>
      </c>
      <c r="L11" s="645">
        <f>SUM(L5:L10)</f>
        <v>1195893269</v>
      </c>
      <c r="M11" s="645">
        <f>SUM(M5:M10)</f>
        <v>0</v>
      </c>
      <c r="N11" s="597">
        <f>L11+M11</f>
        <v>1195893269</v>
      </c>
      <c r="O11" s="645">
        <f>SUM(O5:O10)</f>
        <v>621331427</v>
      </c>
      <c r="P11" s="645">
        <f>SUM(P5:P10)</f>
        <v>0</v>
      </c>
      <c r="Q11" s="597">
        <f>O11+P11</f>
        <v>621331427</v>
      </c>
    </row>
    <row r="12" ht="22.5" customHeight="1" s="595">
      <c r="B12" s="208" t="str">
        <f>PL!B12</f>
        <v>期首棚卸高</v>
      </c>
      <c r="C12" s="609">
        <f>PL!C12</f>
        <v>0</v>
      </c>
      <c r="D12" s="618" t="n"/>
      <c r="E12" s="599">
        <f>C12+D12</f>
        <v>0</v>
      </c>
      <c r="F12" s="609">
        <f>PL!E12</f>
        <v>15470384</v>
      </c>
      <c r="G12" s="618" t="n"/>
      <c r="H12" s="599">
        <f>F12+G12</f>
        <v>15470384</v>
      </c>
      <c r="I12" s="609">
        <f>PL!G12</f>
        <v>9859795</v>
      </c>
      <c r="J12" s="618" t="n"/>
      <c r="K12" s="599">
        <f>I12+J12</f>
        <v>9859795</v>
      </c>
      <c r="L12" s="609">
        <f>PL!I12</f>
        <v>15443609</v>
      </c>
      <c r="M12" s="618" t="n"/>
      <c r="N12" s="599">
        <f>L12+M12</f>
        <v>15443609</v>
      </c>
      <c r="O12" s="609">
        <f>PL!K12</f>
        <v>14596695</v>
      </c>
      <c r="P12" s="618" t="n"/>
      <c r="Q12" s="599">
        <f>O12+P12</f>
        <v>14596695</v>
      </c>
    </row>
    <row r="13" ht="22.5" customHeight="1" s="595">
      <c r="B13" s="557" t="str">
        <f>PL!B13</f>
        <v>仕入高</v>
      </c>
      <c r="C13" s="609">
        <f>PL!C13</f>
        <v>0</v>
      </c>
      <c r="D13" s="618" t="n"/>
      <c r="E13" s="599">
        <f>C13+D13</f>
        <v>0</v>
      </c>
      <c r="F13" s="609">
        <f>PL!E13</f>
        <v>953298320</v>
      </c>
      <c r="G13" s="618" t="n"/>
      <c r="H13" s="599">
        <f>F13+G13</f>
        <v>953298320</v>
      </c>
      <c r="I13" s="609">
        <f>PL!G13</f>
        <v>976235640</v>
      </c>
      <c r="J13" s="618" t="n"/>
      <c r="K13" s="599">
        <f>I13+J13</f>
        <v>976235640</v>
      </c>
      <c r="L13" s="609">
        <f>PL!I13</f>
        <v>996035389</v>
      </c>
      <c r="M13" s="618" t="n"/>
      <c r="N13" s="599">
        <f>L13+M13</f>
        <v>996035389</v>
      </c>
      <c r="O13" s="609">
        <f>PL!K13</f>
        <v>514967990</v>
      </c>
      <c r="P13" s="618" t="n"/>
      <c r="Q13" s="599">
        <f>O13+P13</f>
        <v>514967990</v>
      </c>
    </row>
    <row r="14" ht="22.5" customHeight="1" s="595">
      <c r="B14" s="557" t="str">
        <f>PL!B14</f>
        <v>期末棚卸高</v>
      </c>
      <c r="C14" s="609">
        <f>PL!C14</f>
        <v>0</v>
      </c>
      <c r="D14" s="618" t="n"/>
      <c r="E14" s="599">
        <f>C14+D14</f>
        <v>0</v>
      </c>
      <c r="F14" s="609">
        <f>PL!E14</f>
        <v>-9859795</v>
      </c>
      <c r="G14" s="618" t="n"/>
      <c r="H14" s="599">
        <f>F14+G14</f>
        <v>-9859795</v>
      </c>
      <c r="I14" s="609">
        <f>PL!G14</f>
        <v>-15443609</v>
      </c>
      <c r="J14" s="618" t="n"/>
      <c r="K14" s="599">
        <f>I14+J14</f>
        <v>-15443609</v>
      </c>
      <c r="L14" s="609">
        <f>PL!I14</f>
        <v>-14596695</v>
      </c>
      <c r="M14" s="618" t="n"/>
      <c r="N14" s="599">
        <f>L14+M14</f>
        <v>-14596695</v>
      </c>
      <c r="O14" s="609">
        <f>PL!K14</f>
        <v>-14405198</v>
      </c>
      <c r="P14" s="618" t="n"/>
      <c r="Q14" s="599">
        <f>O14+P14</f>
        <v>-14405198</v>
      </c>
    </row>
    <row r="15" ht="22.5" customHeight="1" s="595">
      <c r="B15" s="557">
        <f>PL!B15</f>
        <v>0</v>
      </c>
      <c r="C15" s="609">
        <f>PL!C15</f>
        <v>0</v>
      </c>
      <c r="D15" s="618" t="n"/>
      <c r="E15" s="599">
        <f>C15+D15</f>
        <v>0</v>
      </c>
      <c r="F15" s="609">
        <f>PL!E15</f>
        <v>0</v>
      </c>
      <c r="G15" s="618" t="n"/>
      <c r="H15" s="599">
        <f>F15+G15</f>
        <v>0</v>
      </c>
      <c r="I15" s="609">
        <f>PL!G15</f>
        <v>0</v>
      </c>
      <c r="J15" s="618" t="n"/>
      <c r="K15" s="599">
        <f>I15+J15</f>
        <v>0</v>
      </c>
      <c r="L15" s="609">
        <f>PL!I15</f>
        <v>0</v>
      </c>
      <c r="M15" s="618" t="n"/>
      <c r="N15" s="599">
        <f>L15+M15</f>
        <v>0</v>
      </c>
      <c r="O15" s="609">
        <f>PL!K15</f>
        <v>0</v>
      </c>
      <c r="P15" s="618" t="n"/>
      <c r="Q15" s="599">
        <f>O15+P15</f>
        <v>0</v>
      </c>
    </row>
    <row r="16" ht="22.5" customHeight="1" s="595">
      <c r="B16" s="207" t="inlineStr">
        <is>
          <t>売上原価</t>
        </is>
      </c>
      <c r="C16" s="647">
        <f>SUM(C12:C15)</f>
        <v>0</v>
      </c>
      <c r="D16" s="647">
        <f>SUM(D12:D15)</f>
        <v>0</v>
      </c>
      <c r="E16" s="752">
        <f>C16+D16</f>
        <v>0</v>
      </c>
      <c r="F16" s="647">
        <f>SUM(F12:F15)</f>
        <v>958908909</v>
      </c>
      <c r="G16" s="647">
        <f>SUM(G12:G15)</f>
        <v>0</v>
      </c>
      <c r="H16" s="752">
        <f>F16+G16</f>
        <v>958908909</v>
      </c>
      <c r="I16" s="647">
        <f>SUM(I12:I15)</f>
        <v>970651826</v>
      </c>
      <c r="J16" s="647">
        <f>SUM(J12:J15)</f>
        <v>0</v>
      </c>
      <c r="K16" s="752">
        <f>I16+J16</f>
        <v>970651826</v>
      </c>
      <c r="L16" s="647">
        <f>SUM(L12:L15)</f>
        <v>996882303</v>
      </c>
      <c r="M16" s="647">
        <f>SUM(M12:M15)</f>
        <v>0</v>
      </c>
      <c r="N16" s="752">
        <f>L16+M16</f>
        <v>996882303</v>
      </c>
      <c r="O16" s="647">
        <f>SUM(O12:O15)</f>
        <v>515159487</v>
      </c>
      <c r="P16" s="647">
        <f>SUM(P12:P15)</f>
        <v>0</v>
      </c>
      <c r="Q16" s="752">
        <f>O16+P16</f>
        <v>515159487</v>
      </c>
    </row>
    <row r="17" ht="22.5" customHeight="1" s="595">
      <c r="B17" s="209" t="inlineStr">
        <is>
          <t>売上総利益</t>
        </is>
      </c>
      <c r="C17" s="645">
        <f>C11-C16</f>
        <v>0</v>
      </c>
      <c r="D17" s="645">
        <f>D11-D16</f>
        <v>0</v>
      </c>
      <c r="E17" s="597">
        <f>C17+D17</f>
        <v>0</v>
      </c>
      <c r="F17" s="645">
        <f>F11-F16</f>
        <v>219580189</v>
      </c>
      <c r="G17" s="645">
        <f>G11-G16</f>
        <v>0</v>
      </c>
      <c r="H17" s="597">
        <f>F17+G17</f>
        <v>219580189</v>
      </c>
      <c r="I17" s="645">
        <f>I11-I16</f>
        <v>211295514</v>
      </c>
      <c r="J17" s="645">
        <f>J11-J16</f>
        <v>0</v>
      </c>
      <c r="K17" s="597">
        <f>I17+J17</f>
        <v>211295514</v>
      </c>
      <c r="L17" s="645">
        <f>L11-L16</f>
        <v>199010966</v>
      </c>
      <c r="M17" s="645">
        <f>M11-M16</f>
        <v>0</v>
      </c>
      <c r="N17" s="597">
        <f>L17+M17</f>
        <v>199010966</v>
      </c>
      <c r="O17" s="645">
        <f>O11-O16</f>
        <v>106171940</v>
      </c>
      <c r="P17" s="645">
        <f>P11-P16</f>
        <v>0</v>
      </c>
      <c r="Q17" s="597">
        <f>O17+P17</f>
        <v>106171940</v>
      </c>
    </row>
    <row r="18" ht="22.5" customHeight="1" s="595">
      <c r="B18" s="207" t="inlineStr">
        <is>
          <t>販売費及び一般管理費</t>
        </is>
      </c>
      <c r="C18" s="649">
        <f>修正SGA!C39</f>
        <v>0</v>
      </c>
      <c r="D18" s="753">
        <f>修正SGA!D39</f>
        <v>0</v>
      </c>
      <c r="E18" s="754">
        <f>C18+D18</f>
        <v>0</v>
      </c>
      <c r="F18" s="649">
        <f>修正SGA!F39</f>
        <v>214823441</v>
      </c>
      <c r="G18" s="753">
        <f>修正SGA!G39</f>
        <v>-20041508</v>
      </c>
      <c r="H18" s="754">
        <f>F18+G18</f>
        <v>194781933</v>
      </c>
      <c r="I18" s="649">
        <f>修正SGA!I39</f>
        <v>215718454</v>
      </c>
      <c r="J18" s="753">
        <f>修正SGA!J39</f>
        <v>-20235707</v>
      </c>
      <c r="K18" s="754">
        <f>I18+J18</f>
        <v>195482747</v>
      </c>
      <c r="L18" s="649">
        <f>修正SGA!L39</f>
        <v>193151054</v>
      </c>
      <c r="M18" s="753">
        <f>修正SGA!M39</f>
        <v>-6379024.25</v>
      </c>
      <c r="N18" s="754">
        <f>L18+M18</f>
        <v>186772029.75</v>
      </c>
      <c r="O18" s="649">
        <f>修正SGA!O39</f>
        <v>85746239</v>
      </c>
      <c r="P18" s="753">
        <f>修正SGA!P39</f>
        <v>-1406434.125</v>
      </c>
      <c r="Q18" s="754">
        <f>O18+P18</f>
        <v>84339804.875</v>
      </c>
    </row>
    <row r="19" ht="22.5" customHeight="1" s="595">
      <c r="B19" s="209" t="inlineStr">
        <is>
          <t>営業利益</t>
        </is>
      </c>
      <c r="C19" s="645">
        <f>C17- C18</f>
        <v>0</v>
      </c>
      <c r="D19" s="645">
        <f>D17- D18</f>
        <v>0</v>
      </c>
      <c r="E19" s="597">
        <f>C19+D19</f>
        <v>0</v>
      </c>
      <c r="F19" s="645">
        <f>F17- F18</f>
        <v>4756748</v>
      </c>
      <c r="G19" s="645">
        <f>G17- G18</f>
        <v>20041508</v>
      </c>
      <c r="H19" s="597">
        <f>F19+G19</f>
        <v>24798256</v>
      </c>
      <c r="I19" s="645">
        <f>I17- I18</f>
        <v>-4422940</v>
      </c>
      <c r="J19" s="645">
        <f>J17- J18</f>
        <v>20235707</v>
      </c>
      <c r="K19" s="597">
        <f>I19+J19</f>
        <v>15812767</v>
      </c>
      <c r="L19" s="645">
        <f>L17- L18</f>
        <v>5859912</v>
      </c>
      <c r="M19" s="645">
        <f>M17- M18</f>
        <v>6379024.25</v>
      </c>
      <c r="N19" s="597">
        <f>L19+M19</f>
        <v>12238936.25</v>
      </c>
      <c r="O19" s="645">
        <f>O17- O18</f>
        <v>20425701</v>
      </c>
      <c r="P19" s="645">
        <f>P17- P18</f>
        <v>1406434.125</v>
      </c>
      <c r="Q19" s="597">
        <f>O19+P19</f>
        <v>21832135.125</v>
      </c>
    </row>
    <row r="20" ht="22.5" customHeight="1" s="595">
      <c r="B20" s="207" t="inlineStr">
        <is>
          <t>営業外収益</t>
        </is>
      </c>
      <c r="C20" s="649">
        <f>SUM(C21:C27)</f>
        <v>0</v>
      </c>
      <c r="D20" s="649">
        <f>SUM(D21:D27)</f>
        <v>0</v>
      </c>
      <c r="E20" s="754">
        <f>C20+D20</f>
        <v>0</v>
      </c>
      <c r="F20" s="649">
        <f>SUM(F21:F27)</f>
        <v>10628095</v>
      </c>
      <c r="G20" s="649">
        <f>SUM(G21:G27)</f>
        <v>-2284370</v>
      </c>
      <c r="H20" s="754">
        <f>F20+G20</f>
        <v>8343725</v>
      </c>
      <c r="I20" s="649">
        <f>SUM(I21:I27)</f>
        <v>10736890</v>
      </c>
      <c r="J20" s="649">
        <f>SUM(J21:J27)</f>
        <v>-2406729</v>
      </c>
      <c r="K20" s="754">
        <f>I20+J20</f>
        <v>8330161</v>
      </c>
      <c r="L20" s="649">
        <f>SUM(L21:L27)</f>
        <v>6577758</v>
      </c>
      <c r="M20" s="649">
        <f>SUM(M21:M27)</f>
        <v>-2513377</v>
      </c>
      <c r="N20" s="754">
        <f>L20+M20</f>
        <v>4064381</v>
      </c>
      <c r="O20" s="649">
        <f>SUM(O21:O27)</f>
        <v>2830373</v>
      </c>
      <c r="P20" s="649">
        <f>SUM(P21:P27)</f>
        <v>-1184146</v>
      </c>
      <c r="Q20" s="754">
        <f>O20+P20</f>
        <v>1646227</v>
      </c>
    </row>
    <row r="21" ht="22.5" customHeight="1" s="595">
      <c r="B21" s="210" t="str">
        <f>PL!B21</f>
        <v>受取利息</v>
      </c>
      <c r="C21" s="609">
        <f>PL!C21</f>
        <v>0</v>
      </c>
      <c r="D21" s="618" t="n"/>
      <c r="E21" s="599">
        <f>C21+D21</f>
        <v>0</v>
      </c>
      <c r="F21" s="609">
        <f>PL!E21</f>
        <v>1252</v>
      </c>
      <c r="G21" s="618" t="n"/>
      <c r="H21" s="599">
        <f>F21+G21</f>
        <v>1252</v>
      </c>
      <c r="I21" s="609">
        <f>PL!G21</f>
        <v>84858</v>
      </c>
      <c r="J21" s="618" t="n"/>
      <c r="K21" s="599">
        <f>I21+J21</f>
        <v>84858</v>
      </c>
      <c r="L21" s="609">
        <f>PL!I21</f>
        <v>267463</v>
      </c>
      <c r="M21" s="618" t="n"/>
      <c r="N21" s="599">
        <f>L21+M21</f>
        <v>267463</v>
      </c>
      <c r="O21" s="609">
        <f>PL!K21</f>
        <v>161697</v>
      </c>
      <c r="P21" s="618" t="n"/>
      <c r="Q21" s="599">
        <f>O21+P21</f>
        <v>161697</v>
      </c>
    </row>
    <row r="22" ht="22.5" customHeight="1" s="595">
      <c r="B22" s="212" t="str">
        <f>PL!B22</f>
        <v>受取配当金</v>
      </c>
      <c r="C22" s="609">
        <f>PL!C22</f>
        <v>0</v>
      </c>
      <c r="D22" s="618" t="n"/>
      <c r="E22" s="599">
        <f>C22+D22</f>
        <v>0</v>
      </c>
      <c r="F22" s="609">
        <f>PL!E22</f>
        <v>30500</v>
      </c>
      <c r="G22" s="618" t="n"/>
      <c r="H22" s="599">
        <f>F22+G22</f>
        <v>30500</v>
      </c>
      <c r="I22" s="609">
        <f>PL!G22</f>
        <v>30500</v>
      </c>
      <c r="J22" s="618" t="n"/>
      <c r="K22" s="599">
        <f>I22+J22</f>
        <v>30500</v>
      </c>
      <c r="L22" s="609">
        <f>PL!I22</f>
        <v>30500</v>
      </c>
      <c r="M22" s="618" t="n"/>
      <c r="N22" s="599">
        <f>L22+M22</f>
        <v>30500</v>
      </c>
      <c r="O22" s="609">
        <f>PL!K22</f>
        <v>30950</v>
      </c>
      <c r="P22" s="618" t="n"/>
      <c r="Q22" s="599">
        <f>O22+P22</f>
        <v>30950</v>
      </c>
    </row>
    <row r="23" ht="22.5" customHeight="1" s="595">
      <c r="B23" s="212" t="str">
        <f>PL!B23</f>
        <v>受取延滞料</v>
      </c>
      <c r="C23" s="609">
        <f>PL!C23</f>
        <v>0</v>
      </c>
      <c r="D23" s="618" t="n"/>
      <c r="E23" s="599">
        <f>C23+D23</f>
        <v>0</v>
      </c>
      <c r="F23" s="609">
        <f>PL!E23</f>
        <v>170242</v>
      </c>
      <c r="G23" s="618" t="n"/>
      <c r="H23" s="599">
        <f>F23+G23</f>
        <v>170242</v>
      </c>
      <c r="I23" s="609">
        <f>PL!G23</f>
        <v>147416</v>
      </c>
      <c r="J23" s="618" t="n"/>
      <c r="K23" s="599">
        <f>I23+J23</f>
        <v>147416</v>
      </c>
      <c r="L23" s="609">
        <f>PL!I23</f>
        <v>96879</v>
      </c>
      <c r="M23" s="618" t="n"/>
      <c r="N23" s="599">
        <f>L23+M23</f>
        <v>96879</v>
      </c>
      <c r="O23" s="609">
        <f>PL!K23</f>
        <v>58794</v>
      </c>
      <c r="P23" s="618" t="n"/>
      <c r="Q23" s="599">
        <f>O23+P23</f>
        <v>58794</v>
      </c>
    </row>
    <row r="24" ht="22.5" customHeight="1" s="595">
      <c r="B24" s="212" t="str">
        <f>PL!B24</f>
        <v>受取奨励金</v>
      </c>
      <c r="C24" s="609">
        <f>PL!C24</f>
        <v>0</v>
      </c>
      <c r="D24" s="618" t="n"/>
      <c r="E24" s="599">
        <f>C24+D24</f>
        <v>0</v>
      </c>
      <c r="F24" s="609">
        <f>PL!E24</f>
        <v>2284370</v>
      </c>
      <c r="G24" s="618">
        <f>-修正PL!F69</f>
        <v>-2284370</v>
      </c>
      <c r="H24" s="599">
        <f>F24+G24</f>
        <v>0</v>
      </c>
      <c r="I24" s="609">
        <f>PL!G24</f>
        <v>2406729</v>
      </c>
      <c r="J24" s="618">
        <f>-修正PL!I69</f>
        <v>-2406729</v>
      </c>
      <c r="K24" s="599">
        <f>I24+J24</f>
        <v>0</v>
      </c>
      <c r="L24" s="609">
        <f>PL!I24</f>
        <v>2513377</v>
      </c>
      <c r="M24" s="618">
        <f>-修正PL!L69</f>
        <v>-2513377</v>
      </c>
      <c r="N24" s="599">
        <f>L24+M24</f>
        <v>0</v>
      </c>
      <c r="O24" s="609">
        <f>PL!K24</f>
        <v>1184146</v>
      </c>
      <c r="P24" s="618">
        <f>-修正PL!O69</f>
        <v>-1184146</v>
      </c>
      <c r="Q24" s="599">
        <f>O24+P24</f>
        <v>0</v>
      </c>
    </row>
    <row r="25" ht="22.5" customHeight="1" s="595">
      <c r="B25" s="212" t="str">
        <f>PL!B25</f>
        <v>受取運賃・配達収入</v>
      </c>
      <c r="C25" s="609">
        <f>PL!C25</f>
        <v>0</v>
      </c>
      <c r="D25" s="618" t="n"/>
      <c r="E25" s="599">
        <f>C25+D25</f>
        <v>0</v>
      </c>
      <c r="F25" s="609">
        <f>PL!E25</f>
        <v>0</v>
      </c>
      <c r="G25" s="618" t="n"/>
      <c r="H25" s="599">
        <f>F25+G25</f>
        <v>0</v>
      </c>
      <c r="I25" s="609">
        <f>PL!G25</f>
        <v>0</v>
      </c>
      <c r="J25" s="618" t="n"/>
      <c r="K25" s="599">
        <f>I25+J25</f>
        <v>0</v>
      </c>
      <c r="L25" s="609">
        <f>PL!I25</f>
        <v>0</v>
      </c>
      <c r="M25" s="618" t="n"/>
      <c r="N25" s="599">
        <f>L25+M25</f>
        <v>0</v>
      </c>
      <c r="O25" s="609">
        <f>PL!K25</f>
        <v>163350</v>
      </c>
      <c r="P25" s="618" t="n"/>
      <c r="Q25" s="599">
        <f>O25+P25</f>
        <v>163350</v>
      </c>
    </row>
    <row r="26" ht="22.5" customHeight="1" s="595">
      <c r="B26" s="212" t="str">
        <f>PL!B26</f>
        <v>雑収入</v>
      </c>
      <c r="C26" s="609">
        <f>PL!C26</f>
        <v>0</v>
      </c>
      <c r="D26" s="618" t="n"/>
      <c r="E26" s="599">
        <f>C26+D26</f>
        <v>0</v>
      </c>
      <c r="F26" s="609">
        <f>PL!E26</f>
        <v>8141731</v>
      </c>
      <c r="G26" s="618" t="n"/>
      <c r="H26" s="599">
        <f>F26+G26</f>
        <v>8141731</v>
      </c>
      <c r="I26" s="609">
        <f>PL!G26</f>
        <v>8067387</v>
      </c>
      <c r="J26" s="618" t="n"/>
      <c r="K26" s="599">
        <f>I26+J26</f>
        <v>8067387</v>
      </c>
      <c r="L26" s="609">
        <f>PL!I26</f>
        <v>3669539</v>
      </c>
      <c r="M26" s="618" t="n"/>
      <c r="N26" s="599">
        <f>L26+M26</f>
        <v>3669539</v>
      </c>
      <c r="O26" s="609">
        <f>PL!K26</f>
        <v>1231436</v>
      </c>
      <c r="P26" s="618" t="n"/>
      <c r="Q26" s="599">
        <f>O26+P26</f>
        <v>1231436</v>
      </c>
    </row>
    <row r="27" ht="22.5" customHeight="1" s="595">
      <c r="B27" s="211" t="n"/>
      <c r="C27" s="611" t="n"/>
      <c r="D27" s="619" t="n"/>
      <c r="E27" s="751">
        <f>C27+D27</f>
        <v>0</v>
      </c>
      <c r="F27" s="611" t="n"/>
      <c r="G27" s="619" t="n"/>
      <c r="H27" s="751">
        <f>F27+G27</f>
        <v>0</v>
      </c>
      <c r="I27" s="611" t="n"/>
      <c r="J27" s="619" t="n"/>
      <c r="K27" s="751">
        <f>I27+J27</f>
        <v>0</v>
      </c>
      <c r="L27" s="611" t="n"/>
      <c r="M27" s="619" t="n"/>
      <c r="N27" s="751">
        <f>L27+M27</f>
        <v>0</v>
      </c>
      <c r="O27" s="611" t="n"/>
      <c r="P27" s="619" t="n"/>
      <c r="Q27" s="751">
        <f>O27+P27</f>
        <v>0</v>
      </c>
    </row>
    <row r="28" ht="22.5" customHeight="1" s="595">
      <c r="B28" s="207" t="inlineStr">
        <is>
          <t>営業外費用</t>
        </is>
      </c>
      <c r="C28" s="649">
        <f>SUM(C29:C35)</f>
        <v>0</v>
      </c>
      <c r="D28" s="649">
        <f>SUM(D29:D35)</f>
        <v>0</v>
      </c>
      <c r="E28" s="754">
        <f>C28+D28</f>
        <v>0</v>
      </c>
      <c r="F28" s="649">
        <f>SUM(F29:F35)</f>
        <v>4068303</v>
      </c>
      <c r="G28" s="649">
        <f>SUM(G29:G35)</f>
        <v>-105862</v>
      </c>
      <c r="H28" s="754">
        <f>F28+G28</f>
        <v>3962441</v>
      </c>
      <c r="I28" s="649">
        <f>SUM(I29:I35)</f>
        <v>4132569</v>
      </c>
      <c r="J28" s="649">
        <f>SUM(J29:J35)</f>
        <v>-92022</v>
      </c>
      <c r="K28" s="754">
        <f>I28+J28</f>
        <v>4040547</v>
      </c>
      <c r="L28" s="649">
        <f>SUM(L29:L35)</f>
        <v>4369886</v>
      </c>
      <c r="M28" s="649">
        <f>SUM(M29:M35)</f>
        <v>-94929</v>
      </c>
      <c r="N28" s="754">
        <f>L28+M28</f>
        <v>4274957</v>
      </c>
      <c r="O28" s="649">
        <f>SUM(O29:O35)</f>
        <v>2090167</v>
      </c>
      <c r="P28" s="649">
        <f>SUM(P29:P35)</f>
        <v>0</v>
      </c>
      <c r="Q28" s="754">
        <f>O28+P28</f>
        <v>2090167</v>
      </c>
    </row>
    <row r="29" ht="22.5" customHeight="1" s="595">
      <c r="B29" s="210" t="str">
        <f>PL!B29</f>
        <v>支払利息</v>
      </c>
      <c r="C29" s="609">
        <f>PL!C29</f>
        <v>0</v>
      </c>
      <c r="D29" s="618" t="n"/>
      <c r="E29" s="599">
        <f>C29+D29</f>
        <v>0</v>
      </c>
      <c r="F29" s="609">
        <f>PL!E29</f>
        <v>3962441</v>
      </c>
      <c r="G29" s="618" t="n"/>
      <c r="H29" s="599">
        <f>F29+G29</f>
        <v>3962441</v>
      </c>
      <c r="I29" s="609">
        <f>PL!G29</f>
        <v>4040547</v>
      </c>
      <c r="J29" s="618" t="n"/>
      <c r="K29" s="599">
        <f>I29+J29</f>
        <v>4040547</v>
      </c>
      <c r="L29" s="609">
        <f>PL!I29</f>
        <v>3895556</v>
      </c>
      <c r="M29" s="618" t="n"/>
      <c r="N29" s="599">
        <f>L29+M29</f>
        <v>3895556</v>
      </c>
      <c r="O29" s="609">
        <f>PL!K29</f>
        <v>2090167</v>
      </c>
      <c r="P29" s="618" t="n"/>
      <c r="Q29" s="599">
        <f>O29+P29</f>
        <v>2090167</v>
      </c>
    </row>
    <row r="30" ht="22.5" customHeight="1" s="595">
      <c r="B30" s="212" t="str">
        <f>PL!B30</f>
        <v>出荷奨励金</v>
      </c>
      <c r="C30" s="609">
        <f>PL!C30</f>
        <v>0</v>
      </c>
      <c r="D30" s="618" t="n"/>
      <c r="E30" s="599">
        <f>C30+D30</f>
        <v>0</v>
      </c>
      <c r="F30" s="609">
        <f>PL!E30</f>
        <v>105862</v>
      </c>
      <c r="G30" s="618">
        <f>-修正PL!F70</f>
        <v>-105862</v>
      </c>
      <c r="H30" s="599">
        <f>F30+G30</f>
        <v>0</v>
      </c>
      <c r="I30" s="609">
        <f>PL!G30</f>
        <v>92022</v>
      </c>
      <c r="J30" s="618">
        <f>-修正PL!I70</f>
        <v>-92022</v>
      </c>
      <c r="K30" s="599">
        <f>I30+J30</f>
        <v>0</v>
      </c>
      <c r="L30" s="609">
        <f>PL!I30</f>
        <v>94929</v>
      </c>
      <c r="M30" s="618">
        <f>-修正PL!L70</f>
        <v>-94929</v>
      </c>
      <c r="N30" s="599">
        <f>L30+M30</f>
        <v>0</v>
      </c>
      <c r="O30" s="609">
        <f>PL!K30</f>
        <v>0</v>
      </c>
      <c r="P30" s="618">
        <f>-修正PL!O70</f>
        <v>0</v>
      </c>
      <c r="Q30" s="599">
        <f>O30+P30</f>
        <v>0</v>
      </c>
    </row>
    <row r="31" ht="22.5" customHeight="1" s="595">
      <c r="B31" s="212" t="str">
        <f>PL!B31</f>
        <v>雑損失</v>
      </c>
      <c r="C31" s="609">
        <f>PL!C31</f>
        <v>0</v>
      </c>
      <c r="D31" s="618" t="n"/>
      <c r="E31" s="599">
        <f>C31+D31</f>
        <v>0</v>
      </c>
      <c r="F31" s="609">
        <f>PL!E31</f>
        <v>0</v>
      </c>
      <c r="G31" s="618" t="n"/>
      <c r="H31" s="599">
        <f>F31+G31</f>
        <v>0</v>
      </c>
      <c r="I31" s="609">
        <f>PL!G31</f>
        <v>0</v>
      </c>
      <c r="J31" s="618" t="n"/>
      <c r="K31" s="599">
        <f>I31+J31</f>
        <v>0</v>
      </c>
      <c r="L31" s="609">
        <f>PL!I31</f>
        <v>379401</v>
      </c>
      <c r="M31" s="618" t="n"/>
      <c r="N31" s="599">
        <f>L31+M31</f>
        <v>379401</v>
      </c>
      <c r="O31" s="609">
        <f>PL!K31</f>
        <v>0</v>
      </c>
      <c r="P31" s="618" t="n"/>
      <c r="Q31" s="599">
        <f>O31+P31</f>
        <v>0</v>
      </c>
    </row>
    <row r="32" ht="22.5" customHeight="1" s="595">
      <c r="B32" s="212">
        <f>PL!B32</f>
        <v>0</v>
      </c>
      <c r="C32" s="609">
        <f>PL!C32</f>
        <v>0</v>
      </c>
      <c r="D32" s="618" t="n"/>
      <c r="E32" s="599">
        <f>C32+D32</f>
        <v>0</v>
      </c>
      <c r="F32" s="609">
        <f>PL!E32</f>
        <v>0</v>
      </c>
      <c r="G32" s="618" t="n"/>
      <c r="H32" s="599">
        <f>F32+G32</f>
        <v>0</v>
      </c>
      <c r="I32" s="609">
        <f>PL!G32</f>
        <v>0</v>
      </c>
      <c r="J32" s="618" t="n"/>
      <c r="K32" s="599">
        <f>I32+J32</f>
        <v>0</v>
      </c>
      <c r="L32" s="609">
        <f>PL!I32</f>
        <v>0</v>
      </c>
      <c r="M32" s="618" t="n"/>
      <c r="N32" s="599">
        <f>L32+M32</f>
        <v>0</v>
      </c>
      <c r="O32" s="609">
        <f>PL!K32</f>
        <v>0</v>
      </c>
      <c r="P32" s="618" t="n"/>
      <c r="Q32" s="599">
        <f>O32+P32</f>
        <v>0</v>
      </c>
    </row>
    <row r="33" ht="22.5" customHeight="1" s="595">
      <c r="B33" s="212">
        <f>PL!B33</f>
        <v>0</v>
      </c>
      <c r="C33" s="609">
        <f>PL!C33</f>
        <v>0</v>
      </c>
      <c r="D33" s="618" t="n"/>
      <c r="E33" s="599">
        <f>C33+D33</f>
        <v>0</v>
      </c>
      <c r="F33" s="609">
        <f>PL!E33</f>
        <v>0</v>
      </c>
      <c r="G33" s="618" t="n"/>
      <c r="H33" s="599">
        <f>F33+G33</f>
        <v>0</v>
      </c>
      <c r="I33" s="609">
        <f>PL!G33</f>
        <v>0</v>
      </c>
      <c r="J33" s="618" t="n"/>
      <c r="K33" s="599">
        <f>I33+J33</f>
        <v>0</v>
      </c>
      <c r="L33" s="609">
        <f>PL!I33</f>
        <v>0</v>
      </c>
      <c r="M33" s="618" t="n"/>
      <c r="N33" s="599">
        <f>L33+M33</f>
        <v>0</v>
      </c>
      <c r="O33" s="609">
        <f>PL!K33</f>
        <v>0</v>
      </c>
      <c r="P33" s="618" t="n"/>
      <c r="Q33" s="599">
        <f>O33+P33</f>
        <v>0</v>
      </c>
    </row>
    <row r="34" ht="22.5" customHeight="1" s="595">
      <c r="B34" s="212">
        <f>PL!B34</f>
        <v>0</v>
      </c>
      <c r="C34" s="609">
        <f>PL!C34</f>
        <v>0</v>
      </c>
      <c r="D34" s="618" t="n"/>
      <c r="E34" s="599">
        <f>C34+D34</f>
        <v>0</v>
      </c>
      <c r="F34" s="609">
        <f>PL!E34</f>
        <v>0</v>
      </c>
      <c r="G34" s="618" t="n"/>
      <c r="H34" s="599">
        <f>F34+G34</f>
        <v>0</v>
      </c>
      <c r="I34" s="609">
        <f>PL!G34</f>
        <v>0</v>
      </c>
      <c r="J34" s="618" t="n"/>
      <c r="K34" s="599">
        <f>I34+J34</f>
        <v>0</v>
      </c>
      <c r="L34" s="609">
        <f>PL!I34</f>
        <v>0</v>
      </c>
      <c r="M34" s="618" t="n"/>
      <c r="N34" s="599">
        <f>L34+M34</f>
        <v>0</v>
      </c>
      <c r="O34" s="609">
        <f>PL!K34</f>
        <v>0</v>
      </c>
      <c r="P34" s="618" t="n"/>
      <c r="Q34" s="599">
        <f>O34+P34</f>
        <v>0</v>
      </c>
    </row>
    <row r="35" ht="22.5" customHeight="1" s="595">
      <c r="B35" s="211" t="n"/>
      <c r="C35" s="611" t="n"/>
      <c r="D35" s="619" t="n"/>
      <c r="E35" s="751">
        <f>C35+D35</f>
        <v>0</v>
      </c>
      <c r="F35" s="611" t="n"/>
      <c r="G35" s="619" t="n"/>
      <c r="H35" s="751">
        <f>F35+G35</f>
        <v>0</v>
      </c>
      <c r="I35" s="611" t="n"/>
      <c r="J35" s="619" t="n"/>
      <c r="K35" s="751">
        <f>I35+J35</f>
        <v>0</v>
      </c>
      <c r="L35" s="611" t="n"/>
      <c r="M35" s="619" t="n"/>
      <c r="N35" s="751">
        <f>L35+M35</f>
        <v>0</v>
      </c>
      <c r="O35" s="611" t="n"/>
      <c r="P35" s="619" t="n"/>
      <c r="Q35" s="751">
        <f>O35+P35</f>
        <v>0</v>
      </c>
    </row>
    <row r="36" ht="22.5" customHeight="1" s="595">
      <c r="B36" s="209" t="inlineStr">
        <is>
          <t>経常利益</t>
        </is>
      </c>
      <c r="C36" s="645">
        <f>C19+C20-C28</f>
        <v>0</v>
      </c>
      <c r="D36" s="645">
        <f>D19+D20-D28</f>
        <v>0</v>
      </c>
      <c r="E36" s="597">
        <f>C36+D36</f>
        <v>0</v>
      </c>
      <c r="F36" s="645">
        <f>F19+F20-F28</f>
        <v>11316540</v>
      </c>
      <c r="G36" s="645">
        <f>G19+G20-G28</f>
        <v>17863000</v>
      </c>
      <c r="H36" s="597">
        <f>F36+G36</f>
        <v>29179540</v>
      </c>
      <c r="I36" s="645">
        <f>I19+I20-I28</f>
        <v>2181381</v>
      </c>
      <c r="J36" s="645">
        <f>J19+J20-J28</f>
        <v>17921000</v>
      </c>
      <c r="K36" s="597">
        <f>I36+J36</f>
        <v>20102381</v>
      </c>
      <c r="L36" s="645">
        <f>L19+L20-L28</f>
        <v>8067784</v>
      </c>
      <c r="M36" s="645">
        <f>M19+M20-M28</f>
        <v>3960576.25</v>
      </c>
      <c r="N36" s="597">
        <f>L36+M36</f>
        <v>12028360.25</v>
      </c>
      <c r="O36" s="645">
        <f>O19+O20-O28</f>
        <v>21165907</v>
      </c>
      <c r="P36" s="645">
        <f>P19+P20-P28</f>
        <v>222288.125</v>
      </c>
      <c r="Q36" s="597">
        <f>O36+P36</f>
        <v>21388195.125</v>
      </c>
    </row>
    <row r="37" ht="22.5" customHeight="1" s="595">
      <c r="B37" s="207" t="inlineStr">
        <is>
          <t>特別利益</t>
        </is>
      </c>
      <c r="C37" s="647">
        <f>SUM(C38:C43)</f>
        <v>0</v>
      </c>
      <c r="D37" s="647">
        <f>SUM(D38:D43)</f>
        <v>0</v>
      </c>
      <c r="E37" s="752">
        <f>C37+D37</f>
        <v>0</v>
      </c>
      <c r="F37" s="647">
        <f>SUM(F38:F43)</f>
        <v>1887177</v>
      </c>
      <c r="G37" s="647">
        <f>SUM(G38:G43)</f>
        <v>0</v>
      </c>
      <c r="H37" s="752">
        <f>F37+G37</f>
        <v>1887177</v>
      </c>
      <c r="I37" s="647">
        <f>SUM(I38:I43)</f>
        <v>1845918</v>
      </c>
      <c r="J37" s="647">
        <f>SUM(J38:J43)</f>
        <v>0</v>
      </c>
      <c r="K37" s="752">
        <f>I37+J37</f>
        <v>1845918</v>
      </c>
      <c r="L37" s="647">
        <f>SUM(L38:L43)</f>
        <v>234000</v>
      </c>
      <c r="M37" s="647">
        <f>SUM(M38:M43)</f>
        <v>0</v>
      </c>
      <c r="N37" s="752">
        <f>L37+M37</f>
        <v>234000</v>
      </c>
      <c r="O37" s="647">
        <f>SUM(O38:O43)</f>
        <v>0</v>
      </c>
      <c r="P37" s="647">
        <f>SUM(P38:P43)</f>
        <v>0</v>
      </c>
      <c r="Q37" s="752">
        <f>O37+P37</f>
        <v>0</v>
      </c>
    </row>
    <row r="38" ht="22.5" customHeight="1" s="595">
      <c r="B38" s="212" t="str">
        <f>PL!B38</f>
        <v>固定資産売却益</v>
      </c>
      <c r="C38" s="609">
        <f>PL!C38</f>
        <v>0</v>
      </c>
      <c r="D38" s="618" t="n"/>
      <c r="E38" s="599">
        <f>C38+D38</f>
        <v>0</v>
      </c>
      <c r="F38" s="609">
        <f>PL!E38</f>
        <v>1711177</v>
      </c>
      <c r="G38" s="618" t="n"/>
      <c r="H38" s="599">
        <f>F38+G38</f>
        <v>1711177</v>
      </c>
      <c r="I38" s="609">
        <f>PL!G38</f>
        <v>1608918</v>
      </c>
      <c r="J38" s="618" t="n"/>
      <c r="K38" s="599">
        <f>I38+J38</f>
        <v>1608918</v>
      </c>
      <c r="L38" s="609">
        <f>PL!I38</f>
        <v>0</v>
      </c>
      <c r="M38" s="618" t="n"/>
      <c r="N38" s="599">
        <f>L38+M38</f>
        <v>0</v>
      </c>
      <c r="O38" s="609">
        <f>PL!K38</f>
        <v>0</v>
      </c>
      <c r="P38" s="618" t="n"/>
      <c r="Q38" s="599">
        <f>O38+P38</f>
        <v>0</v>
      </c>
    </row>
    <row r="39" ht="22.5" customHeight="1" s="595">
      <c r="B39" s="212" t="str">
        <f>PL!B39</f>
        <v>貸倒引当金戻入</v>
      </c>
      <c r="C39" s="609">
        <f>PL!C39</f>
        <v>0</v>
      </c>
      <c r="D39" s="618" t="n"/>
      <c r="E39" s="599">
        <f>C39+D39</f>
        <v>0</v>
      </c>
      <c r="F39" s="609">
        <f>PL!E39</f>
        <v>176000</v>
      </c>
      <c r="G39" s="618" t="n"/>
      <c r="H39" s="599">
        <f>F39+G39</f>
        <v>176000</v>
      </c>
      <c r="I39" s="609">
        <f>PL!G39</f>
        <v>237000</v>
      </c>
      <c r="J39" s="618" t="n"/>
      <c r="K39" s="599">
        <f>I39+J39</f>
        <v>237000</v>
      </c>
      <c r="L39" s="609">
        <f>PL!I39</f>
        <v>234000</v>
      </c>
      <c r="M39" s="618" t="n"/>
      <c r="N39" s="599">
        <f>L39+M39</f>
        <v>234000</v>
      </c>
      <c r="O39" s="609">
        <f>PL!K39</f>
        <v>0</v>
      </c>
      <c r="P39" s="618" t="n"/>
      <c r="Q39" s="599">
        <f>O39+P39</f>
        <v>0</v>
      </c>
    </row>
    <row r="40" ht="22.5" customHeight="1" s="595">
      <c r="B40" s="212">
        <f>PL!B40</f>
        <v>0</v>
      </c>
      <c r="C40" s="609">
        <f>PL!C40</f>
        <v>0</v>
      </c>
      <c r="D40" s="618" t="n"/>
      <c r="E40" s="599">
        <f>C40+D40</f>
        <v>0</v>
      </c>
      <c r="F40" s="609">
        <f>PL!E40</f>
        <v>0</v>
      </c>
      <c r="G40" s="618" t="n"/>
      <c r="H40" s="599">
        <f>F40+G40</f>
        <v>0</v>
      </c>
      <c r="I40" s="609">
        <f>PL!G40</f>
        <v>0</v>
      </c>
      <c r="J40" s="618" t="n"/>
      <c r="K40" s="599">
        <f>I40+J40</f>
        <v>0</v>
      </c>
      <c r="L40" s="609">
        <f>PL!I40</f>
        <v>0</v>
      </c>
      <c r="M40" s="618" t="n"/>
      <c r="N40" s="599">
        <f>L40+M40</f>
        <v>0</v>
      </c>
      <c r="O40" s="609">
        <f>PL!K40</f>
        <v>0</v>
      </c>
      <c r="P40" s="618" t="n"/>
      <c r="Q40" s="599">
        <f>O40+P40</f>
        <v>0</v>
      </c>
    </row>
    <row r="41" ht="22.5" customHeight="1" s="595">
      <c r="B41" s="212">
        <f>PL!B41</f>
        <v>0</v>
      </c>
      <c r="C41" s="609">
        <f>PL!C41</f>
        <v>0</v>
      </c>
      <c r="D41" s="618" t="n"/>
      <c r="E41" s="599">
        <f>C41+D41</f>
        <v>0</v>
      </c>
      <c r="F41" s="609">
        <f>PL!E41</f>
        <v>0</v>
      </c>
      <c r="G41" s="618" t="n"/>
      <c r="H41" s="599">
        <f>F41+G41</f>
        <v>0</v>
      </c>
      <c r="I41" s="609">
        <f>PL!G41</f>
        <v>0</v>
      </c>
      <c r="J41" s="618" t="n"/>
      <c r="K41" s="599">
        <f>I41+J41</f>
        <v>0</v>
      </c>
      <c r="L41" s="609">
        <f>PL!I41</f>
        <v>0</v>
      </c>
      <c r="M41" s="618" t="n"/>
      <c r="N41" s="599">
        <f>L41+M41</f>
        <v>0</v>
      </c>
      <c r="O41" s="609">
        <f>PL!K41</f>
        <v>0</v>
      </c>
      <c r="P41" s="618" t="n"/>
      <c r="Q41" s="599">
        <f>O41+P41</f>
        <v>0</v>
      </c>
    </row>
    <row r="42" ht="22.5" customHeight="1" s="595">
      <c r="B42" s="212">
        <f>PL!B42</f>
        <v>0</v>
      </c>
      <c r="C42" s="609">
        <f>PL!C42</f>
        <v>0</v>
      </c>
      <c r="D42" s="618" t="n"/>
      <c r="E42" s="599">
        <f>C42+D42</f>
        <v>0</v>
      </c>
      <c r="F42" s="609">
        <f>PL!E42</f>
        <v>0</v>
      </c>
      <c r="G42" s="618" t="n"/>
      <c r="H42" s="599">
        <f>F42+G42</f>
        <v>0</v>
      </c>
      <c r="I42" s="609">
        <f>PL!G42</f>
        <v>0</v>
      </c>
      <c r="J42" s="618" t="n"/>
      <c r="K42" s="599">
        <f>I42+J42</f>
        <v>0</v>
      </c>
      <c r="L42" s="609">
        <f>PL!I42</f>
        <v>0</v>
      </c>
      <c r="M42" s="618" t="n"/>
      <c r="N42" s="599">
        <f>L42+M42</f>
        <v>0</v>
      </c>
      <c r="O42" s="609">
        <f>PL!K42</f>
        <v>0</v>
      </c>
      <c r="P42" s="618" t="n"/>
      <c r="Q42" s="599">
        <f>O42+P42</f>
        <v>0</v>
      </c>
    </row>
    <row r="43" ht="22.5" customHeight="1" s="595">
      <c r="B43" s="211" t="n"/>
      <c r="C43" s="611" t="n"/>
      <c r="D43" s="619" t="n"/>
      <c r="E43" s="751">
        <f>C43+D43</f>
        <v>0</v>
      </c>
      <c r="F43" s="611" t="n"/>
      <c r="G43" s="619" t="n"/>
      <c r="H43" s="751">
        <f>F43+G43</f>
        <v>0</v>
      </c>
      <c r="I43" s="611" t="n"/>
      <c r="J43" s="619" t="n"/>
      <c r="K43" s="751">
        <f>I43+J43</f>
        <v>0</v>
      </c>
      <c r="L43" s="611" t="n"/>
      <c r="M43" s="619" t="n"/>
      <c r="N43" s="751">
        <f>L43+M43</f>
        <v>0</v>
      </c>
      <c r="O43" s="611" t="n"/>
      <c r="P43" s="619" t="n"/>
      <c r="Q43" s="751">
        <f>O43+P43</f>
        <v>0</v>
      </c>
    </row>
    <row r="44" ht="22.5" customHeight="1" s="595">
      <c r="B44" s="207" t="inlineStr">
        <is>
          <t>特別損失</t>
        </is>
      </c>
      <c r="C44" s="647">
        <f>SUM(C45:C50)</f>
        <v>0</v>
      </c>
      <c r="D44" s="647">
        <f>SUM(D45:D50)</f>
        <v>0</v>
      </c>
      <c r="E44" s="754">
        <f>C44+D44</f>
        <v>0</v>
      </c>
      <c r="F44" s="647">
        <f>SUM(F45:F50)</f>
        <v>438719</v>
      </c>
      <c r="G44" s="647">
        <f>SUM(G45:G50)</f>
        <v>0</v>
      </c>
      <c r="H44" s="754">
        <f>F44+G44</f>
        <v>438719</v>
      </c>
      <c r="I44" s="647">
        <f>SUM(I45:I50)</f>
        <v>234000</v>
      </c>
      <c r="J44" s="647">
        <f>SUM(J45:J50)</f>
        <v>0</v>
      </c>
      <c r="K44" s="754">
        <f>I44+J44</f>
        <v>234000</v>
      </c>
      <c r="L44" s="647">
        <f>SUM(L45:L50)</f>
        <v>21103139</v>
      </c>
      <c r="M44" s="647">
        <f>SUM(M45:M50)</f>
        <v>0</v>
      </c>
      <c r="N44" s="754">
        <f>L44+M44</f>
        <v>21103139</v>
      </c>
      <c r="O44" s="647">
        <f>SUM(O45:O50)</f>
        <v>0</v>
      </c>
      <c r="P44" s="647">
        <f>SUM(P45:P50)</f>
        <v>0</v>
      </c>
      <c r="Q44" s="754">
        <f>O44+P44</f>
        <v>0</v>
      </c>
    </row>
    <row r="45" ht="22.5" customHeight="1" s="595">
      <c r="B45" s="210" t="str">
        <f>PL!B45</f>
        <v>固定資産売却除却損</v>
      </c>
      <c r="C45" s="609">
        <f>PL!C45</f>
        <v>0</v>
      </c>
      <c r="D45" s="618" t="n"/>
      <c r="E45" s="599">
        <f>C45+D45</f>
        <v>0</v>
      </c>
      <c r="F45" s="609">
        <f>PL!E45</f>
        <v>201719</v>
      </c>
      <c r="G45" s="618" t="n"/>
      <c r="H45" s="599">
        <f>F45+G45</f>
        <v>201719</v>
      </c>
      <c r="I45" s="609">
        <f>PL!G45</f>
        <v>0</v>
      </c>
      <c r="J45" s="618" t="n"/>
      <c r="K45" s="599">
        <f>I45+J45</f>
        <v>0</v>
      </c>
      <c r="L45" s="609">
        <f>PL!I45</f>
        <v>1</v>
      </c>
      <c r="M45" s="618" t="n"/>
      <c r="N45" s="599">
        <f>L45+M45</f>
        <v>1</v>
      </c>
      <c r="O45" s="609">
        <f>PL!K45</f>
        <v>0</v>
      </c>
      <c r="P45" s="618" t="n"/>
      <c r="Q45" s="599">
        <f>O45+P45</f>
        <v>0</v>
      </c>
    </row>
    <row r="46" ht="19.5" customHeight="1" s="595">
      <c r="B46" s="212" t="str">
        <f>PL!B46</f>
        <v>貸倒引当金繰入</v>
      </c>
      <c r="C46" s="609">
        <f>PL!C46</f>
        <v>0</v>
      </c>
      <c r="D46" s="618" t="n"/>
      <c r="E46" s="599">
        <f>C46+D46</f>
        <v>0</v>
      </c>
      <c r="F46" s="609">
        <f>PL!E46</f>
        <v>237000</v>
      </c>
      <c r="G46" s="618" t="n"/>
      <c r="H46" s="599">
        <f>F46+G46</f>
        <v>237000</v>
      </c>
      <c r="I46" s="609">
        <f>PL!G46</f>
        <v>234000</v>
      </c>
      <c r="J46" s="618" t="n"/>
      <c r="K46" s="599">
        <f>I46+J46</f>
        <v>234000</v>
      </c>
      <c r="L46" s="609">
        <f>PL!I46</f>
        <v>203000</v>
      </c>
      <c r="M46" s="618" t="n"/>
      <c r="N46" s="599">
        <f>L46+M46</f>
        <v>203000</v>
      </c>
      <c r="O46" s="609">
        <f>PL!K46</f>
        <v>0</v>
      </c>
      <c r="P46" s="618" t="n"/>
      <c r="Q46" s="599">
        <f>O46+P46</f>
        <v>0</v>
      </c>
    </row>
    <row r="47" ht="19.5" customHeight="1" s="595">
      <c r="B47" s="212" t="str">
        <f>PL!B47</f>
        <v>前期損益修正損</v>
      </c>
      <c r="C47" s="609">
        <f>PL!C47</f>
        <v>0</v>
      </c>
      <c r="D47" s="618" t="n"/>
      <c r="E47" s="599">
        <f>C47+D47</f>
        <v>0</v>
      </c>
      <c r="F47" s="609">
        <f>PL!E47</f>
        <v>0</v>
      </c>
      <c r="G47" s="618" t="n"/>
      <c r="H47" s="599">
        <f>F47+G47</f>
        <v>0</v>
      </c>
      <c r="I47" s="609">
        <f>PL!G47</f>
        <v>0</v>
      </c>
      <c r="J47" s="618" t="n"/>
      <c r="K47" s="599">
        <f>I47+J47</f>
        <v>0</v>
      </c>
      <c r="L47" s="609">
        <f>PL!I47</f>
        <v>20900138</v>
      </c>
      <c r="M47" s="618" t="n"/>
      <c r="N47" s="599">
        <f>L47+M47</f>
        <v>20900138</v>
      </c>
      <c r="O47" s="609">
        <f>PL!K47</f>
        <v>0</v>
      </c>
      <c r="P47" s="618" t="n"/>
      <c r="Q47" s="599">
        <f>O47+P47</f>
        <v>0</v>
      </c>
    </row>
    <row r="48" ht="19.5" customHeight="1" s="595">
      <c r="B48" s="212">
        <f>PL!B48</f>
        <v>0</v>
      </c>
      <c r="C48" s="609">
        <f>PL!C48</f>
        <v>0</v>
      </c>
      <c r="D48" s="618" t="n"/>
      <c r="E48" s="599">
        <f>C48+D48</f>
        <v>0</v>
      </c>
      <c r="F48" s="609">
        <f>PL!E48</f>
        <v>0</v>
      </c>
      <c r="G48" s="618" t="n"/>
      <c r="H48" s="599">
        <f>F48+G48</f>
        <v>0</v>
      </c>
      <c r="I48" s="609">
        <f>PL!G48</f>
        <v>0</v>
      </c>
      <c r="J48" s="618" t="n"/>
      <c r="K48" s="599">
        <f>I48+J48</f>
        <v>0</v>
      </c>
      <c r="L48" s="609">
        <f>PL!I48</f>
        <v>0</v>
      </c>
      <c r="M48" s="618" t="n"/>
      <c r="N48" s="599">
        <f>L48+M48</f>
        <v>0</v>
      </c>
      <c r="O48" s="609">
        <f>PL!K48</f>
        <v>0</v>
      </c>
      <c r="P48" s="618" t="n"/>
      <c r="Q48" s="599">
        <f>O48+P48</f>
        <v>0</v>
      </c>
    </row>
    <row r="49" ht="19.5" customHeight="1" s="595">
      <c r="B49" s="212">
        <f>PL!B49</f>
        <v>0</v>
      </c>
      <c r="C49" s="609">
        <f>PL!C49</f>
        <v>0</v>
      </c>
      <c r="D49" s="618" t="n"/>
      <c r="E49" s="599">
        <f>C49+D49</f>
        <v>0</v>
      </c>
      <c r="F49" s="609">
        <f>PL!E49</f>
        <v>0</v>
      </c>
      <c r="G49" s="618" t="n"/>
      <c r="H49" s="599">
        <f>F49+G49</f>
        <v>0</v>
      </c>
      <c r="I49" s="609">
        <f>PL!G49</f>
        <v>0</v>
      </c>
      <c r="J49" s="618" t="n"/>
      <c r="K49" s="599">
        <f>I49+J49</f>
        <v>0</v>
      </c>
      <c r="L49" s="609">
        <f>PL!I49</f>
        <v>0</v>
      </c>
      <c r="M49" s="618" t="n"/>
      <c r="N49" s="599">
        <f>L49+M49</f>
        <v>0</v>
      </c>
      <c r="O49" s="609">
        <f>PL!K49</f>
        <v>0</v>
      </c>
      <c r="P49" s="618" t="n"/>
      <c r="Q49" s="599">
        <f>O49+P49</f>
        <v>0</v>
      </c>
    </row>
    <row r="50" ht="19.5" customHeight="1" s="595">
      <c r="B50" s="211" t="n"/>
      <c r="C50" s="611" t="n"/>
      <c r="D50" s="619" t="n"/>
      <c r="E50" s="751">
        <f>C50+D50</f>
        <v>0</v>
      </c>
      <c r="F50" s="611" t="n"/>
      <c r="G50" s="619" t="n"/>
      <c r="H50" s="751">
        <f>F50+G50</f>
        <v>0</v>
      </c>
      <c r="I50" s="611" t="n"/>
      <c r="J50" s="619" t="n"/>
      <c r="K50" s="751">
        <f>I50+J50</f>
        <v>0</v>
      </c>
      <c r="L50" s="611" t="n"/>
      <c r="M50" s="619" t="n"/>
      <c r="N50" s="751">
        <f>L50+M50</f>
        <v>0</v>
      </c>
      <c r="O50" s="611" t="n"/>
      <c r="P50" s="619" t="n"/>
      <c r="Q50" s="751">
        <f>O50+P50</f>
        <v>0</v>
      </c>
    </row>
    <row r="51" ht="19.5" customHeight="1" s="595">
      <c r="B51" s="213" t="inlineStr">
        <is>
          <t>税引前当期純利益</t>
        </is>
      </c>
      <c r="C51" s="645">
        <f>C36+C37-C44</f>
        <v>0</v>
      </c>
      <c r="D51" s="645">
        <f>D36+D37-D44</f>
        <v>0</v>
      </c>
      <c r="E51" s="597">
        <f>C51+D51</f>
        <v>0</v>
      </c>
      <c r="F51" s="645">
        <f>F36+F37-F44</f>
        <v>12764998</v>
      </c>
      <c r="G51" s="645">
        <f>G36+G37-G44</f>
        <v>17863000</v>
      </c>
      <c r="H51" s="597">
        <f>F51+G51</f>
        <v>30627998</v>
      </c>
      <c r="I51" s="645">
        <f>I36+I37-I44</f>
        <v>3793299</v>
      </c>
      <c r="J51" s="645">
        <f>J36+J37-J44</f>
        <v>17921000</v>
      </c>
      <c r="K51" s="597">
        <f>I51+J51</f>
        <v>21714299</v>
      </c>
      <c r="L51" s="645">
        <f>L36+L37-L44</f>
        <v>-12801355</v>
      </c>
      <c r="M51" s="645">
        <f>M36+M37-M44</f>
        <v>3960576.25</v>
      </c>
      <c r="N51" s="597">
        <f>L51+M51</f>
        <v>-8840778.75</v>
      </c>
      <c r="O51" s="645">
        <f>O36+O37-O44</f>
        <v>21165907</v>
      </c>
      <c r="P51" s="645">
        <f>P36+P37-P44</f>
        <v>222288.125</v>
      </c>
      <c r="Q51" s="597">
        <f>O51+P51</f>
        <v>21388195.125</v>
      </c>
    </row>
    <row r="52" ht="19.5" customHeight="1" s="595">
      <c r="B52" s="248" t="inlineStr">
        <is>
          <t>法人税等</t>
        </is>
      </c>
      <c r="C52" s="647">
        <f>SUM(C53:C55)</f>
        <v>0</v>
      </c>
      <c r="D52" s="647">
        <f>SUM(D53:D55)</f>
        <v>0</v>
      </c>
      <c r="E52" s="752">
        <f>C52+D52</f>
        <v>0</v>
      </c>
      <c r="F52" s="647">
        <f>SUM(F53:F55)</f>
        <v>3658100</v>
      </c>
      <c r="G52" s="647">
        <f>SUM(G53:G55)</f>
        <v>0</v>
      </c>
      <c r="H52" s="752">
        <f>F52+G52</f>
        <v>3658100</v>
      </c>
      <c r="I52" s="647">
        <f>SUM(I53:I55)</f>
        <v>864400</v>
      </c>
      <c r="J52" s="647">
        <f>SUM(J53:J55)</f>
        <v>0</v>
      </c>
      <c r="K52" s="752">
        <f>I52+J52</f>
        <v>864400</v>
      </c>
      <c r="L52" s="647">
        <f>SUM(L53:L55)</f>
        <v>2283300</v>
      </c>
      <c r="M52" s="647">
        <f>SUM(M53:M55)</f>
        <v>0</v>
      </c>
      <c r="N52" s="752">
        <f>L52+M52</f>
        <v>2283300</v>
      </c>
      <c r="O52" s="647">
        <f>SUM(O53:O55)</f>
        <v>0</v>
      </c>
      <c r="P52" s="647">
        <f>SUM(P53:P55)</f>
        <v>0</v>
      </c>
      <c r="Q52" s="752">
        <f>O52+P52</f>
        <v>0</v>
      </c>
    </row>
    <row r="53" ht="19.5" customHeight="1" s="595">
      <c r="B53" s="212" t="str">
        <f>PL!B53</f>
        <v>法人税等</v>
      </c>
      <c r="C53" s="609">
        <f>PL!C53</f>
        <v>0</v>
      </c>
      <c r="D53" s="618" t="n"/>
      <c r="E53" s="599">
        <f>C53+D53</f>
        <v>0</v>
      </c>
      <c r="F53" s="609">
        <f>PL!E53</f>
        <v>3658100</v>
      </c>
      <c r="G53" s="618" t="n"/>
      <c r="H53" s="599">
        <f>F53+G53</f>
        <v>3658100</v>
      </c>
      <c r="I53" s="609">
        <f>PL!G53</f>
        <v>864400</v>
      </c>
      <c r="J53" s="618" t="n"/>
      <c r="K53" s="599">
        <f>I53+J53</f>
        <v>864400</v>
      </c>
      <c r="L53" s="609">
        <f>PL!I53</f>
        <v>2283300</v>
      </c>
      <c r="M53" s="618" t="n"/>
      <c r="N53" s="599">
        <f>L53+M53</f>
        <v>2283300</v>
      </c>
      <c r="O53" s="609">
        <f>PL!K53</f>
        <v>0</v>
      </c>
      <c r="P53" s="618" t="n"/>
      <c r="Q53" s="599">
        <f>O53+P53</f>
        <v>0</v>
      </c>
    </row>
    <row r="54" ht="19.5" customHeight="1" s="595">
      <c r="B54" s="212">
        <f>PL!B54</f>
        <v>0</v>
      </c>
      <c r="C54" s="609">
        <f>PL!C54</f>
        <v>0</v>
      </c>
      <c r="D54" s="618" t="n"/>
      <c r="E54" s="599">
        <f>C54+D54</f>
        <v>0</v>
      </c>
      <c r="F54" s="609">
        <f>PL!E54</f>
        <v>0</v>
      </c>
      <c r="G54" s="618" t="n"/>
      <c r="H54" s="599">
        <f>F54+G54</f>
        <v>0</v>
      </c>
      <c r="I54" s="609">
        <f>PL!G54</f>
        <v>0</v>
      </c>
      <c r="J54" s="618" t="n"/>
      <c r="K54" s="599">
        <f>I54+J54</f>
        <v>0</v>
      </c>
      <c r="L54" s="609">
        <f>PL!I54</f>
        <v>0</v>
      </c>
      <c r="M54" s="618" t="n"/>
      <c r="N54" s="599">
        <f>L54+M54</f>
        <v>0</v>
      </c>
      <c r="O54" s="609">
        <f>PL!K54</f>
        <v>0</v>
      </c>
      <c r="P54" s="618" t="n"/>
      <c r="Q54" s="599">
        <f>O54+P54</f>
        <v>0</v>
      </c>
    </row>
    <row r="55" ht="19.5" customHeight="1" s="595">
      <c r="B55" s="214" t="n"/>
      <c r="C55" s="611" t="n"/>
      <c r="D55" s="619" t="n"/>
      <c r="E55" s="751">
        <f>C55+D55</f>
        <v>0</v>
      </c>
      <c r="F55" s="611" t="n"/>
      <c r="G55" s="619" t="n"/>
      <c r="H55" s="751">
        <f>F55+G55</f>
        <v>0</v>
      </c>
      <c r="I55" s="611" t="n"/>
      <c r="J55" s="619" t="n"/>
      <c r="K55" s="751">
        <f>I55+J55</f>
        <v>0</v>
      </c>
      <c r="L55" s="611" t="n"/>
      <c r="M55" s="619" t="n"/>
      <c r="N55" s="751">
        <f>L55+M55</f>
        <v>0</v>
      </c>
      <c r="O55" s="611" t="n"/>
      <c r="P55" s="619" t="n"/>
      <c r="Q55" s="751">
        <f>O55+P55</f>
        <v>0</v>
      </c>
    </row>
    <row r="56" ht="20.25" customHeight="1" s="595" thickBot="1">
      <c r="B56" s="213" t="inlineStr">
        <is>
          <t>税引後当期純利益</t>
        </is>
      </c>
      <c r="C56" s="645">
        <f>C51-C52</f>
        <v>0</v>
      </c>
      <c r="D56" s="645">
        <f>D51-D52</f>
        <v>0</v>
      </c>
      <c r="E56" s="755">
        <f>C56+D56</f>
        <v>0</v>
      </c>
      <c r="F56" s="645">
        <f>F51-F52</f>
        <v>9106898</v>
      </c>
      <c r="G56" s="645">
        <f>G51-G52</f>
        <v>17863000</v>
      </c>
      <c r="H56" s="755">
        <f>F56+G56</f>
        <v>26969898</v>
      </c>
      <c r="I56" s="645">
        <f>I51-I52</f>
        <v>2928899</v>
      </c>
      <c r="J56" s="645">
        <f>J51-J52</f>
        <v>17921000</v>
      </c>
      <c r="K56" s="755">
        <f>I56+J56</f>
        <v>20849899</v>
      </c>
      <c r="L56" s="645">
        <f>L51-L52</f>
        <v>-15084655</v>
      </c>
      <c r="M56" s="645">
        <f>M51-M52</f>
        <v>3960576.25</v>
      </c>
      <c r="N56" s="755">
        <f>L56+M56</f>
        <v>-11124078.75</v>
      </c>
      <c r="O56" s="645">
        <f>O51-O52</f>
        <v>21165907</v>
      </c>
      <c r="P56" s="645">
        <f>P51-P52</f>
        <v>222288.125</v>
      </c>
      <c r="Q56" s="755">
        <f>O56+P56</f>
        <v>21388195.125</v>
      </c>
    </row>
    <row r="57">
      <c r="C57" s="673" t="n"/>
      <c r="D57" s="673" t="n"/>
      <c r="E57" s="673" t="n"/>
      <c r="F57" s="673" t="n"/>
      <c r="G57" s="673" t="n"/>
      <c r="H57" s="673" t="n"/>
      <c r="I57" s="673" t="n"/>
      <c r="J57" s="673" t="n"/>
      <c r="K57" s="673" t="n"/>
      <c r="L57" s="673" t="n"/>
      <c r="M57" s="673" t="n"/>
      <c r="N57" s="673" t="n"/>
      <c r="O57" s="673" t="n"/>
      <c r="P57" s="673" t="n"/>
      <c r="Q57" s="673" t="n"/>
    </row>
    <row r="58">
      <c r="C58" s="673" t="n"/>
      <c r="D58" s="673" t="n"/>
      <c r="E58" s="673" t="n"/>
      <c r="F58" s="673" t="n">
        <v>9106898</v>
      </c>
      <c r="G58" s="673" t="n"/>
      <c r="H58" s="673" t="n"/>
      <c r="I58" s="673" t="n">
        <v>2928899</v>
      </c>
      <c r="J58" s="673" t="n"/>
      <c r="K58" s="673" t="n"/>
      <c r="L58" s="673" t="n">
        <v>-15084655</v>
      </c>
      <c r="M58" s="673" t="n"/>
      <c r="N58" s="673" t="n"/>
      <c r="O58" s="673" t="n">
        <v>21165907</v>
      </c>
      <c r="P58" s="673" t="n"/>
      <c r="Q58" s="673" t="n"/>
    </row>
    <row r="59">
      <c r="C59" s="673">
        <f>C58=C56</f>
        <v>1</v>
      </c>
      <c r="D59" s="673" t="n"/>
      <c r="E59" s="673" t="n"/>
      <c r="F59" s="673">
        <f>F58=F56</f>
        <v>1</v>
      </c>
      <c r="G59" s="673" t="n"/>
      <c r="H59" s="673" t="n"/>
      <c r="I59" s="673">
        <f>I58=I56</f>
        <v>1</v>
      </c>
      <c r="J59" s="673" t="n"/>
      <c r="K59" s="673" t="n"/>
      <c r="L59" s="673">
        <f>L58=L56</f>
        <v>1</v>
      </c>
      <c r="M59" s="673" t="n"/>
      <c r="N59" s="673" t="n"/>
      <c r="O59" s="673">
        <f>O58=O56</f>
        <v>1</v>
      </c>
      <c r="P59" s="673" t="n"/>
      <c r="Q59" s="673" t="n"/>
    </row>
    <row r="60">
      <c r="C60" s="673" t="n"/>
      <c r="D60" s="673" t="n"/>
      <c r="E60" s="673" t="n"/>
      <c r="F60" s="673" t="n"/>
      <c r="G60" s="673" t="n"/>
      <c r="H60" s="673" t="n"/>
      <c r="I60" s="673" t="n"/>
      <c r="J60" s="673" t="n"/>
      <c r="K60" s="673" t="n"/>
      <c r="L60" s="673" t="n"/>
      <c r="M60" s="673" t="n"/>
      <c r="N60" s="673" t="n"/>
      <c r="O60" s="673" t="n"/>
      <c r="P60" s="673" t="n"/>
      <c r="Q60" s="673" t="n"/>
    </row>
    <row r="61">
      <c r="C61" s="673" t="n"/>
      <c r="D61" s="673" t="n"/>
      <c r="E61" s="673" t="n"/>
      <c r="F61" s="673" t="n"/>
      <c r="G61" s="673" t="n"/>
      <c r="H61" s="673" t="n"/>
      <c r="I61" s="673" t="n"/>
      <c r="J61" s="673" t="n"/>
      <c r="K61" s="673" t="n"/>
      <c r="L61" s="673" t="n"/>
      <c r="M61" s="673" t="n"/>
      <c r="N61" s="673" t="n"/>
      <c r="O61" s="673" t="n"/>
      <c r="P61" s="673" t="n"/>
      <c r="Q61" s="673" t="n"/>
    </row>
    <row r="62">
      <c r="B62" s="600" t="inlineStr">
        <is>
          <t>■ 正常化調整の前提（修正SGA・修正PLの修正額、PLハイライト【調整項目】はここを参照）</t>
        </is>
      </c>
      <c r="C62" s="673" t="n"/>
      <c r="D62" s="673" t="n"/>
      <c r="E62" s="673" t="n"/>
      <c r="F62" s="673" t="n"/>
      <c r="G62" s="673" t="n"/>
      <c r="H62" s="673" t="n"/>
      <c r="I62" s="673" t="n"/>
      <c r="J62" s="673" t="n"/>
      <c r="K62" s="673" t="n"/>
      <c r="L62" s="673" t="n"/>
      <c r="M62" s="673" t="n"/>
      <c r="N62" s="673" t="n"/>
      <c r="O62" s="673" t="n"/>
      <c r="P62" s="673" t="n"/>
      <c r="Q62" s="673" t="n"/>
    </row>
    <row r="63">
      <c r="B63" t="inlineStr">
        <is>
          <t>項目</t>
        </is>
      </c>
      <c r="C63" s="673" t="n"/>
      <c r="D63" s="673" t="n"/>
      <c r="E63" s="673" t="n"/>
      <c r="F63" s="673" t="str">
        <f>'BS(借方)'!D4</f>
        <v>24年3月期</v>
      </c>
      <c r="G63" s="673" t="n"/>
      <c r="H63" s="673" t="n"/>
      <c r="I63" s="673" t="str">
        <f>'BS(借方)'!E4</f>
        <v>25年3月期</v>
      </c>
      <c r="J63" s="673" t="n"/>
      <c r="K63" s="673" t="n"/>
      <c r="L63" s="673" t="str">
        <f>'BS(借方)'!F4</f>
        <v>26年3月期</v>
      </c>
      <c r="M63" s="673" t="n"/>
      <c r="N63" s="673" t="n"/>
      <c r="O63" s="673" t="str">
        <f>'BS(借方)'!G4</f>
        <v>27年3月期
4〜9月TB</v>
      </c>
      <c r="P63" s="673" t="n"/>
      <c r="Q63" s="673" t="n"/>
      <c r="R63" t="inlineStr">
        <is>
          <t>調整事由</t>
        </is>
      </c>
    </row>
    <row r="64">
      <c r="B64" t="inlineStr">
        <is>
          <t>退任役員の役員報酬（実績）</t>
        </is>
      </c>
      <c r="C64" s="673" t="n"/>
      <c r="D64" s="673" t="n"/>
      <c r="E64" s="673" t="n"/>
      <c r="F64" s="756" t="n">
        <v>17400000</v>
      </c>
      <c r="G64" s="673" t="n"/>
      <c r="H64" s="673" t="n"/>
      <c r="I64" s="756" t="n">
        <v>17400000</v>
      </c>
      <c r="J64" s="673" t="n"/>
      <c r="K64" s="673" t="n"/>
      <c r="L64" s="756" t="n">
        <v>11160000</v>
      </c>
      <c r="M64" s="673" t="n"/>
      <c r="N64" s="673" t="n"/>
      <c r="O64" s="756" t="n">
        <v>4050000</v>
      </c>
      <c r="P64" s="673" t="n"/>
      <c r="Q64" s="673" t="n"/>
      <c r="R64" t="inlineStr">
        <is>
          <t>譲渡時に退任する役員（代表者・配偶者・監査役）と2026/5退任済みの常務取締役の報酬を全額控除。取締役〔代表者の弟〕は残留のため対象外。進行期は4〜9月の実績</t>
        </is>
      </c>
    </row>
    <row r="65">
      <c r="B65" t="inlineStr">
        <is>
          <t>代表者の顧問料（退任後）</t>
        </is>
      </c>
      <c r="C65" s="673" t="n"/>
      <c r="D65" s="673" t="n"/>
      <c r="E65" s="673" t="n"/>
      <c r="F65" s="756" t="n">
        <v>2160000</v>
      </c>
      <c r="G65" s="673" t="n"/>
      <c r="H65" s="673" t="n"/>
      <c r="I65" s="756" t="n">
        <v>2160000</v>
      </c>
      <c r="J65" s="673" t="n"/>
      <c r="K65" s="673" t="n"/>
      <c r="L65" s="756" t="n">
        <v>2160000</v>
      </c>
      <c r="M65" s="673" t="n"/>
      <c r="N65" s="673" t="n"/>
      <c r="O65" s="756" t="n">
        <v>1080000</v>
      </c>
      <c r="P65" s="673" t="n"/>
      <c r="Q65" s="673" t="n"/>
      <c r="R65" t="inlineStr">
        <is>
          <t>代表者の現行報酬（月36万円）の半額＝月18万円（2026/10/16面談で合意）。顧問料のため社会保険料は連動させない</t>
        </is>
      </c>
    </row>
    <row r="66">
      <c r="B66" t="inlineStr">
        <is>
          <t>社会保険料率（概算）</t>
        </is>
      </c>
      <c r="E66" s="673" t="n"/>
      <c r="F66" s="757" t="n">
        <v>0.15</v>
      </c>
      <c r="H66" s="673" t="n"/>
      <c r="K66" s="673" t="n"/>
      <c r="N66" s="673" t="n"/>
      <c r="Q66" s="673" t="n"/>
      <c r="R66" t="inlineStr">
        <is>
          <t>退任役員の報酬控除に連動して社会保険料（概算15%）も控除</t>
        </is>
      </c>
    </row>
    <row r="67">
      <c r="B67" t="inlineStr">
        <is>
          <t>賞与の正常化（社保込）</t>
        </is>
      </c>
      <c r="E67" s="673" t="n"/>
      <c r="F67" s="758" t="n">
        <v>0</v>
      </c>
      <c r="H67" s="673" t="n"/>
      <c r="I67" s="758" t="n">
        <v>0</v>
      </c>
      <c r="K67" s="673" t="n"/>
      <c r="L67" s="758">
        <f>-AVERAGE(SGA!E8,SGA!G8)*(1+$F$66)</f>
        <v>-6724423.75</v>
      </c>
      <c r="N67" s="673" t="n"/>
      <c r="O67" s="758">
        <f>L67*6/12</f>
        <v>-3362211.875</v>
      </c>
      <c r="Q67" s="673" t="n"/>
      <c r="R67" t="inlineStr">
        <is>
          <t>賞与規定はなく業績に応じて支給。2026/3期は支給なし。継続支給を前提に前2期平均（社保込）を費用計上（保守的）。進行期は6/12</t>
        </is>
      </c>
    </row>
    <row r="68">
      <c r="B68" t="inlineStr">
        <is>
          <t>寄付金</t>
        </is>
      </c>
      <c r="F68" s="758">
        <f>SGA!E26</f>
        <v>13000</v>
      </c>
      <c r="I68" s="758">
        <f>SGA!G26</f>
        <v>71000</v>
      </c>
      <c r="L68" s="758">
        <f>SGA!I26</f>
        <v>11000</v>
      </c>
      <c r="O68" s="758">
        <f>SGA!K26</f>
        <v>7000</v>
      </c>
      <c r="R68" t="inlineStr">
        <is>
          <t>譲渡後に発生しない費用として加算</t>
        </is>
      </c>
    </row>
    <row r="69">
      <c r="B69" t="inlineStr">
        <is>
          <t>受取奨励金（営業外収益）</t>
        </is>
      </c>
      <c r="F69" s="758">
        <f>PL!E24</f>
        <v>2284370</v>
      </c>
      <c r="I69" s="758">
        <f>PL!G24</f>
        <v>2406729</v>
      </c>
      <c r="L69" s="758">
        <f>PL!I24</f>
        <v>2513377</v>
      </c>
      <c r="O69" s="758">
        <f>PL!K24</f>
        <v>1184146</v>
      </c>
      <c r="R69" t="inlineStr">
        <is>
          <t>毎期経常的に発生する事業関連収益として営業利益に振替（内容は要確認）</t>
        </is>
      </c>
    </row>
    <row r="70">
      <c r="B70" t="inlineStr">
        <is>
          <t>出荷奨励金（営業外費用）</t>
        </is>
      </c>
      <c r="F70" s="758">
        <f>PL!E30</f>
        <v>105862</v>
      </c>
      <c r="I70" s="758">
        <f>PL!G30</f>
        <v>92022</v>
      </c>
      <c r="L70" s="758">
        <f>PL!I30</f>
        <v>94929</v>
      </c>
      <c r="O70" s="758">
        <f>PL!K30</f>
        <v>0</v>
      </c>
      <c r="R70" t="inlineStr">
        <is>
          <t>受取奨励金と対になる支出として同様に振替</t>
        </is>
      </c>
    </row>
    <row r="72">
      <c r="B72" t="inlineStr">
        <is>
          <t>修正後営業利益</t>
        </is>
      </c>
      <c r="F72" s="758">
        <f>H19</f>
        <v>24798256</v>
      </c>
      <c r="I72" s="758">
        <f>K19</f>
        <v>15812767</v>
      </c>
      <c r="L72" s="758">
        <f>N19</f>
        <v>12238936.25</v>
      </c>
      <c r="O72" s="758">
        <f>Q19</f>
        <v>21832135.125</v>
      </c>
    </row>
    <row r="73">
      <c r="B73" t="inlineStr">
        <is>
          <t>減価償却費</t>
        </is>
      </c>
      <c r="F73" s="758">
        <f>SGA!E31</f>
        <v>13663684</v>
      </c>
      <c r="I73" s="758">
        <f>SGA!G31</f>
        <v>12557564</v>
      </c>
      <c r="L73" s="758">
        <f>SGA!I31</f>
        <v>8878970</v>
      </c>
      <c r="O73" s="758">
        <f>SGA!K31</f>
        <v>3654000</v>
      </c>
    </row>
    <row r="74">
      <c r="B74" t="inlineStr">
        <is>
          <t>修正後EBITDA</t>
        </is>
      </c>
      <c r="F74" s="758">
        <f>F72+F73</f>
        <v>38461940</v>
      </c>
      <c r="I74" s="758">
        <f>I72+I73</f>
        <v>28370331</v>
      </c>
      <c r="L74" s="758">
        <f>L72+L73</f>
        <v>21117906.25</v>
      </c>
      <c r="O74" s="758">
        <f>O72+O73</f>
        <v>25486135.125</v>
      </c>
    </row>
    <row r="76">
      <c r="B76" t="inlineStr">
        <is>
          <t>※支払利息は営業外費用のため営業利益ベースの正常収益力には含めない。特別損益（前期損益修正損・固定資産売却損益・貸倒引当金繰入/戻入）は非経常のため対象外。</t>
        </is>
      </c>
    </row>
    <row r="77">
      <c r="B77" t="inlineStr">
        <is>
          <t>※雑収入（ゴミ処理料・冷蔵庫保管料等の経常部分を含む）は内訳資料がないため加算していない（要確認）。支払保険料・接待交際費のオーナー帰属分も未確認（要確認）。</t>
        </is>
      </c>
    </row>
  </sheetData>
  <mergeCells count="1">
    <mergeCell ref="B3:B4"/>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B2:Q39"/>
  <sheetViews>
    <sheetView showGridLines="0" zoomScale="70" zoomScaleNormal="70" workbookViewId="0">
      <pane ySplit="4" topLeftCell="A5" activePane="bottomLeft" state="frozen"/>
      <selection pane="bottomLeft" activeCell="A5" sqref="A5"/>
    </sheetView>
  </sheetViews>
  <sheetFormatPr baseColWidth="8" defaultRowHeight="18"/>
  <cols>
    <col width="28" bestFit="1" customWidth="1" style="182" min="2" max="2"/>
    <col width="15" customWidth="1" style="595" min="3" max="17"/>
  </cols>
  <sheetData>
    <row r="2" ht="18.75" customHeight="1" s="595">
      <c r="B2" s="0" t="n"/>
      <c r="C2" s="175" t="n"/>
      <c r="F2" s="175" t="n"/>
      <c r="I2" s="175" t="n"/>
      <c r="K2" s="73" t="inlineStr">
        <is>
          <t>(単位：千円)</t>
        </is>
      </c>
      <c r="L2" s="175" t="n"/>
      <c r="O2" s="175" t="n"/>
    </row>
    <row r="3" ht="20.25" customHeight="1" s="595" thickBot="1">
      <c r="B3" s="558" t="inlineStr">
        <is>
          <t>科目</t>
        </is>
      </c>
      <c r="C3" s="193" t="str">
        <f>'BS(借方)'!C4</f>
        <v>●●年●月期</v>
      </c>
      <c r="D3" s="174" t="n"/>
      <c r="E3" s="174" t="n"/>
      <c r="F3" s="193" t="str">
        <f>'BS(借方)'!D4</f>
        <v>24年3月期</v>
      </c>
      <c r="G3" s="174" t="n"/>
      <c r="H3" s="174" t="n"/>
      <c r="I3" s="193" t="str">
        <f>'BS(借方)'!E4</f>
        <v>25年3月期</v>
      </c>
      <c r="J3" s="174" t="n"/>
      <c r="K3" s="174" t="n"/>
      <c r="L3" s="193" t="str">
        <f>'BS(借方)'!F4</f>
        <v>26年3月期</v>
      </c>
      <c r="M3" s="174" t="n"/>
      <c r="N3" s="174" t="n"/>
      <c r="O3" s="273" t="str">
        <f>'BS(借方)'!G4</f>
        <v>27年3月期
4〜9月TB</v>
      </c>
      <c r="P3" s="274" t="n"/>
      <c r="Q3" s="274" t="n"/>
    </row>
    <row r="4" ht="19.5" customHeight="1" s="595">
      <c r="B4" s="674" t="n"/>
      <c r="C4" s="221" t="inlineStr">
        <is>
          <t>帳簿価額</t>
        </is>
      </c>
      <c r="D4" s="280" t="inlineStr">
        <is>
          <t>修正額</t>
        </is>
      </c>
      <c r="E4" s="285" t="inlineStr">
        <is>
          <t>修正後</t>
        </is>
      </c>
      <c r="F4" s="221" t="inlineStr">
        <is>
          <t>帳簿価額</t>
        </is>
      </c>
      <c r="G4" s="280" t="inlineStr">
        <is>
          <t>修正額</t>
        </is>
      </c>
      <c r="H4" s="285" t="inlineStr">
        <is>
          <t>修正後</t>
        </is>
      </c>
      <c r="I4" s="221" t="inlineStr">
        <is>
          <t>帳簿価額</t>
        </is>
      </c>
      <c r="J4" s="280" t="inlineStr">
        <is>
          <t>修正額</t>
        </is>
      </c>
      <c r="K4" s="285" t="inlineStr">
        <is>
          <t>修正後</t>
        </is>
      </c>
      <c r="L4" s="221" t="inlineStr">
        <is>
          <t>帳簿価額</t>
        </is>
      </c>
      <c r="M4" s="280" t="inlineStr">
        <is>
          <t>修正額</t>
        </is>
      </c>
      <c r="N4" s="285" t="inlineStr">
        <is>
          <t>修正後</t>
        </is>
      </c>
      <c r="O4" s="222" t="inlineStr">
        <is>
          <t>帳簿価額</t>
        </is>
      </c>
      <c r="P4" s="276" t="inlineStr">
        <is>
          <t>修正額</t>
        </is>
      </c>
      <c r="Q4" s="285" t="inlineStr">
        <is>
          <t>修正後</t>
        </is>
      </c>
    </row>
    <row r="5" ht="22.5" customHeight="1" s="595">
      <c r="B5" s="215" t="str">
        <f>SGA!B6</f>
        <v>役員報酬</v>
      </c>
      <c r="C5" s="609">
        <f>SGA!C6</f>
        <v>0</v>
      </c>
      <c r="D5" s="598" t="n"/>
      <c r="E5" s="599">
        <f>C5+D5</f>
        <v>0</v>
      </c>
      <c r="F5" s="609">
        <f>SGA!E6</f>
        <v>22200000</v>
      </c>
      <c r="G5" s="598">
        <f>-修正PL!F64+修正PL!F65</f>
        <v>-15240000</v>
      </c>
      <c r="H5" s="599">
        <f>F5+G5</f>
        <v>6960000</v>
      </c>
      <c r="I5" s="609">
        <f>SGA!G6</f>
        <v>22200000</v>
      </c>
      <c r="J5" s="598">
        <f>-修正PL!I64+修正PL!I65</f>
        <v>-15240000</v>
      </c>
      <c r="K5" s="599">
        <f>I5+J5</f>
        <v>6960000</v>
      </c>
      <c r="L5" s="609">
        <f>SGA!I6</f>
        <v>15360000</v>
      </c>
      <c r="M5" s="598">
        <f>-修正PL!L64+修正PL!L65</f>
        <v>-9000000</v>
      </c>
      <c r="N5" s="599">
        <f>L5+M5</f>
        <v>6360000</v>
      </c>
      <c r="O5" s="609">
        <f>SGA!K6</f>
        <v>6150000</v>
      </c>
      <c r="P5" s="598">
        <f>-修正PL!O64+修正PL!O65</f>
        <v>-2970000</v>
      </c>
      <c r="Q5" s="599">
        <f>O5+P5</f>
        <v>3180000</v>
      </c>
    </row>
    <row r="6" ht="22.5" customHeight="1" s="595">
      <c r="B6" s="205" t="str">
        <f>SGA!B7</f>
        <v>給料手当</v>
      </c>
      <c r="C6" s="618">
        <f>SGA!C7</f>
        <v>0</v>
      </c>
      <c r="D6" s="598" t="n"/>
      <c r="E6" s="599">
        <f>C6+D6</f>
        <v>0</v>
      </c>
      <c r="F6" s="609">
        <f>SGA!E7</f>
        <v>73148460</v>
      </c>
      <c r="G6" s="598" t="n"/>
      <c r="H6" s="599">
        <f>F6+G6</f>
        <v>73148460</v>
      </c>
      <c r="I6" s="609">
        <f>SGA!G7</f>
        <v>74179162</v>
      </c>
      <c r="J6" s="598" t="n"/>
      <c r="K6" s="599">
        <f>I6+J6</f>
        <v>74179162</v>
      </c>
      <c r="L6" s="609">
        <f>SGA!I7</f>
        <v>71673365</v>
      </c>
      <c r="M6" s="598" t="n"/>
      <c r="N6" s="599">
        <f>L6+M6</f>
        <v>71673365</v>
      </c>
      <c r="O6" s="609">
        <f>SGA!K7</f>
        <v>30948228</v>
      </c>
      <c r="P6" s="598" t="n"/>
      <c r="Q6" s="599">
        <f>O6+P6</f>
        <v>30948228</v>
      </c>
    </row>
    <row r="7" ht="22.5" customHeight="1" s="595">
      <c r="B7" s="205" t="str">
        <f>SGA!B8</f>
        <v>賞与</v>
      </c>
      <c r="C7" s="618">
        <f>SGA!C8</f>
        <v>0</v>
      </c>
      <c r="D7" s="598" t="n"/>
      <c r="E7" s="599">
        <f>C7+D7</f>
        <v>0</v>
      </c>
      <c r="F7" s="609">
        <f>SGA!E8</f>
        <v>6002150</v>
      </c>
      <c r="G7" s="598">
        <f>-修正PL!F67</f>
        <v>0</v>
      </c>
      <c r="H7" s="599">
        <f>F7+G7</f>
        <v>6002150</v>
      </c>
      <c r="I7" s="609">
        <f>SGA!G8</f>
        <v>5692500</v>
      </c>
      <c r="J7" s="598">
        <f>-修正PL!I67</f>
        <v>0</v>
      </c>
      <c r="K7" s="599">
        <f>I7+J7</f>
        <v>5692500</v>
      </c>
      <c r="L7" s="609">
        <f>SGA!I8</f>
        <v>0</v>
      </c>
      <c r="M7" s="598">
        <f>-修正PL!L67</f>
        <v>6724423.75</v>
      </c>
      <c r="N7" s="599">
        <f>L7+M7</f>
        <v>6724423.75</v>
      </c>
      <c r="O7" s="609">
        <f>SGA!K8</f>
        <v>0</v>
      </c>
      <c r="P7" s="598">
        <f>-修正PL!O67</f>
        <v>3362211.875</v>
      </c>
      <c r="Q7" s="599">
        <f>O7+P7</f>
        <v>3362211.875</v>
      </c>
    </row>
    <row r="8" ht="22.5" customHeight="1" s="595">
      <c r="B8" s="205" t="str">
        <f>SGA!B9</f>
        <v>退職金共済掛金</v>
      </c>
      <c r="C8" s="618">
        <f>SGA!C9</f>
        <v>0</v>
      </c>
      <c r="D8" s="598" t="n"/>
      <c r="E8" s="599">
        <f>C8+D8</f>
        <v>0</v>
      </c>
      <c r="F8" s="609">
        <f>SGA!E9</f>
        <v>3175000</v>
      </c>
      <c r="G8" s="598" t="n"/>
      <c r="H8" s="599">
        <f>F8+G8</f>
        <v>3175000</v>
      </c>
      <c r="I8" s="609">
        <f>SGA!G9</f>
        <v>3166000</v>
      </c>
      <c r="J8" s="598" t="n"/>
      <c r="K8" s="599">
        <f>I8+J8</f>
        <v>3166000</v>
      </c>
      <c r="L8" s="609">
        <f>SGA!I9</f>
        <v>3026000</v>
      </c>
      <c r="M8" s="598" t="n"/>
      <c r="N8" s="599">
        <f>L8+M8</f>
        <v>3026000</v>
      </c>
      <c r="O8" s="609">
        <f>SGA!K9</f>
        <v>1139000</v>
      </c>
      <c r="P8" s="598" t="n"/>
      <c r="Q8" s="599">
        <f>O8+P8</f>
        <v>1139000</v>
      </c>
    </row>
    <row r="9" ht="22.5" customHeight="1" s="595">
      <c r="B9" s="205" t="str">
        <f>SGA!B10</f>
        <v>退職金</v>
      </c>
      <c r="C9" s="618">
        <f>SGA!C10</f>
        <v>0</v>
      </c>
      <c r="D9" s="598" t="n"/>
      <c r="E9" s="599">
        <f>C9+D9</f>
        <v>0</v>
      </c>
      <c r="F9" s="609">
        <f>SGA!E10</f>
        <v>0</v>
      </c>
      <c r="G9" s="598" t="n"/>
      <c r="H9" s="599">
        <f>F9+G9</f>
        <v>0</v>
      </c>
      <c r="I9" s="609">
        <f>SGA!G10</f>
        <v>356400</v>
      </c>
      <c r="J9" s="598" t="n"/>
      <c r="K9" s="599">
        <f>I9+J9</f>
        <v>356400</v>
      </c>
      <c r="L9" s="609">
        <f>SGA!I10</f>
        <v>746960</v>
      </c>
      <c r="M9" s="598" t="n"/>
      <c r="N9" s="599">
        <f>L9+M9</f>
        <v>746960</v>
      </c>
      <c r="O9" s="609">
        <f>SGA!K10</f>
        <v>0</v>
      </c>
      <c r="P9" s="598" t="n"/>
      <c r="Q9" s="599">
        <f>O9+P9</f>
        <v>0</v>
      </c>
    </row>
    <row r="10" ht="22.5" customHeight="1" s="595">
      <c r="B10" s="205" t="str">
        <f>SGA!B11</f>
        <v>法定福利費</v>
      </c>
      <c r="C10" s="618">
        <f>SGA!C11</f>
        <v>0</v>
      </c>
      <c r="D10" s="598" t="n"/>
      <c r="E10" s="599">
        <f>C10+D10</f>
        <v>0</v>
      </c>
      <c r="F10" s="609">
        <f>SGA!E11</f>
        <v>15154087</v>
      </c>
      <c r="G10" s="598">
        <f>-修正PL!F64*修正PL!$F$66</f>
        <v>-2610000</v>
      </c>
      <c r="H10" s="599">
        <f>F10+G10</f>
        <v>12544087</v>
      </c>
      <c r="I10" s="609">
        <f>SGA!G11</f>
        <v>14913183</v>
      </c>
      <c r="J10" s="598">
        <f>-修正PL!I64*修正PL!$F$66</f>
        <v>-2610000</v>
      </c>
      <c r="K10" s="599">
        <f>I10+J10</f>
        <v>12303183</v>
      </c>
      <c r="L10" s="609">
        <f>SGA!I11</f>
        <v>13295870</v>
      </c>
      <c r="M10" s="598">
        <f>-修正PL!L64*修正PL!$F$66</f>
        <v>-1674000</v>
      </c>
      <c r="N10" s="599">
        <f>L10+M10</f>
        <v>11621870</v>
      </c>
      <c r="O10" s="609">
        <f>SGA!K11</f>
        <v>5327882</v>
      </c>
      <c r="P10" s="598">
        <f>-修正PL!O64*修正PL!$F$66</f>
        <v>-607500</v>
      </c>
      <c r="Q10" s="599">
        <f>O10+P10</f>
        <v>4720382</v>
      </c>
    </row>
    <row r="11" ht="22.5" customHeight="1" s="595">
      <c r="B11" s="205" t="str">
        <f>SGA!B12</f>
        <v>福利厚生費</v>
      </c>
      <c r="C11" s="618">
        <f>SGA!C12</f>
        <v>0</v>
      </c>
      <c r="D11" s="598" t="n"/>
      <c r="E11" s="599">
        <f>C11+D11</f>
        <v>0</v>
      </c>
      <c r="F11" s="609">
        <f>SGA!E12</f>
        <v>594849</v>
      </c>
      <c r="G11" s="598" t="n"/>
      <c r="H11" s="599">
        <f>F11+G11</f>
        <v>594849</v>
      </c>
      <c r="I11" s="609">
        <f>SGA!G12</f>
        <v>899852</v>
      </c>
      <c r="J11" s="598" t="n"/>
      <c r="K11" s="599">
        <f>I11+J11</f>
        <v>899852</v>
      </c>
      <c r="L11" s="609">
        <f>SGA!I12</f>
        <v>460243</v>
      </c>
      <c r="M11" s="598" t="n"/>
      <c r="N11" s="599">
        <f>L11+M11</f>
        <v>460243</v>
      </c>
      <c r="O11" s="609">
        <f>SGA!K12</f>
        <v>124395</v>
      </c>
      <c r="P11" s="598" t="n"/>
      <c r="Q11" s="599">
        <f>O11+P11</f>
        <v>124395</v>
      </c>
    </row>
    <row r="12" ht="22.5" customHeight="1" s="595">
      <c r="B12" s="205" t="str">
        <f>SGA!B13</f>
        <v>広告宣伝費</v>
      </c>
      <c r="C12" s="618">
        <f>SGA!C13</f>
        <v>0</v>
      </c>
      <c r="D12" s="598" t="n"/>
      <c r="E12" s="599">
        <f>C12+D12</f>
        <v>0</v>
      </c>
      <c r="F12" s="609">
        <f>SGA!E13</f>
        <v>203020</v>
      </c>
      <c r="G12" s="598" t="n"/>
      <c r="H12" s="599">
        <f>F12+G12</f>
        <v>203020</v>
      </c>
      <c r="I12" s="609">
        <f>SGA!G13</f>
        <v>114444</v>
      </c>
      <c r="J12" s="598" t="n"/>
      <c r="K12" s="599">
        <f>I12+J12</f>
        <v>114444</v>
      </c>
      <c r="L12" s="609">
        <f>SGA!I13</f>
        <v>89300</v>
      </c>
      <c r="M12" s="598" t="n"/>
      <c r="N12" s="599">
        <f>L12+M12</f>
        <v>89300</v>
      </c>
      <c r="O12" s="609">
        <f>SGA!K13</f>
        <v>10000</v>
      </c>
      <c r="P12" s="598" t="n"/>
      <c r="Q12" s="599">
        <f>O12+P12</f>
        <v>10000</v>
      </c>
    </row>
    <row r="13" ht="22.5" customHeight="1" s="595">
      <c r="B13" s="205" t="str">
        <f>SGA!B14</f>
        <v>旅費交通費</v>
      </c>
      <c r="C13" s="618">
        <f>SGA!C14</f>
        <v>0</v>
      </c>
      <c r="D13" s="598" t="n"/>
      <c r="E13" s="599">
        <f>C13+D13</f>
        <v>0</v>
      </c>
      <c r="F13" s="609">
        <f>SGA!E14</f>
        <v>44957</v>
      </c>
      <c r="G13" s="598" t="n"/>
      <c r="H13" s="599">
        <f>F13+G13</f>
        <v>44957</v>
      </c>
      <c r="I13" s="609">
        <f>SGA!G14</f>
        <v>212048</v>
      </c>
      <c r="J13" s="598" t="n"/>
      <c r="K13" s="599">
        <f>I13+J13</f>
        <v>212048</v>
      </c>
      <c r="L13" s="609">
        <f>SGA!I14</f>
        <v>78650</v>
      </c>
      <c r="M13" s="598" t="n"/>
      <c r="N13" s="599">
        <f>L13+M13</f>
        <v>78650</v>
      </c>
      <c r="O13" s="609">
        <f>SGA!K14</f>
        <v>9490</v>
      </c>
      <c r="P13" s="598" t="n"/>
      <c r="Q13" s="599">
        <f>O13+P13</f>
        <v>9490</v>
      </c>
    </row>
    <row r="14" ht="22.5" customHeight="1" s="595">
      <c r="B14" s="205" t="str">
        <f>SGA!B15</f>
        <v>通信費</v>
      </c>
      <c r="C14" s="618">
        <f>SGA!C15</f>
        <v>0</v>
      </c>
      <c r="D14" s="598" t="n"/>
      <c r="E14" s="599">
        <f>C14+D14</f>
        <v>0</v>
      </c>
      <c r="F14" s="609">
        <f>SGA!E15</f>
        <v>1434812</v>
      </c>
      <c r="G14" s="598" t="n"/>
      <c r="H14" s="599">
        <f>F14+G14</f>
        <v>1434812</v>
      </c>
      <c r="I14" s="609">
        <f>SGA!G15</f>
        <v>1143086</v>
      </c>
      <c r="J14" s="598" t="n"/>
      <c r="K14" s="599">
        <f>I14+J14</f>
        <v>1143086</v>
      </c>
      <c r="L14" s="609">
        <f>SGA!I15</f>
        <v>1191701</v>
      </c>
      <c r="M14" s="598" t="n"/>
      <c r="N14" s="599">
        <f>L14+M14</f>
        <v>1191701</v>
      </c>
      <c r="O14" s="609">
        <f>SGA!K15</f>
        <v>502790</v>
      </c>
      <c r="P14" s="598" t="n"/>
      <c r="Q14" s="599">
        <f>O14+P14</f>
        <v>502790</v>
      </c>
    </row>
    <row r="15" ht="22.5" customHeight="1" s="595">
      <c r="B15" s="205" t="str">
        <f>SGA!B16</f>
        <v>車両関連費</v>
      </c>
      <c r="C15" s="618">
        <f>SGA!C16</f>
        <v>0</v>
      </c>
      <c r="D15" s="598" t="n"/>
      <c r="E15" s="599">
        <f>C15+D15</f>
        <v>0</v>
      </c>
      <c r="F15" s="609">
        <f>SGA!E16</f>
        <v>8475295</v>
      </c>
      <c r="G15" s="598" t="n"/>
      <c r="H15" s="599">
        <f>F15+G15</f>
        <v>8475295</v>
      </c>
      <c r="I15" s="609">
        <f>SGA!G16</f>
        <v>10126052</v>
      </c>
      <c r="J15" s="598" t="n"/>
      <c r="K15" s="599">
        <f>I15+J15</f>
        <v>10126052</v>
      </c>
      <c r="L15" s="609">
        <f>SGA!I16</f>
        <v>9861597</v>
      </c>
      <c r="M15" s="598" t="n"/>
      <c r="N15" s="599">
        <f>L15+M15</f>
        <v>9861597</v>
      </c>
      <c r="O15" s="609">
        <f>SGA!K16</f>
        <v>4665234</v>
      </c>
      <c r="P15" s="598" t="n"/>
      <c r="Q15" s="599">
        <f>O15+P15</f>
        <v>4665234</v>
      </c>
    </row>
    <row r="16" ht="22.5" customHeight="1" s="595">
      <c r="B16" s="205" t="str">
        <f>SGA!B17</f>
        <v>運賃</v>
      </c>
      <c r="C16" s="618">
        <f>SGA!C17</f>
        <v>0</v>
      </c>
      <c r="D16" s="598" t="n"/>
      <c r="E16" s="599">
        <f>C16+D16</f>
        <v>0</v>
      </c>
      <c r="F16" s="609">
        <f>SGA!E17</f>
        <v>27546757</v>
      </c>
      <c r="G16" s="598" t="n"/>
      <c r="H16" s="599">
        <f>F16+G16</f>
        <v>27546757</v>
      </c>
      <c r="I16" s="609">
        <f>SGA!G17</f>
        <v>29493733</v>
      </c>
      <c r="J16" s="598" t="n"/>
      <c r="K16" s="599">
        <f>I16+J16</f>
        <v>29493733</v>
      </c>
      <c r="L16" s="609">
        <f>SGA!I17</f>
        <v>28996599</v>
      </c>
      <c r="M16" s="598" t="n"/>
      <c r="N16" s="599">
        <f>L16+M16</f>
        <v>28996599</v>
      </c>
      <c r="O16" s="609">
        <f>SGA!K17</f>
        <v>12047802</v>
      </c>
      <c r="P16" s="598" t="n"/>
      <c r="Q16" s="599">
        <f>O16+P16</f>
        <v>12047802</v>
      </c>
    </row>
    <row r="17" ht="22.5" customHeight="1" s="595">
      <c r="B17" s="205" t="str">
        <f>SGA!B18</f>
        <v>振込手数料負担金</v>
      </c>
      <c r="C17" s="618">
        <f>SGA!C18</f>
        <v>0</v>
      </c>
      <c r="D17" s="598" t="n"/>
      <c r="E17" s="599">
        <f>C17+D17</f>
        <v>0</v>
      </c>
      <c r="F17" s="609">
        <f>SGA!E18</f>
        <v>122652</v>
      </c>
      <c r="G17" s="598" t="n"/>
      <c r="H17" s="599">
        <f>F17+G17</f>
        <v>122652</v>
      </c>
      <c r="I17" s="609">
        <f>SGA!G18</f>
        <v>207322</v>
      </c>
      <c r="J17" s="598" t="n"/>
      <c r="K17" s="599">
        <f>I17+J17</f>
        <v>207322</v>
      </c>
      <c r="L17" s="609">
        <f>SGA!I18</f>
        <v>215198</v>
      </c>
      <c r="M17" s="598" t="n"/>
      <c r="N17" s="599">
        <f>L17+M17</f>
        <v>215198</v>
      </c>
      <c r="O17" s="609">
        <f>SGA!K18</f>
        <v>96382</v>
      </c>
      <c r="P17" s="598" t="n"/>
      <c r="Q17" s="599">
        <f>O17+P17</f>
        <v>96382</v>
      </c>
    </row>
    <row r="18" ht="22.5" customHeight="1" s="595">
      <c r="B18" s="205" t="str">
        <f>SGA!B19</f>
        <v>委託手数料</v>
      </c>
      <c r="C18" s="618">
        <f>SGA!C19</f>
        <v>0</v>
      </c>
      <c r="D18" s="598" t="n"/>
      <c r="E18" s="599">
        <f>C18+D18</f>
        <v>0</v>
      </c>
      <c r="F18" s="609">
        <f>SGA!E19</f>
        <v>3709319</v>
      </c>
      <c r="G18" s="598" t="n"/>
      <c r="H18" s="599">
        <f>F18+G18</f>
        <v>3709319</v>
      </c>
      <c r="I18" s="609">
        <f>SGA!G19</f>
        <v>3538995</v>
      </c>
      <c r="J18" s="598" t="n"/>
      <c r="K18" s="599">
        <f>I18+J18</f>
        <v>3538995</v>
      </c>
      <c r="L18" s="609">
        <f>SGA!I19</f>
        <v>4075300</v>
      </c>
      <c r="M18" s="598" t="n"/>
      <c r="N18" s="599">
        <f>L18+M18</f>
        <v>4075300</v>
      </c>
      <c r="O18" s="609">
        <f>SGA!K19</f>
        <v>2223299</v>
      </c>
      <c r="P18" s="598" t="n"/>
      <c r="Q18" s="599">
        <f>O18+P18</f>
        <v>2223299</v>
      </c>
    </row>
    <row r="19" ht="22.5" customHeight="1" s="595">
      <c r="B19" s="205" t="str">
        <f>SGA!B20</f>
        <v>接待交際費</v>
      </c>
      <c r="C19" s="618">
        <f>SGA!C20</f>
        <v>0</v>
      </c>
      <c r="D19" s="598" t="n"/>
      <c r="E19" s="599">
        <f>C19+D19</f>
        <v>0</v>
      </c>
      <c r="F19" s="609">
        <f>SGA!E20</f>
        <v>3474959</v>
      </c>
      <c r="G19" s="598" t="n"/>
      <c r="H19" s="599">
        <f>F19+G19</f>
        <v>3474959</v>
      </c>
      <c r="I19" s="609">
        <f>SGA!G20</f>
        <v>2485921</v>
      </c>
      <c r="J19" s="598" t="n"/>
      <c r="K19" s="599">
        <f>I19+J19</f>
        <v>2485921</v>
      </c>
      <c r="L19" s="609">
        <f>SGA!I20</f>
        <v>1580405</v>
      </c>
      <c r="M19" s="598" t="n"/>
      <c r="N19" s="599">
        <f>L19+M19</f>
        <v>1580405</v>
      </c>
      <c r="O19" s="609">
        <f>SGA!K20</f>
        <v>1059003</v>
      </c>
      <c r="P19" s="598" t="n"/>
      <c r="Q19" s="599">
        <f>O19+P19</f>
        <v>1059003</v>
      </c>
    </row>
    <row r="20" ht="22.5" customHeight="1" s="595">
      <c r="B20" s="205" t="str">
        <f>SGA!B21</f>
        <v>水道光熱費</v>
      </c>
      <c r="C20" s="618">
        <f>SGA!C21</f>
        <v>0</v>
      </c>
      <c r="D20" s="598" t="n"/>
      <c r="E20" s="599">
        <f>C20+D20</f>
        <v>0</v>
      </c>
      <c r="F20" s="609">
        <f>SGA!E21</f>
        <v>4423538</v>
      </c>
      <c r="G20" s="598" t="n"/>
      <c r="H20" s="599">
        <f>F20+G20</f>
        <v>4423538</v>
      </c>
      <c r="I20" s="609">
        <f>SGA!G21</f>
        <v>4700697</v>
      </c>
      <c r="J20" s="598" t="n"/>
      <c r="K20" s="599">
        <f>I20+J20</f>
        <v>4700697</v>
      </c>
      <c r="L20" s="609">
        <f>SGA!I21</f>
        <v>4684668</v>
      </c>
      <c r="M20" s="598" t="n"/>
      <c r="N20" s="599">
        <f>L20+M20</f>
        <v>4684668</v>
      </c>
      <c r="O20" s="609">
        <f>SGA!K21</f>
        <v>2318547</v>
      </c>
      <c r="P20" s="598" t="n"/>
      <c r="Q20" s="599">
        <f>O20+P20</f>
        <v>2318547</v>
      </c>
    </row>
    <row r="21" ht="22.5" customHeight="1" s="595">
      <c r="B21" s="205" t="str">
        <f>SGA!B22</f>
        <v>消耗品費</v>
      </c>
      <c r="C21" s="618">
        <f>SGA!C22</f>
        <v>0</v>
      </c>
      <c r="D21" s="598" t="n"/>
      <c r="E21" s="599">
        <f>C21+D21</f>
        <v>0</v>
      </c>
      <c r="F21" s="609">
        <f>SGA!E22</f>
        <v>35750</v>
      </c>
      <c r="G21" s="598" t="n"/>
      <c r="H21" s="599">
        <f>F21+G21</f>
        <v>35750</v>
      </c>
      <c r="I21" s="609">
        <f>SGA!G22</f>
        <v>0</v>
      </c>
      <c r="J21" s="598" t="n"/>
      <c r="K21" s="599">
        <f>I21+J21</f>
        <v>0</v>
      </c>
      <c r="L21" s="609">
        <f>SGA!I22</f>
        <v>95055</v>
      </c>
      <c r="M21" s="598" t="n"/>
      <c r="N21" s="599">
        <f>L21+M21</f>
        <v>95055</v>
      </c>
      <c r="O21" s="609">
        <f>SGA!K22</f>
        <v>0</v>
      </c>
      <c r="P21" s="598" t="n"/>
      <c r="Q21" s="599">
        <f>O21+P21</f>
        <v>0</v>
      </c>
    </row>
    <row r="22" ht="22.5" customHeight="1" s="595">
      <c r="B22" s="205" t="str">
        <f>SGA!B23</f>
        <v>租税公課</v>
      </c>
      <c r="C22" s="618">
        <f>SGA!C23</f>
        <v>0</v>
      </c>
      <c r="D22" s="598" t="n"/>
      <c r="E22" s="599">
        <f>C22+D22</f>
        <v>0</v>
      </c>
      <c r="F22" s="609">
        <f>SGA!E23</f>
        <v>14464767</v>
      </c>
      <c r="G22" s="598" t="n"/>
      <c r="H22" s="599">
        <f>F22+G22</f>
        <v>14464767</v>
      </c>
      <c r="I22" s="609">
        <f>SGA!G23</f>
        <v>12813800</v>
      </c>
      <c r="J22" s="598" t="n"/>
      <c r="K22" s="599">
        <f>I22+J22</f>
        <v>12813800</v>
      </c>
      <c r="L22" s="609">
        <f>SGA!I23</f>
        <v>12176834</v>
      </c>
      <c r="M22" s="598" t="n"/>
      <c r="N22" s="599">
        <f>L22+M22</f>
        <v>12176834</v>
      </c>
      <c r="O22" s="609">
        <f>SGA!K23</f>
        <v>3616634</v>
      </c>
      <c r="P22" s="598" t="n"/>
      <c r="Q22" s="599">
        <f>O22+P22</f>
        <v>3616634</v>
      </c>
    </row>
    <row r="23" ht="22.5" customHeight="1" s="595">
      <c r="B23" s="205" t="str">
        <f>SGA!B24</f>
        <v>支払手数料</v>
      </c>
      <c r="C23" s="618">
        <f>SGA!C24</f>
        <v>0</v>
      </c>
      <c r="D23" s="598" t="n"/>
      <c r="E23" s="599">
        <f>C23+D23</f>
        <v>0</v>
      </c>
      <c r="F23" s="609">
        <f>SGA!E24</f>
        <v>1546474</v>
      </c>
      <c r="G23" s="598" t="n"/>
      <c r="H23" s="599">
        <f>F23+G23</f>
        <v>1546474</v>
      </c>
      <c r="I23" s="609">
        <f>SGA!G24</f>
        <v>1527460</v>
      </c>
      <c r="J23" s="598" t="n"/>
      <c r="K23" s="599">
        <f>I23+J23</f>
        <v>1527460</v>
      </c>
      <c r="L23" s="609">
        <f>SGA!I24</f>
        <v>1596627</v>
      </c>
      <c r="M23" s="598" t="n"/>
      <c r="N23" s="599">
        <f>L23+M23</f>
        <v>1596627</v>
      </c>
      <c r="O23" s="609">
        <f>SGA!K24</f>
        <v>1290018</v>
      </c>
      <c r="P23" s="598" t="n"/>
      <c r="Q23" s="599">
        <f>O23+P23</f>
        <v>1290018</v>
      </c>
    </row>
    <row r="24" ht="22.5" customHeight="1" s="595">
      <c r="B24" s="205" t="str">
        <f>SGA!B25</f>
        <v>諸会費</v>
      </c>
      <c r="C24" s="618">
        <f>SGA!C25</f>
        <v>0</v>
      </c>
      <c r="D24" s="598" t="n"/>
      <c r="E24" s="599">
        <f>C24+D24</f>
        <v>0</v>
      </c>
      <c r="F24" s="609">
        <f>SGA!E25</f>
        <v>181000</v>
      </c>
      <c r="G24" s="598" t="n"/>
      <c r="H24" s="599">
        <f>F24+G24</f>
        <v>181000</v>
      </c>
      <c r="I24" s="609">
        <f>SGA!G25</f>
        <v>141000</v>
      </c>
      <c r="J24" s="598" t="n"/>
      <c r="K24" s="599">
        <f>I24+J24</f>
        <v>141000</v>
      </c>
      <c r="L24" s="609">
        <f>SGA!I25</f>
        <v>138400</v>
      </c>
      <c r="M24" s="598" t="n"/>
      <c r="N24" s="599">
        <f>L24+M24</f>
        <v>138400</v>
      </c>
      <c r="O24" s="609">
        <f>SGA!K25</f>
        <v>116000</v>
      </c>
      <c r="P24" s="598" t="n"/>
      <c r="Q24" s="599">
        <f>O24+P24</f>
        <v>116000</v>
      </c>
    </row>
    <row r="25" ht="22.5" customHeight="1" s="595">
      <c r="B25" s="205" t="str">
        <f>SGA!B26</f>
        <v>寄付金</v>
      </c>
      <c r="C25" s="618">
        <f>SGA!C26</f>
        <v>0</v>
      </c>
      <c r="D25" s="598" t="n"/>
      <c r="E25" s="599">
        <f>C25+D25</f>
        <v>0</v>
      </c>
      <c r="F25" s="609">
        <f>SGA!E26</f>
        <v>13000</v>
      </c>
      <c r="G25" s="598">
        <f>-修正PL!F68</f>
        <v>-13000</v>
      </c>
      <c r="H25" s="599">
        <f>F25+G25</f>
        <v>0</v>
      </c>
      <c r="I25" s="609">
        <f>SGA!G26</f>
        <v>71000</v>
      </c>
      <c r="J25" s="598">
        <f>-修正PL!I68</f>
        <v>-71000</v>
      </c>
      <c r="K25" s="599">
        <f>I25+J25</f>
        <v>0</v>
      </c>
      <c r="L25" s="609">
        <f>SGA!I26</f>
        <v>11000</v>
      </c>
      <c r="M25" s="598">
        <f>-修正PL!L68</f>
        <v>-11000</v>
      </c>
      <c r="N25" s="599">
        <f>L25+M25</f>
        <v>0</v>
      </c>
      <c r="O25" s="609">
        <f>SGA!K26</f>
        <v>7000</v>
      </c>
      <c r="P25" s="598">
        <f>-修正PL!O68</f>
        <v>-7000</v>
      </c>
      <c r="Q25" s="599">
        <f>O25+P25</f>
        <v>0</v>
      </c>
    </row>
    <row r="26" ht="22.5" customHeight="1" s="595">
      <c r="B26" s="205" t="str">
        <f>SGA!B27</f>
        <v>リース料</v>
      </c>
      <c r="C26" s="618">
        <f>SGA!C27</f>
        <v>0</v>
      </c>
      <c r="D26" s="598" t="n"/>
      <c r="E26" s="599">
        <f>C26+D26</f>
        <v>0</v>
      </c>
      <c r="F26" s="609">
        <f>SGA!E27</f>
        <v>4711966</v>
      </c>
      <c r="G26" s="598" t="n"/>
      <c r="H26" s="599">
        <f>F26+G26</f>
        <v>4711966</v>
      </c>
      <c r="I26" s="609">
        <f>SGA!G27</f>
        <v>6710821</v>
      </c>
      <c r="J26" s="598" t="n"/>
      <c r="K26" s="599">
        <f>I26+J26</f>
        <v>6710821</v>
      </c>
      <c r="L26" s="609">
        <f>SGA!I27</f>
        <v>6227194</v>
      </c>
      <c r="M26" s="598" t="n"/>
      <c r="N26" s="599">
        <f>L26+M26</f>
        <v>6227194</v>
      </c>
      <c r="O26" s="609">
        <f>SGA!K27</f>
        <v>3082216</v>
      </c>
      <c r="P26" s="598" t="n"/>
      <c r="Q26" s="599">
        <f>O26+P26</f>
        <v>3082216</v>
      </c>
    </row>
    <row r="27" ht="22.5" customHeight="1" s="595">
      <c r="B27" s="205" t="str">
        <f>SGA!B28</f>
        <v>支払保険料</v>
      </c>
      <c r="C27" s="618">
        <f>SGA!C28</f>
        <v>0</v>
      </c>
      <c r="D27" s="598" t="n"/>
      <c r="E27" s="599">
        <f>C27+D27</f>
        <v>0</v>
      </c>
      <c r="F27" s="609">
        <f>SGA!E28</f>
        <v>2772322</v>
      </c>
      <c r="G27" s="598" t="n"/>
      <c r="H27" s="599">
        <f>F27+G27</f>
        <v>2772322</v>
      </c>
      <c r="I27" s="609">
        <f>SGA!G28</f>
        <v>1431329</v>
      </c>
      <c r="J27" s="598" t="n"/>
      <c r="K27" s="599">
        <f>I27+J27</f>
        <v>1431329</v>
      </c>
      <c r="L27" s="609">
        <f>SGA!I28</f>
        <v>1541660</v>
      </c>
      <c r="M27" s="598" t="n"/>
      <c r="N27" s="599">
        <f>L27+M27</f>
        <v>1541660</v>
      </c>
      <c r="O27" s="609">
        <f>SGA!K28</f>
        <v>325790</v>
      </c>
      <c r="P27" s="598" t="n"/>
      <c r="Q27" s="599">
        <f>O27+P27</f>
        <v>325790</v>
      </c>
    </row>
    <row r="28" ht="22.5" customHeight="1" s="595">
      <c r="B28" s="205" t="str">
        <f>SGA!B29</f>
        <v>修繕費</v>
      </c>
      <c r="C28" s="618">
        <f>SGA!C29</f>
        <v>0</v>
      </c>
      <c r="D28" s="598" t="n"/>
      <c r="E28" s="599">
        <f>C28+D28</f>
        <v>0</v>
      </c>
      <c r="F28" s="609">
        <f>SGA!E29</f>
        <v>1169740</v>
      </c>
      <c r="G28" s="598" t="n"/>
      <c r="H28" s="599">
        <f>F28+G28</f>
        <v>1169740</v>
      </c>
      <c r="I28" s="609">
        <f>SGA!G29</f>
        <v>707846</v>
      </c>
      <c r="J28" s="598" t="n"/>
      <c r="K28" s="599">
        <f>I28+J28</f>
        <v>707846</v>
      </c>
      <c r="L28" s="609">
        <f>SGA!I29</f>
        <v>123750</v>
      </c>
      <c r="M28" s="598" t="n"/>
      <c r="N28" s="599">
        <f>L28+M28</f>
        <v>123750</v>
      </c>
      <c r="O28" s="609">
        <f>SGA!K29</f>
        <v>702130</v>
      </c>
      <c r="P28" s="598" t="n"/>
      <c r="Q28" s="599">
        <f>O28+P28</f>
        <v>702130</v>
      </c>
    </row>
    <row r="29" ht="22.5" customHeight="1" s="595">
      <c r="B29" s="205" t="str">
        <f>SGA!B30</f>
        <v>事務用消耗品費</v>
      </c>
      <c r="C29" s="618">
        <f>SGA!C30</f>
        <v>0</v>
      </c>
      <c r="D29" s="598" t="n"/>
      <c r="E29" s="599">
        <f>C29+D29</f>
        <v>0</v>
      </c>
      <c r="F29" s="609">
        <f>SGA!E30</f>
        <v>2033078</v>
      </c>
      <c r="G29" s="598" t="n"/>
      <c r="H29" s="599">
        <f>F29+G29</f>
        <v>2033078</v>
      </c>
      <c r="I29" s="609">
        <f>SGA!G30</f>
        <v>1934919</v>
      </c>
      <c r="J29" s="598" t="n"/>
      <c r="K29" s="599">
        <f>I29+J29</f>
        <v>1934919</v>
      </c>
      <c r="L29" s="609">
        <f>SGA!I30</f>
        <v>2335738</v>
      </c>
      <c r="M29" s="598" t="n"/>
      <c r="N29" s="599">
        <f>L29+M29</f>
        <v>2335738</v>
      </c>
      <c r="O29" s="609">
        <f>SGA!K30</f>
        <v>1408266</v>
      </c>
      <c r="P29" s="598" t="n"/>
      <c r="Q29" s="599">
        <f>O29+P29</f>
        <v>1408266</v>
      </c>
    </row>
    <row r="30" ht="22.5" customHeight="1" s="595">
      <c r="B30" s="205" t="str">
        <f>SGA!B31</f>
        <v>減価償却費</v>
      </c>
      <c r="C30" s="618">
        <f>SGA!C31</f>
        <v>0</v>
      </c>
      <c r="D30" s="598" t="n"/>
      <c r="E30" s="599">
        <f>C30+D30</f>
        <v>0</v>
      </c>
      <c r="F30" s="609">
        <f>SGA!E31</f>
        <v>13663684</v>
      </c>
      <c r="G30" s="598" t="n"/>
      <c r="H30" s="599">
        <f>F30+G30</f>
        <v>13663684</v>
      </c>
      <c r="I30" s="609">
        <f>SGA!G31</f>
        <v>12557564</v>
      </c>
      <c r="J30" s="598" t="n"/>
      <c r="K30" s="599">
        <f>I30+J30</f>
        <v>12557564</v>
      </c>
      <c r="L30" s="609">
        <f>SGA!I31</f>
        <v>8878970</v>
      </c>
      <c r="M30" s="598" t="n"/>
      <c r="N30" s="599">
        <f>L30+M30</f>
        <v>8878970</v>
      </c>
      <c r="O30" s="609">
        <f>SGA!K31</f>
        <v>3654000</v>
      </c>
      <c r="P30" s="598" t="n"/>
      <c r="Q30" s="599">
        <f>O30+P30</f>
        <v>3654000</v>
      </c>
    </row>
    <row r="31" ht="22.5" customHeight="1" s="595">
      <c r="B31" s="205" t="str">
        <f>SGA!B32</f>
        <v>雑費</v>
      </c>
      <c r="C31" s="618">
        <f>SGA!C32</f>
        <v>0</v>
      </c>
      <c r="D31" s="598" t="n"/>
      <c r="E31" s="599">
        <f>C31+D31</f>
        <v>0</v>
      </c>
      <c r="F31" s="609">
        <f>SGA!E32</f>
        <v>4521805</v>
      </c>
      <c r="G31" s="598" t="n"/>
      <c r="H31" s="599">
        <f>F31+G31</f>
        <v>4521805</v>
      </c>
      <c r="I31" s="609">
        <f>SGA!G32</f>
        <v>4393320</v>
      </c>
      <c r="J31" s="598" t="n"/>
      <c r="K31" s="599">
        <f>I31+J31</f>
        <v>4393320</v>
      </c>
      <c r="L31" s="609">
        <f>SGA!I32</f>
        <v>4689970</v>
      </c>
      <c r="M31" s="598" t="n"/>
      <c r="N31" s="599">
        <f>L31+M31</f>
        <v>4689970</v>
      </c>
      <c r="O31" s="609">
        <f>SGA!K32</f>
        <v>1899133</v>
      </c>
      <c r="P31" s="598" t="n"/>
      <c r="Q31" s="599">
        <f>O31+P31</f>
        <v>1899133</v>
      </c>
    </row>
    <row r="32" ht="22.5" customHeight="1" s="595">
      <c r="B32" s="205">
        <f>SGA!B33</f>
        <v>0</v>
      </c>
      <c r="C32" s="618">
        <f>SGA!C33</f>
        <v>0</v>
      </c>
      <c r="D32" s="598" t="n"/>
      <c r="E32" s="599">
        <f>C32+D32</f>
        <v>0</v>
      </c>
      <c r="F32" s="609">
        <f>SGA!E33</f>
        <v>0</v>
      </c>
      <c r="G32" s="598" t="n"/>
      <c r="H32" s="599">
        <f>F32+G32</f>
        <v>0</v>
      </c>
      <c r="I32" s="609">
        <f>SGA!G33</f>
        <v>0</v>
      </c>
      <c r="J32" s="598" t="n"/>
      <c r="K32" s="599">
        <f>I32+J32</f>
        <v>0</v>
      </c>
      <c r="L32" s="609">
        <f>SGA!I33</f>
        <v>0</v>
      </c>
      <c r="M32" s="598" t="n"/>
      <c r="N32" s="599">
        <f>L32+M32</f>
        <v>0</v>
      </c>
      <c r="O32" s="609">
        <f>SGA!K33</f>
        <v>0</v>
      </c>
      <c r="P32" s="598" t="n"/>
      <c r="Q32" s="599">
        <f>O32+P32</f>
        <v>0</v>
      </c>
    </row>
    <row r="33" ht="22.5" customHeight="1" s="595">
      <c r="B33" s="205" t="str">
        <f>SGA!B34</f>
        <v>消費税引当金</v>
      </c>
      <c r="C33" s="618">
        <f>SGA!C34</f>
        <v>0</v>
      </c>
      <c r="D33" s="598" t="n"/>
      <c r="E33" s="599">
        <f>C33+D33</f>
        <v>0</v>
      </c>
      <c r="F33" s="609">
        <f>SGA!E34</f>
        <v>0</v>
      </c>
      <c r="G33" s="598" t="n"/>
      <c r="H33" s="599">
        <f>F33+G33</f>
        <v>0</v>
      </c>
      <c r="I33" s="609">
        <f>SGA!G34</f>
        <v>0</v>
      </c>
      <c r="J33" s="598" t="n"/>
      <c r="K33" s="599">
        <f>I33+J33</f>
        <v>0</v>
      </c>
      <c r="L33" s="609">
        <f>SGA!I34</f>
        <v>0</v>
      </c>
      <c r="M33" s="598" t="n"/>
      <c r="N33" s="599">
        <f>L33+M33</f>
        <v>0</v>
      </c>
      <c r="O33" s="609">
        <f>SGA!K34</f>
        <v>3023000</v>
      </c>
      <c r="P33" s="598" t="n"/>
      <c r="Q33" s="599">
        <f>O33+P33</f>
        <v>3023000</v>
      </c>
    </row>
    <row r="34" ht="22.5" customHeight="1" s="595">
      <c r="B34" s="205" t="inlineStr">
        <is>
          <t>受取奨励金（純額）の振替</t>
        </is>
      </c>
      <c r="C34" s="618">
        <f>SGA!C35</f>
        <v>0</v>
      </c>
      <c r="D34" s="598" t="n"/>
      <c r="E34" s="599">
        <f>C34+D34</f>
        <v>0</v>
      </c>
      <c r="F34" s="609">
        <f>SGA!E35</f>
        <v>0</v>
      </c>
      <c r="G34" s="598">
        <f>-(修正PL!F69-修正PL!F70)</f>
        <v>-2178508</v>
      </c>
      <c r="H34" s="599">
        <f>F34+G34</f>
        <v>-2178508</v>
      </c>
      <c r="I34" s="609">
        <f>SGA!G35</f>
        <v>0</v>
      </c>
      <c r="J34" s="598">
        <f>-(修正PL!I69-修正PL!I70)</f>
        <v>-2314707</v>
      </c>
      <c r="K34" s="599">
        <f>I34+J34</f>
        <v>-2314707</v>
      </c>
      <c r="L34" s="609">
        <f>SGA!I35</f>
        <v>0</v>
      </c>
      <c r="M34" s="598">
        <f>-(修正PL!L69-修正PL!L70)</f>
        <v>-2418448</v>
      </c>
      <c r="N34" s="599">
        <f>L34+M34</f>
        <v>-2418448</v>
      </c>
      <c r="O34" s="609">
        <f>SGA!K35</f>
        <v>0</v>
      </c>
      <c r="P34" s="598">
        <f>-(修正PL!O69-修正PL!O70)</f>
        <v>-1184146</v>
      </c>
      <c r="Q34" s="599">
        <f>O34+P34</f>
        <v>-1184146</v>
      </c>
    </row>
    <row r="35" ht="22.5" customHeight="1" s="595">
      <c r="B35" s="205" t="n"/>
      <c r="C35" s="618" t="n"/>
      <c r="D35" s="598" t="n"/>
      <c r="E35" s="599">
        <f>C35+D35</f>
        <v>0</v>
      </c>
      <c r="F35" s="618" t="n"/>
      <c r="G35" s="598" t="n"/>
      <c r="H35" s="599">
        <f>F35+G35</f>
        <v>0</v>
      </c>
      <c r="I35" s="618" t="n"/>
      <c r="J35" s="598" t="n"/>
      <c r="K35" s="599">
        <f>I35+J35</f>
        <v>0</v>
      </c>
      <c r="L35" s="618" t="n"/>
      <c r="M35" s="598" t="n"/>
      <c r="N35" s="599">
        <f>L35+M35</f>
        <v>0</v>
      </c>
      <c r="O35" s="618" t="n"/>
      <c r="P35" s="598" t="n"/>
      <c r="Q35" s="599">
        <f>O35+P35</f>
        <v>0</v>
      </c>
    </row>
    <row r="36" ht="22.5" customHeight="1" s="595">
      <c r="B36" s="205" t="n"/>
      <c r="C36" s="618" t="n"/>
      <c r="D36" s="598" t="n"/>
      <c r="E36" s="599">
        <f>C36+D36</f>
        <v>0</v>
      </c>
      <c r="F36" s="618" t="n"/>
      <c r="G36" s="598" t="n"/>
      <c r="H36" s="599">
        <f>F36+G36</f>
        <v>0</v>
      </c>
      <c r="I36" s="618" t="n"/>
      <c r="J36" s="598" t="n"/>
      <c r="K36" s="599">
        <f>I36+J36</f>
        <v>0</v>
      </c>
      <c r="L36" s="618" t="n"/>
      <c r="M36" s="598" t="n"/>
      <c r="N36" s="599">
        <f>L36+M36</f>
        <v>0</v>
      </c>
      <c r="O36" s="618" t="n"/>
      <c r="P36" s="598" t="n"/>
      <c r="Q36" s="599">
        <f>O36+P36</f>
        <v>0</v>
      </c>
    </row>
    <row r="37" ht="22.5" customHeight="1" s="595">
      <c r="B37" s="205" t="n"/>
      <c r="C37" s="618" t="n"/>
      <c r="D37" s="598" t="n"/>
      <c r="E37" s="599">
        <f>C37+D37</f>
        <v>0</v>
      </c>
      <c r="F37" s="618" t="n"/>
      <c r="G37" s="598" t="n"/>
      <c r="H37" s="599">
        <f>F37+G37</f>
        <v>0</v>
      </c>
      <c r="I37" s="618" t="n"/>
      <c r="J37" s="598" t="n"/>
      <c r="K37" s="599">
        <f>I37+J37</f>
        <v>0</v>
      </c>
      <c r="L37" s="618" t="n"/>
      <c r="M37" s="598" t="n"/>
      <c r="N37" s="599">
        <f>L37+M37</f>
        <v>0</v>
      </c>
      <c r="O37" s="618" t="n"/>
      <c r="P37" s="598" t="n"/>
      <c r="Q37" s="599">
        <f>O37+P37</f>
        <v>0</v>
      </c>
    </row>
    <row r="38" ht="22.5" customHeight="1" s="595">
      <c r="B38" s="205" t="n"/>
      <c r="C38" s="611" t="n"/>
      <c r="D38" s="620" t="n"/>
      <c r="E38" s="599">
        <f>C38+D38</f>
        <v>0</v>
      </c>
      <c r="F38" s="611" t="n"/>
      <c r="G38" s="620" t="n"/>
      <c r="H38" s="599">
        <f>F38+G38</f>
        <v>0</v>
      </c>
      <c r="I38" s="611" t="n"/>
      <c r="J38" s="620" t="n"/>
      <c r="K38" s="599">
        <f>I38+J38</f>
        <v>0</v>
      </c>
      <c r="L38" s="611" t="n"/>
      <c r="M38" s="620" t="n"/>
      <c r="N38" s="599">
        <f>L38+M38</f>
        <v>0</v>
      </c>
      <c r="O38" s="611" t="n"/>
      <c r="P38" s="620" t="n"/>
      <c r="Q38" s="599">
        <f>O38+P38</f>
        <v>0</v>
      </c>
    </row>
    <row r="39" ht="22.5" customHeight="1" s="595" thickBot="1">
      <c r="B39" s="216" t="inlineStr">
        <is>
          <t>販売費および一般管理費合計</t>
        </is>
      </c>
      <c r="C39" s="645">
        <f>SUM(C5:C38)</f>
        <v>0</v>
      </c>
      <c r="D39" s="645">
        <f>SUM(D5:D38)</f>
        <v>0</v>
      </c>
      <c r="E39" s="759">
        <f>C39+D39</f>
        <v>0</v>
      </c>
      <c r="F39" s="645">
        <f>SUM(F5:F38)</f>
        <v>214823441</v>
      </c>
      <c r="G39" s="645">
        <f>SUM(G5:G38)</f>
        <v>-20041508</v>
      </c>
      <c r="H39" s="759">
        <f>F39+G39</f>
        <v>194781933</v>
      </c>
      <c r="I39" s="645">
        <f>SUM(I5:I38)</f>
        <v>215718454</v>
      </c>
      <c r="J39" s="645">
        <f>SUM(J5:J38)</f>
        <v>-20235707</v>
      </c>
      <c r="K39" s="759">
        <f>I39+J39</f>
        <v>195482747</v>
      </c>
      <c r="L39" s="645">
        <f>SUM(L5:L38)</f>
        <v>193151054</v>
      </c>
      <c r="M39" s="645">
        <f>SUM(M5:M38)</f>
        <v>-6379024.25</v>
      </c>
      <c r="N39" s="759">
        <f>L39+M39</f>
        <v>186772029.75</v>
      </c>
      <c r="O39" s="645">
        <f>SUM(O5:O38)</f>
        <v>85746239</v>
      </c>
      <c r="P39" s="645">
        <f>SUM(P5:P38)</f>
        <v>-1406434.125</v>
      </c>
      <c r="Q39" s="759">
        <f>O39+P39</f>
        <v>84339804.875</v>
      </c>
    </row>
  </sheetData>
  <mergeCells count="1">
    <mergeCell ref="B3:B4"/>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Q44"/>
  <sheetViews>
    <sheetView showGridLines="0" topLeftCell="A2" zoomScale="63" zoomScaleNormal="100" workbookViewId="0">
      <pane ySplit="3" topLeftCell="A5" activePane="bottomLeft" state="frozen"/>
      <selection activeCell="B11" sqref="B11"/>
      <selection pane="bottomLeft" activeCell="A5" sqref="A5"/>
    </sheetView>
  </sheetViews>
  <sheetFormatPr baseColWidth="8" defaultRowHeight="18"/>
  <cols>
    <col width="28" bestFit="1" customWidth="1" style="182" min="2" max="2"/>
    <col width="15" customWidth="1" style="595" min="3" max="17"/>
  </cols>
  <sheetData>
    <row r="2" ht="18.75" customHeight="1" s="595">
      <c r="B2" s="0" t="n"/>
      <c r="C2" s="175" t="n"/>
      <c r="F2" s="175" t="n"/>
      <c r="I2" s="175" t="n"/>
      <c r="K2" s="73" t="inlineStr">
        <is>
          <t>(単位：千円)</t>
        </is>
      </c>
      <c r="L2" s="175" t="n"/>
      <c r="O2" s="175" t="n"/>
    </row>
    <row r="3" ht="20.25" customHeight="1" s="595" thickBot="1">
      <c r="B3" s="560" t="inlineStr">
        <is>
          <t>科目</t>
        </is>
      </c>
      <c r="C3" s="193" t="str">
        <f>'BS(借方)'!C4</f>
        <v>●●年●月期</v>
      </c>
      <c r="D3" s="174" t="n"/>
      <c r="E3" s="174" t="n"/>
      <c r="F3" s="193" t="str">
        <f>'BS(借方)'!D4</f>
        <v>24年3月期</v>
      </c>
      <c r="G3" s="174" t="n"/>
      <c r="H3" s="174" t="n"/>
      <c r="I3" s="193" t="str">
        <f>'BS(借方)'!E4</f>
        <v>25年3月期</v>
      </c>
      <c r="J3" s="174" t="n"/>
      <c r="K3" s="174" t="n"/>
      <c r="L3" s="193" t="str">
        <f>'BS(借方)'!F4</f>
        <v>26年3月期</v>
      </c>
      <c r="M3" s="174" t="n"/>
      <c r="N3" s="174" t="n"/>
      <c r="O3" s="273" t="str">
        <f>'BS(借方)'!G4</f>
        <v>27年3月期
4〜9月TB</v>
      </c>
      <c r="P3" s="274" t="n"/>
      <c r="Q3" s="274" t="n"/>
    </row>
    <row r="4" ht="19.5" customHeight="1" s="595">
      <c r="B4" s="659" t="n"/>
      <c r="C4" s="221" t="inlineStr">
        <is>
          <t>帳簿価額</t>
        </is>
      </c>
      <c r="D4" s="280" t="inlineStr">
        <is>
          <t>修正額</t>
        </is>
      </c>
      <c r="E4" s="285" t="inlineStr">
        <is>
          <t>修正後</t>
        </is>
      </c>
      <c r="F4" s="221" t="inlineStr">
        <is>
          <t>帳簿価額</t>
        </is>
      </c>
      <c r="G4" s="280" t="inlineStr">
        <is>
          <t>修正額</t>
        </is>
      </c>
      <c r="H4" s="285" t="inlineStr">
        <is>
          <t>修正後</t>
        </is>
      </c>
      <c r="I4" s="221" t="inlineStr">
        <is>
          <t>帳簿価額</t>
        </is>
      </c>
      <c r="J4" s="280" t="inlineStr">
        <is>
          <t>修正額</t>
        </is>
      </c>
      <c r="K4" s="285" t="inlineStr">
        <is>
          <t>修正後</t>
        </is>
      </c>
      <c r="L4" s="221" t="inlineStr">
        <is>
          <t>帳簿価額</t>
        </is>
      </c>
      <c r="M4" s="280" t="inlineStr">
        <is>
          <t>修正額</t>
        </is>
      </c>
      <c r="N4" s="285" t="inlineStr">
        <is>
          <t>修正後</t>
        </is>
      </c>
      <c r="O4" s="222" t="inlineStr">
        <is>
          <t>帳簿価額</t>
        </is>
      </c>
      <c r="P4" s="276" t="inlineStr">
        <is>
          <t>修正額</t>
        </is>
      </c>
      <c r="Q4" s="285" t="inlineStr">
        <is>
          <t>修正後</t>
        </is>
      </c>
    </row>
    <row r="5" ht="22.5" customHeight="1" s="595">
      <c r="B5" s="220" t="inlineStr">
        <is>
          <t>期首原材料棚卸高</t>
        </is>
      </c>
      <c r="C5" s="609" t="n"/>
      <c r="D5" s="598" t="n"/>
      <c r="E5" s="599">
        <f>C5+D5</f>
        <v>0</v>
      </c>
      <c r="F5" s="609" t="n"/>
      <c r="G5" s="598" t="n"/>
      <c r="H5" s="599">
        <f>F5+G5</f>
        <v>0</v>
      </c>
      <c r="I5" s="609" t="n"/>
      <c r="J5" s="598" t="n"/>
      <c r="K5" s="599">
        <f>I5+J5</f>
        <v>0</v>
      </c>
      <c r="L5" s="609" t="n"/>
      <c r="M5" s="598" t="n"/>
      <c r="N5" s="599">
        <f>L5+M5</f>
        <v>0</v>
      </c>
      <c r="O5" s="609" t="n"/>
      <c r="P5" s="598" t="n"/>
      <c r="Q5" s="599">
        <f>O5+P5</f>
        <v>0</v>
      </c>
    </row>
    <row r="6" ht="22.5" customHeight="1" s="595">
      <c r="B6" s="205" t="inlineStr">
        <is>
          <t>原材料仕入高</t>
        </is>
      </c>
      <c r="C6" s="618" t="n"/>
      <c r="D6" s="598" t="n"/>
      <c r="E6" s="599">
        <f>C6+D6</f>
        <v>0</v>
      </c>
      <c r="F6" s="618" t="n"/>
      <c r="G6" s="598" t="n"/>
      <c r="H6" s="599">
        <f>F6+G6</f>
        <v>0</v>
      </c>
      <c r="I6" s="618" t="n"/>
      <c r="J6" s="598" t="n"/>
      <c r="K6" s="599">
        <f>I6+J6</f>
        <v>0</v>
      </c>
      <c r="L6" s="618" t="n"/>
      <c r="M6" s="598" t="n"/>
      <c r="N6" s="599">
        <f>L6+M6</f>
        <v>0</v>
      </c>
      <c r="O6" s="618" t="n"/>
      <c r="P6" s="598" t="n"/>
      <c r="Q6" s="599">
        <f>O6+P6</f>
        <v>0</v>
      </c>
    </row>
    <row r="7" ht="22.5" customHeight="1" s="595">
      <c r="B7" s="205" t="inlineStr">
        <is>
          <t>小計</t>
        </is>
      </c>
      <c r="C7" s="618" t="n"/>
      <c r="D7" s="598" t="n"/>
      <c r="E7" s="599">
        <f>C7+D7</f>
        <v>0</v>
      </c>
      <c r="F7" s="618" t="n"/>
      <c r="G7" s="598" t="n"/>
      <c r="H7" s="599">
        <f>F7+G7</f>
        <v>0</v>
      </c>
      <c r="I7" s="618" t="n"/>
      <c r="J7" s="598" t="n"/>
      <c r="K7" s="599">
        <f>I7+J7</f>
        <v>0</v>
      </c>
      <c r="L7" s="618" t="n"/>
      <c r="M7" s="598" t="n"/>
      <c r="N7" s="599">
        <f>L7+M7</f>
        <v>0</v>
      </c>
      <c r="O7" s="618" t="n"/>
      <c r="P7" s="598" t="n"/>
      <c r="Q7" s="599">
        <f>O7+P7</f>
        <v>0</v>
      </c>
    </row>
    <row r="8" ht="22.5" customHeight="1" s="595">
      <c r="B8" s="205" t="inlineStr">
        <is>
          <t>期末原材料棚卸高</t>
        </is>
      </c>
      <c r="C8" s="618" t="n"/>
      <c r="D8" s="598" t="n"/>
      <c r="E8" s="599">
        <f>C8+D8</f>
        <v>0</v>
      </c>
      <c r="F8" s="618" t="n"/>
      <c r="G8" s="598" t="n"/>
      <c r="H8" s="599">
        <f>F8+G8</f>
        <v>0</v>
      </c>
      <c r="I8" s="618" t="n"/>
      <c r="J8" s="598" t="n"/>
      <c r="K8" s="599">
        <f>I8+J8</f>
        <v>0</v>
      </c>
      <c r="L8" s="618" t="n"/>
      <c r="M8" s="598" t="n"/>
      <c r="N8" s="599">
        <f>L8+M8</f>
        <v>0</v>
      </c>
      <c r="O8" s="618" t="n"/>
      <c r="P8" s="598" t="n"/>
      <c r="Q8" s="599">
        <f>O8+P8</f>
        <v>0</v>
      </c>
    </row>
    <row r="9" ht="22.5" customHeight="1" s="595">
      <c r="B9" s="205" t="n"/>
      <c r="C9" s="618" t="n"/>
      <c r="D9" s="598" t="n"/>
      <c r="E9" s="599">
        <f>C9+D9</f>
        <v>0</v>
      </c>
      <c r="F9" s="618" t="n"/>
      <c r="G9" s="598" t="n"/>
      <c r="H9" s="599">
        <f>F9+G9</f>
        <v>0</v>
      </c>
      <c r="I9" s="618" t="n"/>
      <c r="J9" s="598" t="n"/>
      <c r="K9" s="599">
        <f>I9+J9</f>
        <v>0</v>
      </c>
      <c r="L9" s="618" t="n"/>
      <c r="M9" s="598" t="n"/>
      <c r="N9" s="599">
        <f>L9+M9</f>
        <v>0</v>
      </c>
      <c r="O9" s="618" t="n"/>
      <c r="P9" s="598" t="n"/>
      <c r="Q9" s="599">
        <f>O9+P9</f>
        <v>0</v>
      </c>
    </row>
    <row r="10" ht="22.5" customHeight="1" s="595">
      <c r="B10" s="206" t="n"/>
      <c r="C10" s="611" t="n"/>
      <c r="D10" s="620" t="n"/>
      <c r="E10" s="599">
        <f>C10+D10</f>
        <v>0</v>
      </c>
      <c r="F10" s="611" t="n"/>
      <c r="G10" s="620" t="n"/>
      <c r="H10" s="599">
        <f>F10+G10</f>
        <v>0</v>
      </c>
      <c r="I10" s="611" t="n"/>
      <c r="J10" s="620" t="n"/>
      <c r="K10" s="599">
        <f>I10+J10</f>
        <v>0</v>
      </c>
      <c r="L10" s="611" t="n"/>
      <c r="M10" s="620" t="n"/>
      <c r="N10" s="599">
        <f>L10+M10</f>
        <v>0</v>
      </c>
      <c r="O10" s="611" t="n"/>
      <c r="P10" s="620" t="n"/>
      <c r="Q10" s="599">
        <f>O10+P10</f>
        <v>0</v>
      </c>
    </row>
    <row r="11" ht="22.5" customHeight="1" s="595">
      <c r="B11" s="224" t="inlineStr">
        <is>
          <t>材料費</t>
        </is>
      </c>
      <c r="C11" s="645">
        <f>SUM(C5:C10)</f>
        <v>0</v>
      </c>
      <c r="D11" s="645">
        <f>SUM(D5:D10)</f>
        <v>0</v>
      </c>
      <c r="E11" s="760">
        <f>C11+D11</f>
        <v>0</v>
      </c>
      <c r="F11" s="645">
        <f>SUM(F5:F10)</f>
        <v>0</v>
      </c>
      <c r="G11" s="645">
        <f>SUM(G5:G10)</f>
        <v>0</v>
      </c>
      <c r="H11" s="760">
        <f>F11+G11</f>
        <v>0</v>
      </c>
      <c r="I11" s="645">
        <f>SUM(I5:I10)</f>
        <v>0</v>
      </c>
      <c r="J11" s="645">
        <f>SUM(J5:J10)</f>
        <v>0</v>
      </c>
      <c r="K11" s="760">
        <f>I11+J11</f>
        <v>0</v>
      </c>
      <c r="L11" s="645">
        <f>SUM(L5:L10)</f>
        <v>0</v>
      </c>
      <c r="M11" s="645">
        <f>SUM(M5:M10)</f>
        <v>0</v>
      </c>
      <c r="N11" s="760">
        <f>L11+M11</f>
        <v>0</v>
      </c>
      <c r="O11" s="645">
        <f>SUM(O5:O10)</f>
        <v>0</v>
      </c>
      <c r="P11" s="645">
        <f>SUM(P5:P10)</f>
        <v>0</v>
      </c>
      <c r="Q11" s="760">
        <f>O11+P11</f>
        <v>0</v>
      </c>
    </row>
    <row r="12" ht="22.5" customHeight="1" s="595">
      <c r="B12" s="220" t="n"/>
      <c r="C12" s="609" t="n"/>
      <c r="D12" s="598" t="n"/>
      <c r="E12" s="599">
        <f>C12+D12</f>
        <v>0</v>
      </c>
      <c r="F12" s="609" t="n"/>
      <c r="G12" s="598" t="n"/>
      <c r="H12" s="599">
        <f>F12+G12</f>
        <v>0</v>
      </c>
      <c r="I12" s="609" t="n"/>
      <c r="J12" s="598" t="n"/>
      <c r="K12" s="599">
        <f>I12+J12</f>
        <v>0</v>
      </c>
      <c r="L12" s="609" t="n"/>
      <c r="M12" s="598" t="n"/>
      <c r="N12" s="599">
        <f>L12+M12</f>
        <v>0</v>
      </c>
      <c r="O12" s="609" t="n"/>
      <c r="P12" s="598" t="n"/>
      <c r="Q12" s="599">
        <f>O12+P12</f>
        <v>0</v>
      </c>
    </row>
    <row r="13" ht="22.5" customHeight="1" s="595">
      <c r="B13" s="205" t="n"/>
      <c r="C13" s="618" t="n"/>
      <c r="D13" s="598" t="n"/>
      <c r="E13" s="599">
        <f>C13+D13</f>
        <v>0</v>
      </c>
      <c r="F13" s="618" t="n"/>
      <c r="G13" s="598" t="n"/>
      <c r="H13" s="599">
        <f>F13+G13</f>
        <v>0</v>
      </c>
      <c r="I13" s="618" t="n"/>
      <c r="J13" s="598" t="n"/>
      <c r="K13" s="599">
        <f>I13+J13</f>
        <v>0</v>
      </c>
      <c r="L13" s="618" t="n"/>
      <c r="M13" s="598" t="n"/>
      <c r="N13" s="599">
        <f>L13+M13</f>
        <v>0</v>
      </c>
      <c r="O13" s="618" t="n"/>
      <c r="P13" s="598" t="n"/>
      <c r="Q13" s="599">
        <f>O13+P13</f>
        <v>0</v>
      </c>
    </row>
    <row r="14" ht="22.5" customHeight="1" s="595">
      <c r="B14" s="205" t="n"/>
      <c r="C14" s="618" t="n"/>
      <c r="D14" s="598" t="n"/>
      <c r="E14" s="599">
        <f>C14+D14</f>
        <v>0</v>
      </c>
      <c r="F14" s="618" t="n"/>
      <c r="G14" s="598" t="n"/>
      <c r="H14" s="599">
        <f>F14+G14</f>
        <v>0</v>
      </c>
      <c r="I14" s="618" t="n"/>
      <c r="J14" s="598" t="n"/>
      <c r="K14" s="599">
        <f>I14+J14</f>
        <v>0</v>
      </c>
      <c r="L14" s="618" t="n"/>
      <c r="M14" s="598" t="n"/>
      <c r="N14" s="599">
        <f>L14+M14</f>
        <v>0</v>
      </c>
      <c r="O14" s="618" t="n"/>
      <c r="P14" s="598" t="n"/>
      <c r="Q14" s="599">
        <f>O14+P14</f>
        <v>0</v>
      </c>
    </row>
    <row r="15" ht="22.5" customHeight="1" s="595">
      <c r="B15" s="205" t="n"/>
      <c r="C15" s="618" t="n"/>
      <c r="D15" s="598" t="n"/>
      <c r="E15" s="599">
        <f>C15+D15</f>
        <v>0</v>
      </c>
      <c r="F15" s="618" t="n"/>
      <c r="G15" s="598" t="n"/>
      <c r="H15" s="599">
        <f>F15+G15</f>
        <v>0</v>
      </c>
      <c r="I15" s="618" t="n"/>
      <c r="J15" s="598" t="n"/>
      <c r="K15" s="599">
        <f>I15+J15</f>
        <v>0</v>
      </c>
      <c r="L15" s="618" t="n"/>
      <c r="M15" s="598" t="n"/>
      <c r="N15" s="599">
        <f>L15+M15</f>
        <v>0</v>
      </c>
      <c r="O15" s="618" t="n"/>
      <c r="P15" s="598" t="n"/>
      <c r="Q15" s="599">
        <f>O15+P15</f>
        <v>0</v>
      </c>
    </row>
    <row r="16" ht="22.5" customHeight="1" s="595">
      <c r="B16" s="205" t="n"/>
      <c r="C16" s="618" t="n"/>
      <c r="D16" s="598" t="n"/>
      <c r="E16" s="599">
        <f>C16+D16</f>
        <v>0</v>
      </c>
      <c r="F16" s="618" t="n"/>
      <c r="G16" s="598" t="n"/>
      <c r="H16" s="599">
        <f>F16+G16</f>
        <v>0</v>
      </c>
      <c r="I16" s="618" t="n"/>
      <c r="J16" s="598" t="n"/>
      <c r="K16" s="599">
        <f>I16+J16</f>
        <v>0</v>
      </c>
      <c r="L16" s="618" t="n"/>
      <c r="M16" s="598" t="n"/>
      <c r="N16" s="599">
        <f>L16+M16</f>
        <v>0</v>
      </c>
      <c r="O16" s="618" t="n"/>
      <c r="P16" s="598" t="n"/>
      <c r="Q16" s="599">
        <f>O16+P16</f>
        <v>0</v>
      </c>
    </row>
    <row r="17" ht="22.5" customHeight="1" s="595">
      <c r="B17" s="206" t="n"/>
      <c r="C17" s="611" t="n"/>
      <c r="D17" s="620" t="n"/>
      <c r="E17" s="599">
        <f>C17+D17</f>
        <v>0</v>
      </c>
      <c r="F17" s="611" t="n"/>
      <c r="G17" s="620" t="n"/>
      <c r="H17" s="599">
        <f>F17+G17</f>
        <v>0</v>
      </c>
      <c r="I17" s="611" t="n"/>
      <c r="J17" s="620" t="n"/>
      <c r="K17" s="599">
        <f>I17+J17</f>
        <v>0</v>
      </c>
      <c r="L17" s="611" t="n"/>
      <c r="M17" s="620" t="n"/>
      <c r="N17" s="599">
        <f>L17+M17</f>
        <v>0</v>
      </c>
      <c r="O17" s="611" t="n"/>
      <c r="P17" s="620" t="n"/>
      <c r="Q17" s="599">
        <f>O17+P17</f>
        <v>0</v>
      </c>
    </row>
    <row r="18" ht="22.5" customHeight="1" s="595">
      <c r="B18" s="224" t="inlineStr">
        <is>
          <t>労務費</t>
        </is>
      </c>
      <c r="C18" s="645">
        <f>SUM(C12:C17)</f>
        <v>0</v>
      </c>
      <c r="D18" s="645">
        <f>SUM(D12:D17)</f>
        <v>0</v>
      </c>
      <c r="E18" s="760">
        <f>C18+D18</f>
        <v>0</v>
      </c>
      <c r="F18" s="645">
        <f>SUM(F12:F17)</f>
        <v>0</v>
      </c>
      <c r="G18" s="645">
        <f>SUM(G12:G17)</f>
        <v>0</v>
      </c>
      <c r="H18" s="760">
        <f>F18+G18</f>
        <v>0</v>
      </c>
      <c r="I18" s="645">
        <f>SUM(I12:I17)</f>
        <v>0</v>
      </c>
      <c r="J18" s="645">
        <f>SUM(J12:J17)</f>
        <v>0</v>
      </c>
      <c r="K18" s="760">
        <f>I18+J18</f>
        <v>0</v>
      </c>
      <c r="L18" s="645">
        <f>SUM(L12:L17)</f>
        <v>0</v>
      </c>
      <c r="M18" s="645">
        <f>SUM(M12:M17)</f>
        <v>0</v>
      </c>
      <c r="N18" s="760">
        <f>L18+M18</f>
        <v>0</v>
      </c>
      <c r="O18" s="645">
        <f>SUM(O12:O17)</f>
        <v>0</v>
      </c>
      <c r="P18" s="645">
        <f>SUM(P12:P17)</f>
        <v>0</v>
      </c>
      <c r="Q18" s="760">
        <f>O18+P18</f>
        <v>0</v>
      </c>
    </row>
    <row r="19" ht="22.5" customHeight="1" s="595">
      <c r="B19" s="220" t="n"/>
      <c r="C19" s="609" t="n"/>
      <c r="D19" s="598" t="n"/>
      <c r="E19" s="599">
        <f>C19+D19</f>
        <v>0</v>
      </c>
      <c r="F19" s="609" t="n"/>
      <c r="G19" s="598" t="n"/>
      <c r="H19" s="599">
        <f>F19+G19</f>
        <v>0</v>
      </c>
      <c r="I19" s="609" t="n"/>
      <c r="J19" s="598" t="n"/>
      <c r="K19" s="599">
        <f>I19+J19</f>
        <v>0</v>
      </c>
      <c r="L19" s="609" t="n"/>
      <c r="M19" s="598" t="n"/>
      <c r="N19" s="599">
        <f>L19+M19</f>
        <v>0</v>
      </c>
      <c r="O19" s="609" t="n"/>
      <c r="P19" s="598" t="n"/>
      <c r="Q19" s="599">
        <f>O19+P19</f>
        <v>0</v>
      </c>
    </row>
    <row r="20" ht="22.5" customHeight="1" s="595">
      <c r="B20" s="205" t="n"/>
      <c r="C20" s="618" t="n"/>
      <c r="D20" s="598" t="n"/>
      <c r="E20" s="599">
        <f>C20+D20</f>
        <v>0</v>
      </c>
      <c r="F20" s="618" t="n"/>
      <c r="G20" s="598" t="n"/>
      <c r="H20" s="599">
        <f>F20+G20</f>
        <v>0</v>
      </c>
      <c r="I20" s="618" t="n"/>
      <c r="J20" s="598" t="n"/>
      <c r="K20" s="599">
        <f>I20+J20</f>
        <v>0</v>
      </c>
      <c r="L20" s="618" t="n"/>
      <c r="M20" s="598" t="n"/>
      <c r="N20" s="599">
        <f>L20+M20</f>
        <v>0</v>
      </c>
      <c r="O20" s="618" t="n"/>
      <c r="P20" s="598" t="n"/>
      <c r="Q20" s="599">
        <f>O20+P20</f>
        <v>0</v>
      </c>
    </row>
    <row r="21" ht="22.5" customHeight="1" s="595">
      <c r="B21" s="205" t="n"/>
      <c r="C21" s="618" t="n"/>
      <c r="D21" s="598" t="n"/>
      <c r="E21" s="599">
        <f>C21+D21</f>
        <v>0</v>
      </c>
      <c r="F21" s="618" t="n"/>
      <c r="G21" s="598" t="n"/>
      <c r="H21" s="599">
        <f>F21+G21</f>
        <v>0</v>
      </c>
      <c r="I21" s="618" t="n"/>
      <c r="J21" s="598" t="n"/>
      <c r="K21" s="599">
        <f>I21+J21</f>
        <v>0</v>
      </c>
      <c r="L21" s="618" t="n"/>
      <c r="M21" s="598" t="n"/>
      <c r="N21" s="599">
        <f>L21+M21</f>
        <v>0</v>
      </c>
      <c r="O21" s="618" t="n"/>
      <c r="P21" s="598" t="n"/>
      <c r="Q21" s="599">
        <f>O21+P21</f>
        <v>0</v>
      </c>
    </row>
    <row r="22" ht="22.5" customHeight="1" s="595">
      <c r="B22" s="205" t="n"/>
      <c r="C22" s="618" t="n"/>
      <c r="D22" s="598" t="n"/>
      <c r="E22" s="599">
        <f>C22+D22</f>
        <v>0</v>
      </c>
      <c r="F22" s="618" t="n"/>
      <c r="G22" s="598" t="n"/>
      <c r="H22" s="599">
        <f>F22+G22</f>
        <v>0</v>
      </c>
      <c r="I22" s="618" t="n"/>
      <c r="J22" s="598" t="n"/>
      <c r="K22" s="599">
        <f>I22+J22</f>
        <v>0</v>
      </c>
      <c r="L22" s="618" t="n"/>
      <c r="M22" s="598" t="n"/>
      <c r="N22" s="599">
        <f>L22+M22</f>
        <v>0</v>
      </c>
      <c r="O22" s="618" t="n"/>
      <c r="P22" s="598" t="n"/>
      <c r="Q22" s="599">
        <f>O22+P22</f>
        <v>0</v>
      </c>
    </row>
    <row r="23" ht="22.5" customHeight="1" s="595">
      <c r="B23" s="205" t="n"/>
      <c r="C23" s="618" t="n"/>
      <c r="D23" s="598" t="n"/>
      <c r="E23" s="599">
        <f>C23+D23</f>
        <v>0</v>
      </c>
      <c r="F23" s="618" t="n"/>
      <c r="G23" s="598" t="n"/>
      <c r="H23" s="599">
        <f>F23+G23</f>
        <v>0</v>
      </c>
      <c r="I23" s="618" t="n"/>
      <c r="J23" s="598" t="n"/>
      <c r="K23" s="599">
        <f>I23+J23</f>
        <v>0</v>
      </c>
      <c r="L23" s="618" t="n"/>
      <c r="M23" s="598" t="n"/>
      <c r="N23" s="599">
        <f>L23+M23</f>
        <v>0</v>
      </c>
      <c r="O23" s="618" t="n"/>
      <c r="P23" s="598" t="n"/>
      <c r="Q23" s="599">
        <f>O23+P23</f>
        <v>0</v>
      </c>
    </row>
    <row r="24" ht="22.5" customHeight="1" s="595">
      <c r="B24" s="206" t="n"/>
      <c r="C24" s="611" t="n"/>
      <c r="D24" s="620" t="n"/>
      <c r="E24" s="599">
        <f>C24+D24</f>
        <v>0</v>
      </c>
      <c r="F24" s="611" t="n"/>
      <c r="G24" s="620" t="n"/>
      <c r="H24" s="599">
        <f>F24+G24</f>
        <v>0</v>
      </c>
      <c r="I24" s="611" t="n"/>
      <c r="J24" s="620" t="n"/>
      <c r="K24" s="599">
        <f>I24+J24</f>
        <v>0</v>
      </c>
      <c r="L24" s="611" t="n"/>
      <c r="M24" s="620" t="n"/>
      <c r="N24" s="599">
        <f>L24+M24</f>
        <v>0</v>
      </c>
      <c r="O24" s="611" t="n"/>
      <c r="P24" s="620" t="n"/>
      <c r="Q24" s="599">
        <f>O24+P24</f>
        <v>0</v>
      </c>
    </row>
    <row r="25" ht="22.5" customHeight="1" s="595">
      <c r="B25" s="224" t="inlineStr">
        <is>
          <t>外注加工費</t>
        </is>
      </c>
      <c r="C25" s="645">
        <f>SUM(C19:C24)</f>
        <v>0</v>
      </c>
      <c r="D25" s="645">
        <f>SUM(D19:D24)</f>
        <v>0</v>
      </c>
      <c r="E25" s="760">
        <f>C25+D25</f>
        <v>0</v>
      </c>
      <c r="F25" s="645">
        <f>SUM(F19:F24)</f>
        <v>0</v>
      </c>
      <c r="G25" s="645">
        <f>SUM(G19:G24)</f>
        <v>0</v>
      </c>
      <c r="H25" s="760">
        <f>F25+G25</f>
        <v>0</v>
      </c>
      <c r="I25" s="645">
        <f>SUM(I19:I24)</f>
        <v>0</v>
      </c>
      <c r="J25" s="645">
        <f>SUM(J19:J24)</f>
        <v>0</v>
      </c>
      <c r="K25" s="760">
        <f>I25+J25</f>
        <v>0</v>
      </c>
      <c r="L25" s="645">
        <f>SUM(L19:L24)</f>
        <v>0</v>
      </c>
      <c r="M25" s="645">
        <f>SUM(M19:M24)</f>
        <v>0</v>
      </c>
      <c r="N25" s="760">
        <f>L25+M25</f>
        <v>0</v>
      </c>
      <c r="O25" s="645">
        <f>SUM(O19:O24)</f>
        <v>0</v>
      </c>
      <c r="P25" s="645">
        <f>SUM(P19:P24)</f>
        <v>0</v>
      </c>
      <c r="Q25" s="760">
        <f>O25+P25</f>
        <v>0</v>
      </c>
    </row>
    <row r="26" ht="22.5" customHeight="1" s="595">
      <c r="B26" s="220" t="n"/>
      <c r="C26" s="609" t="n"/>
      <c r="D26" s="598" t="n"/>
      <c r="E26" s="599">
        <f>C26+D26</f>
        <v>0</v>
      </c>
      <c r="F26" s="609" t="n"/>
      <c r="G26" s="598" t="n"/>
      <c r="H26" s="599">
        <f>F26+G26</f>
        <v>0</v>
      </c>
      <c r="I26" s="609" t="n"/>
      <c r="J26" s="598" t="n"/>
      <c r="K26" s="599">
        <f>I26+J26</f>
        <v>0</v>
      </c>
      <c r="L26" s="609" t="n"/>
      <c r="M26" s="598" t="n"/>
      <c r="N26" s="599">
        <f>L26+M26</f>
        <v>0</v>
      </c>
      <c r="O26" s="609" t="n"/>
      <c r="P26" s="598" t="n"/>
      <c r="Q26" s="599">
        <f>O26+P26</f>
        <v>0</v>
      </c>
    </row>
    <row r="27" ht="22.5" customHeight="1" s="595">
      <c r="B27" s="205" t="n"/>
      <c r="C27" s="618" t="n"/>
      <c r="D27" s="598" t="n"/>
      <c r="E27" s="599">
        <f>C27+D27</f>
        <v>0</v>
      </c>
      <c r="F27" s="618" t="n"/>
      <c r="G27" s="598" t="n"/>
      <c r="H27" s="599">
        <f>F27+G27</f>
        <v>0</v>
      </c>
      <c r="I27" s="618" t="n"/>
      <c r="J27" s="598" t="n"/>
      <c r="K27" s="599">
        <f>I27+J27</f>
        <v>0</v>
      </c>
      <c r="L27" s="618" t="n"/>
      <c r="M27" s="598" t="n"/>
      <c r="N27" s="599">
        <f>L27+M27</f>
        <v>0</v>
      </c>
      <c r="O27" s="618" t="n"/>
      <c r="P27" s="598" t="n"/>
      <c r="Q27" s="599">
        <f>O27+P27</f>
        <v>0</v>
      </c>
    </row>
    <row r="28" ht="22.5" customHeight="1" s="595">
      <c r="B28" s="205" t="n"/>
      <c r="C28" s="618" t="n"/>
      <c r="D28" s="598" t="n"/>
      <c r="E28" s="599">
        <f>C28+D28</f>
        <v>0</v>
      </c>
      <c r="F28" s="618" t="n"/>
      <c r="G28" s="598" t="n"/>
      <c r="H28" s="599">
        <f>F28+G28</f>
        <v>0</v>
      </c>
      <c r="I28" s="618" t="n"/>
      <c r="J28" s="598" t="n"/>
      <c r="K28" s="599">
        <f>I28+J28</f>
        <v>0</v>
      </c>
      <c r="L28" s="618" t="n"/>
      <c r="M28" s="598" t="n"/>
      <c r="N28" s="599">
        <f>L28+M28</f>
        <v>0</v>
      </c>
      <c r="O28" s="618" t="n"/>
      <c r="P28" s="598" t="n"/>
      <c r="Q28" s="599">
        <f>O28+P28</f>
        <v>0</v>
      </c>
    </row>
    <row r="29" ht="22.5" customHeight="1" s="595">
      <c r="B29" s="205" t="n"/>
      <c r="C29" s="618" t="n"/>
      <c r="D29" s="598" t="n"/>
      <c r="E29" s="599">
        <f>C29+D29</f>
        <v>0</v>
      </c>
      <c r="F29" s="618" t="n"/>
      <c r="G29" s="598" t="n"/>
      <c r="H29" s="599">
        <f>F29+G29</f>
        <v>0</v>
      </c>
      <c r="I29" s="618" t="n"/>
      <c r="J29" s="598" t="n"/>
      <c r="K29" s="599">
        <f>I29+J29</f>
        <v>0</v>
      </c>
      <c r="L29" s="618" t="n"/>
      <c r="M29" s="598" t="n"/>
      <c r="N29" s="599">
        <f>L29+M29</f>
        <v>0</v>
      </c>
      <c r="O29" s="618" t="n"/>
      <c r="P29" s="598" t="n"/>
      <c r="Q29" s="599">
        <f>O29+P29</f>
        <v>0</v>
      </c>
    </row>
    <row r="30" ht="22.5" customHeight="1" s="595">
      <c r="B30" s="205" t="n"/>
      <c r="C30" s="618" t="n"/>
      <c r="D30" s="598" t="n"/>
      <c r="E30" s="599">
        <f>C30+D30</f>
        <v>0</v>
      </c>
      <c r="F30" s="618" t="n"/>
      <c r="G30" s="598" t="n"/>
      <c r="H30" s="599">
        <f>F30+G30</f>
        <v>0</v>
      </c>
      <c r="I30" s="618" t="n"/>
      <c r="J30" s="598" t="n"/>
      <c r="K30" s="599">
        <f>I30+J30</f>
        <v>0</v>
      </c>
      <c r="L30" s="618" t="n"/>
      <c r="M30" s="598" t="n"/>
      <c r="N30" s="599">
        <f>L30+M30</f>
        <v>0</v>
      </c>
      <c r="O30" s="618" t="n"/>
      <c r="P30" s="598" t="n"/>
      <c r="Q30" s="599">
        <f>O30+P30</f>
        <v>0</v>
      </c>
    </row>
    <row r="31" ht="22.5" customHeight="1" s="595">
      <c r="B31" s="205" t="n"/>
      <c r="C31" s="618" t="n"/>
      <c r="D31" s="598" t="n"/>
      <c r="E31" s="599">
        <f>C31+D31</f>
        <v>0</v>
      </c>
      <c r="F31" s="618" t="n"/>
      <c r="G31" s="598" t="n"/>
      <c r="H31" s="599">
        <f>F31+G31</f>
        <v>0</v>
      </c>
      <c r="I31" s="618" t="n"/>
      <c r="J31" s="598" t="n"/>
      <c r="K31" s="599">
        <f>I31+J31</f>
        <v>0</v>
      </c>
      <c r="L31" s="618" t="n"/>
      <c r="M31" s="598" t="n"/>
      <c r="N31" s="599">
        <f>L31+M31</f>
        <v>0</v>
      </c>
      <c r="O31" s="618" t="n"/>
      <c r="P31" s="598" t="n"/>
      <c r="Q31" s="599">
        <f>O31+P31</f>
        <v>0</v>
      </c>
    </row>
    <row r="32" ht="22.5" customHeight="1" s="595">
      <c r="B32" s="205" t="n"/>
      <c r="C32" s="618" t="n"/>
      <c r="D32" s="598" t="n"/>
      <c r="E32" s="599">
        <f>C32+D32</f>
        <v>0</v>
      </c>
      <c r="F32" s="618" t="n"/>
      <c r="G32" s="598" t="n"/>
      <c r="H32" s="599">
        <f>F32+G32</f>
        <v>0</v>
      </c>
      <c r="I32" s="618" t="n"/>
      <c r="J32" s="598" t="n"/>
      <c r="K32" s="599">
        <f>I32+J32</f>
        <v>0</v>
      </c>
      <c r="L32" s="618" t="n"/>
      <c r="M32" s="598" t="n"/>
      <c r="N32" s="599">
        <f>L32+M32</f>
        <v>0</v>
      </c>
      <c r="O32" s="618" t="n"/>
      <c r="P32" s="598" t="n"/>
      <c r="Q32" s="599">
        <f>O32+P32</f>
        <v>0</v>
      </c>
    </row>
    <row r="33" ht="22.5" customHeight="1" s="595">
      <c r="B33" s="205" t="n"/>
      <c r="C33" s="618" t="n"/>
      <c r="D33" s="598" t="n"/>
      <c r="E33" s="599">
        <f>C33+D33</f>
        <v>0</v>
      </c>
      <c r="F33" s="618" t="n"/>
      <c r="G33" s="598" t="n"/>
      <c r="H33" s="599">
        <f>F33+G33</f>
        <v>0</v>
      </c>
      <c r="I33" s="618" t="n"/>
      <c r="J33" s="598" t="n"/>
      <c r="K33" s="599">
        <f>I33+J33</f>
        <v>0</v>
      </c>
      <c r="L33" s="618" t="n"/>
      <c r="M33" s="598" t="n"/>
      <c r="N33" s="599">
        <f>L33+M33</f>
        <v>0</v>
      </c>
      <c r="O33" s="618" t="n"/>
      <c r="P33" s="598" t="n"/>
      <c r="Q33" s="599">
        <f>O33+P33</f>
        <v>0</v>
      </c>
    </row>
    <row r="34" ht="22.5" customHeight="1" s="595">
      <c r="B34" s="205" t="n"/>
      <c r="C34" s="618" t="n"/>
      <c r="D34" s="598" t="n"/>
      <c r="E34" s="599">
        <f>C34+D34</f>
        <v>0</v>
      </c>
      <c r="F34" s="618" t="n"/>
      <c r="G34" s="598" t="n"/>
      <c r="H34" s="599">
        <f>F34+G34</f>
        <v>0</v>
      </c>
      <c r="I34" s="618" t="n"/>
      <c r="J34" s="598" t="n"/>
      <c r="K34" s="599">
        <f>I34+J34</f>
        <v>0</v>
      </c>
      <c r="L34" s="618" t="n"/>
      <c r="M34" s="598" t="n"/>
      <c r="N34" s="599">
        <f>L34+M34</f>
        <v>0</v>
      </c>
      <c r="O34" s="618" t="n"/>
      <c r="P34" s="598" t="n"/>
      <c r="Q34" s="599">
        <f>O34+P34</f>
        <v>0</v>
      </c>
    </row>
    <row r="35" ht="22.5" customHeight="1" s="595">
      <c r="B35" s="206" t="n"/>
      <c r="C35" s="611" t="n"/>
      <c r="D35" s="620" t="n"/>
      <c r="E35" s="599">
        <f>C35+D35</f>
        <v>0</v>
      </c>
      <c r="F35" s="611" t="n"/>
      <c r="G35" s="620" t="n"/>
      <c r="H35" s="599">
        <f>F35+G35</f>
        <v>0</v>
      </c>
      <c r="I35" s="611" t="n"/>
      <c r="J35" s="620" t="n"/>
      <c r="K35" s="599">
        <f>I35+J35</f>
        <v>0</v>
      </c>
      <c r="L35" s="611" t="n"/>
      <c r="M35" s="620" t="n"/>
      <c r="N35" s="599">
        <f>L35+M35</f>
        <v>0</v>
      </c>
      <c r="O35" s="611" t="n"/>
      <c r="P35" s="620" t="n"/>
      <c r="Q35" s="599">
        <f>O35+P35</f>
        <v>0</v>
      </c>
    </row>
    <row r="36" ht="22.5" customHeight="1" s="595">
      <c r="B36" s="224" t="inlineStr">
        <is>
          <t>経費</t>
        </is>
      </c>
      <c r="C36" s="645">
        <f>SUM(C26:C35)</f>
        <v>0</v>
      </c>
      <c r="D36" s="645">
        <f>SUM(D26:D35)</f>
        <v>0</v>
      </c>
      <c r="E36" s="761">
        <f>C36+D36</f>
        <v>0</v>
      </c>
      <c r="F36" s="645">
        <f>SUM(F26:F35)</f>
        <v>0</v>
      </c>
      <c r="G36" s="645">
        <f>SUM(G26:G35)</f>
        <v>0</v>
      </c>
      <c r="H36" s="761">
        <f>F36+G36</f>
        <v>0</v>
      </c>
      <c r="I36" s="645">
        <f>SUM(I26:I35)</f>
        <v>0</v>
      </c>
      <c r="J36" s="645">
        <f>SUM(J26:J35)</f>
        <v>0</v>
      </c>
      <c r="K36" s="761">
        <f>I36+J36</f>
        <v>0</v>
      </c>
      <c r="L36" s="645">
        <f>SUM(L26:L35)</f>
        <v>0</v>
      </c>
      <c r="M36" s="645">
        <f>SUM(M26:M35)</f>
        <v>0</v>
      </c>
      <c r="N36" s="761">
        <f>L36+M36</f>
        <v>0</v>
      </c>
      <c r="O36" s="645">
        <f>SUM(O26:O35)</f>
        <v>0</v>
      </c>
      <c r="P36" s="645">
        <f>SUM(P26:P35)</f>
        <v>0</v>
      </c>
      <c r="Q36" s="761">
        <f>O36+P36</f>
        <v>0</v>
      </c>
    </row>
    <row r="37" ht="22.5" customHeight="1" s="595">
      <c r="B37" s="223" t="inlineStr">
        <is>
          <t>当期製造費用</t>
        </is>
      </c>
      <c r="C37" s="645">
        <f>C11+C18+C25+C36</f>
        <v>0</v>
      </c>
      <c r="D37" s="645">
        <f>D11+D18+D25+D36</f>
        <v>0</v>
      </c>
      <c r="E37" s="760">
        <f>C37+D37</f>
        <v>0</v>
      </c>
      <c r="F37" s="645">
        <f>F11+F18+F25+F36</f>
        <v>0</v>
      </c>
      <c r="G37" s="645">
        <f>G11+G18+G25+G36</f>
        <v>0</v>
      </c>
      <c r="H37" s="760">
        <f>F37+G37</f>
        <v>0</v>
      </c>
      <c r="I37" s="645">
        <f>I11+I18+I25+I36</f>
        <v>0</v>
      </c>
      <c r="J37" s="645">
        <f>J11+J18+J25+J36</f>
        <v>0</v>
      </c>
      <c r="K37" s="760">
        <f>I37+J37</f>
        <v>0</v>
      </c>
      <c r="L37" s="645">
        <f>L11+L18+L25+L36</f>
        <v>0</v>
      </c>
      <c r="M37" s="645">
        <f>M11+M18+M25+M36</f>
        <v>0</v>
      </c>
      <c r="N37" s="760">
        <f>L37+M37</f>
        <v>0</v>
      </c>
      <c r="O37" s="645">
        <f>O11+O18+O25+O36</f>
        <v>0</v>
      </c>
      <c r="P37" s="645">
        <f>P11+P18+P25+P36</f>
        <v>0</v>
      </c>
      <c r="Q37" s="760">
        <f>O37+P37</f>
        <v>0</v>
      </c>
    </row>
    <row r="38" ht="22.5" customHeight="1" s="595">
      <c r="B38" s="225" t="inlineStr">
        <is>
          <t>期首仕掛品棚卸高</t>
        </is>
      </c>
      <c r="C38" s="611" t="n"/>
      <c r="D38" s="620" t="n"/>
      <c r="E38" s="599">
        <f>C38+D38</f>
        <v>0</v>
      </c>
      <c r="F38" s="611" t="n"/>
      <c r="G38" s="620" t="n"/>
      <c r="H38" s="599">
        <f>F38+G38</f>
        <v>0</v>
      </c>
      <c r="I38" s="611" t="n"/>
      <c r="J38" s="620" t="n"/>
      <c r="K38" s="599">
        <f>I38+J38</f>
        <v>0</v>
      </c>
      <c r="L38" s="611" t="n"/>
      <c r="M38" s="620" t="n"/>
      <c r="N38" s="599">
        <f>L38+M38</f>
        <v>0</v>
      </c>
      <c r="O38" s="611" t="n"/>
      <c r="P38" s="620" t="n"/>
      <c r="Q38" s="599">
        <f>O38+P38</f>
        <v>0</v>
      </c>
    </row>
    <row r="39" ht="22.5" customHeight="1" s="595">
      <c r="B39" s="209" t="inlineStr">
        <is>
          <t>合計</t>
        </is>
      </c>
      <c r="C39" s="645">
        <f>SUM(C37:C38)</f>
        <v>0</v>
      </c>
      <c r="D39" s="645">
        <f>SUM(D37:D38)</f>
        <v>0</v>
      </c>
      <c r="E39" s="760">
        <f>C39+D39</f>
        <v>0</v>
      </c>
      <c r="F39" s="645">
        <f>SUM(F37:F38)</f>
        <v>0</v>
      </c>
      <c r="G39" s="645">
        <f>SUM(G37:G38)</f>
        <v>0</v>
      </c>
      <c r="H39" s="760">
        <f>F39+G39</f>
        <v>0</v>
      </c>
      <c r="I39" s="645">
        <f>SUM(I37:I38)</f>
        <v>0</v>
      </c>
      <c r="J39" s="645">
        <f>SUM(J37:J38)</f>
        <v>0</v>
      </c>
      <c r="K39" s="760">
        <f>I39+J39</f>
        <v>0</v>
      </c>
      <c r="L39" s="645">
        <f>SUM(L37:L38)</f>
        <v>0</v>
      </c>
      <c r="M39" s="645">
        <f>SUM(M37:M38)</f>
        <v>0</v>
      </c>
      <c r="N39" s="760">
        <f>L39+M39</f>
        <v>0</v>
      </c>
      <c r="O39" s="645">
        <f>SUM(O37:O38)</f>
        <v>0</v>
      </c>
      <c r="P39" s="645">
        <f>SUM(P37:P38)</f>
        <v>0</v>
      </c>
      <c r="Q39" s="760">
        <f>O39+P39</f>
        <v>0</v>
      </c>
    </row>
    <row r="40" ht="22.5" customHeight="1" s="595">
      <c r="B40" s="226" t="inlineStr">
        <is>
          <t>期末仕掛品棚卸高</t>
        </is>
      </c>
      <c r="C40" s="670" t="n"/>
      <c r="D40" s="762" t="n"/>
      <c r="E40" s="763">
        <f>C40+D40</f>
        <v>0</v>
      </c>
      <c r="F40" s="670" t="n"/>
      <c r="G40" s="762" t="n"/>
      <c r="H40" s="763">
        <f>F40+G40</f>
        <v>0</v>
      </c>
      <c r="I40" s="670" t="n"/>
      <c r="J40" s="762" t="n"/>
      <c r="K40" s="763">
        <f>I40+J40</f>
        <v>0</v>
      </c>
      <c r="L40" s="670" t="n"/>
      <c r="M40" s="762" t="n"/>
      <c r="N40" s="763">
        <f>L40+M40</f>
        <v>0</v>
      </c>
      <c r="O40" s="670" t="n"/>
      <c r="P40" s="762" t="n"/>
      <c r="Q40" s="763">
        <f>O40+P40</f>
        <v>0</v>
      </c>
    </row>
    <row r="41" ht="22.5" customHeight="1" s="595" thickBot="1">
      <c r="B41" s="209" t="inlineStr">
        <is>
          <t>当期製造原価</t>
        </is>
      </c>
      <c r="C41" s="645">
        <f>C39-C40</f>
        <v>0</v>
      </c>
      <c r="D41" s="645">
        <f>D39-D40</f>
        <v>0</v>
      </c>
      <c r="E41" s="759">
        <f>C41+D41</f>
        <v>0</v>
      </c>
      <c r="F41" s="645">
        <f>F39-F40</f>
        <v>0</v>
      </c>
      <c r="G41" s="645">
        <f>G39-G40</f>
        <v>0</v>
      </c>
      <c r="H41" s="759">
        <f>F41+G41</f>
        <v>0</v>
      </c>
      <c r="I41" s="645">
        <f>I39-I40</f>
        <v>0</v>
      </c>
      <c r="J41" s="645">
        <f>J39-J40</f>
        <v>0</v>
      </c>
      <c r="K41" s="759">
        <f>I41+J41</f>
        <v>0</v>
      </c>
      <c r="L41" s="645">
        <f>L39-L40</f>
        <v>0</v>
      </c>
      <c r="M41" s="645">
        <f>M39-M40</f>
        <v>0</v>
      </c>
      <c r="N41" s="759">
        <f>L41+M41</f>
        <v>0</v>
      </c>
      <c r="O41" s="645">
        <f>O39-O40</f>
        <v>0</v>
      </c>
      <c r="P41" s="645">
        <f>P39-P40</f>
        <v>0</v>
      </c>
      <c r="Q41" s="759">
        <f>O41+P41</f>
        <v>0</v>
      </c>
    </row>
    <row r="42">
      <c r="C42" s="614" t="n"/>
      <c r="D42" s="614" t="n"/>
      <c r="E42" s="614" t="n"/>
      <c r="F42" s="614" t="n"/>
      <c r="G42" s="614" t="n"/>
      <c r="H42" s="614" t="n"/>
      <c r="I42" s="614" t="n"/>
      <c r="J42" s="614" t="n"/>
      <c r="K42" s="614" t="n"/>
      <c r="L42" s="614" t="n"/>
      <c r="M42" s="614" t="n"/>
      <c r="N42" s="614" t="n"/>
      <c r="O42" s="614" t="n"/>
      <c r="P42" s="614" t="n"/>
      <c r="Q42" s="614" t="n"/>
    </row>
    <row r="43">
      <c r="C43" s="614" t="n"/>
      <c r="D43" s="614" t="n"/>
      <c r="E43" s="614" t="n"/>
      <c r="F43" s="614" t="n"/>
      <c r="G43" s="614" t="n"/>
      <c r="H43" s="614" t="n"/>
      <c r="I43" s="614" t="n"/>
      <c r="J43" s="614" t="n"/>
      <c r="K43" s="614" t="n"/>
      <c r="L43" s="614" t="n"/>
      <c r="M43" s="614" t="n"/>
      <c r="N43" s="614" t="n"/>
      <c r="O43" s="614" t="n"/>
      <c r="P43" s="614" t="n"/>
      <c r="Q43" s="614" t="n"/>
    </row>
    <row r="44">
      <c r="C44" s="614" t="n"/>
      <c r="D44" s="614" t="n"/>
      <c r="E44" s="614" t="n"/>
      <c r="F44" s="614" t="n"/>
      <c r="G44" s="614" t="n"/>
      <c r="H44" s="614" t="n"/>
      <c r="I44" s="614" t="n"/>
      <c r="J44" s="614" t="n"/>
      <c r="K44" s="614" t="n"/>
      <c r="L44" s="614" t="n"/>
      <c r="M44" s="614" t="n"/>
      <c r="N44" s="614" t="n"/>
      <c r="O44" s="614" t="n"/>
      <c r="P44" s="614" t="n"/>
      <c r="Q44" s="614" t="n"/>
    </row>
  </sheetData>
  <mergeCells count="1">
    <mergeCell ref="B3:B4"/>
  </mergeCells>
  <pageMargins left="0.7" right="0.7" top="0.75" bottom="0.75" header="0.3" footer="0.3"/>
</worksheet>
</file>

<file path=xl/worksheets/sheet24.xml><?xml version="1.0" encoding="utf-8"?>
<worksheet xmlns="http://schemas.openxmlformats.org/spreadsheetml/2006/main">
  <sheetPr>
    <tabColor rgb="FF00B0F0"/>
    <outlinePr summaryBelow="1" summaryRight="1"/>
    <pageSetUpPr/>
  </sheetPr>
  <dimension ref="B2:M12"/>
  <sheetViews>
    <sheetView showGridLines="0" topLeftCell="C1" zoomScaleNormal="100" workbookViewId="0">
      <selection activeCell="B6" sqref="B6"/>
    </sheetView>
  </sheetViews>
  <sheetFormatPr baseColWidth="8" defaultRowHeight="18"/>
  <cols>
    <col width="18.625" customWidth="1" style="595" min="2" max="3"/>
    <col width="24.625" bestFit="1" customWidth="1" style="595" min="5" max="5"/>
    <col width="18.625" customWidth="1" style="595" min="6" max="8"/>
    <col width="20.125" customWidth="1" style="595" min="10" max="13"/>
  </cols>
  <sheetData>
    <row r="2" ht="18.75" customHeight="1" s="595">
      <c r="C2" s="73" t="inlineStr">
        <is>
          <t>(単位：千円)</t>
        </is>
      </c>
      <c r="H2" s="73" t="inlineStr">
        <is>
          <t>(単位：千円)</t>
        </is>
      </c>
      <c r="M2" s="73" t="inlineStr">
        <is>
          <t>(単位：千円)</t>
        </is>
      </c>
    </row>
    <row r="3" ht="21.95" customHeight="1" s="595">
      <c r="B3" s="2" t="inlineStr">
        <is>
          <t>26年3月期</t>
        </is>
      </c>
      <c r="C3" s="3" t="inlineStr">
        <is>
          <t>金額</t>
        </is>
      </c>
      <c r="E3" s="2" t="n"/>
      <c r="F3" s="2" t="str">
        <f>修正PL!F3</f>
        <v>24年3月期</v>
      </c>
      <c r="G3" s="2" t="str">
        <f>修正PL!I3</f>
        <v>25年3月期</v>
      </c>
      <c r="H3" s="2" t="str">
        <f>修正PL!L3</f>
        <v>26年3月期</v>
      </c>
      <c r="J3" s="2" t="inlineStr">
        <is>
          <t>営業権倍率</t>
        </is>
      </c>
      <c r="K3" s="2" t="inlineStr">
        <is>
          <t>x1</t>
        </is>
      </c>
      <c r="L3" s="2" t="inlineStr">
        <is>
          <t>x2</t>
        </is>
      </c>
      <c r="M3" s="2" t="inlineStr">
        <is>
          <t>x3</t>
        </is>
      </c>
    </row>
    <row r="4" ht="32.1" customFormat="1" customHeight="1" s="531">
      <c r="B4" s="75" t="inlineStr">
        <is>
          <t>簿価純資産額</t>
        </is>
      </c>
      <c r="C4" s="642">
        <f>'修正BS(貸方) '!C52</f>
        <v>77872581</v>
      </c>
      <c r="E4" s="75" t="inlineStr">
        <is>
          <t>簿価営業利益</t>
        </is>
      </c>
      <c r="F4" s="642">
        <f>修正PL!F19</f>
        <v>4756748</v>
      </c>
      <c r="G4" s="642">
        <f>修正PL!I19</f>
        <v>-4422940</v>
      </c>
      <c r="H4" s="642">
        <f>修正PL!L19</f>
        <v>5859912</v>
      </c>
      <c r="J4" s="430" t="inlineStr">
        <is>
          <t>時価純資産</t>
        </is>
      </c>
      <c r="K4" s="764">
        <f>C7</f>
        <v>55318457.4285714</v>
      </c>
      <c r="L4" s="765" t="n"/>
      <c r="M4" s="765" t="n"/>
    </row>
    <row r="5" ht="32.1" customFormat="1" customHeight="1" s="531" thickBot="1">
      <c r="B5" s="429" t="inlineStr">
        <is>
          <t>修正額</t>
        </is>
      </c>
      <c r="C5" s="703">
        <f>'修正BS(貸方) '!D50</f>
        <v>-20022823.5714286</v>
      </c>
      <c r="E5" s="429" t="inlineStr">
        <is>
          <t>修正額</t>
        </is>
      </c>
      <c r="F5" s="703">
        <f>修正PL!G19</f>
        <v>20041508</v>
      </c>
      <c r="G5" s="703">
        <f>修正PL!J19</f>
        <v>20235707</v>
      </c>
      <c r="H5" s="703">
        <f>修正PL!M19</f>
        <v>6379024.25</v>
      </c>
      <c r="J5" s="420" t="inlineStr">
        <is>
          <t>営業権</t>
        </is>
      </c>
      <c r="K5" s="609">
        <f>H10*1</f>
        <v>10443146.6205</v>
      </c>
      <c r="L5" s="766">
        <f>H10*2</f>
        <v>20886293.241</v>
      </c>
      <c r="M5" s="766">
        <f>H10*3</f>
        <v>31329439.8615</v>
      </c>
    </row>
    <row r="6" ht="32.1" customFormat="1" customHeight="1" s="531" thickBot="1">
      <c r="B6" s="429" t="inlineStr">
        <is>
          <t>税効果</t>
        </is>
      </c>
      <c r="C6" s="703">
        <f>'修正BS(貸方) '!D51</f>
        <v>-2531300</v>
      </c>
      <c r="E6" s="367" t="inlineStr">
        <is>
          <t>修正後営業利益</t>
        </is>
      </c>
      <c r="F6" s="677">
        <f>SUM(F4:F5)</f>
        <v>24798256</v>
      </c>
      <c r="G6" s="677">
        <f>SUM(G4:G5)</f>
        <v>15812767</v>
      </c>
      <c r="H6" s="677">
        <f>SUM(H4:H5)</f>
        <v>12238936.25</v>
      </c>
      <c r="J6" s="371" t="inlineStr">
        <is>
          <t>想定株式価値</t>
        </is>
      </c>
      <c r="K6" s="767">
        <f>K4+K5</f>
        <v>65761604.0490714</v>
      </c>
      <c r="L6" s="767">
        <f>K4+L5</f>
        <v>76204750.6695714</v>
      </c>
      <c r="M6" s="768">
        <f>K4+M5</f>
        <v>86647897.2900714</v>
      </c>
    </row>
    <row r="7" ht="32.1" customFormat="1" customHeight="1" s="531" thickBot="1">
      <c r="B7" s="345" t="inlineStr">
        <is>
          <t>時価純資産</t>
        </is>
      </c>
      <c r="C7" s="705">
        <f>SUM(C4:C6)</f>
        <v>55318457.4285714</v>
      </c>
      <c r="E7" s="429" t="inlineStr">
        <is>
          <t>税考慮額</t>
        </is>
      </c>
      <c r="F7" s="703">
        <f>-F6*0.34</f>
        <v>-8431407.04</v>
      </c>
      <c r="G7" s="703">
        <f>-G6*0.34</f>
        <v>-5376340.78</v>
      </c>
      <c r="H7" s="703">
        <f>-H6*0.34</f>
        <v>-4161238.325</v>
      </c>
    </row>
    <row r="8" ht="32.1" customFormat="1" customHeight="1" s="531">
      <c r="E8" s="369" t="inlineStr">
        <is>
          <t>修正後税考慮後営業利益</t>
        </is>
      </c>
      <c r="F8" s="705">
        <f>SUM(F6:F7)</f>
        <v>16366848.96</v>
      </c>
      <c r="G8" s="705">
        <f>SUM(G6:G7)</f>
        <v>10436426.22</v>
      </c>
      <c r="H8" s="705">
        <f>SUM(H6:H7)</f>
        <v>8077697.925</v>
      </c>
    </row>
    <row r="9" ht="15.6" customFormat="1" customHeight="1" s="531" thickBot="1"/>
    <row r="10" ht="32.1" customFormat="1" customHeight="1" s="531">
      <c r="G10" s="769" t="inlineStr">
        <is>
          <t>基準営業利益</t>
        </is>
      </c>
      <c r="H10" s="705">
        <f>(H8*0.5+G8*0.3+F8*0.2)</f>
        <v>10443146.6205</v>
      </c>
    </row>
    <row r="12">
      <c r="B12" t="inlineStr">
        <is>
          <t>※営業権倍率1〜3倍は国内中小企業M&amp;Aのボリュームゾーン。加重は直近期0.5・前期0.3・前々期0.2。</t>
        </is>
      </c>
    </row>
  </sheetData>
  <pageMargins left="0.7" right="0.7" top="0.75" bottom="0.75" header="0.3" footer="0.3"/>
</worksheet>
</file>

<file path=xl/worksheets/sheet25.xml><?xml version="1.0" encoding="utf-8"?>
<worksheet xmlns="http://schemas.openxmlformats.org/spreadsheetml/2006/main">
  <sheetPr>
    <tabColor rgb="FF00B0F0"/>
    <outlinePr summaryBelow="1" summaryRight="1"/>
    <pageSetUpPr/>
  </sheetPr>
  <dimension ref="B2:M12"/>
  <sheetViews>
    <sheetView showGridLines="0" zoomScaleNormal="100" workbookViewId="0">
      <selection activeCell="E9" sqref="E9"/>
    </sheetView>
  </sheetViews>
  <sheetFormatPr baseColWidth="8" defaultRowHeight="18"/>
  <cols>
    <col width="18.625" customWidth="1" style="595" min="2" max="3"/>
    <col width="24.625" bestFit="1" customWidth="1" style="595" min="5" max="5"/>
    <col width="18.625" customWidth="1" style="595" min="6" max="8"/>
    <col width="26" bestFit="1" customWidth="1" style="595" min="10" max="10"/>
    <col width="20.125" customWidth="1" style="595" min="11" max="13"/>
  </cols>
  <sheetData>
    <row r="2" ht="18.75" customHeight="1" s="595">
      <c r="C2" s="73" t="inlineStr">
        <is>
          <t>(単位：千円)</t>
        </is>
      </c>
      <c r="H2" s="73" t="inlineStr">
        <is>
          <t>(単位：千円)</t>
        </is>
      </c>
      <c r="M2" s="73" t="inlineStr">
        <is>
          <t>(単位：千円)</t>
        </is>
      </c>
    </row>
    <row r="3" ht="21.95" customHeight="1" s="595">
      <c r="B3" s="2" t="inlineStr">
        <is>
          <t>26年3月期</t>
        </is>
      </c>
      <c r="C3" s="3" t="inlineStr">
        <is>
          <t>金額</t>
        </is>
      </c>
      <c r="E3" s="2" t="n"/>
      <c r="F3" s="2" t="str">
        <f>修正PL!F3</f>
        <v>24年3月期</v>
      </c>
      <c r="G3" s="2" t="str">
        <f>修正PL!I3</f>
        <v>25年3月期</v>
      </c>
      <c r="H3" s="2" t="str">
        <f>修正PL!L3</f>
        <v>26年3月期</v>
      </c>
      <c r="J3" s="2" t="inlineStr">
        <is>
          <t>マルチプル倍率</t>
        </is>
      </c>
      <c r="K3" s="2" t="inlineStr">
        <is>
          <t>x3</t>
        </is>
      </c>
      <c r="L3" s="2" t="inlineStr">
        <is>
          <t>x4</t>
        </is>
      </c>
      <c r="M3" s="2" t="inlineStr">
        <is>
          <t>x5</t>
        </is>
      </c>
    </row>
    <row r="4" ht="32.1" customFormat="1" customHeight="1" s="531">
      <c r="B4" s="340" t="inlineStr">
        <is>
          <t>キャッシュライク</t>
        </is>
      </c>
      <c r="C4" s="642">
        <f>ネットキャッシュ!C13</f>
        <v>219329077</v>
      </c>
      <c r="E4" s="75" t="inlineStr">
        <is>
          <t>簿価営業利益</t>
        </is>
      </c>
      <c r="F4" s="642">
        <f>修正PL!F19</f>
        <v>4756748</v>
      </c>
      <c r="G4" s="642">
        <f>修正PL!I19</f>
        <v>-4422940</v>
      </c>
      <c r="H4" s="642">
        <f>修正PL!L19</f>
        <v>5859912</v>
      </c>
      <c r="J4" s="430" t="inlineStr">
        <is>
          <t>EV（EBITDA×倍率）</t>
        </is>
      </c>
      <c r="K4" s="770">
        <f>H10*3</f>
        <v>80287321.275</v>
      </c>
      <c r="L4" s="771">
        <f>H10*4</f>
        <v>107049761.7</v>
      </c>
      <c r="M4" s="771">
        <f>H10*5</f>
        <v>133812202.125</v>
      </c>
    </row>
    <row r="5" ht="32.1" customFormat="1" customHeight="1" s="531" thickBot="1">
      <c r="B5" s="366" t="inlineStr">
        <is>
          <t>デットライク</t>
        </is>
      </c>
      <c r="C5" s="703">
        <f>ネットキャッシュ!F13</f>
        <v>362909300</v>
      </c>
      <c r="E5" s="429" t="inlineStr">
        <is>
          <t>修正額</t>
        </is>
      </c>
      <c r="F5" s="703">
        <f>修正PL!G19</f>
        <v>20041508</v>
      </c>
      <c r="G5" s="703">
        <f>修正PL!J19</f>
        <v>20235707</v>
      </c>
      <c r="H5" s="703">
        <f>修正PL!M19</f>
        <v>6379024.25</v>
      </c>
      <c r="J5" s="419" t="inlineStr">
        <is>
          <t>非流動性ディスカウント</t>
        </is>
      </c>
      <c r="K5" s="770">
        <f>-K4*0.3</f>
        <v>-24086196.3825</v>
      </c>
      <c r="L5" s="770">
        <f>-L4*0.3</f>
        <v>-32114928.51</v>
      </c>
      <c r="M5" s="770">
        <f>-M4*0.3</f>
        <v>-40143660.6375</v>
      </c>
    </row>
    <row r="6" ht="32.1" customFormat="1" customHeight="1" s="531" thickBot="1">
      <c r="B6" s="345" t="inlineStr">
        <is>
          <t>ネットキャッシュ</t>
        </is>
      </c>
      <c r="C6" s="705">
        <f>C4-C5</f>
        <v>-143580223</v>
      </c>
      <c r="E6" s="367" t="inlineStr">
        <is>
          <t>修正後営業利益</t>
        </is>
      </c>
      <c r="F6" s="677">
        <f>SUM(F4:F5)</f>
        <v>24798256</v>
      </c>
      <c r="G6" s="677">
        <f>SUM(G4:G5)</f>
        <v>15812767</v>
      </c>
      <c r="H6" s="677">
        <f>SUM(H4:H5)</f>
        <v>12238936.25</v>
      </c>
      <c r="J6" s="420" t="str">
        <f>B6</f>
        <v>ネットキャッシュ</v>
      </c>
      <c r="K6" s="772">
        <f>C6</f>
        <v>-143580223</v>
      </c>
      <c r="L6" s="773" t="n"/>
      <c r="M6" s="773" t="n"/>
    </row>
    <row r="7" ht="32.1" customFormat="1" customHeight="1" s="531" thickBot="1">
      <c r="E7" s="429" t="inlineStr">
        <is>
          <t>減価償却費</t>
        </is>
      </c>
      <c r="F7" s="703">
        <f>SGA!E31</f>
        <v>13663684</v>
      </c>
      <c r="G7" s="703">
        <f>SGA!G31</f>
        <v>12557564</v>
      </c>
      <c r="H7" s="703">
        <f>SGA!I31</f>
        <v>8878970</v>
      </c>
      <c r="J7" s="371" t="inlineStr">
        <is>
          <t>想定株式価値</t>
        </is>
      </c>
      <c r="K7" s="767">
        <f>SUM(K4:K6)</f>
        <v>-87379098.1075</v>
      </c>
      <c r="L7" s="767">
        <f>SUM(L4:L5)+K6</f>
        <v>-68645389.81</v>
      </c>
      <c r="M7" s="768">
        <f>SUM(M4:M5)+K6</f>
        <v>-49911681.5125</v>
      </c>
    </row>
    <row r="8" ht="32.1" customFormat="1" customHeight="1" s="531">
      <c r="E8" s="368" t="inlineStr">
        <is>
          <t>修正後EBITDA</t>
        </is>
      </c>
      <c r="F8" s="705">
        <f>SUM(F6:F7)</f>
        <v>38461940</v>
      </c>
      <c r="G8" s="705">
        <f>SUM(G6:G7)</f>
        <v>28370331</v>
      </c>
      <c r="H8" s="705">
        <f>SUM(H6:H7)</f>
        <v>21117906.25</v>
      </c>
    </row>
    <row r="9" ht="15.6" customFormat="1" customHeight="1" s="531" thickBot="1"/>
    <row r="10" ht="32.1" customFormat="1" customHeight="1" s="531">
      <c r="G10" s="769" t="inlineStr">
        <is>
          <t>基準EBITDA</t>
        </is>
      </c>
      <c r="H10" s="705">
        <f>(H8*0.5+G8*0.3+F8*0.2)</f>
        <v>26762440.425</v>
      </c>
    </row>
    <row r="12">
      <c r="B12" t="inlineStr">
        <is>
          <t>※倍率3〜5倍は国内中小企業M&amp;Aの実務水準。非流動性ディスカウント30%。算定値がマイナスの場合、ネットデットが事業価値を上回ることを示す。</t>
        </is>
      </c>
    </row>
  </sheetData>
  <pageMargins left="0.7" right="0.7" top="0.75" bottom="0.75" header="0.3" footer="0.3"/>
</worksheet>
</file>

<file path=xl/worksheets/sheet26.xml><?xml version="1.0" encoding="utf-8"?>
<worksheet xmlns="http://schemas.openxmlformats.org/spreadsheetml/2006/main">
  <sheetPr>
    <tabColor rgb="FF00B0F0"/>
    <outlinePr summaryBelow="1" summaryRight="1"/>
    <pageSetUpPr/>
  </sheetPr>
  <dimension ref="B2:E15"/>
  <sheetViews>
    <sheetView showGridLines="0" zoomScaleNormal="100" workbookViewId="0">
      <selection activeCell="E12" sqref="E12"/>
    </sheetView>
  </sheetViews>
  <sheetFormatPr baseColWidth="8" defaultRowHeight="18"/>
  <cols>
    <col width="36.625" customWidth="1" style="595" min="2" max="2"/>
    <col width="18.625" customWidth="1" style="595" min="3" max="3"/>
    <col width="55.125" customWidth="1" style="595" min="4" max="4"/>
    <col width="18.625" customWidth="1" style="595" min="5" max="5"/>
  </cols>
  <sheetData>
    <row r="2" ht="18.75" customHeight="1" s="595">
      <c r="E2" s="73" t="inlineStr">
        <is>
          <t>(単位：千円)</t>
        </is>
      </c>
    </row>
    <row r="3" ht="21.95" customHeight="1" s="595">
      <c r="B3" s="2" t="inlineStr">
        <is>
          <t>企業名</t>
        </is>
      </c>
      <c r="C3" s="116" t="inlineStr">
        <is>
          <t>所在地</t>
        </is>
      </c>
      <c r="D3" s="116" t="inlineStr">
        <is>
          <t>事業内容</t>
        </is>
      </c>
      <c r="E3" s="3" t="inlineStr">
        <is>
          <t>EV/EVIDA倍率</t>
        </is>
      </c>
    </row>
    <row r="4" ht="32.1" customHeight="1" s="595">
      <c r="B4" s="75" t="inlineStr">
        <is>
          <t>（未使用）倍率は国内中小企業M&amp;Aの実務水準（3〜5倍）を採用。卸売市場関連の上場会社の倍率は算定日時点の株価で更新が必要（要確認）</t>
        </is>
      </c>
      <c r="C4" s="380" t="n"/>
      <c r="D4" s="380" t="n"/>
      <c r="E4" s="774" t="n"/>
    </row>
    <row r="5" ht="32.1" customHeight="1" s="595">
      <c r="B5" s="419" t="n"/>
      <c r="C5" s="381" t="n"/>
      <c r="D5" s="381" t="n"/>
      <c r="E5" s="775" t="n"/>
    </row>
    <row r="6" ht="32.1" customHeight="1" s="595">
      <c r="B6" s="419" t="n"/>
      <c r="C6" s="381" t="n"/>
      <c r="D6" s="381" t="n"/>
      <c r="E6" s="775" t="n"/>
    </row>
    <row r="7" ht="32.1" customHeight="1" s="595">
      <c r="B7" s="419" t="n"/>
      <c r="C7" s="381" t="n"/>
      <c r="D7" s="381" t="n"/>
      <c r="E7" s="775" t="n"/>
    </row>
    <row r="8" ht="32.1" customHeight="1" s="595">
      <c r="B8" s="419" t="n"/>
      <c r="C8" s="381" t="n"/>
      <c r="D8" s="381" t="n"/>
      <c r="E8" s="775" t="n"/>
    </row>
    <row r="9" ht="32.1" customHeight="1" s="595">
      <c r="B9" s="419" t="n"/>
      <c r="C9" s="381" t="n"/>
      <c r="D9" s="381" t="n"/>
      <c r="E9" s="775" t="n"/>
    </row>
    <row r="10" ht="32.1" customHeight="1" s="595">
      <c r="B10" s="419" t="n"/>
      <c r="C10" s="381" t="n"/>
      <c r="D10" s="381" t="n"/>
      <c r="E10" s="775" t="n"/>
    </row>
    <row r="11" ht="32.1" customHeight="1" s="595">
      <c r="B11" s="419" t="n"/>
      <c r="C11" s="381" t="n"/>
      <c r="D11" s="381" t="n"/>
      <c r="E11" s="775" t="n"/>
    </row>
    <row r="12" ht="32.1" customHeight="1" s="595">
      <c r="B12" s="419" t="n"/>
      <c r="C12" s="381" t="n"/>
      <c r="D12" s="381" t="n"/>
      <c r="E12" s="775" t="n"/>
    </row>
    <row r="13" ht="32.1" customHeight="1" s="595" thickBot="1">
      <c r="B13" s="420" t="n"/>
      <c r="C13" s="382" t="n"/>
      <c r="D13" s="382" t="n"/>
      <c r="E13" s="776" t="n"/>
    </row>
    <row r="14" ht="32.1" customHeight="1" s="595">
      <c r="B14" s="378" t="n"/>
      <c r="C14" s="378" t="n"/>
      <c r="D14" s="383" t="n"/>
      <c r="E14" s="777" t="n"/>
    </row>
    <row r="15" ht="32.1" customHeight="1" s="595">
      <c r="B15" s="379" t="n"/>
      <c r="C15" s="379" t="n"/>
      <c r="D15" s="384" t="n"/>
      <c r="E15" s="778" t="n"/>
    </row>
    <row r="16" ht="32.1" customHeight="1" s="595"/>
    <row r="17" ht="32.1" customHeight="1" s="595"/>
    <row r="18" ht="15.6" customHeight="1" s="595"/>
    <row r="19" ht="32.1" customHeight="1" s="595"/>
  </sheetData>
  <pageMargins left="0.7" right="0.7" top="0.75" bottom="0.75" header="0.3" footer="0.3"/>
</worksheet>
</file>

<file path=xl/worksheets/sheet27.xml><?xml version="1.0" encoding="utf-8"?>
<worksheet xmlns="http://schemas.openxmlformats.org/spreadsheetml/2006/main">
  <sheetPr>
    <tabColor theme="7" tint="-0.499984740745262"/>
    <outlinePr summaryBelow="1" summaryRight="1"/>
    <pageSetUpPr/>
  </sheetPr>
  <dimension ref="A1:A1"/>
  <sheetViews>
    <sheetView showGridLines="0" topLeftCell="M1" workbookViewId="0">
      <selection activeCell="C22" sqref="C22"/>
    </sheetView>
  </sheetViews>
  <sheetFormatPr baseColWidth="8" defaultRowHeight="18"/>
  <sheetData/>
  <pageMargins left="0.7" right="0.7" top="0.75" bottom="0.75" header="0.3" footer="0.3"/>
</worksheet>
</file>

<file path=xl/worksheets/sheet28.xml><?xml version="1.0" encoding="utf-8"?>
<worksheet xmlns="http://schemas.openxmlformats.org/spreadsheetml/2006/main">
  <sheetPr>
    <outlinePr summaryBelow="1" summaryRight="1"/>
    <pageSetUpPr/>
  </sheetPr>
  <dimension ref="A1:C15"/>
  <sheetViews>
    <sheetView showGridLines="0" zoomScaleNormal="100" workbookViewId="0">
      <selection activeCell="C15" sqref="C15"/>
    </sheetView>
  </sheetViews>
  <sheetFormatPr baseColWidth="8" defaultColWidth="8.875" defaultRowHeight="18.75"/>
  <cols>
    <col width="8.875" customWidth="1" style="65" min="1" max="1"/>
    <col width="17.125" customWidth="1" style="65" min="2" max="2"/>
    <col width="58.625" customWidth="1" style="65" min="3" max="3"/>
    <col width="8.875" customWidth="1" style="65" min="4" max="16384"/>
  </cols>
  <sheetData>
    <row r="1">
      <c r="A1" s="603" t="inlineStr">
        <is>
          <t>■ 貼付範囲 B2:C15 → 企業概要書「基本情報」（範囲をコピーしてパワポに貼り付け。数字はここを直す）</t>
        </is>
      </c>
    </row>
    <row r="2" ht="19.5" customHeight="1" s="595">
      <c r="B2" s="63" t="inlineStr">
        <is>
          <t>項目</t>
        </is>
      </c>
      <c r="C2" s="64" t="inlineStr">
        <is>
          <t>内容</t>
        </is>
      </c>
    </row>
    <row r="3" ht="42" customHeight="1" s="595">
      <c r="B3" s="431" t="inlineStr">
        <is>
          <t>会社名</t>
        </is>
      </c>
      <c r="C3" s="779" t="inlineStr">
        <is>
          <t>株式会社鶴岡中央青果（http://www.turu-chu.co.jp/）</t>
        </is>
      </c>
    </row>
    <row r="4" ht="23" customHeight="1" s="595">
      <c r="B4" s="77" t="inlineStr">
        <is>
          <t>本社所在地</t>
        </is>
      </c>
      <c r="C4" s="780" t="inlineStr">
        <is>
          <t>山形県鶴岡市宝田一丁目4番20号</t>
        </is>
      </c>
    </row>
    <row r="5" ht="61" customHeight="1" s="595">
      <c r="B5" s="77" t="inlineStr">
        <is>
          <t>その他拠点</t>
        </is>
      </c>
      <c r="C5" s="780" t="inlineStr">
        <is>
          <t>① パッケージ場：山形県鶴岡市宝田一丁目5-1
② 旧倉庫敷地（駐車場）：山形県東田川郡庄内町長沼字宮前304-7</t>
        </is>
      </c>
    </row>
    <row r="6" ht="23" customHeight="1" s="595">
      <c r="B6" s="77" t="inlineStr">
        <is>
          <t>設立</t>
        </is>
      </c>
      <c r="C6" s="780" t="inlineStr">
        <is>
          <t>1973年（昭和48年）11月22日（第54期）</t>
        </is>
      </c>
    </row>
    <row r="7" ht="23" customHeight="1" s="595">
      <c r="B7" s="77" t="inlineStr">
        <is>
          <t>資本金</t>
        </is>
      </c>
      <c r="C7" s="780" t="str">
        <f>TEXT('BS (貸方)'!F36/1000,"#,##0")&amp;"千円"</f>
        <v>40,000千円</v>
      </c>
    </row>
    <row r="8" ht="23" customHeight="1" s="595">
      <c r="B8" s="77" t="inlineStr">
        <is>
          <t>代表者</t>
        </is>
      </c>
      <c r="C8" s="780" t="inlineStr">
        <is>
          <t>岡部 寛</t>
        </is>
      </c>
    </row>
    <row r="9" ht="42" customHeight="1" s="595">
      <c r="B9" s="77" t="inlineStr">
        <is>
          <t>株主</t>
        </is>
      </c>
      <c r="C9" s="780" t="inlineStr">
        <is>
          <t>岡部 寛（1,510株／37.8%）ほか7名
代表者一族4名で75.8%を保有</t>
        </is>
      </c>
    </row>
    <row r="10" ht="99" customHeight="1" s="595">
      <c r="B10" s="77" t="inlineStr">
        <is>
          <t>事業内容</t>
        </is>
      </c>
      <c r="C10" s="780" t="inlineStr">
        <is>
          <t>・青果物（野菜・果実）の卸売（地方卸売市場の開設・運営、買付販売・受託販売）
・パッケージ（小分け・包装）、配送（量販店の配送受託を含む）
・包装資材の販売</t>
        </is>
      </c>
    </row>
    <row r="11" ht="61" customHeight="1" s="595">
      <c r="B11" s="77" t="inlineStr">
        <is>
          <t>従業員数</t>
        </is>
      </c>
      <c r="C11" s="780" t="inlineStr">
        <is>
          <t>24名（正社員17名、嘱託・再雇用・試用3名、パート・アルバイト4名）
※2026年9月1日時点。別途、常勤役員2名</t>
        </is>
      </c>
    </row>
    <row r="12" ht="42" customHeight="1" s="595">
      <c r="B12" s="77" t="inlineStr">
        <is>
          <t>許認可等</t>
        </is>
      </c>
      <c r="C12" s="780" t="inlineStr">
        <is>
          <t>地方卸売市場の認定（卸売市場法・山形県知事）
2020年6月認定、2026年2月変更認定</t>
        </is>
      </c>
    </row>
    <row r="13" ht="23" customHeight="1" s="595">
      <c r="B13" s="77" t="inlineStr">
        <is>
          <t>売上高</t>
        </is>
      </c>
      <c r="C13" s="780" t="str">
        <f>TEXT(PL!I11/1000,"#,##0")&amp;"千円（2026年3月期）"</f>
        <v>1,195,893千円（2026年3月期）</v>
      </c>
    </row>
    <row r="14" ht="23" customHeight="1" s="595">
      <c r="B14" s="77" t="inlineStr">
        <is>
          <t>調整後EBITDA</t>
        </is>
      </c>
      <c r="C14" s="780" t="str">
        <f>TEXT(AVERAGE(PLハイライト!D25:F25)/1000,"#,##0")&amp;"千円（過去3期平均）"</f>
        <v>29,317千円（過去3期平均）</v>
      </c>
    </row>
    <row r="15" ht="23" customHeight="1" s="595">
      <c r="B15" s="77" t="inlineStr">
        <is>
          <t>譲渡理由</t>
        </is>
      </c>
      <c r="C15" s="780" t="inlineStr">
        <is>
          <t>後継者不在およびさらなる企業の発展</t>
        </is>
      </c>
    </row>
  </sheetData>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I48"/>
  <sheetViews>
    <sheetView showGridLines="0" zoomScale="85" zoomScaleNormal="85" workbookViewId="0">
      <selection activeCell="A1" sqref="A1"/>
    </sheetView>
  </sheetViews>
  <sheetFormatPr baseColWidth="8" defaultColWidth="8.875" defaultRowHeight="18.75"/>
  <cols>
    <col width="8.875" customWidth="1" style="65" min="1" max="1"/>
    <col width="31" customWidth="1" style="65" min="2" max="2"/>
    <col hidden="1" width="19.875" customWidth="1" style="595" min="3" max="3"/>
    <col width="19.875" customWidth="1" style="595" min="4" max="4"/>
    <col width="19.875" customWidth="1" style="595" min="5" max="5"/>
    <col width="19.875" customWidth="1" style="595" min="6" max="6"/>
    <col width="19.875" customWidth="1" style="595" min="7" max="7"/>
    <col width="8.875" customWidth="1" style="595" min="8" max="8"/>
    <col width="8.875" customWidth="1" style="595" min="9" max="9"/>
    <col width="8.875" customWidth="1" style="595" min="10" max="10"/>
    <col width="8.875" customWidth="1" style="595" min="11" max="11"/>
    <col width="8.875" customWidth="1" style="595" min="12" max="12"/>
    <col width="8.875" customWidth="1" style="595" min="13" max="13"/>
    <col width="8.875" customWidth="1" style="595" min="14" max="14"/>
    <col width="8.875" customWidth="1" style="595" min="15" max="15"/>
    <col width="8.875" customWidth="1" style="595" min="16" max="16"/>
    <col width="8.875" customWidth="1" style="595" min="17" max="17"/>
    <col width="8.875" customWidth="1" style="595" min="18" max="18"/>
    <col width="8.875" customWidth="1" style="595" min="19" max="19"/>
    <col width="8.875" customWidth="1" style="595" min="20" max="20"/>
    <col width="8.875" customWidth="1" style="595" min="21" max="21"/>
    <col width="8.875" customWidth="1" style="595" min="22" max="22"/>
    <col width="8.875" customWidth="1" style="595" min="23" max="23"/>
    <col width="8.875" customWidth="1" style="595" min="24" max="24"/>
    <col width="8.875" customWidth="1" style="595" min="25" max="25"/>
    <col width="8.875" customWidth="1" style="595" min="26" max="26"/>
    <col width="8.875" customWidth="1" style="595" min="27" max="27"/>
    <col width="8.875" customWidth="1" style="595" min="28" max="28"/>
    <col width="8.875" customWidth="1" style="595" min="29" max="29"/>
    <col width="8.875" customWidth="1" style="595" min="30" max="30"/>
    <col width="8.875" customWidth="1" style="595" min="31" max="31"/>
    <col width="8.875" customWidth="1" style="595" min="32" max="32"/>
    <col width="8.875" customWidth="1" style="595" min="33" max="33"/>
    <col width="8.875" customWidth="1" style="595" min="34" max="34"/>
    <col width="8.875" customWidth="1" style="595" min="35" max="35"/>
    <col width="8.875" customWidth="1" style="595" min="36" max="36"/>
    <col width="8.875" customWidth="1" style="595" min="37" max="37"/>
    <col width="8.875" customWidth="1" style="595" min="38" max="38"/>
    <col width="8.875" customWidth="1" style="595" min="39" max="39"/>
    <col width="8.875" customWidth="1" style="595" min="40" max="40"/>
  </cols>
  <sheetData>
    <row r="1">
      <c r="A1" s="603" t="inlineStr">
        <is>
          <t>■ 貼付範囲 B2:G25 → 企業概要書「財務ハイライト（P/L）」（範囲をコピーしてパワポに貼り付け。数字はここを直す）</t>
        </is>
      </c>
    </row>
    <row r="2">
      <c r="G2" s="73" t="inlineStr">
        <is>
          <t>(単位：千円)</t>
        </is>
      </c>
    </row>
    <row r="3" ht="33" customHeight="1" s="595">
      <c r="B3" s="79" t="n"/>
      <c r="C3" s="80" t="str">
        <f>'BS(借方)'!C4</f>
        <v>●●年●月期</v>
      </c>
      <c r="D3" s="80" t="str">
        <f>'BS(借方)'!D4</f>
        <v>24年3月期</v>
      </c>
      <c r="E3" s="80" t="str">
        <f>'BS(借方)'!E4</f>
        <v>25年3月期</v>
      </c>
      <c r="F3" s="80" t="str">
        <f>'BS(借方)'!F4</f>
        <v>26年3月期</v>
      </c>
      <c r="G3" s="227" t="str">
        <f>'BS(借方)'!G4</f>
        <v>27年3月期
4〜9月TB</v>
      </c>
    </row>
    <row r="4" ht="20" customHeight="1" s="595">
      <c r="B4" s="75" t="inlineStr">
        <is>
          <t>売上高</t>
        </is>
      </c>
      <c r="C4" s="642" t="n"/>
      <c r="D4" s="642">
        <f>PL!E11</f>
        <v>1178489098</v>
      </c>
      <c r="E4" s="642">
        <f>PL!G11</f>
        <v>1181947340</v>
      </c>
      <c r="F4" s="642">
        <f>PL!I11</f>
        <v>1195893269</v>
      </c>
      <c r="G4" s="642">
        <f>PL!K11</f>
        <v>621331427</v>
      </c>
      <c r="I4" s="67" t="n"/>
    </row>
    <row r="5" ht="14" customFormat="1" customHeight="1" s="230">
      <c r="B5" s="228" t="inlineStr">
        <is>
          <t>前期比</t>
        </is>
      </c>
      <c r="C5" s="781" t="n"/>
      <c r="D5" s="781" t="inlineStr">
        <is>
          <t>-</t>
        </is>
      </c>
      <c r="E5" s="781">
        <f>E4/D4</f>
        <v>1.00293447093051</v>
      </c>
      <c r="F5" s="781">
        <f>F4/E4</f>
        <v>1.01179911196382</v>
      </c>
      <c r="G5" s="781">
        <f>IFERROR(G4/G42,"-")</f>
        <v>0.930639366049435</v>
      </c>
    </row>
    <row r="6" ht="20" customHeight="1" s="595">
      <c r="B6" s="76" t="inlineStr">
        <is>
          <t>売上総利益</t>
        </is>
      </c>
      <c r="C6" s="609" t="n"/>
      <c r="D6" s="609">
        <f>PL!E17</f>
        <v>219580189</v>
      </c>
      <c r="E6" s="609">
        <f>PL!G17</f>
        <v>211295514</v>
      </c>
      <c r="F6" s="609">
        <f>PL!I17</f>
        <v>199010966</v>
      </c>
      <c r="G6" s="609">
        <f>PL!K17</f>
        <v>106171940</v>
      </c>
    </row>
    <row r="7" ht="14" customFormat="1" customHeight="1" s="230">
      <c r="B7" s="228" t="inlineStr">
        <is>
          <t>利益率</t>
        </is>
      </c>
      <c r="C7" s="781" t="n"/>
      <c r="D7" s="781">
        <f>D6/D4</f>
        <v>0.186323479252075</v>
      </c>
      <c r="E7" s="781">
        <f>E6/E4</f>
        <v>0.178768974597464</v>
      </c>
      <c r="F7" s="781">
        <f>F6/F4</f>
        <v>0.166411979362014</v>
      </c>
      <c r="G7" s="781">
        <f>G6/G4</f>
        <v>0.170878110113687</v>
      </c>
    </row>
    <row r="8" ht="20" customHeight="1" s="595">
      <c r="B8" s="76" t="inlineStr">
        <is>
          <t>営業利益</t>
        </is>
      </c>
      <c r="C8" s="609" t="n"/>
      <c r="D8" s="609">
        <f>PL!E19</f>
        <v>4756748</v>
      </c>
      <c r="E8" s="609">
        <f>PL!G19</f>
        <v>-4422940</v>
      </c>
      <c r="F8" s="609">
        <f>PL!I19</f>
        <v>5859912</v>
      </c>
      <c r="G8" s="718">
        <f>PL!K19</f>
        <v>20425701</v>
      </c>
    </row>
    <row r="9" ht="14" customFormat="1" customHeight="1" s="230">
      <c r="B9" s="228" t="inlineStr">
        <is>
          <t>利益率</t>
        </is>
      </c>
      <c r="C9" s="781" t="n"/>
      <c r="D9" s="781">
        <f>D8/D4</f>
        <v>0.00403631056755011</v>
      </c>
      <c r="E9" s="781">
        <f>E8/E4</f>
        <v>-0.00374207872915895</v>
      </c>
      <c r="F9" s="781">
        <f>F8/F4</f>
        <v>0.00490002925169069</v>
      </c>
      <c r="G9" s="781">
        <f>G8/G4</f>
        <v>0.0328740831581983</v>
      </c>
    </row>
    <row r="10" ht="20" customHeight="1" s="595">
      <c r="B10" s="76" t="inlineStr">
        <is>
          <t>経常利益</t>
        </is>
      </c>
      <c r="C10" s="609" t="n"/>
      <c r="D10" s="609">
        <f>PL!E36</f>
        <v>11316540</v>
      </c>
      <c r="E10" s="609">
        <f>PL!G36</f>
        <v>2181381</v>
      </c>
      <c r="F10" s="609">
        <f>PL!I36</f>
        <v>8067784</v>
      </c>
      <c r="G10" s="718">
        <f>PL!K36</f>
        <v>21165907</v>
      </c>
    </row>
    <row r="11" ht="14" customFormat="1" customHeight="1" s="230">
      <c r="B11" s="228" t="inlineStr">
        <is>
          <t>利益率</t>
        </is>
      </c>
      <c r="C11" s="781" t="n"/>
      <c r="D11" s="781">
        <f>D10/D4</f>
        <v>0.00960258352767554</v>
      </c>
      <c r="E11" s="781">
        <f>E10/E4</f>
        <v>0.00184558222365474</v>
      </c>
      <c r="F11" s="781">
        <f>F10/F4</f>
        <v>0.00674624083029269</v>
      </c>
      <c r="G11" s="781">
        <f>G10/G4</f>
        <v>0.0340654054828616</v>
      </c>
    </row>
    <row r="12" ht="20" customHeight="1" s="595">
      <c r="B12" s="76" t="inlineStr">
        <is>
          <t>税引後当期純利益</t>
        </is>
      </c>
      <c r="C12" s="609" t="n"/>
      <c r="D12" s="609">
        <f>PL!E56</f>
        <v>9106898</v>
      </c>
      <c r="E12" s="609">
        <f>PL!G56</f>
        <v>2928899</v>
      </c>
      <c r="F12" s="609">
        <f>PL!I56</f>
        <v>-15084655</v>
      </c>
      <c r="G12" s="718">
        <f>PL!K56</f>
        <v>21165907</v>
      </c>
    </row>
    <row r="13" ht="14" customFormat="1" customHeight="1" s="230">
      <c r="B13" s="228" t="inlineStr">
        <is>
          <t>利益率</t>
        </is>
      </c>
      <c r="C13" s="781" t="n"/>
      <c r="D13" s="781">
        <f>D12/D4</f>
        <v>0.00772760479113062</v>
      </c>
      <c r="E13" s="781">
        <f>E12/E4</f>
        <v>0.00247802833584786</v>
      </c>
      <c r="F13" s="781">
        <f>F12/F4</f>
        <v>-0.0126137134400077</v>
      </c>
      <c r="G13" s="781">
        <f>G12/G4</f>
        <v>0.0340654054828616</v>
      </c>
    </row>
    <row r="14" ht="8" customHeight="1" s="595">
      <c r="C14" s="701" t="n"/>
      <c r="D14" s="701" t="n"/>
      <c r="E14" s="701" t="n"/>
      <c r="F14" s="701" t="n"/>
      <c r="G14" s="701" t="n"/>
      <c r="H14" s="782" t="n"/>
      <c r="I14" s="782" t="n"/>
    </row>
    <row r="15" ht="20" customHeight="1" s="595">
      <c r="B15" s="77" t="inlineStr">
        <is>
          <t>減価償却費</t>
        </is>
      </c>
      <c r="C15" s="783" t="n">
        <v>0</v>
      </c>
      <c r="D15" s="783">
        <f>SGA!E31</f>
        <v>13663684</v>
      </c>
      <c r="E15" s="783">
        <f>SGA!G31</f>
        <v>12557564</v>
      </c>
      <c r="F15" s="783">
        <f>SGA!I31</f>
        <v>8878970</v>
      </c>
      <c r="G15" s="783">
        <f>SGA!K31</f>
        <v>3654000</v>
      </c>
      <c r="H15" s="782" t="n"/>
      <c r="I15" s="782" t="n"/>
    </row>
    <row r="16" ht="8" customHeight="1" s="595">
      <c r="C16" s="701" t="n"/>
      <c r="D16" s="701" t="n"/>
      <c r="E16" s="701" t="n"/>
      <c r="F16" s="701" t="n"/>
      <c r="G16" s="701" t="n"/>
      <c r="H16" s="782" t="n"/>
      <c r="I16" s="782" t="n"/>
    </row>
    <row r="17" ht="20" customHeight="1" s="595">
      <c r="B17" s="451" t="inlineStr">
        <is>
          <t>調整項目 合計</t>
        </is>
      </c>
      <c r="C17" s="784" t="n"/>
      <c r="D17" s="784">
        <f>SUM(D18:D23)</f>
        <v>20041508</v>
      </c>
      <c r="E17" s="784">
        <f>SUM(E18:E23)</f>
        <v>20235707</v>
      </c>
      <c r="F17" s="784">
        <f>SUM(F18:F23)</f>
        <v>6379024.25</v>
      </c>
      <c r="G17" s="784">
        <f>SUM(G18:G23)</f>
        <v>1406434.125</v>
      </c>
      <c r="H17" s="782" t="n"/>
      <c r="I17" s="782" t="n"/>
    </row>
    <row r="18" ht="20" customHeight="1" s="595">
      <c r="B18" s="457" t="inlineStr">
        <is>
          <t>役員報酬（退任役員）</t>
        </is>
      </c>
      <c r="C18" s="785" t="n"/>
      <c r="D18" s="785">
        <f>修正PL!F64</f>
        <v>17400000</v>
      </c>
      <c r="E18" s="785">
        <f>修正PL!I64</f>
        <v>17400000</v>
      </c>
      <c r="F18" s="785">
        <f>修正PL!L64</f>
        <v>11160000</v>
      </c>
      <c r="G18" s="785">
        <f>修正PL!O64</f>
        <v>4050000</v>
      </c>
      <c r="H18" s="782" t="n"/>
      <c r="I18" s="782" t="n"/>
    </row>
    <row r="19" ht="20" customHeight="1" s="595">
      <c r="B19" s="457" t="inlineStr">
        <is>
          <t>顧問料（代表者）</t>
        </is>
      </c>
      <c r="C19" s="785" t="n"/>
      <c r="D19" s="785">
        <f>-修正PL!F65</f>
        <v>-2160000</v>
      </c>
      <c r="E19" s="785">
        <f>-修正PL!I65</f>
        <v>-2160000</v>
      </c>
      <c r="F19" s="785">
        <f>-修正PL!L65</f>
        <v>-2160000</v>
      </c>
      <c r="G19" s="785">
        <f>-修正PL!O65</f>
        <v>-1080000</v>
      </c>
      <c r="H19" s="782" t="n"/>
      <c r="I19" s="782" t="n"/>
    </row>
    <row r="20" ht="20" customHeight="1" s="595">
      <c r="B20" s="457" t="inlineStr">
        <is>
          <t>社会保険料</t>
        </is>
      </c>
      <c r="C20" s="785" t="n"/>
      <c r="D20" s="785">
        <f>D18*修正PL!$F$66</f>
        <v>2610000</v>
      </c>
      <c r="E20" s="785">
        <f>E18*修正PL!$F$66</f>
        <v>2610000</v>
      </c>
      <c r="F20" s="785">
        <f>F18*修正PL!$F$66</f>
        <v>1674000</v>
      </c>
      <c r="G20" s="785">
        <f>G18*修正PL!$F$66</f>
        <v>607500</v>
      </c>
      <c r="H20" s="782" t="n"/>
      <c r="I20" s="782" t="n"/>
    </row>
    <row r="21" ht="20" customHeight="1" s="595">
      <c r="B21" s="457" t="inlineStr">
        <is>
          <t>賞与の正常化</t>
        </is>
      </c>
      <c r="C21" s="785" t="n"/>
      <c r="D21" s="785">
        <f>修正PL!F67</f>
        <v>0</v>
      </c>
      <c r="E21" s="785">
        <f>修正PL!I67</f>
        <v>0</v>
      </c>
      <c r="F21" s="785">
        <f>修正PL!L67</f>
        <v>-6724423.75</v>
      </c>
      <c r="G21" s="785">
        <f>修正PL!O67</f>
        <v>-3362211.875</v>
      </c>
      <c r="H21" s="782" t="n"/>
      <c r="I21" s="782" t="n"/>
    </row>
    <row r="22" ht="20" customHeight="1" s="595">
      <c r="B22" s="457" t="inlineStr">
        <is>
          <t>寄付金</t>
        </is>
      </c>
      <c r="C22" s="785" t="n"/>
      <c r="D22" s="785">
        <f>修正PL!F68</f>
        <v>13000</v>
      </c>
      <c r="E22" s="785">
        <f>修正PL!I68</f>
        <v>71000</v>
      </c>
      <c r="F22" s="785">
        <f>修正PL!L68</f>
        <v>11000</v>
      </c>
      <c r="G22" s="785">
        <f>修正PL!O68</f>
        <v>7000</v>
      </c>
      <c r="H22" s="782" t="n"/>
      <c r="I22" s="782" t="n"/>
    </row>
    <row r="23" ht="20" customHeight="1" s="595">
      <c r="B23" s="457" t="inlineStr">
        <is>
          <t>受取奨励金（純額）</t>
        </is>
      </c>
      <c r="C23" s="785" t="n"/>
      <c r="D23" s="785">
        <f>修正PL!F69-修正PL!F70</f>
        <v>2178508</v>
      </c>
      <c r="E23" s="785">
        <f>修正PL!I69-修正PL!I70</f>
        <v>2314707</v>
      </c>
      <c r="F23" s="785">
        <f>修正PL!L69-修正PL!L70</f>
        <v>2418448</v>
      </c>
      <c r="G23" s="785">
        <f>修正PL!O69-修正PL!O70</f>
        <v>1184146</v>
      </c>
      <c r="H23" s="782" t="n"/>
      <c r="I23" s="782" t="n"/>
    </row>
    <row r="24" ht="8" customHeight="1" s="595">
      <c r="C24" s="701" t="n"/>
      <c r="D24" s="701" t="n"/>
      <c r="E24" s="701" t="n"/>
      <c r="F24" s="701" t="n"/>
      <c r="G24" s="701" t="n"/>
      <c r="H24" s="782" t="n"/>
      <c r="I24" s="782" t="n"/>
    </row>
    <row r="25" ht="20" customHeight="1" s="595">
      <c r="B25" s="72" t="inlineStr">
        <is>
          <t>調整後EBITDA</t>
        </is>
      </c>
      <c r="C25" s="786" t="n"/>
      <c r="D25" s="786">
        <f>D8+D15+D17</f>
        <v>38461940</v>
      </c>
      <c r="E25" s="786">
        <f>E8+E15+E17</f>
        <v>28370331</v>
      </c>
      <c r="F25" s="786">
        <f>F8+F15+F17</f>
        <v>21117906.25</v>
      </c>
      <c r="G25" s="786">
        <f>G8+G15+G17</f>
        <v>25486135.125</v>
      </c>
      <c r="H25" s="782" t="n"/>
      <c r="I25" s="782" t="n"/>
    </row>
    <row r="26" ht="22.5" customHeight="1" s="595">
      <c r="B26" s="782" t="n"/>
      <c r="C26" s="782" t="n"/>
      <c r="D26" s="782" t="n"/>
      <c r="E26" s="782" t="n"/>
      <c r="F26" s="782" t="n"/>
      <c r="G26" s="782" t="n"/>
      <c r="H26" s="782" t="n"/>
      <c r="I26" s="782" t="n"/>
    </row>
    <row r="27" ht="22.5" customHeight="1" s="595">
      <c r="B27" s="782" t="n"/>
      <c r="C27" s="782" t="n"/>
      <c r="D27" s="782" t="n"/>
      <c r="E27" s="782" t="n"/>
      <c r="F27" s="782" t="n"/>
      <c r="G27" s="782" t="n"/>
      <c r="H27" s="782" t="n"/>
      <c r="I27" s="782" t="n"/>
    </row>
    <row r="28" hidden="1" ht="22.5" customHeight="1" s="595">
      <c r="B28" s="787" t="inlineStr">
        <is>
          <t>参考（リード文・Comment用。貼付範囲外）</t>
        </is>
      </c>
      <c r="C28" s="782" t="n"/>
      <c r="D28" s="782" t="n"/>
      <c r="E28" s="782" t="n"/>
      <c r="F28" s="782" t="n"/>
      <c r="G28" s="782" t="n"/>
      <c r="H28" s="782" t="n"/>
      <c r="I28" s="782" t="n"/>
    </row>
    <row r="29" hidden="1" ht="22.5" customHeight="1" s="595">
      <c r="B29" s="782" t="inlineStr">
        <is>
          <t>調整後EBITDA 3期平均</t>
        </is>
      </c>
      <c r="C29" s="788">
        <f>AVERAGE(D25:F25)</f>
        <v>29316725.75</v>
      </c>
      <c r="D29" s="788" t="n"/>
      <c r="E29" s="788" t="n"/>
      <c r="F29" s="788" t="n"/>
      <c r="G29" s="788" t="n"/>
      <c r="H29" s="782" t="n"/>
      <c r="I29" s="782" t="n"/>
    </row>
    <row r="30" hidden="1" ht="22.5" customHeight="1" s="595">
      <c r="B30" s="782" t="inlineStr">
        <is>
          <t>調整後EBITDA 直近2期平均</t>
        </is>
      </c>
      <c r="C30" s="788">
        <f>AVERAGE(E25:F25)</f>
        <v>24744118.625</v>
      </c>
      <c r="D30" s="788" t="n"/>
      <c r="E30" s="788" t="n"/>
      <c r="F30" s="788" t="n"/>
      <c r="G30" s="788" t="n"/>
      <c r="H30" s="782" t="n"/>
      <c r="I30" s="782" t="n"/>
    </row>
    <row r="31" hidden="1" ht="22.5" customHeight="1" s="595">
      <c r="B31" s="782" t="inlineStr">
        <is>
          <t>チェック：修正PLの修正後EBITDA（26/3期）と一致</t>
        </is>
      </c>
      <c r="C31" s="782" t="b">
        <f>ROUND(F25,0)=ROUND(修正PL!L74,0)</f>
        <v>1</v>
      </c>
      <c r="D31" s="788" t="n"/>
      <c r="E31" s="788" t="n"/>
      <c r="F31" s="788" t="n"/>
      <c r="G31" s="788" t="n"/>
      <c r="H31" s="782" t="n"/>
      <c r="I31" s="782" t="n"/>
    </row>
    <row r="32" hidden="1" ht="22.5" customHeight="1" s="595">
      <c r="B32" s="782" t="inlineStr">
        <is>
          <t>EBITDA（営業利益＋減価償却費）</t>
        </is>
      </c>
      <c r="C32" s="788" t="n"/>
      <c r="D32" s="788">
        <f>D8+D15</f>
        <v>18420432</v>
      </c>
      <c r="E32" s="788">
        <f>E8+E15</f>
        <v>8134624</v>
      </c>
      <c r="F32" s="788">
        <f>F8+F15</f>
        <v>14738882</v>
      </c>
      <c r="G32" s="788">
        <f>G8+G15</f>
        <v>24079701</v>
      </c>
      <c r="H32" s="782" t="n"/>
      <c r="I32" s="782" t="n"/>
    </row>
    <row r="33" hidden="1" ht="22.5" customHeight="1" s="595">
      <c r="B33" s="782" t="inlineStr">
        <is>
          <t>販売費及び一般管理費</t>
        </is>
      </c>
      <c r="C33" s="788" t="n"/>
      <c r="D33" s="788">
        <f>SGA!E40</f>
        <v>214823441</v>
      </c>
      <c r="E33" s="788">
        <f>SGA!G40</f>
        <v>215718454</v>
      </c>
      <c r="F33" s="788">
        <f>SGA!I40</f>
        <v>193151054</v>
      </c>
      <c r="G33" s="788">
        <f>SGA!K40</f>
        <v>85746239</v>
      </c>
      <c r="H33" s="782" t="n"/>
      <c r="I33" s="782" t="n"/>
    </row>
    <row r="34" hidden="1" ht="22.5" customHeight="1" s="595">
      <c r="B34" s="782" t="n"/>
      <c r="C34" s="788" t="n"/>
      <c r="D34" s="788" t="n"/>
      <c r="E34" s="788" t="n"/>
      <c r="F34" s="788" t="n"/>
      <c r="G34" s="788" t="n"/>
      <c r="H34" s="782" t="n"/>
      <c r="I34" s="782" t="n"/>
    </row>
    <row r="35" hidden="1" ht="22.5" customHeight="1" s="595" thickBot="1">
      <c r="B35" s="789" t="inlineStr">
        <is>
          <t>前年同期（2025年4〜9月 試算表）</t>
        </is>
      </c>
      <c r="C35" s="788" t="n"/>
      <c r="D35" s="788" t="n"/>
      <c r="E35" s="788" t="n"/>
      <c r="F35" s="788" t="n"/>
      <c r="G35" s="788" t="n"/>
      <c r="H35" s="782" t="n"/>
      <c r="I35" s="782" t="n"/>
    </row>
    <row r="36" ht="15" customHeight="1" s="595" thickBot="1">
      <c r="B36" s="782" t="inlineStr">
        <is>
          <t>前年同期 売上総利益</t>
        </is>
      </c>
      <c r="C36" s="788" t="n"/>
      <c r="D36" s="788" t="n"/>
      <c r="E36" s="788" t="n"/>
      <c r="F36" s="788" t="n"/>
      <c r="G36" s="788" t="n">
        <v>108315825</v>
      </c>
      <c r="H36" s="782" t="n"/>
      <c r="I36" s="782" t="n"/>
    </row>
    <row r="37" ht="21" customFormat="1" customHeight="1" s="74" thickBot="1" thickTop="1">
      <c r="B37" s="782" t="inlineStr">
        <is>
          <t>前年同期 販管費</t>
        </is>
      </c>
      <c r="C37" s="788" t="n"/>
      <c r="D37" s="788" t="n"/>
      <c r="E37" s="788" t="n"/>
      <c r="F37" s="788" t="n"/>
      <c r="G37" s="788" t="n">
        <v>98862164</v>
      </c>
      <c r="H37" s="782" t="n"/>
      <c r="I37" s="782" t="n"/>
    </row>
    <row r="38" ht="19.5" customHeight="1" s="595" thickTop="1">
      <c r="B38" s="782" t="inlineStr">
        <is>
          <t>前年同期 営業利益</t>
        </is>
      </c>
      <c r="C38" s="788" t="n"/>
      <c r="D38" s="788" t="n"/>
      <c r="E38" s="788" t="n"/>
      <c r="F38" s="788" t="n"/>
      <c r="G38" s="788" t="n">
        <v>9453661</v>
      </c>
      <c r="H38" s="782" t="n"/>
      <c r="I38" s="782" t="n"/>
    </row>
    <row r="39">
      <c r="B39" s="782" t="inlineStr">
        <is>
          <t>前年同期 経常利益</t>
        </is>
      </c>
      <c r="C39" s="788" t="n"/>
      <c r="D39" s="788" t="n"/>
      <c r="E39" s="788" t="n"/>
      <c r="F39" s="788" t="n"/>
      <c r="G39" s="788" t="n">
        <v>10012691</v>
      </c>
      <c r="H39" s="782" t="n"/>
      <c r="I39" s="782" t="n"/>
    </row>
    <row r="40">
      <c r="B40" s="782" t="inlineStr">
        <is>
          <t>前年同期 税引前当期純利益</t>
        </is>
      </c>
      <c r="C40" s="788" t="n"/>
      <c r="D40" s="788" t="n"/>
      <c r="E40" s="788" t="n"/>
      <c r="F40" s="788" t="n"/>
      <c r="G40" s="788" t="n">
        <v>9880669</v>
      </c>
      <c r="H40" s="782" t="n"/>
      <c r="I40" s="782" t="n"/>
    </row>
    <row r="41">
      <c r="B41" s="782" t="inlineStr">
        <is>
          <t>前年同期 減価償却費</t>
        </is>
      </c>
      <c r="C41" s="788" t="n"/>
      <c r="D41" s="788" t="n"/>
      <c r="E41" s="788" t="n"/>
      <c r="F41" s="788" t="n"/>
      <c r="G41" s="788" t="n">
        <v>6240000</v>
      </c>
      <c r="H41" s="782" t="n"/>
      <c r="I41" s="782" t="n"/>
    </row>
    <row r="42">
      <c r="B42" s="782" t="inlineStr">
        <is>
          <t>前年同期 売上高</t>
        </is>
      </c>
      <c r="C42" s="788" t="n"/>
      <c r="D42" s="788" t="n"/>
      <c r="E42" s="788" t="n"/>
      <c r="F42" s="788" t="n"/>
      <c r="G42" s="788" t="n">
        <v>667639313</v>
      </c>
      <c r="H42" s="782" t="n"/>
      <c r="I42" s="782" t="n"/>
    </row>
    <row r="43">
      <c r="B43" s="782" t="inlineStr">
        <is>
          <t>前年同期 人件費（役員報酬・給料・法定福利等）</t>
        </is>
      </c>
      <c r="C43" s="788" t="n"/>
      <c r="D43" s="788" t="n"/>
      <c r="E43" s="788" t="n"/>
      <c r="F43" s="788" t="n"/>
      <c r="G43" s="788" t="n">
        <v>50027381</v>
      </c>
      <c r="H43" s="782" t="n"/>
      <c r="I43" s="782" t="n"/>
    </row>
    <row r="44">
      <c r="B44" s="782" t="inlineStr">
        <is>
          <t>前年同期 運賃</t>
        </is>
      </c>
      <c r="C44" s="788" t="n"/>
      <c r="D44" s="788" t="n"/>
      <c r="E44" s="788" t="n"/>
      <c r="F44" s="788" t="n"/>
      <c r="G44" s="788" t="n">
        <v>17023172</v>
      </c>
      <c r="H44" s="782" t="n"/>
      <c r="I44" s="782" t="n"/>
    </row>
    <row r="45">
      <c r="B45" s="782" t="inlineStr">
        <is>
          <t>当期 人件費（役員報酬・給料・法定福利等）</t>
        </is>
      </c>
      <c r="C45" s="788" t="n"/>
      <c r="D45" s="788" t="n"/>
      <c r="E45" s="788" t="n"/>
      <c r="F45" s="788" t="n"/>
      <c r="G45" s="788">
        <f>SUM(SGA!K6:K12)</f>
        <v>43689505</v>
      </c>
      <c r="H45" s="782" t="n"/>
      <c r="I45" s="782" t="n"/>
    </row>
    <row r="46">
      <c r="B46" s="782" t="n"/>
      <c r="C46" s="782" t="n"/>
      <c r="D46" s="782" t="n"/>
      <c r="E46" s="782" t="n"/>
      <c r="F46" s="782" t="n"/>
      <c r="G46" s="782" t="n"/>
      <c r="H46" s="782" t="n"/>
      <c r="I46" s="782" t="n"/>
    </row>
    <row r="47">
      <c r="B47" s="790" t="inlineStr">
        <is>
          <t>※進行期は2026年4〜9月の試算表（6か月累計。年換算しない）。前期比は前年同期との比較。進行期の調整項目は同じ方針で6か月分を算定（賞与の正常化は年額の6/12）。</t>
        </is>
      </c>
      <c r="C47" s="782" t="n"/>
      <c r="D47" s="782" t="n"/>
      <c r="E47" s="782" t="n"/>
      <c r="F47" s="782" t="n"/>
      <c r="G47" s="782" t="n"/>
      <c r="H47" s="782" t="n"/>
      <c r="I47" s="782" t="n"/>
    </row>
    <row r="48">
      <c r="B48" s="782" t="n"/>
      <c r="C48" s="782" t="n"/>
      <c r="D48" s="782" t="n"/>
      <c r="E48" s="782" t="n"/>
      <c r="F48" s="782" t="n"/>
      <c r="G48" s="782" t="n"/>
      <c r="H48" s="782" t="n"/>
      <c r="I48" s="782" t="n"/>
    </row>
  </sheetData>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F45"/>
  <sheetViews>
    <sheetView showGridLines="0" zoomScale="85" zoomScaleNormal="85" workbookViewId="0">
      <selection activeCell="A1" sqref="A1"/>
    </sheetView>
  </sheetViews>
  <sheetFormatPr baseColWidth="8" defaultColWidth="8.875" defaultRowHeight="18.75"/>
  <cols>
    <col width="8.875" customWidth="1" style="65" min="1" max="1"/>
    <col width="16.125" customWidth="1" style="65" min="2" max="3"/>
    <col width="1.125" customWidth="1" style="65" min="4" max="4"/>
    <col width="16.125" customWidth="1" style="65" min="5" max="6"/>
    <col width="8.875" customWidth="1" style="65" min="7" max="16384"/>
  </cols>
  <sheetData>
    <row r="1">
      <c r="A1" s="603" t="inlineStr">
        <is>
          <t>■ 貼付範囲 B2:F21 → 企業概要書「財務ハイライト（B/S）」（範囲をコピーしてパワポに貼り付け。数字はここを直す）</t>
        </is>
      </c>
    </row>
    <row r="2">
      <c r="F2" s="73" t="inlineStr">
        <is>
          <t>(単位：千円)</t>
        </is>
      </c>
    </row>
    <row r="3" ht="19.5" customHeight="1" s="595">
      <c r="B3" s="82" t="str">
        <f>PLハイライト!F3&amp;"末"</f>
        <v>26年3月期末</v>
      </c>
      <c r="C3" s="83" t="n"/>
      <c r="D3" s="83" t="n"/>
      <c r="E3" s="84" t="n"/>
      <c r="F3" s="84" t="n"/>
    </row>
    <row r="4" ht="22.5" customHeight="1" s="595">
      <c r="B4" s="85" t="inlineStr">
        <is>
          <t>流動資産</t>
        </is>
      </c>
      <c r="C4" s="791">
        <f>SUM(C5:C10)</f>
        <v>249704912</v>
      </c>
      <c r="D4" s="792" t="n"/>
      <c r="E4" s="87" t="inlineStr">
        <is>
          <t>流動負債</t>
        </is>
      </c>
      <c r="F4" s="793">
        <f>SUM(F5:F10)</f>
        <v>37279523</v>
      </c>
    </row>
    <row r="5" ht="22.5" customHeight="1" s="595">
      <c r="B5" s="88" t="inlineStr">
        <is>
          <t>現預金</t>
        </is>
      </c>
      <c r="C5" s="605">
        <f>'BS(借方)'!F6</f>
        <v>210887077</v>
      </c>
      <c r="D5" s="794" t="n"/>
      <c r="E5" s="795" t="inlineStr">
        <is>
          <t>買掛金</t>
        </is>
      </c>
      <c r="F5" s="796">
        <f>'BS (貸方)'!F6</f>
        <v>26349122</v>
      </c>
    </row>
    <row r="6" ht="22.5" customHeight="1" s="595">
      <c r="B6" s="90" t="inlineStr">
        <is>
          <t>売掛金</t>
        </is>
      </c>
      <c r="C6" s="717">
        <f>'BS(借方)'!F7+'BS(借方)'!F8</f>
        <v>20836318</v>
      </c>
      <c r="D6" s="797" t="n"/>
      <c r="E6" s="798" t="inlineStr">
        <is>
          <t>未払金</t>
        </is>
      </c>
      <c r="F6" s="799">
        <f>'BS (貸方)'!F7</f>
        <v>6630301</v>
      </c>
    </row>
    <row r="7" ht="22.5" customHeight="1" s="595">
      <c r="B7" s="90" t="inlineStr">
        <is>
          <t>在庫</t>
        </is>
      </c>
      <c r="C7" s="717">
        <f>'BS(借方)'!F9</f>
        <v>14596695</v>
      </c>
      <c r="D7" s="797" t="n"/>
      <c r="E7" s="798" t="inlineStr">
        <is>
          <t>預り金</t>
        </is>
      </c>
      <c r="F7" s="799">
        <f>'BS (貸方)'!F9</f>
        <v>281300</v>
      </c>
    </row>
    <row r="8" ht="22.5" customHeight="1" s="595">
      <c r="B8" s="90" t="inlineStr">
        <is>
          <t>未収入金</t>
        </is>
      </c>
      <c r="C8" s="717">
        <f>'BS(借方)'!F11</f>
        <v>3011112</v>
      </c>
      <c r="D8" s="797" t="n"/>
      <c r="E8" s="798" t="inlineStr">
        <is>
          <t>未払法人税等</t>
        </is>
      </c>
      <c r="F8" s="799">
        <f>'BS (貸方)'!F10</f>
        <v>1851300</v>
      </c>
    </row>
    <row r="9" ht="22.5" customHeight="1" s="595">
      <c r="B9" s="90" t="inlineStr">
        <is>
          <t>仮払金</t>
        </is>
      </c>
      <c r="C9" s="717">
        <f>'BS(借方)'!F12</f>
        <v>493135</v>
      </c>
      <c r="D9" s="797" t="n"/>
      <c r="E9" s="798" t="inlineStr">
        <is>
          <t>未払消費税</t>
        </is>
      </c>
      <c r="F9" s="799">
        <f>'BS (貸方)'!F11</f>
        <v>2167500</v>
      </c>
    </row>
    <row r="10" ht="22.5" customHeight="1" s="595">
      <c r="B10" s="88" t="inlineStr">
        <is>
          <t>その他</t>
        </is>
      </c>
      <c r="C10" s="605">
        <f>'BS(借方)'!F10+'BS(借方)'!F13+'BS(借方)'!F14+'BS(借方)'!F15</f>
        <v>-119425</v>
      </c>
      <c r="D10" s="794" t="n"/>
      <c r="E10" s="798" t="inlineStr">
        <is>
          <t>その他</t>
        </is>
      </c>
      <c r="F10" s="796">
        <f>'BS (貸方)'!F8</f>
        <v>0</v>
      </c>
    </row>
    <row r="11" ht="22.5" customHeight="1" s="595">
      <c r="B11" s="87" t="inlineStr">
        <is>
          <t>固定資産</t>
        </is>
      </c>
      <c r="C11" s="800">
        <f>SUM(C12:C20)</f>
        <v>235485192</v>
      </c>
      <c r="D11" s="794" t="n"/>
      <c r="E11" s="87" t="inlineStr">
        <is>
          <t>固定負債</t>
        </is>
      </c>
      <c r="F11" s="801">
        <f>SUM(F12:F14)</f>
        <v>370038000</v>
      </c>
    </row>
    <row r="12" ht="22.5" customHeight="1" s="595">
      <c r="B12" s="90" t="inlineStr">
        <is>
          <t>建物</t>
        </is>
      </c>
      <c r="C12" s="717">
        <f>'BS(借方)'!F22</f>
        <v>92065694</v>
      </c>
      <c r="D12" s="797" t="n"/>
      <c r="E12" s="798" t="inlineStr">
        <is>
          <t>長期借入金</t>
        </is>
      </c>
      <c r="F12" s="799">
        <f>'BS (貸方)'!F19</f>
        <v>361058000</v>
      </c>
    </row>
    <row r="13" ht="22.5" customHeight="1" s="595">
      <c r="B13" s="90" t="inlineStr">
        <is>
          <t>建物付属設備</t>
        </is>
      </c>
      <c r="C13" s="717">
        <f>'BS(借方)'!F23</f>
        <v>11399836</v>
      </c>
      <c r="D13" s="797" t="n"/>
      <c r="E13" s="798" t="inlineStr">
        <is>
          <t>預り保証金</t>
        </is>
      </c>
      <c r="F13" s="799">
        <f>'BS (貸方)'!F20</f>
        <v>8980000</v>
      </c>
    </row>
    <row r="14" ht="22.5" customHeight="1" s="595">
      <c r="B14" s="90" t="inlineStr">
        <is>
          <t>構築物</t>
        </is>
      </c>
      <c r="C14" s="717">
        <f>'BS(借方)'!F24</f>
        <v>284395</v>
      </c>
      <c r="D14" s="797" t="n"/>
      <c r="E14" s="798" t="n"/>
      <c r="F14" s="799" t="n"/>
    </row>
    <row r="15" ht="22.5" customHeight="1" s="595">
      <c r="B15" s="90" t="inlineStr">
        <is>
          <t>土地</t>
        </is>
      </c>
      <c r="C15" s="717">
        <f>'BS(借方)'!F28</f>
        <v>93137240</v>
      </c>
      <c r="D15" s="797" t="n"/>
      <c r="E15" s="452" t="inlineStr">
        <is>
          <t>負債合計</t>
        </is>
      </c>
      <c r="F15" s="802">
        <f>F4+F11</f>
        <v>407317523</v>
      </c>
    </row>
    <row r="16" ht="22.5" customHeight="1" s="595">
      <c r="B16" s="90" t="inlineStr">
        <is>
          <t>電話加入権</t>
        </is>
      </c>
      <c r="C16" s="717">
        <f>'BS(借方)'!F36</f>
        <v>2155595</v>
      </c>
      <c r="D16" s="797" t="n"/>
      <c r="E16" s="798" t="n"/>
      <c r="F16" s="799" t="n"/>
    </row>
    <row r="17" ht="22.5" customHeight="1" s="595">
      <c r="B17" s="90" t="inlineStr">
        <is>
          <t>ソフトウェア</t>
        </is>
      </c>
      <c r="C17" s="717">
        <f>'BS(借方)'!F37</f>
        <v>371800</v>
      </c>
      <c r="D17" s="797" t="n"/>
    </row>
    <row r="18" ht="22.5" customHeight="1" s="595">
      <c r="B18" s="90" t="inlineStr">
        <is>
          <t>投資有価証券</t>
        </is>
      </c>
      <c r="C18" s="717">
        <f>'BS(借方)'!F47</f>
        <v>2600000</v>
      </c>
      <c r="D18" s="797" t="n"/>
      <c r="E18" s="798" t="inlineStr">
        <is>
          <t>資本金</t>
        </is>
      </c>
      <c r="F18" s="799">
        <f>'BS (貸方)'!F36</f>
        <v>40000000</v>
      </c>
    </row>
    <row r="19" ht="22.5" customHeight="1" s="595">
      <c r="B19" s="90" t="inlineStr">
        <is>
          <t>保証金</t>
        </is>
      </c>
      <c r="C19" s="717">
        <f>'BS(借方)'!F50</f>
        <v>33302569</v>
      </c>
      <c r="D19" s="797" t="n"/>
      <c r="E19" s="798" t="inlineStr">
        <is>
          <t>利益剰余金</t>
        </is>
      </c>
      <c r="F19" s="799">
        <f>'BS (貸方)'!F43</f>
        <v>37872581</v>
      </c>
    </row>
    <row r="20" ht="22.5" customHeight="1" s="595">
      <c r="B20" s="90" t="inlineStr">
        <is>
          <t>その他</t>
        </is>
      </c>
      <c r="C20" s="717">
        <f>'BS(借方)'!F25+'BS(借方)'!F26+'BS(借方)'!F27+'BS(借方)'!F29+'BS(借方)'!F48+'BS(借方)'!F49+'BS(借方)'!F51+'BS(借方)'!F56</f>
        <v>168063</v>
      </c>
      <c r="D20" s="797" t="n"/>
      <c r="E20" s="454" t="inlineStr">
        <is>
          <t>純資産合計</t>
        </is>
      </c>
      <c r="F20" s="803">
        <f>SUM(F16:F19)</f>
        <v>77872581</v>
      </c>
    </row>
    <row r="21" ht="22.5" customHeight="1" s="595">
      <c r="B21" s="454" t="inlineStr">
        <is>
          <t>資産合計</t>
        </is>
      </c>
      <c r="C21" s="804">
        <f>C4+C11</f>
        <v>485190104</v>
      </c>
      <c r="D21" s="797" t="n"/>
      <c r="E21" s="454" t="inlineStr">
        <is>
          <t>負債・純資産合計</t>
        </is>
      </c>
      <c r="F21" s="803">
        <f>F15+F20</f>
        <v>485190104</v>
      </c>
    </row>
    <row r="22">
      <c r="C22" s="805" t="n"/>
      <c r="F22" s="805" t="n"/>
    </row>
    <row r="23">
      <c r="C23" s="805" t="n"/>
      <c r="F23" s="805">
        <f>F21=C21</f>
        <v>1</v>
      </c>
    </row>
    <row r="24">
      <c r="B24" s="600" t="inlineStr">
        <is>
          <t>参考：B/S推移（リード文・Comment用。貼付範囲外）</t>
        </is>
      </c>
      <c r="C24" s="805" t="n"/>
      <c r="F24" s="805" t="n"/>
    </row>
    <row r="25">
      <c r="B25" t="inlineStr">
        <is>
          <t>項目</t>
        </is>
      </c>
      <c r="C25" s="805" t="str">
        <f>'BS(借方)'!D4</f>
        <v>24年3月期</v>
      </c>
      <c r="D25" t="str">
        <f>'BS(借方)'!E4</f>
        <v>25年3月期</v>
      </c>
      <c r="E25" t="str">
        <f>'BS(借方)'!F4</f>
        <v>26年3月期</v>
      </c>
      <c r="F25" s="805" t="str">
        <f>'BS(借方)'!G4</f>
        <v>27年3月期
4〜9月TB</v>
      </c>
    </row>
    <row r="26">
      <c r="B26" t="inlineStr">
        <is>
          <t>現金及び預金</t>
        </is>
      </c>
      <c r="C26" s="806">
        <f>'BS(借方)'!D6</f>
        <v>339552632</v>
      </c>
      <c r="D26" s="807">
        <f>'BS(借方)'!E6</f>
        <v>259719301</v>
      </c>
      <c r="E26" s="807">
        <f>'BS(借方)'!F6</f>
        <v>210887077</v>
      </c>
      <c r="F26" s="806">
        <f>'BS(借方)'!G6</f>
        <v>393410846</v>
      </c>
    </row>
    <row r="27">
      <c r="B27" t="inlineStr">
        <is>
          <t>長期借入金</t>
        </is>
      </c>
      <c r="C27" s="806">
        <f>'BS (貸方)'!D19</f>
        <v>514690000</v>
      </c>
      <c r="D27" s="807">
        <f>'BS (貸方)'!E19</f>
        <v>434046000</v>
      </c>
      <c r="E27" s="807">
        <f>'BS (貸方)'!F19</f>
        <v>361058000</v>
      </c>
      <c r="F27" s="806">
        <f>'BS (貸方)'!G19</f>
        <v>526264000</v>
      </c>
    </row>
    <row r="28">
      <c r="B28" t="inlineStr">
        <is>
          <t>純資産</t>
        </is>
      </c>
      <c r="C28" s="806">
        <f>'BS (貸方)'!D50</f>
        <v>92828337</v>
      </c>
      <c r="D28" s="807">
        <f>'BS (貸方)'!E50</f>
        <v>93757236</v>
      </c>
      <c r="E28" s="807">
        <f>'BS (貸方)'!F50</f>
        <v>77872581</v>
      </c>
      <c r="F28" s="806">
        <f>'BS (貸方)'!G50</f>
        <v>99038488</v>
      </c>
    </row>
    <row r="29">
      <c r="B29" t="inlineStr">
        <is>
          <t>資産合計</t>
        </is>
      </c>
      <c r="C29" s="806">
        <f>'BS(借方)'!D61</f>
        <v>651947559</v>
      </c>
      <c r="D29" s="807">
        <f>'BS(借方)'!E61</f>
        <v>567528964</v>
      </c>
      <c r="E29" s="807">
        <f>'BS(借方)'!F61</f>
        <v>485190104</v>
      </c>
      <c r="F29" s="806">
        <f>'BS(借方)'!G61</f>
        <v>665564383</v>
      </c>
    </row>
    <row r="30">
      <c r="B30" t="inlineStr">
        <is>
          <t>自己資本比率</t>
        </is>
      </c>
      <c r="C30" s="808">
        <f>C28/C29</f>
        <v>0.142386202262014</v>
      </c>
      <c r="D30" s="809">
        <f>D28/D29</f>
        <v>0.165202556957075</v>
      </c>
      <c r="E30" s="809">
        <f>E28/E29</f>
        <v>0.160499112323198</v>
      </c>
      <c r="F30" s="808">
        <f>F28/F29</f>
        <v>0.148803767944415</v>
      </c>
    </row>
    <row r="31">
      <c r="B31" t="inlineStr">
        <is>
          <t>ネットデット（借入金−現預金）</t>
        </is>
      </c>
      <c r="C31" s="806">
        <f>C27-C26</f>
        <v>175137368</v>
      </c>
      <c r="D31" s="807">
        <f>D27-D26</f>
        <v>174326699</v>
      </c>
      <c r="E31" s="807">
        <f>E27-E26</f>
        <v>150170923</v>
      </c>
      <c r="F31" s="806">
        <f>F27-F26</f>
        <v>132853154</v>
      </c>
    </row>
    <row r="32">
      <c r="C32" s="805" t="n"/>
      <c r="F32" s="805" t="n"/>
    </row>
    <row r="33">
      <c r="B33" t="inlineStr">
        <is>
          <t>借入先別残高（2026/3期末）</t>
        </is>
      </c>
      <c r="C33" s="805" t="n"/>
      <c r="F33" s="805" t="n"/>
    </row>
    <row r="34">
      <c r="B34" t="inlineStr">
        <is>
          <t>鶴岡信用金庫 本店営業部</t>
        </is>
      </c>
      <c r="C34" s="810" t="n">
        <v>182840000</v>
      </c>
      <c r="F34" s="805" t="n"/>
    </row>
    <row r="35">
      <c r="B35" t="inlineStr">
        <is>
          <t>山形銀行 鶴岡支店</t>
        </is>
      </c>
      <c r="C35" s="810" t="n">
        <v>70250000</v>
      </c>
      <c r="F35" s="805" t="n"/>
    </row>
    <row r="36">
      <c r="B36" t="inlineStr">
        <is>
          <t>日本政策金融公庫 山形支店（1）</t>
        </is>
      </c>
      <c r="C36" s="810" t="n">
        <v>60730000</v>
      </c>
      <c r="F36" s="805" t="n"/>
    </row>
    <row r="37">
      <c r="B37" t="inlineStr">
        <is>
          <t>日本政策金融公庫 山形支店（2）</t>
        </is>
      </c>
      <c r="C37" s="810" t="n">
        <v>39380000</v>
      </c>
      <c r="F37" s="805" t="n"/>
    </row>
    <row r="38">
      <c r="B38" t="inlineStr">
        <is>
          <t>日本政策金融公庫 山形支店（3）</t>
        </is>
      </c>
      <c r="C38" s="810" t="n">
        <v>7858000</v>
      </c>
      <c r="F38" s="805" t="n"/>
    </row>
    <row r="39">
      <c r="B39" t="inlineStr">
        <is>
          <t>合計</t>
        </is>
      </c>
      <c r="C39">
        <f>SUM(C34:C38)</f>
        <v>361058000</v>
      </c>
      <c r="F39" s="805" t="n"/>
    </row>
    <row r="40">
      <c r="B40" t="inlineStr">
        <is>
          <t>チェック：BS長期借入金と一致</t>
        </is>
      </c>
      <c r="C40" t="b">
        <f>C39='BS (貸方)'!F19</f>
        <v>1</v>
      </c>
      <c r="F40" s="805" t="n"/>
    </row>
    <row r="41">
      <c r="F41" s="805" t="n"/>
    </row>
    <row r="42">
      <c r="B42" s="811" t="inlineStr">
        <is>
          <t>※2026年9月末は長期借入金526,264千円（3月末比＋165,206千円）、現預金393,411千円。新規借入の借入先・資金使途・条件は要確認。金利・返済条件・担保・保証も要確認。</t>
        </is>
      </c>
      <c r="F42" s="805" t="n"/>
    </row>
    <row r="43">
      <c r="F43" s="805" t="n"/>
    </row>
    <row r="44">
      <c r="F44" s="805" t="n"/>
    </row>
    <row r="45">
      <c r="F45" s="805" t="n"/>
    </row>
  </sheetData>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2" customWidth="1" style="595" min="1" max="1"/>
    <col width="29.46" customWidth="1" style="595" min="2" max="2"/>
    <col width="15.06" customWidth="1" style="595" min="3" max="3"/>
    <col width="10.26" customWidth="1" style="595" min="4" max="4"/>
    <col width="70.59999999999999" customWidth="1" style="595" min="5" max="5"/>
  </cols>
  <sheetData>
    <row r="1">
      <c r="A1" s="812" t="inlineStr">
        <is>
          <t>収益源別売上高（進行期 2026年4〜9月 試算表）</t>
        </is>
      </c>
    </row>
    <row r="2">
      <c r="A2" s="603" t="inlineStr">
        <is>
          <t>■ 貼付範囲 B4:E11 → 企業概要書「事業の仕組みと収益源」（範囲をコピーしてパワポに貼り付け。数字はここを直す）</t>
        </is>
      </c>
    </row>
    <row r="4">
      <c r="E4" s="813" t="inlineStr">
        <is>
          <t>(単位：千円)</t>
        </is>
      </c>
    </row>
    <row r="5" ht="19" customHeight="1" s="595">
      <c r="B5" s="814" t="inlineStr">
        <is>
          <t>収益区分（2026年4〜9月）</t>
        </is>
      </c>
      <c r="C5" s="814" t="inlineStr">
        <is>
          <t>金額</t>
        </is>
      </c>
      <c r="D5" s="814" t="inlineStr">
        <is>
          <t>構成比</t>
        </is>
      </c>
      <c r="E5" s="814" t="inlineStr">
        <is>
          <t>内容</t>
        </is>
      </c>
    </row>
    <row r="6" ht="21" customHeight="1" s="595">
      <c r="B6" s="815" t="inlineStr">
        <is>
          <t>商品売上高</t>
        </is>
      </c>
      <c r="C6" s="816">
        <f>PL!K5</f>
        <v>568871022</v>
      </c>
      <c r="D6" s="817">
        <f>C6/C$11</f>
        <v>0.915567758654513</v>
      </c>
      <c r="E6" s="818" t="inlineStr">
        <is>
          <t>青果物の販売（買付販売は総額、受託販売は2019年10月以降手数料のみの純額で計上）</t>
        </is>
      </c>
    </row>
    <row r="7" ht="21" customHeight="1" s="595">
      <c r="B7" s="815" t="inlineStr">
        <is>
          <t>委託手数料収入</t>
        </is>
      </c>
      <c r="C7" s="816">
        <f>PL!K9</f>
        <v>19958506</v>
      </c>
      <c r="D7" s="817">
        <f>C7/C$11</f>
        <v>0.0321221575679287</v>
      </c>
      <c r="E7" s="818" t="inlineStr">
        <is>
          <t>受託販売の手数料。生産者の商品を預かり、販売後に販売額の8.5%を収受</t>
        </is>
      </c>
    </row>
    <row r="8" ht="21" customHeight="1" s="595">
      <c r="B8" s="815" t="inlineStr">
        <is>
          <t>主婦センター費（配送受託）</t>
        </is>
      </c>
      <c r="C8" s="816">
        <f>PL!K8</f>
        <v>18416492</v>
      </c>
      <c r="D8" s="817">
        <f>C8/C$11</f>
        <v>0.0296403677646262</v>
      </c>
      <c r="E8" s="818" t="inlineStr">
        <is>
          <t>(株)主婦の店の仕入商品の配送受託。配送額の約10%を収受</t>
        </is>
      </c>
    </row>
    <row r="9" ht="21" customHeight="1" s="595">
      <c r="B9" s="815" t="inlineStr">
        <is>
          <t>資材売上高</t>
        </is>
      </c>
      <c r="C9" s="816">
        <f>PL!K6+PL!K7</f>
        <v>14843147</v>
      </c>
      <c r="D9" s="817">
        <f>C9/C$11</f>
        <v>0.02388925838126</v>
      </c>
      <c r="E9" s="818" t="inlineStr">
        <is>
          <t>包装資材の販売（自社利用分の振替を含む。肥料の取扱いはほぼなし）</t>
        </is>
      </c>
    </row>
    <row r="10" ht="21" customHeight="1" s="595">
      <c r="B10" s="815" t="inlineStr">
        <is>
          <t>売上割戻（完納奨励金）</t>
        </is>
      </c>
      <c r="C10" s="816">
        <f>PL!K10</f>
        <v>-757740</v>
      </c>
      <c r="D10" s="817">
        <f>C10/C$11</f>
        <v>-0.00121954236832768</v>
      </c>
      <c r="E10" s="818" t="inlineStr">
        <is>
          <t>期限内に代金を支払った八百屋等へ支給（市場の商慣習）</t>
        </is>
      </c>
    </row>
    <row r="11" ht="19" customHeight="1" s="595">
      <c r="B11" s="819" t="inlineStr">
        <is>
          <t>売上高 計</t>
        </is>
      </c>
      <c r="C11" s="820">
        <f>SUM(C6:C10)</f>
        <v>621331427</v>
      </c>
      <c r="D11" s="821">
        <f>C11/C$11</f>
        <v>1</v>
      </c>
      <c r="E11" s="819" t="inlineStr"/>
    </row>
    <row r="13">
      <c r="B13" t="inlineStr">
        <is>
          <t>チェック：PL売上高と一致</t>
        </is>
      </c>
      <c r="C13" t="b">
        <f>C11=PL!K11</f>
        <v>1</v>
      </c>
    </row>
    <row r="15">
      <c r="B15" t="inlineStr">
        <is>
          <t>参考（貼付範囲外）</t>
        </is>
      </c>
    </row>
    <row r="16">
      <c r="B16" t="inlineStr">
        <is>
          <t>受託手数料率（第2回面談）</t>
        </is>
      </c>
      <c r="C16" t="n">
        <v>0.08500000000000001</v>
      </c>
    </row>
    <row r="17">
      <c r="B17" t="inlineStr">
        <is>
          <t>受託販売の取扱高（推計：手数料÷率、6か月）</t>
        </is>
      </c>
      <c r="C17" s="822">
        <f>C7/C16</f>
        <v>234805952.941176</v>
      </c>
    </row>
    <row r="18">
      <c r="B18" t="inlineStr">
        <is>
          <t>うち資材売上（自社利用分の振替）</t>
        </is>
      </c>
      <c r="C18" s="822">
        <f>PL!K7</f>
        <v>9473775</v>
      </c>
    </row>
    <row r="20">
      <c r="B20" t="inlineStr">
        <is>
          <t>※決算書では売上高を「商品売上高」1本で表示しているため、収益源別の内訳は試算表（2026年4〜9月）で代替。資材売上（自社）は同額を資材仕入（自社）に計上（振替）。</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80"/>
  <sheetViews>
    <sheetView showGridLines="0" workbookViewId="0">
      <selection activeCell="A1" sqref="A1"/>
    </sheetView>
  </sheetViews>
  <sheetFormatPr baseColWidth="8" defaultRowHeight="15"/>
  <cols>
    <col width="2" customWidth="1" style="595" min="1" max="1"/>
    <col width="10.26" customWidth="1" style="595" min="2" max="2"/>
    <col width="19.17" customWidth="1" style="595" min="3" max="3"/>
    <col width="12.31" customWidth="1" style="595" min="4" max="4"/>
    <col width="7.79" customWidth="1" style="595" min="5" max="5"/>
    <col width="12.31" customWidth="1" style="595" min="6" max="6"/>
    <col width="7.79" customWidth="1" style="595" min="7" max="7"/>
    <col width="12.31" customWidth="1" style="595" min="8" max="8"/>
    <col width="7.79" customWidth="1" style="595" min="9" max="9"/>
    <col width="32.2" customWidth="1" style="595" min="10" max="10"/>
  </cols>
  <sheetData>
    <row r="1">
      <c r="A1" s="812" t="inlineStr">
        <is>
          <t>品目別（大分類）売上高の3期推移（分類別商品売上実績表）</t>
        </is>
      </c>
    </row>
    <row r="2">
      <c r="A2" s="603" t="inlineStr">
        <is>
          <t>■ 貼付範囲 B4:J23 → 企業概要書「品目別売上高の3期推移」（範囲をコピーしてパワポに貼り付け。数字はここを直す）</t>
        </is>
      </c>
    </row>
    <row r="4">
      <c r="J4" s="813" t="inlineStr">
        <is>
          <t>(単位：千円)</t>
        </is>
      </c>
    </row>
    <row r="5" ht="17" customHeight="1" s="595">
      <c r="B5" s="814" t="inlineStr">
        <is>
          <t>区分</t>
        </is>
      </c>
      <c r="C5" s="814" t="inlineStr">
        <is>
          <t>品目（大分類）</t>
        </is>
      </c>
      <c r="D5" s="814" t="str">
        <f>'BS(借方)'!D4</f>
        <v>24年3月期</v>
      </c>
      <c r="E5" s="823" t="n"/>
      <c r="F5" s="814" t="str">
        <f>'BS(借方)'!E4</f>
        <v>25年3月期</v>
      </c>
      <c r="G5" s="823" t="n"/>
      <c r="H5" s="814" t="str">
        <f>'BS(借方)'!F4</f>
        <v>26年3月期</v>
      </c>
      <c r="I5" s="823" t="n"/>
      <c r="J5" s="814" t="inlineStr">
        <is>
          <t>主な品目（2026/3期の上位）</t>
        </is>
      </c>
    </row>
    <row r="6" ht="15" customHeight="1" s="595">
      <c r="B6" s="824" t="n"/>
      <c r="C6" s="824" t="n"/>
      <c r="D6" s="814" t="inlineStr">
        <is>
          <t>売上高</t>
        </is>
      </c>
      <c r="E6" s="814" t="inlineStr">
        <is>
          <t>構成比</t>
        </is>
      </c>
      <c r="F6" s="814" t="inlineStr">
        <is>
          <t>売上高</t>
        </is>
      </c>
      <c r="G6" s="814" t="inlineStr">
        <is>
          <t>構成比</t>
        </is>
      </c>
      <c r="H6" s="814" t="inlineStr">
        <is>
          <t>売上高</t>
        </is>
      </c>
      <c r="I6" s="814" t="inlineStr">
        <is>
          <t>構成比</t>
        </is>
      </c>
      <c r="J6" s="824" t="n"/>
    </row>
    <row r="7" ht="17" customHeight="1" s="595">
      <c r="B7" s="815" t="inlineStr">
        <is>
          <t>野菜</t>
        </is>
      </c>
      <c r="C7" s="825" t="inlineStr">
        <is>
          <t>葉茎菜類</t>
        </is>
      </c>
      <c r="D7" s="816">
        <f>SUMIF($D$41:$D$80,$C7,E$41:E$80)</f>
        <v>205855717</v>
      </c>
      <c r="E7" s="826">
        <f>D7/D$23</f>
        <v>0.158655514897703</v>
      </c>
      <c r="F7" s="816">
        <f>SUMIF($D$41:$D$80,$C7,F$41:F$80)</f>
        <v>244724364</v>
      </c>
      <c r="G7" s="826">
        <f>F7/F$23</f>
        <v>0.188869838790435</v>
      </c>
      <c r="H7" s="816">
        <f>SUMIF($D$41:$D$80,$C7,G$41:G$80)</f>
        <v>191041215</v>
      </c>
      <c r="I7" s="826">
        <f>H7/H$23</f>
        <v>0.147644669568022</v>
      </c>
      <c r="J7" s="827" t="inlineStr">
        <is>
          <t>ねぎ・ほうれん草・小松菜</t>
        </is>
      </c>
    </row>
    <row r="8" ht="17" customHeight="1" s="595">
      <c r="B8" s="828" t="n"/>
      <c r="C8" s="825" t="inlineStr">
        <is>
          <t>果菜類</t>
        </is>
      </c>
      <c r="D8" s="816">
        <f>SUMIF($D$41:$D$80,$C8,E$41:E$80)</f>
        <v>142773955</v>
      </c>
      <c r="E8" s="826">
        <f>D8/D$23</f>
        <v>0.11003763060176</v>
      </c>
      <c r="F8" s="816">
        <f>SUMIF($D$41:$D$80,$C8,F$41:F$80)</f>
        <v>149190942</v>
      </c>
      <c r="G8" s="826">
        <f>F8/F$23</f>
        <v>0.115140432705479</v>
      </c>
      <c r="H8" s="816">
        <f>SUMIF($D$41:$D$80,$C8,G$41:G$80)</f>
        <v>169568777</v>
      </c>
      <c r="I8" s="826">
        <f>H8/H$23</f>
        <v>0.131049868214137</v>
      </c>
      <c r="J8" s="827" t="inlineStr">
        <is>
          <t>ミニトマト・胡瓜・なす</t>
        </is>
      </c>
    </row>
    <row r="9" ht="17" customHeight="1" s="595">
      <c r="B9" s="828" t="n"/>
      <c r="C9" s="825" t="inlineStr">
        <is>
          <t>土物類</t>
        </is>
      </c>
      <c r="D9" s="816">
        <f>SUMIF($D$41:$D$80,$C9,E$41:E$80)</f>
        <v>123756902</v>
      </c>
      <c r="E9" s="826">
        <f>D9/D$23</f>
        <v>0.0953809556280363</v>
      </c>
      <c r="F9" s="816">
        <f>SUMIF($D$41:$D$80,$C9,F$41:F$80)</f>
        <v>98683827</v>
      </c>
      <c r="G9" s="826">
        <f>F9/F$23</f>
        <v>0.0761607802021429</v>
      </c>
      <c r="H9" s="816">
        <f>SUMIF($D$41:$D$80,$C9,G$41:G$80)</f>
        <v>107261078</v>
      </c>
      <c r="I9" s="826">
        <f>H9/H$23</f>
        <v>0.0828958631718281</v>
      </c>
      <c r="J9" s="827" t="inlineStr">
        <is>
          <t>たまねぎ・馬鈴薯・さつま芋</t>
        </is>
      </c>
    </row>
    <row r="10" ht="17" customHeight="1" s="595">
      <c r="B10" s="828" t="n"/>
      <c r="C10" s="825" t="inlineStr">
        <is>
          <t>きのこ・山菜類</t>
        </is>
      </c>
      <c r="D10" s="816">
        <f>SUMIF($D$41:$D$80,$C10,E$41:E$80)</f>
        <v>126642640</v>
      </c>
      <c r="E10" s="826">
        <f>D10/D$23</f>
        <v>0.0976050291438079</v>
      </c>
      <c r="F10" s="816">
        <f>SUMIF($D$41:$D$80,$C10,F$41:F$80)</f>
        <v>120957714</v>
      </c>
      <c r="G10" s="826">
        <f>F10/F$23</f>
        <v>0.0933509993456948</v>
      </c>
      <c r="H10" s="816">
        <f>SUMIF($D$41:$D$80,$C10,G$41:G$80)</f>
        <v>104553005</v>
      </c>
      <c r="I10" s="826">
        <f>H10/H$23</f>
        <v>0.080802950690869</v>
      </c>
      <c r="J10" s="827" t="inlineStr">
        <is>
          <t>生しいたけ・なめこ・わらび</t>
        </is>
      </c>
    </row>
    <row r="11" ht="17" customHeight="1" s="595">
      <c r="B11" s="828" t="n"/>
      <c r="C11" s="825" t="inlineStr">
        <is>
          <t>豆類</t>
        </is>
      </c>
      <c r="D11" s="816">
        <f>SUMIF($D$41:$D$80,$C11,E$41:E$80)</f>
        <v>66319879</v>
      </c>
      <c r="E11" s="826">
        <f>D11/D$23</f>
        <v>0.0511135406100885</v>
      </c>
      <c r="F11" s="816">
        <f>SUMIF($D$41:$D$80,$C11,F$41:F$80)</f>
        <v>71834020</v>
      </c>
      <c r="G11" s="826">
        <f>F11/F$23</f>
        <v>0.0554390235418853</v>
      </c>
      <c r="H11" s="816">
        <f>SUMIF($D$41:$D$80,$C11,G$41:G$80)</f>
        <v>68916868</v>
      </c>
      <c r="I11" s="826">
        <f>H11/H$23</f>
        <v>0.0532618482536502</v>
      </c>
      <c r="J11" s="827" t="inlineStr">
        <is>
          <t>だだちゃ豆・枝豆・いんげん</t>
        </is>
      </c>
    </row>
    <row r="12" ht="17" customHeight="1" s="595">
      <c r="B12" s="828" t="n"/>
      <c r="C12" s="825" t="inlineStr">
        <is>
          <t>根菜類</t>
        </is>
      </c>
      <c r="D12" s="816">
        <f>SUMIF($D$41:$D$80,$C12,E$41:E$80)</f>
        <v>69221830</v>
      </c>
      <c r="E12" s="826">
        <f>D12/D$23</f>
        <v>0.053350109682945</v>
      </c>
      <c r="F12" s="816">
        <f>SUMIF($D$41:$D$80,$C12,F$41:F$80)</f>
        <v>64047429</v>
      </c>
      <c r="G12" s="826">
        <f>F12/F$23</f>
        <v>0.0494296006840245</v>
      </c>
      <c r="H12" s="816">
        <f>SUMIF($D$41:$D$80,$C12,G$41:G$80)</f>
        <v>61837567</v>
      </c>
      <c r="I12" s="826">
        <f>H12/H$23</f>
        <v>0.047790667299752</v>
      </c>
      <c r="J12" s="827" t="inlineStr">
        <is>
          <t>人参・たけのこ・ごぼう</t>
        </is>
      </c>
    </row>
    <row r="13" ht="17" customHeight="1" s="595">
      <c r="B13" s="824" t="n"/>
      <c r="C13" s="825" t="inlineStr">
        <is>
          <t>その他野菜</t>
        </is>
      </c>
      <c r="D13" s="816">
        <f>SUMIF($D$41:$D$80,$C13,E$41:E$80)</f>
        <v>37249573</v>
      </c>
      <c r="E13" s="826">
        <f>D13/D$23</f>
        <v>0.0287087007840282</v>
      </c>
      <c r="F13" s="816">
        <f>SUMIF($D$41:$D$80,$C13,F$41:F$80)</f>
        <v>31133046</v>
      </c>
      <c r="G13" s="826">
        <f>F13/F$23</f>
        <v>0.024027413057554</v>
      </c>
      <c r="H13" s="816">
        <f>SUMIF($D$41:$D$80,$C13,G$41:G$80)</f>
        <v>29731575</v>
      </c>
      <c r="I13" s="826">
        <f>H13/H$23</f>
        <v>0.0229778090901058</v>
      </c>
      <c r="J13" s="827" t="inlineStr">
        <is>
          <t>しょうが・みょうが・食用菊</t>
        </is>
      </c>
    </row>
    <row r="14" ht="17" customHeight="1" s="595">
      <c r="B14" s="815" t="inlineStr">
        <is>
          <t>果実</t>
        </is>
      </c>
      <c r="C14" s="825" t="inlineStr">
        <is>
          <t>メロン類</t>
        </is>
      </c>
      <c r="D14" s="816">
        <f>SUMIF($D$41:$D$80,$C14,E$41:E$80)</f>
        <v>131781474</v>
      </c>
      <c r="E14" s="826">
        <f>D14/D$23</f>
        <v>0.101565591260447</v>
      </c>
      <c r="F14" s="816">
        <f>SUMIF($D$41:$D$80,$C14,F$41:F$80)</f>
        <v>133033396</v>
      </c>
      <c r="G14" s="826">
        <f>F14/F$23</f>
        <v>0.10267059497298</v>
      </c>
      <c r="H14" s="816">
        <f>SUMIF($D$41:$D$80,$C14,G$41:G$80)</f>
        <v>124869563</v>
      </c>
      <c r="I14" s="826">
        <f>H14/H$23</f>
        <v>0.096504439464742</v>
      </c>
      <c r="J14" s="827" t="inlineStr">
        <is>
          <t>アンデスメロン・赤アンデス</t>
        </is>
      </c>
    </row>
    <row r="15" ht="17" customHeight="1" s="595">
      <c r="B15" s="828" t="n"/>
      <c r="C15" s="825" t="inlineStr">
        <is>
          <t>かき類</t>
        </is>
      </c>
      <c r="D15" s="816">
        <f>SUMIF($D$41:$D$80,$C15,E$41:E$80)</f>
        <v>66975500</v>
      </c>
      <c r="E15" s="826">
        <f>D15/D$23</f>
        <v>0.0516188357209002</v>
      </c>
      <c r="F15" s="816">
        <f>SUMIF($D$41:$D$80,$C15,F$41:F$80)</f>
        <v>75493695</v>
      </c>
      <c r="G15" s="826">
        <f>F15/F$23</f>
        <v>0.0582634347119778</v>
      </c>
      <c r="H15" s="816">
        <f>SUMIF($D$41:$D$80,$C15,G$41:G$80)</f>
        <v>70713359</v>
      </c>
      <c r="I15" s="826">
        <f>H15/H$23</f>
        <v>0.0546502519029723</v>
      </c>
      <c r="J15" s="827" t="inlineStr">
        <is>
          <t>庄内柿</t>
        </is>
      </c>
    </row>
    <row r="16" ht="17" customHeight="1" s="595">
      <c r="B16" s="828" t="n"/>
      <c r="C16" s="825" t="inlineStr">
        <is>
          <t>なし類</t>
        </is>
      </c>
      <c r="D16" s="816">
        <f>SUMIF($D$41:$D$80,$C16,E$41:E$80)</f>
        <v>39028490</v>
      </c>
      <c r="E16" s="826">
        <f>D16/D$23</f>
        <v>0.030079733839162</v>
      </c>
      <c r="F16" s="816">
        <f>SUMIF($D$41:$D$80,$C16,F$41:F$80)</f>
        <v>47751880</v>
      </c>
      <c r="G16" s="826">
        <f>F16/F$23</f>
        <v>0.0368532569872782</v>
      </c>
      <c r="H16" s="816">
        <f>SUMIF($D$41:$D$80,$C16,G$41:G$80)</f>
        <v>46850405</v>
      </c>
      <c r="I16" s="826">
        <f>H16/H$23</f>
        <v>0.0362079594466199</v>
      </c>
      <c r="J16" s="827" t="inlineStr">
        <is>
          <t>幸水・豊水・ラ・フランス</t>
        </is>
      </c>
    </row>
    <row r="17" ht="17" customHeight="1" s="595">
      <c r="B17" s="828" t="n"/>
      <c r="C17" s="825" t="inlineStr">
        <is>
          <t>柑橘類</t>
        </is>
      </c>
      <c r="D17" s="816">
        <f>SUMIF($D$41:$D$80,$C17,E$41:E$80)</f>
        <v>73930160</v>
      </c>
      <c r="E17" s="826">
        <f>D17/D$23</f>
        <v>0.0569788771096874</v>
      </c>
      <c r="F17" s="816">
        <f>SUMIF($D$41:$D$80,$C17,F$41:F$80)</f>
        <v>67851628</v>
      </c>
      <c r="G17" s="826">
        <f>F17/F$23</f>
        <v>0.0523655505016599</v>
      </c>
      <c r="H17" s="816">
        <f>SUMIF($D$41:$D$80,$C17,G$41:G$80)</f>
        <v>58030974</v>
      </c>
      <c r="I17" s="826">
        <f>H17/H$23</f>
        <v>0.0448487724543652</v>
      </c>
      <c r="J17" s="827" t="inlineStr">
        <is>
          <t>みかん・ネーブル・デコポン</t>
        </is>
      </c>
    </row>
    <row r="18" ht="17" customHeight="1" s="595">
      <c r="B18" s="828" t="n"/>
      <c r="C18" s="825" t="inlineStr">
        <is>
          <t>キウイ・バナナ等</t>
        </is>
      </c>
      <c r="D18" s="816">
        <f>SUMIF($D$41:$D$80,$C18,E$41:E$80)</f>
        <v>28001904</v>
      </c>
      <c r="E18" s="826">
        <f>D18/D$23</f>
        <v>0.0215814093578759</v>
      </c>
      <c r="F18" s="816">
        <f>SUMIF($D$41:$D$80,$C18,F$41:F$80)</f>
        <v>21419619</v>
      </c>
      <c r="G18" s="826">
        <f>F18/F$23</f>
        <v>0.0165309245118011</v>
      </c>
      <c r="H18" s="816">
        <f>SUMIF($D$41:$D$80,$C18,G$41:G$80)</f>
        <v>38747104</v>
      </c>
      <c r="I18" s="826">
        <f>H18/H$23</f>
        <v>0.0299453883121386</v>
      </c>
      <c r="J18" s="827" t="inlineStr">
        <is>
          <t>キウイ・バナナ・アボカド</t>
        </is>
      </c>
    </row>
    <row r="19" ht="17" customHeight="1" s="595">
      <c r="B19" s="828" t="n"/>
      <c r="C19" s="825" t="inlineStr">
        <is>
          <t>りんご類</t>
        </is>
      </c>
      <c r="D19" s="816">
        <f>SUMIF($D$41:$D$80,$C19,E$41:E$80)</f>
        <v>16736308</v>
      </c>
      <c r="E19" s="826">
        <f>D19/D$23</f>
        <v>0.0128988769509207</v>
      </c>
      <c r="F19" s="816">
        <f>SUMIF($D$41:$D$80,$C19,F$41:F$80)</f>
        <v>15460842</v>
      </c>
      <c r="G19" s="826">
        <f>F19/F$23</f>
        <v>0.0119321455713514</v>
      </c>
      <c r="H19" s="816">
        <f>SUMIF($D$41:$D$80,$C19,G$41:G$80)</f>
        <v>33823571</v>
      </c>
      <c r="I19" s="826">
        <f>H19/H$23</f>
        <v>0.0261402753531772</v>
      </c>
      <c r="J19" s="827" t="inlineStr">
        <is>
          <t>ふじ・つがる</t>
        </is>
      </c>
    </row>
    <row r="20" ht="17" customHeight="1" s="595">
      <c r="B20" s="824" t="n"/>
      <c r="C20" s="825" t="inlineStr">
        <is>
          <t>その他果実</t>
        </is>
      </c>
      <c r="D20" s="816">
        <f>SUMIF($D$41:$D$80,$C20,E$41:E$80)</f>
        <v>85752205</v>
      </c>
      <c r="E20" s="826">
        <f>D20/D$23</f>
        <v>0.0660902715560161</v>
      </c>
      <c r="F20" s="816">
        <f>SUMIF($D$41:$D$80,$C20,F$41:F$80)</f>
        <v>74249505</v>
      </c>
      <c r="G20" s="826">
        <f>F20/F$23</f>
        <v>0.0573032117048208</v>
      </c>
      <c r="H20" s="816">
        <f>SUMIF($D$41:$D$80,$C20,G$41:G$80)</f>
        <v>109542486</v>
      </c>
      <c r="I20" s="826">
        <f>H20/H$23</f>
        <v>0.0846590310322808</v>
      </c>
      <c r="J20" s="827" t="inlineStr">
        <is>
          <t>いちご・すいか・桃・さくらんぼ</t>
        </is>
      </c>
    </row>
    <row r="21" ht="17" customHeight="1" s="595">
      <c r="B21" s="815" t="inlineStr">
        <is>
          <t>花き</t>
        </is>
      </c>
      <c r="C21" s="825" t="inlineStr">
        <is>
          <t>花き類</t>
        </is>
      </c>
      <c r="D21" s="816">
        <f>SUMIF($D$41:$D$80,$C21,E$41:E$80)</f>
        <v>33554857</v>
      </c>
      <c r="E21" s="826">
        <f>D21/D$23</f>
        <v>0.0258611380448268</v>
      </c>
      <c r="F21" s="816">
        <f>SUMIF($D$41:$D$80,$C21,F$41:F$80)</f>
        <v>31787520</v>
      </c>
      <c r="G21" s="826">
        <f>F21/F$23</f>
        <v>0.0245325135585917</v>
      </c>
      <c r="H21" s="816">
        <f>SUMIF($D$41:$D$80,$C21,G$41:G$80)</f>
        <v>31116284</v>
      </c>
      <c r="I21" s="826">
        <f>H21/H$23</f>
        <v>0.0240479703260091</v>
      </c>
      <c r="J21" s="827" t="inlineStr">
        <is>
          <t>生花（花束等）</t>
        </is>
      </c>
    </row>
    <row r="22" ht="17" customHeight="1" s="595">
      <c r="B22" s="815" t="inlineStr">
        <is>
          <t>加工品</t>
        </is>
      </c>
      <c r="C22" s="825" t="inlineStr">
        <is>
          <t>加工品・その他</t>
        </is>
      </c>
      <c r="D22" s="816">
        <f>SUMIF($D$41:$D$80,$C22,E$41:E$80)</f>
        <v>49919781</v>
      </c>
      <c r="E22" s="826">
        <f>D22/D$23</f>
        <v>0.0384737848117941</v>
      </c>
      <c r="F22" s="816">
        <f>SUMIF($D$41:$D$80,$C22,F$41:F$80)</f>
        <v>48110826</v>
      </c>
      <c r="G22" s="826">
        <f>F22/F$23</f>
        <v>0.0371302791523229</v>
      </c>
      <c r="H22" s="816">
        <f>SUMIF($D$41:$D$80,$C22,G$41:G$80)</f>
        <v>47321751</v>
      </c>
      <c r="I22" s="826">
        <f>H22/H$23</f>
        <v>0.0365722354193319</v>
      </c>
      <c r="J22" s="827" t="inlineStr">
        <is>
          <t>もやし・干物・漬物等</t>
        </is>
      </c>
    </row>
    <row r="23" ht="19" customHeight="1" s="595">
      <c r="B23" s="819" t="inlineStr">
        <is>
          <t>合計</t>
        </is>
      </c>
      <c r="C23" s="823" t="n"/>
      <c r="D23" s="820">
        <f>SUM(D7:D22)</f>
        <v>1297501175</v>
      </c>
      <c r="E23" s="821">
        <f>D23/D$23</f>
        <v>1</v>
      </c>
      <c r="F23" s="820">
        <f>SUM(F7:F22)</f>
        <v>1295730253</v>
      </c>
      <c r="G23" s="821">
        <f>F23/F$23</f>
        <v>1</v>
      </c>
      <c r="H23" s="820">
        <f>SUM(H7:H22)</f>
        <v>1293925582</v>
      </c>
      <c r="I23" s="821">
        <f>H23/H$23</f>
        <v>1</v>
      </c>
      <c r="J23" s="819" t="inlineStr"/>
    </row>
    <row r="25">
      <c r="B25" t="inlineStr">
        <is>
          <t>野菜 計</t>
        </is>
      </c>
      <c r="D25" s="822">
        <f>SUM(D7:D13)</f>
        <v>771820496</v>
      </c>
      <c r="F25" s="822">
        <f>SUM(F7:F13)</f>
        <v>780571342</v>
      </c>
      <c r="H25" s="822">
        <f>SUM(H7:H13)</f>
        <v>732910085</v>
      </c>
    </row>
    <row r="26">
      <c r="B26" t="inlineStr">
        <is>
          <t>果実 計</t>
        </is>
      </c>
      <c r="D26" s="822">
        <f>SUM(D14:D20)</f>
        <v>442206041</v>
      </c>
      <c r="F26" s="822">
        <f>SUM(F14:F20)</f>
        <v>435260565</v>
      </c>
      <c r="H26" s="822">
        <f>SUM(H14:H20)</f>
        <v>482577462</v>
      </c>
    </row>
    <row r="27">
      <c r="B27" t="inlineStr">
        <is>
          <t>県内／県外（2026/3期、売上金額）</t>
        </is>
      </c>
      <c r="D27" s="822" t="n">
        <v>829653005</v>
      </c>
      <c r="F27" s="822" t="n">
        <v>464272577</v>
      </c>
    </row>
    <row r="28">
      <c r="B28" t="inlineStr">
        <is>
          <t>チェック：生データ合計と一致</t>
        </is>
      </c>
      <c r="D28" t="b">
        <f>ROUND(D23-SUM(E41:E80),0)=0</f>
        <v>1</v>
      </c>
    </row>
    <row r="30">
      <c r="B30" t="inlineStr">
        <is>
          <t>※出所：分類別商品売上実績表（販売管理システム、各期3月末現在の年間累計）。決算書の商品売上高とは集計範囲が異なる（受託販売分を販売額の総額で集計していると推察：要確認）。</t>
        </is>
      </c>
    </row>
    <row r="31">
      <c r="B31" t="inlineStr">
        <is>
          <t>※「県内／県外」の区分が産地か販売先かは要確認。</t>
        </is>
      </c>
    </row>
    <row r="39">
      <c r="B39" s="829" t="inlineStr">
        <is>
          <t>大分類別の生データ（分類別商品売上実績表の「大分類計」当年欄の合計売上金額）</t>
        </is>
      </c>
    </row>
    <row r="40">
      <c r="B40" s="829" t="inlineStr">
        <is>
          <t>大分類</t>
        </is>
      </c>
      <c r="C40" s="829" t="inlineStr">
        <is>
          <t>名称</t>
        </is>
      </c>
      <c r="D40" s="829" t="inlineStr">
        <is>
          <t>集計区分</t>
        </is>
      </c>
      <c r="E40" s="829" t="inlineStr">
        <is>
          <t>2024/3期</t>
        </is>
      </c>
      <c r="F40" s="829" t="inlineStr">
        <is>
          <t>2025/3期</t>
        </is>
      </c>
      <c r="G40" s="829" t="inlineStr">
        <is>
          <t>2026/3期</t>
        </is>
      </c>
    </row>
    <row r="41">
      <c r="B41" t="inlineStr">
        <is>
          <t>301</t>
        </is>
      </c>
      <c r="C41" t="inlineStr">
        <is>
          <t>根菜類</t>
        </is>
      </c>
      <c r="D41" t="inlineStr">
        <is>
          <t>根菜類</t>
        </is>
      </c>
      <c r="E41" s="822" t="n">
        <v>69221830</v>
      </c>
      <c r="F41" s="822" t="n">
        <v>64047429</v>
      </c>
      <c r="G41" s="822" t="n">
        <v>61837567</v>
      </c>
    </row>
    <row r="42">
      <c r="B42" t="inlineStr">
        <is>
          <t>311</t>
        </is>
      </c>
      <c r="C42" t="inlineStr">
        <is>
          <t>葉茎菜類</t>
        </is>
      </c>
      <c r="D42" t="inlineStr">
        <is>
          <t>葉茎菜類</t>
        </is>
      </c>
      <c r="E42" s="822" t="n">
        <v>205855717</v>
      </c>
      <c r="F42" s="822" t="n">
        <v>244724364</v>
      </c>
      <c r="G42" s="822" t="n">
        <v>191041215</v>
      </c>
    </row>
    <row r="43">
      <c r="B43" t="inlineStr">
        <is>
          <t>341</t>
        </is>
      </c>
      <c r="C43" t="inlineStr">
        <is>
          <t>果菜類</t>
        </is>
      </c>
      <c r="D43" t="inlineStr">
        <is>
          <t>果菜類</t>
        </is>
      </c>
      <c r="E43" s="822" t="n">
        <v>142773955</v>
      </c>
      <c r="F43" s="822" t="n">
        <v>149190942</v>
      </c>
      <c r="G43" s="822" t="n">
        <v>169568777</v>
      </c>
    </row>
    <row r="44">
      <c r="B44" t="inlineStr">
        <is>
          <t>351</t>
        </is>
      </c>
      <c r="C44" t="inlineStr">
        <is>
          <t>豆科野菜</t>
        </is>
      </c>
      <c r="D44" t="inlineStr">
        <is>
          <t>豆類</t>
        </is>
      </c>
      <c r="E44" s="822" t="n">
        <v>66319879</v>
      </c>
      <c r="F44" s="822" t="n">
        <v>71834020</v>
      </c>
      <c r="G44" s="822" t="n">
        <v>68916868</v>
      </c>
    </row>
    <row r="45">
      <c r="B45" t="inlineStr">
        <is>
          <t>361</t>
        </is>
      </c>
      <c r="C45" t="inlineStr">
        <is>
          <t>土物類</t>
        </is>
      </c>
      <c r="D45" t="inlineStr">
        <is>
          <t>土物類</t>
        </is>
      </c>
      <c r="E45" s="822" t="n">
        <v>123756902</v>
      </c>
      <c r="F45" s="822" t="n">
        <v>98683827</v>
      </c>
      <c r="G45" s="822" t="n">
        <v>107261078</v>
      </c>
    </row>
    <row r="46">
      <c r="B46" t="inlineStr">
        <is>
          <t>371</t>
        </is>
      </c>
      <c r="C46" t="inlineStr">
        <is>
          <t>香辛野菜・つまもの野菜</t>
        </is>
      </c>
      <c r="D46" t="inlineStr">
        <is>
          <t>その他野菜</t>
        </is>
      </c>
      <c r="E46" s="822" t="n">
        <v>25680755</v>
      </c>
      <c r="F46" s="822" t="n">
        <v>22726731</v>
      </c>
      <c r="G46" s="822" t="n">
        <v>19822942</v>
      </c>
    </row>
    <row r="47">
      <c r="B47" t="inlineStr">
        <is>
          <t>381</t>
        </is>
      </c>
      <c r="C47" t="inlineStr">
        <is>
          <t>きのこ及び山菜類</t>
        </is>
      </c>
      <c r="D47" t="inlineStr">
        <is>
          <t>きのこ・山菜類</t>
        </is>
      </c>
      <c r="E47" s="822" t="n">
        <v>126642640</v>
      </c>
      <c r="F47" s="822" t="n">
        <v>120957714</v>
      </c>
      <c r="G47" s="822" t="n">
        <v>104553005</v>
      </c>
    </row>
    <row r="48">
      <c r="B48" t="inlineStr">
        <is>
          <t>391</t>
        </is>
      </c>
      <c r="C48" t="inlineStr">
        <is>
          <t>その他の野菜</t>
        </is>
      </c>
      <c r="D48" t="inlineStr">
        <is>
          <t>その他野菜</t>
        </is>
      </c>
      <c r="E48" s="822" t="n">
        <v>4940502</v>
      </c>
      <c r="F48" s="822" t="n">
        <v>4055762</v>
      </c>
      <c r="G48" s="822" t="n">
        <v>4969934</v>
      </c>
    </row>
    <row r="49">
      <c r="B49" t="inlineStr">
        <is>
          <t>398</t>
        </is>
      </c>
      <c r="C49" t="inlineStr">
        <is>
          <t>規則で定める取扱品目</t>
        </is>
      </c>
      <c r="D49" t="inlineStr">
        <is>
          <t>その他野菜</t>
        </is>
      </c>
      <c r="E49" s="822" t="n">
        <v>2186664</v>
      </c>
      <c r="F49" s="822" t="n">
        <v>2787308</v>
      </c>
      <c r="G49" s="822" t="n">
        <v>2888699</v>
      </c>
    </row>
    <row r="50">
      <c r="B50" t="inlineStr">
        <is>
          <t>401</t>
        </is>
      </c>
      <c r="C50" t="inlineStr">
        <is>
          <t>温州みかん類</t>
        </is>
      </c>
      <c r="D50" t="inlineStr">
        <is>
          <t>柑橘類</t>
        </is>
      </c>
      <c r="E50" s="822" t="n">
        <v>44364583</v>
      </c>
      <c r="F50" s="822" t="n">
        <v>39596229</v>
      </c>
      <c r="G50" s="822" t="n">
        <v>30751161</v>
      </c>
    </row>
    <row r="51">
      <c r="B51" t="inlineStr">
        <is>
          <t>411</t>
        </is>
      </c>
      <c r="C51" t="inlineStr">
        <is>
          <t>中晩生柑橘類</t>
        </is>
      </c>
      <c r="D51" t="inlineStr">
        <is>
          <t>柑橘類</t>
        </is>
      </c>
      <c r="E51" s="822" t="n">
        <v>29565577</v>
      </c>
      <c r="F51" s="822" t="n">
        <v>28255399</v>
      </c>
      <c r="G51" s="822" t="n">
        <v>27279813</v>
      </c>
    </row>
    <row r="52">
      <c r="B52" t="inlineStr">
        <is>
          <t>420</t>
        </is>
      </c>
      <c r="C52" t="inlineStr">
        <is>
          <t>りんご類</t>
        </is>
      </c>
      <c r="D52" t="inlineStr">
        <is>
          <t>りんご類</t>
        </is>
      </c>
      <c r="E52" s="822" t="n">
        <v>16736308</v>
      </c>
      <c r="F52" s="822" t="n">
        <v>15460842</v>
      </c>
      <c r="G52" s="822" t="n">
        <v>33823571</v>
      </c>
    </row>
    <row r="53">
      <c r="B53" t="inlineStr">
        <is>
          <t>430</t>
        </is>
      </c>
      <c r="C53" t="inlineStr">
        <is>
          <t>なし類</t>
        </is>
      </c>
      <c r="D53" t="inlineStr">
        <is>
          <t>なし類</t>
        </is>
      </c>
      <c r="E53" s="822" t="n">
        <v>39028490</v>
      </c>
      <c r="F53" s="822" t="n">
        <v>47751880</v>
      </c>
      <c r="G53" s="822" t="n">
        <v>46850405</v>
      </c>
    </row>
    <row r="54">
      <c r="B54" t="inlineStr">
        <is>
          <t>435</t>
        </is>
      </c>
      <c r="C54" t="inlineStr">
        <is>
          <t>かき類</t>
        </is>
      </c>
      <c r="D54" t="inlineStr">
        <is>
          <t>かき類</t>
        </is>
      </c>
      <c r="E54" s="822" t="n">
        <v>66975500</v>
      </c>
      <c r="F54" s="822" t="n">
        <v>75493695</v>
      </c>
      <c r="G54" s="822" t="n">
        <v>70713359</v>
      </c>
    </row>
    <row r="55">
      <c r="B55" t="inlineStr">
        <is>
          <t>439</t>
        </is>
      </c>
      <c r="C55" t="inlineStr">
        <is>
          <t>びわ</t>
        </is>
      </c>
      <c r="D55" t="inlineStr">
        <is>
          <t>その他果実</t>
        </is>
      </c>
      <c r="E55" s="822" t="n">
        <v>87550</v>
      </c>
      <c r="F55" s="822" t="n">
        <v>11200</v>
      </c>
      <c r="G55" s="822" t="n">
        <v>44360</v>
      </c>
    </row>
    <row r="56">
      <c r="B56" t="inlineStr">
        <is>
          <t>440</t>
        </is>
      </c>
      <c r="C56" t="inlineStr">
        <is>
          <t>桃類</t>
        </is>
      </c>
      <c r="D56" t="inlineStr">
        <is>
          <t>その他果実</t>
        </is>
      </c>
      <c r="E56" s="822" t="n">
        <v>10957389</v>
      </c>
      <c r="F56" s="822" t="n">
        <v>13452054</v>
      </c>
      <c r="G56" s="822" t="n">
        <v>16306595</v>
      </c>
    </row>
    <row r="57">
      <c r="B57" t="inlineStr">
        <is>
          <t>444</t>
        </is>
      </c>
      <c r="C57" t="inlineStr">
        <is>
          <t>ネクタリン</t>
        </is>
      </c>
      <c r="D57" t="inlineStr">
        <is>
          <t>その他果実</t>
        </is>
      </c>
      <c r="E57" s="822" t="n">
        <v>263800</v>
      </c>
      <c r="F57" s="822" t="n">
        <v>52200</v>
      </c>
      <c r="G57" s="822" t="n">
        <v>51500</v>
      </c>
    </row>
    <row r="58">
      <c r="B58" t="inlineStr">
        <is>
          <t>445</t>
        </is>
      </c>
      <c r="C58" t="inlineStr">
        <is>
          <t>スモモ</t>
        </is>
      </c>
      <c r="D58" t="inlineStr">
        <is>
          <t>その他果実</t>
        </is>
      </c>
      <c r="E58" s="822" t="n">
        <v>538600</v>
      </c>
      <c r="F58" s="822" t="n">
        <v>365340</v>
      </c>
      <c r="G58" s="822" t="n">
        <v>890065</v>
      </c>
    </row>
    <row r="59">
      <c r="B59" t="inlineStr">
        <is>
          <t>446</t>
        </is>
      </c>
      <c r="C59" t="inlineStr">
        <is>
          <t>プルーン</t>
        </is>
      </c>
      <c r="D59" t="inlineStr">
        <is>
          <t>その他果実</t>
        </is>
      </c>
      <c r="E59" s="822" t="n">
        <v>111790</v>
      </c>
      <c r="F59" s="822" t="n">
        <v>99034</v>
      </c>
      <c r="G59" s="822" t="n">
        <v>184040</v>
      </c>
    </row>
    <row r="60">
      <c r="B60" t="inlineStr">
        <is>
          <t>447</t>
        </is>
      </c>
      <c r="C60" t="inlineStr">
        <is>
          <t>さくらんぼ（桜桃）</t>
        </is>
      </c>
      <c r="D60" t="inlineStr">
        <is>
          <t>その他果実</t>
        </is>
      </c>
      <c r="E60" s="822" t="n">
        <v>18026151</v>
      </c>
      <c r="F60" s="822" t="n">
        <v>11963390</v>
      </c>
      <c r="G60" s="822" t="n">
        <v>15976951</v>
      </c>
    </row>
    <row r="61">
      <c r="B61" t="inlineStr">
        <is>
          <t>450</t>
        </is>
      </c>
      <c r="C61" t="inlineStr">
        <is>
          <t>ぶどう類</t>
        </is>
      </c>
      <c r="D61" t="inlineStr">
        <is>
          <t>その他果実</t>
        </is>
      </c>
      <c r="E61" s="822" t="n">
        <v>10783074</v>
      </c>
      <c r="F61" s="822" t="n">
        <v>8270246</v>
      </c>
      <c r="G61" s="822" t="n">
        <v>11602030</v>
      </c>
    </row>
    <row r="62">
      <c r="B62" t="inlineStr">
        <is>
          <t>457</t>
        </is>
      </c>
      <c r="C62" t="inlineStr">
        <is>
          <t>穀果類・しょう果類</t>
        </is>
      </c>
      <c r="D62" t="inlineStr">
        <is>
          <t>その他果実</t>
        </is>
      </c>
      <c r="E62" s="822" t="n">
        <v>3342278</v>
      </c>
      <c r="F62" s="822" t="n">
        <v>2512614</v>
      </c>
      <c r="G62" s="822" t="n">
        <v>3343227</v>
      </c>
    </row>
    <row r="63">
      <c r="B63" t="inlineStr">
        <is>
          <t>460</t>
        </is>
      </c>
      <c r="C63" t="inlineStr">
        <is>
          <t>いちご類</t>
        </is>
      </c>
      <c r="D63" t="inlineStr">
        <is>
          <t>その他果実</t>
        </is>
      </c>
      <c r="E63" s="822" t="n">
        <v>22123874</v>
      </c>
      <c r="F63" s="822" t="n">
        <v>16988186</v>
      </c>
      <c r="G63" s="822" t="n">
        <v>30421614</v>
      </c>
    </row>
    <row r="64">
      <c r="B64" t="inlineStr">
        <is>
          <t>471</t>
        </is>
      </c>
      <c r="C64" t="inlineStr">
        <is>
          <t>メロン類</t>
        </is>
      </c>
      <c r="D64" t="inlineStr">
        <is>
          <t>メロン類</t>
        </is>
      </c>
      <c r="E64" s="822" t="n">
        <v>131781474</v>
      </c>
      <c r="F64" s="822" t="n">
        <v>133033396</v>
      </c>
      <c r="G64" s="822" t="n">
        <v>124869563</v>
      </c>
    </row>
    <row r="65">
      <c r="B65" t="inlineStr">
        <is>
          <t>480</t>
        </is>
      </c>
      <c r="C65" t="inlineStr">
        <is>
          <t>すいか類</t>
        </is>
      </c>
      <c r="D65" t="inlineStr">
        <is>
          <t>その他果実</t>
        </is>
      </c>
      <c r="E65" s="822" t="n">
        <v>19014655</v>
      </c>
      <c r="F65" s="822" t="n">
        <v>19960211</v>
      </c>
      <c r="G65" s="822" t="n">
        <v>30281834</v>
      </c>
    </row>
    <row r="66">
      <c r="B66" t="inlineStr">
        <is>
          <t>491</t>
        </is>
      </c>
      <c r="C66" t="inlineStr">
        <is>
          <t>熱帯性および亜熱帯性</t>
        </is>
      </c>
      <c r="D66" t="inlineStr">
        <is>
          <t>キウイ・バナナ等</t>
        </is>
      </c>
      <c r="E66" s="822" t="n">
        <v>28001904</v>
      </c>
      <c r="F66" s="822" t="n">
        <v>21419619</v>
      </c>
      <c r="G66" s="822" t="n">
        <v>38747104</v>
      </c>
    </row>
    <row r="67">
      <c r="B67" t="inlineStr">
        <is>
          <t>495</t>
        </is>
      </c>
      <c r="C67" t="inlineStr">
        <is>
          <t>その他の果実類</t>
        </is>
      </c>
      <c r="D67" t="inlineStr">
        <is>
          <t>その他果実</t>
        </is>
      </c>
      <c r="E67" s="822" t="n">
        <v>503044</v>
      </c>
      <c r="F67" s="822" t="n">
        <v>559030</v>
      </c>
      <c r="G67" s="822" t="n">
        <v>440270</v>
      </c>
    </row>
    <row r="68">
      <c r="B68" t="inlineStr">
        <is>
          <t>511</t>
        </is>
      </c>
      <c r="C68" t="inlineStr">
        <is>
          <t>冷凍・乾燥野菜類</t>
        </is>
      </c>
      <c r="D68" t="inlineStr">
        <is>
          <t>加工品・その他</t>
        </is>
      </c>
      <c r="E68" s="822" t="n">
        <v>2768513</v>
      </c>
      <c r="F68" s="822" t="n">
        <v>2479820</v>
      </c>
      <c r="G68" s="822" t="n">
        <v>3393738</v>
      </c>
    </row>
    <row r="69">
      <c r="B69" t="inlineStr">
        <is>
          <t>531</t>
        </is>
      </c>
      <c r="C69" t="inlineStr">
        <is>
          <t>野菜・瓶／缶詰／ジュー</t>
        </is>
      </c>
      <c r="D69" t="inlineStr">
        <is>
          <t>加工品・その他</t>
        </is>
      </c>
      <c r="E69" s="822" t="n">
        <v>19095</v>
      </c>
      <c r="F69" s="822" t="n">
        <v>0</v>
      </c>
      <c r="G69" s="822" t="n">
        <v>0</v>
      </c>
    </row>
    <row r="70">
      <c r="B70" t="inlineStr">
        <is>
          <t>541</t>
        </is>
      </c>
      <c r="C70" t="inlineStr">
        <is>
          <t>その他加工野菜</t>
        </is>
      </c>
      <c r="D70" t="inlineStr">
        <is>
          <t>加工品・その他</t>
        </is>
      </c>
      <c r="E70" s="822" t="n">
        <v>30406754</v>
      </c>
      <c r="F70" s="822" t="n">
        <v>28416656</v>
      </c>
      <c r="G70" s="822" t="n">
        <v>27038155</v>
      </c>
    </row>
    <row r="71">
      <c r="B71" t="inlineStr">
        <is>
          <t>551</t>
        </is>
      </c>
      <c r="C71" t="inlineStr">
        <is>
          <t>漬物類</t>
        </is>
      </c>
      <c r="D71" t="inlineStr">
        <is>
          <t>加工品・その他</t>
        </is>
      </c>
      <c r="E71" s="822" t="n">
        <v>98775</v>
      </c>
      <c r="F71" s="822" t="n">
        <v>309757</v>
      </c>
      <c r="G71" s="822" t="n">
        <v>521883</v>
      </c>
    </row>
    <row r="72">
      <c r="B72" t="inlineStr">
        <is>
          <t>561</t>
        </is>
      </c>
      <c r="C72" t="inlineStr">
        <is>
          <t>冷凍・乾燥果実類</t>
        </is>
      </c>
      <c r="D72" t="inlineStr">
        <is>
          <t>加工品・その他</t>
        </is>
      </c>
      <c r="E72" s="822" t="n">
        <v>1322337</v>
      </c>
      <c r="F72" s="822" t="n">
        <v>1522125</v>
      </c>
      <c r="G72" s="822" t="n">
        <v>1374266</v>
      </c>
    </row>
    <row r="73">
      <c r="B73" t="inlineStr">
        <is>
          <t>581</t>
        </is>
      </c>
      <c r="C73" t="inlineStr">
        <is>
          <t>果実・瓶／缶詰／ジュー</t>
        </is>
      </c>
      <c r="D73" t="inlineStr">
        <is>
          <t>加工品・その他</t>
        </is>
      </c>
      <c r="E73" s="822" t="n">
        <v>6113647</v>
      </c>
      <c r="F73" s="822" t="n">
        <v>5744900</v>
      </c>
      <c r="G73" s="822" t="n">
        <v>4907696</v>
      </c>
    </row>
    <row r="74">
      <c r="B74" t="inlineStr">
        <is>
          <t>586</t>
        </is>
      </c>
      <c r="C74" t="inlineStr">
        <is>
          <t>果実ジュース</t>
        </is>
      </c>
      <c r="D74" t="inlineStr">
        <is>
          <t>加工品・その他</t>
        </is>
      </c>
      <c r="E74" s="822" t="n">
        <v>84982</v>
      </c>
      <c r="F74" s="822" t="n">
        <v>135741</v>
      </c>
      <c r="G74" s="822" t="n">
        <v>63351</v>
      </c>
    </row>
    <row r="75">
      <c r="B75" t="inlineStr">
        <is>
          <t>591</t>
        </is>
      </c>
      <c r="C75" t="inlineStr">
        <is>
          <t>その他加工品</t>
        </is>
      </c>
      <c r="D75" t="inlineStr">
        <is>
          <t>加工品・その他</t>
        </is>
      </c>
      <c r="E75" s="822" t="n">
        <v>8774667</v>
      </c>
      <c r="F75" s="822" t="n">
        <v>9227877</v>
      </c>
      <c r="G75" s="822" t="n">
        <v>9730311</v>
      </c>
    </row>
    <row r="76">
      <c r="B76" t="inlineStr">
        <is>
          <t>599</t>
        </is>
      </c>
      <c r="C76" t="inlineStr">
        <is>
          <t>苗物</t>
        </is>
      </c>
      <c r="D76" t="inlineStr">
        <is>
          <t>加工品・その他</t>
        </is>
      </c>
      <c r="E76" s="822" t="n">
        <v>175425</v>
      </c>
      <c r="F76" s="822" t="n">
        <v>159015</v>
      </c>
      <c r="G76" s="822" t="n">
        <v>168620</v>
      </c>
    </row>
    <row r="77">
      <c r="B77" t="inlineStr">
        <is>
          <t>600</t>
        </is>
      </c>
      <c r="C77" t="inlineStr">
        <is>
          <t>花き類</t>
        </is>
      </c>
      <c r="D77" t="inlineStr">
        <is>
          <t>花き類</t>
        </is>
      </c>
      <c r="E77" s="822" t="n">
        <v>33554857</v>
      </c>
      <c r="F77" s="822" t="n">
        <v>31787520</v>
      </c>
      <c r="G77" s="822" t="n">
        <v>31116284</v>
      </c>
    </row>
    <row r="78">
      <c r="B78" t="inlineStr">
        <is>
          <t>701</t>
        </is>
      </c>
      <c r="C78" t="inlineStr">
        <is>
          <t>特別栽培野菜</t>
        </is>
      </c>
      <c r="D78" t="inlineStr">
        <is>
          <t>その他野菜</t>
        </is>
      </c>
      <c r="E78" s="822" t="n">
        <v>4441652</v>
      </c>
      <c r="F78" s="822" t="n">
        <v>1563245</v>
      </c>
      <c r="G78" s="822" t="n">
        <v>2050000</v>
      </c>
    </row>
    <row r="79">
      <c r="B79" t="inlineStr">
        <is>
          <t>702</t>
        </is>
      </c>
      <c r="C79" t="inlineStr">
        <is>
          <t>特別栽培果実</t>
        </is>
      </c>
      <c r="D79" t="inlineStr">
        <is>
          <t>その他果実</t>
        </is>
      </c>
      <c r="E79" s="822" t="n">
        <v>0</v>
      </c>
      <c r="F79" s="822" t="n">
        <v>16000</v>
      </c>
      <c r="G79" s="822" t="n">
        <v>0</v>
      </c>
    </row>
    <row r="80">
      <c r="B80" t="inlineStr">
        <is>
          <t>999</t>
        </is>
      </c>
      <c r="C80" t="inlineStr">
        <is>
          <t>その他</t>
        </is>
      </c>
      <c r="D80" t="inlineStr">
        <is>
          <t>加工品・その他</t>
        </is>
      </c>
      <c r="E80" s="822" t="n">
        <v>155586</v>
      </c>
      <c r="F80" s="822" t="n">
        <v>114935</v>
      </c>
      <c r="G80" s="822" t="n">
        <v>123731</v>
      </c>
    </row>
  </sheetData>
  <mergeCells count="9">
    <mergeCell ref="B14:B20"/>
    <mergeCell ref="J5:J6"/>
    <mergeCell ref="F5:G5"/>
    <mergeCell ref="D5:E5"/>
    <mergeCell ref="B7:B13"/>
    <mergeCell ref="B23:C23"/>
    <mergeCell ref="H5:I5"/>
    <mergeCell ref="B5:B6"/>
    <mergeCell ref="C5:C6"/>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31"/>
  <sheetViews>
    <sheetView showGridLines="0" zoomScaleNormal="100" workbookViewId="0">
      <selection activeCell="B5" sqref="B5:B14"/>
    </sheetView>
  </sheetViews>
  <sheetFormatPr baseColWidth="8" defaultColWidth="8.875" defaultRowHeight="18.75"/>
  <cols>
    <col width="3.875" customWidth="1" style="65" min="1" max="1"/>
    <col width="4.4" customWidth="1" style="65" min="2" max="2"/>
    <col width="25" customWidth="1" style="595" min="3" max="3"/>
    <col width="13" customWidth="1" style="595" min="4" max="4"/>
    <col width="14" customWidth="1" style="65" min="5" max="5"/>
    <col width="16" customWidth="1" style="65" min="6" max="6"/>
    <col width="10.5" customWidth="1" style="65" min="7" max="7"/>
    <col width="7.5" customWidth="1" style="65" min="8" max="8"/>
    <col width="10.5" customWidth="1" style="65" min="9" max="9"/>
    <col width="7.5" customWidth="1" style="65" min="10" max="10"/>
    <col width="10.5" customWidth="1" style="65" min="11" max="11"/>
    <col width="7.5" customWidth="1" style="65" min="12" max="12"/>
    <col width="20" customWidth="1" style="65" min="13" max="13"/>
    <col width="8.875" customWidth="1" style="595" min="14" max="14"/>
    <col width="8.875" customWidth="1" style="595" min="15" max="15"/>
    <col width="8.875" customWidth="1" style="595" min="16" max="16"/>
    <col width="8.875" customWidth="1" style="595" min="17" max="17"/>
    <col width="8.875" customWidth="1" style="595" min="18" max="18"/>
    <col width="8.875" customWidth="1" style="595" min="19" max="19"/>
    <col width="8.875" customWidth="1" style="595" min="20" max="20"/>
    <col width="8.875" customWidth="1" style="595" min="21" max="21"/>
    <col width="8.875" customWidth="1" style="595" min="22" max="22"/>
    <col width="8.875" customWidth="1" style="595" min="23" max="23"/>
    <col width="8.875" customWidth="1" style="595" min="24" max="24"/>
    <col width="8.875" customWidth="1" style="595" min="25" max="25"/>
    <col width="8.875" customWidth="1" style="595" min="26" max="26"/>
    <col width="8.875" customWidth="1" style="595" min="27" max="27"/>
    <col width="8.875" customWidth="1" style="595" min="28" max="28"/>
    <col width="8.875" customWidth="1" style="595" min="29" max="29"/>
    <col width="8.875" customWidth="1" style="595" min="30" max="30"/>
    <col width="8.875" customWidth="1" style="595" min="31" max="31"/>
    <col width="8.875" customWidth="1" style="595" min="32" max="32"/>
    <col width="8.875" customWidth="1" style="595" min="33" max="33"/>
    <col width="8.875" customWidth="1" style="595" min="34" max="34"/>
    <col width="8.875" customWidth="1" style="595" min="35" max="35"/>
    <col width="8.875" customWidth="1" style="595" min="36" max="36"/>
    <col width="8.875" customWidth="1" style="595" min="37" max="37"/>
    <col width="8.875" customWidth="1" style="595" min="38" max="38"/>
    <col width="8.875" customWidth="1" style="595" min="39" max="39"/>
    <col width="8.875" customWidth="1" style="595" min="40" max="40"/>
  </cols>
  <sheetData>
    <row r="1">
      <c r="A1" s="603" t="inlineStr">
        <is>
          <t>■ 貼付範囲 B2:M17 → 企業概要書「主要得意先の3期推移」（範囲をコピーしてパワポに貼り付け。数字はここを直す）</t>
        </is>
      </c>
    </row>
    <row r="2">
      <c r="L2" s="73" t="inlineStr">
        <is>
          <t>(単位：千円)</t>
        </is>
      </c>
    </row>
    <row r="3" ht="19.35" customHeight="1" s="595">
      <c r="B3" s="566" t="inlineStr">
        <is>
          <t>№</t>
        </is>
      </c>
      <c r="C3" s="566" t="inlineStr">
        <is>
          <t>得意先</t>
        </is>
      </c>
      <c r="D3" s="566" t="inlineStr">
        <is>
          <t>取引内容</t>
        </is>
      </c>
      <c r="E3" s="566" t="inlineStr">
        <is>
          <t>本社所在地</t>
        </is>
      </c>
      <c r="F3" s="566" t="inlineStr">
        <is>
          <t>業種等</t>
        </is>
      </c>
      <c r="G3" s="830" t="str">
        <f>'BS(借方)'!D4</f>
        <v>24年3月期</v>
      </c>
      <c r="H3" s="830" t="n"/>
      <c r="I3" s="830" t="str">
        <f>'BS(借方)'!E4</f>
        <v>25年3月期</v>
      </c>
      <c r="J3" s="830" t="n"/>
      <c r="K3" s="830" t="str">
        <f>'BS(借方)'!F4</f>
        <v>26年3月期</v>
      </c>
      <c r="L3" s="830" t="n"/>
      <c r="M3" s="831" t="inlineStr">
        <is>
          <t>備考</t>
        </is>
      </c>
    </row>
    <row r="4" ht="19.35" customHeight="1" s="595">
      <c r="B4" s="832" t="n"/>
      <c r="C4" s="832" t="n"/>
      <c r="D4" s="832" t="n"/>
      <c r="E4" s="832" t="n"/>
      <c r="F4" s="832" t="n"/>
      <c r="G4" s="833" t="inlineStr">
        <is>
          <t>売上高</t>
        </is>
      </c>
      <c r="H4" s="833" t="inlineStr">
        <is>
          <t>構成比</t>
        </is>
      </c>
      <c r="I4" s="833" t="inlineStr">
        <is>
          <t>売上高</t>
        </is>
      </c>
      <c r="J4" s="833" t="inlineStr">
        <is>
          <t>構成比</t>
        </is>
      </c>
      <c r="K4" s="833" t="inlineStr">
        <is>
          <t>売上高</t>
        </is>
      </c>
      <c r="L4" s="833" t="inlineStr">
        <is>
          <t>構成比</t>
        </is>
      </c>
      <c r="M4" s="834" t="n"/>
    </row>
    <row r="5" ht="23.45" customHeight="1" s="595">
      <c r="B5" s="835" t="n">
        <v>1</v>
      </c>
      <c r="C5" s="836" t="inlineStr">
        <is>
          <t>(株)主婦の店（鶴岡店）</t>
        </is>
      </c>
      <c r="D5" s="836" t="inlineStr">
        <is>
          <t>青果物</t>
        </is>
      </c>
      <c r="E5" s="836" t="inlineStr">
        <is>
          <t>山形県鶴岡市</t>
        </is>
      </c>
      <c r="F5" s="836" t="inlineStr">
        <is>
          <t>食品スーパー</t>
        </is>
      </c>
      <c r="G5" s="837" t="n">
        <v>308383428</v>
      </c>
      <c r="H5" s="838">
        <f>IFERROR(G5/G$17,"－")</f>
        <v>0.261676945949991</v>
      </c>
      <c r="I5" s="837" t="n">
        <v>302458433</v>
      </c>
      <c r="J5" s="838">
        <f>IFERROR(I5/I$17,"－")</f>
        <v>0.255898399839032</v>
      </c>
      <c r="K5" s="837" t="n">
        <v>345226753</v>
      </c>
      <c r="L5" s="838">
        <f>IFERROR(K5/K$17,"－")</f>
        <v>0.288676892787161</v>
      </c>
      <c r="M5" s="839" t="inlineStr">
        <is>
          <t>配送受託あり</t>
        </is>
      </c>
    </row>
    <row r="6" ht="23.45" customHeight="1" s="595">
      <c r="B6" s="840" t="n">
        <v>2</v>
      </c>
      <c r="C6" s="836" t="inlineStr">
        <is>
          <t>生活協同組合共立社</t>
        </is>
      </c>
      <c r="D6" s="836" t="inlineStr">
        <is>
          <t>青果物</t>
        </is>
      </c>
      <c r="E6" s="836" t="inlineStr">
        <is>
          <t>山形県鶴岡市</t>
        </is>
      </c>
      <c r="F6" s="836" t="inlineStr">
        <is>
          <t>生活協同組合</t>
        </is>
      </c>
      <c r="G6" s="837" t="n">
        <v>96150823</v>
      </c>
      <c r="H6" s="838">
        <f>IFERROR(G6/G$17,"－")</f>
        <v>0.0815882159310395</v>
      </c>
      <c r="I6" s="837" t="n">
        <v>99248896</v>
      </c>
      <c r="J6" s="838">
        <f>IFERROR(I6/I$17,"－")</f>
        <v>0.0839706581174759</v>
      </c>
      <c r="K6" s="837" t="n">
        <v>85615684</v>
      </c>
      <c r="L6" s="838">
        <f>IFERROR(K6/K$17,"－")</f>
        <v>0.0715914088818239</v>
      </c>
      <c r="M6" s="841" t="inlineStr">
        <is>
          <t>毎日納品</t>
        </is>
      </c>
    </row>
    <row r="7" ht="23.45" customHeight="1" s="595">
      <c r="B7" s="842" t="n">
        <v>3</v>
      </c>
      <c r="C7" s="836" t="inlineStr">
        <is>
          <t>長井中央青果(株)</t>
        </is>
      </c>
      <c r="D7" s="836" t="inlineStr">
        <is>
          <t>青果物</t>
        </is>
      </c>
      <c r="E7" s="836" t="inlineStr">
        <is>
          <t>山形県長井市</t>
        </is>
      </c>
      <c r="F7" s="836" t="inlineStr">
        <is>
          <t>青果卸売業</t>
        </is>
      </c>
      <c r="G7" s="837">
        <f>36988620+51092214</f>
        <v>88080834</v>
      </c>
      <c r="H7" s="838">
        <f>IFERROR(G7/G$17,"－")</f>
        <v>0.0747404741795923</v>
      </c>
      <c r="I7" s="837" t="n">
        <v>77319990</v>
      </c>
      <c r="J7" s="838">
        <f>IFERROR(I7/I$17,"－")</f>
        <v>0.0654174576000992</v>
      </c>
      <c r="K7" s="837" t="n">
        <v>75394815</v>
      </c>
      <c r="L7" s="838">
        <f>IFERROR(K7/K$17,"－")</f>
        <v>0.0630447690896737</v>
      </c>
      <c r="M7" s="841" t="inlineStr">
        <is>
          <t>仕入先でもある</t>
        </is>
      </c>
    </row>
    <row r="8" ht="23.45" customHeight="1" s="595">
      <c r="B8" s="840" t="n">
        <v>4</v>
      </c>
      <c r="C8" s="836" t="inlineStr">
        <is>
          <t>松浦青果(株)</t>
        </is>
      </c>
      <c r="D8" s="836" t="inlineStr">
        <is>
          <t>青果物</t>
        </is>
      </c>
      <c r="E8" s="836" t="inlineStr">
        <is>
          <t>要確認</t>
        </is>
      </c>
      <c r="F8" s="836" t="inlineStr">
        <is>
          <t>要確認</t>
        </is>
      </c>
      <c r="G8" s="837" t="n">
        <v>13988200</v>
      </c>
      <c r="H8" s="838">
        <f>IFERROR(G8/G$17,"－")</f>
        <v>0.0118696049235748</v>
      </c>
      <c r="I8" s="837" t="n">
        <v>20012345</v>
      </c>
      <c r="J8" s="838">
        <f>IFERROR(I8/I$17,"－")</f>
        <v>0.0169316722689185</v>
      </c>
      <c r="K8" s="837" t="n">
        <v>32186104</v>
      </c>
      <c r="L8" s="838">
        <f>IFERROR(K8/K$17,"－")</f>
        <v>0.026913859985945</v>
      </c>
      <c r="M8" s="841" t="n"/>
    </row>
    <row r="9" ht="23.45" customHeight="1" s="595">
      <c r="B9" s="842" t="n">
        <v>5</v>
      </c>
      <c r="C9" s="836" t="inlineStr">
        <is>
          <t>生活協同組合連合会アイチョイス</t>
        </is>
      </c>
      <c r="D9" s="836" t="inlineStr">
        <is>
          <t>青果物</t>
        </is>
      </c>
      <c r="E9" s="836" t="inlineStr">
        <is>
          <t>愛知県名古屋市</t>
        </is>
      </c>
      <c r="F9" s="836" t="inlineStr">
        <is>
          <t>生協連合会</t>
        </is>
      </c>
      <c r="G9" s="837" t="n">
        <v>25340515</v>
      </c>
      <c r="H9" s="838">
        <f>IFERROR(G9/G$17,"－")</f>
        <v>0.0215025451173075</v>
      </c>
      <c r="I9" s="837" t="n">
        <v>28050058</v>
      </c>
      <c r="J9" s="838">
        <f>IFERROR(I9/I$17,"－")</f>
        <v>0.0237320708382829</v>
      </c>
      <c r="K9" s="837" t="n">
        <v>22375855</v>
      </c>
      <c r="L9" s="838">
        <f>IFERROR(K9/K$17,"－")</f>
        <v>0.0187105785942842</v>
      </c>
      <c r="M9" s="841" t="n"/>
    </row>
    <row r="10" ht="23.45" customHeight="1" s="595">
      <c r="B10" s="840" t="n">
        <v>6</v>
      </c>
      <c r="C10" s="836" t="inlineStr">
        <is>
          <t>(株)新庄丸果青果</t>
        </is>
      </c>
      <c r="D10" s="836" t="inlineStr">
        <is>
          <t>青果物</t>
        </is>
      </c>
      <c r="E10" s="836" t="inlineStr">
        <is>
          <t>山形県新庄市</t>
        </is>
      </c>
      <c r="F10" s="836" t="inlineStr">
        <is>
          <t>青果卸売業</t>
        </is>
      </c>
      <c r="G10" s="837" t="n">
        <v>25221720</v>
      </c>
      <c r="H10" s="838">
        <f>IFERROR(G10/G$17,"－")</f>
        <v>0.0214017423180269</v>
      </c>
      <c r="I10" s="837" t="n">
        <v>23896155</v>
      </c>
      <c r="J10" s="838">
        <f>IFERROR(I10/I$17,"－")</f>
        <v>0.0202176139251686</v>
      </c>
      <c r="K10" s="837" t="n">
        <v>20030390</v>
      </c>
      <c r="L10" s="838">
        <f>IFERROR(K10/K$17,"－")</f>
        <v>0.0167493124338339</v>
      </c>
      <c r="M10" s="841" t="n"/>
    </row>
    <row r="11" ht="23.45" customHeight="1" s="595">
      <c r="B11" s="842" t="n">
        <v>7</v>
      </c>
      <c r="C11" s="836" t="inlineStr">
        <is>
          <t>(株)マルタ</t>
        </is>
      </c>
      <c r="D11" s="836" t="inlineStr">
        <is>
          <t>青果物</t>
        </is>
      </c>
      <c r="E11" s="836" t="inlineStr">
        <is>
          <t>要確認</t>
        </is>
      </c>
      <c r="F11" s="836" t="inlineStr">
        <is>
          <t>要確認</t>
        </is>
      </c>
      <c r="G11" s="837" t="n">
        <v>26352085</v>
      </c>
      <c r="H11" s="838">
        <f>IFERROR(G11/G$17,"－")</f>
        <v>0.0223609068974179</v>
      </c>
      <c r="I11" s="837" t="n">
        <v>32060257</v>
      </c>
      <c r="J11" s="838">
        <f>IFERROR(I11/I$17,"－")</f>
        <v>0.0271249453465499</v>
      </c>
      <c r="K11" s="837" t="n">
        <v>19175010</v>
      </c>
      <c r="L11" s="838">
        <f>IFERROR(K11/K$17,"－")</f>
        <v>0.0160340479347576</v>
      </c>
      <c r="M11" s="841" t="n"/>
    </row>
    <row r="12" ht="23.45" customHeight="1" s="595">
      <c r="B12" s="840" t="n">
        <v>8</v>
      </c>
      <c r="C12" s="836" t="inlineStr">
        <is>
          <t>小野寺食品 やま亀</t>
        </is>
      </c>
      <c r="D12" s="836" t="inlineStr">
        <is>
          <t>青果物</t>
        </is>
      </c>
      <c r="E12" s="836" t="inlineStr">
        <is>
          <t>要確認</t>
        </is>
      </c>
      <c r="F12" s="836" t="inlineStr">
        <is>
          <t>食品加工</t>
        </is>
      </c>
      <c r="G12" s="837" t="n">
        <v>20114508</v>
      </c>
      <c r="H12" s="838">
        <f>IFERROR(G12/G$17,"－")</f>
        <v>0.0170680475823969</v>
      </c>
      <c r="I12" s="837" t="n">
        <v>16807815</v>
      </c>
      <c r="J12" s="838">
        <f>IFERROR(I12/I$17,"－")</f>
        <v>0.0142204431882727</v>
      </c>
      <c r="K12" s="837" t="n">
        <v>18891770</v>
      </c>
      <c r="L12" s="838">
        <f>IFERROR(K12/K$17,"－")</f>
        <v>0.0157972040563429</v>
      </c>
      <c r="M12" s="841" t="n"/>
    </row>
    <row r="13" ht="23.45" customHeight="1" s="595">
      <c r="B13" s="842" t="n">
        <v>9</v>
      </c>
      <c r="C13" s="836" t="inlineStr">
        <is>
          <t>(株)R&amp;Cながの青果</t>
        </is>
      </c>
      <c r="D13" s="836" t="inlineStr">
        <is>
          <t>青果物</t>
        </is>
      </c>
      <c r="E13" s="836" t="inlineStr">
        <is>
          <t>長野県</t>
        </is>
      </c>
      <c r="F13" s="836" t="inlineStr">
        <is>
          <t>青果卸売業</t>
        </is>
      </c>
      <c r="G13" s="837" t="n">
        <v>27716363</v>
      </c>
      <c r="H13" s="838">
        <f>IFERROR(G13/G$17,"－")</f>
        <v>0.0235185569786238</v>
      </c>
      <c r="I13" s="837" t="n">
        <v>25776810</v>
      </c>
      <c r="J13" s="838">
        <f>IFERROR(I13/I$17,"－")</f>
        <v>0.0218087634936426</v>
      </c>
      <c r="K13" s="837" t="n">
        <v>18856750</v>
      </c>
      <c r="L13" s="838">
        <f>IFERROR(K13/K$17,"－")</f>
        <v>0.0157679205066251</v>
      </c>
      <c r="M13" s="841" t="n"/>
    </row>
    <row r="14" ht="23.45" customHeight="1" s="595">
      <c r="B14" s="840" t="n">
        <v>10</v>
      </c>
      <c r="C14" s="836" t="inlineStr">
        <is>
          <t>(株)マルト直治郎商店</t>
        </is>
      </c>
      <c r="D14" s="836" t="inlineStr">
        <is>
          <t>青果物</t>
        </is>
      </c>
      <c r="E14" s="836" t="inlineStr">
        <is>
          <t>山形県三川町</t>
        </is>
      </c>
      <c r="F14" s="836" t="inlineStr">
        <is>
          <t>青果卸売業</t>
        </is>
      </c>
      <c r="G14" s="837" t="inlineStr">
        <is>
          <t>－</t>
        </is>
      </c>
      <c r="H14" s="838" t="str">
        <f>IFERROR(G14/G$17,"－")</f>
        <v>－</v>
      </c>
      <c r="I14" s="837" t="n">
        <v>6678890</v>
      </c>
      <c r="J14" s="838">
        <f>IFERROR(I14/I$17,"－")</f>
        <v>0.00565075090401236</v>
      </c>
      <c r="K14" s="837" t="n">
        <v>17633870</v>
      </c>
      <c r="L14" s="838">
        <f>IFERROR(K14/K$17,"－")</f>
        <v>0.0147453543364663</v>
      </c>
      <c r="M14" s="841" t="inlineStr">
        <is>
          <t>仕入先でもある</t>
        </is>
      </c>
    </row>
    <row r="15" ht="23.45" customHeight="1" s="595">
      <c r="B15" s="843" t="n"/>
      <c r="C15" s="844" t="inlineStr">
        <is>
          <t>社内勘定（近郷・パッケージ）</t>
        </is>
      </c>
      <c r="D15" s="844" t="inlineStr">
        <is>
          <t>部門別勘定</t>
        </is>
      </c>
      <c r="E15" s="844" t="inlineStr">
        <is>
          <t>－</t>
        </is>
      </c>
      <c r="F15" s="844" t="inlineStr">
        <is>
          <t>－</t>
        </is>
      </c>
      <c r="G15" s="837">
        <f>SUM(G22:G28)</f>
        <v>306830191</v>
      </c>
      <c r="H15" s="838">
        <f>IFERROR(G15/G$17,"－")</f>
        <v>0.260358955819547</v>
      </c>
      <c r="I15" s="837">
        <f>SUM(I22:I28)</f>
        <v>334003936</v>
      </c>
      <c r="J15" s="838">
        <f>IFERROR(I15/I$17,"－")</f>
        <v>0.282587831704922</v>
      </c>
      <c r="K15" s="837">
        <f>SUM(K22:K28)</f>
        <v>333489152</v>
      </c>
      <c r="L15" s="838">
        <f>IFERROR(K15/K$17,"－")</f>
        <v>0.278861969244849</v>
      </c>
      <c r="M15" s="841" t="inlineStr">
        <is>
          <t>性質は要確認（注記参照）</t>
        </is>
      </c>
    </row>
    <row r="16" ht="23.45" customHeight="1" s="595">
      <c r="B16" s="843" t="n"/>
      <c r="C16" s="844" t="inlineStr">
        <is>
          <t>その他</t>
        </is>
      </c>
      <c r="D16" s="844" t="n"/>
      <c r="E16" s="844" t="n"/>
      <c r="F16" s="844" t="n"/>
      <c r="G16" s="837">
        <f>G17-SUM(G5:G15)</f>
        <v>240310431</v>
      </c>
      <c r="H16" s="838">
        <f>IFERROR(G16/G$17,"－")</f>
        <v>0.203914004302482</v>
      </c>
      <c r="I16" s="837">
        <f>I17-SUM(I5:I15)</f>
        <v>215633755</v>
      </c>
      <c r="J16" s="838">
        <f>IFERROR(I16/I$17,"－")</f>
        <v>0.182439392773624</v>
      </c>
      <c r="K16" s="837">
        <f>K17-SUM(K5:K15)</f>
        <v>207017116</v>
      </c>
      <c r="L16" s="838">
        <f>IFERROR(K16/K$17,"－")</f>
        <v>0.173106682148238</v>
      </c>
      <c r="M16" s="841" t="n"/>
    </row>
    <row r="17" ht="23.45" customHeight="1" s="595">
      <c r="B17" s="845" t="n"/>
      <c r="C17" s="846" t="inlineStr">
        <is>
          <t>合計（決算書の売上高）</t>
        </is>
      </c>
      <c r="D17" s="846" t="n"/>
      <c r="E17" s="846" t="n"/>
      <c r="F17" s="846" t="n"/>
      <c r="G17" s="847">
        <f>PL!E11</f>
        <v>1178489098</v>
      </c>
      <c r="H17" s="848" t="inlineStr">
        <is>
          <t>100.0%</t>
        </is>
      </c>
      <c r="I17" s="847">
        <f>PL!G11</f>
        <v>1181947340</v>
      </c>
      <c r="J17" s="848" t="inlineStr">
        <is>
          <t>100.0%</t>
        </is>
      </c>
      <c r="K17" s="847">
        <f>PL!I11</f>
        <v>1195893269</v>
      </c>
      <c r="L17" s="848" t="inlineStr">
        <is>
          <t>100.0%</t>
        </is>
      </c>
      <c r="M17" s="849" t="n"/>
    </row>
    <row r="19">
      <c r="B19" t="inlineStr">
        <is>
          <t>※出所：買参人別順位表（販売管理システム、上位20位）の年間売上金額。上位20位圏外の年度は「－」。構成比は決算書の売上高に対する比率（集計基準が異なるため参考値）。</t>
        </is>
      </c>
    </row>
    <row r="20">
      <c r="B20" t="inlineStr">
        <is>
          <t>社内勘定（集計）</t>
        </is>
      </c>
    </row>
    <row r="22">
      <c r="C22" t="inlineStr">
        <is>
          <t>KK 地物果実</t>
        </is>
      </c>
      <c r="G22" s="822" t="n">
        <v>6919565</v>
      </c>
      <c r="I22" s="822" t="n">
        <v>110231725</v>
      </c>
      <c r="K22" s="822" t="n">
        <v>99079935</v>
      </c>
    </row>
    <row r="23">
      <c r="C23" t="inlineStr">
        <is>
          <t>KK マルカ</t>
        </is>
      </c>
      <c r="G23" s="822" t="n">
        <v>31997559</v>
      </c>
      <c r="I23" s="822" t="n">
        <v>67036327</v>
      </c>
      <c r="K23" s="822" t="n">
        <v>67277546</v>
      </c>
    </row>
    <row r="24">
      <c r="C24" t="inlineStr">
        <is>
          <t>KK 開発</t>
        </is>
      </c>
      <c r="G24" s="822" t="n">
        <v>64841026</v>
      </c>
      <c r="I24" s="822" t="n">
        <v>33259997</v>
      </c>
      <c r="K24" s="822" t="n">
        <v>39250623</v>
      </c>
    </row>
    <row r="25">
      <c r="C25" t="inlineStr">
        <is>
          <t>KK 社長車</t>
        </is>
      </c>
      <c r="G25" s="822" t="n">
        <v>40489545</v>
      </c>
      <c r="I25" s="822" t="n">
        <v>38577365</v>
      </c>
      <c r="K25" s="822" t="n">
        <v>38330905</v>
      </c>
    </row>
    <row r="26">
      <c r="C26" t="inlineStr">
        <is>
          <t>KK メロン（元常務取扱）</t>
        </is>
      </c>
      <c r="G26" s="822" t="n">
        <v>65506775</v>
      </c>
      <c r="I26" s="822" t="n"/>
      <c r="K26" s="822" t="n"/>
    </row>
    <row r="27">
      <c r="C27" t="inlineStr">
        <is>
          <t>パッケージ根菜</t>
        </is>
      </c>
      <c r="G27" s="822" t="n">
        <v>46495688</v>
      </c>
      <c r="I27" s="822" t="n">
        <v>36837944</v>
      </c>
      <c r="K27" s="822" t="n">
        <v>36540635</v>
      </c>
    </row>
    <row r="28">
      <c r="C28" t="inlineStr">
        <is>
          <t>パッケージ果実・蔬菜</t>
        </is>
      </c>
      <c r="G28" s="822">
        <f>34618043+15961990</f>
        <v>50580033</v>
      </c>
      <c r="I28" s="822">
        <f>26594781+21465797</f>
        <v>48060578</v>
      </c>
      <c r="K28" s="822">
        <f>31116065+21893443</f>
        <v>53009508</v>
      </c>
    </row>
    <row r="30">
      <c r="C30" t="inlineStr">
        <is>
          <t>上位20位計（順位表）</t>
        </is>
      </c>
      <c r="G30" t="n">
        <v>863326289</v>
      </c>
      <c r="I30" t="n">
        <v>1034424284</v>
      </c>
      <c r="K30" t="n">
        <v>1035467601</v>
      </c>
    </row>
    <row r="31">
      <c r="C31" t="inlineStr">
        <is>
          <t>※24/3期の上位20位計は25/3期の順位表の前年欄（25/3期の上位20先の前年実績）。</t>
        </is>
      </c>
    </row>
  </sheetData>
  <mergeCells count="6">
    <mergeCell ref="C3:C4"/>
    <mergeCell ref="B3:B4"/>
    <mergeCell ref="M3:M4"/>
    <mergeCell ref="E3:E4"/>
    <mergeCell ref="F3:F4"/>
    <mergeCell ref="D3:D4"/>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L32"/>
  <sheetViews>
    <sheetView showGridLines="0" zoomScaleNormal="100" workbookViewId="0">
      <selection activeCell="B5" sqref="B5:B15"/>
    </sheetView>
  </sheetViews>
  <sheetFormatPr baseColWidth="8" defaultColWidth="8.875" defaultRowHeight="18.75"/>
  <cols>
    <col width="3.875" customWidth="1" style="65" min="1" max="1"/>
    <col width="4.4" customWidth="1" style="65" min="2" max="2"/>
    <col width="25" customWidth="1" style="595" min="3" max="3"/>
    <col width="15" customWidth="1" style="595" min="4" max="4"/>
    <col width="16" customWidth="1" style="65" min="5" max="5"/>
    <col width="10.5" customWidth="1" style="65" min="6" max="6"/>
    <col width="7.5" customWidth="1" style="65" min="7" max="7"/>
    <col width="10.5" customWidth="1" style="65" min="8" max="8"/>
    <col width="7.5" customWidth="1" style="65" min="9" max="9"/>
    <col width="10.5" customWidth="1" style="65" min="10" max="10"/>
    <col width="7.5" customWidth="1" style="65" min="11" max="11"/>
    <col width="24" customWidth="1" style="65" min="12" max="12"/>
    <col width="8.875" customWidth="1" style="595" min="13" max="13"/>
    <col width="8.875" customWidth="1" style="595" min="14" max="14"/>
    <col width="8.875" customWidth="1" style="595" min="15" max="15"/>
    <col width="8.875" customWidth="1" style="595" min="16" max="16"/>
    <col width="8.875" customWidth="1" style="595" min="17" max="17"/>
    <col width="8.875" customWidth="1" style="595" min="18" max="18"/>
    <col width="8.875" customWidth="1" style="595" min="19" max="19"/>
    <col width="8.875" customWidth="1" style="595" min="20" max="20"/>
    <col width="8.875" customWidth="1" style="595" min="21" max="21"/>
    <col width="8.875" customWidth="1" style="595" min="22" max="22"/>
    <col width="8.875" customWidth="1" style="595" min="23" max="23"/>
    <col width="8.875" customWidth="1" style="595" min="24" max="24"/>
    <col width="8.875" customWidth="1" style="595" min="25" max="25"/>
    <col width="8.875" customWidth="1" style="595" min="26" max="26"/>
    <col width="8.875" customWidth="1" style="595" min="27" max="27"/>
    <col width="8.875" customWidth="1" style="595" min="28" max="28"/>
    <col width="8.875" customWidth="1" style="595" min="29" max="29"/>
    <col width="8.875" customWidth="1" style="595" min="30" max="30"/>
    <col width="8.875" customWidth="1" style="595" min="31" max="31"/>
    <col width="8.875" customWidth="1" style="595" min="32" max="32"/>
    <col width="8.875" customWidth="1" style="595" min="33" max="33"/>
    <col width="8.875" customWidth="1" style="595" min="34" max="34"/>
    <col width="8.875" customWidth="1" style="595" min="35" max="35"/>
    <col width="8.875" customWidth="1" style="595" min="36" max="36"/>
    <col width="8.875" customWidth="1" style="595" min="37" max="37"/>
    <col width="8.875" customWidth="1" style="595" min="38" max="38"/>
    <col width="8.875" customWidth="1" style="595" min="39" max="39"/>
    <col width="8.875" customWidth="1" style="595" min="40" max="40"/>
  </cols>
  <sheetData>
    <row r="1">
      <c r="A1" s="603" t="inlineStr">
        <is>
          <t>■ 貼付範囲 B2:L17 → 企業概要書「主要仕入先の3期推移」（範囲をコピーしてパワポに貼り付け。数字はここを直す）</t>
        </is>
      </c>
    </row>
    <row r="2">
      <c r="K2" s="73" t="inlineStr">
        <is>
          <t>(単位：千円)</t>
        </is>
      </c>
    </row>
    <row r="3" ht="19.35" customHeight="1" s="595">
      <c r="B3" s="566" t="inlineStr">
        <is>
          <t>№</t>
        </is>
      </c>
      <c r="C3" s="566" t="inlineStr">
        <is>
          <t>仕入先</t>
        </is>
      </c>
      <c r="D3" s="566" t="inlineStr">
        <is>
          <t>仕入内容</t>
        </is>
      </c>
      <c r="E3" s="566" t="inlineStr">
        <is>
          <t>本社所在地</t>
        </is>
      </c>
      <c r="F3" s="830" t="str">
        <f>'BS(借方)'!D4</f>
        <v>24年3月期</v>
      </c>
      <c r="G3" s="830" t="n"/>
      <c r="H3" s="830" t="str">
        <f>'BS(借方)'!E4</f>
        <v>25年3月期</v>
      </c>
      <c r="I3" s="830" t="n"/>
      <c r="J3" s="830" t="str">
        <f>'BS(借方)'!F4</f>
        <v>26年3月期</v>
      </c>
      <c r="K3" s="830" t="n"/>
      <c r="L3" s="831" t="inlineStr">
        <is>
          <t>備考</t>
        </is>
      </c>
    </row>
    <row r="4" ht="19.35" customHeight="1" s="595">
      <c r="B4" s="832" t="n"/>
      <c r="C4" s="832" t="n"/>
      <c r="D4" s="832" t="n"/>
      <c r="E4" s="832" t="n"/>
      <c r="F4" s="833" t="inlineStr">
        <is>
          <t>仕入高</t>
        </is>
      </c>
      <c r="G4" s="833" t="inlineStr">
        <is>
          <t>構成比</t>
        </is>
      </c>
      <c r="H4" s="833" t="inlineStr">
        <is>
          <t>仕入高</t>
        </is>
      </c>
      <c r="I4" s="833" t="inlineStr">
        <is>
          <t>構成比</t>
        </is>
      </c>
      <c r="J4" s="833" t="inlineStr">
        <is>
          <t>仕入高</t>
        </is>
      </c>
      <c r="K4" s="833" t="inlineStr">
        <is>
          <t>構成比</t>
        </is>
      </c>
      <c r="L4" s="834" t="n"/>
    </row>
    <row r="5" ht="23.45" customHeight="1" s="595">
      <c r="B5" s="835" t="n">
        <v>1</v>
      </c>
      <c r="C5" s="836" t="inlineStr">
        <is>
          <t>丸果庄内青果(株)</t>
        </is>
      </c>
      <c r="D5" s="836" t="inlineStr">
        <is>
          <t>青果物</t>
        </is>
      </c>
      <c r="E5" s="836" t="inlineStr">
        <is>
          <t>山形県三川町</t>
        </is>
      </c>
      <c r="F5" s="837" t="n">
        <v>237536555</v>
      </c>
      <c r="G5" s="838">
        <f>IFERROR(F5/F$17,"－")</f>
        <v>0.249173369989785</v>
      </c>
      <c r="H5" s="837" t="n">
        <v>246284304</v>
      </c>
      <c r="I5" s="838">
        <f>IFERROR(H5/H$17,"－")</f>
        <v>0.252279566437464</v>
      </c>
      <c r="J5" s="837" t="n">
        <v>315032146</v>
      </c>
      <c r="K5" s="838">
        <f>IFERROR(J5/J$17,"－")</f>
        <v>0.316286097340664</v>
      </c>
      <c r="L5" s="839" t="inlineStr">
        <is>
          <t>公設庄内青果物市場の卸売業者</t>
        </is>
      </c>
    </row>
    <row r="6" ht="23.45" customHeight="1" s="595">
      <c r="B6" s="840" t="n">
        <v>2</v>
      </c>
      <c r="C6" s="836" t="inlineStr">
        <is>
          <t>(株)庄果</t>
        </is>
      </c>
      <c r="D6" s="836" t="inlineStr">
        <is>
          <t>青果物</t>
        </is>
      </c>
      <c r="E6" s="836" t="inlineStr">
        <is>
          <t>山形県三川町</t>
        </is>
      </c>
      <c r="F6" s="837" t="n">
        <v>113535109</v>
      </c>
      <c r="G6" s="838">
        <f>IFERROR(F6/F$17,"－")</f>
        <v>0.119097145791676</v>
      </c>
      <c r="H6" s="837" t="n">
        <v>114398359</v>
      </c>
      <c r="I6" s="838">
        <f>IFERROR(H6/H$17,"－")</f>
        <v>0.117183141357142</v>
      </c>
      <c r="J6" s="837" t="n">
        <v>98621582</v>
      </c>
      <c r="K6" s="838">
        <f>IFERROR(J6/J$17,"－")</f>
        <v>0.0990141345269008</v>
      </c>
      <c r="L6" s="841" t="inlineStr">
        <is>
          <t>同上</t>
        </is>
      </c>
    </row>
    <row r="7" ht="23.45" customHeight="1" s="595">
      <c r="B7" s="842" t="n">
        <v>3</v>
      </c>
      <c r="C7" s="836" t="inlineStr">
        <is>
          <t>長井中央青果(株)</t>
        </is>
      </c>
      <c r="D7" s="836" t="inlineStr">
        <is>
          <t>青果物</t>
        </is>
      </c>
      <c r="E7" s="836" t="inlineStr">
        <is>
          <t>山形県長井市</t>
        </is>
      </c>
      <c r="F7" s="837" t="n">
        <v>29926325</v>
      </c>
      <c r="G7" s="838">
        <f>IFERROR(F7/F$17,"－")</f>
        <v>0.031392402957345</v>
      </c>
      <c r="H7" s="837" t="n">
        <v>35262749</v>
      </c>
      <c r="I7" s="838">
        <f>IFERROR(H7/H$17,"－")</f>
        <v>0.0361211448907971</v>
      </c>
      <c r="J7" s="837" t="n">
        <v>62586074</v>
      </c>
      <c r="K7" s="838">
        <f>IFERROR(J7/J$17,"－")</f>
        <v>0.0628351910897817</v>
      </c>
      <c r="L7" s="841" t="inlineStr">
        <is>
          <t>販売先でもある</t>
        </is>
      </c>
    </row>
    <row r="8" ht="23.45" customHeight="1" s="595">
      <c r="B8" s="840" t="n">
        <v>4</v>
      </c>
      <c r="C8" s="836" t="inlineStr">
        <is>
          <t>(株)マルト直治郎商店</t>
        </is>
      </c>
      <c r="D8" s="836" t="inlineStr">
        <is>
          <t>青果物</t>
        </is>
      </c>
      <c r="E8" s="836" t="inlineStr">
        <is>
          <t>山形県三川町</t>
        </is>
      </c>
      <c r="F8" s="837" t="n">
        <v>30113414</v>
      </c>
      <c r="G8" s="838">
        <f>IFERROR(F8/F$17,"－")</f>
        <v>0.0315886573680314</v>
      </c>
      <c r="H8" s="837" t="n">
        <v>56151367</v>
      </c>
      <c r="I8" s="838">
        <f>IFERROR(H8/H$17,"－")</f>
        <v>0.0575182514336395</v>
      </c>
      <c r="J8" s="837" t="n">
        <v>21974990</v>
      </c>
      <c r="K8" s="838">
        <f>IFERROR(J8/J$17,"－")</f>
        <v>0.0220624590679077</v>
      </c>
      <c r="L8" s="841" t="inlineStr">
        <is>
          <t>販売先でもある</t>
        </is>
      </c>
    </row>
    <row r="9" ht="23.45" customHeight="1" s="595">
      <c r="B9" s="842" t="n">
        <v>5</v>
      </c>
      <c r="C9" s="836" t="inlineStr">
        <is>
          <t>成田食品(株)</t>
        </is>
      </c>
      <c r="D9" s="836" t="inlineStr">
        <is>
          <t>青果・加工品</t>
        </is>
      </c>
      <c r="E9" s="836" t="inlineStr">
        <is>
          <t>福島県相馬市</t>
        </is>
      </c>
      <c r="F9" s="837" t="n">
        <v>14127795</v>
      </c>
      <c r="G9" s="838">
        <f>IFERROR(F9/F$17,"－")</f>
        <v>0.01481990967948</v>
      </c>
      <c r="H9" s="837" t="n">
        <v>14916067</v>
      </c>
      <c r="I9" s="838">
        <f>IFERROR(H9/H$17,"－")</f>
        <v>0.0152791666159617</v>
      </c>
      <c r="J9" s="837" t="n">
        <v>15635130</v>
      </c>
      <c r="K9" s="838">
        <f>IFERROR(J9/J$17,"－")</f>
        <v>0.0156973639417545</v>
      </c>
      <c r="L9" s="841" t="n"/>
    </row>
    <row r="10" ht="23.45" customHeight="1" s="595">
      <c r="B10" s="840" t="n">
        <v>6</v>
      </c>
      <c r="C10" s="836" t="inlineStr">
        <is>
          <t>庄内みどり農業協同組合</t>
        </is>
      </c>
      <c r="D10" s="836" t="inlineStr">
        <is>
          <t>受託品</t>
        </is>
      </c>
      <c r="E10" s="836" t="inlineStr">
        <is>
          <t>山形県酒田市</t>
        </is>
      </c>
      <c r="F10" s="837" t="n">
        <v>7118174</v>
      </c>
      <c r="G10" s="838">
        <f>IFERROR(F10/F$17,"－")</f>
        <v>0.00746689032243338</v>
      </c>
      <c r="H10" s="837" t="n">
        <v>7593661</v>
      </c>
      <c r="I10" s="838">
        <f>IFERROR(H10/H$17,"－")</f>
        <v>0.00777851236818193</v>
      </c>
      <c r="J10" s="837" t="n">
        <v>8879410</v>
      </c>
      <c r="K10" s="838">
        <f>IFERROR(J10/J$17,"－")</f>
        <v>0.00891475352990696</v>
      </c>
      <c r="L10" s="841" t="inlineStr">
        <is>
          <t>受託販売の委託者</t>
        </is>
      </c>
    </row>
    <row r="11" ht="23.45" customHeight="1" s="595">
      <c r="B11" s="842" t="n">
        <v>7</v>
      </c>
      <c r="C11" s="836" t="inlineStr">
        <is>
          <t>マルショウ青果(有)</t>
        </is>
      </c>
      <c r="D11" s="836" t="inlineStr">
        <is>
          <t>青果物</t>
        </is>
      </c>
      <c r="E11" s="836" t="inlineStr">
        <is>
          <t>要確認</t>
        </is>
      </c>
      <c r="F11" s="837" t="n">
        <v>14839869</v>
      </c>
      <c r="G11" s="838">
        <f>IFERROR(F11/F$17,"－")</f>
        <v>0.0155668678824484</v>
      </c>
      <c r="H11" s="837" t="n">
        <v>3207289</v>
      </c>
      <c r="I11" s="838">
        <f>IFERROR(H11/H$17,"－")</f>
        <v>0.00328536356242843</v>
      </c>
      <c r="J11" s="837" t="n">
        <v>7847408</v>
      </c>
      <c r="K11" s="838">
        <f>IFERROR(J11/J$17,"－")</f>
        <v>0.00787864375770689</v>
      </c>
      <c r="L11" s="841" t="n"/>
    </row>
    <row r="12" ht="23.45" customHeight="1" s="595">
      <c r="B12" s="840" t="n">
        <v>8</v>
      </c>
      <c r="C12" s="836" t="inlineStr">
        <is>
          <t>生産者A（波の会）</t>
        </is>
      </c>
      <c r="D12" s="836" t="inlineStr">
        <is>
          <t>地場産青果物</t>
        </is>
      </c>
      <c r="E12" s="836" t="inlineStr">
        <is>
          <t>庄内地方</t>
        </is>
      </c>
      <c r="F12" s="837" t="n">
        <v>5608122</v>
      </c>
      <c r="G12" s="838">
        <f>IFERROR(F12/F$17,"－")</f>
        <v>0.00588286151600477</v>
      </c>
      <c r="H12" s="837" t="n">
        <v>6263216</v>
      </c>
      <c r="I12" s="838">
        <f>IFERROR(H12/H$17,"－")</f>
        <v>0.00641568054204618</v>
      </c>
      <c r="J12" s="837" t="n">
        <v>6934170</v>
      </c>
      <c r="K12" s="838">
        <f>IFERROR(J12/J$17,"－")</f>
        <v>0.00696177071274724</v>
      </c>
      <c r="L12" s="841" t="inlineStr">
        <is>
          <t>個人生産者のため匿名</t>
        </is>
      </c>
    </row>
    <row r="13" ht="23.45" customHeight="1" s="595">
      <c r="B13" s="842" t="n">
        <v>9</v>
      </c>
      <c r="C13" s="836" t="inlineStr">
        <is>
          <t>生産者B（波の会）</t>
        </is>
      </c>
      <c r="D13" s="836" t="inlineStr">
        <is>
          <t>地場産青果物</t>
        </is>
      </c>
      <c r="E13" s="836" t="inlineStr">
        <is>
          <t>庄内地方</t>
        </is>
      </c>
      <c r="F13" s="837" t="n">
        <v>8173503</v>
      </c>
      <c r="G13" s="838">
        <f>IFERROR(F13/F$17,"－")</f>
        <v>0.00857391944213224</v>
      </c>
      <c r="H13" s="837" t="n">
        <v>7441032</v>
      </c>
      <c r="I13" s="838">
        <f>IFERROR(H13/H$17,"－")</f>
        <v>0.00762216794297737</v>
      </c>
      <c r="J13" s="837" t="n">
        <v>6490104</v>
      </c>
      <c r="K13" s="838">
        <f>IFERROR(J13/J$17,"－")</f>
        <v>0.00651593715612448</v>
      </c>
      <c r="L13" s="841" t="inlineStr">
        <is>
          <t>個人生産者のため匿名</t>
        </is>
      </c>
    </row>
    <row r="14" ht="23.45" customHeight="1" s="595">
      <c r="B14" s="840" t="n">
        <v>10</v>
      </c>
      <c r="C14" s="836" t="inlineStr">
        <is>
          <t>(株)丸越</t>
        </is>
      </c>
      <c r="D14" s="836" t="inlineStr">
        <is>
          <t>青果物</t>
        </is>
      </c>
      <c r="E14" s="836" t="inlineStr">
        <is>
          <t>要確認</t>
        </is>
      </c>
      <c r="F14" s="837" t="inlineStr">
        <is>
          <t>－</t>
        </is>
      </c>
      <c r="G14" s="838" t="str">
        <f>IFERROR(F14/F$17,"－")</f>
        <v>－</v>
      </c>
      <c r="H14" s="837" t="n">
        <v>6056888</v>
      </c>
      <c r="I14" s="838">
        <f>IFERROR(H14/H$17,"－")</f>
        <v>0.00620432993001567</v>
      </c>
      <c r="J14" s="837" t="n">
        <v>6406749</v>
      </c>
      <c r="K14" s="838">
        <f>IFERROR(J14/J$17,"－")</f>
        <v>0.00643225037057393</v>
      </c>
      <c r="L14" s="841" t="n"/>
    </row>
    <row r="15" ht="23.45" customHeight="1" s="595">
      <c r="B15" s="850" t="n"/>
      <c r="C15" s="844" t="inlineStr">
        <is>
          <t>社内勘定（近郷・パッケージ）</t>
        </is>
      </c>
      <c r="D15" s="844" t="inlineStr">
        <is>
          <t>部門別勘定</t>
        </is>
      </c>
      <c r="E15" s="844" t="inlineStr">
        <is>
          <t>－</t>
        </is>
      </c>
      <c r="F15" s="837">
        <f>SUM(F22:F30)</f>
        <v>405811206</v>
      </c>
      <c r="G15" s="838">
        <f>IFERROR(F15/F$17,"－")</f>
        <v>0.425691724705861</v>
      </c>
      <c r="H15" s="837">
        <f>SUM(H22:H30)</f>
        <v>377523682</v>
      </c>
      <c r="I15" s="838">
        <f>IFERROR(H15/H$17,"－")</f>
        <v>0.386713685232799</v>
      </c>
      <c r="J15" s="837">
        <f>SUM(J22:J30)</f>
        <v>328219929</v>
      </c>
      <c r="K15" s="838">
        <f>IFERROR(J15/J$17,"－")</f>
        <v>0.329526372882721</v>
      </c>
      <c r="L15" s="841" t="inlineStr">
        <is>
          <t>性質は要確認（注記参照）</t>
        </is>
      </c>
    </row>
    <row r="16" ht="23.45" customHeight="1" s="595">
      <c r="B16" s="850" t="n"/>
      <c r="C16" s="844" t="inlineStr">
        <is>
          <t>その他</t>
        </is>
      </c>
      <c r="D16" s="844" t="n"/>
      <c r="E16" s="844" t="n"/>
      <c r="F16" s="837">
        <f>F17-SUM(F5:F15)</f>
        <v>86508248</v>
      </c>
      <c r="G16" s="838">
        <f>IFERROR(F16/F$17,"－")</f>
        <v>0.0907462503448029</v>
      </c>
      <c r="H16" s="837">
        <f>H17-SUM(H5:H15)</f>
        <v>101137026</v>
      </c>
      <c r="I16" s="838">
        <f>IFERROR(H16/H$17,"－")</f>
        <v>0.103598989686547</v>
      </c>
      <c r="J16" s="837">
        <f>J17-SUM(J5:J15)</f>
        <v>117407697</v>
      </c>
      <c r="K16" s="838">
        <f>IFERROR(J16/J$17,"－")</f>
        <v>0.117875025623211</v>
      </c>
      <c r="L16" s="841" t="n"/>
    </row>
    <row r="17" ht="23.45" customHeight="1" s="595">
      <c r="B17" s="845" t="n"/>
      <c r="C17" s="846" t="inlineStr">
        <is>
          <t>合計（決算書の仕入高）</t>
        </is>
      </c>
      <c r="D17" s="846" t="n"/>
      <c r="E17" s="846" t="n"/>
      <c r="F17" s="847">
        <f>PL!E13</f>
        <v>953298320</v>
      </c>
      <c r="G17" s="848" t="inlineStr">
        <is>
          <t>100.0%</t>
        </is>
      </c>
      <c r="H17" s="847">
        <f>PL!G13</f>
        <v>976235640</v>
      </c>
      <c r="I17" s="848" t="inlineStr">
        <is>
          <t>100.0%</t>
        </is>
      </c>
      <c r="J17" s="847">
        <f>PL!I13</f>
        <v>996035389</v>
      </c>
      <c r="K17" s="848" t="inlineStr">
        <is>
          <t>100.0%</t>
        </is>
      </c>
      <c r="L17" s="849" t="n"/>
    </row>
    <row r="19">
      <c r="B19" t="inlineStr">
        <is>
          <t>※出所：荷主別順位表（販売管理システム、上位20位）の年間仕入金額。上位20位圏外の年度は「－」。構成比は決算書の仕入高に対する比率（集計基準が異なるため参考値）。</t>
        </is>
      </c>
    </row>
    <row r="20">
      <c r="B20" t="inlineStr">
        <is>
          <t>社内勘定（集計）</t>
        </is>
      </c>
    </row>
    <row r="22">
      <c r="C22" t="inlineStr">
        <is>
          <t>KK 地物果実</t>
        </is>
      </c>
      <c r="F22" s="822" t="n">
        <v>7439366</v>
      </c>
      <c r="H22" s="822" t="n">
        <v>127941370</v>
      </c>
      <c r="J22" s="822" t="n">
        <v>80678993</v>
      </c>
    </row>
    <row r="23">
      <c r="C23" t="inlineStr">
        <is>
          <t>KK マルカ</t>
        </is>
      </c>
      <c r="F23" s="822" t="n">
        <v>28693863</v>
      </c>
      <c r="H23" s="822" t="n">
        <v>69250898</v>
      </c>
      <c r="J23" s="822" t="n">
        <v>66961587</v>
      </c>
    </row>
    <row r="24">
      <c r="C24" t="inlineStr">
        <is>
          <t>KK 開発</t>
        </is>
      </c>
      <c r="F24" s="822" t="n">
        <v>80299497</v>
      </c>
      <c r="H24" s="822" t="n">
        <v>33616540</v>
      </c>
      <c r="J24" s="822" t="n">
        <v>38502541</v>
      </c>
    </row>
    <row r="25">
      <c r="C25" t="inlineStr">
        <is>
          <t>KK 社長車</t>
        </is>
      </c>
      <c r="F25" s="822" t="n">
        <v>43810598</v>
      </c>
      <c r="H25" s="822" t="n">
        <v>38396325</v>
      </c>
      <c r="J25" s="822" t="n">
        <v>38548107</v>
      </c>
    </row>
    <row r="26">
      <c r="C26" t="inlineStr">
        <is>
          <t>KK メロン・大根・常務（担当者別）</t>
        </is>
      </c>
      <c r="F26" s="822">
        <f>107800157+11451728+9226201</f>
        <v>128478086</v>
      </c>
      <c r="H26" s="822" t="n">
        <v>13058625</v>
      </c>
      <c r="J26" s="822" t="n"/>
    </row>
    <row r="27">
      <c r="C27" t="inlineStr">
        <is>
          <t>パッケージ根菜</t>
        </is>
      </c>
      <c r="F27" s="822" t="n">
        <v>48689621</v>
      </c>
      <c r="H27" s="822" t="n">
        <v>36903178</v>
      </c>
      <c r="J27" s="822" t="n">
        <v>36570360</v>
      </c>
    </row>
    <row r="28">
      <c r="C28" t="inlineStr">
        <is>
          <t>パッケージ果実</t>
        </is>
      </c>
      <c r="F28" s="822" t="n">
        <v>35852672</v>
      </c>
      <c r="H28" s="822" t="n">
        <v>23616079</v>
      </c>
      <c r="J28" s="822" t="n">
        <v>32629978</v>
      </c>
    </row>
    <row r="29">
      <c r="C29" t="inlineStr">
        <is>
          <t>パッケージ蔬菜</t>
        </is>
      </c>
      <c r="F29" s="822" t="n">
        <v>16356642</v>
      </c>
      <c r="H29" s="822" t="n">
        <v>21396557</v>
      </c>
      <c r="J29" s="822" t="n">
        <v>21921243</v>
      </c>
    </row>
    <row r="30">
      <c r="C30" t="inlineStr">
        <is>
          <t>パッケージ生花</t>
        </is>
      </c>
      <c r="F30" s="822" t="n">
        <v>16190861</v>
      </c>
      <c r="H30" s="822" t="n">
        <v>13344110</v>
      </c>
      <c r="J30" s="822" t="n">
        <v>12407120</v>
      </c>
    </row>
    <row r="32">
      <c r="C32" t="inlineStr">
        <is>
          <t>上位20件計（順位表）</t>
        </is>
      </c>
      <c r="F32" t="n">
        <v>728315067</v>
      </c>
      <c r="H32" t="n">
        <v>892035615</v>
      </c>
      <c r="J32" t="n">
        <v>889128701</v>
      </c>
    </row>
  </sheetData>
  <mergeCells count="5">
    <mergeCell ref="L3:L4"/>
    <mergeCell ref="B3:B4"/>
    <mergeCell ref="C3:C4"/>
    <mergeCell ref="E3:E4"/>
    <mergeCell ref="D3:D4"/>
  </mergeCells>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B2:M16"/>
  <sheetViews>
    <sheetView showGridLines="0" zoomScaleNormal="100" workbookViewId="0">
      <selection activeCell="B5" sqref="B5:B14"/>
    </sheetView>
  </sheetViews>
  <sheetFormatPr baseColWidth="8" defaultColWidth="8.875" defaultRowHeight="18.75"/>
  <cols>
    <col width="3.875" customWidth="1" style="65" min="1" max="1"/>
    <col width="4.375" customWidth="1" style="65" min="2" max="2"/>
    <col width="30.375" customWidth="1" style="65" min="3" max="4"/>
    <col width="16.125" customWidth="1" style="65" min="5" max="5"/>
    <col width="19.125" customWidth="1" style="65" min="6" max="6"/>
    <col width="11.5" customWidth="1" style="65" min="7" max="7"/>
    <col width="8.5" customWidth="1" style="65" min="8" max="8"/>
    <col width="11.5" customWidth="1" style="65" min="9" max="9"/>
    <col width="8.5" customWidth="1" style="65" min="10" max="10"/>
    <col width="11.5" customWidth="1" style="65" min="11" max="11"/>
    <col width="8.5" customWidth="1" style="65" min="12" max="12"/>
    <col width="31.5" customWidth="1" style="65" min="13" max="13"/>
    <col width="8.875" customWidth="1" style="65" min="14" max="16384"/>
  </cols>
  <sheetData>
    <row r="2">
      <c r="L2" s="73" t="inlineStr">
        <is>
          <t>(単位：千円)</t>
        </is>
      </c>
    </row>
    <row r="3" ht="19.35" customHeight="1" s="595">
      <c r="B3" s="564" t="inlineStr">
        <is>
          <t>№</t>
        </is>
      </c>
      <c r="C3" s="564" t="inlineStr">
        <is>
          <t>外注先</t>
        </is>
      </c>
      <c r="D3" s="564" t="inlineStr">
        <is>
          <t>外注内容</t>
        </is>
      </c>
      <c r="E3" s="564" t="inlineStr">
        <is>
          <t>本社所在地</t>
        </is>
      </c>
      <c r="F3" s="564" t="inlineStr">
        <is>
          <t>業種等</t>
        </is>
      </c>
      <c r="G3" s="96" t="inlineStr">
        <is>
          <t>●●●●年●月期</t>
        </is>
      </c>
      <c r="H3" s="96" t="n"/>
      <c r="I3" s="96" t="inlineStr">
        <is>
          <t>●●●●年●月期</t>
        </is>
      </c>
      <c r="J3" s="96" t="n"/>
      <c r="K3" s="96" t="inlineStr">
        <is>
          <t>●●●●年●月期</t>
        </is>
      </c>
      <c r="L3" s="96" t="n"/>
      <c r="M3" s="562" t="inlineStr">
        <is>
          <t>備考</t>
        </is>
      </c>
    </row>
    <row r="4" ht="19.35" customHeight="1" s="595">
      <c r="B4" s="851" t="n"/>
      <c r="C4" s="851" t="n"/>
      <c r="D4" s="851" t="n"/>
      <c r="E4" s="851" t="n"/>
      <c r="F4" s="851" t="n"/>
      <c r="G4" s="565" t="inlineStr">
        <is>
          <t>外注費</t>
        </is>
      </c>
      <c r="H4" s="565" t="inlineStr">
        <is>
          <t>構成比</t>
        </is>
      </c>
      <c r="I4" s="565" t="inlineStr">
        <is>
          <t>外注費</t>
        </is>
      </c>
      <c r="J4" s="565" t="inlineStr">
        <is>
          <t>構成比</t>
        </is>
      </c>
      <c r="K4" s="565" t="inlineStr">
        <is>
          <t>外注費</t>
        </is>
      </c>
      <c r="L4" s="565" t="inlineStr">
        <is>
          <t>構成比</t>
        </is>
      </c>
      <c r="M4" s="659" t="n"/>
    </row>
    <row r="5" ht="23.45" customHeight="1" s="595">
      <c r="B5" s="432" t="n">
        <v>1</v>
      </c>
      <c r="C5" s="852" t="inlineStr">
        <is>
          <t>該当なし（外注加工はなし）</t>
        </is>
      </c>
      <c r="D5" s="852" t="n"/>
      <c r="E5" s="852" t="n"/>
      <c r="F5" s="852" t="n"/>
      <c r="G5" s="853" t="n"/>
      <c r="H5" s="644" t="n"/>
      <c r="I5" s="853" t="n"/>
      <c r="J5" s="644" t="n"/>
      <c r="K5" s="853" t="n"/>
      <c r="L5" s="644" t="n"/>
      <c r="M5" s="98" t="inlineStr">
        <is>
          <t>配送は原則自社。東京向け出荷・一部の地元スーパー向けのみ外部運送会社を利用（運賃の委託先別内訳は要確認）</t>
        </is>
      </c>
    </row>
    <row r="6" ht="23.45" customHeight="1" s="595">
      <c r="B6" s="433" t="n">
        <v>2</v>
      </c>
      <c r="C6" s="852" t="n"/>
      <c r="D6" s="852" t="n"/>
      <c r="E6" s="852" t="n"/>
      <c r="F6" s="852" t="n"/>
      <c r="G6" s="853" t="n"/>
      <c r="H6" s="644" t="n"/>
      <c r="I6" s="853" t="n"/>
      <c r="J6" s="644" t="n"/>
      <c r="K6" s="853" t="n"/>
      <c r="L6" s="644" t="n"/>
      <c r="M6" s="99" t="n"/>
    </row>
    <row r="7" ht="23.45" customHeight="1" s="595">
      <c r="B7" s="434" t="n">
        <v>3</v>
      </c>
      <c r="C7" s="852" t="n"/>
      <c r="D7" s="852" t="n"/>
      <c r="E7" s="852" t="n"/>
      <c r="F7" s="852" t="n"/>
      <c r="G7" s="853" t="n"/>
      <c r="H7" s="644" t="n"/>
      <c r="I7" s="853" t="n"/>
      <c r="J7" s="644" t="n"/>
      <c r="K7" s="853" t="n"/>
      <c r="L7" s="644" t="n"/>
      <c r="M7" s="99" t="n"/>
    </row>
    <row r="8" ht="23.45" customHeight="1" s="595">
      <c r="B8" s="433" t="n">
        <v>4</v>
      </c>
      <c r="C8" s="852" t="n"/>
      <c r="D8" s="852" t="n"/>
      <c r="E8" s="852" t="n"/>
      <c r="F8" s="852" t="n"/>
      <c r="G8" s="853" t="n"/>
      <c r="H8" s="644" t="n"/>
      <c r="I8" s="853" t="n"/>
      <c r="J8" s="644" t="n"/>
      <c r="K8" s="853" t="n"/>
      <c r="L8" s="644" t="n"/>
      <c r="M8" s="99" t="n"/>
    </row>
    <row r="9" ht="23.45" customHeight="1" s="595">
      <c r="B9" s="434" t="n">
        <v>5</v>
      </c>
      <c r="C9" s="852" t="n"/>
      <c r="D9" s="852" t="n"/>
      <c r="E9" s="852" t="n"/>
      <c r="F9" s="852" t="n"/>
      <c r="G9" s="853" t="n"/>
      <c r="H9" s="644" t="n"/>
      <c r="I9" s="853" t="n"/>
      <c r="J9" s="644" t="n"/>
      <c r="K9" s="853" t="n"/>
      <c r="L9" s="644" t="n"/>
      <c r="M9" s="99" t="n"/>
    </row>
    <row r="10" ht="23.45" customHeight="1" s="595">
      <c r="B10" s="433" t="n">
        <v>6</v>
      </c>
      <c r="C10" s="852" t="n"/>
      <c r="D10" s="852" t="n"/>
      <c r="E10" s="852" t="n"/>
      <c r="F10" s="852" t="n"/>
      <c r="G10" s="853" t="n"/>
      <c r="H10" s="644" t="n"/>
      <c r="I10" s="853" t="n"/>
      <c r="J10" s="644" t="n"/>
      <c r="K10" s="853" t="n"/>
      <c r="L10" s="644" t="n"/>
      <c r="M10" s="99" t="n"/>
    </row>
    <row r="11" ht="23.45" customHeight="1" s="595">
      <c r="B11" s="434" t="n">
        <v>7</v>
      </c>
      <c r="C11" s="852" t="n"/>
      <c r="D11" s="852" t="n"/>
      <c r="E11" s="852" t="n"/>
      <c r="F11" s="852" t="n"/>
      <c r="G11" s="853" t="n"/>
      <c r="H11" s="644" t="n"/>
      <c r="I11" s="853" t="n"/>
      <c r="J11" s="644" t="n"/>
      <c r="K11" s="853" t="n"/>
      <c r="L11" s="644" t="n"/>
      <c r="M11" s="99" t="n"/>
    </row>
    <row r="12" ht="23.45" customHeight="1" s="595">
      <c r="B12" s="433" t="n">
        <v>8</v>
      </c>
      <c r="C12" s="852" t="n"/>
      <c r="D12" s="852" t="n"/>
      <c r="E12" s="852" t="n"/>
      <c r="F12" s="852" t="n"/>
      <c r="G12" s="853" t="n"/>
      <c r="H12" s="644" t="n"/>
      <c r="I12" s="853" t="n"/>
      <c r="J12" s="644" t="n"/>
      <c r="K12" s="853" t="n"/>
      <c r="L12" s="644" t="n"/>
      <c r="M12" s="99" t="n"/>
    </row>
    <row r="13" ht="23.45" customHeight="1" s="595">
      <c r="B13" s="434" t="n">
        <v>9</v>
      </c>
      <c r="C13" s="852" t="n"/>
      <c r="D13" s="852" t="n"/>
      <c r="E13" s="852" t="n"/>
      <c r="F13" s="852" t="n"/>
      <c r="G13" s="853" t="n"/>
      <c r="H13" s="644" t="n"/>
      <c r="I13" s="853" t="n"/>
      <c r="J13" s="644" t="n"/>
      <c r="K13" s="853" t="n"/>
      <c r="L13" s="644" t="n"/>
      <c r="M13" s="99" t="n"/>
    </row>
    <row r="14" ht="23.45" customHeight="1" s="595">
      <c r="B14" s="433" t="n">
        <v>10</v>
      </c>
      <c r="C14" s="852" t="n"/>
      <c r="D14" s="852" t="n"/>
      <c r="E14" s="852" t="n"/>
      <c r="F14" s="852" t="n"/>
      <c r="G14" s="853" t="n"/>
      <c r="H14" s="644" t="n"/>
      <c r="I14" s="853" t="n"/>
      <c r="J14" s="644" t="n"/>
      <c r="K14" s="853" t="n"/>
      <c r="L14" s="644" t="n"/>
      <c r="M14" s="99" t="n"/>
    </row>
    <row r="15" ht="23.45" customHeight="1" s="595">
      <c r="B15" s="66" t="n"/>
      <c r="C15" s="854" t="n"/>
      <c r="D15" s="854" t="n"/>
      <c r="E15" s="854" t="n"/>
      <c r="F15" s="854" t="n"/>
      <c r="G15" s="853" t="n"/>
      <c r="H15" s="644" t="n"/>
      <c r="I15" s="853" t="n"/>
      <c r="J15" s="644" t="n"/>
      <c r="K15" s="853" t="n"/>
      <c r="L15" s="644" t="n"/>
      <c r="M15" s="99" t="n"/>
    </row>
    <row r="16" ht="23.45" customHeight="1" s="595">
      <c r="B16" s="156" t="n"/>
      <c r="C16" s="855" t="n"/>
      <c r="D16" s="855" t="n"/>
      <c r="E16" s="855" t="n"/>
      <c r="F16" s="855" t="n"/>
      <c r="G16" s="856" t="n"/>
      <c r="H16" s="857" t="n"/>
      <c r="I16" s="856" t="n"/>
      <c r="J16" s="857" t="n"/>
      <c r="K16" s="856" t="n"/>
      <c r="L16" s="857" t="n"/>
      <c r="M16" s="153" t="n"/>
    </row>
  </sheetData>
  <mergeCells count="6">
    <mergeCell ref="C3:C4"/>
    <mergeCell ref="B3:B4"/>
    <mergeCell ref="E3:E4"/>
    <mergeCell ref="M3:M4"/>
    <mergeCell ref="F3:F4"/>
    <mergeCell ref="D3:D4"/>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O12"/>
  <sheetViews>
    <sheetView showGridLines="0" workbookViewId="0">
      <selection activeCell="A1" sqref="A1"/>
    </sheetView>
  </sheetViews>
  <sheetFormatPr baseColWidth="8" defaultRowHeight="15"/>
  <cols>
    <col width="2" customWidth="1" style="595" min="1" max="1"/>
    <col width="12.31" customWidth="1" style="595" min="2" max="2"/>
    <col width="8.34" customWidth="1" style="595" min="3" max="3"/>
    <col width="8.34" customWidth="1" style="595" min="4" max="4"/>
    <col width="8.34" customWidth="1" style="595" min="5" max="5"/>
    <col width="8.34" customWidth="1" style="595" min="6" max="6"/>
    <col width="8.34" customWidth="1" style="595" min="7" max="7"/>
    <col width="8.34" customWidth="1" style="595" min="8" max="8"/>
    <col width="8.34" customWidth="1" style="595" min="9" max="9"/>
    <col width="8.34" customWidth="1" style="595" min="10" max="10"/>
    <col width="8.34" customWidth="1" style="595" min="11" max="11"/>
    <col width="8.34" customWidth="1" style="595" min="12" max="12"/>
    <col width="8.34" customWidth="1" style="595" min="13" max="13"/>
    <col width="8.34" customWidth="1" style="595" min="14" max="14"/>
    <col width="10.94" customWidth="1" style="595" min="15" max="15"/>
  </cols>
  <sheetData>
    <row r="1">
      <c r="A1" s="812" t="inlineStr">
        <is>
          <t>月別売上高・仕入高（2026/3期）</t>
        </is>
      </c>
    </row>
    <row r="2">
      <c r="A2" s="617" t="inlineStr">
        <is>
          <t>■ 貼付範囲 B4:O8 → 企業概要書「月別売上高」（範囲をコピーしてパワポに貼り付け。数字はここを直す）</t>
        </is>
      </c>
    </row>
    <row r="3"/>
    <row r="4">
      <c r="O4" s="813" t="inlineStr">
        <is>
          <t>(単位：千円)</t>
        </is>
      </c>
    </row>
    <row r="5" ht="18" customHeight="1" s="595">
      <c r="B5" s="814" t="n"/>
      <c r="C5" s="814" t="inlineStr">
        <is>
          <t>4月</t>
        </is>
      </c>
      <c r="D5" s="814" t="inlineStr">
        <is>
          <t>5月</t>
        </is>
      </c>
      <c r="E5" s="814" t="inlineStr">
        <is>
          <t>6月</t>
        </is>
      </c>
      <c r="F5" s="814" t="inlineStr">
        <is>
          <t>7月</t>
        </is>
      </c>
      <c r="G5" s="814" t="inlineStr">
        <is>
          <t>8月</t>
        </is>
      </c>
      <c r="H5" s="814" t="inlineStr">
        <is>
          <t>9月</t>
        </is>
      </c>
      <c r="I5" s="814" t="inlineStr">
        <is>
          <t>10月</t>
        </is>
      </c>
      <c r="J5" s="814" t="inlineStr">
        <is>
          <t>11月</t>
        </is>
      </c>
      <c r="K5" s="814" t="inlineStr">
        <is>
          <t>12月</t>
        </is>
      </c>
      <c r="L5" s="814" t="inlineStr">
        <is>
          <t>1月</t>
        </is>
      </c>
      <c r="M5" s="814" t="inlineStr">
        <is>
          <t>2月</t>
        </is>
      </c>
      <c r="N5" s="814" t="inlineStr">
        <is>
          <t>3月</t>
        </is>
      </c>
      <c r="O5" s="814" t="inlineStr">
        <is>
          <t>合計</t>
        </is>
      </c>
    </row>
    <row r="6" ht="19" customHeight="1" s="595">
      <c r="B6" s="815" t="inlineStr">
        <is>
          <t>売上高</t>
        </is>
      </c>
      <c r="C6" s="858" t="n">
        <v>87736</v>
      </c>
      <c r="D6" s="858" t="n">
        <v>101698</v>
      </c>
      <c r="E6" s="858" t="n">
        <v>83794</v>
      </c>
      <c r="F6" s="858" t="n">
        <v>146060</v>
      </c>
      <c r="G6" s="858" t="n">
        <v>138177</v>
      </c>
      <c r="H6" s="858" t="n">
        <v>110175</v>
      </c>
      <c r="I6" s="858" t="n">
        <v>106499</v>
      </c>
      <c r="J6" s="858" t="n">
        <v>100617</v>
      </c>
      <c r="K6" s="858" t="n">
        <v>98058</v>
      </c>
      <c r="L6" s="858" t="n">
        <v>69520</v>
      </c>
      <c r="M6" s="858" t="n">
        <v>69339</v>
      </c>
      <c r="N6" s="858" t="n">
        <v>84221</v>
      </c>
      <c r="O6" s="859" t="n">
        <v>1195894</v>
      </c>
    </row>
    <row r="7" ht="19" customHeight="1" s="595">
      <c r="B7" s="815" t="inlineStr">
        <is>
          <t>仕入高</t>
        </is>
      </c>
      <c r="C7" s="858" t="n">
        <v>76904</v>
      </c>
      <c r="D7" s="858" t="n">
        <v>86235</v>
      </c>
      <c r="E7" s="858" t="n">
        <v>74095</v>
      </c>
      <c r="F7" s="858" t="n">
        <v>139243</v>
      </c>
      <c r="G7" s="858" t="n">
        <v>96826</v>
      </c>
      <c r="H7" s="858" t="n">
        <v>85074</v>
      </c>
      <c r="I7" s="858" t="n">
        <v>84386</v>
      </c>
      <c r="J7" s="858" t="n">
        <v>85425</v>
      </c>
      <c r="K7" s="858" t="n">
        <v>82345</v>
      </c>
      <c r="L7" s="858" t="n">
        <v>56698</v>
      </c>
      <c r="M7" s="858" t="n">
        <v>58088</v>
      </c>
      <c r="N7" s="858" t="n">
        <v>70716</v>
      </c>
      <c r="O7" s="859" t="n">
        <v>996035</v>
      </c>
    </row>
    <row r="8" ht="14" customHeight="1" s="595">
      <c r="B8" s="860" t="inlineStr">
        <is>
          <t>月平均比</t>
        </is>
      </c>
      <c r="C8" s="861" t="n">
        <v>0.880372340692403</v>
      </c>
      <c r="D8" s="861" t="n">
        <v>1.02047171404824</v>
      </c>
      <c r="E8" s="861" t="n">
        <v>0.840816995486222</v>
      </c>
      <c r="F8" s="861" t="n">
        <v>1.46561484546289</v>
      </c>
      <c r="G8" s="861" t="n">
        <v>1.38651418938468</v>
      </c>
      <c r="H8" s="861" t="n">
        <v>1.10553276460957</v>
      </c>
      <c r="I8" s="861" t="n">
        <v>1.06864655228641</v>
      </c>
      <c r="J8" s="861" t="n">
        <v>1.00962459883568</v>
      </c>
      <c r="K8" s="861" t="n">
        <v>0.98394673775435</v>
      </c>
      <c r="L8" s="861" t="n">
        <v>0.697586909876628</v>
      </c>
      <c r="M8" s="861" t="n">
        <v>0.6957706953960801</v>
      </c>
      <c r="N8" s="861" t="n">
        <v>0.845101656166851</v>
      </c>
      <c r="O8" s="861" t="n"/>
    </row>
    <row r="9"/>
    <row r="10">
      <c r="B10" s="825" t="inlineStr">
        <is>
          <t>人件費</t>
        </is>
      </c>
      <c r="C10" s="858" t="n">
        <v>4204</v>
      </c>
      <c r="D10" s="858" t="n">
        <v>7349</v>
      </c>
      <c r="E10" s="858" t="n">
        <v>7586</v>
      </c>
      <c r="F10" s="858" t="n">
        <v>7363</v>
      </c>
      <c r="G10" s="858" t="n">
        <v>7717</v>
      </c>
      <c r="H10" s="858" t="n">
        <v>7474</v>
      </c>
      <c r="I10" s="858" t="n">
        <v>7291</v>
      </c>
      <c r="J10" s="858" t="n">
        <v>7298</v>
      </c>
      <c r="K10" s="858" t="n">
        <v>7200</v>
      </c>
      <c r="L10" s="858" t="n">
        <v>6903</v>
      </c>
      <c r="M10" s="858" t="n">
        <v>6884</v>
      </c>
      <c r="N10" s="858" t="n">
        <v>9764</v>
      </c>
    </row>
    <row r="11"/>
    <row r="12">
      <c r="B12" s="811" t="inlineStr">
        <is>
          <t>※出所：法人事業概況説明書（2026/3期）。千円単位の記載値をそのまま転記（円単位入力の例外）。合計はPLの売上高と端数・集計範囲の差がある。</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9"/>
  <sheetViews>
    <sheetView showGridLines="0" zoomScaleNormal="100" workbookViewId="0">
      <selection activeCell="B5" sqref="B5:B14"/>
    </sheetView>
  </sheetViews>
  <sheetFormatPr baseColWidth="8" defaultColWidth="8.875" defaultRowHeight="18.75"/>
  <cols>
    <col width="3.875" customWidth="1" style="65" min="1" max="1"/>
    <col width="4.375" customWidth="1" style="65" min="2" max="2"/>
    <col width="21.625" customWidth="1" style="65" min="3" max="3"/>
    <col width="25" customWidth="1" style="595" min="4" max="4"/>
    <col width="19" customWidth="1" style="595" min="5" max="5"/>
    <col width="19" customWidth="1" style="595" min="6" max="6"/>
    <col width="19" customWidth="1" style="595" min="7" max="7"/>
    <col width="31.5" customWidth="1" style="65" min="8" max="8"/>
    <col width="8.875" customWidth="1" style="595" min="9" max="9"/>
    <col width="8.875" customWidth="1" style="595" min="10" max="10"/>
    <col width="8.875" customWidth="1" style="595" min="11" max="11"/>
    <col width="8.875" customWidth="1" style="595" min="12" max="12"/>
    <col width="8.875" customWidth="1" style="595" min="13" max="13"/>
    <col width="8.875" customWidth="1" style="595" min="14" max="14"/>
    <col width="8.875" customWidth="1" style="595" min="15" max="15"/>
    <col width="8.875" customWidth="1" style="595" min="16" max="16"/>
    <col width="8.875" customWidth="1" style="595" min="17" max="17"/>
    <col width="8.875" customWidth="1" style="595" min="18" max="18"/>
    <col width="8.875" customWidth="1" style="595" min="19" max="19"/>
    <col width="8.875" customWidth="1" style="595" min="20" max="20"/>
    <col width="8.875" customWidth="1" style="595" min="21" max="21"/>
    <col width="8.875" customWidth="1" style="595" min="22" max="22"/>
    <col width="8.875" customWidth="1" style="595" min="23" max="23"/>
    <col width="8.875" customWidth="1" style="595" min="24" max="24"/>
    <col width="8.875" customWidth="1" style="595" min="25" max="25"/>
    <col width="8.875" customWidth="1" style="595" min="26" max="26"/>
    <col width="8.875" customWidth="1" style="595" min="27" max="27"/>
    <col width="8.875" customWidth="1" style="595" min="28" max="28"/>
    <col width="8.875" customWidth="1" style="595" min="29" max="29"/>
    <col width="8.875" customWidth="1" style="595" min="30" max="30"/>
    <col width="8.875" customWidth="1" style="595" min="31" max="31"/>
    <col width="8.875" customWidth="1" style="595" min="32" max="32"/>
    <col width="8.875" customWidth="1" style="595" min="33" max="33"/>
    <col width="8.875" customWidth="1" style="595" min="34" max="34"/>
    <col width="8.875" customWidth="1" style="595" min="35" max="35"/>
    <col width="8.875" customWidth="1" style="595" min="36" max="36"/>
    <col width="8.875" customWidth="1" style="595" min="37" max="37"/>
    <col width="8.875" customWidth="1" style="595" min="38" max="38"/>
    <col width="8.875" customWidth="1" style="595" min="39" max="39"/>
    <col width="8.875" customWidth="1" style="595" min="40" max="40"/>
  </cols>
  <sheetData>
    <row r="1">
      <c r="A1" s="603" t="inlineStr">
        <is>
          <t>■ 貼付範囲 B2:H15 → 企業概要書「株主及び役員（株主）」（範囲をコピーしてパワポに貼り付け。数字はここを直す）</t>
        </is>
      </c>
    </row>
    <row r="2">
      <c r="E2" s="73" t="inlineStr">
        <is>
          <t>(単位：千円)</t>
        </is>
      </c>
    </row>
    <row r="3" ht="33" customHeight="1" s="595">
      <c r="B3" s="564" t="inlineStr">
        <is>
          <t>№</t>
        </is>
      </c>
      <c r="C3" s="564" t="inlineStr">
        <is>
          <t>氏名</t>
        </is>
      </c>
      <c r="D3" s="564" t="inlineStr">
        <is>
          <t>役職</t>
        </is>
      </c>
      <c r="E3" s="566" t="str">
        <f>"役員報酬"&amp;CHAR(10)&amp;"（"&amp;'BS(借方)'!F4&amp;"）"</f>
        <v>役員報酬
（26年3月期）</v>
      </c>
      <c r="F3" s="564" t="inlineStr">
        <is>
          <t>保有株式数</t>
        </is>
      </c>
      <c r="G3" s="564" t="inlineStr">
        <is>
          <t>保有割合</t>
        </is>
      </c>
      <c r="H3" s="562" t="inlineStr">
        <is>
          <t>備考</t>
        </is>
      </c>
    </row>
    <row r="4" hidden="1" ht="19.35" customHeight="1" s="595">
      <c r="B4" s="851" t="n"/>
      <c r="C4" s="851" t="n"/>
      <c r="D4" s="851" t="n"/>
      <c r="E4" s="851" t="n"/>
      <c r="F4" s="851" t="n"/>
      <c r="G4" s="851" t="n"/>
      <c r="H4" s="659" t="n"/>
    </row>
    <row r="5" ht="23.45" customHeight="1" s="595">
      <c r="B5" s="432" t="n">
        <v>1</v>
      </c>
      <c r="C5" s="852" t="inlineStr">
        <is>
          <t>岡部 寛</t>
        </is>
      </c>
      <c r="D5" s="852" t="inlineStr">
        <is>
          <t>代表取締役</t>
        </is>
      </c>
      <c r="E5" s="606" t="n">
        <v>4320000</v>
      </c>
      <c r="F5" s="862" t="n">
        <v>1510</v>
      </c>
      <c r="G5" s="644">
        <f>F5/$F$15</f>
        <v>0.3775</v>
      </c>
      <c r="H5" s="98" t="n"/>
    </row>
    <row r="6" ht="23.45" customHeight="1" s="595">
      <c r="B6" s="433" t="n">
        <v>2</v>
      </c>
      <c r="C6" s="852" t="inlineStr">
        <is>
          <t>岡部 一</t>
        </is>
      </c>
      <c r="D6" s="852" t="inlineStr">
        <is>
          <t>取締役（代表者の弟）</t>
        </is>
      </c>
      <c r="E6" s="606" t="n">
        <v>4200000</v>
      </c>
      <c r="F6" s="862" t="n">
        <v>720</v>
      </c>
      <c r="G6" s="644">
        <f>F6/$F$15</f>
        <v>0.18</v>
      </c>
      <c r="H6" s="99" t="n"/>
    </row>
    <row r="7" ht="23.45" customHeight="1" s="595">
      <c r="B7" s="434" t="n">
        <v>3</v>
      </c>
      <c r="C7" s="852" t="inlineStr">
        <is>
          <t>岡部 和子</t>
        </is>
      </c>
      <c r="D7" s="852" t="inlineStr">
        <is>
          <t>代表者の親族</t>
        </is>
      </c>
      <c r="E7" s="606" t="n">
        <v>0</v>
      </c>
      <c r="F7" s="862" t="n">
        <v>500</v>
      </c>
      <c r="G7" s="644">
        <f>F7/$F$15</f>
        <v>0.125</v>
      </c>
      <c r="H7" s="99" t="n"/>
    </row>
    <row r="8" ht="23.45" customHeight="1" s="595">
      <c r="B8" s="433" t="n">
        <v>4</v>
      </c>
      <c r="C8" s="852" t="inlineStr">
        <is>
          <t>梅津 恵一</t>
        </is>
      </c>
      <c r="D8" s="852" t="inlineStr">
        <is>
          <t>－</t>
        </is>
      </c>
      <c r="E8" s="606" t="n">
        <v>0</v>
      </c>
      <c r="F8" s="862" t="n">
        <v>360</v>
      </c>
      <c r="G8" s="644">
        <f>F8/$F$15</f>
        <v>0.09</v>
      </c>
      <c r="H8" s="99" t="n"/>
    </row>
    <row r="9" ht="23.45" customHeight="1" s="595">
      <c r="B9" s="434" t="n">
        <v>5</v>
      </c>
      <c r="C9" s="852" t="inlineStr">
        <is>
          <t>小野寺 則和</t>
        </is>
      </c>
      <c r="D9" s="852" t="inlineStr">
        <is>
          <t>監査役</t>
        </is>
      </c>
      <c r="E9" s="606" t="n">
        <v>120000</v>
      </c>
      <c r="F9" s="862" t="n">
        <v>350</v>
      </c>
      <c r="G9" s="644">
        <f>F9/$F$15</f>
        <v>0.0875</v>
      </c>
      <c r="H9" s="99" t="n"/>
    </row>
    <row r="10" ht="23.45" customHeight="1" s="595">
      <c r="B10" s="433" t="n">
        <v>6</v>
      </c>
      <c r="C10" s="852" t="inlineStr">
        <is>
          <t>岡部 竹古</t>
        </is>
      </c>
      <c r="D10" s="852" t="inlineStr">
        <is>
          <t>取締役（代表者の配偶者）</t>
        </is>
      </c>
      <c r="E10" s="606" t="n">
        <v>120000</v>
      </c>
      <c r="F10" s="862" t="n">
        <v>300</v>
      </c>
      <c r="G10" s="644">
        <f>F10/$F$15</f>
        <v>0.075</v>
      </c>
      <c r="H10" s="99" t="n"/>
    </row>
    <row r="11" ht="23.45" customHeight="1" s="595">
      <c r="B11" s="434" t="n">
        <v>7</v>
      </c>
      <c r="C11" s="852" t="inlineStr">
        <is>
          <t>佐藤 令子</t>
        </is>
      </c>
      <c r="D11" s="852" t="inlineStr">
        <is>
          <t>－</t>
        </is>
      </c>
      <c r="E11" s="606" t="n">
        <v>0</v>
      </c>
      <c r="F11" s="862" t="n">
        <v>200</v>
      </c>
      <c r="G11" s="644">
        <f>F11/$F$15</f>
        <v>0.05</v>
      </c>
      <c r="H11" s="99" t="n"/>
    </row>
    <row r="12" ht="23.45" customHeight="1" s="595">
      <c r="B12" s="433" t="n">
        <v>8</v>
      </c>
      <c r="C12" s="852" t="inlineStr">
        <is>
          <t>菅原 圭吾</t>
        </is>
      </c>
      <c r="D12" s="852" t="inlineStr">
        <is>
          <t>元常務取締役</t>
        </is>
      </c>
      <c r="E12" s="606" t="n">
        <v>6600000</v>
      </c>
      <c r="F12" s="862" t="n">
        <v>60</v>
      </c>
      <c r="G12" s="644">
        <f>F12/$F$15</f>
        <v>0.015</v>
      </c>
      <c r="H12" s="99" t="inlineStr">
        <is>
          <t>2026年5月29日退任</t>
        </is>
      </c>
    </row>
    <row r="13" hidden="1" ht="23.45" customHeight="1" s="595">
      <c r="B13" s="434" t="n">
        <v>9</v>
      </c>
      <c r="C13" s="852" t="n"/>
      <c r="D13" s="852" t="n"/>
      <c r="E13" s="606" t="n"/>
      <c r="F13" s="862" t="n"/>
      <c r="G13" s="644">
        <f>F13/$F$15</f>
        <v>0</v>
      </c>
      <c r="H13" s="99" t="n"/>
    </row>
    <row r="14" hidden="1" ht="23.45" customHeight="1" s="595">
      <c r="B14" s="433" t="n">
        <v>10</v>
      </c>
      <c r="C14" s="852" t="n"/>
      <c r="D14" s="852" t="n"/>
      <c r="E14" s="606" t="n"/>
      <c r="F14" s="862" t="n"/>
      <c r="G14" s="644">
        <f>F14/$F$15</f>
        <v>0</v>
      </c>
      <c r="H14" s="99" t="n"/>
    </row>
    <row r="15" ht="23.45" customHeight="1" s="595">
      <c r="B15" s="149" t="n"/>
      <c r="C15" s="863" t="inlineStr">
        <is>
          <t>合計</t>
        </is>
      </c>
      <c r="D15" s="863" t="n"/>
      <c r="E15" s="864">
        <f>SUM(E5:E14)</f>
        <v>15360000</v>
      </c>
      <c r="F15" s="865">
        <f>SUM(F5:F14)</f>
        <v>4000</v>
      </c>
      <c r="G15" s="646">
        <f>F15/$F$15</f>
        <v>1</v>
      </c>
      <c r="H15" s="153" t="n"/>
    </row>
    <row r="17">
      <c r="B17" t="inlineStr">
        <is>
          <t>チェック：発行済株式総数4,000株</t>
        </is>
      </c>
      <c r="F17" t="b">
        <f>F15=4000</f>
        <v>1</v>
      </c>
    </row>
    <row r="18">
      <c r="B18" t="inlineStr">
        <is>
          <t>うち代表者一族（岡部家4名）</t>
        </is>
      </c>
      <c r="F18">
        <f>F5+F6+F7+F10</f>
        <v>3030</v>
      </c>
      <c r="G18">
        <f>F18/F15</f>
        <v>0.7575</v>
      </c>
    </row>
    <row r="19">
      <c r="B19" t="inlineStr">
        <is>
          <t>※出所：法人税申告書別表二（2026/3期）。株主名簿・名義株の有無・親族外株主の取得経緯は要確認。</t>
        </is>
      </c>
    </row>
  </sheetData>
  <mergeCells count="7">
    <mergeCell ref="C3:C4"/>
    <mergeCell ref="B3:B4"/>
    <mergeCell ref="G3:G4"/>
    <mergeCell ref="E3:E4"/>
    <mergeCell ref="H3:H4"/>
    <mergeCell ref="F3:F4"/>
    <mergeCell ref="D3:D4"/>
  </mergeCells>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H17"/>
  <sheetViews>
    <sheetView showGridLines="0" zoomScaleNormal="100" workbookViewId="0">
      <selection activeCell="H8" sqref="H8"/>
    </sheetView>
  </sheetViews>
  <sheetFormatPr baseColWidth="8" defaultColWidth="8.875" defaultRowHeight="18.75"/>
  <cols>
    <col width="3.875" customWidth="1" style="65" min="1" max="1"/>
    <col width="4.4" customWidth="1" style="65" min="2" max="2"/>
    <col width="16" customWidth="1" style="65" min="3" max="3"/>
    <col width="22" customWidth="1" style="595" min="4" max="4"/>
    <col width="13" customWidth="1" style="595" min="5" max="5"/>
    <col width="13" customWidth="1" style="595" min="6" max="6"/>
    <col width="24" customWidth="1" style="595" min="7" max="7"/>
    <col width="26" customWidth="1" style="595" min="8" max="8"/>
    <col width="8.875" customWidth="1" style="595" min="9" max="9"/>
    <col width="8.875" customWidth="1" style="595" min="10" max="10"/>
    <col width="8.875" customWidth="1" style="595" min="11" max="11"/>
    <col width="8.875" customWidth="1" style="595" min="12" max="12"/>
    <col width="8.875" customWidth="1" style="595" min="13" max="13"/>
    <col width="8.875" customWidth="1" style="595" min="14" max="14"/>
    <col width="8.875" customWidth="1" style="595" min="15" max="15"/>
    <col width="8.875" customWidth="1" style="595" min="16" max="16"/>
    <col width="8.875" customWidth="1" style="595" min="17" max="17"/>
    <col width="8.875" customWidth="1" style="595" min="18" max="18"/>
    <col width="8.875" customWidth="1" style="595" min="19" max="19"/>
    <col width="8.875" customWidth="1" style="595" min="20" max="20"/>
    <col width="8.875" customWidth="1" style="595" min="21" max="21"/>
    <col width="8.875" customWidth="1" style="595" min="22" max="22"/>
    <col width="8.875" customWidth="1" style="595" min="23" max="23"/>
    <col width="8.875" customWidth="1" style="595" min="24" max="24"/>
    <col width="8.875" customWidth="1" style="595" min="25" max="25"/>
    <col width="8.875" customWidth="1" style="595" min="26" max="26"/>
    <col width="8.875" customWidth="1" style="595" min="27" max="27"/>
    <col width="8.875" customWidth="1" style="595" min="28" max="28"/>
    <col width="8.875" customWidth="1" style="595" min="29" max="29"/>
    <col width="8.875" customWidth="1" style="595" min="30" max="30"/>
    <col width="8.875" customWidth="1" style="595" min="31" max="31"/>
    <col width="8.875" customWidth="1" style="595" min="32" max="32"/>
    <col width="8.875" customWidth="1" style="595" min="33" max="33"/>
    <col width="8.875" customWidth="1" style="595" min="34" max="34"/>
    <col width="8.875" customWidth="1" style="595" min="35" max="35"/>
    <col width="8.875" customWidth="1" style="595" min="36" max="36"/>
    <col width="8.875" customWidth="1" style="595" min="37" max="37"/>
    <col width="8.875" customWidth="1" style="595" min="38" max="38"/>
    <col width="8.875" customWidth="1" style="595" min="39" max="39"/>
    <col width="8.875" customWidth="1" style="595" min="40" max="40"/>
  </cols>
  <sheetData>
    <row r="1">
      <c r="A1" s="603" t="inlineStr">
        <is>
          <t>■ 貼付範囲 B2:H15 → 企業概要書「株主及び役員（役員）」（範囲をコピーしてパワポに貼り付け。数字はここを直す）</t>
        </is>
      </c>
    </row>
    <row r="2">
      <c r="F2" s="73" t="inlineStr">
        <is>
          <t>(単位：千円)</t>
        </is>
      </c>
      <c r="G2" s="73" t="n"/>
    </row>
    <row r="3" ht="33" customHeight="1" s="595">
      <c r="B3" s="564" t="inlineStr">
        <is>
          <t>№</t>
        </is>
      </c>
      <c r="C3" s="564" t="inlineStr">
        <is>
          <t>氏名</t>
        </is>
      </c>
      <c r="D3" s="564" t="inlineStr">
        <is>
          <t>役職</t>
        </is>
      </c>
      <c r="E3" s="564" t="inlineStr">
        <is>
          <t>代表者との関係</t>
        </is>
      </c>
      <c r="F3" s="566" t="str">
        <f>"役員報酬"&amp;CHAR(10)&amp;"（"&amp;'BS(借方)'!F4&amp;"）"</f>
        <v>役員報酬
（26年3月期）</v>
      </c>
      <c r="G3" s="566" t="inlineStr">
        <is>
          <t>業務範囲</t>
        </is>
      </c>
      <c r="H3" s="562" t="inlineStr">
        <is>
          <t>備考</t>
        </is>
      </c>
    </row>
    <row r="4" hidden="1" ht="19.35" customHeight="1" s="595">
      <c r="B4" s="851" t="n"/>
      <c r="C4" s="851" t="n"/>
      <c r="D4" s="851" t="n"/>
      <c r="E4" s="851" t="n"/>
      <c r="F4" s="851" t="n"/>
      <c r="G4" s="851" t="n"/>
      <c r="H4" s="659" t="n"/>
    </row>
    <row r="5" ht="23.45" customHeight="1" s="595">
      <c r="B5" s="432" t="n">
        <v>1</v>
      </c>
      <c r="C5" s="852" t="inlineStr">
        <is>
          <t>岡部 寛</t>
        </is>
      </c>
      <c r="D5" s="852" t="inlineStr">
        <is>
          <t>代表取締役（常勤）</t>
        </is>
      </c>
      <c r="E5" s="852" t="inlineStr">
        <is>
          <t>本人</t>
        </is>
      </c>
      <c r="F5" s="606" t="n">
        <v>4320000</v>
      </c>
      <c r="G5" s="866" t="inlineStr">
        <is>
          <t>経営全般・販売</t>
        </is>
      </c>
      <c r="H5" s="98" t="inlineStr">
        <is>
          <t>譲渡後は顧問（最大1年）</t>
        </is>
      </c>
    </row>
    <row r="6" ht="23.45" customHeight="1" s="595">
      <c r="B6" s="433" t="n">
        <v>2</v>
      </c>
      <c r="C6" s="852" t="inlineStr">
        <is>
          <t>岡部 一</t>
        </is>
      </c>
      <c r="D6" s="852" t="inlineStr">
        <is>
          <t>取締役（常勤）</t>
        </is>
      </c>
      <c r="E6" s="852" t="inlineStr">
        <is>
          <t>弟</t>
        </is>
      </c>
      <c r="F6" s="606" t="n">
        <v>4200000</v>
      </c>
      <c r="G6" s="867" t="inlineStr">
        <is>
          <t>買付・販売</t>
        </is>
      </c>
      <c r="H6" s="99" t="inlineStr">
        <is>
          <t>譲渡後も継続勤務予定</t>
        </is>
      </c>
    </row>
    <row r="7" ht="23.45" customHeight="1" s="595">
      <c r="B7" s="434" t="n">
        <v>3</v>
      </c>
      <c r="C7" s="852" t="inlineStr">
        <is>
          <t>岡部 竹古</t>
        </is>
      </c>
      <c r="D7" s="852" t="inlineStr">
        <is>
          <t>取締役（非常勤）</t>
        </is>
      </c>
      <c r="E7" s="852" t="inlineStr">
        <is>
          <t>配偶者</t>
        </is>
      </c>
      <c r="F7" s="606" t="n">
        <v>120000</v>
      </c>
      <c r="G7" s="867" t="inlineStr">
        <is>
          <t>業務への関与なし</t>
        </is>
      </c>
      <c r="H7" s="99" t="inlineStr">
        <is>
          <t>譲渡時に退任予定</t>
        </is>
      </c>
    </row>
    <row r="8" ht="23.45" customHeight="1" s="595">
      <c r="B8" s="433" t="n">
        <v>4</v>
      </c>
      <c r="C8" s="852" t="inlineStr">
        <is>
          <t>小野寺 則和</t>
        </is>
      </c>
      <c r="D8" s="852" t="inlineStr">
        <is>
          <t>監査役（非常勤）</t>
        </is>
      </c>
      <c r="E8" s="852" t="inlineStr">
        <is>
          <t>－</t>
        </is>
      </c>
      <c r="F8" s="868" t="n">
        <v>120000</v>
      </c>
      <c r="G8" s="867" t="inlineStr">
        <is>
          <t>会計監査</t>
        </is>
      </c>
      <c r="H8" s="99" t="inlineStr">
        <is>
          <t>譲渡時に退任予定</t>
        </is>
      </c>
    </row>
    <row r="9" hidden="1" ht="23.45" customHeight="1" s="595">
      <c r="B9" s="94" t="n">
        <v>5</v>
      </c>
      <c r="C9" s="852" t="inlineStr">
        <is>
          <t>菅原 圭吾</t>
        </is>
      </c>
      <c r="D9" s="852" t="inlineStr">
        <is>
          <t>常務取締役（常勤）</t>
        </is>
      </c>
      <c r="E9" s="852" t="inlineStr">
        <is>
          <t>－</t>
        </is>
      </c>
      <c r="F9" s="606" t="n">
        <v>6600000</v>
      </c>
      <c r="G9" s="867" t="inlineStr">
        <is>
          <t>－</t>
        </is>
      </c>
      <c r="H9" s="99" t="inlineStr">
        <is>
          <t>2026年5月29日退任</t>
        </is>
      </c>
    </row>
    <row r="10" hidden="1" ht="23.45" customHeight="1" s="595">
      <c r="B10" s="95" t="n">
        <v>6</v>
      </c>
      <c r="C10" s="852" t="n"/>
      <c r="D10" s="852" t="n"/>
      <c r="E10" s="852" t="n"/>
      <c r="F10" s="606" t="n"/>
      <c r="G10" s="867" t="n"/>
      <c r="H10" s="99" t="n"/>
    </row>
    <row r="11" hidden="1" ht="23.45" customHeight="1" s="595">
      <c r="B11" s="94" t="n">
        <v>7</v>
      </c>
      <c r="C11" s="852" t="n"/>
      <c r="D11" s="852" t="n"/>
      <c r="E11" s="852" t="n"/>
      <c r="F11" s="606" t="n"/>
      <c r="G11" s="867" t="n"/>
      <c r="H11" s="99" t="n"/>
    </row>
    <row r="12" hidden="1" ht="23.45" customHeight="1" s="595">
      <c r="B12" s="95" t="n">
        <v>8</v>
      </c>
      <c r="C12" s="852" t="n"/>
      <c r="D12" s="852" t="n"/>
      <c r="E12" s="852" t="n"/>
      <c r="F12" s="606" t="n"/>
      <c r="G12" s="867" t="n"/>
      <c r="H12" s="99" t="n"/>
    </row>
    <row r="13" hidden="1" ht="23.45" customHeight="1" s="595">
      <c r="B13" s="94" t="n">
        <v>9</v>
      </c>
      <c r="C13" s="852" t="n"/>
      <c r="D13" s="852" t="n"/>
      <c r="E13" s="852" t="n"/>
      <c r="F13" s="606" t="n"/>
      <c r="G13" s="867" t="n"/>
      <c r="H13" s="99" t="n"/>
    </row>
    <row r="14" hidden="1" ht="23.45" customHeight="1" s="595">
      <c r="B14" s="95" t="n">
        <v>10</v>
      </c>
      <c r="C14" s="852" t="n"/>
      <c r="D14" s="852" t="n"/>
      <c r="E14" s="852" t="n"/>
      <c r="F14" s="606" t="n"/>
      <c r="G14" s="867" t="n"/>
      <c r="H14" s="99" t="n"/>
    </row>
    <row r="15" ht="23.45" customHeight="1" s="595">
      <c r="B15" s="149" t="n"/>
      <c r="C15" s="863" t="inlineStr">
        <is>
          <t>合計</t>
        </is>
      </c>
      <c r="D15" s="863" t="n"/>
      <c r="E15" s="863" t="n"/>
      <c r="F15" s="864">
        <f>SUM(F5:F14)</f>
        <v>15360000</v>
      </c>
      <c r="G15" s="869" t="n"/>
      <c r="H15" s="153" t="n"/>
    </row>
    <row r="17">
      <c r="B17" t="inlineStr">
        <is>
          <t>チェック：SGA役員報酬（26/3期）と一致</t>
        </is>
      </c>
      <c r="F17" t="b">
        <f>F15=SGA!I6</f>
        <v>1</v>
      </c>
    </row>
  </sheetData>
  <mergeCells count="7">
    <mergeCell ref="C3:C4"/>
    <mergeCell ref="B3:B4"/>
    <mergeCell ref="G3:G4"/>
    <mergeCell ref="E3:E4"/>
    <mergeCell ref="H3:H4"/>
    <mergeCell ref="F3:F4"/>
    <mergeCell ref="D3:D4"/>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Q44"/>
  <sheetViews>
    <sheetView showGridLines="0" zoomScale="70" zoomScaleNormal="70" workbookViewId="0">
      <selection activeCell="A1" sqref="A1"/>
    </sheetView>
  </sheetViews>
  <sheetFormatPr baseColWidth="8" defaultRowHeight="18"/>
  <cols>
    <col width="6" customWidth="1" style="118" min="2" max="2"/>
    <col hidden="1" width="13.5" customWidth="1" style="595" min="3" max="3"/>
    <col hidden="1" width="13.5" customWidth="1" style="595" min="4" max="4"/>
    <col width="17" customWidth="1" style="595" min="5" max="5"/>
    <col width="6.625" customWidth="1" style="117" min="6" max="6"/>
    <col hidden="1" width="16.625" bestFit="1" customWidth="1" style="120" min="7" max="7"/>
    <col width="14.375" customWidth="1" style="120" min="8" max="8"/>
    <col hidden="1" width="13.5" customWidth="1" style="121" min="9" max="9"/>
    <col width="14.375" customWidth="1" style="121" min="10" max="10"/>
    <col width="13.5" customWidth="1" style="595" min="11" max="11"/>
    <col width="13.5" customWidth="1" style="595" min="12" max="12"/>
    <col hidden="1" width="16.125" customWidth="1" style="595" min="13" max="13"/>
    <col hidden="1" width="16.125" customWidth="1" style="595" min="14" max="14"/>
    <col hidden="1" width="16.125" customWidth="1" style="595" min="15" max="15"/>
    <col hidden="1" width="16.125" customWidth="1" style="595" min="16" max="16"/>
    <col width="55.5" customWidth="1" style="595" min="17" max="17"/>
  </cols>
  <sheetData>
    <row r="1">
      <c r="A1" s="603" t="inlineStr">
        <is>
          <t>■ 貼付範囲 B4:Q28 → 企業概要書「従業員一覧」（範囲をコピーしてパワポに貼り付け。数字はここを直す）</t>
        </is>
      </c>
      <c r="K1" s="0" t="n"/>
      <c r="L1" s="0" t="n"/>
    </row>
    <row r="2">
      <c r="F2" s="119" t="inlineStr">
        <is>
          <t>基準日→適宜変更</t>
        </is>
      </c>
      <c r="G2" s="122" t="n">
        <v>46266</v>
      </c>
      <c r="K2" s="0" t="n"/>
      <c r="L2" s="0" t="n"/>
    </row>
    <row r="3">
      <c r="G3" s="120" t="inlineStr">
        <is>
          <t>YYYY/MM/DD</t>
        </is>
      </c>
      <c r="I3" s="120" t="inlineStr">
        <is>
          <t>YYYY/MM/DD</t>
        </is>
      </c>
      <c r="K3" s="0" t="n"/>
      <c r="L3" s="0" t="n"/>
    </row>
    <row r="4" ht="39" customHeight="1" s="595">
      <c r="B4" s="2" t="inlineStr">
        <is>
          <t>№</t>
        </is>
      </c>
      <c r="C4" s="126" t="inlineStr">
        <is>
          <t>氏名</t>
        </is>
      </c>
      <c r="D4" s="116" t="inlineStr">
        <is>
          <t>イニシャル</t>
        </is>
      </c>
      <c r="E4" s="116" t="inlineStr">
        <is>
          <t>雇用形態</t>
        </is>
      </c>
      <c r="F4" s="116" t="inlineStr">
        <is>
          <t>性別</t>
        </is>
      </c>
      <c r="G4" s="126" t="inlineStr">
        <is>
          <t>生年月日</t>
        </is>
      </c>
      <c r="H4" s="136" t="inlineStr">
        <is>
          <t>年齢
（歳）</t>
        </is>
      </c>
      <c r="I4" s="127" t="inlineStr">
        <is>
          <t>入社年月日</t>
        </is>
      </c>
      <c r="J4" s="137" t="inlineStr">
        <is>
          <t>勤続年数
（年）</t>
        </is>
      </c>
      <c r="K4" s="3" t="inlineStr">
        <is>
          <t>部署</t>
        </is>
      </c>
      <c r="L4" s="3" t="inlineStr">
        <is>
          <t>役職</t>
        </is>
      </c>
      <c r="M4" s="3" t="inlineStr">
        <is>
          <t>26年9月分総支給</t>
        </is>
      </c>
      <c r="N4" s="3" t="inlineStr">
        <is>
          <t>●年夏季賞与</t>
        </is>
      </c>
      <c r="O4" s="3" t="inlineStr">
        <is>
          <t>●年冬季賞与</t>
        </is>
      </c>
      <c r="P4" s="3" t="inlineStr">
        <is>
          <t>●年総支給額</t>
        </is>
      </c>
      <c r="Q4" s="1" t="inlineStr">
        <is>
          <t>備考</t>
        </is>
      </c>
    </row>
    <row r="5" ht="22.5" customFormat="1" customHeight="1" s="65">
      <c r="B5" s="434" t="n">
        <v>1</v>
      </c>
      <c r="C5" s="586" t="n"/>
      <c r="D5" s="586" t="n"/>
      <c r="E5" s="586" t="inlineStr">
        <is>
          <t>正社員</t>
        </is>
      </c>
      <c r="F5" s="586" t="inlineStr">
        <is>
          <t>男</t>
        </is>
      </c>
      <c r="G5" s="587" t="n">
        <v>23059</v>
      </c>
      <c r="H5" s="870">
        <f>IF(G5="","",DATEDIF(G5,$G$2,"Y"))</f>
        <v>63</v>
      </c>
      <c r="I5" s="871" t="n">
        <v>45758</v>
      </c>
      <c r="J5" s="870">
        <f>IF(I5="","",DATEDIF(I5,$G$2,"Y"))</f>
        <v>1</v>
      </c>
      <c r="K5" s="872" t="inlineStr">
        <is>
          <t>野菜営業部</t>
        </is>
      </c>
      <c r="L5" s="872" t="inlineStr">
        <is>
          <t>副部長</t>
        </is>
      </c>
      <c r="M5" s="873" t="n"/>
      <c r="N5" s="873" t="n"/>
      <c r="O5" s="873" t="n"/>
      <c r="P5" s="874" t="n"/>
      <c r="Q5" s="130" t="n"/>
    </row>
    <row r="6" ht="22.5" customFormat="1" customHeight="1" s="65">
      <c r="B6" s="590" t="n">
        <v>2</v>
      </c>
      <c r="C6" s="591" t="n"/>
      <c r="D6" s="591" t="n"/>
      <c r="E6" s="591" t="inlineStr">
        <is>
          <t>正社員</t>
        </is>
      </c>
      <c r="F6" s="591" t="inlineStr">
        <is>
          <t>男</t>
        </is>
      </c>
      <c r="G6" s="592" t="n">
        <v>29093</v>
      </c>
      <c r="H6" s="870">
        <f>IF(G6="","",DATEDIF(G6,$G$2,"Y"))</f>
        <v>47</v>
      </c>
      <c r="I6" s="875" t="n">
        <v>37410</v>
      </c>
      <c r="J6" s="870">
        <f>IF(I6="","",DATEDIF(I6,$G$2,"Y"))</f>
        <v>24</v>
      </c>
      <c r="K6" s="852" t="inlineStr">
        <is>
          <t>野菜営業部</t>
        </is>
      </c>
      <c r="L6" s="852" t="inlineStr">
        <is>
          <t>副部長</t>
        </is>
      </c>
      <c r="M6" s="876" t="n"/>
      <c r="N6" s="876" t="n"/>
      <c r="O6" s="876" t="n"/>
      <c r="P6" s="877" t="n"/>
      <c r="Q6" s="594" t="inlineStr">
        <is>
          <t>セリ人資格認定、フォークリフト運転免許</t>
        </is>
      </c>
    </row>
    <row r="7" ht="22.5" customFormat="1" customHeight="1" s="65">
      <c r="B7" s="434" t="n">
        <v>3</v>
      </c>
      <c r="C7" s="591" t="n"/>
      <c r="D7" s="591" t="n"/>
      <c r="E7" s="591" t="inlineStr">
        <is>
          <t>正社員</t>
        </is>
      </c>
      <c r="F7" s="591" t="inlineStr">
        <is>
          <t>男</t>
        </is>
      </c>
      <c r="G7" s="592" t="n">
        <v>34880</v>
      </c>
      <c r="H7" s="870">
        <f>IF(G7="","",DATEDIF(G7,$G$2,"Y"))</f>
        <v>31</v>
      </c>
      <c r="I7" s="875" t="n">
        <v>41730</v>
      </c>
      <c r="J7" s="870">
        <f>IF(I7="","",DATEDIF(I7,$G$2,"Y"))</f>
        <v>12</v>
      </c>
      <c r="K7" s="852" t="inlineStr">
        <is>
          <t>近郷部</t>
        </is>
      </c>
      <c r="L7" s="852" t="inlineStr">
        <is>
          <t>課長</t>
        </is>
      </c>
      <c r="M7" s="876" t="n"/>
      <c r="N7" s="876" t="n"/>
      <c r="O7" s="876" t="n"/>
      <c r="P7" s="877" t="n"/>
      <c r="Q7" s="594" t="inlineStr">
        <is>
          <t>セリ人資格認定、フォークリフト運転免許</t>
        </is>
      </c>
    </row>
    <row r="8" ht="22.5" customFormat="1" customHeight="1" s="65">
      <c r="B8" s="590" t="n">
        <v>4</v>
      </c>
      <c r="C8" s="591" t="n"/>
      <c r="D8" s="591" t="n"/>
      <c r="E8" s="591" t="inlineStr">
        <is>
          <t>正社員</t>
        </is>
      </c>
      <c r="F8" s="591" t="inlineStr">
        <is>
          <t>男</t>
        </is>
      </c>
      <c r="G8" s="592" t="n">
        <v>30875</v>
      </c>
      <c r="H8" s="870">
        <f>IF(G8="","",DATEDIF(G8,$G$2,"Y"))</f>
        <v>42</v>
      </c>
      <c r="I8" s="875" t="n">
        <v>43486</v>
      </c>
      <c r="J8" s="870">
        <f>IF(I8="","",DATEDIF(I8,$G$2,"Y"))</f>
        <v>7</v>
      </c>
      <c r="K8" s="852" t="inlineStr">
        <is>
          <t>近郷部</t>
        </is>
      </c>
      <c r="L8" s="852" t="n"/>
      <c r="M8" s="876" t="n"/>
      <c r="N8" s="876" t="n"/>
      <c r="O8" s="876" t="n"/>
      <c r="P8" s="877" t="n"/>
      <c r="Q8" s="594" t="inlineStr">
        <is>
          <t>フォークリフト運転免許</t>
        </is>
      </c>
    </row>
    <row r="9" ht="22.5" customFormat="1" customHeight="1" s="65">
      <c r="B9" s="434" t="n">
        <v>5</v>
      </c>
      <c r="C9" s="591" t="n"/>
      <c r="D9" s="591" t="n"/>
      <c r="E9" s="591" t="inlineStr">
        <is>
          <t>正社員</t>
        </is>
      </c>
      <c r="F9" s="591" t="inlineStr">
        <is>
          <t>男</t>
        </is>
      </c>
      <c r="G9" s="592" t="n">
        <v>29718</v>
      </c>
      <c r="H9" s="870">
        <f>IF(G9="","",DATEDIF(G9,$G$2,"Y"))</f>
        <v>45</v>
      </c>
      <c r="I9" s="875" t="n">
        <v>43514</v>
      </c>
      <c r="J9" s="870">
        <f>IF(I9="","",DATEDIF(I9,$G$2,"Y"))</f>
        <v>7</v>
      </c>
      <c r="K9" s="852" t="inlineStr">
        <is>
          <t>近郷部</t>
        </is>
      </c>
      <c r="L9" s="852" t="n"/>
      <c r="M9" s="876" t="n"/>
      <c r="N9" s="876" t="n"/>
      <c r="O9" s="876" t="n"/>
      <c r="P9" s="877" t="n"/>
      <c r="Q9" s="594" t="inlineStr">
        <is>
          <t>フォークリフト運転免許</t>
        </is>
      </c>
    </row>
    <row r="10" ht="22.5" customFormat="1" customHeight="1" s="65">
      <c r="B10" s="590" t="n">
        <v>6</v>
      </c>
      <c r="C10" s="591" t="n"/>
      <c r="D10" s="591" t="n"/>
      <c r="E10" s="591" t="inlineStr">
        <is>
          <t>正社員</t>
        </is>
      </c>
      <c r="F10" s="591" t="inlineStr">
        <is>
          <t>男</t>
        </is>
      </c>
      <c r="G10" s="592" t="n">
        <v>23096</v>
      </c>
      <c r="H10" s="870">
        <f>IF(G10="","",DATEDIF(G10,$G$2,"Y"))</f>
        <v>63</v>
      </c>
      <c r="I10" s="875" t="n">
        <v>43937</v>
      </c>
      <c r="J10" s="870">
        <f>IF(I10="","",DATEDIF(I10,$G$2,"Y"))</f>
        <v>6</v>
      </c>
      <c r="K10" s="852" t="inlineStr">
        <is>
          <t>集配部</t>
        </is>
      </c>
      <c r="L10" s="852" t="n"/>
      <c r="M10" s="876" t="n"/>
      <c r="N10" s="876" t="n"/>
      <c r="O10" s="876" t="n"/>
      <c r="P10" s="877" t="n"/>
      <c r="Q10" s="594" t="inlineStr">
        <is>
          <t>フォークリフト運転免許</t>
        </is>
      </c>
    </row>
    <row r="11" ht="22.5" customFormat="1" customHeight="1" s="65">
      <c r="B11" s="434" t="n">
        <v>7</v>
      </c>
      <c r="C11" s="591" t="n"/>
      <c r="D11" s="591" t="n"/>
      <c r="E11" s="591" t="inlineStr">
        <is>
          <t>正社員</t>
        </is>
      </c>
      <c r="F11" s="591" t="inlineStr">
        <is>
          <t>男</t>
        </is>
      </c>
      <c r="G11" s="592" t="n">
        <v>34432</v>
      </c>
      <c r="H11" s="870">
        <f>IF(G11="","",DATEDIF(G11,$G$2,"Y"))</f>
        <v>32</v>
      </c>
      <c r="I11" s="875" t="n">
        <v>43972</v>
      </c>
      <c r="J11" s="870">
        <f>IF(I11="","",DATEDIF(I11,$G$2,"Y"))</f>
        <v>6</v>
      </c>
      <c r="K11" s="852" t="inlineStr">
        <is>
          <t>野菜営業部</t>
        </is>
      </c>
      <c r="L11" s="852" t="n"/>
      <c r="M11" s="876" t="n"/>
      <c r="N11" s="876" t="n"/>
      <c r="O11" s="876" t="n"/>
      <c r="P11" s="877" t="n"/>
      <c r="Q11" s="594" t="inlineStr">
        <is>
          <t>フォークリフト運転免許</t>
        </is>
      </c>
    </row>
    <row r="12" ht="22.5" customFormat="1" customHeight="1" s="65">
      <c r="B12" s="590" t="n">
        <v>8</v>
      </c>
      <c r="C12" s="591" t="n"/>
      <c r="D12" s="591" t="n"/>
      <c r="E12" s="591" t="inlineStr">
        <is>
          <t>正社員</t>
        </is>
      </c>
      <c r="F12" s="591" t="inlineStr">
        <is>
          <t>男</t>
        </is>
      </c>
      <c r="G12" s="592" t="n">
        <v>33046</v>
      </c>
      <c r="H12" s="870">
        <f>IF(G12="","",DATEDIF(G12,$G$2,"Y"))</f>
        <v>36</v>
      </c>
      <c r="I12" s="875" t="n">
        <v>44550</v>
      </c>
      <c r="J12" s="870">
        <f>IF(I12="","",DATEDIF(I12,$G$2,"Y"))</f>
        <v>4</v>
      </c>
      <c r="K12" s="852" t="inlineStr">
        <is>
          <t>野菜営業部</t>
        </is>
      </c>
      <c r="L12" s="852" t="n"/>
      <c r="M12" s="876" t="n"/>
      <c r="N12" s="876" t="n"/>
      <c r="O12" s="876" t="n"/>
      <c r="P12" s="877" t="n"/>
      <c r="Q12" s="594" t="inlineStr">
        <is>
          <t>フォークリフト運転免許</t>
        </is>
      </c>
    </row>
    <row r="13" ht="22.5" customFormat="1" customHeight="1" s="65">
      <c r="B13" s="434" t="n">
        <v>9</v>
      </c>
      <c r="C13" s="591" t="n"/>
      <c r="D13" s="591" t="n"/>
      <c r="E13" s="591" t="inlineStr">
        <is>
          <t>正社員</t>
        </is>
      </c>
      <c r="F13" s="591" t="inlineStr">
        <is>
          <t>男</t>
        </is>
      </c>
      <c r="G13" s="592" t="n">
        <v>30645</v>
      </c>
      <c r="H13" s="870">
        <f>IF(G13="","",DATEDIF(G13,$G$2,"Y"))</f>
        <v>42</v>
      </c>
      <c r="I13" s="875" t="n">
        <v>41015</v>
      </c>
      <c r="J13" s="870">
        <f>IF(I13="","",DATEDIF(I13,$G$2,"Y"))</f>
        <v>14</v>
      </c>
      <c r="K13" s="852" t="inlineStr">
        <is>
          <t>集配部</t>
        </is>
      </c>
      <c r="L13" s="852" t="n"/>
      <c r="M13" s="876" t="n"/>
      <c r="N13" s="876" t="n"/>
      <c r="O13" s="876" t="n"/>
      <c r="P13" s="877" t="n"/>
      <c r="Q13" s="594" t="inlineStr">
        <is>
          <t>令和4年4月16日よりフルタイム勤務、フォークリフト運転免許</t>
        </is>
      </c>
    </row>
    <row r="14" ht="22.5" customFormat="1" customHeight="1" s="65">
      <c r="B14" s="590" t="n">
        <v>10</v>
      </c>
      <c r="C14" s="591" t="n"/>
      <c r="D14" s="591" t="n"/>
      <c r="E14" s="591" t="inlineStr">
        <is>
          <t>嘱託社員</t>
        </is>
      </c>
      <c r="F14" s="591" t="inlineStr">
        <is>
          <t>男</t>
        </is>
      </c>
      <c r="G14" s="592" t="n">
        <v>20758</v>
      </c>
      <c r="H14" s="870">
        <f>IF(G14="","",DATEDIF(G14,$G$2,"Y"))</f>
        <v>69</v>
      </c>
      <c r="I14" s="875" t="n">
        <v>38808</v>
      </c>
      <c r="J14" s="870">
        <f>IF(I14="","",DATEDIF(I14,$G$2,"Y"))</f>
        <v>20</v>
      </c>
      <c r="K14" s="852" t="inlineStr">
        <is>
          <t>生花部</t>
        </is>
      </c>
      <c r="L14" s="852" t="n"/>
      <c r="M14" s="876" t="n"/>
      <c r="N14" s="876" t="n"/>
      <c r="O14" s="876" t="n"/>
      <c r="P14" s="877" t="n"/>
      <c r="Q14" s="594" t="inlineStr">
        <is>
          <t>フォークリフト運転免許</t>
        </is>
      </c>
    </row>
    <row r="15" ht="22.5" customFormat="1" customHeight="1" s="65">
      <c r="B15" s="434" t="n">
        <v>11</v>
      </c>
      <c r="C15" s="591" t="n"/>
      <c r="D15" s="591" t="n"/>
      <c r="E15" s="591" t="inlineStr">
        <is>
          <t>再雇用正社員</t>
        </is>
      </c>
      <c r="F15" s="591" t="inlineStr">
        <is>
          <t>男</t>
        </is>
      </c>
      <c r="G15" s="592" t="n">
        <v>31390</v>
      </c>
      <c r="H15" s="870">
        <f>IF(G15="","",DATEDIF(G15,$G$2,"Y"))</f>
        <v>40</v>
      </c>
      <c r="I15" s="875" t="n">
        <v>44949</v>
      </c>
      <c r="J15" s="870">
        <f>IF(I15="","",DATEDIF(I15,$G$2,"Y"))</f>
        <v>3</v>
      </c>
      <c r="K15" s="852" t="inlineStr">
        <is>
          <t>集配部</t>
        </is>
      </c>
      <c r="L15" s="852" t="n"/>
      <c r="M15" s="876" t="n"/>
      <c r="N15" s="876" t="n"/>
      <c r="O15" s="876" t="n"/>
      <c r="P15" s="877" t="n"/>
      <c r="Q15" s="594" t="n"/>
    </row>
    <row r="16" ht="22.5" customFormat="1" customHeight="1" s="65">
      <c r="B16" s="590" t="n">
        <v>12</v>
      </c>
      <c r="C16" s="591" t="n"/>
      <c r="D16" s="591" t="n"/>
      <c r="E16" s="591" t="inlineStr">
        <is>
          <t>試用期間</t>
        </is>
      </c>
      <c r="F16" s="591" t="inlineStr">
        <is>
          <t>男</t>
        </is>
      </c>
      <c r="G16" s="592" t="n">
        <v>21804</v>
      </c>
      <c r="H16" s="870">
        <f>IF(G16="","",DATEDIF(G16,$G$2,"Y"))</f>
        <v>66</v>
      </c>
      <c r="I16" s="875" t="n">
        <v>45419</v>
      </c>
      <c r="J16" s="870">
        <f>IF(I16="","",DATEDIF(I16,$G$2,"Y"))</f>
        <v>2</v>
      </c>
      <c r="K16" s="852" t="inlineStr">
        <is>
          <t>近郷部</t>
        </is>
      </c>
      <c r="L16" s="852" t="n"/>
      <c r="M16" s="876" t="n"/>
      <c r="N16" s="876" t="n"/>
      <c r="O16" s="876" t="n"/>
      <c r="P16" s="877" t="n"/>
      <c r="Q16" s="594" t="inlineStr">
        <is>
          <t>セリ人資格認定、</t>
        </is>
      </c>
    </row>
    <row r="17" ht="22.5" customFormat="1" customHeight="1" s="65">
      <c r="B17" s="434" t="n">
        <v>13</v>
      </c>
      <c r="C17" s="591" t="n"/>
      <c r="D17" s="591" t="n"/>
      <c r="E17" s="591" t="inlineStr">
        <is>
          <t>アルバイト</t>
        </is>
      </c>
      <c r="F17" s="591" t="inlineStr">
        <is>
          <t>男</t>
        </is>
      </c>
      <c r="G17" s="592" t="n">
        <v>25847</v>
      </c>
      <c r="H17" s="870">
        <f>IF(G17="","",DATEDIF(G17,$G$2,"Y"))</f>
        <v>55</v>
      </c>
      <c r="I17" s="875" t="n">
        <v>46113</v>
      </c>
      <c r="J17" s="870">
        <f>IF(I17="","",DATEDIF(I17,$G$2,"Y"))</f>
        <v>0</v>
      </c>
      <c r="K17" s="852" t="inlineStr">
        <is>
          <t>集配部</t>
        </is>
      </c>
      <c r="L17" s="852" t="n"/>
      <c r="M17" s="876" t="n"/>
      <c r="N17" s="876" t="n"/>
      <c r="O17" s="876" t="n"/>
      <c r="P17" s="877" t="n"/>
      <c r="Q17" s="594" t="n"/>
    </row>
    <row r="18" ht="22.5" customFormat="1" customHeight="1" s="65">
      <c r="B18" s="590" t="n">
        <v>14</v>
      </c>
      <c r="C18" s="591" t="n"/>
      <c r="D18" s="591" t="n"/>
      <c r="E18" s="591" t="inlineStr">
        <is>
          <t>正社員</t>
        </is>
      </c>
      <c r="F18" s="591" t="inlineStr">
        <is>
          <t>女</t>
        </is>
      </c>
      <c r="G18" s="592" t="n">
        <v>25608</v>
      </c>
      <c r="H18" s="870">
        <f>IF(G18="","",DATEDIF(G18,$G$2,"Y"))</f>
        <v>56</v>
      </c>
      <c r="I18" s="875" t="n">
        <v>32223</v>
      </c>
      <c r="J18" s="870">
        <f>IF(I18="","",DATEDIF(I18,$G$2,"Y"))</f>
        <v>38</v>
      </c>
      <c r="K18" s="852" t="inlineStr">
        <is>
          <t>総務部</t>
        </is>
      </c>
      <c r="L18" s="852" t="inlineStr">
        <is>
          <t>部長</t>
        </is>
      </c>
      <c r="M18" s="876" t="n"/>
      <c r="N18" s="876" t="n"/>
      <c r="O18" s="876" t="n"/>
      <c r="P18" s="877" t="n"/>
      <c r="Q18" s="594" t="n"/>
    </row>
    <row r="19" ht="22.5" customFormat="1" customHeight="1" s="65">
      <c r="B19" s="434" t="n">
        <v>15</v>
      </c>
      <c r="C19" s="591" t="n"/>
      <c r="D19" s="591" t="n"/>
      <c r="E19" s="591" t="inlineStr">
        <is>
          <t>正社員</t>
        </is>
      </c>
      <c r="F19" s="591" t="inlineStr">
        <is>
          <t>女</t>
        </is>
      </c>
      <c r="G19" s="592" t="n">
        <v>22273</v>
      </c>
      <c r="H19" s="870">
        <f>IF(G19="","",DATEDIF(G19,$G$2,"Y"))</f>
        <v>65</v>
      </c>
      <c r="I19" s="875" t="n">
        <v>28926</v>
      </c>
      <c r="J19" s="870">
        <f>IF(I19="","",DATEDIF(I19,$G$2,"Y"))</f>
        <v>47</v>
      </c>
      <c r="K19" s="852" t="inlineStr">
        <is>
          <t>資材部</t>
        </is>
      </c>
      <c r="L19" s="852" t="inlineStr">
        <is>
          <t>課長</t>
        </is>
      </c>
      <c r="M19" s="876" t="n"/>
      <c r="N19" s="876" t="n"/>
      <c r="O19" s="876" t="n"/>
      <c r="P19" s="877" t="n"/>
      <c r="Q19" s="594" t="n"/>
    </row>
    <row r="20" ht="22.5" customFormat="1" customHeight="1" s="65">
      <c r="B20" s="590" t="n">
        <v>16</v>
      </c>
      <c r="C20" s="591" t="n"/>
      <c r="D20" s="591" t="n"/>
      <c r="E20" s="591" t="inlineStr">
        <is>
          <t>正社員</t>
        </is>
      </c>
      <c r="F20" s="591" t="inlineStr">
        <is>
          <t>女</t>
        </is>
      </c>
      <c r="G20" s="592" t="n">
        <v>28120</v>
      </c>
      <c r="H20" s="870">
        <f>IF(G20="","",DATEDIF(G20,$G$2,"Y"))</f>
        <v>49</v>
      </c>
      <c r="I20" s="875" t="n">
        <v>39223</v>
      </c>
      <c r="J20" s="870">
        <f>IF(I20="","",DATEDIF(I20,$G$2,"Y"))</f>
        <v>19</v>
      </c>
      <c r="K20" s="852" t="inlineStr">
        <is>
          <t>野菜営業部</t>
        </is>
      </c>
      <c r="L20" s="852" t="inlineStr">
        <is>
          <t>課長</t>
        </is>
      </c>
      <c r="M20" s="876" t="n"/>
      <c r="N20" s="876" t="n"/>
      <c r="O20" s="876" t="n"/>
      <c r="P20" s="877" t="n"/>
      <c r="Q20" s="594" t="n"/>
    </row>
    <row r="21" ht="22.5" customFormat="1" customHeight="1" s="65">
      <c r="B21" s="434" t="n">
        <v>17</v>
      </c>
      <c r="C21" s="591" t="n"/>
      <c r="D21" s="591" t="n"/>
      <c r="E21" s="591" t="inlineStr">
        <is>
          <t>正社員</t>
        </is>
      </c>
      <c r="F21" s="591" t="inlineStr">
        <is>
          <t>女</t>
        </is>
      </c>
      <c r="G21" s="592" t="n">
        <v>35762</v>
      </c>
      <c r="H21" s="870">
        <f>IF(G21="","",DATEDIF(G21,$G$2,"Y"))</f>
        <v>28</v>
      </c>
      <c r="I21" s="875" t="n">
        <v>43619</v>
      </c>
      <c r="J21" s="870">
        <f>IF(I21="","",DATEDIF(I21,$G$2,"Y"))</f>
        <v>7</v>
      </c>
      <c r="K21" s="852" t="inlineStr">
        <is>
          <t>事務</t>
        </is>
      </c>
      <c r="L21" s="852" t="n"/>
      <c r="M21" s="876" t="n"/>
      <c r="N21" s="876" t="n"/>
      <c r="O21" s="876" t="n"/>
      <c r="P21" s="877" t="n"/>
      <c r="Q21" s="594" t="n"/>
    </row>
    <row r="22" ht="22.5" customFormat="1" customHeight="1" s="65">
      <c r="B22" s="590" t="n">
        <v>18</v>
      </c>
      <c r="C22" s="591" t="n"/>
      <c r="D22" s="591" t="n"/>
      <c r="E22" s="591" t="inlineStr">
        <is>
          <t>正社員</t>
        </is>
      </c>
      <c r="F22" s="591" t="inlineStr">
        <is>
          <t>女</t>
        </is>
      </c>
      <c r="G22" s="592" t="n">
        <v>27221</v>
      </c>
      <c r="H22" s="870">
        <f>IF(G22="","",DATEDIF(G22,$G$2,"Y"))</f>
        <v>52</v>
      </c>
      <c r="I22" s="875" t="n">
        <v>38834</v>
      </c>
      <c r="J22" s="870">
        <f>IF(I22="","",DATEDIF(I22,$G$2,"Y"))</f>
        <v>20</v>
      </c>
      <c r="K22" s="852" t="inlineStr">
        <is>
          <t>パッケージ部</t>
        </is>
      </c>
      <c r="L22" s="852" t="inlineStr">
        <is>
          <t>係長</t>
        </is>
      </c>
      <c r="M22" s="876" t="n"/>
      <c r="N22" s="876" t="n"/>
      <c r="O22" s="876" t="n"/>
      <c r="P22" s="877" t="n"/>
      <c r="Q22" s="594" t="inlineStr">
        <is>
          <t>平成24年4月21日よりフルタイム勤務</t>
        </is>
      </c>
    </row>
    <row r="23" ht="22.5" customFormat="1" customHeight="1" s="65">
      <c r="B23" s="434" t="n">
        <v>19</v>
      </c>
      <c r="C23" s="591" t="n"/>
      <c r="D23" s="591" t="n"/>
      <c r="E23" s="591" t="inlineStr">
        <is>
          <t>正社員</t>
        </is>
      </c>
      <c r="F23" s="591" t="inlineStr">
        <is>
          <t>女</t>
        </is>
      </c>
      <c r="G23" s="592" t="n">
        <v>22228</v>
      </c>
      <c r="H23" s="870">
        <f>IF(G23="","",DATEDIF(G23,$G$2,"Y"))</f>
        <v>65</v>
      </c>
      <c r="I23" s="875" t="n">
        <v>38835</v>
      </c>
      <c r="J23" s="870">
        <f>IF(I23="","",DATEDIF(I23,$G$2,"Y"))</f>
        <v>20</v>
      </c>
      <c r="K23" s="852" t="inlineStr">
        <is>
          <t>パッケージ部</t>
        </is>
      </c>
      <c r="L23" s="852" t="n"/>
      <c r="M23" s="876" t="n"/>
      <c r="N23" s="876" t="n"/>
      <c r="O23" s="876" t="n"/>
      <c r="P23" s="877" t="n"/>
      <c r="Q23" s="594" t="inlineStr">
        <is>
          <t>平成24年4月21日よりフルタイム勤務</t>
        </is>
      </c>
    </row>
    <row r="24" ht="22.5" customFormat="1" customHeight="1" s="65">
      <c r="B24" s="590" t="n">
        <v>20</v>
      </c>
      <c r="C24" s="591" t="n"/>
      <c r="D24" s="591" t="n"/>
      <c r="E24" s="591" t="inlineStr">
        <is>
          <t>正社員</t>
        </is>
      </c>
      <c r="F24" s="591" t="inlineStr">
        <is>
          <t>女</t>
        </is>
      </c>
      <c r="G24" s="592" t="n">
        <v>25734</v>
      </c>
      <c r="H24" s="870">
        <f>IF(G24="","",DATEDIF(G24,$G$2,"Y"))</f>
        <v>56</v>
      </c>
      <c r="I24" s="875" t="n">
        <v>44287</v>
      </c>
      <c r="J24" s="870">
        <f>IF(I24="","",DATEDIF(I24,$G$2,"Y"))</f>
        <v>5</v>
      </c>
      <c r="K24" s="852" t="inlineStr">
        <is>
          <t>パッケージ部</t>
        </is>
      </c>
      <c r="L24" s="852" t="n"/>
      <c r="M24" s="876" t="n"/>
      <c r="N24" s="876" t="n"/>
      <c r="O24" s="876" t="n"/>
      <c r="P24" s="877" t="n"/>
      <c r="Q24" s="594" t="n"/>
    </row>
    <row r="25" ht="22.5" customFormat="1" customHeight="1" s="65">
      <c r="B25" s="434" t="n">
        <v>21</v>
      </c>
      <c r="C25" s="591" t="n"/>
      <c r="D25" s="591" t="n"/>
      <c r="E25" s="591" t="inlineStr">
        <is>
          <t>正社員</t>
        </is>
      </c>
      <c r="F25" s="591" t="inlineStr">
        <is>
          <t>女</t>
        </is>
      </c>
      <c r="G25" s="592" t="n">
        <v>21947</v>
      </c>
      <c r="H25" s="870">
        <f>IF(G25="","",DATEDIF(G25,$G$2,"Y"))</f>
        <v>66</v>
      </c>
      <c r="I25" s="875" t="n">
        <v>39934</v>
      </c>
      <c r="J25" s="870">
        <f>IF(I25="","",DATEDIF(I25,$G$2,"Y"))</f>
        <v>17</v>
      </c>
      <c r="K25" s="852" t="inlineStr">
        <is>
          <t>パッケージ部</t>
        </is>
      </c>
      <c r="L25" s="852" t="n"/>
      <c r="M25" s="876" t="n"/>
      <c r="N25" s="876" t="n"/>
      <c r="O25" s="876" t="n"/>
      <c r="P25" s="877" t="n"/>
      <c r="Q25" s="594" t="inlineStr">
        <is>
          <t>平成24年4月21日よりフルタイム勤務</t>
        </is>
      </c>
    </row>
    <row r="26" ht="22.5" customFormat="1" customHeight="1" s="65">
      <c r="B26" s="590" t="n">
        <v>22</v>
      </c>
      <c r="C26" s="591" t="n"/>
      <c r="D26" s="591" t="n"/>
      <c r="E26" s="591" t="inlineStr">
        <is>
          <t>パート</t>
        </is>
      </c>
      <c r="F26" s="591" t="inlineStr">
        <is>
          <t>女</t>
        </is>
      </c>
      <c r="G26" s="592" t="n">
        <v>21663</v>
      </c>
      <c r="H26" s="870">
        <f>IF(G26="","",DATEDIF(G26,$G$2,"Y"))</f>
        <v>67</v>
      </c>
      <c r="I26" s="875" t="n">
        <v>41120</v>
      </c>
      <c r="J26" s="870">
        <f>IF(I26="","",DATEDIF(I26,$G$2,"Y"))</f>
        <v>14</v>
      </c>
      <c r="K26" s="852" t="inlineStr">
        <is>
          <t>パッケージ部</t>
        </is>
      </c>
      <c r="L26" s="852" t="n"/>
      <c r="M26" s="876" t="n"/>
      <c r="N26" s="876" t="n"/>
      <c r="O26" s="876" t="n"/>
      <c r="P26" s="877" t="n"/>
      <c r="Q26" s="594" t="n"/>
    </row>
    <row r="27" ht="22.5" customFormat="1" customHeight="1" s="65">
      <c r="B27" s="434" t="n">
        <v>23</v>
      </c>
      <c r="C27" s="591" t="n"/>
      <c r="D27" s="591" t="n"/>
      <c r="E27" s="591" t="inlineStr">
        <is>
          <t>パート</t>
        </is>
      </c>
      <c r="F27" s="591" t="inlineStr">
        <is>
          <t>男</t>
        </is>
      </c>
      <c r="G27" s="592" t="n">
        <v>35398</v>
      </c>
      <c r="H27" s="870">
        <f>IF(G27="","",DATEDIF(G27,$G$2,"Y"))</f>
        <v>29</v>
      </c>
      <c r="I27" s="875" t="n">
        <v>43248</v>
      </c>
      <c r="J27" s="870">
        <f>IF(I27="","",DATEDIF(I27,$G$2,"Y"))</f>
        <v>8</v>
      </c>
      <c r="K27" s="852" t="inlineStr">
        <is>
          <t>パッケージ部</t>
        </is>
      </c>
      <c r="L27" s="852" t="n"/>
      <c r="M27" s="876" t="n"/>
      <c r="N27" s="876" t="n"/>
      <c r="O27" s="876" t="n"/>
      <c r="P27" s="877" t="n"/>
      <c r="Q27" s="594" t="n"/>
    </row>
    <row r="28" ht="22.5" customFormat="1" customHeight="1" s="65">
      <c r="B28" s="590" t="n">
        <v>24</v>
      </c>
      <c r="C28" s="591" t="n"/>
      <c r="D28" s="591" t="n"/>
      <c r="E28" s="591" t="inlineStr">
        <is>
          <t>パート</t>
        </is>
      </c>
      <c r="F28" s="591" t="inlineStr">
        <is>
          <t>女</t>
        </is>
      </c>
      <c r="G28" s="592" t="n">
        <v>24663</v>
      </c>
      <c r="H28" s="870">
        <f>IF(G28="","",DATEDIF(G28,$G$2,"Y"))</f>
        <v>59</v>
      </c>
      <c r="I28" s="875" t="n">
        <v>45064</v>
      </c>
      <c r="J28" s="870">
        <f>IF(I28="","",DATEDIF(I28,$G$2,"Y"))</f>
        <v>3</v>
      </c>
      <c r="K28" s="852" t="inlineStr">
        <is>
          <t>パッケージ部</t>
        </is>
      </c>
      <c r="L28" s="852" t="n"/>
      <c r="M28" s="876" t="n"/>
      <c r="N28" s="876" t="n"/>
      <c r="O28" s="876" t="n"/>
      <c r="P28" s="877" t="n"/>
      <c r="Q28" s="594" t="n"/>
    </row>
    <row r="29" hidden="1" ht="22.5" customFormat="1" customHeight="1" s="65">
      <c r="B29" s="434" t="n">
        <v>25</v>
      </c>
      <c r="C29" s="591" t="n"/>
      <c r="D29" s="591" t="n"/>
      <c r="E29" s="591" t="n"/>
      <c r="F29" s="591" t="n"/>
      <c r="G29" s="592" t="n"/>
      <c r="H29" s="878">
        <f>ROUNDDOWN(($G$2-G29)/365,0)</f>
        <v>126</v>
      </c>
      <c r="I29" s="877" t="n"/>
      <c r="J29" s="878">
        <f>ROUNDDOWN(($G$2-I29)/365,0)</f>
        <v>126</v>
      </c>
      <c r="K29" s="852" t="n"/>
      <c r="L29" s="852" t="n"/>
      <c r="M29" s="876" t="n"/>
      <c r="N29" s="876" t="n"/>
      <c r="O29" s="876" t="n"/>
      <c r="P29" s="877" t="n"/>
      <c r="Q29" s="594" t="n"/>
    </row>
    <row r="30" hidden="1" ht="22.5" customFormat="1" customHeight="1" s="65">
      <c r="B30" s="590" t="n">
        <v>26</v>
      </c>
      <c r="C30" s="591" t="n"/>
      <c r="D30" s="591" t="n"/>
      <c r="E30" s="591" t="n"/>
      <c r="F30" s="591" t="n"/>
      <c r="G30" s="592" t="n"/>
      <c r="H30" s="878">
        <f>ROUNDDOWN(($G$2-G30)/365,0)</f>
        <v>126</v>
      </c>
      <c r="I30" s="877" t="n"/>
      <c r="J30" s="878">
        <f>ROUNDDOWN(($G$2-I30)/365,0)</f>
        <v>126</v>
      </c>
      <c r="K30" s="852" t="n"/>
      <c r="L30" s="852" t="n"/>
      <c r="M30" s="876" t="n"/>
      <c r="N30" s="876" t="n"/>
      <c r="O30" s="876" t="n"/>
      <c r="P30" s="877" t="n"/>
      <c r="Q30" s="594" t="n"/>
    </row>
    <row r="31" hidden="1" ht="22.5" customHeight="1" s="595">
      <c r="B31" s="435" t="n">
        <v>27</v>
      </c>
      <c r="C31" s="438" t="n"/>
      <c r="D31" s="438" t="n"/>
      <c r="E31" s="438" t="n"/>
      <c r="F31" s="438" t="n"/>
      <c r="G31" s="585" t="n"/>
      <c r="H31" s="879">
        <f>ROUNDDOWN(($G$2-G31)/365,0)</f>
        <v>126</v>
      </c>
      <c r="I31" s="862" t="n"/>
      <c r="J31" s="879">
        <f>ROUNDDOWN(($G$2-I31)/365,0)</f>
        <v>126</v>
      </c>
      <c r="K31" s="880" t="n"/>
      <c r="L31" s="880" t="n"/>
      <c r="M31" s="881" t="n"/>
      <c r="N31" s="881" t="n"/>
      <c r="O31" s="881" t="n"/>
      <c r="P31" s="862" t="n"/>
      <c r="Q31" s="19" t="n"/>
    </row>
    <row r="32" hidden="1" ht="22.5" customHeight="1" s="595">
      <c r="B32" s="437" t="n">
        <v>28</v>
      </c>
      <c r="C32" s="438" t="n"/>
      <c r="D32" s="438" t="n"/>
      <c r="E32" s="438" t="n"/>
      <c r="F32" s="438" t="n"/>
      <c r="G32" s="439" t="n"/>
      <c r="H32" s="879">
        <f>ROUNDDOWN(($G$2-G32)/365,0)</f>
        <v>126</v>
      </c>
      <c r="I32" s="862" t="n"/>
      <c r="J32" s="879">
        <f>ROUNDDOWN(($G$2-I32)/365,0)</f>
        <v>126</v>
      </c>
      <c r="K32" s="880" t="n"/>
      <c r="L32" s="880" t="n"/>
      <c r="M32" s="881" t="n"/>
      <c r="N32" s="881" t="n"/>
      <c r="O32" s="881" t="n"/>
      <c r="P32" s="862" t="n"/>
      <c r="Q32" s="19" t="n"/>
    </row>
    <row r="33" hidden="1" ht="22.5" customHeight="1" s="595">
      <c r="B33" s="435" t="n">
        <v>29</v>
      </c>
      <c r="C33" s="438" t="n"/>
      <c r="D33" s="438" t="n"/>
      <c r="E33" s="438" t="n"/>
      <c r="F33" s="438" t="n"/>
      <c r="G33" s="439" t="n"/>
      <c r="H33" s="879">
        <f>ROUNDDOWN(($G$2-G33)/365,0)</f>
        <v>126</v>
      </c>
      <c r="I33" s="862" t="n"/>
      <c r="J33" s="879">
        <f>ROUNDDOWN(($G$2-I33)/365,0)</f>
        <v>126</v>
      </c>
      <c r="K33" s="880" t="n"/>
      <c r="L33" s="880" t="n"/>
      <c r="M33" s="881" t="n"/>
      <c r="N33" s="881" t="n"/>
      <c r="O33" s="881" t="n"/>
      <c r="P33" s="862" t="n"/>
      <c r="Q33" s="19" t="n"/>
    </row>
    <row r="34" hidden="1" ht="22.5" customHeight="1" s="595">
      <c r="B34" s="437" t="n">
        <v>30</v>
      </c>
      <c r="C34" s="438" t="n"/>
      <c r="D34" s="438" t="n"/>
      <c r="E34" s="438" t="n"/>
      <c r="F34" s="438" t="n"/>
      <c r="G34" s="439" t="n"/>
      <c r="H34" s="879">
        <f>ROUNDDOWN(($G$2-G34)/365,0)</f>
        <v>126</v>
      </c>
      <c r="I34" s="862" t="n"/>
      <c r="J34" s="879">
        <f>ROUNDDOWN(($G$2-I34)/365,0)</f>
        <v>126</v>
      </c>
      <c r="K34" s="880" t="n"/>
      <c r="L34" s="880" t="n"/>
      <c r="M34" s="881" t="n"/>
      <c r="N34" s="881" t="n"/>
      <c r="O34" s="881" t="n"/>
      <c r="P34" s="862" t="n"/>
      <c r="Q34" s="19" t="n"/>
    </row>
    <row r="37">
      <c r="B37" t="inlineStr">
        <is>
          <t>人数</t>
        </is>
      </c>
      <c r="E37">
        <f>COUNTA(E5:E34)</f>
        <v>24</v>
      </c>
    </row>
    <row r="38">
      <c r="B38" t="inlineStr">
        <is>
          <t>平均年齢</t>
        </is>
      </c>
      <c r="E38">
        <f>AVERAGE(H5:H28)</f>
        <v>50.9583333333333</v>
      </c>
    </row>
    <row r="39">
      <c r="B39" t="inlineStr">
        <is>
          <t>平均勤続年数</t>
        </is>
      </c>
      <c r="E39">
        <f>AVERAGE(J5:J28)</f>
        <v>12.6666666666667</v>
      </c>
    </row>
    <row r="40">
      <c r="B40" t="inlineStr">
        <is>
          <t>60歳以上</t>
        </is>
      </c>
      <c r="E40">
        <f>COUNTIF(H5:H28,"&gt;=60")</f>
        <v>8</v>
      </c>
    </row>
    <row r="41">
      <c r="B41" t="inlineStr">
        <is>
          <t>正社員</t>
        </is>
      </c>
      <c r="E41">
        <f>COUNTIF(E5:E28,"正社員")</f>
        <v>17</v>
      </c>
    </row>
    <row r="42">
      <c r="B42" t="inlineStr">
        <is>
          <t>セリ人資格者</t>
        </is>
      </c>
      <c r="E42">
        <f>COUNTIF(Q5:Q28,"*セリ人*")</f>
        <v>3</v>
      </c>
    </row>
    <row r="44">
      <c r="B44" t="inlineStr">
        <is>
          <t>※出所：職員名簿（2026年9月1日現在）。氏名・イニシャル・生年月日・入社日は概要書に貼らない（非表示列）。賃金台帳（2026/4〜10）は氏名表記のため名簿№との対応確認後に総支給額を転記（要確認）。</t>
        </is>
      </c>
    </row>
  </sheetData>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G8"/>
  <sheetViews>
    <sheetView showGridLines="0" zoomScaleNormal="100" workbookViewId="0">
      <selection activeCell="C3" sqref="C3"/>
    </sheetView>
  </sheetViews>
  <sheetFormatPr baseColWidth="8" defaultColWidth="8.875" defaultRowHeight="18.75"/>
  <cols>
    <col width="8.875" customWidth="1" style="65" min="1" max="1"/>
    <col width="12" customWidth="1" style="65" min="2" max="2"/>
    <col width="30" customWidth="1" style="65" min="3" max="3"/>
    <col width="9" customWidth="1" style="65" min="4" max="6"/>
    <col width="10" customWidth="1" style="595" min="5" max="5"/>
    <col width="34" customWidth="1" style="595" min="6" max="6"/>
    <col width="26" customWidth="1" style="65" min="7" max="7"/>
    <col width="8.875" customWidth="1" style="65" min="8" max="16384"/>
  </cols>
  <sheetData>
    <row r="1">
      <c r="A1" s="603" t="inlineStr">
        <is>
          <t>■ 貼付範囲 B2:G6 → 企業概要書「拠点概要（本社・市場）」（範囲をコピーしてパワポに貼り付け。数字はここを直す）</t>
        </is>
      </c>
    </row>
    <row r="2" ht="39" customHeight="1" s="595">
      <c r="B2" s="63" t="inlineStr">
        <is>
          <t>拠点</t>
        </is>
      </c>
      <c r="C2" s="64" t="inlineStr">
        <is>
          <t>所在地</t>
        </is>
      </c>
      <c r="D2" s="132" t="inlineStr">
        <is>
          <t>所有区分</t>
        </is>
      </c>
      <c r="E2" s="132" t="inlineStr">
        <is>
          <t>土地面積
(㎡)</t>
        </is>
      </c>
      <c r="F2" s="132" t="inlineStr">
        <is>
          <t>主な建物</t>
        </is>
      </c>
      <c r="G2" s="128" t="inlineStr">
        <is>
          <t>用途</t>
        </is>
      </c>
    </row>
    <row r="3" ht="39" customHeight="1" s="595">
      <c r="B3" s="133" t="inlineStr">
        <is>
          <t>本社・市場</t>
        </is>
      </c>
      <c r="C3" s="882" t="inlineStr">
        <is>
          <t>山形県鶴岡市宝田一丁目4番20号
（地番：宝田一丁目4-2）</t>
        </is>
      </c>
      <c r="D3" s="874" t="inlineStr">
        <is>
          <t>法人</t>
        </is>
      </c>
      <c r="E3" s="883" t="n">
        <v>3100.22</v>
      </c>
      <c r="F3" s="884" t="inlineStr">
        <is>
          <t>事務所（管理棟）・市場・倉庫・容器庫・貯蔵庫</t>
        </is>
      </c>
      <c r="G3" s="134" t="inlineStr">
        <is>
          <t>事務、セリ・相対取引、保管</t>
        </is>
      </c>
    </row>
    <row r="4" ht="39" customHeight="1" s="595">
      <c r="B4" s="133" t="inlineStr">
        <is>
          <t>パッケージ場</t>
        </is>
      </c>
      <c r="C4" s="882" t="inlineStr">
        <is>
          <t>山形県鶴岡市宝田一丁目5-1</t>
        </is>
      </c>
      <c r="D4" s="874" t="inlineStr">
        <is>
          <t>法人</t>
        </is>
      </c>
      <c r="E4" s="883" t="n">
        <v>900.5</v>
      </c>
      <c r="F4" s="884" t="inlineStr">
        <is>
          <t>事務所兼倉庫（パッケージ場）・倉庫</t>
        </is>
      </c>
      <c r="G4" s="134" t="inlineStr">
        <is>
          <t>小分け・包装、保管</t>
        </is>
      </c>
    </row>
    <row r="5" ht="39" customHeight="1" s="595">
      <c r="B5" s="133" t="inlineStr">
        <is>
          <t>旧倉庫敷地</t>
        </is>
      </c>
      <c r="C5" s="882" t="inlineStr">
        <is>
          <t>山形県東田川郡庄内町長沼字宮前304-7</t>
        </is>
      </c>
      <c r="D5" s="874" t="inlineStr">
        <is>
          <t>法人</t>
        </is>
      </c>
      <c r="E5" s="883" t="n">
        <v>261.81</v>
      </c>
      <c r="F5" s="884" t="inlineStr">
        <is>
          <t>なし（倉庫は老朽化により解体済み）</t>
        </is>
      </c>
      <c r="G5" s="134" t="inlineStr">
        <is>
          <t>月極駐車場として近隣へ賃貸</t>
        </is>
      </c>
    </row>
    <row r="6" ht="39" customHeight="1" s="595">
      <c r="B6" s="133" t="inlineStr">
        <is>
          <t>賃借物件</t>
        </is>
      </c>
      <c r="C6" s="882" t="inlineStr">
        <is>
          <t>なし（地代家賃の計上なし）</t>
        </is>
      </c>
      <c r="D6" s="874" t="inlineStr">
        <is>
          <t>－</t>
        </is>
      </c>
      <c r="E6" s="883" t="n"/>
      <c r="F6" s="884" t="inlineStr">
        <is>
          <t>－</t>
        </is>
      </c>
      <c r="G6" s="134" t="inlineStr">
        <is>
          <t>－</t>
        </is>
      </c>
    </row>
    <row r="8">
      <c r="B8" t="inlineStr">
        <is>
          <t>※営業時間は早朝5時から（終業時刻は要確認）、定休日は水・日・祝日。車両は自己所有とリースを併用（リース料 年6,227千円）。</t>
        </is>
      </c>
    </row>
  </sheetData>
  <pageMargins left="0.7" right="0.7" top="0.75" bottom="0.75" header="0.3" footer="0.3"/>
</worksheet>
</file>

<file path=xl/worksheets/sheet41.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2" customWidth="1" style="595" min="1" max="1"/>
    <col width="13.69" customWidth="1" style="595" min="2" max="2"/>
    <col width="30.14" customWidth="1" style="595" min="3" max="3"/>
    <col width="10.94" customWidth="1" style="595" min="4" max="4"/>
    <col width="9.57" customWidth="1" style="595" min="5" max="5"/>
    <col width="23.29" customWidth="1" style="595" min="6" max="6"/>
    <col width="12.31" customWidth="1" style="595" min="7" max="7"/>
    <col width="12.31" customWidth="1" style="595" min="8" max="8"/>
    <col width="13.69" customWidth="1" style="595" min="9" max="9"/>
    <col width="9.57" customWidth="1" style="595" min="10" max="10"/>
  </cols>
  <sheetData>
    <row r="1">
      <c r="A1" s="812" t="inlineStr">
        <is>
          <t>不動産概況（不動産(所有)シートから集計）</t>
        </is>
      </c>
    </row>
    <row r="2">
      <c r="A2" s="603" t="inlineStr">
        <is>
          <t>■ 貼付範囲 B4:J9 → 企業概要書「不動産概況」（範囲をコピーしてパワポに貼り付け。数字はここを直す）</t>
        </is>
      </c>
    </row>
    <row r="4">
      <c r="J4" s="813" t="inlineStr">
        <is>
          <t>(単位：千円)</t>
        </is>
      </c>
    </row>
    <row r="5" ht="30" customHeight="1" s="595">
      <c r="B5" s="814" t="inlineStr">
        <is>
          <t>拠点</t>
        </is>
      </c>
      <c r="C5" s="814" t="inlineStr">
        <is>
          <t>所在地</t>
        </is>
      </c>
      <c r="D5" s="814" t="inlineStr">
        <is>
          <t>土地面積
(㎡)</t>
        </is>
      </c>
      <c r="E5" s="814" t="inlineStr">
        <is>
          <t>土地の
所有区分</t>
        </is>
      </c>
      <c r="F5" s="814" t="inlineStr">
        <is>
          <t>建物の所有区分</t>
        </is>
      </c>
      <c r="G5" s="814" t="inlineStr">
        <is>
          <t>土地簿価</t>
        </is>
      </c>
      <c r="H5" s="814" t="inlineStr">
        <is>
          <t>土地時価
（推計）</t>
        </is>
      </c>
      <c r="I5" s="814" t="inlineStr">
        <is>
          <t>建物固定資産税
評価額</t>
        </is>
      </c>
      <c r="J5" s="814" t="inlineStr">
        <is>
          <t>担保</t>
        </is>
      </c>
    </row>
    <row r="6" ht="24" customHeight="1" s="595">
      <c r="B6" s="815" t="inlineStr">
        <is>
          <t>本社・市場</t>
        </is>
      </c>
      <c r="C6" s="818" t="str">
        <f>'不動産(所有)'!D4</f>
        <v>鶴岡市宝田一丁目4-2</v>
      </c>
      <c r="D6" s="885">
        <f>'不動産(所有)'!E4</f>
        <v>3100.22</v>
      </c>
      <c r="E6" s="886" t="inlineStr">
        <is>
          <t>法人</t>
        </is>
      </c>
      <c r="F6" s="818" t="inlineStr">
        <is>
          <t>法人（5棟／延床1,246.20㎡）</t>
        </is>
      </c>
      <c r="G6" s="816">
        <f>'不動産(所有)'!H4</f>
        <v>70757240</v>
      </c>
      <c r="H6" s="816">
        <f>'不動産(所有)'!I4</f>
        <v>51230292.8571429</v>
      </c>
      <c r="I6" s="816">
        <f>SUM('不動産(所有)'!J5:J9)</f>
        <v>22295345</v>
      </c>
      <c r="J6" s="886" t="inlineStr">
        <is>
          <t>要確認</t>
        </is>
      </c>
    </row>
    <row r="7" ht="24" customHeight="1" s="595">
      <c r="B7" s="815" t="inlineStr">
        <is>
          <t>パッケージ場</t>
        </is>
      </c>
      <c r="C7" s="818" t="str">
        <f>'不動産(所有)'!D10</f>
        <v>鶴岡市宝田一丁目5-1</v>
      </c>
      <c r="D7" s="885">
        <f>'不動産(所有)'!E10</f>
        <v>900.5</v>
      </c>
      <c r="E7" s="886" t="inlineStr">
        <is>
          <t>法人</t>
        </is>
      </c>
      <c r="F7" s="818" t="inlineStr">
        <is>
          <t>法人（2棟／延床766.48㎡）</t>
        </is>
      </c>
      <c r="G7" s="816">
        <f>'不動産(所有)'!H10</f>
        <v>21380000</v>
      </c>
      <c r="H7" s="816">
        <f>'不動産(所有)'!I10</f>
        <v>15086140</v>
      </c>
      <c r="I7" s="816">
        <f>SUM('不動産(所有)'!J11:J12)</f>
        <v>24766655</v>
      </c>
      <c r="J7" s="886" t="inlineStr">
        <is>
          <t>要確認</t>
        </is>
      </c>
    </row>
    <row r="8" ht="24" customHeight="1" s="595">
      <c r="B8" s="815" t="inlineStr">
        <is>
          <t>旧倉庫敷地</t>
        </is>
      </c>
      <c r="C8" s="818" t="str">
        <f>'不動産(所有)'!D13</f>
        <v>東田川郡庄内町長沼字宮前304-7</v>
      </c>
      <c r="D8" s="885">
        <f>'不動産(所有)'!E13</f>
        <v>261.81</v>
      </c>
      <c r="E8" s="886" t="inlineStr">
        <is>
          <t>法人</t>
        </is>
      </c>
      <c r="F8" s="818" t="inlineStr">
        <is>
          <t>建物なし（解体済み）</t>
        </is>
      </c>
      <c r="G8" s="816">
        <f>'不動産(所有)'!H13</f>
        <v>1000000</v>
      </c>
      <c r="H8" s="816">
        <f>'不動産(所有)'!I13</f>
        <v>1508578.57142857</v>
      </c>
      <c r="I8" s="816" t="n">
        <v>0</v>
      </c>
      <c r="J8" s="886" t="inlineStr">
        <is>
          <t>要確認</t>
        </is>
      </c>
    </row>
    <row r="9" ht="19" customHeight="1" s="595">
      <c r="B9" s="819" t="inlineStr">
        <is>
          <t>合計</t>
        </is>
      </c>
      <c r="C9" s="819" t="inlineStr"/>
      <c r="D9" s="887">
        <f>SUM(D6:D8)</f>
        <v>4262.53</v>
      </c>
      <c r="E9" s="819" t="inlineStr"/>
      <c r="F9" s="819" t="inlineStr">
        <is>
          <t>法人 7棟</t>
        </is>
      </c>
      <c r="G9" s="820">
        <f>SUM(G6:G8)</f>
        <v>93137240</v>
      </c>
      <c r="H9" s="820">
        <f>SUM(H6:H8)</f>
        <v>67825011.4285714</v>
      </c>
      <c r="I9" s="820">
        <f>SUM(I6:I8)</f>
        <v>47062000</v>
      </c>
      <c r="J9" s="819" t="inlineStr"/>
    </row>
    <row r="11">
      <c r="B11" t="inlineStr">
        <is>
          <t>チェック：土地簿価＝BS土地</t>
        </is>
      </c>
      <c r="G11" t="b">
        <f>G9='BS(借方)'!F28</f>
        <v>1</v>
      </c>
    </row>
    <row r="12">
      <c r="B12" t="inlineStr">
        <is>
          <t>※土地時価＝固定資産税評価額÷0.7（公示価格水準への割戻し。推計）。建物評価額は令和8年度固定資産税評価額。担保設定は登記簿謄本（未受領）で確認予定。</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K21"/>
  <sheetViews>
    <sheetView showGridLines="0" topLeftCell="D1" zoomScaleNormal="100" workbookViewId="0">
      <selection activeCell="I4" sqref="I4"/>
    </sheetView>
  </sheetViews>
  <sheetFormatPr baseColWidth="8" defaultColWidth="8.875" defaultRowHeight="18.75"/>
  <cols>
    <col width="8.875" customWidth="1" style="65" min="1" max="1"/>
    <col width="11" customWidth="1" style="65" min="2" max="2"/>
    <col width="22" customWidth="1" style="65" min="3" max="3"/>
    <col width="24" bestFit="1" customWidth="1" style="65" min="4" max="4"/>
    <col width="9" customWidth="1" style="888" min="5" max="5"/>
    <col width="17" customWidth="1" style="65" min="6" max="6"/>
    <col width="14" bestFit="1" customWidth="1" style="65" min="7" max="7"/>
    <col width="10" customWidth="1" style="595" min="8" max="8"/>
    <col width="10" customWidth="1" style="595" min="9" max="9"/>
    <col width="11" customWidth="1" style="595" min="10" max="10"/>
    <col width="26" bestFit="1" customWidth="1" style="65" min="11" max="11"/>
    <col width="8.875" customWidth="1" style="595" min="12" max="12"/>
    <col width="8.875" customWidth="1" style="595" min="13" max="13"/>
    <col width="8.875" customWidth="1" style="595" min="14" max="14"/>
    <col width="8.875" customWidth="1" style="595" min="15" max="15"/>
    <col width="8.875" customWidth="1" style="595" min="16" max="16"/>
    <col width="8.875" customWidth="1" style="595" min="17" max="17"/>
    <col width="8.875" customWidth="1" style="595" min="18" max="18"/>
    <col width="8.875" customWidth="1" style="595" min="19" max="19"/>
    <col width="8.875" customWidth="1" style="595" min="20" max="20"/>
    <col width="8.875" customWidth="1" style="595" min="21" max="21"/>
    <col width="8.875" customWidth="1" style="595" min="22" max="22"/>
    <col width="8.875" customWidth="1" style="595" min="23" max="23"/>
    <col width="8.875" customWidth="1" style="595" min="24" max="24"/>
    <col width="8.875" customWidth="1" style="595" min="25" max="25"/>
    <col width="8.875" customWidth="1" style="595" min="26" max="26"/>
    <col width="8.875" customWidth="1" style="595" min="27" max="27"/>
    <col width="8.875" customWidth="1" style="595" min="28" max="28"/>
    <col width="8.875" customWidth="1" style="595" min="29" max="29"/>
    <col width="8.875" customWidth="1" style="595" min="30" max="30"/>
    <col width="8.875" customWidth="1" style="595" min="31" max="31"/>
    <col width="8.875" customWidth="1" style="595" min="32" max="32"/>
    <col width="8.875" customWidth="1" style="595" min="33" max="33"/>
    <col width="8.875" customWidth="1" style="595" min="34" max="34"/>
    <col width="8.875" customWidth="1" style="595" min="35" max="35"/>
    <col width="8.875" customWidth="1" style="595" min="36" max="36"/>
    <col width="8.875" customWidth="1" style="595" min="37" max="37"/>
    <col width="8.875" customWidth="1" style="595" min="38" max="38"/>
    <col width="8.875" customWidth="1" style="595" min="39" max="39"/>
    <col width="8.875" customWidth="1" style="595" min="40" max="40"/>
  </cols>
  <sheetData>
    <row r="1">
      <c r="A1" s="603" t="inlineStr">
        <is>
          <t>■ 貼付範囲 B3:K15 → 企業概要書「不動産詳細」（範囲をコピーしてパワポに貼り付け。数字はここを直す）</t>
        </is>
      </c>
      <c r="E1" s="71" t="n"/>
      <c r="H1" s="65" t="n"/>
      <c r="I1" s="65" t="inlineStr">
        <is>
          <t>土地は0.7割戻し</t>
        </is>
      </c>
      <c r="J1" s="65" t="n"/>
    </row>
    <row r="2">
      <c r="B2" s="74" t="n"/>
      <c r="C2" s="74" t="n"/>
      <c r="E2" s="71" t="n"/>
      <c r="H2" s="65" t="n"/>
      <c r="I2" s="65" t="n"/>
      <c r="J2" s="65" t="n"/>
    </row>
    <row r="3" ht="39" customHeight="1" s="595">
      <c r="B3" s="143" t="inlineStr">
        <is>
          <t>事業所名</t>
        </is>
      </c>
      <c r="C3" s="143" t="inlineStr">
        <is>
          <t>内容</t>
        </is>
      </c>
      <c r="D3" s="132" t="inlineStr">
        <is>
          <t>所在地
地番・家屋番号</t>
        </is>
      </c>
      <c r="E3" s="132" t="inlineStr">
        <is>
          <t>面積
(㎡)</t>
        </is>
      </c>
      <c r="F3" s="132" t="inlineStr">
        <is>
          <t>区分
・構造</t>
        </is>
      </c>
      <c r="G3" s="132" t="inlineStr">
        <is>
          <t>所有（建築）
年月・事由</t>
        </is>
      </c>
      <c r="H3" s="132" t="inlineStr">
        <is>
          <t>前期末簿価
(千円)</t>
        </is>
      </c>
      <c r="I3" s="132" t="inlineStr">
        <is>
          <t>時価
(千円)</t>
        </is>
      </c>
      <c r="J3" s="132" t="inlineStr">
        <is>
          <t>固定資産税
評価額(千円)</t>
        </is>
      </c>
      <c r="K3" s="128" t="inlineStr">
        <is>
          <t>備考</t>
        </is>
      </c>
    </row>
    <row r="4" ht="27" customHeight="1" s="595">
      <c r="B4" s="889" t="inlineStr">
        <is>
          <t>本社・市場</t>
        </is>
      </c>
      <c r="C4" s="890" t="inlineStr">
        <is>
          <t>土地）市場敷地</t>
        </is>
      </c>
      <c r="D4" s="890" t="inlineStr">
        <is>
          <t>鶴岡市宝田一丁目4-2</t>
        </is>
      </c>
      <c r="E4" s="891" t="n">
        <v>3100.22</v>
      </c>
      <c r="F4" s="890" t="inlineStr">
        <is>
          <t>宅地</t>
        </is>
      </c>
      <c r="G4" s="892" t="inlineStr">
        <is>
          <t>要確認</t>
        </is>
      </c>
      <c r="H4" s="893" t="n">
        <v>70757240</v>
      </c>
      <c r="I4" s="893">
        <f>J4/0.7</f>
        <v>51230292.8571429</v>
      </c>
      <c r="J4" s="893" t="n">
        <v>35861205</v>
      </c>
      <c r="K4" s="164" t="inlineStr">
        <is>
          <t>固定資産税評価額を0.7で割戻し、時価を算出</t>
        </is>
      </c>
    </row>
    <row r="5" ht="27" customHeight="1" s="595">
      <c r="B5" s="889" t="n"/>
      <c r="C5" s="890" t="inlineStr">
        <is>
          <t>建物）事務所</t>
        </is>
      </c>
      <c r="D5" s="890" t="inlineStr">
        <is>
          <t>宝田一丁目4-2</t>
        </is>
      </c>
      <c r="E5" s="891" t="n">
        <v>365.63</v>
      </c>
      <c r="F5" s="890" t="inlineStr">
        <is>
          <t>鉄骨造 2階</t>
        </is>
      </c>
      <c r="G5" s="892" t="inlineStr">
        <is>
          <t>1981年新築</t>
        </is>
      </c>
      <c r="H5" s="893" t="n"/>
      <c r="I5" s="893" t="n"/>
      <c r="J5" s="893" t="n">
        <v>11218061</v>
      </c>
      <c r="K5" s="164" t="inlineStr"/>
    </row>
    <row r="6" ht="27" customHeight="1" s="595">
      <c r="B6" s="889" t="n"/>
      <c r="C6" s="890" t="inlineStr">
        <is>
          <t>建物）市場</t>
        </is>
      </c>
      <c r="D6" s="890" t="inlineStr">
        <is>
          <t>宝田一丁目4-2</t>
        </is>
      </c>
      <c r="E6" s="891" t="n">
        <v>320.22</v>
      </c>
      <c r="F6" s="890" t="inlineStr">
        <is>
          <t>鉄骨造 1階</t>
        </is>
      </c>
      <c r="G6" s="892" t="inlineStr">
        <is>
          <t>1981年新築</t>
        </is>
      </c>
      <c r="H6" s="893" t="n"/>
      <c r="I6" s="893" t="n"/>
      <c r="J6" s="893" t="n">
        <v>4712536</v>
      </c>
      <c r="K6" s="164" t="inlineStr"/>
    </row>
    <row r="7" ht="27" customHeight="1" s="595">
      <c r="B7" s="889" t="n"/>
      <c r="C7" s="890" t="inlineStr">
        <is>
          <t>建物）倉庫</t>
        </is>
      </c>
      <c r="D7" s="890" t="inlineStr">
        <is>
          <t>宝田一丁目4-2</t>
        </is>
      </c>
      <c r="E7" s="891" t="n">
        <v>327.13</v>
      </c>
      <c r="F7" s="890" t="inlineStr">
        <is>
          <t>鉄骨造 1階</t>
        </is>
      </c>
      <c r="G7" s="892" t="inlineStr">
        <is>
          <t>1981年新築</t>
        </is>
      </c>
      <c r="H7" s="893" t="n"/>
      <c r="I7" s="893" t="n"/>
      <c r="J7" s="893" t="n">
        <v>4560792</v>
      </c>
      <c r="K7" s="164" t="inlineStr"/>
    </row>
    <row r="8" ht="27" customHeight="1" s="595">
      <c r="B8" s="889" t="n"/>
      <c r="C8" s="890" t="inlineStr">
        <is>
          <t>建物）容器庫</t>
        </is>
      </c>
      <c r="D8" s="890" t="inlineStr">
        <is>
          <t>宝田一丁目4-2</t>
        </is>
      </c>
      <c r="E8" s="891" t="n">
        <v>198.74</v>
      </c>
      <c r="F8" s="890" t="inlineStr">
        <is>
          <t>軽量鉄骨造 2階</t>
        </is>
      </c>
      <c r="G8" s="892" t="inlineStr">
        <is>
          <t>1981年新築</t>
        </is>
      </c>
      <c r="H8" s="893" t="n"/>
      <c r="I8" s="893" t="n"/>
      <c r="J8" s="893" t="n">
        <v>1237049</v>
      </c>
      <c r="K8" s="164" t="inlineStr"/>
    </row>
    <row r="9" ht="27" customHeight="1" s="595">
      <c r="B9" s="889" t="n"/>
      <c r="C9" s="890" t="inlineStr">
        <is>
          <t>建物）貯蔵庫</t>
        </is>
      </c>
      <c r="D9" s="890" t="inlineStr">
        <is>
          <t>宝田一丁目4-2</t>
        </is>
      </c>
      <c r="E9" s="891" t="n">
        <v>34.48</v>
      </c>
      <c r="F9" s="890" t="inlineStr">
        <is>
          <t>軽量鉄骨造 1階</t>
        </is>
      </c>
      <c r="G9" s="892" t="inlineStr">
        <is>
          <t>1981年新築</t>
        </is>
      </c>
      <c r="H9" s="893" t="n"/>
      <c r="I9" s="893" t="n"/>
      <c r="J9" s="893" t="n">
        <v>566907</v>
      </c>
      <c r="K9" s="164" t="inlineStr"/>
    </row>
    <row r="10" ht="27" customHeight="1" s="595">
      <c r="B10" s="889" t="inlineStr">
        <is>
          <t>パッケージ場</t>
        </is>
      </c>
      <c r="C10" s="890" t="inlineStr">
        <is>
          <t>土地）作業場敷地</t>
        </is>
      </c>
      <c r="D10" s="890" t="inlineStr">
        <is>
          <t>鶴岡市宝田一丁目5-1</t>
        </is>
      </c>
      <c r="E10" s="891" t="n">
        <v>900.5</v>
      </c>
      <c r="F10" s="890" t="inlineStr">
        <is>
          <t>宅地</t>
        </is>
      </c>
      <c r="G10" s="892" t="inlineStr">
        <is>
          <t>要確認</t>
        </is>
      </c>
      <c r="H10" s="893" t="n">
        <v>21380000</v>
      </c>
      <c r="I10" s="893">
        <f>J10/0.7</f>
        <v>15086140</v>
      </c>
      <c r="J10" s="893" t="n">
        <v>10560298</v>
      </c>
      <c r="K10" s="164" t="inlineStr">
        <is>
          <t>固定資産税評価額を0.7で割戻し、時価を算出</t>
        </is>
      </c>
    </row>
    <row r="11" ht="27" customHeight="1" s="595">
      <c r="B11" s="889" t="n"/>
      <c r="C11" s="890" t="inlineStr">
        <is>
          <t>建物）事務所兼倉庫</t>
        </is>
      </c>
      <c r="D11" s="890" t="inlineStr">
        <is>
          <t>宝田一丁目5-1</t>
        </is>
      </c>
      <c r="E11" s="891" t="n">
        <v>627.4</v>
      </c>
      <c r="F11" s="890" t="inlineStr">
        <is>
          <t>鉄骨造 2階</t>
        </is>
      </c>
      <c r="G11" s="892" t="inlineStr">
        <is>
          <t>1982年新築</t>
        </is>
      </c>
      <c r="H11" s="893" t="n"/>
      <c r="I11" s="893" t="n"/>
      <c r="J11" s="893" t="n">
        <v>13110977</v>
      </c>
      <c r="K11" s="164" t="inlineStr"/>
    </row>
    <row r="12" ht="27" customHeight="1" s="595">
      <c r="B12" s="889" t="n"/>
      <c r="C12" s="890" t="inlineStr">
        <is>
          <t>建物）倉庫</t>
        </is>
      </c>
      <c r="D12" s="890" t="inlineStr">
        <is>
          <t>宝田一丁目5-1</t>
        </is>
      </c>
      <c r="E12" s="891" t="n">
        <v>139.08</v>
      </c>
      <c r="F12" s="890" t="inlineStr">
        <is>
          <t>鉄骨造 1階</t>
        </is>
      </c>
      <c r="G12" s="892" t="inlineStr">
        <is>
          <t>2012年新築</t>
        </is>
      </c>
      <c r="H12" s="893" t="n"/>
      <c r="I12" s="893" t="n"/>
      <c r="J12" s="893" t="n">
        <v>11655678</v>
      </c>
      <c r="K12" s="164" t="inlineStr"/>
    </row>
    <row r="13" ht="27" customHeight="1" s="595">
      <c r="B13" s="889" t="inlineStr">
        <is>
          <t>旧倉庫敷地</t>
        </is>
      </c>
      <c r="C13" s="890" t="inlineStr">
        <is>
          <t>土地）駐車場</t>
        </is>
      </c>
      <c r="D13" s="890" t="inlineStr">
        <is>
          <t>東田川郡庄内町長沼字宮前304-7</t>
        </is>
      </c>
      <c r="E13" s="891" t="n">
        <v>261.81</v>
      </c>
      <c r="F13" s="890" t="inlineStr">
        <is>
          <t>宅地</t>
        </is>
      </c>
      <c r="G13" s="892" t="inlineStr">
        <is>
          <t>要確認</t>
        </is>
      </c>
      <c r="H13" s="893" t="n">
        <v>1000000</v>
      </c>
      <c r="I13" s="893">
        <f>J13/0.7</f>
        <v>1508578.57142857</v>
      </c>
      <c r="J13" s="893" t="n">
        <v>1056005</v>
      </c>
      <c r="K13" s="164" t="inlineStr">
        <is>
          <t>倉庫は解体済み。月極駐車場として賃貸</t>
        </is>
      </c>
    </row>
    <row r="14" ht="27" customHeight="1" s="595">
      <c r="B14" s="889" t="inlineStr">
        <is>
          <t>建物計</t>
        </is>
      </c>
      <c r="C14" s="890" t="inlineStr">
        <is>
          <t>建物・付属設備（7棟）</t>
        </is>
      </c>
      <c r="D14" s="890" t="inlineStr">
        <is>
          <t>－</t>
        </is>
      </c>
      <c r="E14" s="891">
        <f>SUM(E5:E9,E11:E12)</f>
        <v>2012.68</v>
      </c>
      <c r="F14" s="890" t="inlineStr">
        <is>
          <t>－</t>
        </is>
      </c>
      <c r="G14" s="892" t="inlineStr">
        <is>
          <t>－</t>
        </is>
      </c>
      <c r="H14" s="893">
        <f>'BS(借方)'!F22+'BS(借方)'!F23</f>
        <v>103465530</v>
      </c>
      <c r="I14" s="893">
        <f>H14</f>
        <v>103465530</v>
      </c>
      <c r="J14" s="893">
        <f>SUM(J5:J9,J11:J12)</f>
        <v>47062000</v>
      </c>
      <c r="K14" s="164" t="inlineStr">
        <is>
          <t>減価償却過不足なし（別表十六）、簿価＝時価として評価。棟別簿価は台帳で要確認</t>
        </is>
      </c>
    </row>
    <row r="15" ht="27" customHeight="1" s="595">
      <c r="B15" s="894" t="inlineStr">
        <is>
          <t>合計</t>
        </is>
      </c>
      <c r="C15" s="895" t="n"/>
      <c r="D15" s="895" t="n"/>
      <c r="E15" s="896">
        <f>E4+E10+E13</f>
        <v>4262.53</v>
      </c>
      <c r="F15" s="897" t="n"/>
      <c r="G15" s="898" t="n"/>
      <c r="H15" s="899">
        <f>SUM(H4:H14)</f>
        <v>196602770</v>
      </c>
      <c r="I15" s="899">
        <f>SUM(I4:I14)</f>
        <v>171290541.428571</v>
      </c>
      <c r="J15" s="899">
        <f>J4+J10+J13+J14</f>
        <v>94539508</v>
      </c>
      <c r="K15" s="900" t="n"/>
    </row>
    <row r="16" ht="22.5" customHeight="1" s="595">
      <c r="B16" s="782" t="n"/>
      <c r="C16" s="782" t="n"/>
      <c r="D16" s="782" t="n"/>
      <c r="E16" s="782" t="n"/>
      <c r="F16" s="782" t="n"/>
      <c r="G16" s="782" t="n"/>
      <c r="H16" s="782" t="n"/>
      <c r="I16" s="782" t="n"/>
      <c r="J16" s="782" t="n"/>
      <c r="K16" s="782" t="n"/>
    </row>
    <row r="17" ht="22.5" customHeight="1" s="595">
      <c r="B17" s="782" t="inlineStr">
        <is>
          <t>チェック：土地簿価＝BS土地</t>
        </is>
      </c>
      <c r="C17" s="782" t="n"/>
      <c r="D17" s="782" t="n"/>
      <c r="E17" s="782" t="n"/>
      <c r="F17" s="782" t="n"/>
      <c r="G17" s="782" t="n"/>
      <c r="H17" s="782" t="b">
        <f>H4+H10+H13='BS(借方)'!F28</f>
        <v>1</v>
      </c>
      <c r="I17" s="782" t="n"/>
      <c r="J17" s="782" t="n"/>
      <c r="K17" s="782" t="n"/>
    </row>
    <row r="18" ht="45" customHeight="1" s="595">
      <c r="B18" s="782" t="inlineStr">
        <is>
          <t>※面積は登記地積・床面積（R8年度固定資産税課税明細書）。主要棟は1981〜82年築であり、新耐震基準への適合・アスベスト・修繕履歴は要確認。担保設定は登記簿謄本で要確認。</t>
        </is>
      </c>
      <c r="C18" s="782" t="n"/>
      <c r="D18" s="782" t="n"/>
      <c r="E18" s="782" t="n"/>
      <c r="F18" s="782" t="n"/>
      <c r="G18" s="782" t="n"/>
      <c r="H18" s="782" t="n"/>
      <c r="I18" s="782" t="n"/>
      <c r="J18" s="782" t="n"/>
      <c r="K18" s="782" t="n"/>
    </row>
    <row r="19" ht="22.5" customHeight="1" s="595">
      <c r="B19" s="782" t="inlineStr">
        <is>
          <t>※償却資産の課税標準額9,779千円。R8年度固定資産税・都市計画税の年税額1,488千円。</t>
        </is>
      </c>
      <c r="C19" s="782" t="n"/>
      <c r="D19" s="782" t="n"/>
      <c r="E19" s="782" t="n"/>
      <c r="F19" s="782" t="n"/>
      <c r="G19" s="782" t="n"/>
      <c r="H19" s="782" t="n"/>
      <c r="I19" s="782" t="n"/>
      <c r="J19" s="782" t="n"/>
      <c r="K19" s="782" t="n"/>
    </row>
    <row r="20" ht="22.5" customHeight="1" s="595">
      <c r="B20" s="782" t="n"/>
      <c r="C20" s="782" t="n"/>
      <c r="D20" s="782" t="n"/>
      <c r="E20" s="782" t="n"/>
      <c r="F20" s="782" t="n"/>
      <c r="G20" s="782" t="n"/>
      <c r="H20" s="782" t="n"/>
      <c r="I20" s="782" t="n"/>
      <c r="J20" s="782" t="n"/>
      <c r="K20" s="782" t="n"/>
    </row>
    <row r="21" ht="22.5" customHeight="1" s="595">
      <c r="B21" s="782" t="n"/>
      <c r="C21" s="782" t="n"/>
      <c r="D21" s="782" t="n"/>
      <c r="E21" s="782" t="n"/>
      <c r="F21" s="782" t="n"/>
      <c r="G21" s="782" t="n"/>
      <c r="H21" s="782" t="n"/>
      <c r="I21" s="782" t="n"/>
      <c r="J21" s="782" t="n"/>
      <c r="K21" s="782" t="n"/>
    </row>
  </sheetData>
  <pageMargins left="0.7" right="0.7" top="0.75" bottom="0.75" header="0.3" footer="0.3"/>
</worksheet>
</file>

<file path=xl/worksheets/sheet43.xml><?xml version="1.0" encoding="utf-8"?>
<worksheet xmlns="http://schemas.openxmlformats.org/spreadsheetml/2006/main">
  <sheetPr>
    <outlinePr summaryBelow="1" summaryRight="1"/>
    <pageSetUpPr/>
  </sheetPr>
  <dimension ref="B1:J21"/>
  <sheetViews>
    <sheetView showGridLines="0" topLeftCell="A2" zoomScaleNormal="100" workbookViewId="0">
      <selection activeCell="I4" sqref="I4"/>
    </sheetView>
  </sheetViews>
  <sheetFormatPr baseColWidth="8" defaultColWidth="8.875" defaultRowHeight="18.75"/>
  <cols>
    <col width="8.875" customWidth="1" style="65" min="1" max="1"/>
    <col width="11.125" customWidth="1" style="65" min="2" max="2"/>
    <col width="17.5" bestFit="1" customWidth="1" style="65" min="3" max="3"/>
    <col width="21.125" bestFit="1" customWidth="1" style="65" min="4" max="4"/>
    <col width="13.375" customWidth="1" style="888" min="5" max="5"/>
    <col width="11.375" customWidth="1" style="65" min="6" max="6"/>
    <col width="20.375" bestFit="1" customWidth="1" style="65" min="7" max="7"/>
    <col width="13.375" customWidth="1" style="702" min="8" max="9"/>
    <col width="34.125" bestFit="1" customWidth="1" style="65" min="10" max="10"/>
    <col width="8.875" customWidth="1" style="65" min="11" max="16384"/>
  </cols>
  <sheetData>
    <row r="1">
      <c r="E1" s="65" t="n"/>
      <c r="H1" s="65" t="n"/>
      <c r="I1" s="65" t="n"/>
    </row>
    <row r="2">
      <c r="B2" s="74" t="n"/>
      <c r="C2" s="74" t="n"/>
      <c r="E2" s="65" t="n"/>
      <c r="H2" s="65" t="n"/>
      <c r="I2" s="65" t="n"/>
    </row>
    <row r="3" ht="39" customHeight="1" s="595">
      <c r="B3" s="143" t="inlineStr">
        <is>
          <t>内容</t>
        </is>
      </c>
      <c r="C3" s="143" t="inlineStr">
        <is>
          <t>内容</t>
        </is>
      </c>
      <c r="D3" s="132" t="inlineStr">
        <is>
          <t>所在地
地番・家屋番号</t>
        </is>
      </c>
      <c r="E3" s="132" t="inlineStr">
        <is>
          <t>面積
(㎡)</t>
        </is>
      </c>
      <c r="F3" s="132" t="inlineStr">
        <is>
          <t>契約内容</t>
        </is>
      </c>
      <c r="G3" s="132" t="inlineStr">
        <is>
          <t>貸主</t>
        </is>
      </c>
      <c r="H3" s="132" t="inlineStr">
        <is>
          <t>月間賃料
(千円)</t>
        </is>
      </c>
      <c r="I3" s="132" t="inlineStr">
        <is>
          <t>敷金
(千円)</t>
        </is>
      </c>
      <c r="J3" s="128" t="inlineStr">
        <is>
          <t>備考</t>
        </is>
      </c>
    </row>
    <row r="4" ht="39" customHeight="1" s="595">
      <c r="B4" s="440" t="inlineStr">
        <is>
          <t>該当なし</t>
        </is>
      </c>
      <c r="C4" s="852" t="inlineStr">
        <is>
          <t>賃借物件なし（地代家賃の計上なし）</t>
        </is>
      </c>
      <c r="D4" s="872" t="n"/>
      <c r="E4" s="901" t="n"/>
      <c r="F4" s="882" t="n"/>
      <c r="G4" s="872" t="n"/>
      <c r="H4" s="884" t="n"/>
      <c r="I4" s="884" t="n"/>
      <c r="J4" s="130" t="n"/>
    </row>
    <row r="5" ht="39" customHeight="1" s="595">
      <c r="B5" s="440" t="n"/>
      <c r="C5" s="852" t="n"/>
      <c r="D5" s="872" t="n"/>
      <c r="E5" s="901" t="n"/>
      <c r="F5" s="882" t="n"/>
      <c r="G5" s="872" t="n"/>
      <c r="H5" s="884" t="n"/>
      <c r="I5" s="884" t="n"/>
      <c r="J5" s="130" t="n"/>
    </row>
    <row r="6" ht="19.5" customHeight="1" s="595">
      <c r="B6" s="852" t="n"/>
      <c r="C6" s="852" t="n"/>
      <c r="D6" s="852" t="n"/>
      <c r="E6" s="902" t="n"/>
      <c r="F6" s="836" t="n"/>
      <c r="G6" s="852" t="n"/>
      <c r="H6" s="606" t="n"/>
      <c r="I6" s="606" t="n"/>
      <c r="J6" s="139" t="n"/>
    </row>
    <row r="7" ht="22.5" customHeight="1" s="595">
      <c r="B7" s="144" t="n"/>
      <c r="C7" s="144" t="n"/>
      <c r="D7" s="852" t="n"/>
      <c r="E7" s="903" t="n"/>
      <c r="F7" s="852" t="n"/>
      <c r="G7" s="852" t="n"/>
      <c r="H7" s="606" t="n"/>
      <c r="I7" s="606" t="n"/>
      <c r="J7" s="139" t="n"/>
    </row>
    <row r="8" ht="22.5" customHeight="1" s="595">
      <c r="B8" s="144" t="n"/>
      <c r="C8" s="144" t="n"/>
      <c r="D8" s="852" t="n"/>
      <c r="E8" s="903" t="n"/>
      <c r="F8" s="852" t="n"/>
      <c r="G8" s="852" t="n"/>
      <c r="H8" s="606" t="n"/>
      <c r="I8" s="606" t="n"/>
      <c r="J8" s="139" t="n"/>
    </row>
    <row r="9" ht="22.5" customHeight="1" s="595">
      <c r="B9" s="144" t="n"/>
      <c r="C9" s="144" t="n"/>
      <c r="D9" s="852" t="n"/>
      <c r="E9" s="903" t="n"/>
      <c r="F9" s="852" t="n"/>
      <c r="G9" s="852" t="n"/>
      <c r="H9" s="606" t="n"/>
      <c r="I9" s="606" t="n"/>
      <c r="J9" s="139" t="n"/>
    </row>
    <row r="10">
      <c r="G10" s="146" t="n"/>
    </row>
    <row r="11" ht="22.5" customHeight="1" s="595">
      <c r="B11" s="144" t="n"/>
      <c r="C11" s="144" t="n"/>
      <c r="D11" s="852" t="n"/>
      <c r="E11" s="903" t="n"/>
      <c r="F11" s="852" t="n"/>
      <c r="G11" s="852" t="n"/>
      <c r="H11" s="606" t="n"/>
      <c r="I11" s="606" t="n"/>
      <c r="J11" s="139" t="n"/>
    </row>
    <row r="12">
      <c r="G12" s="146" t="n"/>
    </row>
    <row r="13"/>
    <row r="14">
      <c r="B14" s="74" t="n"/>
      <c r="C14" s="74" t="n"/>
      <c r="E14" s="65" t="n"/>
      <c r="H14" s="65" t="n"/>
      <c r="I14" s="65" t="n"/>
    </row>
    <row r="15" ht="39" customHeight="1" s="595">
      <c r="B15" s="143" t="n"/>
      <c r="C15" s="143" t="n"/>
      <c r="D15" s="132" t="n"/>
      <c r="E15" s="132" t="n"/>
      <c r="F15" s="132" t="n"/>
      <c r="G15" s="132" t="n"/>
      <c r="H15" s="132" t="n"/>
      <c r="I15" s="132" t="n"/>
      <c r="J15" s="128" t="n"/>
    </row>
    <row r="16" ht="39" customHeight="1" s="595">
      <c r="B16" s="440" t="n"/>
      <c r="C16" s="852" t="n"/>
      <c r="D16" s="872" t="n"/>
      <c r="E16" s="901" t="n"/>
      <c r="F16" s="882" t="n"/>
      <c r="G16" s="872" t="n"/>
      <c r="H16" s="884" t="n"/>
      <c r="I16" s="884" t="n"/>
      <c r="J16" s="130" t="n"/>
    </row>
    <row r="17" ht="22.5" customHeight="1" s="595">
      <c r="B17" s="852" t="n"/>
      <c r="C17" s="852" t="n"/>
      <c r="D17" s="852" t="n"/>
      <c r="E17" s="903" t="n"/>
      <c r="F17" s="852" t="n"/>
      <c r="G17" s="872" t="n"/>
      <c r="H17" s="606" t="n"/>
      <c r="I17" s="606" t="n"/>
      <c r="J17" s="130" t="n"/>
    </row>
    <row r="18" ht="19.5" customHeight="1" s="595">
      <c r="B18" s="852" t="n"/>
      <c r="C18" s="852" t="n"/>
      <c r="D18" s="852" t="n"/>
      <c r="E18" s="902" t="n"/>
      <c r="F18" s="836" t="n"/>
      <c r="G18" s="852" t="n"/>
      <c r="H18" s="606" t="n"/>
      <c r="I18" s="606" t="n"/>
      <c r="J18" s="139" t="n"/>
    </row>
    <row r="19" ht="22.5" customHeight="1" s="595">
      <c r="B19" s="144" t="n"/>
      <c r="C19" s="144" t="n"/>
      <c r="D19" s="852" t="n"/>
      <c r="E19" s="903" t="n"/>
      <c r="F19" s="852" t="n"/>
      <c r="G19" s="852" t="n"/>
      <c r="H19" s="606" t="n"/>
      <c r="I19" s="606" t="n"/>
      <c r="J19" s="139" t="n"/>
    </row>
    <row r="20" ht="22.5" customHeight="1" s="595">
      <c r="B20" s="144" t="n"/>
      <c r="C20" s="144" t="n"/>
      <c r="D20" s="852" t="n"/>
      <c r="E20" s="903" t="n"/>
      <c r="F20" s="852" t="n"/>
      <c r="G20" s="852" t="n"/>
      <c r="H20" s="606" t="n"/>
      <c r="I20" s="606" t="n"/>
      <c r="J20" s="139" t="n"/>
    </row>
    <row r="21" ht="22.5" customHeight="1" s="595">
      <c r="B21" s="144" t="n"/>
      <c r="C21" s="144" t="n"/>
      <c r="D21" s="852" t="n"/>
      <c r="E21" s="903" t="n"/>
      <c r="F21" s="852" t="n"/>
      <c r="G21" s="852" t="n"/>
      <c r="H21" s="606" t="n"/>
      <c r="I21" s="606" t="n"/>
      <c r="J21" s="139" t="n"/>
    </row>
  </sheetData>
  <pageMargins left="0.7" right="0.7" top="0.75" bottom="0.75" header="0.3" footer="0.3"/>
</worksheet>
</file>

<file path=xl/worksheets/sheet44.xml><?xml version="1.0" encoding="utf-8"?>
<worksheet xmlns="http://schemas.openxmlformats.org/spreadsheetml/2006/main">
  <sheetPr>
    <outlinePr summaryBelow="1" summaryRight="1"/>
    <pageSetUpPr/>
  </sheetPr>
  <dimension ref="A1:K43"/>
  <sheetViews>
    <sheetView showGridLines="0" zoomScaleNormal="100" workbookViewId="0">
      <selection activeCell="C2" sqref="C2"/>
    </sheetView>
  </sheetViews>
  <sheetFormatPr baseColWidth="8" defaultRowHeight="18"/>
  <cols>
    <col width="5.125" customWidth="1" style="118" min="2" max="2"/>
    <col width="9" customWidth="1" style="595" min="3" max="3"/>
    <col width="24" customWidth="1" style="595" min="4" max="4"/>
    <col hidden="1" width="16.125" customWidth="1" style="595" min="5" max="5"/>
    <col hidden="1" width="16.125" customWidth="1" style="595" min="6" max="6"/>
    <col hidden="1" width="16.125" customWidth="1" style="595" min="7" max="7"/>
    <col hidden="1" width="16.125" customWidth="1" style="595" min="8" max="8"/>
    <col hidden="1" width="16.125" customWidth="1" style="595" min="9" max="9"/>
    <col width="16.125" customWidth="1" style="595" min="10" max="10"/>
    <col width="24" customWidth="1" style="595" min="11" max="11"/>
  </cols>
  <sheetData>
    <row r="1">
      <c r="A1" s="603" t="inlineStr">
        <is>
          <t>■ 貼付範囲 B2:K29 → 企業概要書「保有設備一覧（建物内訳）」（範囲をコピーしてパワポに貼り付け。数字はここを直す）／D33:K41（科目別）</t>
        </is>
      </c>
    </row>
    <row r="2" ht="33" customHeight="1" s="595">
      <c r="B2" s="441" t="inlineStr">
        <is>
          <t>№</t>
        </is>
      </c>
      <c r="C2" s="2" t="inlineStr">
        <is>
          <t>科目</t>
        </is>
      </c>
      <c r="D2" s="3" t="inlineStr">
        <is>
          <t>資産名（用途）</t>
        </is>
      </c>
      <c r="E2" s="3" t="inlineStr">
        <is>
          <t>償却方法</t>
        </is>
      </c>
      <c r="F2" s="3" t="inlineStr">
        <is>
          <t>取得年</t>
        </is>
      </c>
      <c r="G2" s="3" t="inlineStr">
        <is>
          <t>取得月</t>
        </is>
      </c>
      <c r="H2" s="3" t="inlineStr">
        <is>
          <t>耐用年数</t>
        </is>
      </c>
      <c r="I2" s="400" t="inlineStr">
        <is>
          <t>取得原価</t>
        </is>
      </c>
      <c r="J2" s="400" t="inlineStr">
        <is>
          <t>期末帳簿価額
(千円)</t>
        </is>
      </c>
      <c r="K2" s="1" t="inlineStr">
        <is>
          <t>所在・面積等</t>
        </is>
      </c>
    </row>
    <row r="3" ht="19.35" customHeight="1" s="595">
      <c r="B3" s="435" t="n">
        <v>1</v>
      </c>
      <c r="C3" s="401" t="inlineStr">
        <is>
          <t>建物</t>
        </is>
      </c>
      <c r="D3" s="401" t="inlineStr">
        <is>
          <t>管理棟</t>
        </is>
      </c>
      <c r="E3" s="401" t="n"/>
      <c r="F3" s="904" t="n"/>
      <c r="G3" s="904" t="n"/>
      <c r="H3" s="904" t="n"/>
      <c r="I3" s="904" t="n"/>
      <c r="J3" s="905" t="n">
        <v>20192827</v>
      </c>
      <c r="K3" s="390" t="inlineStr">
        <is>
          <t>宝田一丁目4-20（365.0㎡）</t>
        </is>
      </c>
    </row>
    <row r="4" ht="19.35" customHeight="1" s="595">
      <c r="B4" s="435" t="n">
        <v>2</v>
      </c>
      <c r="C4" s="401" t="inlineStr">
        <is>
          <t>建物</t>
        </is>
      </c>
      <c r="D4" s="401" t="inlineStr">
        <is>
          <t>荷捌市場</t>
        </is>
      </c>
      <c r="E4" s="401" t="n"/>
      <c r="F4" s="904" t="n"/>
      <c r="G4" s="904" t="n"/>
      <c r="H4" s="904" t="n"/>
      <c r="I4" s="904" t="n"/>
      <c r="J4" s="905" t="n">
        <v>5899377</v>
      </c>
      <c r="K4" s="390" t="inlineStr">
        <is>
          <t>宝田一丁目4-20（330.7㎡）</t>
        </is>
      </c>
    </row>
    <row r="5" ht="19.35" customHeight="1" s="595">
      <c r="B5" s="435" t="n">
        <v>3</v>
      </c>
      <c r="C5" s="401" t="inlineStr">
        <is>
          <t>建物</t>
        </is>
      </c>
      <c r="D5" s="401" t="inlineStr">
        <is>
          <t>倉庫</t>
        </is>
      </c>
      <c r="E5" s="401" t="n"/>
      <c r="F5" s="904" t="n"/>
      <c r="G5" s="904" t="n"/>
      <c r="H5" s="904" t="n"/>
      <c r="I5" s="904" t="n"/>
      <c r="J5" s="905" t="n">
        <v>1165921</v>
      </c>
      <c r="K5" s="390" t="inlineStr">
        <is>
          <t>宝田一丁目4-20（320.2㎡）</t>
        </is>
      </c>
    </row>
    <row r="6" ht="19.35" customHeight="1" s="595">
      <c r="B6" s="435" t="n">
        <v>4</v>
      </c>
      <c r="C6" s="401" t="inlineStr">
        <is>
          <t>建物</t>
        </is>
      </c>
      <c r="D6" s="401" t="inlineStr">
        <is>
          <t>容器庫</t>
        </is>
      </c>
      <c r="E6" s="401" t="n"/>
      <c r="F6" s="904" t="n"/>
      <c r="G6" s="904" t="n"/>
      <c r="H6" s="904" t="n"/>
      <c r="I6" s="904" t="n"/>
      <c r="J6" s="905" t="n">
        <v>500001</v>
      </c>
      <c r="K6" s="390" t="inlineStr">
        <is>
          <t>宝田一丁目4-20（198.7㎡）</t>
        </is>
      </c>
    </row>
    <row r="7" ht="19.35" customHeight="1" s="595">
      <c r="B7" s="435" t="n">
        <v>5</v>
      </c>
      <c r="C7" s="401" t="inlineStr">
        <is>
          <t>建物</t>
        </is>
      </c>
      <c r="D7" s="401" t="inlineStr">
        <is>
          <t>物置</t>
        </is>
      </c>
      <c r="E7" s="401" t="n"/>
      <c r="F7" s="904" t="n"/>
      <c r="G7" s="904" t="n"/>
      <c r="H7" s="904" t="n"/>
      <c r="I7" s="904" t="n"/>
      <c r="J7" s="905" t="n">
        <v>1</v>
      </c>
      <c r="K7" s="390" t="inlineStr">
        <is>
          <t>宝田一丁目4-20（34.4㎡）</t>
        </is>
      </c>
    </row>
    <row r="8" ht="19.35" customHeight="1" s="595">
      <c r="B8" s="435" t="n">
        <v>6</v>
      </c>
      <c r="C8" s="401" t="inlineStr">
        <is>
          <t>建物</t>
        </is>
      </c>
      <c r="D8" s="401" t="inlineStr">
        <is>
          <t>容器倉庫</t>
        </is>
      </c>
      <c r="E8" s="401" t="n"/>
      <c r="F8" s="904" t="n"/>
      <c r="G8" s="904" t="n"/>
      <c r="H8" s="904" t="n"/>
      <c r="I8" s="904" t="n"/>
      <c r="J8" s="905" t="n">
        <v>249260</v>
      </c>
      <c r="K8" s="390" t="inlineStr">
        <is>
          <t>宝田一丁目4-20</t>
        </is>
      </c>
    </row>
    <row r="9" ht="19.35" customHeight="1" s="595">
      <c r="B9" s="435" t="n">
        <v>7</v>
      </c>
      <c r="C9" s="401" t="inlineStr">
        <is>
          <t>建物</t>
        </is>
      </c>
      <c r="D9" s="401" t="inlineStr">
        <is>
          <t>シャッター</t>
        </is>
      </c>
      <c r="E9" s="401" t="n"/>
      <c r="F9" s="904" t="n"/>
      <c r="G9" s="904" t="n"/>
      <c r="H9" s="904" t="n"/>
      <c r="I9" s="904" t="n"/>
      <c r="J9" s="905" t="n">
        <v>1</v>
      </c>
      <c r="K9" s="390" t="inlineStr">
        <is>
          <t>宝田一丁目4-20</t>
        </is>
      </c>
    </row>
    <row r="10" ht="19.35" customHeight="1" s="595">
      <c r="B10" s="435" t="n">
        <v>8</v>
      </c>
      <c r="C10" s="401" t="inlineStr">
        <is>
          <t>建物</t>
        </is>
      </c>
      <c r="D10" s="401" t="inlineStr">
        <is>
          <t>シャッター取替</t>
        </is>
      </c>
      <c r="E10" s="401" t="n"/>
      <c r="F10" s="904" t="n"/>
      <c r="G10" s="904" t="n"/>
      <c r="H10" s="904" t="n"/>
      <c r="I10" s="904" t="n"/>
      <c r="J10" s="905" t="n">
        <v>1739340</v>
      </c>
      <c r="K10" s="390" t="inlineStr">
        <is>
          <t>宝田一丁目4-20</t>
        </is>
      </c>
    </row>
    <row r="11" ht="19.35" customHeight="1" s="595">
      <c r="B11" s="435" t="n">
        <v>9</v>
      </c>
      <c r="C11" s="401" t="inlineStr">
        <is>
          <t>建物</t>
        </is>
      </c>
      <c r="D11" s="401" t="inlineStr">
        <is>
          <t>改修工事</t>
        </is>
      </c>
      <c r="E11" s="401" t="n"/>
      <c r="F11" s="904" t="n"/>
      <c r="G11" s="904" t="n"/>
      <c r="H11" s="904" t="n"/>
      <c r="I11" s="904" t="n"/>
      <c r="J11" s="905" t="n">
        <v>2695280</v>
      </c>
      <c r="K11" s="390" t="inlineStr">
        <is>
          <t>宝田一丁目4-20</t>
        </is>
      </c>
    </row>
    <row r="12" ht="19.35" customHeight="1" s="595">
      <c r="B12" s="435" t="n">
        <v>10</v>
      </c>
      <c r="C12" s="401" t="inlineStr">
        <is>
          <t>建物</t>
        </is>
      </c>
      <c r="D12" s="401" t="inlineStr">
        <is>
          <t>改修工事</t>
        </is>
      </c>
      <c r="E12" s="401" t="n"/>
      <c r="F12" s="904" t="n"/>
      <c r="G12" s="904" t="n"/>
      <c r="H12" s="904" t="n"/>
      <c r="I12" s="904" t="n"/>
      <c r="J12" s="905" t="n">
        <v>6000156</v>
      </c>
      <c r="K12" s="390" t="inlineStr">
        <is>
          <t>宝田一丁目4-20</t>
        </is>
      </c>
    </row>
    <row r="13" ht="19.35" customFormat="1" customHeight="1" s="117">
      <c r="B13" s="435" t="n">
        <v>11</v>
      </c>
      <c r="C13" s="401" t="inlineStr">
        <is>
          <t>建物</t>
        </is>
      </c>
      <c r="D13" s="401" t="inlineStr">
        <is>
          <t>パッケージ場</t>
        </is>
      </c>
      <c r="E13" s="401" t="n"/>
      <c r="F13" s="904" t="n"/>
      <c r="G13" s="904" t="n"/>
      <c r="H13" s="904" t="n"/>
      <c r="I13" s="904" t="n"/>
      <c r="J13" s="905" t="n">
        <v>11751239</v>
      </c>
      <c r="K13" s="390" t="inlineStr">
        <is>
          <t>宝田一丁目5-20（629.3㎡）</t>
        </is>
      </c>
    </row>
    <row r="14" ht="19.35" customHeight="1" s="595">
      <c r="B14" s="435" t="n">
        <v>12</v>
      </c>
      <c r="C14" s="401" t="inlineStr">
        <is>
          <t>建物</t>
        </is>
      </c>
      <c r="D14" s="401" t="inlineStr">
        <is>
          <t>シャッター更新</t>
        </is>
      </c>
      <c r="E14" s="401" t="n"/>
      <c r="F14" s="904" t="n"/>
      <c r="G14" s="904" t="n"/>
      <c r="H14" s="904" t="n"/>
      <c r="I14" s="904" t="n"/>
      <c r="J14" s="905" t="n">
        <v>1077501</v>
      </c>
      <c r="K14" s="390" t="inlineStr">
        <is>
          <t>宝田一丁目4-20</t>
        </is>
      </c>
    </row>
    <row r="15" ht="19.35" customHeight="1" s="595">
      <c r="B15" s="435" t="n">
        <v>13</v>
      </c>
      <c r="C15" s="401" t="inlineStr">
        <is>
          <t>建物</t>
        </is>
      </c>
      <c r="D15" s="401" t="inlineStr">
        <is>
          <t>プレハブ修繕</t>
        </is>
      </c>
      <c r="E15" s="401" t="n"/>
      <c r="F15" s="904" t="n"/>
      <c r="G15" s="904" t="n"/>
      <c r="H15" s="904" t="n"/>
      <c r="I15" s="904" t="n"/>
      <c r="J15" s="905" t="n">
        <v>1377441</v>
      </c>
      <c r="K15" s="390" t="inlineStr">
        <is>
          <t>宝田一丁目4-20</t>
        </is>
      </c>
    </row>
    <row r="16" ht="19.35" customHeight="1" s="595">
      <c r="B16" s="435" t="n">
        <v>14</v>
      </c>
      <c r="C16" s="401" t="inlineStr">
        <is>
          <t>建物</t>
        </is>
      </c>
      <c r="D16" s="401" t="inlineStr">
        <is>
          <t>不用材置場</t>
        </is>
      </c>
      <c r="E16" s="401" t="n"/>
      <c r="F16" s="904" t="n"/>
      <c r="G16" s="904" t="n"/>
      <c r="H16" s="904" t="n"/>
      <c r="I16" s="904" t="n"/>
      <c r="J16" s="905" t="n">
        <v>1</v>
      </c>
      <c r="K16" s="390" t="inlineStr">
        <is>
          <t>宝田一丁目4-20</t>
        </is>
      </c>
    </row>
    <row r="17" ht="19.35" customHeight="1" s="595">
      <c r="B17" s="435" t="n">
        <v>15</v>
      </c>
      <c r="C17" s="401" t="inlineStr">
        <is>
          <t>建物</t>
        </is>
      </c>
      <c r="D17" s="401" t="inlineStr">
        <is>
          <t>倉庫</t>
        </is>
      </c>
      <c r="E17" s="401" t="n"/>
      <c r="F17" s="904" t="n"/>
      <c r="G17" s="904" t="n"/>
      <c r="H17" s="904" t="n"/>
      <c r="I17" s="904" t="n"/>
      <c r="J17" s="905" t="n">
        <v>8917430</v>
      </c>
      <c r="K17" s="390" t="inlineStr">
        <is>
          <t>宝田一丁目5-1</t>
        </is>
      </c>
    </row>
    <row r="18" ht="19.35" customHeight="1" s="595">
      <c r="B18" s="435" t="n">
        <v>16</v>
      </c>
      <c r="C18" s="401" t="inlineStr">
        <is>
          <t>建物</t>
        </is>
      </c>
      <c r="D18" s="401" t="inlineStr">
        <is>
          <t>2階改修</t>
        </is>
      </c>
      <c r="E18" s="401" t="n"/>
      <c r="F18" s="904" t="n"/>
      <c r="G18" s="904" t="n"/>
      <c r="H18" s="904" t="n"/>
      <c r="I18" s="904" t="n"/>
      <c r="J18" s="905" t="n">
        <v>6403541</v>
      </c>
      <c r="K18" s="390" t="inlineStr">
        <is>
          <t>宝田一丁目4-20</t>
        </is>
      </c>
    </row>
    <row r="19" ht="19.35" customHeight="1" s="595">
      <c r="B19" s="435" t="n">
        <v>17</v>
      </c>
      <c r="C19" s="401" t="inlineStr">
        <is>
          <t>建物</t>
        </is>
      </c>
      <c r="D19" s="401" t="inlineStr">
        <is>
          <t>1階トイレ改修</t>
        </is>
      </c>
      <c r="E19" s="401" t="n"/>
      <c r="F19" s="904" t="n"/>
      <c r="G19" s="904" t="n"/>
      <c r="H19" s="904" t="n"/>
      <c r="I19" s="904" t="n"/>
      <c r="J19" s="905" t="n">
        <v>1169632</v>
      </c>
      <c r="K19" s="390" t="inlineStr">
        <is>
          <t>宝田一丁目4-20</t>
        </is>
      </c>
    </row>
    <row r="20" ht="19.35" customHeight="1" s="595">
      <c r="B20" s="435" t="n">
        <v>18</v>
      </c>
      <c r="C20" s="401" t="inlineStr">
        <is>
          <t>建物</t>
        </is>
      </c>
      <c r="D20" s="401" t="inlineStr">
        <is>
          <t>屋根改修</t>
        </is>
      </c>
      <c r="E20" s="401" t="n"/>
      <c r="F20" s="904" t="n"/>
      <c r="G20" s="904" t="n"/>
      <c r="H20" s="904" t="n"/>
      <c r="I20" s="904" t="n"/>
      <c r="J20" s="905" t="n">
        <v>3391200</v>
      </c>
      <c r="K20" s="390" t="inlineStr">
        <is>
          <t>宝田一丁目4-20</t>
        </is>
      </c>
    </row>
    <row r="21" ht="19.35" customHeight="1" s="595">
      <c r="B21" s="435" t="n">
        <v>19</v>
      </c>
      <c r="C21" s="401" t="inlineStr">
        <is>
          <t>建物</t>
        </is>
      </c>
      <c r="D21" s="401" t="inlineStr">
        <is>
          <t>屋根改修</t>
        </is>
      </c>
      <c r="E21" s="401" t="n"/>
      <c r="F21" s="904" t="n"/>
      <c r="G21" s="904" t="n"/>
      <c r="H21" s="904" t="n"/>
      <c r="I21" s="904" t="n"/>
      <c r="J21" s="905" t="n">
        <v>3120320</v>
      </c>
      <c r="K21" s="390" t="inlineStr">
        <is>
          <t>宝田一丁目4-20</t>
        </is>
      </c>
    </row>
    <row r="22" ht="19.35" customFormat="1" customHeight="1" s="117">
      <c r="B22" s="435" t="n">
        <v>20</v>
      </c>
      <c r="C22" s="401" t="inlineStr">
        <is>
          <t>建物</t>
        </is>
      </c>
      <c r="D22" s="401" t="inlineStr">
        <is>
          <t>屋根改修</t>
        </is>
      </c>
      <c r="E22" s="401" t="n"/>
      <c r="F22" s="904" t="n"/>
      <c r="G22" s="904" t="n"/>
      <c r="H22" s="904" t="n"/>
      <c r="I22" s="904" t="n"/>
      <c r="J22" s="905" t="n">
        <v>3736745</v>
      </c>
      <c r="K22" s="390" t="inlineStr">
        <is>
          <t>宝田一丁目4-20</t>
        </is>
      </c>
    </row>
    <row r="23" ht="19.35" customHeight="1" s="595">
      <c r="B23" s="435" t="n">
        <v>21</v>
      </c>
      <c r="C23" s="401" t="inlineStr">
        <is>
          <t>建物</t>
        </is>
      </c>
      <c r="D23" s="401" t="inlineStr">
        <is>
          <t>下屋修理・塗装</t>
        </is>
      </c>
      <c r="E23" s="401" t="n"/>
      <c r="F23" s="904" t="n"/>
      <c r="G23" s="904" t="n"/>
      <c r="H23" s="904" t="n"/>
      <c r="I23" s="904" t="n"/>
      <c r="J23" s="905" t="n">
        <v>971487</v>
      </c>
      <c r="K23" s="390" t="inlineStr">
        <is>
          <t>宝田一丁目4-20</t>
        </is>
      </c>
    </row>
    <row r="24" ht="19.35" customHeight="1" s="595">
      <c r="B24" s="435" t="n">
        <v>22</v>
      </c>
      <c r="C24" s="401" t="inlineStr">
        <is>
          <t>建物</t>
        </is>
      </c>
      <c r="D24" s="401" t="inlineStr">
        <is>
          <t>パッケージ場外壁</t>
        </is>
      </c>
      <c r="E24" s="401" t="n"/>
      <c r="F24" s="904" t="n"/>
      <c r="G24" s="904" t="n"/>
      <c r="H24" s="904" t="n"/>
      <c r="I24" s="904" t="n"/>
      <c r="J24" s="905" t="n">
        <v>6815160</v>
      </c>
      <c r="K24" s="390" t="inlineStr">
        <is>
          <t>宝田一丁目5-20</t>
        </is>
      </c>
    </row>
    <row r="25" ht="19.35" customHeight="1" s="595">
      <c r="B25" s="435" t="n">
        <v>23</v>
      </c>
      <c r="C25" s="401" t="inlineStr">
        <is>
          <t>建物</t>
        </is>
      </c>
      <c r="D25" s="401" t="inlineStr">
        <is>
          <t>冷蔵庫ユニット交換工事</t>
        </is>
      </c>
      <c r="E25" s="401" t="n"/>
      <c r="F25" s="904" t="n"/>
      <c r="G25" s="904" t="n"/>
      <c r="H25" s="904" t="n"/>
      <c r="I25" s="904" t="n"/>
      <c r="J25" s="905" t="n">
        <v>1001990</v>
      </c>
      <c r="K25" s="390" t="inlineStr">
        <is>
          <t>宝田一丁目4-20</t>
        </is>
      </c>
    </row>
    <row r="26" ht="19.35" customHeight="1" s="595">
      <c r="B26" s="435" t="n">
        <v>24</v>
      </c>
      <c r="C26" s="401" t="inlineStr">
        <is>
          <t>建物</t>
        </is>
      </c>
      <c r="D26" s="401" t="inlineStr">
        <is>
          <t>シャッター</t>
        </is>
      </c>
      <c r="E26" s="401" t="n"/>
      <c r="F26" s="904" t="n"/>
      <c r="G26" s="904" t="n"/>
      <c r="H26" s="904" t="n"/>
      <c r="I26" s="904" t="n"/>
      <c r="J26" s="905" t="n">
        <v>2570350</v>
      </c>
      <c r="K26" s="390" t="inlineStr">
        <is>
          <t>宝田一丁目4-20</t>
        </is>
      </c>
    </row>
    <row r="27" ht="19.35" customHeight="1" s="595">
      <c r="B27" s="435" t="n">
        <v>25</v>
      </c>
      <c r="C27" s="401" t="inlineStr">
        <is>
          <t>建物</t>
        </is>
      </c>
      <c r="D27" s="401" t="inlineStr">
        <is>
          <t>資材倉庫外壁改修（2025年5月）</t>
        </is>
      </c>
      <c r="E27" s="401" t="n"/>
      <c r="F27" s="904" t="inlineStr">
        <is>
          <t>2025</t>
        </is>
      </c>
      <c r="G27" s="904" t="inlineStr">
        <is>
          <t>5</t>
        </is>
      </c>
      <c r="H27" s="904" t="n"/>
      <c r="I27" s="904" t="n"/>
      <c r="J27" s="905" t="n">
        <v>917734</v>
      </c>
      <c r="K27" s="390" t="inlineStr">
        <is>
          <t>宝田一丁目4-20</t>
        </is>
      </c>
    </row>
    <row r="28" ht="19.35" customHeight="1" s="595">
      <c r="B28" s="435" t="n">
        <v>26</v>
      </c>
      <c r="C28" s="401" t="inlineStr">
        <is>
          <t>建物</t>
        </is>
      </c>
      <c r="D28" s="401" t="inlineStr">
        <is>
          <t>資材倉庫シャッター（2025年5月）</t>
        </is>
      </c>
      <c r="E28" s="401" t="n"/>
      <c r="F28" s="904" t="inlineStr">
        <is>
          <t>2025</t>
        </is>
      </c>
      <c r="G28" s="904" t="inlineStr">
        <is>
          <t>5</t>
        </is>
      </c>
      <c r="H28" s="904" t="n"/>
      <c r="I28" s="904" t="n"/>
      <c r="J28" s="905" t="n">
        <v>401759</v>
      </c>
      <c r="K28" s="390" t="inlineStr">
        <is>
          <t>宝田一丁目4-20</t>
        </is>
      </c>
    </row>
    <row r="29" ht="19.35" customHeight="1" s="595">
      <c r="B29" s="442" t="n"/>
      <c r="C29" s="403" t="inlineStr">
        <is>
          <t>建物 計</t>
        </is>
      </c>
      <c r="D29" s="403" t="n"/>
      <c r="E29" s="403" t="n"/>
      <c r="F29" s="906" t="n"/>
      <c r="G29" s="906" t="n"/>
      <c r="H29" s="906" t="n"/>
      <c r="I29" s="906" t="n"/>
      <c r="J29" s="907">
        <f>SUM(J3:J28)</f>
        <v>92065694</v>
      </c>
      <c r="K29" s="405" t="n"/>
    </row>
    <row r="30">
      <c r="B30" s="782" t="inlineStr">
        <is>
          <t>チェック：BS建物と一致</t>
        </is>
      </c>
      <c r="C30" s="782" t="n"/>
      <c r="D30" s="782" t="n"/>
      <c r="E30" s="782" t="n"/>
      <c r="F30" s="782" t="n"/>
      <c r="G30" s="782" t="n"/>
      <c r="H30" s="782" t="n"/>
      <c r="I30" s="782" t="n"/>
      <c r="J30" s="782" t="b">
        <f>J29='BS(借方)'!F22</f>
        <v>1</v>
      </c>
      <c r="K30" s="782" t="n"/>
    </row>
    <row r="31">
      <c r="B31" s="782" t="n"/>
      <c r="C31" s="782" t="n"/>
      <c r="D31" s="782" t="n"/>
      <c r="E31" s="782" t="n"/>
      <c r="F31" s="782" t="n"/>
      <c r="G31" s="782" t="n"/>
      <c r="H31" s="782" t="n"/>
      <c r="I31" s="782" t="n"/>
      <c r="J31" s="782" t="n"/>
      <c r="K31" s="782" t="n"/>
    </row>
    <row r="32">
      <c r="B32" s="782" t="n"/>
      <c r="C32" s="782" t="n"/>
      <c r="D32" s="782" t="n"/>
      <c r="E32" s="782" t="n"/>
      <c r="F32" s="782" t="n"/>
      <c r="G32" s="782" t="n"/>
      <c r="H32" s="782" t="n"/>
      <c r="I32" s="782" t="n"/>
      <c r="J32" s="782" t="n"/>
      <c r="K32" s="782" t="n"/>
    </row>
    <row r="33" ht="33" customHeight="1" s="595">
      <c r="B33" s="782" t="n"/>
      <c r="C33" s="782" t="n"/>
      <c r="D33" s="2" t="inlineStr">
        <is>
          <t>科目</t>
        </is>
      </c>
      <c r="E33" s="782" t="n"/>
      <c r="F33" s="782" t="n"/>
      <c r="G33" s="782" t="n"/>
      <c r="H33" s="782" t="n"/>
      <c r="I33" s="782" t="n"/>
      <c r="J33" s="400" t="inlineStr">
        <is>
          <t>期末帳簿価額
(千円)</t>
        </is>
      </c>
      <c r="K33" s="1" t="inlineStr">
        <is>
          <t>備考</t>
        </is>
      </c>
    </row>
    <row r="34" ht="19.35" customHeight="1" s="595">
      <c r="B34" s="782" t="n"/>
      <c r="C34" s="782" t="n"/>
      <c r="D34" s="401" t="inlineStr">
        <is>
          <t>建物</t>
        </is>
      </c>
      <c r="E34" s="782" t="n"/>
      <c r="F34" s="782" t="n"/>
      <c r="G34" s="782" t="n"/>
      <c r="H34" s="782" t="n"/>
      <c r="I34" s="782" t="n"/>
      <c r="J34" s="905">
        <f>'BS(借方)'!F22</f>
        <v>92065694</v>
      </c>
      <c r="K34" s="390" t="inlineStr">
        <is>
          <t>左表の内訳のとおり。改修工事を資産計上</t>
        </is>
      </c>
    </row>
    <row r="35" ht="19.35" customHeight="1" s="595">
      <c r="B35" s="782" t="n"/>
      <c r="C35" s="782" t="n"/>
      <c r="D35" s="401" t="inlineStr">
        <is>
          <t>建物付属設備</t>
        </is>
      </c>
      <c r="E35" s="782" t="n"/>
      <c r="F35" s="782" t="n"/>
      <c r="G35" s="782" t="n"/>
      <c r="H35" s="782" t="n"/>
      <c r="I35" s="782" t="n"/>
      <c r="J35" s="905">
        <f>'BS(借方)'!F23</f>
        <v>11399836</v>
      </c>
      <c r="K35" s="390" t="inlineStr">
        <is>
          <t>冷蔵庫ユニット・シャッター等（内訳は台帳で要確認）</t>
        </is>
      </c>
    </row>
    <row r="36" ht="19.35" customHeight="1" s="595">
      <c r="B36" s="782" t="n"/>
      <c r="C36" s="782" t="n"/>
      <c r="D36" s="401" t="inlineStr">
        <is>
          <t>構築物</t>
        </is>
      </c>
      <c r="E36" s="782" t="n"/>
      <c r="F36" s="782" t="n"/>
      <c r="G36" s="782" t="n"/>
      <c r="H36" s="782" t="n"/>
      <c r="I36" s="782" t="n"/>
      <c r="J36" s="905">
        <f>'BS(借方)'!F24</f>
        <v>284395</v>
      </c>
      <c r="K36" s="390" t="n"/>
    </row>
    <row r="37" ht="19.35" customHeight="1" s="595">
      <c r="B37" s="782" t="n"/>
      <c r="C37" s="782" t="n"/>
      <c r="D37" s="401" t="inlineStr">
        <is>
          <t>機械装置</t>
        </is>
      </c>
      <c r="E37" s="782" t="n"/>
      <c r="F37" s="782" t="n"/>
      <c r="G37" s="782" t="n"/>
      <c r="H37" s="782" t="n"/>
      <c r="I37" s="782" t="n"/>
      <c r="J37" s="905">
        <f>'BS(借方)'!F25</f>
        <v>2</v>
      </c>
      <c r="K37" s="390" t="inlineStr">
        <is>
          <t>備忘価額のみ（償却済）</t>
        </is>
      </c>
    </row>
    <row r="38" ht="19.35" customHeight="1" s="595">
      <c r="B38" s="782" t="n"/>
      <c r="C38" s="782" t="n"/>
      <c r="D38" s="401" t="inlineStr">
        <is>
          <t>車両運搬具</t>
        </is>
      </c>
      <c r="E38" s="782" t="n"/>
      <c r="F38" s="782" t="n"/>
      <c r="G38" s="782" t="n"/>
      <c r="H38" s="782" t="n"/>
      <c r="I38" s="782" t="n"/>
      <c r="J38" s="905">
        <f>'BS(借方)'!F26</f>
        <v>15</v>
      </c>
      <c r="K38" s="390" t="inlineStr">
        <is>
          <t>備忘価額のみ（償却済）。車両は自己所有とリースを併用</t>
        </is>
      </c>
    </row>
    <row r="39" ht="19.35" customHeight="1" s="595">
      <c r="B39" s="782" t="n"/>
      <c r="C39" s="782" t="n"/>
      <c r="D39" s="401" t="inlineStr">
        <is>
          <t>工具器具備品</t>
        </is>
      </c>
      <c r="E39" s="782" t="n"/>
      <c r="F39" s="782" t="n"/>
      <c r="G39" s="782" t="n"/>
      <c r="H39" s="782" t="n"/>
      <c r="I39" s="782" t="n"/>
      <c r="J39" s="905">
        <f>'BS(借方)'!F27</f>
        <v>18546</v>
      </c>
      <c r="K39" s="390" t="n"/>
    </row>
    <row r="40" ht="19.35" customHeight="1" s="595">
      <c r="B40" s="782" t="n"/>
      <c r="C40" s="782" t="n"/>
      <c r="D40" s="401" t="inlineStr">
        <is>
          <t>ソフトウェア</t>
        </is>
      </c>
      <c r="E40" s="782" t="n"/>
      <c r="F40" s="782" t="n"/>
      <c r="G40" s="782" t="n"/>
      <c r="H40" s="782" t="n"/>
      <c r="I40" s="782" t="n"/>
      <c r="J40" s="905">
        <f>'BS(借方)'!F37</f>
        <v>371800</v>
      </c>
      <c r="K40" s="390" t="inlineStr">
        <is>
          <t>販売管理システム等と推察（要確認）</t>
        </is>
      </c>
    </row>
    <row r="41" ht="19.35" customHeight="1" s="595">
      <c r="D41" s="403" t="inlineStr">
        <is>
          <t>合計</t>
        </is>
      </c>
      <c r="J41" s="907">
        <f>SUM(J34:J40)</f>
        <v>104140288</v>
      </c>
      <c r="K41" s="405" t="n"/>
    </row>
    <row r="43">
      <c r="B43" t="inlineStr">
        <is>
          <t>※固定資産内訳書（2026/3期末）。固定資産台帳は未受領のため、償却方法・取得年月・取得原価、冷蔵設備・フォークリフト・車両等の明細は受領後に追加（非表示列）。</t>
        </is>
      </c>
    </row>
  </sheetData>
  <pageMargins left="0.7" right="0.7" top="0.75" bottom="0.75" header="0.3" footer="0.3"/>
</worksheet>
</file>

<file path=xl/worksheets/sheet45.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2" customWidth="1" style="595" min="1" max="1"/>
    <col width="26.71" customWidth="1" style="595" min="2" max="2"/>
    <col width="26.71" customWidth="1" style="595" min="3" max="3"/>
    <col width="44.54" customWidth="1" style="595" min="4" max="4"/>
    <col width="27.4" customWidth="1" style="595" min="5" max="5"/>
    <col width="21.23" customWidth="1" style="595" min="6" max="6"/>
  </cols>
  <sheetData>
    <row r="1">
      <c r="A1" s="812" t="inlineStr">
        <is>
          <t>許認可一覧</t>
        </is>
      </c>
    </row>
    <row r="2">
      <c r="A2" s="603" t="inlineStr">
        <is>
          <t>■ 貼付範囲 B5:F8 → 企業概要書「許認可一覧」（範囲をコピーしてパワポに貼り付け。数字はここを直す）</t>
        </is>
      </c>
    </row>
    <row r="5" ht="19" customHeight="1" s="595">
      <c r="B5" s="814" t="inlineStr">
        <is>
          <t>許認可等</t>
        </is>
      </c>
      <c r="C5" s="814" t="inlineStr">
        <is>
          <t>根拠法令・所管</t>
        </is>
      </c>
      <c r="D5" s="814" t="inlineStr">
        <is>
          <t>内容</t>
        </is>
      </c>
      <c r="E5" s="814" t="inlineStr">
        <is>
          <t>認定日・効力発生日</t>
        </is>
      </c>
      <c r="F5" s="814" t="inlineStr">
        <is>
          <t>備考</t>
        </is>
      </c>
    </row>
    <row r="6" ht="36" customHeight="1" s="595">
      <c r="B6" s="815" t="inlineStr">
        <is>
          <t>地方卸売市場の認定</t>
        </is>
      </c>
      <c r="C6" s="818" t="inlineStr">
        <is>
          <t>卸売市場法
（山形県知事）</t>
        </is>
      </c>
      <c r="D6" s="818" t="inlineStr">
        <is>
          <t>卸売市場の名称：株式会社鶴岡中央青果
所在地：山形県鶴岡市宝田一丁目4番20号</t>
        </is>
      </c>
      <c r="E6" s="818" t="inlineStr">
        <is>
          <t>2020年6月19日認定
（効力発生日 2020年6月21日）</t>
        </is>
      </c>
      <c r="F6" s="818" t="inlineStr">
        <is>
          <t>改正卸売市場法の施行に伴う認定</t>
        </is>
      </c>
    </row>
    <row r="7" ht="36" customHeight="1" s="595">
      <c r="B7" s="815" t="inlineStr">
        <is>
          <t>地方卸売市場の変更の認定</t>
        </is>
      </c>
      <c r="C7" s="818" t="inlineStr">
        <is>
          <t>卸売市場法第14条
（山形県知事）</t>
        </is>
      </c>
      <c r="D7" s="818" t="inlineStr">
        <is>
          <t>認定事項の変更（変更内容は要確認）</t>
        </is>
      </c>
      <c r="E7" s="818" t="inlineStr">
        <is>
          <t>2026年2月13日認定
（効力発生日 2026年4月1日）</t>
        </is>
      </c>
      <c r="F7" s="818" t="inlineStr">
        <is>
          <t>認定証の写しを受領</t>
        </is>
      </c>
    </row>
    <row r="8" ht="36" customHeight="1" s="595">
      <c r="B8" s="815" t="inlineStr">
        <is>
          <t>倉庫業</t>
        </is>
      </c>
      <c r="C8" s="818" t="inlineStr">
        <is>
          <t>倉庫業法</t>
        </is>
      </c>
      <c r="D8" s="818" t="inlineStr">
        <is>
          <t>定款の目的に記載</t>
        </is>
      </c>
      <c r="E8" s="818" t="inlineStr">
        <is>
          <t>要確認</t>
        </is>
      </c>
      <c r="F8" s="818" t="inlineStr">
        <is>
          <t>登録の有無は要確認</t>
        </is>
      </c>
    </row>
    <row r="10">
      <c r="B10" t="inlineStr">
        <is>
          <t>※出所：地方卸売市場の認定証・変更の認定証（山形県）、履歴事項全部証明書。認定の条件（取扱品目・開場日等）は業務規程で要確認。</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2" customWidth="1" style="595" min="1" max="1"/>
    <col width="26.03" customWidth="1" style="595" min="2" max="2"/>
    <col width="119.29" customWidth="1" style="595" min="3" max="3"/>
  </cols>
  <sheetData>
    <row r="1">
      <c r="A1" s="812" t="inlineStr">
        <is>
          <t>沿革</t>
        </is>
      </c>
    </row>
    <row r="2">
      <c r="A2" s="617" t="inlineStr">
        <is>
          <t>■ 貼付範囲 B4:C16 → 企業概要書「沿革」（範囲をコピーしてパワポに貼り付け。数字はここを直す）</t>
        </is>
      </c>
    </row>
    <row r="3"/>
    <row r="4" ht="20" customHeight="1" s="595">
      <c r="B4" s="814" t="inlineStr">
        <is>
          <t>年月</t>
        </is>
      </c>
      <c r="C4" s="814" t="inlineStr">
        <is>
          <t>主な出来事</t>
        </is>
      </c>
    </row>
    <row r="5" ht="27" customHeight="1" s="595">
      <c r="B5" s="815" t="inlineStr">
        <is>
          <t>1973年11月</t>
        </is>
      </c>
      <c r="C5" s="818" t="inlineStr">
        <is>
          <t>株式会社鶴岡中央青果を設立</t>
        </is>
      </c>
    </row>
    <row r="6" ht="27" customHeight="1" s="595">
      <c r="B6" s="815" t="inlineStr">
        <is>
          <t>1981〜82年</t>
        </is>
      </c>
      <c r="C6" s="818" t="inlineStr">
        <is>
          <t>現本社地（宝田一丁目）に事務所・市場・倉庫・パッケージ場（事務所兼倉庫）を建築</t>
        </is>
      </c>
    </row>
    <row r="7" ht="27" customHeight="1" s="595">
      <c r="B7" s="815" t="inlineStr">
        <is>
          <t>1984年11月</t>
        </is>
      </c>
      <c r="C7" s="818" t="inlineStr">
        <is>
          <t>住居表示の実施により本店所在地の表記が「鶴岡市宝田一丁目4番20号」となる</t>
        </is>
      </c>
    </row>
    <row r="8" ht="27" customHeight="1" s="595">
      <c r="B8" s="815" t="inlineStr">
        <is>
          <t>2006年</t>
        </is>
      </c>
      <c r="C8" s="818" t="inlineStr">
        <is>
          <t>会社法施行に伴い取締役会設置会社・監査役設置会社の登記</t>
        </is>
      </c>
    </row>
    <row r="9" ht="27" customHeight="1" s="595">
      <c r="B9" s="815" t="inlineStr">
        <is>
          <t>2012年</t>
        </is>
      </c>
      <c r="C9" s="818" t="inlineStr">
        <is>
          <t>定款の目的を変更（現行：青果物の販売及び卸売、倉庫業ほか）。宝田一丁目5-1に倉庫（鉄骨造139㎡）を新築</t>
        </is>
      </c>
    </row>
    <row r="10" ht="27" customHeight="1" s="595">
      <c r="B10" s="815" t="inlineStr">
        <is>
          <t>2019年10月</t>
        </is>
      </c>
      <c r="C10" s="818" t="inlineStr">
        <is>
          <t>受託販売の会計表示を総額から純額（受託手数料のみ）へ変更</t>
        </is>
      </c>
    </row>
    <row r="11" ht="27" customHeight="1" s="595">
      <c r="B11" s="815" t="inlineStr">
        <is>
          <t>2020年6月</t>
        </is>
      </c>
      <c r="C11" s="818" t="inlineStr">
        <is>
          <t>改正卸売市場法の施行に伴い、山形県知事より地方卸売市場の認定を受ける</t>
        </is>
      </c>
    </row>
    <row r="12" ht="27" customHeight="1" s="595">
      <c r="B12" s="815" t="inlineStr">
        <is>
          <t>2025年5月</t>
        </is>
      </c>
      <c r="C12" s="818" t="inlineStr">
        <is>
          <t>資材倉庫の外壁・シャッターを改修</t>
        </is>
      </c>
    </row>
    <row r="13" ht="27" customHeight="1" s="595">
      <c r="B13" s="815" t="inlineStr">
        <is>
          <t>2026年1月</t>
        </is>
      </c>
      <c r="C13" s="818" t="inlineStr">
        <is>
          <t>鶴岡市内のもう1社の青果市場が撤退し、市内で唯一の青果市場となる</t>
        </is>
      </c>
    </row>
    <row r="14" ht="27" customHeight="1" s="595">
      <c r="B14" s="815" t="inlineStr">
        <is>
          <t>2026年2月</t>
        </is>
      </c>
      <c r="C14" s="818" t="inlineStr">
        <is>
          <t>地方卸売市場の変更の認定（2026年4月1日効力発生。変更内容は要確認）</t>
        </is>
      </c>
    </row>
    <row r="15" ht="27" customHeight="1" s="595">
      <c r="B15" s="815" t="inlineStr">
        <is>
          <t>2026年5月</t>
        </is>
      </c>
      <c r="C15" s="818" t="inlineStr">
        <is>
          <t>役員改選（取締役3名重任、常務取締役退任）</t>
        </is>
      </c>
    </row>
    <row r="16" ht="27" customHeight="1" s="595">
      <c r="B16" s="815" t="inlineStr">
        <is>
          <t>時期要確認</t>
        </is>
      </c>
      <c r="C16" s="818" t="inlineStr">
        <is>
          <t>庄内町長沼の倉庫を老朽化により解体（跡地は駐車場として賃貸）</t>
        </is>
      </c>
    </row>
    <row r="17">
      <c r="B17" s="811" t="n"/>
    </row>
    <row r="18">
      <c r="B18" s="811" t="inlineStr">
        <is>
          <t>※出所：履歴事項全部証明書、地方卸売市場の認定証、固定資産税課税明細書、個別注記表、固定資産内訳書。創業の経緯・代表者の経歴は売主様へ確認中。</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 customWidth="1" style="595" min="1" max="1"/>
    <col width="23.97" customWidth="1" style="595" min="2" max="2"/>
    <col width="121.34" customWidth="1" style="595" min="3" max="3"/>
  </cols>
  <sheetData>
    <row r="1">
      <c r="A1" s="812" t="inlineStr">
        <is>
          <t>その他補足情報</t>
        </is>
      </c>
    </row>
    <row r="2">
      <c r="A2" s="617" t="inlineStr">
        <is>
          <t>■ 貼付範囲 B4:C15 → 企業概要書「その他補足情報」（範囲をコピーしてパワポに貼り付け。数字はここを直す）</t>
        </is>
      </c>
    </row>
    <row r="3"/>
    <row r="4" ht="20" customHeight="1" s="595">
      <c r="B4" s="814" t="inlineStr">
        <is>
          <t>項目</t>
        </is>
      </c>
      <c r="C4" s="814" t="inlineStr">
        <is>
          <t>内容</t>
        </is>
      </c>
    </row>
    <row r="5" ht="36" customHeight="1" s="595">
      <c r="B5" s="815" t="inlineStr">
        <is>
          <t>許認可</t>
        </is>
      </c>
      <c r="C5" s="818" t="inlineStr">
        <is>
          <t>・地方卸売市場（卸売市場法）：2020年6月に山形県知事の認定、2026年2月に変更の認定（「許認可一覧」参照）
・倉庫業：定款目的に記載（登録の有無は要確認）</t>
        </is>
      </c>
    </row>
    <row r="6" ht="36" customHeight="1" s="595">
      <c r="B6" s="815" t="inlineStr">
        <is>
          <t>競合環境</t>
        </is>
      </c>
      <c r="C6" s="818" t="inlineStr">
        <is>
          <t>・鶴岡市内の青果市場は当社のみ（2026年1月に2社体制から1社に）
・車で10〜15分の三川町に公設市場があり集荷面で競合。山形市・秋田の市場も集荷に来ており、秋田へ直接出荷する農家もある</t>
        </is>
      </c>
    </row>
    <row r="7" ht="36" customHeight="1" s="595">
      <c r="B7" s="815" t="inlineStr">
        <is>
          <t>市場関係</t>
        </is>
      </c>
      <c r="C7" s="818" t="inlineStr">
        <is>
          <t>・保証金33,303千円は仕入代金のデポジット（約10日分）。取引終了時に返金される
・預り保証金8,980千円は販売先（八百屋等）からの預り（1先あたり5〜30万円程度）</t>
        </is>
      </c>
    </row>
    <row r="8" ht="36" customHeight="1" s="595">
      <c r="B8" s="815" t="inlineStr">
        <is>
          <t>手数料・商慣習</t>
        </is>
      </c>
      <c r="C8" s="818" t="inlineStr">
        <is>
          <t>・受託販売手数料は8.5%（市場で一般的な水準。県への届出等で変更可能だが据置）
・売上割戻は期限内に代金を支払った八百屋等への完納奨励金（市場業界の商慣習）</t>
        </is>
      </c>
    </row>
    <row r="9" ht="36" customHeight="1" s="595">
      <c r="B9" s="815" t="inlineStr">
        <is>
          <t>賞与・退職金</t>
        </is>
      </c>
      <c r="C9" s="818" t="inlineStr">
        <is>
          <t>・賞与規定はなく、業績に応じて支給
・退職金規程あり。中退共・オリックス生命で外部積立（会社の追加負担は基本的にないとの認識）</t>
        </is>
      </c>
    </row>
    <row r="10" ht="24" customHeight="1" s="595">
      <c r="B10" s="815" t="inlineStr">
        <is>
          <t>加入団体・出資先</t>
        </is>
      </c>
      <c r="C10" s="818" t="inlineStr">
        <is>
          <t>・山形県中小商工業協同組合、商工会議所、鶴岡信用金庫（出資金）</t>
        </is>
      </c>
    </row>
    <row r="11" ht="24" customHeight="1" s="595">
      <c r="B11" s="815" t="inlineStr">
        <is>
          <t>取引金融機関</t>
        </is>
      </c>
      <c r="C11" s="818" t="inlineStr">
        <is>
          <t>・鶴岡信用金庫、山形銀行、荘内銀行、日本政策金融公庫（借入残高は「財務ハイライト（B/S）」参照）</t>
        </is>
      </c>
    </row>
    <row r="12" ht="36" customHeight="1" s="595">
      <c r="B12" s="815" t="inlineStr">
        <is>
          <t>仕入先・物流</t>
        </is>
      </c>
      <c r="C12" s="818" t="inlineStr">
        <is>
          <t>・丸果庄内青果(株)、(株)庄果（公設庄内青果物地方卸売市場）、長井中央青果(株)、(株)マルト直治郎商店 ほか
・配送は自社対応（東京向け出荷・一部の地元スーパー向け配送のみ外部運送会社を利用）</t>
        </is>
      </c>
    </row>
    <row r="13" ht="24" customHeight="1" s="595">
      <c r="B13" s="815" t="inlineStr">
        <is>
          <t>営業時間・定休日</t>
        </is>
      </c>
      <c r="C13" s="818" t="inlineStr">
        <is>
          <t>・早朝5時から営業（終業時刻は要確認）／定休日は水・日・祝日</t>
        </is>
      </c>
    </row>
    <row r="14" ht="36" customHeight="1" s="595">
      <c r="B14" s="815" t="inlineStr">
        <is>
          <t>機関設計・株式</t>
        </is>
      </c>
      <c r="C14" s="818" t="inlineStr">
        <is>
          <t>・取締役会設置会社／監査役設置会社（監査の範囲を会計に限定）
・株式の譲渡制限あり（取締役会の承認）。発行済株式4,000株（株主8名）</t>
        </is>
      </c>
    </row>
    <row r="15" ht="24" customHeight="1" s="595">
      <c r="B15" s="815" t="inlineStr">
        <is>
          <t>Webサイト</t>
        </is>
      </c>
      <c r="C15" s="818" t="inlineStr">
        <is>
          <t>・http://www.turu-chu.co.jp/（だだちゃ豆・庄内柿等の特産品、安全への取組みを掲載。検索結果の要約であり本文は要確認）</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B1:F35"/>
  <sheetViews>
    <sheetView showGridLines="0" zoomScaleNormal="100" workbookViewId="0">
      <selection activeCell="B3" sqref="B3"/>
    </sheetView>
  </sheetViews>
  <sheetFormatPr baseColWidth="8" defaultColWidth="8.875" defaultRowHeight="18"/>
  <cols>
    <col width="8.875" customWidth="1" style="51" min="1" max="1"/>
    <col width="16.125" customWidth="1" style="51" min="2" max="5"/>
    <col width="55.5" customWidth="1" style="51" min="6" max="6"/>
    <col width="8.875" customWidth="1" style="51" min="7" max="16384"/>
  </cols>
  <sheetData>
    <row r="1">
      <c r="B1" s="57" t="n"/>
    </row>
    <row r="2" ht="19.5" customHeight="1" s="595">
      <c r="B2" s="58" t="inlineStr">
        <is>
          <t>IMの財務詳細ページのデータは財務入力のシートから流用してください</t>
        </is>
      </c>
      <c r="C2" s="50" t="n"/>
      <c r="D2" s="50" t="n"/>
      <c r="E2" s="50" t="n"/>
      <c r="F2" s="50" t="n"/>
    </row>
    <row r="3" ht="22.5" customHeight="1" s="595">
      <c r="B3" s="574" t="n"/>
      <c r="C3" s="908" t="n"/>
      <c r="D3" s="908" t="n"/>
      <c r="E3" s="908" t="n"/>
      <c r="F3" s="8" t="n"/>
    </row>
    <row r="4" ht="22.5" customHeight="1" s="595">
      <c r="B4" s="54" t="n"/>
      <c r="C4" s="908" t="n"/>
      <c r="D4" s="908" t="n"/>
      <c r="E4" s="908" t="n"/>
      <c r="F4" s="8" t="n"/>
    </row>
    <row r="5" ht="22.5" customHeight="1" s="595">
      <c r="B5" s="574" t="n"/>
      <c r="C5" s="908" t="n"/>
      <c r="D5" s="908" t="n"/>
      <c r="E5" s="908" t="n"/>
      <c r="F5" s="55" t="n"/>
    </row>
    <row r="6" ht="22.5" customHeight="1" s="595">
      <c r="B6" s="574" t="n"/>
      <c r="C6" s="908" t="n"/>
      <c r="D6" s="908" t="n"/>
      <c r="E6" s="908" t="n"/>
      <c r="F6" s="55" t="n"/>
    </row>
    <row r="7" ht="22.5" customHeight="1" s="595">
      <c r="B7" s="574" t="n"/>
      <c r="C7" s="908" t="n"/>
      <c r="D7" s="908" t="n"/>
      <c r="E7" s="908" t="n"/>
      <c r="F7" s="55" t="n"/>
    </row>
    <row r="8" ht="22.5" customHeight="1" s="595">
      <c r="B8" s="574" t="n"/>
      <c r="C8" s="908" t="n"/>
      <c r="D8" s="908" t="n"/>
      <c r="E8" s="908" t="n"/>
      <c r="F8" s="55" t="n"/>
    </row>
    <row r="11" ht="19.5" customHeight="1" s="595">
      <c r="B11" s="50" t="n"/>
      <c r="C11" s="50" t="n"/>
      <c r="D11" s="50" t="n"/>
      <c r="E11" s="50" t="n"/>
      <c r="F11" s="50" t="n"/>
    </row>
    <row r="12" ht="20.1" customHeight="1" s="595">
      <c r="B12" s="574" t="n"/>
      <c r="C12" s="908" t="n"/>
      <c r="D12" s="908" t="n"/>
      <c r="E12" s="908" t="n"/>
      <c r="F12" s="8" t="n"/>
    </row>
    <row r="13" ht="20.1" customHeight="1" s="595">
      <c r="C13" s="908" t="n"/>
      <c r="D13" s="908" t="n"/>
      <c r="E13" s="908" t="n"/>
      <c r="F13" s="8" t="n"/>
    </row>
    <row r="14" ht="20.1" customHeight="1" s="595">
      <c r="B14" s="574" t="n"/>
      <c r="C14" s="908" t="n"/>
      <c r="D14" s="908" t="n"/>
      <c r="E14" s="908" t="n"/>
      <c r="F14" s="55" t="n"/>
    </row>
    <row r="15" ht="20.1" customHeight="1" s="595">
      <c r="C15" s="908" t="n"/>
      <c r="D15" s="908" t="n"/>
      <c r="E15" s="908" t="n"/>
      <c r="F15" s="55" t="n"/>
    </row>
    <row r="16" ht="20.1" customHeight="1" s="595">
      <c r="B16" s="574" t="n"/>
      <c r="C16" s="908" t="n"/>
      <c r="D16" s="908" t="n"/>
      <c r="E16" s="908" t="n"/>
      <c r="F16" s="55" t="n"/>
    </row>
    <row r="17" ht="20.1" customHeight="1" s="595">
      <c r="C17" s="908" t="n"/>
      <c r="D17" s="908" t="n"/>
      <c r="E17" s="908" t="n"/>
      <c r="F17" s="55" t="n"/>
    </row>
    <row r="20" ht="19.5" customHeight="1" s="595">
      <c r="B20" s="50" t="n"/>
      <c r="C20" s="50" t="n"/>
      <c r="D20" s="50" t="n"/>
      <c r="E20" s="50" t="n"/>
    </row>
    <row r="21">
      <c r="B21" s="574" t="n"/>
      <c r="C21" s="908" t="n"/>
      <c r="D21" s="909" t="n"/>
      <c r="E21" s="908" t="n"/>
    </row>
    <row r="22">
      <c r="C22" s="908" t="n"/>
      <c r="D22" s="909" t="n"/>
      <c r="E22" s="908" t="n"/>
    </row>
    <row r="23">
      <c r="B23" s="574" t="n"/>
      <c r="C23" s="908" t="n"/>
      <c r="D23" s="909" t="n"/>
      <c r="E23" s="908" t="n"/>
    </row>
    <row r="24">
      <c r="C24" s="908" t="n"/>
      <c r="D24" s="909" t="n"/>
      <c r="E24" s="908" t="n"/>
    </row>
    <row r="25">
      <c r="B25" s="574" t="n"/>
      <c r="C25" s="908" t="n"/>
      <c r="D25" s="909" t="n"/>
      <c r="E25" s="908" t="n"/>
    </row>
    <row r="26">
      <c r="C26" s="908" t="n"/>
      <c r="D26" s="909" t="n"/>
      <c r="E26" s="908" t="n"/>
    </row>
    <row r="29" ht="19.5" customHeight="1" s="595">
      <c r="B29" s="50" t="n"/>
      <c r="C29" s="50" t="n"/>
      <c r="D29" s="50" t="n"/>
      <c r="E29" s="50" t="n"/>
    </row>
    <row r="30">
      <c r="B30" s="574" t="n"/>
      <c r="C30" s="908" t="n"/>
      <c r="D30" s="908" t="n"/>
      <c r="E30" s="908" t="n"/>
    </row>
    <row r="31">
      <c r="C31" s="908" t="n"/>
      <c r="D31" s="908" t="n"/>
      <c r="E31" s="908" t="n"/>
    </row>
    <row r="32">
      <c r="B32" s="574" t="n"/>
      <c r="C32" s="908" t="n"/>
      <c r="D32" s="908" t="n"/>
      <c r="E32" s="908" t="n"/>
    </row>
    <row r="33">
      <c r="C33" s="908" t="n"/>
      <c r="D33" s="908" t="n"/>
      <c r="E33" s="908" t="n"/>
    </row>
    <row r="34">
      <c r="B34" s="574" t="n"/>
      <c r="C34" s="909" t="n"/>
      <c r="D34" s="909" t="n"/>
      <c r="E34" s="909" t="n"/>
    </row>
    <row r="35">
      <c r="C35" s="909" t="n"/>
      <c r="D35" s="909" t="n"/>
      <c r="E35" s="909" t="n"/>
    </row>
  </sheetData>
  <mergeCells count="9">
    <mergeCell ref="B23:B24"/>
    <mergeCell ref="B32:B33"/>
    <mergeCell ref="B12:B13"/>
    <mergeCell ref="B25:B26"/>
    <mergeCell ref="B16:B17"/>
    <mergeCell ref="B34:B35"/>
    <mergeCell ref="B21:B22"/>
    <mergeCell ref="B14:B15"/>
    <mergeCell ref="B30:B31"/>
  </mergeCells>
  <pageMargins left="0.7" right="0.7" top="0.75" bottom="0.75" header="0.3" footer="0.3"/>
</worksheet>
</file>

<file path=xl/worksheets/sheet49.xml><?xml version="1.0" encoding="utf-8"?>
<worksheet xmlns="http://schemas.openxmlformats.org/spreadsheetml/2006/main">
  <sheetPr>
    <tabColor rgb="FF002060"/>
    <outlinePr summaryBelow="1" summaryRight="1"/>
    <pageSetUpPr/>
  </sheetPr>
  <dimension ref="A1:F70"/>
  <sheetViews>
    <sheetView showGridLines="0" workbookViewId="0">
      <selection activeCell="K16" sqref="K16"/>
    </sheetView>
  </sheetViews>
  <sheetFormatPr baseColWidth="8" defaultRowHeight="18"/>
  <cols>
    <col width="2" customWidth="1" style="595" min="1" max="1"/>
    <col width="6" customWidth="1" style="595" min="2" max="2"/>
    <col width="12" customWidth="1" style="595" min="3" max="3"/>
    <col width="64" customWidth="1" style="595" min="4" max="4"/>
    <col width="8" customWidth="1" style="595" min="5" max="5"/>
    <col width="64" customWidth="1" style="595" min="6" max="6"/>
  </cols>
  <sheetData>
    <row r="1">
      <c r="A1" s="812" t="inlineStr">
        <is>
          <t>要確認事項・面談回答・Web調査メモ（ヒアリング項目／資料依頼の原本）</t>
        </is>
      </c>
    </row>
    <row r="2">
      <c r="A2" s="910" t="inlineStr">
        <is>
          <t>最終更新：2026年10月27日（追加資料〔9月試算表・買参人別／荷主別順位表・分類別商品売上実績表・認定証・賃金台帳〕を反映）。★＝重要論点</t>
        </is>
      </c>
    </row>
    <row r="3" ht="30" customHeight="1" s="595">
      <c r="A3" s="911" t="n"/>
      <c r="B3" s="911" t="inlineStr">
        <is>
          <t>No.</t>
        </is>
      </c>
      <c r="C3" s="911" t="inlineStr">
        <is>
          <t>区分</t>
        </is>
      </c>
      <c r="D3" s="911" t="inlineStr">
        <is>
          <t>論点</t>
        </is>
      </c>
      <c r="E3" s="911" t="inlineStr">
        <is>
          <t>優先度</t>
        </is>
      </c>
      <c r="F3" s="911" t="inlineStr">
        <is>
          <t>状況（第2回面談の回答／残る確認事項）</t>
        </is>
      </c>
    </row>
    <row r="4">
      <c r="B4" s="912" t="n">
        <v>1</v>
      </c>
      <c r="C4" s="913" t="inlineStr">
        <is>
          <t>事業</t>
        </is>
      </c>
      <c r="D4" s="913" t="inlineStr">
        <is>
          <t>売上高の構成（買付販売／受託販売手数料／センター費／資材売上）の年度別内訳。決算書では「商品売上高」1本表示</t>
        </is>
      </c>
      <c r="E4" s="913" t="inlineStr">
        <is>
          <t>高</t>
        </is>
      </c>
      <c r="F4" s="914" t="inlineStr">
        <is>
          <t>一部回答：受託手数料は販売額の8.5%、センター費は主婦の店の配送額の約10%（1日約10万円）。年度別内訳は資料依頼</t>
        </is>
      </c>
    </row>
    <row r="5">
      <c r="B5" s="912" t="n">
        <v>2</v>
      </c>
      <c r="C5" s="913" t="inlineStr">
        <is>
          <t>事業</t>
        </is>
      </c>
      <c r="D5" s="913" t="inlineStr">
        <is>
          <t>市場の法的位置づけ（卸売市場法上の地方卸売市場の認定／開設者兼卸売業者）、認定日・条件、仲卸業者数・売買参加者数</t>
        </is>
      </c>
      <c r="E5" s="913" t="inlineStr">
        <is>
          <t>高</t>
        </is>
      </c>
      <c r="F5" s="914" t="inlineStr">
        <is>
          <t>回答資料受領：地方卸売市場の認定証（2020/6/19認定）・変更の認定証（2026/2/13認定、2026/4/1効力）。変更内容・仲卸業者数・売買参加者数は要確認</t>
        </is>
      </c>
    </row>
    <row r="6">
      <c r="B6" s="912" t="n">
        <v>3</v>
      </c>
      <c r="C6" s="913" t="inlineStr">
        <is>
          <t>事業</t>
        </is>
      </c>
      <c r="D6" s="913" t="inlineStr">
        <is>
          <t>主要販売先別・仕入先（出荷者）別の年間取引高（内訳書は期末残高のみ）。(株)主婦の店への依存度</t>
        </is>
      </c>
      <c r="E6" s="913" t="inlineStr">
        <is>
          <t>高</t>
        </is>
      </c>
      <c r="F6" s="914" t="inlineStr">
        <is>
          <t>回答資料受領（買参人別・荷主別順位表、上位20位×3期）。(株)主婦の店鶴岡店は2026/3期345,227千円（決算書売上高の28.9%）で依存度が高い。社内勘定（KK・パッケージ）の性質は要確認</t>
        </is>
      </c>
    </row>
    <row r="7">
      <c r="B7" s="912" t="n">
        <v>4</v>
      </c>
      <c r="C7" s="913" t="inlineStr">
        <is>
          <t>事業</t>
        </is>
      </c>
      <c r="D7" s="913" t="inlineStr">
        <is>
          <t>「主婦センター費」「センター費」の内容、契約条件</t>
        </is>
      </c>
      <c r="E7" s="913" t="inlineStr">
        <is>
          <t>高</t>
        </is>
      </c>
      <c r="F7" s="914" t="inlineStr">
        <is>
          <t>回答済：主婦の店の仕入商品の配送を受託し、配送額の約10%をセンター費として受領（1日約10万円）。契約書の有無は要確認</t>
        </is>
      </c>
    </row>
    <row r="8">
      <c r="B8" s="912" t="n">
        <v>5</v>
      </c>
      <c r="C8" s="913" t="inlineStr">
        <is>
          <t>財務</t>
        </is>
      </c>
      <c r="D8" s="913" t="inlineStr">
        <is>
          <t>2025/3期の営業赤字（△4,423千円）の要因。売上総利益率は18.6%→17.9%→16.6%と低下</t>
        </is>
      </c>
      <c r="E8" s="913" t="inlineStr">
        <is>
          <t>高</t>
        </is>
      </c>
      <c r="F8" s="914" t="inlineStr">
        <is>
          <t>要確認。足元は人件費削減により利益体質が改善との回答</t>
        </is>
      </c>
    </row>
    <row r="9">
      <c r="B9" s="912" t="n">
        <v>6</v>
      </c>
      <c r="C9" s="913" t="inlineStr">
        <is>
          <t>財務</t>
        </is>
      </c>
      <c r="D9" s="913" t="inlineStr">
        <is>
          <t>2026/3期に賞与計上がない理由。今後の支給方針</t>
        </is>
      </c>
      <c r="E9" s="913" t="inlineStr">
        <is>
          <t>高</t>
        </is>
      </c>
      <c r="F9" s="914" t="inlineStr">
        <is>
          <t>回答済：賞与規定はなく、業績に応じて支給。年度別・人別の支給実績は要確認</t>
        </is>
      </c>
    </row>
    <row r="10">
      <c r="B10" s="912" t="n">
        <v>7</v>
      </c>
      <c r="C10" s="913" t="inlineStr">
        <is>
          <t>財務</t>
        </is>
      </c>
      <c r="D10" s="913" t="inlineStr">
        <is>
          <t>前期損益修正損20,900千円（過年度保険解約訂正額）の経緯。解約返戻金の受領有無</t>
        </is>
      </c>
      <c r="E10" s="913" t="inlineStr">
        <is>
          <t>高</t>
        </is>
      </c>
      <c r="F10" s="914" t="inlineStr">
        <is>
          <t>要確認</t>
        </is>
      </c>
    </row>
    <row r="11">
      <c r="B11" s="912" t="n">
        <v>8</v>
      </c>
      <c r="C11" s="913" t="inlineStr">
        <is>
          <t>財務</t>
        </is>
      </c>
      <c r="D11" s="913" t="inlineStr">
        <is>
          <t>役員報酬の減額（代表者10,560千円→4,320千円）の理由、常務取締役退任（2026/5）後の体制</t>
        </is>
      </c>
      <c r="E11" s="913" t="inlineStr">
        <is>
          <t>高</t>
        </is>
      </c>
      <c r="F11" s="914" t="inlineStr">
        <is>
          <t>一部回答：常務は考え方の相違により退職（業績への悪影響はないとの認識）。業務範囲は社長＝経営全般・販売、弟（63歳）＝買付・販売、配偶者＝関与なし。譲渡後は弟のみ残留、他役員は退任予定。減額理由は要確認</t>
        </is>
      </c>
    </row>
    <row r="12">
      <c r="B12" s="912" t="n">
        <v>9</v>
      </c>
      <c r="C12" s="913" t="inlineStr">
        <is>
          <t>財務</t>
        </is>
      </c>
      <c r="D12" s="913" t="inlineStr">
        <is>
          <t>借入金の金利・返済予定・担保・代表者保証。有利子負債361,058千円（2026/3末）</t>
        </is>
      </c>
      <c r="E12" s="913" t="inlineStr">
        <is>
          <t>高</t>
        </is>
      </c>
      <c r="F12" s="914" t="inlineStr">
        <is>
          <t>要確認</t>
        </is>
      </c>
    </row>
    <row r="13">
      <c r="B13" s="912" t="n">
        <v>10</v>
      </c>
      <c r="C13" s="913" t="inlineStr">
        <is>
          <t>財務</t>
        </is>
      </c>
      <c r="D13" s="913" t="inlineStr">
        <is>
          <t>保証金33,303千円（うち庄内青果物卸売精算(有)31,993千円）の性質・返還条件、預り保証金8,980千円の相手先</t>
        </is>
      </c>
      <c r="E13" s="913" t="inlineStr">
        <is>
          <t>中</t>
        </is>
      </c>
      <c r="F13" s="914" t="inlineStr">
        <is>
          <t>回答済：仕入代金に対するデポジット（約10日分）で取引終了時に返金。預り保証金は販売先（八百屋等）から1先5〜30万円程度</t>
        </is>
      </c>
    </row>
    <row r="14">
      <c r="B14" s="912" t="n">
        <v>11</v>
      </c>
      <c r="C14" s="913" t="inlineStr">
        <is>
          <t>財務</t>
        </is>
      </c>
      <c r="D14" s="913" t="inlineStr">
        <is>
          <t>投資有価証券の減少（2026/3末2,600千円→2026/7末1,600千円）。(株)庄果株式の処分有無</t>
        </is>
      </c>
      <c r="E14" s="913" t="inlineStr">
        <is>
          <t>中</t>
        </is>
      </c>
      <c r="F14" s="914" t="inlineStr">
        <is>
          <t>要確認</t>
        </is>
      </c>
    </row>
    <row r="15">
      <c r="B15" s="912" t="n">
        <v>12</v>
      </c>
      <c r="C15" s="913" t="inlineStr">
        <is>
          <t>財務</t>
        </is>
      </c>
      <c r="D15" s="913" t="inlineStr">
        <is>
          <t>租税公課12,177千円の内訳（税込経理による消費税納付額と推察）</t>
        </is>
      </c>
      <c r="E15" s="913" t="inlineStr">
        <is>
          <t>中</t>
        </is>
      </c>
      <c r="F15" s="914" t="inlineStr">
        <is>
          <t>要確認</t>
        </is>
      </c>
    </row>
    <row r="16">
      <c r="B16" s="912" t="n">
        <v>13</v>
      </c>
      <c r="C16" s="913" t="inlineStr">
        <is>
          <t>不動産</t>
        </is>
      </c>
      <c r="D16" s="913" t="inlineStr">
        <is>
          <t>土地の時価（簿価93,137千円／固定資産税評価額47,478千円）。建物の耐震性・修繕計画</t>
        </is>
      </c>
      <c r="E16" s="913" t="inlineStr">
        <is>
          <t>高</t>
        </is>
      </c>
      <c r="F16" s="914" t="inlineStr">
        <is>
          <t>★要確認：社長も土地・建物の時価修正が必要と認識。路線価・査定等で時価を確認する</t>
        </is>
      </c>
    </row>
    <row r="17">
      <c r="B17" s="912" t="n">
        <v>14</v>
      </c>
      <c r="C17" s="913" t="inlineStr">
        <is>
          <t>不動産</t>
        </is>
      </c>
      <c r="D17" s="913" t="inlineStr">
        <is>
          <t>庄内町長沼の倉庫敷地の利用状況（建物の有無）</t>
        </is>
      </c>
      <c r="E17" s="913" t="inlineStr">
        <is>
          <t>中</t>
        </is>
      </c>
      <c r="F17" s="914" t="inlineStr">
        <is>
          <t>回答済：倉庫は老朽化で解体済み、土地のみ保有。現在は建物を建てられない土地（代表者談）。近隣に月極駐車場として賃貸（8台分のうち2台程度利用、収入は僅少）。賃貸借契約は要確認</t>
        </is>
      </c>
    </row>
    <row r="18">
      <c r="B18" s="912" t="n">
        <v>15</v>
      </c>
      <c r="C18" s="913" t="inlineStr">
        <is>
          <t>人事</t>
        </is>
      </c>
      <c r="D18" s="913" t="inlineStr">
        <is>
          <t>従業員数の定義差（名簿24名／概況説明書30名／県資料40名）。セリ人・キーパーソン、後継体制</t>
        </is>
      </c>
      <c r="E18" s="913" t="inlineStr">
        <is>
          <t>高</t>
        </is>
      </c>
      <c r="F18" s="914" t="inlineStr">
        <is>
          <t>要確認</t>
        </is>
      </c>
    </row>
    <row r="19">
      <c r="B19" s="912" t="n">
        <v>16</v>
      </c>
      <c r="C19" s="913" t="inlineStr">
        <is>
          <t>人事</t>
        </is>
      </c>
      <c r="D19" s="913" t="inlineStr">
        <is>
          <t>就業規則・退職金規程（退職金共済加入のみか）・未払残業代の有無</t>
        </is>
      </c>
      <c r="E19" s="913" t="inlineStr">
        <is>
          <t>中</t>
        </is>
      </c>
      <c r="F19" s="914" t="inlineStr">
        <is>
          <t>一部回答：賞与規定なし、退職金規程あり。中退共・オリックス生命で外部積立し、退職時の会社の追加持出しは基本的にないとの認識。規程・積立契約の内容は共有予定（田垣内）</t>
        </is>
      </c>
    </row>
    <row r="20">
      <c r="B20" s="912" t="n">
        <v>17</v>
      </c>
      <c r="C20" s="913" t="inlineStr">
        <is>
          <t>Web</t>
        </is>
      </c>
      <c r="D20" s="913" t="inlineStr">
        <is>
          <t>会社HP（turu-chu.co.jp）で「だだちゃ豆」「庄内柿」「和梨・洋梨の特別栽培」等を紹介（検索結果の要約。本文未閲覧：要確認）</t>
        </is>
      </c>
      <c r="E20" s="913" t="inlineStr">
        <is>
          <t>中</t>
        </is>
      </c>
      <c r="F20" s="914" t="inlineStr">
        <is>
          <t>主な地元産品は庄内柿・和梨・さくらんぼ・メロン・柿・シャインマスカット等（面談）</t>
        </is>
      </c>
    </row>
    <row r="21">
      <c r="B21" s="912" t="n">
        <v>18</v>
      </c>
      <c r="C21" s="913" t="inlineStr">
        <is>
          <t>Web</t>
        </is>
      </c>
      <c r="D21" s="913" t="inlineStr">
        <is>
          <t>山形県「地方卸売市場の概要」に鶴岡中央青果（開設者兼卸売業者）が掲載。従業員40名・開設時期の記載あり（本文未閲覧：要確認）</t>
        </is>
      </c>
      <c r="E21" s="913" t="inlineStr">
        <is>
          <t>中</t>
        </is>
      </c>
      <c r="F21" s="914" t="inlineStr">
        <is>
          <t>要確認</t>
        </is>
      </c>
    </row>
    <row r="22">
      <c r="B22" s="912" t="n">
        <v>19</v>
      </c>
      <c r="C22" s="913" t="inlineStr">
        <is>
          <t>Web</t>
        </is>
      </c>
      <c r="D22" s="913" t="inlineStr">
        <is>
          <t>近隣には公設庄内青果物地方卸売市場（三川町、庄内広域行政組合開設）があり、仕入先の丸果庄内青果(株)・(株)庄果が入場</t>
        </is>
      </c>
      <c r="E22" s="913" t="inlineStr">
        <is>
          <t>中</t>
        </is>
      </c>
      <c r="F22" s="914" t="inlineStr">
        <is>
          <t>面談で確認：近隣三川町に公設市場。山形市の市場が鶴岡地区へ供給するケースもある</t>
        </is>
      </c>
    </row>
    <row r="23">
      <c r="B23" s="912" t="n">
        <v>20</v>
      </c>
      <c r="C23" s="913" t="inlineStr">
        <is>
          <t>譲渡条件</t>
        </is>
      </c>
      <c r="D23" s="913" t="inlineStr">
        <is>
          <t>スキーム、希望価格、役員の継続関与、従業員の雇用維持、譲渡理由</t>
        </is>
      </c>
      <c r="E23" s="913" t="inlineStr">
        <is>
          <t>高</t>
        </is>
      </c>
      <c r="F23" s="914" t="inlineStr">
        <is>
          <t>合意（10/16）：株式100%譲渡（全株譲渡可能）。譲渡理由は「後継者不在およびさらなる企業の発展」と記載。希望価格は最低1.1億円（上を目指す）。引継ぎは最大1年（状況により半年）。代表者は退任後、顧問として業務量・報酬とも半額（月額18万円）。従業員の雇用維持を最重視</t>
        </is>
      </c>
    </row>
    <row r="24">
      <c r="B24" s="912" t="n">
        <v>21</v>
      </c>
      <c r="C24" s="913" t="inlineStr">
        <is>
          <t>財務</t>
        </is>
      </c>
      <c r="D24" s="913" t="inlineStr">
        <is>
          <t>★2026年9月時点の試算表（代表者談：約2,000万円の利益。人件費削減で改善）</t>
        </is>
      </c>
      <c r="E24" s="913" t="inlineStr">
        <is>
          <t>高</t>
        </is>
      </c>
      <c r="F24" s="914" t="inlineStr">
        <is>
          <t>受領（10/27）：2026年4〜9月の営業利益20,426千円・経常利益21,166千円（前年同期9,454千円・10,013千円）。売上高は前年同期比△6.9%、販管費△13.3%（人件費・運賃・減価償却費）</t>
        </is>
      </c>
    </row>
    <row r="25">
      <c r="B25" s="912" t="n">
        <v>22</v>
      </c>
      <c r="C25" s="913" t="inlineStr">
        <is>
          <t>事業</t>
        </is>
      </c>
      <c r="D25" s="913" t="inlineStr">
        <is>
          <t>★過剰入荷分の販売先（豊洲市場・他県）の数量・販売単価・損益。過剰入荷時の販売先確保が経営課題</t>
        </is>
      </c>
      <c r="E25" s="913" t="inlineStr">
        <is>
          <t>高</t>
        </is>
      </c>
      <c r="F25" s="914" t="inlineStr">
        <is>
          <t>要確認：買手シナジー（余剰青果物の出口）の根拠になるため、品目別・月別の実績を依頼</t>
        </is>
      </c>
    </row>
    <row r="26">
      <c r="B26" s="912" t="n">
        <v>23</v>
      </c>
      <c r="C26" s="913" t="inlineStr">
        <is>
          <t>事業</t>
        </is>
      </c>
      <c r="D26" s="913" t="inlineStr">
        <is>
          <t>★仕入先開拓余地：山形・秋田の大型市場へ出荷している大規模農家。現状は農家への新規営業を行えていない</t>
        </is>
      </c>
      <c r="E26" s="913" t="inlineStr">
        <is>
          <t>中</t>
        </is>
      </c>
      <c r="F26" s="914" t="inlineStr">
        <is>
          <t>成長余地として概要書に記載。対象地域・農家数・想定数量は要確認</t>
        </is>
      </c>
    </row>
    <row r="27">
      <c r="B27" s="912" t="n">
        <v>24</v>
      </c>
      <c r="C27" s="913" t="inlineStr">
        <is>
          <t>事業</t>
        </is>
      </c>
      <c r="D27" s="913" t="inlineStr">
        <is>
          <t>入荷構成：持込30〜40%、残りは当社集荷。持込は原則全量受入れ（強み）</t>
        </is>
      </c>
      <c r="E27" s="913" t="inlineStr">
        <is>
          <t>中</t>
        </is>
      </c>
      <c r="F27" s="914" t="inlineStr">
        <is>
          <t>回答済。集荷ルート・集荷コスト（車両・人員）は要確認</t>
        </is>
      </c>
    </row>
    <row r="28">
      <c r="B28" s="912" t="n">
        <v>25</v>
      </c>
      <c r="C28" s="913" t="inlineStr">
        <is>
          <t>事業</t>
        </is>
      </c>
      <c r="D28" s="913" t="inlineStr">
        <is>
          <t>仕入価格の決め方：スーパーへの販売見積からの逆算／東京市場等の相場参照。取引単位は箱・袋（ピーマン等）</t>
        </is>
      </c>
      <c r="E28" s="913" t="inlineStr">
        <is>
          <t>低</t>
        </is>
      </c>
      <c r="F28" s="914" t="inlineStr">
        <is>
          <t>回答済</t>
        </is>
      </c>
    </row>
    <row r="29">
      <c r="B29" s="912" t="n">
        <v>26</v>
      </c>
      <c r="C29" s="913" t="inlineStr">
        <is>
          <t>事業</t>
        </is>
      </c>
      <c r="D29" s="913" t="inlineStr">
        <is>
          <t>在庫管理：野菜・果物に分け各2〜3名。廃棄を要する滞留在庫はなく帳簿は概ね実態どおり</t>
        </is>
      </c>
      <c r="E29" s="913" t="inlineStr">
        <is>
          <t>中</t>
        </is>
      </c>
      <c r="F29" s="914" t="inlineStr">
        <is>
          <t>回答済（評価書の棚卸資産は簿価評価で整合）</t>
        </is>
      </c>
    </row>
    <row r="30">
      <c r="B30" s="912" t="n">
        <v>27</v>
      </c>
      <c r="C30" s="913" t="inlineStr">
        <is>
          <t>事業</t>
        </is>
      </c>
      <c r="D30" s="913" t="inlineStr">
        <is>
          <t>繁忙期7〜12月・閑散期1〜5月。12月〜正月は関東の仲卸業者から仕入れることもある</t>
        </is>
      </c>
      <c r="E30" s="913" t="inlineStr">
        <is>
          <t>低</t>
        </is>
      </c>
      <c r="F30" s="914" t="inlineStr">
        <is>
          <t>回答済</t>
        </is>
      </c>
    </row>
    <row r="31">
      <c r="B31" s="912" t="n">
        <v>28</v>
      </c>
      <c r="C31" s="913" t="inlineStr">
        <is>
          <t>事業</t>
        </is>
      </c>
      <c r="D31" s="913" t="inlineStr">
        <is>
          <t>肥料販売はほぼ実施せず。資材販売は継続（仕入資材の約8割は自社利用）。物流は自社、東京向け・一部スーパーのみ外部運送</t>
        </is>
      </c>
      <c r="E31" s="913" t="inlineStr">
        <is>
          <t>低</t>
        </is>
      </c>
      <c r="F31" s="914" t="inlineStr">
        <is>
          <t>回答済。外部運送費の金額は要確認</t>
        </is>
      </c>
    </row>
    <row r="32">
      <c r="B32" s="912" t="n">
        <v>29</v>
      </c>
      <c r="C32" s="913" t="inlineStr">
        <is>
          <t>財務</t>
        </is>
      </c>
      <c r="D32" s="913" t="inlineStr">
        <is>
          <t>売上割戻＝完納奨励金（期限内に代金を支払った八百屋等へ支給）。受取奨励金（営業外）の内容</t>
        </is>
      </c>
      <c r="E32" s="913" t="inlineStr">
        <is>
          <t>中</t>
        </is>
      </c>
      <c r="F32" s="914" t="inlineStr">
        <is>
          <t>売上割戻は回答済。受取奨励金（毎期約2.3〜2.5百万円）の内容は要確認</t>
        </is>
      </c>
    </row>
    <row r="33">
      <c r="B33" s="912" t="n">
        <v>30</v>
      </c>
      <c r="C33" s="913" t="inlineStr">
        <is>
          <t>評価</t>
        </is>
      </c>
      <c r="D33" s="913" t="inlineStr">
        <is>
          <t>代表者の顧問料（月額18万円程度＝年2,160千円）の正常収益力への反映</t>
        </is>
      </c>
      <c r="E33" s="913" t="inlineStr">
        <is>
          <t>中</t>
        </is>
      </c>
      <c r="F33" s="914" t="inlineStr">
        <is>
          <t>決定（10/19 田垣内）：退任役員（代表者・配偶者・監査役・退任済み常務）の報酬は全額控除し、代表者は半額（月18万円）の顧問料を計上。修正PL・評価書・概要書に反映済み</t>
        </is>
      </c>
    </row>
    <row r="34">
      <c r="B34" s="912" t="n">
        <v>31</v>
      </c>
      <c r="C34" s="913" t="inlineStr">
        <is>
          <t>評価</t>
        </is>
      </c>
      <c r="D34" s="913" t="inlineStr">
        <is>
          <t>★希望価格（最低1.1億円）と評価書の株式価値（年買法）の乖離</t>
        </is>
      </c>
      <c r="E34" s="913" t="inlineStr">
        <is>
          <t>高</t>
        </is>
      </c>
      <c r="F34" s="914" t="inlineStr">
        <is>
          <t>役員報酬の正常化方針の変更後、年買法は65,762〜86,648千円。不動産の時価再評価・9月試算表で引き続き乖離を検証</t>
        </is>
      </c>
    </row>
    <row r="35">
      <c r="B35" s="912" t="n">
        <v>32</v>
      </c>
      <c r="C35" s="913" t="inlineStr">
        <is>
          <t>財務</t>
        </is>
      </c>
      <c r="D35" s="913" t="inlineStr">
        <is>
          <t>完納奨励金の内容（文字起こしでは「売上の約3%を還元」「保証金は完納奨励金の積立」との記載）</t>
        </is>
      </c>
      <c r="E35" s="913" t="inlineStr">
        <is>
          <t>中</t>
        </is>
      </c>
      <c r="F35" s="914" t="inlineStr">
        <is>
          <t>解決（10/19 田垣内）：ヒアリングメモの内容（期限内に代金を支払った八百屋等へ支給する完納奨励金＝売上割戻）が正。約3%・保証金への積立は採用しない</t>
        </is>
      </c>
    </row>
    <row r="36">
      <c r="B36" s="912" t="n">
        <v>33</v>
      </c>
      <c r="C36" s="913" t="inlineStr">
        <is>
          <t>事業</t>
        </is>
      </c>
      <c r="D36" s="913" t="inlineStr">
        <is>
          <t>取扱構成は買付販売約7割・受託販売約2割・関連サービス等約1割（代表者の感覚値）</t>
        </is>
      </c>
      <c r="E36" s="913" t="inlineStr">
        <is>
          <t>中</t>
        </is>
      </c>
      <c r="F36" s="914" t="inlineStr">
        <is>
          <t>分類別商品売上実績表（3期）を受領し「品目別売上」シートに集計。決算書の商品売上高とは集計範囲が異なる（差異の内訳は要確認）</t>
        </is>
      </c>
    </row>
    <row r="37">
      <c r="B37" s="912" t="n">
        <v>34</v>
      </c>
      <c r="C37" s="913" t="inlineStr">
        <is>
          <t>事業</t>
        </is>
      </c>
      <c r="D37" s="913" t="inlineStr">
        <is>
          <t>★(株)主婦の店の店舗数が以前の12店舗から6店舗に減少（センター費・売上への影響）</t>
        </is>
      </c>
      <c r="E37" s="913" t="inlineStr">
        <is>
          <t>中</t>
        </is>
      </c>
      <c r="F37" s="914" t="inlineStr">
        <is>
          <t>回答済（10/19 田垣内）：主婦の店。売上・センター費への影響額は要確認</t>
        </is>
      </c>
    </row>
    <row r="38">
      <c r="B38" s="912" t="n">
        <v>35</v>
      </c>
      <c r="C38" s="913" t="inlineStr">
        <is>
          <t>事業</t>
        </is>
      </c>
      <c r="D38" s="913" t="inlineStr">
        <is>
          <t>営業時間（5時からとの発言）・定休日（水曜・祝日との発言、概況説明書は水・日・祝）</t>
        </is>
      </c>
      <c r="E38" s="913" t="inlineStr">
        <is>
          <t>低</t>
        </is>
      </c>
      <c r="F38" s="914" t="inlineStr">
        <is>
          <t>要確認</t>
        </is>
      </c>
    </row>
    <row r="39">
      <c r="B39" s="912" t="n">
        <v>36</v>
      </c>
      <c r="C39" s="913" t="inlineStr">
        <is>
          <t>事業</t>
        </is>
      </c>
      <c r="D39" s="913" t="inlineStr">
        <is>
          <t>車両の保有形態（自社保有／リース）。リース料は年6,227千円</t>
        </is>
      </c>
      <c r="E39" s="913" t="inlineStr">
        <is>
          <t>中</t>
        </is>
      </c>
      <c r="F39" s="914" t="inlineStr">
        <is>
          <t>回答済（10/19 田垣内）：自己所有とリースを併用。リース契約一覧は依頼中</t>
        </is>
      </c>
    </row>
    <row r="40">
      <c r="B40" s="912" t="n">
        <v>37</v>
      </c>
      <c r="C40" s="913" t="inlineStr">
        <is>
          <t>人事</t>
        </is>
      </c>
      <c r="D40" s="913" t="inlineStr">
        <is>
          <t>2026年10月の最低賃金改定に伴う給与改定（11月支給分から反映）</t>
        </is>
      </c>
      <c r="E40" s="913" t="inlineStr">
        <is>
          <t>中</t>
        </is>
      </c>
      <c r="F40" s="914" t="inlineStr">
        <is>
          <t>要確認：改定額と人件費への影響（給与台帳で確認）</t>
        </is>
      </c>
    </row>
    <row r="41" s="595">
      <c r="B41" s="912" t="n">
        <v>38</v>
      </c>
      <c r="C41" s="913" t="inlineStr">
        <is>
          <t>事業</t>
        </is>
      </c>
      <c r="D41" s="913" t="inlineStr">
        <is>
          <t>相場は東北では東京の中央卸売市場が基準。価格条件次第で近隣市場へ出荷する農家もある</t>
        </is>
      </c>
      <c r="E41" s="913" t="inlineStr">
        <is>
          <t>低</t>
        </is>
      </c>
      <c r="F41" s="914" t="inlineStr">
        <is>
          <t>回答済（仕入・販売の仕組みページに反映）</t>
        </is>
      </c>
    </row>
    <row r="42" s="595">
      <c r="B42" s="912" t="n">
        <v>42</v>
      </c>
      <c r="C42" s="913" t="inlineStr">
        <is>
          <t>財務</t>
        </is>
      </c>
      <c r="D42" s="913" t="inlineStr">
        <is>
          <t>★2026年8〜9月に長期借入金が約1.65億円増加（3月末361,058千円→9月末526,264千円）、現預金は393,411千円。借入先・資金使途・条件</t>
        </is>
      </c>
      <c r="E42" s="913" t="inlineStr">
        <is>
          <t>高</t>
        </is>
      </c>
      <c r="F42" s="914" t="inlineStr">
        <is>
          <t>要確認：評価基準日後の借入。ネットデット・株式価値への影響を確認</t>
        </is>
      </c>
    </row>
    <row r="43" s="595">
      <c r="B43" s="912" t="n">
        <v>43</v>
      </c>
      <c r="C43" s="913" t="inlineStr">
        <is>
          <t>事業</t>
        </is>
      </c>
      <c r="D43" s="913" t="inlineStr">
        <is>
          <t>★買参人・荷主の双方に計上される社内勘定（KK 地物果実・マルカ・開発・社長車、パッケージ根菜・果実・蔬菜・生花）の性質（集荷担当別の勘定か、部門間の振替か）</t>
        </is>
      </c>
      <c r="E43" s="913" t="inlineStr">
        <is>
          <t>高</t>
        </is>
      </c>
      <c r="F43" s="914" t="inlineStr">
        <is>
          <t>要確認：売上高・仕入高を両建てで膨らませていないか（2026/3期 販売側333,489千円・仕入側328,220千円）</t>
        </is>
      </c>
    </row>
    <row r="44" s="595">
      <c r="B44" s="912" t="n">
        <v>44</v>
      </c>
      <c r="C44" s="913" t="inlineStr">
        <is>
          <t>事業</t>
        </is>
      </c>
      <c r="D44" s="913" t="inlineStr">
        <is>
          <t>分類別商品売上実績表の合計（約12.9億円）と決算書の商品売上高（約12.0億円）の差異</t>
        </is>
      </c>
      <c r="E44" s="913" t="inlineStr">
        <is>
          <t>中</t>
        </is>
      </c>
      <c r="F44" s="914" t="inlineStr">
        <is>
          <t>要確認：受託販売分の総額集計等と推察</t>
        </is>
      </c>
    </row>
    <row r="45" s="595">
      <c r="B45" s="912" t="n">
        <v>45</v>
      </c>
      <c r="C45" s="913" t="inlineStr">
        <is>
          <t>人事</t>
        </is>
      </c>
      <c r="D45" s="913" t="inlineStr">
        <is>
          <t>賃金台帳（2026/4〜10）の氏名と職員名簿№の対応（従業員一覧に月額総支給を記載するため）</t>
        </is>
      </c>
      <c r="E45" s="913" t="inlineStr">
        <is>
          <t>中</t>
        </is>
      </c>
      <c r="F45" s="914" t="inlineStr">
        <is>
          <t>要確認。台帳では2026年9月に2名退職（近郷部）</t>
        </is>
      </c>
    </row>
    <row r="46" s="595">
      <c r="B46" s="912" t="n">
        <v>46</v>
      </c>
      <c r="C46" s="913" t="inlineStr">
        <is>
          <t>財務</t>
        </is>
      </c>
      <c r="D46" s="913" t="inlineStr">
        <is>
          <t>投資有価証券が2026/3末2,600千円→9月末1,600千円に減少（(株)庄果株式の処分有無）</t>
        </is>
      </c>
      <c r="E46" s="913" t="inlineStr">
        <is>
          <t>中</t>
        </is>
      </c>
      <c r="F46" s="914" t="inlineStr">
        <is>
          <t>要確認</t>
        </is>
      </c>
    </row>
    <row r="47">
      <c r="B47" s="782" t="n"/>
      <c r="C47" s="782" t="n"/>
      <c r="D47" s="782" t="n"/>
      <c r="E47" s="782" t="n"/>
      <c r="F47" s="782" t="n"/>
    </row>
    <row r="48" ht="30" customHeight="1" s="595">
      <c r="A48" s="911" t="n"/>
      <c r="B48" s="782" t="n"/>
      <c r="C48" s="782" t="inlineStr">
        <is>
          <t>Web出所：https://www.turu-chu.co.jp/ ／ https://www.pref.yamagata.jp/140031/sangyo/nourinsuisangyou/nogyo/business/oroshiurisijyou.html ／</t>
        </is>
      </c>
      <c r="D48" s="782" t="n"/>
      <c r="E48" s="782" t="n"/>
      <c r="F48" s="782" t="n"/>
    </row>
    <row r="49">
      <c r="B49" s="782" t="n"/>
      <c r="C49" s="782" t="inlineStr">
        <is>
          <t>https://www.pref.yamagata.jp/documents/26382/r7shijo_gaiyou.pdf ／ https://www.inetshonai.or.jp/~seika/main.html</t>
        </is>
      </c>
      <c r="D49" s="782" t="n"/>
      <c r="E49" s="782" t="n"/>
      <c r="F49" s="782" t="n"/>
    </row>
    <row r="50">
      <c r="B50" s="782" t="n"/>
      <c r="C50" s="782" t="n"/>
      <c r="D50" s="782" t="n"/>
      <c r="E50" s="782" t="n"/>
      <c r="F50" s="782" t="n"/>
    </row>
    <row r="51">
      <c r="B51" s="915" t="inlineStr">
        <is>
          <t>■ プロセス関連（社内確認事項）</t>
        </is>
      </c>
    </row>
    <row r="52">
      <c r="B52" s="617" t="inlineStr">
        <is>
          <t>本項は社内確認事項であり、企業概要書・ノンネームシート等の買手候補への開示資料には記載しない。</t>
        </is>
      </c>
    </row>
    <row r="53">
      <c r="B53" s="911" t="inlineStr">
        <is>
          <t>No.</t>
        </is>
      </c>
      <c r="C53" s="911" t="inlineStr">
        <is>
          <t>区分</t>
        </is>
      </c>
      <c r="D53" s="911" t="inlineStr">
        <is>
          <t>内容</t>
        </is>
      </c>
      <c r="E53" s="911" t="n"/>
      <c r="F53" s="911" t="inlineStr">
        <is>
          <t>対応</t>
        </is>
      </c>
    </row>
    <row r="54">
      <c r="B54" s="912" t="n">
        <v>1</v>
      </c>
      <c r="C54" s="913" t="inlineStr">
        <is>
          <t>面談運営</t>
        </is>
      </c>
      <c r="D54" s="913" t="inlineStr">
        <is>
          <t>社長はオンライン面談不可。今後は電話でのやり取りを基本とし、重要なタイミングで往訪する</t>
        </is>
      </c>
      <c r="F54" s="914" t="inlineStr">
        <is>
          <t>往訪日程は都度調整</t>
        </is>
      </c>
    </row>
    <row r="55">
      <c r="B55" s="912" t="n">
        <v>2</v>
      </c>
      <c r="C55" s="913" t="inlineStr">
        <is>
          <t>前回プロセス</t>
        </is>
      </c>
      <c r="D55" s="913" t="inlineStr">
        <is>
          <t>前回クロージング手前まで進んだ候補先はオーランドジャパン。トップ面談は同社とのみ実施</t>
        </is>
      </c>
      <c r="F55" s="914" t="inlineStr">
        <is>
          <t>既接触先として打診対象から除外</t>
        </is>
      </c>
    </row>
    <row r="56">
      <c r="B56" s="912" t="n">
        <v>3</v>
      </c>
      <c r="C56" s="913" t="inlineStr">
        <is>
          <t>テール条項</t>
        </is>
      </c>
      <c r="D56" s="913" t="inlineStr">
        <is>
          <t>各仲介会社とのテール条項は、トップ面談を実施した候補先を対象とする形で統一することで了承</t>
        </is>
      </c>
      <c r="F56" s="914" t="inlineStr">
        <is>
          <t>契約書面の文言を確認</t>
        </is>
      </c>
    </row>
    <row r="57">
      <c r="B57" s="912" t="n">
        <v>4</v>
      </c>
      <c r="C57" s="913" t="inlineStr">
        <is>
          <t>ロングリスト</t>
        </is>
      </c>
      <c r="D57" s="913" t="inlineStr">
        <is>
          <t>LLの18番までの候補先はNG。山形県本社の企業は原則NG。日東ベストはNC（ネームクリア）OK</t>
        </is>
      </c>
      <c r="F57" s="914" t="inlineStr">
        <is>
          <t>LLを修正し、NG先を除外</t>
        </is>
      </c>
    </row>
    <row r="58">
      <c r="B58" s="912" t="n">
        <v>5</v>
      </c>
      <c r="C58" s="913" t="inlineStr">
        <is>
          <t>ネームクリア方針</t>
        </is>
      </c>
      <c r="D58" s="913" t="inlineStr">
        <is>
          <t>既存取引先および山形県内企業を除けば、基本的に社名開示可能</t>
        </is>
      </c>
      <c r="F58" s="914" t="inlineStr">
        <is>
          <t>打診時の社名開示ルールとして運用</t>
        </is>
      </c>
    </row>
    <row r="59">
      <c r="B59" s="912" t="n">
        <v>6</v>
      </c>
      <c r="C59" s="913" t="inlineStr">
        <is>
          <t>ノンネーム</t>
        </is>
      </c>
      <c r="D59" s="913" t="inlineStr">
        <is>
          <t>NNの内容は問題なし（社長確認済み）</t>
        </is>
      </c>
      <c r="F59" s="914" t="inlineStr">
        <is>
          <t>現行版で打診開始可</t>
        </is>
      </c>
    </row>
    <row r="60">
      <c r="B60" s="912" t="n">
        <v>7</v>
      </c>
      <c r="C60" s="913" t="inlineStr">
        <is>
          <t>マッチング方針</t>
        </is>
      </c>
      <c r="D60" s="913" t="inlineStr">
        <is>
          <t>既接触先・NG先を除外したうえで、余剰商品（過剰入荷分）の販売チャネルを持つ企業を中心にマッチングを進める</t>
        </is>
      </c>
      <c r="F60" s="914" t="inlineStr">
        <is>
          <t>LLの優先順位付けに反映</t>
        </is>
      </c>
    </row>
    <row r="61">
      <c r="B61" s="912" t="n">
        <v>8</v>
      </c>
      <c r="C61" s="913" t="inlineStr">
        <is>
          <t>追加資料</t>
        </is>
      </c>
      <c r="D61" s="913" t="inlineStr">
        <is>
          <t>面談時に追加資料を依頼。丸印を付けた6項目（総勘定元帳Excel、給与台帳、品目別取扱高等）を回収し当社で集計。10月分以降の給与台帳も依頼</t>
        </is>
      </c>
      <c r="F61" s="914" t="inlineStr">
        <is>
          <t>菅原氏経由で回収</t>
        </is>
      </c>
    </row>
    <row r="62">
      <c r="B62" s="912" t="n">
        <v>9</v>
      </c>
      <c r="C62" s="913" t="inlineStr">
        <is>
          <t>面談記録</t>
        </is>
      </c>
      <c r="D62" s="913" t="inlineStr">
        <is>
          <t>2026/10/16往訪。Gemini議事録・文字起こしあり（話者識別が不正確のため、数値・固有名詞は原資料で要確認）</t>
        </is>
      </c>
      <c r="F62" s="914" t="inlineStr">
        <is>
          <t>—</t>
        </is>
      </c>
    </row>
    <row r="63">
      <c r="B63" s="912" t="n">
        <v>10</v>
      </c>
      <c r="C63" s="913" t="inlineStr">
        <is>
          <t>希望価格の根拠</t>
        </is>
      </c>
      <c r="D63" s="913" t="inlineStr">
        <is>
          <t>前回ディール時の金額をベースに進める。ミニマム1.1億円（前回最終は1.15億円との発言）、できる限り上を目指す</t>
        </is>
      </c>
      <c r="F63" s="914" t="inlineStr">
        <is>
          <t>買手向け資料には「1.1億円以上」のみ記載</t>
        </is>
      </c>
    </row>
    <row r="64">
      <c r="B64" s="912" t="n">
        <v>11</v>
      </c>
      <c r="C64" s="913" t="inlineStr">
        <is>
          <t>前回DD</t>
        </is>
      </c>
      <c r="D64" s="913" t="inlineStr">
        <is>
          <t>前回プロセスでDDを実施済み（棚卸資産の指摘はなかったとの回答）</t>
        </is>
      </c>
      <c r="F64" s="914" t="inlineStr">
        <is>
          <t>前回DDの指摘事項の有無を確認</t>
        </is>
      </c>
    </row>
    <row r="65">
      <c r="B65" s="912" t="n">
        <v>12</v>
      </c>
      <c r="C65" s="913" t="inlineStr">
        <is>
          <t>NG先（詳細）</t>
        </is>
      </c>
      <c r="D65" s="913" t="inlineStr">
        <is>
          <t>完全同業他社、取引実績のある企業（オイシックス、ロピア等）、山形県本社企業（LL18社＋36番）をNG</t>
        </is>
      </c>
      <c r="F65" s="914" t="inlineStr">
        <is>
          <t>LLから除外</t>
        </is>
      </c>
    </row>
    <row r="66">
      <c r="B66" s="912" t="n">
        <v>13</v>
      </c>
      <c r="C66" s="913" t="inlineStr">
        <is>
          <t>個別提案</t>
        </is>
      </c>
      <c r="D66" s="913" t="inlineStr">
        <is>
          <t>関心を示している小野田シーフーズ、サンホース（酒類卸）にはNDA締結後に概要書を提示</t>
        </is>
      </c>
      <c r="F66" s="914" t="inlineStr">
        <is>
          <t>NDA手配</t>
        </is>
      </c>
    </row>
    <row r="67">
      <c r="B67" s="912" t="n">
        <v>14</v>
      </c>
      <c r="C67" s="913" t="inlineStr">
        <is>
          <t>次回日程</t>
        </is>
      </c>
      <c r="D67" s="913" t="inlineStr">
        <is>
          <t>26日の週の候補日を池田氏に確認（現地見学を含む）</t>
        </is>
      </c>
      <c r="F67" s="914" t="inlineStr">
        <is>
          <t>田垣内が確認</t>
        </is>
      </c>
    </row>
    <row r="68">
      <c r="B68" s="912" t="n">
        <v>15</v>
      </c>
      <c r="C68" s="913" t="inlineStr">
        <is>
          <t>土地評価</t>
        </is>
      </c>
      <c r="D68" s="913" t="inlineStr">
        <is>
          <t>土地の再評価を当社で実施する（社長も購入時より価値が下がっているとの認識）</t>
        </is>
      </c>
      <c r="F68" s="914" t="inlineStr">
        <is>
          <t>田垣内が実施</t>
        </is>
      </c>
    </row>
    <row r="69">
      <c r="B69" s="782" t="n"/>
      <c r="C69" s="782" t="n"/>
      <c r="D69" s="782" t="n"/>
      <c r="E69" s="782" t="n"/>
      <c r="F69" s="782" t="n"/>
    </row>
    <row r="70">
      <c r="B70" s="782" t="n"/>
      <c r="C70" s="782" t="n"/>
      <c r="D70" s="782" t="n"/>
      <c r="E70" s="782" t="n"/>
      <c r="F70" s="782" t="n"/>
    </row>
  </sheetData>
  <pageMargins left="0.7" right="0.7" top="0.75" bottom="0.75" header="0.3" footer="0.3"/>
</worksheet>
</file>

<file path=xl/worksheets/sheet50.xml><?xml version="1.0" encoding="utf-8"?>
<worksheet xmlns="http://schemas.openxmlformats.org/spreadsheetml/2006/main">
  <sheetPr>
    <outlinePr summaryBelow="1" summaryRight="1"/>
    <pageSetUpPr/>
  </sheetPr>
  <dimension ref="B1:DL29"/>
  <sheetViews>
    <sheetView showGridLines="0" workbookViewId="0">
      <pane xSplit="3" topLeftCell="D1" activePane="topRight" state="frozen"/>
      <selection pane="topRight" activeCell="S25" sqref="S25"/>
    </sheetView>
  </sheetViews>
  <sheetFormatPr baseColWidth="8" defaultColWidth="8.875" defaultRowHeight="18.75"/>
  <cols>
    <col width="6.125" customWidth="1" style="500" min="1" max="1"/>
    <col width="5.375" customWidth="1" style="916" min="2" max="2"/>
    <col width="25.125" bestFit="1" customWidth="1" style="916" min="3" max="3"/>
    <col width="3.125" customWidth="1" style="917" min="4" max="113"/>
    <col width="3.125" customWidth="1" style="500" min="114" max="114"/>
    <col width="5.125" customWidth="1" style="500" min="115" max="115"/>
    <col width="8.875" customWidth="1" style="500" min="116" max="16384"/>
  </cols>
  <sheetData>
    <row r="1" ht="19.5" customHeight="1" s="595">
      <c r="D1" s="499" t="n"/>
      <c r="E1" s="499" t="n"/>
      <c r="F1" s="499" t="n"/>
      <c r="G1" s="499" t="n"/>
      <c r="H1" s="499" t="n"/>
      <c r="I1" s="499" t="n"/>
      <c r="J1" s="499" t="n"/>
      <c r="K1" s="499" t="n"/>
      <c r="L1" s="499" t="n"/>
      <c r="M1" s="499" t="n"/>
      <c r="N1" s="499" t="n"/>
      <c r="O1" s="499" t="n"/>
      <c r="P1" s="499" t="n"/>
      <c r="Q1" s="499" t="n"/>
      <c r="R1" s="499" t="n"/>
      <c r="S1" s="499" t="n"/>
      <c r="T1" s="499" t="n"/>
      <c r="U1" s="499" t="n"/>
      <c r="V1" s="499" t="n"/>
      <c r="W1" s="499" t="n"/>
      <c r="X1" s="499" t="n"/>
      <c r="Y1" s="499" t="n"/>
      <c r="Z1" s="499" t="n"/>
      <c r="AA1" s="499" t="n"/>
      <c r="AB1" s="499" t="n"/>
      <c r="AC1" s="499" t="n"/>
      <c r="AD1" s="499" t="n"/>
      <c r="AE1" s="499" t="n"/>
      <c r="AF1" s="499" t="n"/>
      <c r="AG1" s="499" t="n"/>
      <c r="AH1" s="499" t="n"/>
      <c r="AI1" s="499" t="n"/>
      <c r="AJ1" s="499" t="n"/>
      <c r="AK1" s="499" t="n"/>
      <c r="AL1" s="499" t="n"/>
      <c r="AM1" s="499" t="n"/>
      <c r="AN1" s="499" t="n"/>
      <c r="AO1" s="499" t="n"/>
      <c r="AP1" s="499" t="n"/>
      <c r="AQ1" s="499" t="n"/>
      <c r="AR1" s="499" t="n"/>
      <c r="AS1" s="499" t="n"/>
      <c r="AT1" s="499" t="n"/>
      <c r="AU1" s="499" t="n"/>
      <c r="AV1" s="499" t="n"/>
      <c r="AW1" s="499" t="n"/>
      <c r="AX1" s="499" t="n"/>
      <c r="AY1" s="499" t="n"/>
      <c r="AZ1" s="499" t="n"/>
      <c r="BA1" s="499" t="n"/>
      <c r="BB1" s="499" t="n"/>
      <c r="BC1" s="499" t="n"/>
      <c r="BD1" s="499" t="n"/>
      <c r="BE1" s="499" t="n"/>
      <c r="BF1" s="499" t="n"/>
      <c r="BG1" s="499" t="n"/>
      <c r="BH1" s="499" t="n"/>
      <c r="BI1" s="499" t="n"/>
      <c r="BJ1" s="499" t="n"/>
      <c r="BK1" s="499" t="n"/>
      <c r="BL1" s="499" t="n"/>
      <c r="BM1" s="499" t="n"/>
      <c r="BN1" s="499" t="n"/>
      <c r="BO1" s="499" t="n"/>
      <c r="BP1" s="499" t="n"/>
      <c r="BQ1" s="499" t="n"/>
      <c r="BR1" s="499" t="n"/>
      <c r="BS1" s="499" t="n"/>
      <c r="BT1" s="499" t="n"/>
      <c r="BU1" s="499" t="n"/>
      <c r="BV1" s="499" t="n"/>
      <c r="BW1" s="499" t="n"/>
      <c r="BX1" s="499" t="n"/>
      <c r="BY1" s="499" t="n"/>
      <c r="BZ1" s="499" t="n"/>
      <c r="CA1" s="499" t="n"/>
      <c r="CB1" s="499" t="n"/>
      <c r="CC1" s="499" t="n"/>
      <c r="CD1" s="499" t="n"/>
      <c r="CE1" s="499" t="n"/>
      <c r="CF1" s="499" t="n"/>
      <c r="CG1" s="499" t="n"/>
      <c r="CH1" s="499" t="n"/>
      <c r="CI1" s="499" t="n"/>
      <c r="CJ1" s="499" t="n"/>
      <c r="CK1" s="499" t="n"/>
      <c r="CL1" s="499" t="n"/>
      <c r="CM1" s="499" t="n"/>
      <c r="CN1" s="499" t="n"/>
      <c r="CO1" s="499" t="n"/>
      <c r="CP1" s="499" t="n"/>
      <c r="CQ1" s="499" t="n"/>
      <c r="CR1" s="499" t="n"/>
      <c r="CS1" s="499" t="n"/>
      <c r="CT1" s="499" t="n"/>
      <c r="CU1" s="499" t="n"/>
      <c r="CV1" s="499" t="n"/>
      <c r="CW1" s="499" t="n"/>
      <c r="CX1" s="499" t="n"/>
      <c r="CY1" s="499" t="n"/>
      <c r="CZ1" s="499" t="n"/>
      <c r="DA1" s="499" t="n"/>
      <c r="DB1" s="499" t="n"/>
      <c r="DC1" s="499" t="n"/>
      <c r="DD1" s="499" t="n"/>
      <c r="DE1" s="499" t="n"/>
      <c r="DF1" s="499" t="n"/>
      <c r="DG1" s="499" t="n"/>
      <c r="DH1" s="499" t="n"/>
      <c r="DI1" s="499" t="n"/>
    </row>
    <row r="2" ht="7.35" customHeight="1" s="595"/>
    <row r="3">
      <c r="B3" s="918" t="inlineStr">
        <is>
          <t>TODO</t>
        </is>
      </c>
      <c r="C3" s="919" t="n"/>
      <c r="D3" s="920" t="inlineStr">
        <is>
          <t>2月</t>
        </is>
      </c>
      <c r="E3" s="920" t="n"/>
      <c r="F3" s="920" t="n"/>
      <c r="G3" s="920" t="n"/>
      <c r="H3" s="920" t="n"/>
      <c r="I3" s="920" t="n"/>
      <c r="J3" s="920" t="n"/>
      <c r="K3" s="920" t="n"/>
      <c r="L3" s="920" t="n"/>
      <c r="M3" s="920" t="n"/>
      <c r="N3" s="920" t="n"/>
      <c r="O3" s="920" t="n"/>
      <c r="P3" s="920" t="n"/>
      <c r="Q3" s="920" t="n"/>
      <c r="R3" s="920" t="n"/>
      <c r="S3" s="920" t="n"/>
      <c r="T3" s="920" t="n"/>
      <c r="U3" s="920" t="inlineStr">
        <is>
          <t>3月</t>
        </is>
      </c>
      <c r="V3" s="920" t="n"/>
      <c r="W3" s="920" t="n"/>
      <c r="X3" s="920" t="n"/>
      <c r="Y3" s="920" t="n"/>
      <c r="Z3" s="920" t="n"/>
      <c r="AA3" s="920" t="n"/>
      <c r="AB3" s="920" t="n"/>
      <c r="AC3" s="920" t="n"/>
      <c r="AD3" s="920" t="n"/>
      <c r="AE3" s="920" t="n"/>
      <c r="AF3" s="920" t="n"/>
      <c r="AG3" s="920" t="n"/>
      <c r="AH3" s="920" t="n"/>
      <c r="AI3" s="920" t="n"/>
      <c r="AJ3" s="920" t="n"/>
      <c r="AK3" s="920" t="n"/>
      <c r="AL3" s="920" t="n"/>
      <c r="AM3" s="920" t="n"/>
      <c r="AN3" s="920" t="n"/>
      <c r="AO3" s="920" t="n"/>
      <c r="AP3" s="920" t="n"/>
      <c r="AQ3" s="920" t="n"/>
      <c r="AR3" s="920" t="n"/>
      <c r="AS3" s="920" t="n"/>
      <c r="AT3" s="920" t="n"/>
      <c r="AU3" s="920" t="n"/>
      <c r="AV3" s="920" t="n"/>
      <c r="AW3" s="920" t="n"/>
      <c r="AX3" s="920" t="n"/>
      <c r="AY3" s="920" t="n"/>
      <c r="AZ3" s="920" t="inlineStr">
        <is>
          <t>4月</t>
        </is>
      </c>
      <c r="BA3" s="920" t="n"/>
      <c r="BB3" s="920" t="n"/>
      <c r="BC3" s="920" t="n"/>
      <c r="BD3" s="920" t="n"/>
      <c r="BE3" s="920" t="n"/>
      <c r="BF3" s="920" t="n"/>
      <c r="BG3" s="920" t="n"/>
      <c r="BH3" s="920" t="n"/>
      <c r="BI3" s="920" t="n"/>
      <c r="BJ3" s="920" t="n"/>
      <c r="BK3" s="920" t="n"/>
      <c r="BL3" s="920" t="n"/>
      <c r="BM3" s="920" t="n"/>
      <c r="BN3" s="920" t="n"/>
      <c r="BO3" s="920" t="n"/>
      <c r="BP3" s="920" t="n"/>
      <c r="BQ3" s="920" t="n"/>
      <c r="BR3" s="920" t="n"/>
      <c r="BS3" s="920" t="n"/>
      <c r="BT3" s="920" t="n"/>
      <c r="BU3" s="920" t="n"/>
      <c r="BV3" s="920" t="n"/>
      <c r="BW3" s="920" t="n"/>
      <c r="BX3" s="920" t="n"/>
      <c r="BY3" s="920" t="n"/>
      <c r="BZ3" s="920" t="n"/>
      <c r="CA3" s="920" t="n"/>
      <c r="CB3" s="920" t="n"/>
      <c r="CC3" s="920" t="n"/>
      <c r="CD3" s="920" t="n"/>
      <c r="CE3" s="920" t="inlineStr">
        <is>
          <t>5月</t>
        </is>
      </c>
      <c r="CF3" s="920" t="n"/>
      <c r="CG3" s="920" t="n"/>
      <c r="CH3" s="920" t="n"/>
      <c r="CI3" s="920" t="n"/>
      <c r="CJ3" s="920" t="n"/>
      <c r="CK3" s="920" t="n"/>
      <c r="CL3" s="920" t="n"/>
      <c r="CM3" s="920" t="n"/>
      <c r="CN3" s="920" t="n"/>
      <c r="CO3" s="920" t="n"/>
      <c r="CP3" s="920" t="n"/>
      <c r="CQ3" s="920" t="n"/>
      <c r="CR3" s="920" t="n"/>
      <c r="CS3" s="920" t="n"/>
      <c r="CT3" s="920" t="n"/>
      <c r="CU3" s="920" t="n"/>
      <c r="CV3" s="920" t="n"/>
      <c r="CW3" s="920" t="n"/>
      <c r="CX3" s="920" t="n"/>
      <c r="CY3" s="920" t="n"/>
      <c r="CZ3" s="920" t="n"/>
      <c r="DA3" s="920" t="n"/>
      <c r="DB3" s="920" t="n"/>
      <c r="DC3" s="920" t="n"/>
      <c r="DD3" s="920" t="n"/>
      <c r="DE3" s="920" t="n"/>
      <c r="DF3" s="920" t="n"/>
      <c r="DG3" s="920" t="n"/>
      <c r="DH3" s="920" t="n"/>
      <c r="DI3" s="920" t="n"/>
    </row>
    <row r="4">
      <c r="B4" s="921" t="n"/>
      <c r="C4" s="922" t="n"/>
      <c r="D4" s="923" t="n">
        <v>12</v>
      </c>
      <c r="E4" s="924" t="n">
        <v>13</v>
      </c>
      <c r="F4" s="925" t="n">
        <v>14</v>
      </c>
      <c r="G4" s="923" t="n">
        <v>15</v>
      </c>
      <c r="H4" s="923" t="n">
        <v>16</v>
      </c>
      <c r="I4" s="923" t="n">
        <v>17</v>
      </c>
      <c r="J4" s="923" t="n">
        <v>18</v>
      </c>
      <c r="K4" s="923" t="n">
        <v>19</v>
      </c>
      <c r="L4" s="923" t="n">
        <v>20</v>
      </c>
      <c r="M4" s="923" t="n">
        <v>21</v>
      </c>
      <c r="N4" s="923" t="n">
        <v>22</v>
      </c>
      <c r="O4" s="923" t="n">
        <v>23</v>
      </c>
      <c r="P4" s="923" t="n">
        <v>24</v>
      </c>
      <c r="Q4" s="923" t="n">
        <v>25</v>
      </c>
      <c r="R4" s="923" t="n">
        <v>26</v>
      </c>
      <c r="S4" s="923" t="n">
        <v>27</v>
      </c>
      <c r="T4" s="923" t="n">
        <v>28</v>
      </c>
      <c r="U4" s="923" t="n">
        <v>1</v>
      </c>
      <c r="V4" s="923" t="n">
        <v>2</v>
      </c>
      <c r="W4" s="923" t="n">
        <v>3</v>
      </c>
      <c r="X4" s="923" t="n">
        <v>4</v>
      </c>
      <c r="Y4" s="923" t="n">
        <v>5</v>
      </c>
      <c r="Z4" s="923" t="n">
        <v>6</v>
      </c>
      <c r="AA4" s="923" t="n">
        <v>7</v>
      </c>
      <c r="AB4" s="923" t="n">
        <v>8</v>
      </c>
      <c r="AC4" s="923" t="n">
        <v>9</v>
      </c>
      <c r="AD4" s="923" t="n">
        <v>10</v>
      </c>
      <c r="AE4" s="923" t="n">
        <v>11</v>
      </c>
      <c r="AF4" s="923" t="n">
        <v>12</v>
      </c>
      <c r="AG4" s="923" t="n">
        <v>13</v>
      </c>
      <c r="AH4" s="923" t="n">
        <v>14</v>
      </c>
      <c r="AI4" s="923" t="n">
        <v>15</v>
      </c>
      <c r="AJ4" s="923" t="n">
        <v>16</v>
      </c>
      <c r="AK4" s="923" t="n">
        <v>17</v>
      </c>
      <c r="AL4" s="923" t="n">
        <v>18</v>
      </c>
      <c r="AM4" s="923" t="n">
        <v>19</v>
      </c>
      <c r="AN4" s="923" t="n">
        <v>20</v>
      </c>
      <c r="AO4" s="923" t="n">
        <v>21</v>
      </c>
      <c r="AP4" s="923" t="n">
        <v>22</v>
      </c>
      <c r="AQ4" s="923" t="n">
        <v>23</v>
      </c>
      <c r="AR4" s="923" t="n">
        <v>24</v>
      </c>
      <c r="AS4" s="923" t="n">
        <v>25</v>
      </c>
      <c r="AT4" s="923" t="n">
        <v>26</v>
      </c>
      <c r="AU4" s="923" t="n">
        <v>27</v>
      </c>
      <c r="AV4" s="923" t="n">
        <v>28</v>
      </c>
      <c r="AW4" s="923" t="n">
        <v>29</v>
      </c>
      <c r="AX4" s="923" t="n">
        <v>30</v>
      </c>
      <c r="AY4" s="923" t="n">
        <v>31</v>
      </c>
      <c r="AZ4" s="923" t="n">
        <v>1</v>
      </c>
      <c r="BA4" s="923" t="n">
        <v>2</v>
      </c>
      <c r="BB4" s="923" t="n">
        <v>3</v>
      </c>
      <c r="BC4" s="923" t="n">
        <v>4</v>
      </c>
      <c r="BD4" s="923" t="n">
        <v>5</v>
      </c>
      <c r="BE4" s="923" t="n">
        <v>6</v>
      </c>
      <c r="BF4" s="923" t="n">
        <v>7</v>
      </c>
      <c r="BG4" s="923" t="n">
        <v>8</v>
      </c>
      <c r="BH4" s="923" t="n">
        <v>9</v>
      </c>
      <c r="BI4" s="923" t="n">
        <v>10</v>
      </c>
      <c r="BJ4" s="923" t="n">
        <v>11</v>
      </c>
      <c r="BK4" s="923" t="n">
        <v>12</v>
      </c>
      <c r="BL4" s="923" t="n">
        <v>13</v>
      </c>
      <c r="BM4" s="923" t="n">
        <v>14</v>
      </c>
      <c r="BN4" s="923" t="n">
        <v>15</v>
      </c>
      <c r="BO4" s="923" t="n">
        <v>16</v>
      </c>
      <c r="BP4" s="923" t="n">
        <v>17</v>
      </c>
      <c r="BQ4" s="923" t="n">
        <v>18</v>
      </c>
      <c r="BR4" s="923" t="n">
        <v>19</v>
      </c>
      <c r="BS4" s="923" t="n">
        <v>20</v>
      </c>
      <c r="BT4" s="923" t="n">
        <v>21</v>
      </c>
      <c r="BU4" s="923" t="n">
        <v>22</v>
      </c>
      <c r="BV4" s="923" t="n">
        <v>23</v>
      </c>
      <c r="BW4" s="923" t="n">
        <v>24</v>
      </c>
      <c r="BX4" s="923" t="n">
        <v>25</v>
      </c>
      <c r="BY4" s="923" t="n">
        <v>26</v>
      </c>
      <c r="BZ4" s="923" t="n">
        <v>27</v>
      </c>
      <c r="CA4" s="923" t="n">
        <v>28</v>
      </c>
      <c r="CB4" s="923" t="n">
        <v>29</v>
      </c>
      <c r="CC4" s="923" t="n">
        <v>30</v>
      </c>
      <c r="CD4" s="923" t="n">
        <v>31</v>
      </c>
      <c r="CE4" s="923" t="n">
        <v>1</v>
      </c>
      <c r="CF4" s="923" t="n">
        <v>2</v>
      </c>
      <c r="CG4" s="923" t="n">
        <v>3</v>
      </c>
      <c r="CH4" s="923" t="n">
        <v>4</v>
      </c>
      <c r="CI4" s="923" t="n">
        <v>5</v>
      </c>
      <c r="CJ4" s="923" t="n">
        <v>6</v>
      </c>
      <c r="CK4" s="923" t="n">
        <v>7</v>
      </c>
      <c r="CL4" s="923" t="n">
        <v>8</v>
      </c>
      <c r="CM4" s="923" t="n">
        <v>9</v>
      </c>
      <c r="CN4" s="923" t="n">
        <v>10</v>
      </c>
      <c r="CO4" s="923" t="n">
        <v>11</v>
      </c>
      <c r="CP4" s="923" t="n">
        <v>12</v>
      </c>
      <c r="CQ4" s="923" t="n">
        <v>13</v>
      </c>
      <c r="CR4" s="923" t="n">
        <v>14</v>
      </c>
      <c r="CS4" s="923" t="n">
        <v>15</v>
      </c>
      <c r="CT4" s="923" t="n">
        <v>16</v>
      </c>
      <c r="CU4" s="923" t="n">
        <v>17</v>
      </c>
      <c r="CV4" s="923" t="n">
        <v>18</v>
      </c>
      <c r="CW4" s="923" t="n">
        <v>19</v>
      </c>
      <c r="CX4" s="923" t="n">
        <v>20</v>
      </c>
      <c r="CY4" s="923" t="n">
        <v>21</v>
      </c>
      <c r="CZ4" s="923" t="n">
        <v>22</v>
      </c>
      <c r="DA4" s="923" t="n">
        <v>23</v>
      </c>
      <c r="DB4" s="923" t="n">
        <v>24</v>
      </c>
      <c r="DC4" s="923" t="n">
        <v>25</v>
      </c>
      <c r="DD4" s="923" t="n">
        <v>26</v>
      </c>
      <c r="DE4" s="923" t="n">
        <v>27</v>
      </c>
      <c r="DF4" s="923" t="n">
        <v>28</v>
      </c>
      <c r="DG4" s="923" t="n">
        <v>29</v>
      </c>
      <c r="DH4" s="923" t="n">
        <v>30</v>
      </c>
      <c r="DI4" s="923" t="n">
        <v>31</v>
      </c>
    </row>
    <row r="5">
      <c r="B5" s="926" t="inlineStr">
        <is>
          <t>交渉</t>
        </is>
      </c>
      <c r="C5" s="927" t="inlineStr">
        <is>
          <t>TOP面談</t>
        </is>
      </c>
      <c r="D5" s="928" t="n"/>
      <c r="E5" s="929" t="n"/>
      <c r="F5" s="929" t="n"/>
      <c r="G5" s="929" t="n"/>
      <c r="H5" s="929" t="n"/>
      <c r="I5" s="929" t="n"/>
      <c r="J5" s="929" t="n"/>
      <c r="K5" s="929" t="n"/>
      <c r="L5" s="929" t="n"/>
      <c r="M5" s="929" t="n"/>
      <c r="N5" s="929" t="n"/>
      <c r="O5" s="929" t="n"/>
      <c r="P5" s="929" t="n"/>
      <c r="Q5" s="929" t="n"/>
      <c r="R5" s="929" t="n"/>
      <c r="S5" s="929" t="n"/>
      <c r="T5" s="929" t="n"/>
      <c r="U5" s="929" t="n"/>
      <c r="V5" s="929" t="n"/>
      <c r="W5" s="929" t="n"/>
      <c r="X5" s="929" t="n"/>
      <c r="Y5" s="929" t="n"/>
      <c r="Z5" s="929" t="n"/>
      <c r="AA5" s="929" t="n"/>
      <c r="AB5" s="929" t="n"/>
      <c r="AC5" s="929" t="n"/>
      <c r="AD5" s="929" t="n"/>
      <c r="AE5" s="929" t="n"/>
      <c r="AF5" s="929" t="n"/>
      <c r="AG5" s="929" t="n"/>
      <c r="AH5" s="929" t="n"/>
      <c r="AI5" s="929" t="n"/>
      <c r="AJ5" s="929" t="n"/>
      <c r="AK5" s="929" t="n"/>
      <c r="AL5" s="929" t="n"/>
      <c r="AM5" s="929" t="n"/>
      <c r="AN5" s="929" t="n"/>
      <c r="AO5" s="929" t="n"/>
      <c r="AP5" s="929" t="n"/>
      <c r="AQ5" s="929" t="n"/>
      <c r="AR5" s="929" t="n"/>
      <c r="AS5" s="929" t="n"/>
      <c r="AT5" s="929" t="n"/>
      <c r="AU5" s="929" t="n"/>
      <c r="AV5" s="929" t="n"/>
      <c r="AW5" s="929" t="n"/>
      <c r="AX5" s="929" t="n"/>
      <c r="AY5" s="929" t="n"/>
      <c r="AZ5" s="929" t="n"/>
      <c r="BA5" s="929" t="n"/>
      <c r="BB5" s="929" t="n"/>
      <c r="BC5" s="929" t="n"/>
      <c r="BD5" s="929" t="n"/>
      <c r="BE5" s="929" t="n"/>
      <c r="BF5" s="929" t="n"/>
      <c r="BG5" s="929" t="n"/>
      <c r="BH5" s="929" t="n"/>
      <c r="BI5" s="929" t="n"/>
      <c r="BJ5" s="929" t="n"/>
      <c r="BK5" s="929" t="n"/>
      <c r="BL5" s="929" t="n"/>
      <c r="BM5" s="929" t="n"/>
      <c r="BN5" s="929" t="n"/>
      <c r="BO5" s="929" t="n"/>
      <c r="BP5" s="929" t="n"/>
      <c r="BQ5" s="929" t="n"/>
      <c r="BR5" s="929" t="n"/>
      <c r="BS5" s="929" t="n"/>
      <c r="BT5" s="929" t="n"/>
      <c r="BU5" s="929" t="n"/>
      <c r="BV5" s="929" t="n"/>
      <c r="BW5" s="929" t="n"/>
      <c r="BX5" s="929" t="n"/>
      <c r="BY5" s="929" t="n"/>
      <c r="BZ5" s="929" t="n"/>
      <c r="CA5" s="929" t="n"/>
      <c r="CB5" s="929" t="n"/>
      <c r="CC5" s="929" t="n"/>
      <c r="CD5" s="929" t="n"/>
      <c r="CE5" s="929" t="n"/>
      <c r="CF5" s="929" t="n"/>
      <c r="CG5" s="929" t="n"/>
      <c r="CH5" s="929" t="n"/>
      <c r="CI5" s="929" t="n"/>
      <c r="CJ5" s="929" t="n"/>
      <c r="CK5" s="929" t="n"/>
      <c r="CL5" s="929" t="n"/>
      <c r="CM5" s="929" t="n"/>
      <c r="CN5" s="929" t="n"/>
      <c r="CO5" s="929" t="n"/>
      <c r="CP5" s="929" t="n"/>
      <c r="CQ5" s="929" t="n"/>
      <c r="CR5" s="929" t="n"/>
      <c r="CS5" s="929" t="n"/>
      <c r="CT5" s="929" t="n"/>
      <c r="CU5" s="929" t="n"/>
      <c r="CV5" s="929" t="n"/>
      <c r="CW5" s="929" t="n"/>
      <c r="CX5" s="929" t="n"/>
      <c r="CY5" s="929" t="n"/>
      <c r="CZ5" s="929" t="n"/>
      <c r="DA5" s="929" t="n"/>
      <c r="DB5" s="929" t="n"/>
      <c r="DC5" s="929" t="n"/>
      <c r="DD5" s="929" t="n"/>
      <c r="DE5" s="929" t="n"/>
      <c r="DF5" s="929" t="n"/>
      <c r="DG5" s="929" t="n"/>
      <c r="DH5" s="929" t="n"/>
      <c r="DI5" s="929" t="n"/>
    </row>
    <row r="6">
      <c r="B6" s="930" t="n"/>
      <c r="C6" s="927" t="inlineStr">
        <is>
          <t>LOIドラフト作成</t>
        </is>
      </c>
      <c r="D6" s="929" t="n"/>
      <c r="E6" s="928" t="n"/>
      <c r="F6" s="928" t="n"/>
      <c r="G6" s="929" t="n"/>
      <c r="H6" s="929" t="n"/>
      <c r="I6" s="929" t="n"/>
      <c r="J6" s="929" t="n"/>
      <c r="K6" s="929" t="n"/>
      <c r="L6" s="929" t="n"/>
      <c r="M6" s="929" t="n"/>
      <c r="N6" s="929" t="n"/>
      <c r="O6" s="929" t="n"/>
      <c r="P6" s="929" t="n"/>
      <c r="Q6" s="929" t="n"/>
      <c r="R6" s="929" t="n"/>
      <c r="S6" s="929" t="n"/>
      <c r="T6" s="929" t="n"/>
      <c r="U6" s="929" t="n"/>
      <c r="V6" s="929" t="n"/>
      <c r="W6" s="929" t="n"/>
      <c r="X6" s="929" t="n"/>
      <c r="Y6" s="929" t="n"/>
      <c r="Z6" s="929" t="n"/>
      <c r="AA6" s="929" t="n"/>
      <c r="AB6" s="929" t="n"/>
      <c r="AC6" s="929" t="n"/>
      <c r="AD6" s="929" t="n"/>
      <c r="AE6" s="929" t="n"/>
      <c r="AF6" s="929" t="n"/>
      <c r="AG6" s="929" t="n"/>
      <c r="AH6" s="929" t="n"/>
      <c r="AI6" s="929" t="n"/>
      <c r="AJ6" s="929" t="n"/>
      <c r="AK6" s="929" t="n"/>
      <c r="AL6" s="929" t="n"/>
      <c r="AM6" s="929" t="n"/>
      <c r="AN6" s="929" t="n"/>
      <c r="AO6" s="929" t="n"/>
      <c r="AP6" s="929" t="n"/>
      <c r="AQ6" s="929" t="n"/>
      <c r="AR6" s="929" t="n"/>
      <c r="AS6" s="929" t="n"/>
      <c r="AT6" s="929" t="n"/>
      <c r="AU6" s="929" t="n"/>
      <c r="AV6" s="929" t="n"/>
      <c r="AW6" s="929" t="n"/>
      <c r="AX6" s="929" t="n"/>
      <c r="AY6" s="929" t="n"/>
      <c r="AZ6" s="929" t="n"/>
      <c r="BA6" s="929" t="n"/>
      <c r="BB6" s="929" t="n"/>
      <c r="BC6" s="929" t="n"/>
      <c r="BD6" s="929" t="n"/>
      <c r="BE6" s="929" t="n"/>
      <c r="BF6" s="929" t="n"/>
      <c r="BG6" s="929" t="n"/>
      <c r="BH6" s="929" t="n"/>
      <c r="BI6" s="929" t="n"/>
      <c r="BJ6" s="929" t="n"/>
      <c r="BK6" s="929" t="n"/>
      <c r="BL6" s="929" t="n"/>
      <c r="BM6" s="929" t="n"/>
      <c r="BN6" s="929" t="n"/>
      <c r="BO6" s="929" t="n"/>
      <c r="BP6" s="929" t="n"/>
      <c r="BQ6" s="929" t="n"/>
      <c r="BR6" s="929" t="n"/>
      <c r="BS6" s="929" t="n"/>
      <c r="BT6" s="929" t="n"/>
      <c r="BU6" s="929" t="n"/>
      <c r="BV6" s="929" t="n"/>
      <c r="BW6" s="929" t="n"/>
      <c r="BX6" s="929" t="n"/>
      <c r="BY6" s="929" t="n"/>
      <c r="BZ6" s="929" t="n"/>
      <c r="CA6" s="929" t="n"/>
      <c r="CB6" s="929" t="n"/>
      <c r="CC6" s="929" t="n"/>
      <c r="CD6" s="929" t="n"/>
      <c r="CE6" s="929" t="n"/>
      <c r="CF6" s="929" t="n"/>
      <c r="CG6" s="929" t="n"/>
      <c r="CH6" s="929" t="n"/>
      <c r="CI6" s="929" t="n"/>
      <c r="CJ6" s="929" t="n"/>
      <c r="CK6" s="929" t="n"/>
      <c r="CL6" s="929" t="n"/>
      <c r="CM6" s="929" t="n"/>
      <c r="CN6" s="929" t="n"/>
      <c r="CO6" s="929" t="n"/>
      <c r="CP6" s="929" t="n"/>
      <c r="CQ6" s="929" t="n"/>
      <c r="CR6" s="929" t="n"/>
      <c r="CS6" s="929" t="n"/>
      <c r="CT6" s="929" t="n"/>
      <c r="CU6" s="929" t="n"/>
      <c r="CV6" s="929" t="n"/>
      <c r="CW6" s="929" t="n"/>
      <c r="CX6" s="929" t="n"/>
      <c r="CY6" s="929" t="n"/>
      <c r="CZ6" s="929" t="n"/>
      <c r="DA6" s="929" t="n"/>
      <c r="DB6" s="929" t="n"/>
      <c r="DC6" s="929" t="n"/>
      <c r="DD6" s="929" t="n"/>
      <c r="DE6" s="929" t="n"/>
      <c r="DF6" s="929" t="n"/>
      <c r="DG6" s="929" t="n"/>
      <c r="DH6" s="929" t="n"/>
      <c r="DI6" s="929" t="n"/>
    </row>
    <row r="7">
      <c r="B7" s="930" t="n"/>
      <c r="C7" s="927" t="inlineStr">
        <is>
          <t>LOI提出</t>
        </is>
      </c>
      <c r="D7" s="929" t="n"/>
      <c r="E7" s="929" t="n"/>
      <c r="F7" s="929" t="n"/>
      <c r="G7" s="928" t="n"/>
      <c r="H7" s="929" t="n"/>
      <c r="I7" s="929" t="n"/>
      <c r="J7" s="929" t="n"/>
      <c r="K7" s="929" t="n"/>
      <c r="L7" s="929" t="n"/>
      <c r="M7" s="929" t="n"/>
      <c r="N7" s="929" t="n"/>
      <c r="O7" s="929" t="n"/>
      <c r="P7" s="929" t="n"/>
      <c r="Q7" s="929" t="n"/>
      <c r="R7" s="929" t="n"/>
      <c r="S7" s="929" t="n"/>
      <c r="T7" s="929" t="n"/>
      <c r="U7" s="929" t="n"/>
      <c r="V7" s="929" t="n"/>
      <c r="W7" s="929" t="n"/>
      <c r="X7" s="929" t="n"/>
      <c r="Y7" s="929" t="n"/>
      <c r="Z7" s="929" t="n"/>
      <c r="AA7" s="929" t="n"/>
      <c r="AB7" s="929" t="n"/>
      <c r="AC7" s="929" t="n"/>
      <c r="AD7" s="929" t="n"/>
      <c r="AE7" s="929" t="n"/>
      <c r="AF7" s="929" t="n"/>
      <c r="AG7" s="929" t="n"/>
      <c r="AH7" s="929" t="n"/>
      <c r="AI7" s="929" t="n"/>
      <c r="AJ7" s="929" t="n"/>
      <c r="AK7" s="929" t="n"/>
      <c r="AL7" s="929" t="n"/>
      <c r="AM7" s="929" t="n"/>
      <c r="AN7" s="929" t="n"/>
      <c r="AO7" s="929" t="n"/>
      <c r="AP7" s="929" t="n"/>
      <c r="AQ7" s="929" t="n"/>
      <c r="AR7" s="929" t="n"/>
      <c r="AS7" s="929" t="n"/>
      <c r="AT7" s="929" t="n"/>
      <c r="AU7" s="929" t="n"/>
      <c r="AV7" s="929" t="n"/>
      <c r="AW7" s="929" t="n"/>
      <c r="AX7" s="929" t="n"/>
      <c r="AY7" s="929" t="n"/>
      <c r="AZ7" s="929" t="n"/>
      <c r="BA7" s="929" t="n"/>
      <c r="BB7" s="929" t="n"/>
      <c r="BC7" s="929" t="n"/>
      <c r="BD7" s="929" t="n"/>
      <c r="BE7" s="929" t="n"/>
      <c r="BF7" s="929" t="n"/>
      <c r="BG7" s="929" t="n"/>
      <c r="BH7" s="929" t="n"/>
      <c r="BI7" s="929" t="n"/>
      <c r="BJ7" s="929" t="n"/>
      <c r="BK7" s="929" t="n"/>
      <c r="BL7" s="929" t="n"/>
      <c r="BM7" s="929" t="n"/>
      <c r="BN7" s="929" t="n"/>
      <c r="BO7" s="929" t="n"/>
      <c r="BP7" s="929" t="n"/>
      <c r="BQ7" s="929" t="n"/>
      <c r="BR7" s="929" t="n"/>
      <c r="BS7" s="929" t="n"/>
      <c r="BT7" s="929" t="n"/>
      <c r="BU7" s="929" t="n"/>
      <c r="BV7" s="929" t="n"/>
      <c r="BW7" s="929" t="n"/>
      <c r="BX7" s="929" t="n"/>
      <c r="BY7" s="929" t="n"/>
      <c r="BZ7" s="929" t="n"/>
      <c r="CA7" s="929" t="n"/>
      <c r="CB7" s="929" t="n"/>
      <c r="CC7" s="929" t="n"/>
      <c r="CD7" s="929" t="n"/>
      <c r="CE7" s="929" t="n"/>
      <c r="CF7" s="929" t="n"/>
      <c r="CG7" s="929" t="n"/>
      <c r="CH7" s="929" t="n"/>
      <c r="CI7" s="929" t="n"/>
      <c r="CJ7" s="929" t="n"/>
      <c r="CK7" s="929" t="n"/>
      <c r="CL7" s="929" t="n"/>
      <c r="CM7" s="929" t="n"/>
      <c r="CN7" s="929" t="n"/>
      <c r="CO7" s="929" t="n"/>
      <c r="CP7" s="929" t="n"/>
      <c r="CQ7" s="929" t="n"/>
      <c r="CR7" s="929" t="n"/>
      <c r="CS7" s="929" t="n"/>
      <c r="CT7" s="929" t="n"/>
      <c r="CU7" s="929" t="n"/>
      <c r="CV7" s="929" t="n"/>
      <c r="CW7" s="929" t="n"/>
      <c r="CX7" s="929" t="n"/>
      <c r="CY7" s="929" t="n"/>
      <c r="CZ7" s="929" t="n"/>
      <c r="DA7" s="929" t="n"/>
      <c r="DB7" s="929" t="n"/>
      <c r="DC7" s="929" t="n"/>
      <c r="DD7" s="929" t="n"/>
      <c r="DE7" s="929" t="n"/>
      <c r="DF7" s="929" t="n"/>
      <c r="DG7" s="929" t="n"/>
      <c r="DH7" s="929" t="n"/>
      <c r="DI7" s="929" t="n"/>
    </row>
    <row r="8">
      <c r="B8" s="931" t="n"/>
      <c r="C8" s="927" t="inlineStr">
        <is>
          <t>LOI受領(独占交渉権)</t>
        </is>
      </c>
      <c r="D8" s="929" t="n"/>
      <c r="E8" s="929" t="n"/>
      <c r="F8" s="929" t="n"/>
      <c r="G8" s="928" t="n"/>
      <c r="H8" s="929" t="n"/>
      <c r="I8" s="929" t="n"/>
      <c r="J8" s="929" t="n"/>
      <c r="K8" s="929" t="n"/>
      <c r="L8" s="929" t="n"/>
      <c r="M8" s="929" t="n"/>
      <c r="N8" s="929" t="n"/>
      <c r="O8" s="929" t="n"/>
      <c r="P8" s="929" t="n"/>
      <c r="Q8" s="929" t="n"/>
      <c r="R8" s="929" t="n"/>
      <c r="S8" s="929" t="n"/>
      <c r="T8" s="929" t="n"/>
      <c r="U8" s="932" t="n"/>
      <c r="V8" s="932" t="n"/>
      <c r="W8" s="932" t="n"/>
      <c r="X8" s="932" t="n"/>
      <c r="Y8" s="932" t="n"/>
      <c r="Z8" s="932" t="n"/>
      <c r="AA8" s="932" t="n"/>
      <c r="AB8" s="932" t="n"/>
      <c r="AC8" s="932" t="n"/>
      <c r="AD8" s="932" t="n"/>
      <c r="AE8" s="932" t="n"/>
      <c r="AF8" s="932" t="n"/>
      <c r="AG8" s="932" t="n"/>
      <c r="AH8" s="932" t="n"/>
      <c r="AI8" s="932" t="n"/>
      <c r="AJ8" s="932" t="n"/>
      <c r="AK8" s="932" t="n"/>
      <c r="AL8" s="932" t="n"/>
      <c r="AM8" s="932" t="n"/>
      <c r="AN8" s="932" t="n"/>
      <c r="AO8" s="932" t="n"/>
      <c r="AP8" s="932" t="n"/>
      <c r="AQ8" s="932" t="n"/>
      <c r="AR8" s="932" t="n"/>
      <c r="AS8" s="932" t="n"/>
      <c r="AT8" s="932" t="n"/>
      <c r="AU8" s="932" t="n"/>
      <c r="AV8" s="932" t="n"/>
      <c r="AW8" s="932" t="n"/>
      <c r="AX8" s="932" t="n"/>
      <c r="AY8" s="929" t="n"/>
      <c r="AZ8" s="932" t="n"/>
      <c r="BA8" s="932" t="n"/>
      <c r="BB8" s="932" t="n"/>
      <c r="BC8" s="932" t="n"/>
      <c r="BD8" s="932" t="n"/>
      <c r="BE8" s="932" t="n"/>
      <c r="BF8" s="932" t="n"/>
      <c r="BG8" s="932" t="n"/>
      <c r="BH8" s="932" t="n"/>
      <c r="BI8" s="932" t="n"/>
      <c r="BJ8" s="932" t="n"/>
      <c r="BK8" s="932" t="n"/>
      <c r="BL8" s="932" t="n"/>
      <c r="BM8" s="932" t="n"/>
      <c r="BN8" s="932" t="n"/>
      <c r="BO8" s="932" t="n"/>
      <c r="BP8" s="932" t="n"/>
      <c r="BQ8" s="932" t="n"/>
      <c r="BR8" s="932" t="n"/>
      <c r="BS8" s="932" t="n"/>
      <c r="BT8" s="932" t="n"/>
      <c r="BU8" s="932" t="n"/>
      <c r="BV8" s="932" t="n"/>
      <c r="BW8" s="932" t="n"/>
      <c r="BX8" s="932" t="n"/>
      <c r="BY8" s="932" t="n"/>
      <c r="BZ8" s="932" t="n"/>
      <c r="CA8" s="932" t="n"/>
      <c r="CB8" s="932" t="n"/>
      <c r="CC8" s="932" t="n"/>
      <c r="CD8" s="929" t="n"/>
      <c r="CE8" s="932" t="n"/>
      <c r="CF8" s="932" t="n"/>
      <c r="CG8" s="932" t="n"/>
      <c r="CH8" s="932" t="n"/>
      <c r="CI8" s="932" t="n"/>
      <c r="CJ8" s="932" t="n"/>
      <c r="CK8" s="932" t="n"/>
      <c r="CL8" s="932" t="n"/>
      <c r="CM8" s="932" t="n"/>
      <c r="CN8" s="932" t="n"/>
      <c r="CO8" s="932" t="n"/>
      <c r="CP8" s="932" t="n"/>
      <c r="CQ8" s="932" t="n"/>
      <c r="CR8" s="932" t="n"/>
      <c r="CS8" s="932" t="n"/>
      <c r="CT8" s="932" t="n"/>
      <c r="CU8" s="932" t="n"/>
      <c r="CV8" s="932" t="n"/>
      <c r="CW8" s="932" t="n"/>
      <c r="CX8" s="932" t="n"/>
      <c r="CY8" s="932" t="n"/>
      <c r="CZ8" s="932" t="n"/>
      <c r="DA8" s="932" t="n"/>
      <c r="DB8" s="932" t="n"/>
      <c r="DC8" s="932" t="n"/>
      <c r="DD8" s="932" t="n"/>
      <c r="DE8" s="932" t="n"/>
      <c r="DF8" s="932" t="n"/>
      <c r="DG8" s="932" t="n"/>
      <c r="DH8" s="932" t="n"/>
      <c r="DI8" s="929" t="n"/>
    </row>
    <row r="9">
      <c r="B9" s="926" t="inlineStr">
        <is>
          <t>DD</t>
        </is>
      </c>
      <c r="C9" s="927" t="inlineStr">
        <is>
          <t>DDスコープ・依頼先選定</t>
        </is>
      </c>
      <c r="D9" s="929" t="n"/>
      <c r="E9" s="929" t="n"/>
      <c r="F9" s="929" t="n"/>
      <c r="G9" s="929" t="n"/>
      <c r="H9" s="928" t="n"/>
      <c r="I9" s="929" t="n"/>
      <c r="J9" s="929" t="n"/>
      <c r="K9" s="929" t="n"/>
      <c r="L9" s="929" t="n"/>
      <c r="M9" s="929" t="n"/>
      <c r="N9" s="929" t="n"/>
      <c r="O9" s="929" t="n"/>
      <c r="P9" s="929" t="n"/>
      <c r="Q9" s="929" t="n"/>
      <c r="R9" s="929" t="n"/>
      <c r="S9" s="929" t="n"/>
      <c r="T9" s="929" t="n"/>
      <c r="U9" s="929" t="n"/>
      <c r="V9" s="929" t="n"/>
      <c r="W9" s="929" t="n"/>
      <c r="X9" s="929" t="n"/>
      <c r="Y9" s="929" t="n"/>
      <c r="Z9" s="929" t="n"/>
      <c r="AA9" s="929" t="n"/>
      <c r="AB9" s="929" t="n"/>
      <c r="AC9" s="929" t="n"/>
      <c r="AD9" s="929" t="n"/>
      <c r="AE9" s="929" t="n"/>
      <c r="AF9" s="929" t="n"/>
      <c r="AG9" s="929" t="n"/>
      <c r="AH9" s="929" t="n"/>
      <c r="AI9" s="929" t="n"/>
      <c r="AJ9" s="929" t="n"/>
      <c r="AK9" s="929" t="n"/>
      <c r="AL9" s="929" t="n"/>
      <c r="AM9" s="929" t="n"/>
      <c r="AN9" s="929" t="n"/>
      <c r="AO9" s="929" t="n"/>
      <c r="AP9" s="929" t="n"/>
      <c r="AQ9" s="929" t="n"/>
      <c r="AR9" s="929" t="n"/>
      <c r="AS9" s="929" t="n"/>
      <c r="AT9" s="929" t="n"/>
      <c r="AU9" s="929" t="n"/>
      <c r="AV9" s="929" t="n"/>
      <c r="AW9" s="929" t="n"/>
      <c r="AX9" s="929" t="n"/>
      <c r="AY9" s="929" t="n"/>
      <c r="AZ9" s="929" t="n"/>
      <c r="BA9" s="929" t="n"/>
      <c r="BB9" s="929" t="n"/>
      <c r="BC9" s="929" t="n"/>
      <c r="BD9" s="929" t="n"/>
      <c r="BE9" s="929" t="n"/>
      <c r="BF9" s="929" t="n"/>
      <c r="BG9" s="929" t="n"/>
      <c r="BH9" s="929" t="n"/>
      <c r="BI9" s="929" t="n"/>
      <c r="BJ9" s="929" t="n"/>
      <c r="BK9" s="929" t="n"/>
      <c r="BL9" s="929" t="n"/>
      <c r="BM9" s="929" t="n"/>
      <c r="BN9" s="929" t="n"/>
      <c r="BO9" s="929" t="n"/>
      <c r="BP9" s="929" t="n"/>
      <c r="BQ9" s="929" t="n"/>
      <c r="BR9" s="929" t="n"/>
      <c r="BS9" s="929" t="n"/>
      <c r="BT9" s="929" t="n"/>
      <c r="BU9" s="929" t="n"/>
      <c r="BV9" s="929" t="n"/>
      <c r="BW9" s="929" t="n"/>
      <c r="BX9" s="929" t="n"/>
      <c r="BY9" s="929" t="n"/>
      <c r="BZ9" s="929" t="n"/>
      <c r="CA9" s="929" t="n"/>
      <c r="CB9" s="929" t="n"/>
      <c r="CC9" s="929" t="n"/>
      <c r="CD9" s="929" t="n"/>
      <c r="CE9" s="929" t="n"/>
      <c r="CF9" s="929" t="n"/>
      <c r="CG9" s="929" t="n"/>
      <c r="CH9" s="929" t="n"/>
      <c r="CI9" s="929" t="n"/>
      <c r="CJ9" s="929" t="n"/>
      <c r="CK9" s="929" t="n"/>
      <c r="CL9" s="929" t="n"/>
      <c r="CM9" s="929" t="n"/>
      <c r="CN9" s="929" t="n"/>
      <c r="CO9" s="929" t="n"/>
      <c r="CP9" s="929" t="n"/>
      <c r="CQ9" s="929" t="n"/>
      <c r="CR9" s="929" t="n"/>
      <c r="CS9" s="929" t="n"/>
      <c r="CT9" s="929" t="n"/>
      <c r="CU9" s="929" t="n"/>
      <c r="CV9" s="929" t="n"/>
      <c r="CW9" s="929" t="n"/>
      <c r="CX9" s="929" t="n"/>
      <c r="CY9" s="929" t="n"/>
      <c r="CZ9" s="929" t="n"/>
      <c r="DA9" s="929" t="n"/>
      <c r="DB9" s="929" t="n"/>
      <c r="DC9" s="929" t="n"/>
      <c r="DD9" s="929" t="n"/>
      <c r="DE9" s="929" t="n"/>
      <c r="DF9" s="929" t="n"/>
      <c r="DG9" s="929" t="n"/>
      <c r="DH9" s="929" t="n"/>
      <c r="DI9" s="929" t="n"/>
    </row>
    <row r="10">
      <c r="B10" s="930" t="n"/>
      <c r="C10" s="927" t="inlineStr">
        <is>
          <t>IRL提出</t>
        </is>
      </c>
      <c r="D10" s="929" t="n"/>
      <c r="E10" s="929" t="n"/>
      <c r="F10" s="929" t="n"/>
      <c r="G10" s="929" t="n"/>
      <c r="H10" s="929" t="n"/>
      <c r="I10" s="928" t="n"/>
      <c r="J10" s="929" t="n"/>
      <c r="K10" s="929" t="n"/>
      <c r="L10" s="929" t="n"/>
      <c r="M10" s="929" t="n"/>
      <c r="N10" s="929" t="n"/>
      <c r="O10" s="929" t="n"/>
      <c r="P10" s="929" t="n"/>
      <c r="Q10" s="929" t="n"/>
      <c r="R10" s="929" t="n"/>
      <c r="S10" s="929" t="n"/>
      <c r="T10" s="929" t="n"/>
      <c r="U10" s="929" t="n"/>
      <c r="V10" s="929" t="n"/>
      <c r="W10" s="929" t="n"/>
      <c r="X10" s="929" t="n"/>
      <c r="Y10" s="929" t="n"/>
      <c r="Z10" s="929" t="n"/>
      <c r="AA10" s="929" t="n"/>
      <c r="AB10" s="929" t="n"/>
      <c r="AC10" s="929" t="n"/>
      <c r="AD10" s="929" t="n"/>
      <c r="AE10" s="929" t="n"/>
      <c r="AF10" s="929" t="n"/>
      <c r="AG10" s="929" t="n"/>
      <c r="AH10" s="929" t="n"/>
      <c r="AI10" s="929" t="n"/>
      <c r="AJ10" s="929" t="n"/>
      <c r="AK10" s="929" t="n"/>
      <c r="AL10" s="929" t="n"/>
      <c r="AM10" s="929" t="n"/>
      <c r="AN10" s="929" t="n"/>
      <c r="AO10" s="929" t="n"/>
      <c r="AP10" s="929" t="n"/>
      <c r="AQ10" s="929" t="n"/>
      <c r="AR10" s="929" t="n"/>
      <c r="AS10" s="929" t="n"/>
      <c r="AT10" s="929" t="n"/>
      <c r="AU10" s="929" t="n"/>
      <c r="AV10" s="929" t="n"/>
      <c r="AW10" s="929" t="n"/>
      <c r="AX10" s="929" t="n"/>
      <c r="AY10" s="929" t="n"/>
      <c r="AZ10" s="929" t="n"/>
      <c r="BA10" s="929" t="n"/>
      <c r="BB10" s="929" t="n"/>
      <c r="BC10" s="929" t="n"/>
      <c r="BD10" s="929" t="n"/>
      <c r="BE10" s="929" t="n"/>
      <c r="BF10" s="929" t="n"/>
      <c r="BG10" s="929" t="n"/>
      <c r="BH10" s="929" t="n"/>
      <c r="BI10" s="929" t="n"/>
      <c r="BJ10" s="929" t="n"/>
      <c r="BK10" s="929" t="n"/>
      <c r="BL10" s="929" t="n"/>
      <c r="BM10" s="929" t="n"/>
      <c r="BN10" s="929" t="n"/>
      <c r="BO10" s="929" t="n"/>
      <c r="BP10" s="929" t="n"/>
      <c r="BQ10" s="929" t="n"/>
      <c r="BR10" s="929" t="n"/>
      <c r="BS10" s="929" t="n"/>
      <c r="BT10" s="929" t="n"/>
      <c r="BU10" s="929" t="n"/>
      <c r="BV10" s="929" t="n"/>
      <c r="BW10" s="929" t="n"/>
      <c r="BX10" s="929" t="n"/>
      <c r="BY10" s="929" t="n"/>
      <c r="BZ10" s="929" t="n"/>
      <c r="CA10" s="929" t="n"/>
      <c r="CB10" s="929" t="n"/>
      <c r="CC10" s="929" t="n"/>
      <c r="CD10" s="929" t="n"/>
      <c r="CE10" s="929" t="n"/>
      <c r="CF10" s="929" t="n"/>
      <c r="CG10" s="929" t="n"/>
      <c r="CH10" s="929" t="n"/>
      <c r="CI10" s="929" t="n"/>
      <c r="CJ10" s="929" t="n"/>
      <c r="CK10" s="929" t="n"/>
      <c r="CL10" s="929" t="n"/>
      <c r="CM10" s="929" t="n"/>
      <c r="CN10" s="929" t="n"/>
      <c r="CO10" s="929" t="n"/>
      <c r="CP10" s="929" t="n"/>
      <c r="CQ10" s="929" t="n"/>
      <c r="CR10" s="929" t="n"/>
      <c r="CS10" s="929" t="n"/>
      <c r="CT10" s="929" t="n"/>
      <c r="CU10" s="929" t="n"/>
      <c r="CV10" s="929" t="n"/>
      <c r="CW10" s="929" t="n"/>
      <c r="CX10" s="929" t="n"/>
      <c r="CY10" s="929" t="n"/>
      <c r="CZ10" s="929" t="n"/>
      <c r="DA10" s="929" t="n"/>
      <c r="DB10" s="929" t="n"/>
      <c r="DC10" s="929" t="n"/>
      <c r="DD10" s="929" t="n"/>
      <c r="DE10" s="929" t="n"/>
      <c r="DF10" s="929" t="n"/>
      <c r="DG10" s="929" t="n"/>
      <c r="DH10" s="929" t="n"/>
      <c r="DI10" s="929" t="n"/>
    </row>
    <row r="11">
      <c r="B11" s="930" t="n"/>
      <c r="C11" s="927" t="inlineStr">
        <is>
          <t>QAラリー</t>
        </is>
      </c>
      <c r="D11" s="929" t="n"/>
      <c r="E11" s="929" t="n"/>
      <c r="F11" s="929" t="n"/>
      <c r="G11" s="929" t="n"/>
      <c r="H11" s="929" t="n"/>
      <c r="I11" s="929" t="n"/>
      <c r="J11" s="928" t="n"/>
      <c r="K11" s="928" t="n"/>
      <c r="L11" s="928" t="n"/>
      <c r="M11" s="928" t="n"/>
      <c r="N11" s="928" t="n"/>
      <c r="O11" s="928" t="n"/>
      <c r="P11" s="928" t="n"/>
      <c r="Q11" s="928" t="n"/>
      <c r="R11" s="928" t="n"/>
      <c r="S11" s="928" t="n"/>
      <c r="T11" s="928" t="n"/>
      <c r="U11" s="928" t="n"/>
      <c r="V11" s="928" t="n"/>
      <c r="W11" s="928" t="n"/>
      <c r="X11" s="928" t="n"/>
      <c r="Y11" s="928" t="n"/>
      <c r="Z11" s="928" t="n"/>
      <c r="AA11" s="928" t="n"/>
      <c r="AB11" s="928" t="n"/>
      <c r="AC11" s="928" t="n"/>
      <c r="AD11" s="928" t="n"/>
      <c r="AE11" s="928" t="n"/>
      <c r="AF11" s="928" t="n"/>
      <c r="AG11" s="928" t="n"/>
      <c r="AH11" s="928" t="n"/>
      <c r="AI11" s="928" t="n"/>
      <c r="AJ11" s="928" t="n"/>
      <c r="AK11" s="928" t="n"/>
      <c r="AL11" s="928" t="n"/>
      <c r="AM11" s="928" t="n"/>
      <c r="AN11" s="928" t="n"/>
      <c r="AO11" s="928" t="n"/>
      <c r="AP11" s="928" t="n"/>
      <c r="AQ11" s="929" t="n"/>
      <c r="AR11" s="929" t="n"/>
      <c r="AS11" s="929" t="n"/>
      <c r="AT11" s="929" t="n"/>
      <c r="AU11" s="929" t="n"/>
      <c r="AV11" s="929" t="n"/>
      <c r="AW11" s="929" t="n"/>
      <c r="AX11" s="929" t="n"/>
      <c r="AY11" s="929" t="n"/>
      <c r="AZ11" s="929" t="n"/>
      <c r="BA11" s="929" t="n"/>
      <c r="BB11" s="929" t="n"/>
      <c r="BC11" s="929" t="n"/>
      <c r="BD11" s="929" t="n"/>
      <c r="BE11" s="929" t="n"/>
      <c r="BF11" s="929" t="n"/>
      <c r="BG11" s="929" t="n"/>
      <c r="BH11" s="929" t="n"/>
      <c r="BI11" s="929" t="n"/>
      <c r="BJ11" s="929" t="n"/>
      <c r="BK11" s="929" t="n"/>
      <c r="BL11" s="929" t="n"/>
      <c r="BM11" s="929" t="n"/>
      <c r="BN11" s="929" t="n"/>
      <c r="BO11" s="929" t="n"/>
      <c r="BP11" s="929" t="n"/>
      <c r="BQ11" s="929" t="n"/>
      <c r="BR11" s="929" t="n"/>
      <c r="BS11" s="929" t="n"/>
      <c r="BT11" s="929" t="n"/>
      <c r="BU11" s="929" t="n"/>
      <c r="BV11" s="929" t="n"/>
      <c r="BW11" s="929" t="n"/>
      <c r="BX11" s="929" t="n"/>
      <c r="BY11" s="929" t="n"/>
      <c r="BZ11" s="929" t="n"/>
      <c r="CA11" s="929" t="n"/>
      <c r="CB11" s="929" t="n"/>
      <c r="CC11" s="929" t="n"/>
      <c r="CD11" s="929" t="n"/>
      <c r="CE11" s="929" t="n"/>
      <c r="CF11" s="929" t="n"/>
      <c r="CG11" s="929" t="n"/>
      <c r="CH11" s="929" t="n"/>
      <c r="CI11" s="929" t="n"/>
      <c r="CJ11" s="929" t="n"/>
      <c r="CK11" s="929" t="n"/>
      <c r="CL11" s="929" t="n"/>
      <c r="CM11" s="929" t="n"/>
      <c r="CN11" s="929" t="n"/>
      <c r="CO11" s="929" t="n"/>
      <c r="CP11" s="929" t="n"/>
      <c r="CQ11" s="929" t="n"/>
      <c r="CR11" s="929" t="n"/>
      <c r="CS11" s="929" t="n"/>
      <c r="CT11" s="929" t="n"/>
      <c r="CU11" s="929" t="n"/>
      <c r="CV11" s="929" t="n"/>
      <c r="CW11" s="929" t="n"/>
      <c r="CX11" s="929" t="n"/>
      <c r="CY11" s="929" t="n"/>
      <c r="CZ11" s="929" t="n"/>
      <c r="DA11" s="929" t="n"/>
      <c r="DB11" s="929" t="n"/>
      <c r="DC11" s="929" t="n"/>
      <c r="DD11" s="929" t="n"/>
      <c r="DE11" s="929" t="n"/>
      <c r="DF11" s="929" t="n"/>
      <c r="DG11" s="929" t="n"/>
      <c r="DH11" s="929" t="n"/>
      <c r="DI11" s="929" t="n"/>
    </row>
    <row r="12">
      <c r="B12" s="930" t="n"/>
      <c r="C12" s="927" t="inlineStr">
        <is>
          <t>マネジメントインタビュー</t>
        </is>
      </c>
      <c r="D12" s="929" t="n"/>
      <c r="E12" s="929" t="n"/>
      <c r="F12" s="929" t="n"/>
      <c r="G12" s="929" t="n"/>
      <c r="H12" s="929" t="n"/>
      <c r="I12" s="929" t="n"/>
      <c r="J12" s="929" t="n"/>
      <c r="K12" s="929" t="n"/>
      <c r="L12" s="933" t="inlineStr">
        <is>
          <t>B</t>
        </is>
      </c>
      <c r="M12" s="929" t="n"/>
      <c r="N12" s="929" t="n"/>
      <c r="O12" s="929" t="n"/>
      <c r="P12" s="929" t="n"/>
      <c r="Q12" s="929" t="n"/>
      <c r="R12" s="929" t="n"/>
      <c r="S12" s="929" t="n"/>
      <c r="T12" s="929" t="n"/>
      <c r="U12" s="929" t="n"/>
      <c r="V12" s="929" t="n"/>
      <c r="W12" s="929" t="n"/>
      <c r="X12" s="929" t="n"/>
      <c r="Y12" s="929" t="n"/>
      <c r="Z12" s="929" t="n"/>
      <c r="AA12" s="933" t="inlineStr">
        <is>
          <t>F</t>
        </is>
      </c>
      <c r="AB12" s="933" t="inlineStr">
        <is>
          <t>L</t>
        </is>
      </c>
      <c r="AC12" s="929" t="n"/>
      <c r="AD12" s="929" t="n"/>
      <c r="AE12" s="929" t="n"/>
      <c r="AF12" s="929" t="n"/>
      <c r="AG12" s="929" t="n"/>
      <c r="AH12" s="929" t="n"/>
      <c r="AI12" s="929" t="n"/>
      <c r="AJ12" s="929" t="n"/>
      <c r="AK12" s="929" t="n"/>
      <c r="AL12" s="929" t="n"/>
      <c r="AM12" s="929" t="n"/>
      <c r="AN12" s="929" t="n"/>
      <c r="AO12" s="929" t="n"/>
      <c r="AP12" s="929" t="n"/>
      <c r="AQ12" s="929" t="n"/>
      <c r="AR12" s="929" t="n"/>
      <c r="AS12" s="929" t="n"/>
      <c r="AT12" s="929" t="n"/>
      <c r="AU12" s="929" t="n"/>
      <c r="AV12" s="929" t="n"/>
      <c r="AW12" s="929" t="n"/>
      <c r="AX12" s="929" t="n"/>
      <c r="AY12" s="929" t="n"/>
      <c r="AZ12" s="929" t="n"/>
      <c r="BA12" s="929" t="n"/>
      <c r="BB12" s="929" t="n"/>
      <c r="BC12" s="929" t="n"/>
      <c r="BD12" s="929" t="n"/>
      <c r="BE12" s="929" t="n"/>
      <c r="BF12" s="929" t="n"/>
      <c r="BG12" s="929" t="n"/>
      <c r="BH12" s="929" t="n"/>
      <c r="BI12" s="929" t="n"/>
      <c r="BJ12" s="929" t="n"/>
      <c r="BK12" s="929" t="n"/>
      <c r="BL12" s="929" t="n"/>
      <c r="BM12" s="929" t="n"/>
      <c r="BN12" s="929" t="n"/>
      <c r="BO12" s="929" t="n"/>
      <c r="BP12" s="929" t="n"/>
      <c r="BQ12" s="929" t="n"/>
      <c r="BR12" s="929" t="n"/>
      <c r="BS12" s="929" t="n"/>
      <c r="BT12" s="929" t="n"/>
      <c r="BU12" s="929" t="n"/>
      <c r="BV12" s="929" t="n"/>
      <c r="BW12" s="929" t="n"/>
      <c r="BX12" s="929" t="n"/>
      <c r="BY12" s="929" t="n"/>
      <c r="BZ12" s="929" t="n"/>
      <c r="CA12" s="929" t="n"/>
      <c r="CB12" s="929" t="n"/>
      <c r="CC12" s="929" t="n"/>
      <c r="CD12" s="929" t="n"/>
      <c r="CE12" s="929" t="n"/>
      <c r="CF12" s="929" t="n"/>
      <c r="CG12" s="929" t="n"/>
      <c r="CH12" s="929" t="n"/>
      <c r="CI12" s="929" t="n"/>
      <c r="CJ12" s="929" t="n"/>
      <c r="CK12" s="929" t="n"/>
      <c r="CL12" s="929" t="n"/>
      <c r="CM12" s="929" t="n"/>
      <c r="CN12" s="929" t="n"/>
      <c r="CO12" s="929" t="n"/>
      <c r="CP12" s="929" t="n"/>
      <c r="CQ12" s="929" t="n"/>
      <c r="CR12" s="929" t="n"/>
      <c r="CS12" s="929" t="n"/>
      <c r="CT12" s="929" t="n"/>
      <c r="CU12" s="929" t="n"/>
      <c r="CV12" s="929" t="n"/>
      <c r="CW12" s="929" t="n"/>
      <c r="CX12" s="929" t="n"/>
      <c r="CY12" s="929" t="n"/>
      <c r="CZ12" s="929" t="n"/>
      <c r="DA12" s="929" t="n"/>
      <c r="DB12" s="929" t="n"/>
      <c r="DC12" s="929" t="n"/>
      <c r="DD12" s="929" t="n"/>
      <c r="DE12" s="929" t="n"/>
      <c r="DF12" s="929" t="n"/>
      <c r="DG12" s="929" t="n"/>
      <c r="DH12" s="929" t="n"/>
      <c r="DI12" s="929" t="n"/>
    </row>
    <row r="13">
      <c r="B13" s="931" t="n"/>
      <c r="C13" s="927" t="inlineStr">
        <is>
          <t>DD結果報告</t>
        </is>
      </c>
      <c r="D13" s="929" t="n"/>
      <c r="E13" s="929" t="n"/>
      <c r="F13" s="929" t="n"/>
      <c r="G13" s="929" t="n"/>
      <c r="H13" s="929" t="n"/>
      <c r="I13" s="929" t="n"/>
      <c r="J13" s="929" t="n"/>
      <c r="K13" s="929" t="n"/>
      <c r="L13" s="929" t="n"/>
      <c r="M13" s="929" t="n"/>
      <c r="N13" s="929" t="n"/>
      <c r="O13" s="929" t="n"/>
      <c r="P13" s="929" t="n"/>
      <c r="Q13" s="929" t="n"/>
      <c r="R13" s="929" t="n"/>
      <c r="S13" s="929" t="n"/>
      <c r="T13" s="929" t="n"/>
      <c r="U13" s="929" t="n"/>
      <c r="V13" s="929" t="n"/>
      <c r="W13" s="929" t="n"/>
      <c r="X13" s="929" t="n"/>
      <c r="Y13" s="929" t="n"/>
      <c r="Z13" s="929" t="n"/>
      <c r="AA13" s="929" t="n"/>
      <c r="AB13" s="929" t="n"/>
      <c r="AC13" s="929" t="n"/>
      <c r="AD13" s="929" t="n"/>
      <c r="AE13" s="929" t="n"/>
      <c r="AF13" s="929" t="n"/>
      <c r="AG13" s="929" t="n"/>
      <c r="AH13" s="929" t="n"/>
      <c r="AI13" s="929" t="n"/>
      <c r="AJ13" s="929" t="n"/>
      <c r="AK13" s="929" t="n"/>
      <c r="AL13" s="929" t="n"/>
      <c r="AM13" s="929" t="n"/>
      <c r="AN13" s="929" t="n"/>
      <c r="AO13" s="929" t="n"/>
      <c r="AP13" s="929" t="n"/>
      <c r="AQ13" s="929" t="n"/>
      <c r="AR13" s="929" t="n"/>
      <c r="AS13" s="929" t="n"/>
      <c r="AT13" s="929" t="n"/>
      <c r="AU13" s="929" t="n"/>
      <c r="AV13" s="929" t="n"/>
      <c r="AW13" s="929" t="n"/>
      <c r="AX13" s="933" t="inlineStr">
        <is>
          <t>F</t>
        </is>
      </c>
      <c r="AY13" s="933" t="inlineStr">
        <is>
          <t>L</t>
        </is>
      </c>
      <c r="AZ13" s="929" t="n"/>
      <c r="BA13" s="929" t="n"/>
      <c r="BB13" s="929" t="n"/>
      <c r="BC13" s="929" t="n"/>
      <c r="BD13" s="929" t="n"/>
      <c r="BE13" s="929" t="n"/>
      <c r="BF13" s="929" t="n"/>
      <c r="BG13" s="929" t="n"/>
      <c r="BH13" s="929" t="n"/>
      <c r="BI13" s="929" t="n"/>
      <c r="BJ13" s="929" t="n"/>
      <c r="BK13" s="929" t="n"/>
      <c r="BL13" s="929" t="n"/>
      <c r="BM13" s="929" t="n"/>
      <c r="BN13" s="929" t="n"/>
      <c r="BO13" s="929" t="n"/>
      <c r="BP13" s="929" t="n"/>
      <c r="BQ13" s="929" t="n"/>
      <c r="BR13" s="929" t="n"/>
      <c r="BS13" s="929" t="n"/>
      <c r="BT13" s="929" t="n"/>
      <c r="BU13" s="929" t="n"/>
      <c r="BV13" s="929" t="n"/>
      <c r="BW13" s="929" t="n"/>
      <c r="BX13" s="929" t="n"/>
      <c r="BY13" s="929" t="n"/>
      <c r="BZ13" s="929" t="n"/>
      <c r="CA13" s="929" t="n"/>
      <c r="CB13" s="929" t="n"/>
      <c r="CC13" s="929" t="n"/>
      <c r="CD13" s="929" t="n"/>
      <c r="CE13" s="929" t="n"/>
      <c r="CF13" s="929" t="n"/>
      <c r="CG13" s="929" t="n"/>
      <c r="CH13" s="929" t="n"/>
      <c r="CI13" s="929" t="n"/>
      <c r="CJ13" s="929" t="n"/>
      <c r="CK13" s="929" t="n"/>
      <c r="CL13" s="929" t="n"/>
      <c r="CM13" s="929" t="n"/>
      <c r="CN13" s="929" t="n"/>
      <c r="CO13" s="929" t="n"/>
      <c r="CP13" s="929" t="n"/>
      <c r="CQ13" s="929" t="n"/>
      <c r="CR13" s="929" t="n"/>
      <c r="CS13" s="929" t="n"/>
      <c r="CT13" s="929" t="n"/>
      <c r="CU13" s="929" t="n"/>
      <c r="CV13" s="929" t="n"/>
      <c r="CW13" s="929" t="n"/>
      <c r="CX13" s="929" t="n"/>
      <c r="CY13" s="929" t="n"/>
      <c r="CZ13" s="929" t="n"/>
      <c r="DA13" s="929" t="n"/>
      <c r="DB13" s="929" t="n"/>
      <c r="DC13" s="929" t="n"/>
      <c r="DD13" s="929" t="n"/>
      <c r="DE13" s="929" t="n"/>
      <c r="DF13" s="929" t="n"/>
      <c r="DG13" s="929" t="n"/>
      <c r="DH13" s="929" t="n"/>
      <c r="DI13" s="929" t="n"/>
    </row>
    <row r="14" ht="18" customHeight="1" s="595">
      <c r="B14" s="926" t="inlineStr">
        <is>
          <t>契約</t>
        </is>
      </c>
      <c r="C14" s="927" t="inlineStr">
        <is>
          <t>SPA内容調整</t>
        </is>
      </c>
      <c r="D14" s="929" t="n"/>
      <c r="E14" s="929" t="n"/>
      <c r="F14" s="929" t="n"/>
      <c r="G14" s="929" t="n"/>
      <c r="H14" s="929" t="n"/>
      <c r="I14" s="929" t="n"/>
      <c r="J14" s="929" t="n"/>
      <c r="K14" s="929" t="n"/>
      <c r="L14" s="929" t="n"/>
      <c r="M14" s="929" t="n"/>
      <c r="N14" s="929" t="n"/>
      <c r="O14" s="929" t="n"/>
      <c r="P14" s="929" t="n"/>
      <c r="Q14" s="929" t="n"/>
      <c r="R14" s="929" t="n"/>
      <c r="S14" s="929" t="n"/>
      <c r="T14" s="929" t="n"/>
      <c r="U14" s="929" t="n"/>
      <c r="V14" s="929" t="n"/>
      <c r="W14" s="929" t="n"/>
      <c r="X14" s="929" t="n"/>
      <c r="Y14" s="929" t="n"/>
      <c r="Z14" s="929" t="n"/>
      <c r="AA14" s="929" t="n"/>
      <c r="AB14" s="929" t="n"/>
      <c r="AC14" s="929" t="n"/>
      <c r="AD14" s="929" t="n"/>
      <c r="AE14" s="929" t="n"/>
      <c r="AF14" s="929" t="n"/>
      <c r="AG14" s="929" t="n"/>
      <c r="AH14" s="929" t="n"/>
      <c r="AI14" s="929" t="n"/>
      <c r="AJ14" s="929" t="n"/>
      <c r="AK14" s="929" t="n"/>
      <c r="AL14" s="929" t="n"/>
      <c r="AM14" s="929" t="n"/>
      <c r="AN14" s="929" t="n"/>
      <c r="AO14" s="929" t="n"/>
      <c r="AP14" s="928" t="n"/>
      <c r="AQ14" s="928" t="n"/>
      <c r="AR14" s="928" t="n"/>
      <c r="AS14" s="928" t="n"/>
      <c r="AT14" s="928" t="n"/>
      <c r="AU14" s="928" t="n"/>
      <c r="AV14" s="928" t="n"/>
      <c r="AW14" s="928" t="n"/>
      <c r="AX14" s="928" t="n"/>
      <c r="AY14" s="928" t="n"/>
      <c r="AZ14" s="928" t="n"/>
      <c r="BA14" s="928" t="n"/>
      <c r="BB14" s="928" t="n"/>
      <c r="BC14" s="928" t="n"/>
      <c r="BD14" s="928" t="n"/>
      <c r="BE14" s="928" t="n"/>
      <c r="BF14" s="928" t="n"/>
      <c r="BG14" s="928" t="n"/>
      <c r="BH14" s="928" t="n"/>
      <c r="BI14" s="928" t="n"/>
      <c r="BJ14" s="928" t="n"/>
      <c r="BK14" s="928" t="n"/>
      <c r="BL14" s="928" t="n"/>
      <c r="BM14" s="928" t="n"/>
      <c r="BN14" s="928" t="n"/>
      <c r="BO14" s="928" t="n"/>
      <c r="BP14" s="928" t="n"/>
      <c r="BQ14" s="928" t="n"/>
      <c r="BR14" s="928" t="n"/>
      <c r="BS14" s="928" t="n"/>
      <c r="BT14" s="928" t="n"/>
      <c r="BU14" s="928" t="n"/>
      <c r="BV14" s="928" t="n"/>
      <c r="BW14" s="928" t="n"/>
      <c r="BX14" s="928" t="n"/>
      <c r="BY14" s="928" t="n"/>
      <c r="BZ14" s="929" t="n"/>
      <c r="CA14" s="929" t="n"/>
      <c r="CB14" s="929" t="n"/>
      <c r="CC14" s="929" t="n"/>
      <c r="CD14" s="929" t="n"/>
      <c r="CE14" s="929" t="n"/>
      <c r="CF14" s="929" t="n"/>
      <c r="CG14" s="929" t="n"/>
      <c r="CH14" s="929" t="n"/>
      <c r="CI14" s="929" t="n"/>
      <c r="CJ14" s="929" t="n"/>
      <c r="CK14" s="929" t="n"/>
      <c r="CL14" s="929" t="n"/>
      <c r="CM14" s="929" t="n"/>
      <c r="CN14" s="929" t="n"/>
      <c r="CO14" s="929" t="n"/>
      <c r="CP14" s="929" t="n"/>
      <c r="CQ14" s="929" t="n"/>
      <c r="CR14" s="929" t="n"/>
      <c r="CS14" s="929" t="n"/>
      <c r="CT14" s="929" t="n"/>
      <c r="CU14" s="929" t="n"/>
      <c r="CV14" s="929" t="n"/>
      <c r="CW14" s="929" t="n"/>
      <c r="CX14" s="929" t="n"/>
      <c r="CY14" s="929" t="n"/>
      <c r="CZ14" s="929" t="n"/>
      <c r="DA14" s="929" t="n"/>
      <c r="DB14" s="929" t="n"/>
      <c r="DC14" s="929" t="n"/>
      <c r="DD14" s="929" t="n"/>
      <c r="DE14" s="929" t="n"/>
      <c r="DF14" s="929" t="n"/>
      <c r="DG14" s="929" t="n"/>
      <c r="DH14" s="929" t="n"/>
      <c r="DI14" s="929" t="n"/>
    </row>
    <row r="15">
      <c r="B15" s="930" t="n"/>
      <c r="C15" s="927" t="inlineStr">
        <is>
          <t>SPA締結</t>
        </is>
      </c>
      <c r="D15" s="929" t="n"/>
      <c r="E15" s="929" t="n"/>
      <c r="F15" s="929" t="n"/>
      <c r="G15" s="929" t="n"/>
      <c r="H15" s="929" t="n"/>
      <c r="I15" s="929" t="n"/>
      <c r="J15" s="929" t="n"/>
      <c r="K15" s="929" t="n"/>
      <c r="L15" s="929" t="n"/>
      <c r="M15" s="929" t="n"/>
      <c r="N15" s="929" t="n"/>
      <c r="O15" s="929" t="n"/>
      <c r="P15" s="929" t="n"/>
      <c r="Q15" s="929" t="n"/>
      <c r="R15" s="929" t="n"/>
      <c r="S15" s="929" t="n"/>
      <c r="T15" s="929" t="n"/>
      <c r="U15" s="929" t="n"/>
      <c r="V15" s="929" t="n"/>
      <c r="W15" s="929" t="n"/>
      <c r="X15" s="929" t="n"/>
      <c r="Y15" s="929" t="n"/>
      <c r="Z15" s="929" t="n"/>
      <c r="AA15" s="929" t="n"/>
      <c r="AB15" s="929" t="n"/>
      <c r="AC15" s="929" t="n"/>
      <c r="AD15" s="929" t="n"/>
      <c r="AE15" s="929" t="n"/>
      <c r="AF15" s="929" t="n"/>
      <c r="AG15" s="929" t="n"/>
      <c r="AH15" s="929" t="n"/>
      <c r="AI15" s="929" t="n"/>
      <c r="AJ15" s="929" t="n"/>
      <c r="AK15" s="929" t="n"/>
      <c r="AL15" s="929" t="n"/>
      <c r="AM15" s="929" t="n"/>
      <c r="AN15" s="929" t="n"/>
      <c r="AO15" s="929" t="n"/>
      <c r="AP15" s="929" t="n"/>
      <c r="AQ15" s="929" t="n"/>
      <c r="AR15" s="929" t="n"/>
      <c r="AS15" s="929" t="n"/>
      <c r="AT15" s="929" t="n"/>
      <c r="AU15" s="929" t="n"/>
      <c r="AV15" s="929" t="n"/>
      <c r="AW15" s="929" t="n"/>
      <c r="AX15" s="929" t="n"/>
      <c r="AY15" s="929" t="n"/>
      <c r="AZ15" s="929" t="n"/>
      <c r="BA15" s="929" t="n"/>
      <c r="BB15" s="929" t="n"/>
      <c r="BC15" s="929" t="n"/>
      <c r="BD15" s="929" t="n"/>
      <c r="BE15" s="929" t="n"/>
      <c r="BF15" s="929" t="n"/>
      <c r="BG15" s="929" t="n"/>
      <c r="BH15" s="929" t="n"/>
      <c r="BI15" s="929" t="n"/>
      <c r="BJ15" s="929" t="n"/>
      <c r="BK15" s="929" t="n"/>
      <c r="BL15" s="929" t="n"/>
      <c r="BM15" s="929" t="n"/>
      <c r="BN15" s="929" t="n"/>
      <c r="BO15" s="929" t="n"/>
      <c r="BP15" s="929" t="n"/>
      <c r="BQ15" s="929" t="n"/>
      <c r="BR15" s="929" t="n"/>
      <c r="BS15" s="929" t="n"/>
      <c r="BT15" s="929" t="n"/>
      <c r="BU15" s="929" t="n"/>
      <c r="BV15" s="929" t="n"/>
      <c r="BW15" s="929" t="n"/>
      <c r="BX15" s="929" t="n"/>
      <c r="BY15" s="929" t="n"/>
      <c r="BZ15" s="929" t="n"/>
      <c r="CA15" s="929" t="n"/>
      <c r="CB15" s="929" t="n"/>
      <c r="CC15" s="929" t="n"/>
      <c r="CD15" s="928" t="n"/>
      <c r="CE15" s="929" t="n"/>
      <c r="CF15" s="929" t="n"/>
      <c r="CG15" s="929" t="n"/>
      <c r="CH15" s="929" t="n"/>
      <c r="CI15" s="929" t="n"/>
      <c r="CJ15" s="929" t="n"/>
      <c r="CK15" s="929" t="n"/>
      <c r="CL15" s="929" t="n"/>
      <c r="CM15" s="929" t="n"/>
      <c r="CN15" s="929" t="n"/>
      <c r="CO15" s="929" t="n"/>
      <c r="CP15" s="929" t="n"/>
      <c r="CQ15" s="929" t="n"/>
      <c r="CR15" s="929" t="n"/>
      <c r="CS15" s="929" t="n"/>
      <c r="CT15" s="929" t="n"/>
      <c r="CU15" s="929" t="n"/>
      <c r="CV15" s="929" t="n"/>
      <c r="CW15" s="929" t="n"/>
      <c r="CX15" s="929" t="n"/>
      <c r="CY15" s="929" t="n"/>
      <c r="CZ15" s="929" t="n"/>
      <c r="DA15" s="929" t="n"/>
      <c r="DB15" s="929" t="n"/>
      <c r="DC15" s="929" t="n"/>
      <c r="DD15" s="929" t="n"/>
      <c r="DE15" s="929" t="n"/>
      <c r="DF15" s="929" t="n"/>
      <c r="DG15" s="929" t="n"/>
      <c r="DH15" s="929" t="n"/>
      <c r="DI15" s="929" t="n"/>
    </row>
    <row r="16">
      <c r="B16" s="930" t="n"/>
      <c r="C16" s="927" t="inlineStr">
        <is>
          <t>CoC対応等</t>
        </is>
      </c>
      <c r="D16" s="929" t="n"/>
      <c r="E16" s="929" t="n"/>
      <c r="F16" s="929" t="n"/>
      <c r="G16" s="929" t="n"/>
      <c r="H16" s="929" t="n"/>
      <c r="I16" s="929" t="n"/>
      <c r="J16" s="929" t="n"/>
      <c r="K16" s="929" t="n"/>
      <c r="L16" s="929" t="n"/>
      <c r="M16" s="929" t="n"/>
      <c r="N16" s="929" t="n"/>
      <c r="O16" s="929" t="n"/>
      <c r="P16" s="929" t="n"/>
      <c r="Q16" s="929" t="n"/>
      <c r="R16" s="929" t="n"/>
      <c r="S16" s="929" t="n"/>
      <c r="T16" s="929" t="n"/>
      <c r="U16" s="929" t="n"/>
      <c r="V16" s="929" t="n"/>
      <c r="W16" s="929" t="n"/>
      <c r="X16" s="929" t="n"/>
      <c r="Y16" s="929" t="n"/>
      <c r="Z16" s="929" t="n"/>
      <c r="AA16" s="929" t="n"/>
      <c r="AB16" s="929" t="n"/>
      <c r="AC16" s="929" t="n"/>
      <c r="AD16" s="929" t="n"/>
      <c r="AE16" s="929" t="n"/>
      <c r="AF16" s="929" t="n"/>
      <c r="AG16" s="929" t="n"/>
      <c r="AH16" s="929" t="n"/>
      <c r="AI16" s="929" t="n"/>
      <c r="AJ16" s="929" t="n"/>
      <c r="AK16" s="929" t="n"/>
      <c r="AL16" s="929" t="n"/>
      <c r="AM16" s="929" t="n"/>
      <c r="AN16" s="929" t="n"/>
      <c r="AO16" s="929" t="n"/>
      <c r="AP16" s="929" t="n"/>
      <c r="AQ16" s="929" t="n"/>
      <c r="AR16" s="929" t="n"/>
      <c r="AS16" s="929" t="n"/>
      <c r="AT16" s="929" t="n"/>
      <c r="AU16" s="929" t="n"/>
      <c r="AV16" s="929" t="n"/>
      <c r="AW16" s="929" t="n"/>
      <c r="AX16" s="929" t="n"/>
      <c r="AY16" s="929" t="n"/>
      <c r="AZ16" s="929" t="n"/>
      <c r="BA16" s="929" t="n"/>
      <c r="BB16" s="929" t="n"/>
      <c r="BC16" s="929" t="n"/>
      <c r="BD16" s="929" t="n"/>
      <c r="BE16" s="929" t="n"/>
      <c r="BF16" s="929" t="n"/>
      <c r="BG16" s="929" t="n"/>
      <c r="BH16" s="929" t="n"/>
      <c r="BI16" s="929" t="n"/>
      <c r="BJ16" s="929" t="n"/>
      <c r="BK16" s="929" t="n"/>
      <c r="BL16" s="929" t="n"/>
      <c r="BM16" s="929" t="n"/>
      <c r="BN16" s="929" t="n"/>
      <c r="BO16" s="929" t="n"/>
      <c r="BP16" s="929" t="n"/>
      <c r="BQ16" s="929" t="n"/>
      <c r="BR16" s="929" t="n"/>
      <c r="BS16" s="929" t="n"/>
      <c r="BT16" s="929" t="n"/>
      <c r="BU16" s="929" t="n"/>
      <c r="BV16" s="929" t="n"/>
      <c r="BW16" s="929" t="n"/>
      <c r="BX16" s="929" t="n"/>
      <c r="BY16" s="929" t="n"/>
      <c r="BZ16" s="929" t="n"/>
      <c r="CA16" s="929" t="n"/>
      <c r="CB16" s="929" t="n"/>
      <c r="CC16" s="929" t="n"/>
      <c r="CD16" s="929" t="n"/>
      <c r="CE16" s="928" t="n"/>
      <c r="CF16" s="928" t="n"/>
      <c r="CG16" s="928" t="n"/>
      <c r="CH16" s="928" t="n"/>
      <c r="CI16" s="928" t="n"/>
      <c r="CJ16" s="928" t="n"/>
      <c r="CK16" s="928" t="n"/>
      <c r="CL16" s="928" t="n"/>
      <c r="CM16" s="928" t="n"/>
      <c r="CN16" s="928" t="n"/>
      <c r="CO16" s="928" t="n"/>
      <c r="CP16" s="928" t="n"/>
      <c r="CQ16" s="928" t="n"/>
      <c r="CR16" s="928" t="n"/>
      <c r="CS16" s="928" t="n"/>
      <c r="CT16" s="928" t="n"/>
      <c r="CU16" s="928" t="n"/>
      <c r="CV16" s="928" t="n"/>
      <c r="CW16" s="928" t="n"/>
      <c r="CX16" s="928" t="n"/>
      <c r="CY16" s="928" t="n"/>
      <c r="CZ16" s="928" t="n"/>
      <c r="DA16" s="929" t="n"/>
      <c r="DB16" s="929" t="n"/>
      <c r="DC16" s="929" t="n"/>
      <c r="DD16" s="929" t="n"/>
      <c r="DE16" s="929" t="n"/>
      <c r="DF16" s="929" t="n"/>
      <c r="DG16" s="929" t="n"/>
      <c r="DH16" s="929" t="n"/>
      <c r="DI16" s="929" t="n"/>
    </row>
    <row r="17">
      <c r="B17" s="930" t="n"/>
      <c r="C17" s="927" t="inlineStr">
        <is>
          <t>クロージング</t>
        </is>
      </c>
      <c r="D17" s="929" t="n"/>
      <c r="E17" s="929" t="n"/>
      <c r="F17" s="929" t="n"/>
      <c r="G17" s="929" t="n"/>
      <c r="H17" s="929" t="n"/>
      <c r="I17" s="929" t="n"/>
      <c r="J17" s="929" t="n"/>
      <c r="K17" s="929" t="n"/>
      <c r="L17" s="929" t="n"/>
      <c r="M17" s="929" t="n"/>
      <c r="N17" s="929" t="n"/>
      <c r="O17" s="929" t="n"/>
      <c r="P17" s="929" t="n"/>
      <c r="Q17" s="929" t="n"/>
      <c r="R17" s="929" t="n"/>
      <c r="S17" s="929" t="n"/>
      <c r="T17" s="929" t="n"/>
      <c r="U17" s="929" t="n"/>
      <c r="V17" s="929" t="n"/>
      <c r="W17" s="929" t="n"/>
      <c r="X17" s="929" t="n"/>
      <c r="Y17" s="929" t="n"/>
      <c r="Z17" s="929" t="n"/>
      <c r="AA17" s="929" t="n"/>
      <c r="AB17" s="929" t="n"/>
      <c r="AC17" s="929" t="n"/>
      <c r="AD17" s="929" t="n"/>
      <c r="AE17" s="929" t="n"/>
      <c r="AF17" s="929" t="n"/>
      <c r="AG17" s="929" t="n"/>
      <c r="AH17" s="929" t="n"/>
      <c r="AI17" s="929" t="n"/>
      <c r="AJ17" s="929" t="n"/>
      <c r="AK17" s="929" t="n"/>
      <c r="AL17" s="929" t="n"/>
      <c r="AM17" s="929" t="n"/>
      <c r="AN17" s="929" t="n"/>
      <c r="AO17" s="929" t="n"/>
      <c r="AP17" s="929" t="n"/>
      <c r="AQ17" s="929" t="n"/>
      <c r="AR17" s="929" t="n"/>
      <c r="AS17" s="929" t="n"/>
      <c r="AT17" s="929" t="n"/>
      <c r="AU17" s="929" t="n"/>
      <c r="AV17" s="929" t="n"/>
      <c r="AW17" s="929" t="n"/>
      <c r="AX17" s="929" t="n"/>
      <c r="AY17" s="929" t="n"/>
      <c r="AZ17" s="929" t="n"/>
      <c r="BA17" s="929" t="n"/>
      <c r="BB17" s="929" t="n"/>
      <c r="BC17" s="929" t="n"/>
      <c r="BD17" s="929" t="n"/>
      <c r="BE17" s="929" t="n"/>
      <c r="BF17" s="929" t="n"/>
      <c r="BG17" s="929" t="n"/>
      <c r="BH17" s="929" t="n"/>
      <c r="BI17" s="929" t="n"/>
      <c r="BJ17" s="929" t="n"/>
      <c r="BK17" s="929" t="n"/>
      <c r="BL17" s="929" t="n"/>
      <c r="BM17" s="929" t="n"/>
      <c r="BN17" s="929" t="n"/>
      <c r="BO17" s="929" t="n"/>
      <c r="BP17" s="929" t="n"/>
      <c r="BQ17" s="929" t="n"/>
      <c r="BR17" s="929" t="n"/>
      <c r="BS17" s="929" t="n"/>
      <c r="BT17" s="929" t="n"/>
      <c r="BU17" s="929" t="n"/>
      <c r="BV17" s="929" t="n"/>
      <c r="BW17" s="929" t="n"/>
      <c r="BX17" s="929" t="n"/>
      <c r="BY17" s="929" t="n"/>
      <c r="BZ17" s="929" t="n"/>
      <c r="CA17" s="929" t="n"/>
      <c r="CB17" s="929" t="n"/>
      <c r="CC17" s="929" t="n"/>
      <c r="CD17" s="929" t="n"/>
      <c r="CE17" s="929" t="n"/>
      <c r="CF17" s="929" t="n"/>
      <c r="CG17" s="929" t="n"/>
      <c r="CH17" s="929" t="n"/>
      <c r="CI17" s="929" t="n"/>
      <c r="CJ17" s="929" t="n"/>
      <c r="CK17" s="929" t="n"/>
      <c r="CL17" s="929" t="n"/>
      <c r="CM17" s="929" t="n"/>
      <c r="CN17" s="929" t="n"/>
      <c r="CO17" s="929" t="n"/>
      <c r="CP17" s="929" t="n"/>
      <c r="CQ17" s="929" t="n"/>
      <c r="CR17" s="929" t="n"/>
      <c r="CS17" s="929" t="n"/>
      <c r="CT17" s="929" t="n"/>
      <c r="CU17" s="929" t="n"/>
      <c r="CV17" s="929" t="n"/>
      <c r="CW17" s="929" t="n"/>
      <c r="CX17" s="929" t="n"/>
      <c r="CY17" s="929" t="n"/>
      <c r="CZ17" s="929" t="n"/>
      <c r="DA17" s="928" t="n"/>
      <c r="DB17" s="929" t="n"/>
      <c r="DC17" s="929" t="n"/>
      <c r="DD17" s="929" t="n"/>
      <c r="DE17" s="929" t="n"/>
      <c r="DF17" s="929" t="n"/>
      <c r="DG17" s="929" t="n"/>
      <c r="DH17" s="929" t="n"/>
      <c r="DI17" s="929" t="n"/>
    </row>
    <row r="18" ht="18" customHeight="1" s="595">
      <c r="B18" s="931" t="n"/>
      <c r="C18" s="927" t="inlineStr">
        <is>
          <t>役員変更登記申請</t>
        </is>
      </c>
      <c r="D18" s="929" t="n"/>
      <c r="E18" s="929" t="n"/>
      <c r="F18" s="929" t="n"/>
      <c r="G18" s="929" t="n"/>
      <c r="H18" s="929" t="n"/>
      <c r="I18" s="929" t="n"/>
      <c r="J18" s="929" t="n"/>
      <c r="K18" s="929" t="n"/>
      <c r="L18" s="929" t="n"/>
      <c r="M18" s="929" t="n"/>
      <c r="N18" s="929" t="n"/>
      <c r="O18" s="929" t="n"/>
      <c r="P18" s="929" t="n"/>
      <c r="Q18" s="929" t="n"/>
      <c r="R18" s="929" t="n"/>
      <c r="S18" s="929" t="n"/>
      <c r="T18" s="929" t="n"/>
      <c r="U18" s="929" t="n"/>
      <c r="V18" s="929" t="n"/>
      <c r="W18" s="929" t="n"/>
      <c r="X18" s="929" t="n"/>
      <c r="Y18" s="929" t="n"/>
      <c r="Z18" s="929" t="n"/>
      <c r="AA18" s="929" t="n"/>
      <c r="AB18" s="929" t="n"/>
      <c r="AC18" s="929" t="n"/>
      <c r="AD18" s="929" t="n"/>
      <c r="AE18" s="929" t="n"/>
      <c r="AF18" s="929" t="n"/>
      <c r="AG18" s="929" t="n"/>
      <c r="AH18" s="929" t="n"/>
      <c r="AI18" s="929" t="n"/>
      <c r="AJ18" s="929" t="n"/>
      <c r="AK18" s="929" t="n"/>
      <c r="AL18" s="929" t="n"/>
      <c r="AM18" s="929" t="n"/>
      <c r="AN18" s="929" t="n"/>
      <c r="AO18" s="929" t="n"/>
      <c r="AP18" s="929" t="n"/>
      <c r="AQ18" s="929" t="n"/>
      <c r="AR18" s="929" t="n"/>
      <c r="AS18" s="929" t="n"/>
      <c r="AT18" s="929" t="n"/>
      <c r="AU18" s="929" t="n"/>
      <c r="AV18" s="929" t="n"/>
      <c r="AW18" s="929" t="n"/>
      <c r="AX18" s="929" t="n"/>
      <c r="AY18" s="929" t="n"/>
      <c r="AZ18" s="929" t="n"/>
      <c r="BA18" s="929" t="n"/>
      <c r="BB18" s="929" t="n"/>
      <c r="BC18" s="929" t="n"/>
      <c r="BD18" s="929" t="n"/>
      <c r="BE18" s="929" t="n"/>
      <c r="BF18" s="929" t="n"/>
      <c r="BG18" s="929" t="n"/>
      <c r="BH18" s="929" t="n"/>
      <c r="BI18" s="929" t="n"/>
      <c r="BJ18" s="929" t="n"/>
      <c r="BK18" s="929" t="n"/>
      <c r="BL18" s="929" t="n"/>
      <c r="BM18" s="929" t="n"/>
      <c r="BN18" s="929" t="n"/>
      <c r="BO18" s="929" t="n"/>
      <c r="BP18" s="929" t="n"/>
      <c r="BQ18" s="929" t="n"/>
      <c r="BR18" s="929" t="n"/>
      <c r="BS18" s="929" t="n"/>
      <c r="BT18" s="929" t="n"/>
      <c r="BU18" s="929" t="n"/>
      <c r="BV18" s="929" t="n"/>
      <c r="BW18" s="929" t="n"/>
      <c r="BX18" s="929" t="n"/>
      <c r="BY18" s="929" t="n"/>
      <c r="BZ18" s="929" t="n"/>
      <c r="CA18" s="929" t="n"/>
      <c r="CB18" s="929" t="n"/>
      <c r="CC18" s="929" t="n"/>
      <c r="CD18" s="929" t="n"/>
      <c r="CE18" s="929" t="n"/>
      <c r="CF18" s="929" t="n"/>
      <c r="CG18" s="929" t="n"/>
      <c r="CH18" s="929" t="n"/>
      <c r="CI18" s="929" t="n"/>
      <c r="CJ18" s="929" t="n"/>
      <c r="CK18" s="929" t="n"/>
      <c r="CL18" s="929" t="n"/>
      <c r="CM18" s="929" t="n"/>
      <c r="CN18" s="929" t="n"/>
      <c r="CO18" s="929" t="n"/>
      <c r="CP18" s="929" t="n"/>
      <c r="CQ18" s="929" t="n"/>
      <c r="CR18" s="929" t="n"/>
      <c r="CS18" s="929" t="n"/>
      <c r="CT18" s="929" t="n"/>
      <c r="CU18" s="929" t="n"/>
      <c r="CV18" s="929" t="n"/>
      <c r="CW18" s="929" t="n"/>
      <c r="CX18" s="929" t="n"/>
      <c r="CY18" s="929" t="n"/>
      <c r="CZ18" s="929" t="n"/>
      <c r="DA18" s="928" t="n"/>
      <c r="DB18" s="929" t="n"/>
      <c r="DC18" s="929" t="n"/>
      <c r="DD18" s="929" t="n"/>
      <c r="DE18" s="929" t="n"/>
      <c r="DF18" s="929" t="n"/>
      <c r="DG18" s="929" t="n"/>
      <c r="DH18" s="929" t="n"/>
      <c r="DI18" s="929" t="n"/>
    </row>
    <row r="19">
      <c r="B19" s="926" t="inlineStr">
        <is>
          <t>PMI</t>
        </is>
      </c>
      <c r="C19" s="927" t="inlineStr">
        <is>
          <t>従業員・取引先開示</t>
        </is>
      </c>
      <c r="D19" s="929" t="n"/>
      <c r="E19" s="929" t="n"/>
      <c r="F19" s="929" t="n"/>
      <c r="G19" s="929" t="n"/>
      <c r="H19" s="929" t="n"/>
      <c r="I19" s="929" t="n"/>
      <c r="J19" s="929" t="n"/>
      <c r="K19" s="929" t="n"/>
      <c r="L19" s="929" t="n"/>
      <c r="M19" s="929" t="n"/>
      <c r="N19" s="929" t="n"/>
      <c r="O19" s="929" t="n"/>
      <c r="P19" s="929" t="n"/>
      <c r="Q19" s="929" t="n"/>
      <c r="R19" s="929" t="n"/>
      <c r="S19" s="929" t="n"/>
      <c r="T19" s="929" t="n"/>
      <c r="U19" s="929" t="n"/>
      <c r="V19" s="929" t="n"/>
      <c r="W19" s="929" t="n"/>
      <c r="X19" s="929" t="n"/>
      <c r="Y19" s="929" t="n"/>
      <c r="Z19" s="929" t="n"/>
      <c r="AA19" s="929" t="n"/>
      <c r="AB19" s="929" t="n"/>
      <c r="AC19" s="929" t="n"/>
      <c r="AD19" s="929" t="n"/>
      <c r="AE19" s="929" t="n"/>
      <c r="AF19" s="929" t="n"/>
      <c r="AG19" s="929" t="n"/>
      <c r="AH19" s="929" t="n"/>
      <c r="AI19" s="929" t="n"/>
      <c r="AJ19" s="929" t="n"/>
      <c r="AK19" s="929" t="n"/>
      <c r="AL19" s="929" t="n"/>
      <c r="AM19" s="929" t="n"/>
      <c r="AN19" s="929" t="n"/>
      <c r="AO19" s="929" t="n"/>
      <c r="AP19" s="929" t="n"/>
      <c r="AQ19" s="929" t="n"/>
      <c r="AR19" s="929" t="n"/>
      <c r="AS19" s="929" t="n"/>
      <c r="AT19" s="929" t="n"/>
      <c r="AU19" s="929" t="n"/>
      <c r="AV19" s="929" t="n"/>
      <c r="AW19" s="929" t="n"/>
      <c r="AX19" s="929" t="n"/>
      <c r="AY19" s="929" t="n"/>
      <c r="AZ19" s="929" t="n"/>
      <c r="BA19" s="929" t="n"/>
      <c r="BB19" s="929" t="n"/>
      <c r="BC19" s="929" t="n"/>
      <c r="BD19" s="929" t="n"/>
      <c r="BE19" s="929" t="n"/>
      <c r="BF19" s="929" t="n"/>
      <c r="BG19" s="929" t="n"/>
      <c r="BH19" s="929" t="n"/>
      <c r="BI19" s="929" t="n"/>
      <c r="BJ19" s="929" t="n"/>
      <c r="BK19" s="929" t="n"/>
      <c r="BL19" s="929" t="n"/>
      <c r="BM19" s="929" t="n"/>
      <c r="BN19" s="929" t="n"/>
      <c r="BO19" s="929" t="n"/>
      <c r="BP19" s="929" t="n"/>
      <c r="BQ19" s="929" t="n"/>
      <c r="BR19" s="929" t="n"/>
      <c r="BS19" s="929" t="n"/>
      <c r="BT19" s="929" t="n"/>
      <c r="BU19" s="929" t="n"/>
      <c r="BV19" s="929" t="n"/>
      <c r="BW19" s="929" t="n"/>
      <c r="BX19" s="929" t="n"/>
      <c r="BY19" s="929" t="n"/>
      <c r="BZ19" s="929" t="n"/>
      <c r="CA19" s="929" t="n"/>
      <c r="CB19" s="929" t="n"/>
      <c r="CC19" s="929" t="n"/>
      <c r="CD19" s="929" t="n"/>
      <c r="CE19" s="929" t="n"/>
      <c r="CF19" s="929" t="n"/>
      <c r="CG19" s="929" t="n"/>
      <c r="CH19" s="929" t="n"/>
      <c r="CI19" s="929" t="n"/>
      <c r="CJ19" s="929" t="n"/>
      <c r="CK19" s="929" t="n"/>
      <c r="CL19" s="929" t="n"/>
      <c r="CM19" s="929" t="n"/>
      <c r="CN19" s="929" t="n"/>
      <c r="CO19" s="929" t="n"/>
      <c r="CP19" s="929" t="n"/>
      <c r="CQ19" s="929" t="n"/>
      <c r="CR19" s="929" t="n"/>
      <c r="CS19" s="929" t="n"/>
      <c r="CT19" s="929" t="n"/>
      <c r="CU19" s="929" t="n"/>
      <c r="CV19" s="929" t="n"/>
      <c r="CW19" s="929" t="n"/>
      <c r="CX19" s="929" t="n"/>
      <c r="CY19" s="929" t="n"/>
      <c r="CZ19" s="929" t="n"/>
      <c r="DA19" s="928" t="n"/>
      <c r="DB19" s="928" t="n"/>
      <c r="DC19" s="928" t="n"/>
      <c r="DD19" s="928" t="n"/>
      <c r="DE19" s="928" t="n"/>
      <c r="DF19" s="928" t="n"/>
      <c r="DG19" s="928" t="n"/>
      <c r="DH19" s="928" t="n"/>
      <c r="DI19" s="928" t="n"/>
    </row>
    <row r="20">
      <c r="B20" s="930" t="n"/>
      <c r="C20" s="927" t="inlineStr">
        <is>
          <t>連帯保証解除等</t>
        </is>
      </c>
      <c r="D20" s="929" t="n"/>
      <c r="E20" s="929" t="n"/>
      <c r="F20" s="929" t="n"/>
      <c r="G20" s="929" t="n"/>
      <c r="H20" s="929" t="n"/>
      <c r="I20" s="929" t="n"/>
      <c r="J20" s="929" t="n"/>
      <c r="K20" s="929" t="n"/>
      <c r="L20" s="929" t="n"/>
      <c r="M20" s="929" t="n"/>
      <c r="N20" s="929" t="n"/>
      <c r="O20" s="929" t="n"/>
      <c r="P20" s="929" t="n"/>
      <c r="Q20" s="929" t="n"/>
      <c r="R20" s="929" t="n"/>
      <c r="S20" s="929" t="n"/>
      <c r="T20" s="929" t="n"/>
      <c r="U20" s="929" t="n"/>
      <c r="V20" s="929" t="n"/>
      <c r="W20" s="929" t="n"/>
      <c r="X20" s="929" t="n"/>
      <c r="Y20" s="929" t="n"/>
      <c r="Z20" s="929" t="n"/>
      <c r="AA20" s="929" t="n"/>
      <c r="AB20" s="929" t="n"/>
      <c r="AC20" s="929" t="n"/>
      <c r="AD20" s="929" t="n"/>
      <c r="AE20" s="929" t="n"/>
      <c r="AF20" s="929" t="n"/>
      <c r="AG20" s="929" t="n"/>
      <c r="AH20" s="929" t="n"/>
      <c r="AI20" s="929" t="n"/>
      <c r="AJ20" s="929" t="n"/>
      <c r="AK20" s="929" t="n"/>
      <c r="AL20" s="929" t="n"/>
      <c r="AM20" s="929" t="n"/>
      <c r="AN20" s="929" t="n"/>
      <c r="AO20" s="929" t="n"/>
      <c r="AP20" s="929" t="n"/>
      <c r="AQ20" s="929" t="n"/>
      <c r="AR20" s="929" t="n"/>
      <c r="AS20" s="929" t="n"/>
      <c r="AT20" s="929" t="n"/>
      <c r="AU20" s="929" t="n"/>
      <c r="AV20" s="929" t="n"/>
      <c r="AW20" s="929" t="n"/>
      <c r="AX20" s="929" t="n"/>
      <c r="AY20" s="929" t="n"/>
      <c r="AZ20" s="929" t="n"/>
      <c r="BA20" s="929" t="n"/>
      <c r="BB20" s="929" t="n"/>
      <c r="BC20" s="929" t="n"/>
      <c r="BD20" s="929" t="n"/>
      <c r="BE20" s="929" t="n"/>
      <c r="BF20" s="929" t="n"/>
      <c r="BG20" s="929" t="n"/>
      <c r="BH20" s="929" t="n"/>
      <c r="BI20" s="929" t="n"/>
      <c r="BJ20" s="929" t="n"/>
      <c r="BK20" s="929" t="n"/>
      <c r="BL20" s="929" t="n"/>
      <c r="BM20" s="929" t="n"/>
      <c r="BN20" s="929" t="n"/>
      <c r="BO20" s="929" t="n"/>
      <c r="BP20" s="929" t="n"/>
      <c r="BQ20" s="929" t="n"/>
      <c r="BR20" s="929" t="n"/>
      <c r="BS20" s="929" t="n"/>
      <c r="BT20" s="929" t="n"/>
      <c r="BU20" s="929" t="n"/>
      <c r="BV20" s="929" t="n"/>
      <c r="BW20" s="929" t="n"/>
      <c r="BX20" s="929" t="n"/>
      <c r="BY20" s="929" t="n"/>
      <c r="BZ20" s="929" t="n"/>
      <c r="CA20" s="929" t="n"/>
      <c r="CB20" s="929" t="n"/>
      <c r="CC20" s="929" t="n"/>
      <c r="CD20" s="929" t="n"/>
      <c r="CE20" s="929" t="n"/>
      <c r="CF20" s="929" t="n"/>
      <c r="CG20" s="929" t="n"/>
      <c r="CH20" s="929" t="n"/>
      <c r="CI20" s="929" t="n"/>
      <c r="CJ20" s="929" t="n"/>
      <c r="CK20" s="929" t="n"/>
      <c r="CL20" s="929" t="n"/>
      <c r="CM20" s="929" t="n"/>
      <c r="CN20" s="929" t="n"/>
      <c r="CO20" s="929" t="n"/>
      <c r="CP20" s="929" t="n"/>
      <c r="CQ20" s="929" t="n"/>
      <c r="CR20" s="929" t="n"/>
      <c r="CS20" s="929" t="n"/>
      <c r="CT20" s="929" t="n"/>
      <c r="CU20" s="929" t="n"/>
      <c r="CV20" s="929" t="n"/>
      <c r="CW20" s="929" t="n"/>
      <c r="CX20" s="929" t="n"/>
      <c r="CY20" s="929" t="n"/>
      <c r="CZ20" s="929" t="n"/>
      <c r="DA20" s="928" t="n"/>
      <c r="DB20" s="928" t="n"/>
      <c r="DC20" s="928" t="n"/>
      <c r="DD20" s="928" t="n"/>
      <c r="DE20" s="928" t="n"/>
      <c r="DF20" s="928" t="n"/>
      <c r="DG20" s="928" t="n"/>
      <c r="DH20" s="928" t="n"/>
      <c r="DI20" s="928" t="n"/>
    </row>
    <row r="21">
      <c r="B21" s="931" t="n"/>
      <c r="C21" s="934" t="inlineStr">
        <is>
          <t>PMI・グループ連携</t>
        </is>
      </c>
      <c r="D21" s="929" t="n"/>
      <c r="E21" s="929" t="n"/>
      <c r="F21" s="929" t="n"/>
      <c r="G21" s="929" t="n"/>
      <c r="H21" s="929" t="n"/>
      <c r="I21" s="929" t="n"/>
      <c r="J21" s="929" t="n"/>
      <c r="K21" s="929" t="n"/>
      <c r="L21" s="929" t="n"/>
      <c r="M21" s="929" t="n"/>
      <c r="N21" s="929" t="n"/>
      <c r="O21" s="929" t="n"/>
      <c r="P21" s="929" t="n"/>
      <c r="Q21" s="929" t="n"/>
      <c r="R21" s="929" t="n"/>
      <c r="S21" s="929" t="n"/>
      <c r="T21" s="929" t="n"/>
      <c r="U21" s="929" t="n"/>
      <c r="V21" s="929" t="n"/>
      <c r="W21" s="929" t="n"/>
      <c r="X21" s="929" t="n"/>
      <c r="Y21" s="929" t="n"/>
      <c r="Z21" s="929" t="n"/>
      <c r="AA21" s="929" t="n"/>
      <c r="AB21" s="929" t="n"/>
      <c r="AC21" s="929" t="n"/>
      <c r="AD21" s="929" t="n"/>
      <c r="AE21" s="929" t="n"/>
      <c r="AF21" s="929" t="n"/>
      <c r="AG21" s="929" t="n"/>
      <c r="AH21" s="929" t="n"/>
      <c r="AI21" s="929" t="n"/>
      <c r="AJ21" s="929" t="n"/>
      <c r="AK21" s="929" t="n"/>
      <c r="AL21" s="929" t="n"/>
      <c r="AM21" s="929" t="n"/>
      <c r="AN21" s="929" t="n"/>
      <c r="AO21" s="929" t="n"/>
      <c r="AP21" s="929" t="n"/>
      <c r="AQ21" s="929" t="n"/>
      <c r="AR21" s="929" t="n"/>
      <c r="AS21" s="929" t="n"/>
      <c r="AT21" s="929" t="n"/>
      <c r="AU21" s="929" t="n"/>
      <c r="AV21" s="929" t="n"/>
      <c r="AW21" s="929" t="n"/>
      <c r="AX21" s="929" t="n"/>
      <c r="AY21" s="929" t="n"/>
      <c r="AZ21" s="929" t="n"/>
      <c r="BA21" s="929" t="n"/>
      <c r="BB21" s="929" t="n"/>
      <c r="BC21" s="929" t="n"/>
      <c r="BD21" s="929" t="n"/>
      <c r="BE21" s="929" t="n"/>
      <c r="BF21" s="929" t="n"/>
      <c r="BG21" s="929" t="n"/>
      <c r="BH21" s="929" t="n"/>
      <c r="BI21" s="929" t="n"/>
      <c r="BJ21" s="929" t="n"/>
      <c r="BK21" s="929" t="n"/>
      <c r="BL21" s="929" t="n"/>
      <c r="BM21" s="929" t="n"/>
      <c r="BN21" s="929" t="n"/>
      <c r="BO21" s="929" t="n"/>
      <c r="BP21" s="929" t="n"/>
      <c r="BQ21" s="929" t="n"/>
      <c r="BR21" s="929" t="n"/>
      <c r="BS21" s="929" t="n"/>
      <c r="BT21" s="929" t="n"/>
      <c r="BU21" s="929" t="n"/>
      <c r="BV21" s="929" t="n"/>
      <c r="BW21" s="929" t="n"/>
      <c r="BX21" s="929" t="n"/>
      <c r="BY21" s="929" t="n"/>
      <c r="BZ21" s="929" t="n"/>
      <c r="CA21" s="929" t="n"/>
      <c r="CB21" s="929" t="n"/>
      <c r="CC21" s="929" t="n"/>
      <c r="CD21" s="929" t="n"/>
      <c r="CE21" s="929" t="n"/>
      <c r="CF21" s="929" t="n"/>
      <c r="CG21" s="929" t="n"/>
      <c r="CH21" s="929" t="n"/>
      <c r="CI21" s="929" t="n"/>
      <c r="CJ21" s="929" t="n"/>
      <c r="CK21" s="929" t="n"/>
      <c r="CL21" s="929" t="n"/>
      <c r="CM21" s="929" t="n"/>
      <c r="CN21" s="929" t="n"/>
      <c r="CO21" s="929" t="n"/>
      <c r="CP21" s="929" t="n"/>
      <c r="CQ21" s="929" t="n"/>
      <c r="CR21" s="929" t="n"/>
      <c r="CS21" s="929" t="n"/>
      <c r="CT21" s="929" t="n"/>
      <c r="CU21" s="929" t="n"/>
      <c r="CV21" s="929" t="n"/>
      <c r="CW21" s="929" t="n"/>
      <c r="CX21" s="929" t="n"/>
      <c r="CY21" s="929" t="n"/>
      <c r="CZ21" s="929" t="n"/>
      <c r="DA21" s="928" t="n"/>
      <c r="DB21" s="928" t="n"/>
      <c r="DC21" s="928" t="n"/>
      <c r="DD21" s="928" t="n"/>
      <c r="DE21" s="928" t="n"/>
      <c r="DF21" s="928" t="n"/>
      <c r="DG21" s="928" t="n"/>
      <c r="DH21" s="928" t="n"/>
      <c r="DI21" s="928" t="n"/>
      <c r="DK21" s="935" t="inlineStr">
        <is>
          <t>●</t>
        </is>
      </c>
      <c r="DL21" s="500" t="inlineStr">
        <is>
          <t>報酬発生</t>
        </is>
      </c>
    </row>
    <row r="22">
      <c r="B22" s="934" t="n"/>
      <c r="C22" s="934" t="n"/>
      <c r="D22" s="929" t="n"/>
      <c r="E22" s="929" t="n"/>
      <c r="F22" s="929" t="n"/>
      <c r="G22" s="929" t="n"/>
      <c r="H22" s="929" t="n"/>
      <c r="I22" s="929" t="n"/>
      <c r="J22" s="929" t="n"/>
      <c r="K22" s="929" t="n"/>
      <c r="L22" s="929" t="n"/>
      <c r="M22" s="929" t="n"/>
      <c r="N22" s="929" t="n"/>
      <c r="O22" s="929" t="n"/>
      <c r="P22" s="929" t="n"/>
      <c r="Q22" s="929" t="n"/>
      <c r="R22" s="929" t="n"/>
      <c r="S22" s="929" t="n"/>
      <c r="T22" s="929" t="n"/>
      <c r="U22" s="929" t="n"/>
      <c r="V22" s="929" t="n"/>
      <c r="W22" s="929" t="n"/>
      <c r="X22" s="929" t="n"/>
      <c r="Y22" s="929" t="n"/>
      <c r="Z22" s="929" t="n"/>
      <c r="AA22" s="929" t="n"/>
      <c r="AB22" s="929" t="n"/>
      <c r="AC22" s="929" t="n"/>
      <c r="AD22" s="929" t="n"/>
      <c r="AE22" s="929" t="n"/>
      <c r="AF22" s="929" t="n"/>
      <c r="AG22" s="929" t="n"/>
      <c r="AH22" s="929" t="n"/>
      <c r="AI22" s="929" t="n"/>
      <c r="AJ22" s="929" t="n"/>
      <c r="AK22" s="929" t="n"/>
      <c r="AL22" s="929" t="n"/>
      <c r="AM22" s="929" t="n"/>
      <c r="AN22" s="929" t="n"/>
      <c r="AO22" s="929" t="n"/>
      <c r="AP22" s="929" t="n"/>
      <c r="AQ22" s="929" t="n"/>
      <c r="AR22" s="929" t="n"/>
      <c r="AS22" s="929" t="n"/>
      <c r="AT22" s="929" t="n"/>
      <c r="AU22" s="929" t="n"/>
      <c r="AV22" s="929" t="n"/>
      <c r="AW22" s="929" t="n"/>
      <c r="AX22" s="929" t="n"/>
      <c r="AY22" s="929" t="n"/>
      <c r="AZ22" s="929" t="n"/>
      <c r="BA22" s="929" t="n"/>
      <c r="BB22" s="929" t="n"/>
      <c r="BC22" s="929" t="n"/>
      <c r="BD22" s="929" t="n"/>
      <c r="BE22" s="929" t="n"/>
      <c r="BF22" s="929" t="n"/>
      <c r="BG22" s="929" t="n"/>
      <c r="BH22" s="929" t="n"/>
      <c r="BI22" s="929" t="n"/>
      <c r="BJ22" s="929" t="n"/>
      <c r="BK22" s="929" t="n"/>
      <c r="BL22" s="929" t="n"/>
      <c r="BM22" s="929" t="n"/>
      <c r="BN22" s="929" t="n"/>
      <c r="BO22" s="929" t="n"/>
      <c r="BP22" s="929" t="n"/>
      <c r="BQ22" s="929" t="n"/>
      <c r="BR22" s="929" t="n"/>
      <c r="BS22" s="929" t="n"/>
      <c r="BT22" s="929" t="n"/>
      <c r="BU22" s="929" t="n"/>
      <c r="BV22" s="929" t="n"/>
      <c r="BW22" s="929" t="n"/>
      <c r="BX22" s="929" t="n"/>
      <c r="BY22" s="929" t="n"/>
      <c r="BZ22" s="929" t="n"/>
      <c r="CA22" s="929" t="n"/>
      <c r="CB22" s="929" t="n"/>
      <c r="CC22" s="929" t="n"/>
      <c r="CD22" s="929" t="n"/>
      <c r="CE22" s="929" t="n"/>
      <c r="CF22" s="929" t="n"/>
      <c r="CG22" s="929" t="n"/>
      <c r="CH22" s="929" t="n"/>
      <c r="CI22" s="929" t="n"/>
      <c r="CJ22" s="929" t="n"/>
      <c r="CK22" s="929" t="n"/>
      <c r="CL22" s="929" t="n"/>
      <c r="CM22" s="929" t="n"/>
      <c r="CN22" s="929" t="n"/>
      <c r="CO22" s="929" t="n"/>
      <c r="CP22" s="929" t="n"/>
      <c r="CQ22" s="929" t="n"/>
      <c r="CR22" s="929" t="n"/>
      <c r="CS22" s="929" t="n"/>
      <c r="CT22" s="929" t="n"/>
      <c r="CU22" s="929" t="n"/>
      <c r="CV22" s="929" t="n"/>
      <c r="CW22" s="929" t="n"/>
      <c r="CX22" s="929" t="n"/>
      <c r="CY22" s="929" t="n"/>
      <c r="CZ22" s="929" t="n"/>
      <c r="DA22" s="929" t="n"/>
      <c r="DB22" s="929" t="n"/>
      <c r="DC22" s="929" t="n"/>
      <c r="DD22" s="929" t="n"/>
      <c r="DE22" s="929" t="n"/>
      <c r="DF22" s="929" t="n"/>
      <c r="DG22" s="929" t="n"/>
      <c r="DH22" s="929" t="n"/>
      <c r="DI22" s="929" t="n"/>
    </row>
    <row r="23">
      <c r="B23" s="934" t="n"/>
      <c r="C23" s="934" t="n"/>
      <c r="D23" s="929" t="n"/>
      <c r="E23" s="929" t="n"/>
      <c r="F23" s="929" t="n"/>
      <c r="G23" s="929" t="n"/>
      <c r="H23" s="929" t="n"/>
      <c r="I23" s="929" t="n"/>
      <c r="J23" s="929" t="n"/>
      <c r="K23" s="929" t="n"/>
      <c r="L23" s="929" t="n"/>
      <c r="M23" s="929" t="n"/>
      <c r="N23" s="929" t="n"/>
      <c r="O23" s="929" t="n"/>
      <c r="P23" s="929" t="n"/>
      <c r="Q23" s="929" t="n"/>
      <c r="R23" s="929" t="n"/>
      <c r="S23" s="929" t="n"/>
      <c r="T23" s="929" t="n"/>
      <c r="U23" s="929" t="n"/>
      <c r="V23" s="929" t="n"/>
      <c r="W23" s="929" t="n"/>
      <c r="X23" s="929" t="n"/>
      <c r="Y23" s="929" t="n"/>
      <c r="Z23" s="929" t="n"/>
      <c r="AA23" s="929" t="n"/>
      <c r="AB23" s="929" t="n"/>
      <c r="AC23" s="929" t="n"/>
      <c r="AD23" s="929" t="n"/>
      <c r="AE23" s="929" t="n"/>
      <c r="AF23" s="929" t="n"/>
      <c r="AG23" s="929" t="n"/>
      <c r="AH23" s="929" t="n"/>
      <c r="AI23" s="929" t="n"/>
      <c r="AJ23" s="929" t="n"/>
      <c r="AK23" s="929" t="n"/>
      <c r="AL23" s="929" t="n"/>
      <c r="AM23" s="929" t="n"/>
      <c r="AN23" s="929" t="n"/>
      <c r="AO23" s="929" t="n"/>
      <c r="AP23" s="929" t="n"/>
      <c r="AQ23" s="929" t="n"/>
      <c r="AR23" s="929" t="n"/>
      <c r="AS23" s="929" t="n"/>
      <c r="AT23" s="929" t="n"/>
      <c r="AU23" s="929" t="n"/>
      <c r="AV23" s="929" t="n"/>
      <c r="AW23" s="929" t="n"/>
      <c r="AX23" s="929" t="n"/>
      <c r="AY23" s="929" t="n"/>
      <c r="AZ23" s="929" t="n"/>
      <c r="BA23" s="929" t="n"/>
      <c r="BB23" s="929" t="n"/>
      <c r="BC23" s="929" t="n"/>
      <c r="BD23" s="929" t="n"/>
      <c r="BE23" s="929" t="n"/>
      <c r="BF23" s="929" t="n"/>
      <c r="BG23" s="929" t="n"/>
      <c r="BH23" s="929" t="n"/>
      <c r="BI23" s="929" t="n"/>
      <c r="BJ23" s="929" t="n"/>
      <c r="BK23" s="929" t="n"/>
      <c r="BL23" s="929" t="n"/>
      <c r="BM23" s="929" t="n"/>
      <c r="BN23" s="929" t="n"/>
      <c r="BO23" s="929" t="n"/>
      <c r="BP23" s="929" t="n"/>
      <c r="BQ23" s="929" t="n"/>
      <c r="BR23" s="929" t="n"/>
      <c r="BS23" s="929" t="n"/>
      <c r="BT23" s="929" t="n"/>
      <c r="BU23" s="929" t="n"/>
      <c r="BV23" s="929" t="n"/>
      <c r="BW23" s="929" t="n"/>
      <c r="BX23" s="929" t="n"/>
      <c r="BY23" s="929" t="n"/>
      <c r="BZ23" s="929" t="n"/>
      <c r="CA23" s="929" t="n"/>
      <c r="CB23" s="929" t="n"/>
      <c r="CC23" s="929" t="n"/>
      <c r="CD23" s="929" t="n"/>
      <c r="CE23" s="929" t="n"/>
      <c r="CF23" s="929" t="n"/>
      <c r="CG23" s="929" t="n"/>
      <c r="CH23" s="929" t="n"/>
      <c r="CI23" s="929" t="n"/>
      <c r="CJ23" s="929" t="n"/>
      <c r="CK23" s="929" t="n"/>
      <c r="CL23" s="929" t="n"/>
      <c r="CM23" s="929" t="n"/>
      <c r="CN23" s="929" t="n"/>
      <c r="CO23" s="929" t="n"/>
      <c r="CP23" s="929" t="n"/>
      <c r="CQ23" s="929" t="n"/>
      <c r="CR23" s="929" t="n"/>
      <c r="CS23" s="929" t="n"/>
      <c r="CT23" s="929" t="n"/>
      <c r="CU23" s="929" t="n"/>
      <c r="CV23" s="929" t="n"/>
      <c r="CW23" s="929" t="n"/>
      <c r="CX23" s="929" t="n"/>
      <c r="CY23" s="929" t="n"/>
      <c r="CZ23" s="929" t="n"/>
      <c r="DA23" s="929" t="n"/>
      <c r="DB23" s="929" t="n"/>
      <c r="DC23" s="929" t="n"/>
      <c r="DD23" s="929" t="n"/>
      <c r="DE23" s="929" t="n"/>
      <c r="DF23" s="929" t="n"/>
      <c r="DG23" s="929" t="n"/>
      <c r="DH23" s="929" t="n"/>
      <c r="DI23" s="929" t="n"/>
    </row>
    <row r="24">
      <c r="B24" s="934" t="n"/>
      <c r="C24" s="934" t="n"/>
      <c r="D24" s="929" t="n"/>
      <c r="E24" s="929" t="n"/>
      <c r="F24" s="929" t="n"/>
      <c r="G24" s="929" t="n"/>
      <c r="H24" s="929" t="n"/>
      <c r="I24" s="929" t="n"/>
      <c r="J24" s="929" t="n"/>
      <c r="K24" s="929" t="n"/>
      <c r="L24" s="929" t="n"/>
      <c r="M24" s="929" t="n"/>
      <c r="N24" s="929" t="n"/>
      <c r="O24" s="929" t="n"/>
      <c r="P24" s="929" t="n"/>
      <c r="Q24" s="929" t="n"/>
      <c r="R24" s="929" t="n"/>
      <c r="S24" s="929" t="n"/>
      <c r="T24" s="929" t="n"/>
      <c r="U24" s="929" t="n"/>
      <c r="V24" s="929" t="n"/>
      <c r="W24" s="929" t="n"/>
      <c r="X24" s="929" t="n"/>
      <c r="Y24" s="929" t="n"/>
      <c r="Z24" s="929" t="n"/>
      <c r="AA24" s="929" t="n"/>
      <c r="AB24" s="929" t="n"/>
      <c r="AC24" s="929" t="n"/>
      <c r="AD24" s="929" t="n"/>
      <c r="AE24" s="929" t="n"/>
      <c r="AF24" s="929" t="n"/>
      <c r="AG24" s="929" t="n"/>
      <c r="AH24" s="929" t="n"/>
      <c r="AI24" s="929" t="n"/>
      <c r="AJ24" s="929" t="n"/>
      <c r="AK24" s="929" t="n"/>
      <c r="AL24" s="929" t="n"/>
      <c r="AM24" s="929" t="n"/>
      <c r="AN24" s="929" t="n"/>
      <c r="AO24" s="929" t="n"/>
      <c r="AP24" s="929" t="n"/>
      <c r="AQ24" s="929" t="n"/>
      <c r="AR24" s="929" t="n"/>
      <c r="AS24" s="929" t="n"/>
      <c r="AT24" s="929" t="n"/>
      <c r="AU24" s="929" t="n"/>
      <c r="AV24" s="929" t="n"/>
      <c r="AW24" s="929" t="n"/>
      <c r="AX24" s="929" t="n"/>
      <c r="AY24" s="929" t="n"/>
      <c r="AZ24" s="929" t="n"/>
      <c r="BA24" s="929" t="n"/>
      <c r="BB24" s="929" t="n"/>
      <c r="BC24" s="929" t="n"/>
      <c r="BD24" s="929" t="n"/>
      <c r="BE24" s="929" t="n"/>
      <c r="BF24" s="929" t="n"/>
      <c r="BG24" s="929" t="n"/>
      <c r="BH24" s="929" t="n"/>
      <c r="BI24" s="929" t="n"/>
      <c r="BJ24" s="929" t="n"/>
      <c r="BK24" s="929" t="n"/>
      <c r="BL24" s="929" t="n"/>
      <c r="BM24" s="929" t="n"/>
      <c r="BN24" s="929" t="n"/>
      <c r="BO24" s="929" t="n"/>
      <c r="BP24" s="929" t="n"/>
      <c r="BQ24" s="929" t="n"/>
      <c r="BR24" s="929" t="n"/>
      <c r="BS24" s="929" t="n"/>
      <c r="BT24" s="929" t="n"/>
      <c r="BU24" s="929" t="n"/>
      <c r="BV24" s="929" t="n"/>
      <c r="BW24" s="929" t="n"/>
      <c r="BX24" s="929" t="n"/>
      <c r="BY24" s="929" t="n"/>
      <c r="BZ24" s="929" t="n"/>
      <c r="CA24" s="929" t="n"/>
      <c r="CB24" s="929" t="n"/>
      <c r="CC24" s="929" t="n"/>
      <c r="CD24" s="929" t="n"/>
      <c r="CE24" s="929" t="n"/>
      <c r="CF24" s="929" t="n"/>
      <c r="CG24" s="929" t="n"/>
      <c r="CH24" s="929" t="n"/>
      <c r="CI24" s="929" t="n"/>
      <c r="CJ24" s="929" t="n"/>
      <c r="CK24" s="929" t="n"/>
      <c r="CL24" s="929" t="n"/>
      <c r="CM24" s="929" t="n"/>
      <c r="CN24" s="929" t="n"/>
      <c r="CO24" s="929" t="n"/>
      <c r="CP24" s="929" t="n"/>
      <c r="CQ24" s="929" t="n"/>
      <c r="CR24" s="929" t="n"/>
      <c r="CS24" s="929" t="n"/>
      <c r="CT24" s="929" t="n"/>
      <c r="CU24" s="929" t="n"/>
      <c r="CV24" s="929" t="n"/>
      <c r="CW24" s="929" t="n"/>
      <c r="CX24" s="929" t="n"/>
      <c r="CY24" s="929" t="n"/>
      <c r="CZ24" s="929" t="n"/>
      <c r="DA24" s="929" t="n"/>
      <c r="DB24" s="929" t="n"/>
      <c r="DC24" s="929" t="n"/>
      <c r="DD24" s="929" t="n"/>
      <c r="DE24" s="929" t="n"/>
      <c r="DF24" s="929" t="n"/>
      <c r="DG24" s="929" t="n"/>
      <c r="DH24" s="929" t="n"/>
      <c r="DI24" s="929" t="n"/>
    </row>
    <row r="25">
      <c r="B25" s="934" t="n"/>
      <c r="C25" s="934" t="n"/>
      <c r="D25" s="929" t="n"/>
      <c r="E25" s="929" t="n"/>
      <c r="F25" s="929" t="n"/>
      <c r="G25" s="929" t="n"/>
      <c r="H25" s="929" t="n"/>
      <c r="I25" s="929" t="n"/>
      <c r="J25" s="929" t="n"/>
      <c r="K25" s="929" t="n"/>
      <c r="L25" s="929" t="n"/>
      <c r="M25" s="929" t="n"/>
      <c r="N25" s="929" t="n"/>
      <c r="O25" s="929" t="n"/>
      <c r="P25" s="929" t="n"/>
      <c r="Q25" s="929" t="n"/>
      <c r="R25" s="929" t="n"/>
      <c r="S25" s="929" t="n"/>
      <c r="T25" s="929" t="n"/>
      <c r="U25" s="929" t="n"/>
      <c r="V25" s="929" t="n"/>
      <c r="W25" s="929" t="n"/>
      <c r="X25" s="929" t="n"/>
      <c r="Y25" s="929" t="n"/>
      <c r="Z25" s="929" t="n"/>
      <c r="AA25" s="929" t="n"/>
      <c r="AB25" s="929" t="n"/>
      <c r="AC25" s="929" t="n"/>
      <c r="AD25" s="929" t="n"/>
      <c r="AE25" s="929" t="n"/>
      <c r="AF25" s="929" t="n"/>
      <c r="AG25" s="929" t="n"/>
      <c r="AH25" s="929" t="n"/>
      <c r="AI25" s="929" t="n"/>
      <c r="AJ25" s="929" t="n"/>
      <c r="AK25" s="929" t="n"/>
      <c r="AL25" s="929" t="n"/>
      <c r="AM25" s="929" t="n"/>
      <c r="AN25" s="929" t="n"/>
      <c r="AO25" s="929" t="n"/>
      <c r="AP25" s="929" t="n"/>
      <c r="AQ25" s="929" t="n"/>
      <c r="AR25" s="929" t="n"/>
      <c r="AS25" s="929" t="n"/>
      <c r="AT25" s="929" t="n"/>
      <c r="AU25" s="929" t="n"/>
      <c r="AV25" s="929" t="n"/>
      <c r="AW25" s="929" t="n"/>
      <c r="AX25" s="929" t="n"/>
      <c r="AY25" s="929" t="n"/>
      <c r="AZ25" s="929" t="n"/>
      <c r="BA25" s="929" t="n"/>
      <c r="BB25" s="929" t="n"/>
      <c r="BC25" s="929" t="n"/>
      <c r="BD25" s="929" t="n"/>
      <c r="BE25" s="929" t="n"/>
      <c r="BF25" s="929" t="n"/>
      <c r="BG25" s="929" t="n"/>
      <c r="BH25" s="929" t="n"/>
      <c r="BI25" s="929" t="n"/>
      <c r="BJ25" s="929" t="n"/>
      <c r="BK25" s="929" t="n"/>
      <c r="BL25" s="929" t="n"/>
      <c r="BM25" s="929" t="n"/>
      <c r="BN25" s="929" t="n"/>
      <c r="BO25" s="929" t="n"/>
      <c r="BP25" s="929" t="n"/>
      <c r="BQ25" s="929" t="n"/>
      <c r="BR25" s="929" t="n"/>
      <c r="BS25" s="929" t="n"/>
      <c r="BT25" s="929" t="n"/>
      <c r="BU25" s="929" t="n"/>
      <c r="BV25" s="929" t="n"/>
      <c r="BW25" s="929" t="n"/>
      <c r="BX25" s="929" t="n"/>
      <c r="BY25" s="929" t="n"/>
      <c r="BZ25" s="929" t="n"/>
      <c r="CA25" s="929" t="n"/>
      <c r="CB25" s="929" t="n"/>
      <c r="CC25" s="929" t="n"/>
      <c r="CD25" s="929" t="n"/>
      <c r="CE25" s="929" t="n"/>
      <c r="CF25" s="929" t="n"/>
      <c r="CG25" s="929" t="n"/>
      <c r="CH25" s="929" t="n"/>
      <c r="CI25" s="929" t="n"/>
      <c r="CJ25" s="929" t="n"/>
      <c r="CK25" s="929" t="n"/>
      <c r="CL25" s="929" t="n"/>
      <c r="CM25" s="929" t="n"/>
      <c r="CN25" s="929" t="n"/>
      <c r="CO25" s="929" t="n"/>
      <c r="CP25" s="929" t="n"/>
      <c r="CQ25" s="929" t="n"/>
      <c r="CR25" s="929" t="n"/>
      <c r="CS25" s="929" t="n"/>
      <c r="CT25" s="929" t="n"/>
      <c r="CU25" s="929" t="n"/>
      <c r="CV25" s="929" t="n"/>
      <c r="CW25" s="929" t="n"/>
      <c r="CX25" s="929" t="n"/>
      <c r="CY25" s="929" t="n"/>
      <c r="CZ25" s="929" t="n"/>
      <c r="DA25" s="929" t="n"/>
      <c r="DB25" s="929" t="n"/>
      <c r="DC25" s="929" t="n"/>
      <c r="DD25" s="929" t="n"/>
      <c r="DE25" s="929" t="n"/>
      <c r="DF25" s="929" t="n"/>
      <c r="DG25" s="929" t="n"/>
      <c r="DH25" s="929" t="n"/>
      <c r="DI25" s="929" t="n"/>
    </row>
    <row r="28">
      <c r="C28" s="936" t="n"/>
    </row>
    <row r="29">
      <c r="C29" s="937" t="n"/>
    </row>
  </sheetData>
  <mergeCells count="5">
    <mergeCell ref="B5:B8"/>
    <mergeCell ref="B14:B18"/>
    <mergeCell ref="B9:B13"/>
    <mergeCell ref="B19:B21"/>
    <mergeCell ref="B3:C4"/>
  </mergeCells>
  <pageMargins left="0.7" right="0.7" top="0.75" bottom="0.75" header="0.3" footer="0.3"/>
</worksheet>
</file>

<file path=xl/worksheets/sheet51.xml><?xml version="1.0" encoding="utf-8"?>
<worksheet xmlns="http://schemas.openxmlformats.org/spreadsheetml/2006/main">
  <sheetPr>
    <outlinePr summaryBelow="1" summaryRight="1"/>
    <pageSetUpPr/>
  </sheetPr>
  <dimension ref="A1:F337"/>
  <sheetViews>
    <sheetView showGridLines="0" workbookViewId="0">
      <pane ySplit="3" topLeftCell="A215" activePane="bottomLeft" state="frozen"/>
      <selection pane="bottomLeft" activeCell="E354" sqref="E354"/>
    </sheetView>
  </sheetViews>
  <sheetFormatPr baseColWidth="8" defaultColWidth="8.875" defaultRowHeight="18.75"/>
  <cols>
    <col width="8.375" customWidth="1" style="65" min="1" max="1"/>
    <col width="10.125" bestFit="1" customWidth="1" style="938" min="2" max="2"/>
    <col width="7.375" customWidth="1" style="939" min="3" max="3"/>
    <col width="30.625" customWidth="1" style="65" min="4" max="6"/>
    <col width="8.875" customWidth="1" style="65" min="7" max="16384"/>
  </cols>
  <sheetData>
    <row r="1" ht="9.6" customHeight="1" s="595">
      <c r="C1" s="504" t="n"/>
      <c r="D1" s="504" t="n"/>
      <c r="E1" s="504" t="n"/>
      <c r="F1" s="504" t="n"/>
    </row>
    <row r="2" ht="18" customHeight="1" s="595">
      <c r="A2" s="504" t="n"/>
      <c r="B2" s="505" t="inlineStr">
        <is>
          <t>スケジュール表</t>
        </is>
      </c>
      <c r="C2" s="504" t="n"/>
      <c r="D2" s="504" t="n"/>
      <c r="E2" s="504" t="n"/>
      <c r="F2" s="504" t="n"/>
    </row>
    <row r="3" ht="23.45" customHeight="1" s="595">
      <c r="B3" s="940" t="inlineStr">
        <is>
          <t>日付</t>
        </is>
      </c>
      <c r="C3" s="940" t="inlineStr">
        <is>
          <t>曜日</t>
        </is>
      </c>
      <c r="D3" s="511" t="inlineStr">
        <is>
          <t>【売主】　●●●様</t>
        </is>
      </c>
      <c r="E3" s="511" t="inlineStr">
        <is>
          <t>【買主】　●●●様</t>
        </is>
      </c>
      <c r="F3" s="511" t="inlineStr">
        <is>
          <t>M&amp;A承継機構</t>
        </is>
      </c>
    </row>
    <row r="4">
      <c r="A4" s="506" t="inlineStr">
        <is>
          <t>2025年</t>
        </is>
      </c>
      <c r="B4" s="941" t="n">
        <v>45931</v>
      </c>
      <c r="C4" s="941" t="str">
        <f>TEXT(B4,"aaa")</f>
        <v>Wed</v>
      </c>
      <c r="D4" s="513" t="inlineStr">
        <is>
          <t>本日　お打ち合わせ</t>
        </is>
      </c>
      <c r="E4" s="513" t="n"/>
      <c r="F4" s="513" t="n"/>
    </row>
    <row r="5">
      <c r="B5" s="927" t="str">
        <f>B4+1</f>
        <v>2025-10-02 00:00:00</v>
      </c>
      <c r="C5" s="927" t="str">
        <f>TEXT(B5,"aaa")</f>
        <v>Thu</v>
      </c>
      <c r="D5" s="515" t="n"/>
      <c r="E5" s="577" t="inlineStr">
        <is>
          <t>TOP面談準備</t>
        </is>
      </c>
      <c r="F5" s="515" t="n"/>
    </row>
    <row r="6">
      <c r="B6" s="927" t="str">
        <f>B5+1</f>
        <v>2025-10-03 00:00:00</v>
      </c>
      <c r="C6" s="927" t="str">
        <f>TEXT(B6,"aaa")</f>
        <v>Fri</v>
      </c>
      <c r="D6" s="515" t="n"/>
      <c r="E6" s="577" t="inlineStr">
        <is>
          <t>LOI内容検討</t>
        </is>
      </c>
      <c r="F6" s="579" t="inlineStr">
        <is>
          <t>LOIドラフト提示</t>
        </is>
      </c>
    </row>
    <row r="7" ht="18" customHeight="1" s="595">
      <c r="B7" s="942" t="str">
        <f>B6+1</f>
        <v>2025-10-04 00:00:00</v>
      </c>
      <c r="C7" s="942" t="str">
        <f>TEXT(B7,"aaa")</f>
        <v>Sat</v>
      </c>
      <c r="D7" s="515" t="n"/>
      <c r="E7" s="515" t="n"/>
      <c r="F7" s="515" t="n"/>
    </row>
    <row r="8">
      <c r="B8" s="943" t="str">
        <f>B7+1</f>
        <v>2025-10-05 00:00:00</v>
      </c>
      <c r="C8" s="943" t="str">
        <f>TEXT(B8,"aaa")</f>
        <v>Sun</v>
      </c>
      <c r="D8" s="515" t="n"/>
      <c r="E8" s="515" t="n"/>
      <c r="F8" s="515" t="n"/>
    </row>
    <row r="9">
      <c r="B9" s="927" t="str">
        <f>B8+1</f>
        <v>2025-10-06 00:00:00</v>
      </c>
      <c r="C9" s="927" t="str">
        <f>TEXT(B9,"aaa")</f>
        <v>Mon</v>
      </c>
      <c r="D9" s="515" t="n"/>
      <c r="E9" s="515" t="n"/>
      <c r="F9" s="515" t="n"/>
    </row>
    <row r="10">
      <c r="B10" s="927" t="str">
        <f>B9+1</f>
        <v>2025-10-07 00:00:00</v>
      </c>
      <c r="C10" s="927" t="str">
        <f>TEXT(B10,"aaa")</f>
        <v>Tue</v>
      </c>
      <c r="D10" s="515" t="n"/>
      <c r="E10" s="515" t="n"/>
      <c r="F10" s="515" t="n"/>
    </row>
    <row r="11">
      <c r="B11" s="927" t="str">
        <f>B10+1</f>
        <v>2025-10-08 00:00:00</v>
      </c>
      <c r="C11" s="927" t="str">
        <f>TEXT(B11,"aaa")</f>
        <v>Wed</v>
      </c>
      <c r="D11" s="579" t="inlineStr">
        <is>
          <t>TOP面談</t>
        </is>
      </c>
      <c r="E11" s="944" t="n"/>
      <c r="F11" s="945" t="n"/>
    </row>
    <row r="12">
      <c r="B12" s="927" t="str">
        <f>B11+1</f>
        <v>2025-10-09 00:00:00</v>
      </c>
      <c r="C12" s="927" t="str">
        <f>TEXT(B12,"aaa")</f>
        <v>Thu</v>
      </c>
      <c r="D12" s="515" t="n"/>
      <c r="E12" s="515" t="n"/>
      <c r="F12" s="515" t="n"/>
    </row>
    <row r="13">
      <c r="B13" s="927" t="str">
        <f>B12+1</f>
        <v>2025-10-10 00:00:00</v>
      </c>
      <c r="C13" s="927" t="str">
        <f>TEXT(B13,"aaa")</f>
        <v>Fri</v>
      </c>
      <c r="D13" s="515" t="n"/>
      <c r="E13" s="515" t="n"/>
      <c r="F13" s="515" t="n"/>
    </row>
    <row r="14" ht="18" customHeight="1" s="595">
      <c r="B14" s="942" t="str">
        <f>B13+1</f>
        <v>2025-10-11 00:00:00</v>
      </c>
      <c r="C14" s="942" t="str">
        <f>TEXT(B14,"aaa")</f>
        <v>Sat</v>
      </c>
      <c r="D14" s="515" t="n"/>
      <c r="E14" s="515" t="n"/>
      <c r="F14" s="515" t="n"/>
    </row>
    <row r="15">
      <c r="B15" s="943" t="str">
        <f>B14+1</f>
        <v>2025-10-12 00:00:00</v>
      </c>
      <c r="C15" s="943" t="str">
        <f>TEXT(B15,"aaa")</f>
        <v>Sun</v>
      </c>
      <c r="D15" s="515" t="n"/>
      <c r="E15" s="515" t="n"/>
      <c r="F15" s="515" t="n"/>
    </row>
    <row r="16">
      <c r="B16" s="946" t="str">
        <f>B15+1</f>
        <v>2025-10-13 00:00:00</v>
      </c>
      <c r="C16" s="946" t="str">
        <f>TEXT(B16,"aaa")</f>
        <v>Mon</v>
      </c>
      <c r="D16" s="515" t="n"/>
      <c r="E16" s="515" t="n"/>
      <c r="F16" s="515" t="n"/>
    </row>
    <row r="17">
      <c r="B17" s="927" t="str">
        <f>B16+1</f>
        <v>2025-10-14 00:00:00</v>
      </c>
      <c r="C17" s="927" t="str">
        <f>TEXT(B17,"aaa")</f>
        <v>Tue</v>
      </c>
      <c r="D17" s="515" t="n"/>
      <c r="E17" s="577" t="inlineStr">
        <is>
          <t>LOI提出</t>
        </is>
      </c>
      <c r="F17" s="515" t="n"/>
    </row>
    <row r="18">
      <c r="B18" s="927" t="str">
        <f>B17+1</f>
        <v>2025-10-15 00:00:00</v>
      </c>
      <c r="C18" s="927" t="str">
        <f>TEXT(B18,"aaa")</f>
        <v>Wed</v>
      </c>
      <c r="D18" s="515" t="n"/>
      <c r="E18" s="577" t="inlineStr">
        <is>
          <t>DDスコープ・依頼先検討</t>
        </is>
      </c>
      <c r="F18" s="515" t="n"/>
    </row>
    <row r="19">
      <c r="B19" s="927" t="str">
        <f>B18+1</f>
        <v>2025-10-16 00:00:00</v>
      </c>
      <c r="C19" s="927" t="str">
        <f>TEXT(B19,"aaa")</f>
        <v>Thu</v>
      </c>
      <c r="D19" s="515" t="n"/>
      <c r="E19" s="515" t="n"/>
      <c r="F19" s="515" t="n"/>
    </row>
    <row r="20">
      <c r="B20" s="927" t="str">
        <f>B19+1</f>
        <v>2025-10-17 00:00:00</v>
      </c>
      <c r="C20" s="927" t="str">
        <f>TEXT(B20,"aaa")</f>
        <v>Fri</v>
      </c>
      <c r="D20" s="577" t="inlineStr">
        <is>
          <t>LOI回答(独占交渉権付与)</t>
        </is>
      </c>
      <c r="E20" s="578" t="inlineStr">
        <is>
          <t>※独占交渉権獲得</t>
        </is>
      </c>
      <c r="F20" s="577" t="inlineStr">
        <is>
          <t>LOI内容説明</t>
        </is>
      </c>
    </row>
    <row r="21" ht="18" customHeight="1" s="595">
      <c r="B21" s="942" t="str">
        <f>B20+1</f>
        <v>2025-10-18 00:00:00</v>
      </c>
      <c r="C21" s="942" t="str">
        <f>TEXT(B21,"aaa")</f>
        <v>Sat</v>
      </c>
      <c r="D21" s="515" t="n"/>
      <c r="E21" s="515" t="n"/>
      <c r="F21" s="515" t="n"/>
    </row>
    <row r="22" ht="18.75" customHeight="1" s="595">
      <c r="B22" s="943" t="str">
        <f>B21+1</f>
        <v>2025-10-19 00:00:00</v>
      </c>
      <c r="C22" s="943" t="str">
        <f>TEXT(B22,"aaa")</f>
        <v>Sun</v>
      </c>
      <c r="D22" s="515" t="n"/>
      <c r="E22" s="515" t="n"/>
      <c r="F22" s="515" t="n"/>
    </row>
    <row r="23">
      <c r="B23" s="927" t="str">
        <f>B22+1</f>
        <v>2025-10-20 00:00:00</v>
      </c>
      <c r="C23" s="927" t="str">
        <f>TEXT(B23,"aaa")</f>
        <v>Mon</v>
      </c>
      <c r="D23" s="515" t="n"/>
      <c r="E23" s="515" t="n"/>
      <c r="F23" s="515" t="n"/>
    </row>
    <row r="24">
      <c r="B24" s="927" t="str">
        <f>B23+1</f>
        <v>2025-10-21 00:00:00</v>
      </c>
      <c r="C24" s="927" t="str">
        <f>TEXT(B24,"aaa")</f>
        <v>Tue</v>
      </c>
      <c r="D24" s="515" t="n"/>
      <c r="E24" s="515" t="n"/>
      <c r="F24" s="515" t="n"/>
    </row>
    <row r="25">
      <c r="B25" s="927" t="str">
        <f>B24+1</f>
        <v>2025-10-22 00:00:00</v>
      </c>
      <c r="C25" s="927" t="str">
        <f>TEXT(B25,"aaa")</f>
        <v>Wed</v>
      </c>
      <c r="D25" s="515" t="n"/>
      <c r="E25" s="577" t="inlineStr">
        <is>
          <t>DDスコープ・依頼先確定</t>
        </is>
      </c>
      <c r="F25" s="515" t="n"/>
    </row>
    <row r="26" ht="18" customHeight="1" s="595">
      <c r="B26" s="927" t="str">
        <f>B25+1</f>
        <v>2025-10-23 00:00:00</v>
      </c>
      <c r="C26" s="927" t="str">
        <f>TEXT(B26,"aaa")</f>
        <v>Thu</v>
      </c>
      <c r="D26" s="515" t="n"/>
      <c r="E26" s="515" t="n"/>
      <c r="F26" s="515" t="n"/>
    </row>
    <row r="27">
      <c r="B27" s="927" t="str">
        <f>B26+1</f>
        <v>2025-10-24 00:00:00</v>
      </c>
      <c r="C27" s="927" t="str">
        <f>TEXT(B27,"aaa")</f>
        <v>Fri</v>
      </c>
      <c r="D27" s="515" t="n"/>
      <c r="E27" s="515" t="n"/>
      <c r="F27" s="515" t="n"/>
    </row>
    <row r="28">
      <c r="B28" s="942" t="str">
        <f>B27+1</f>
        <v>2025-10-25 00:00:00</v>
      </c>
      <c r="C28" s="942" t="str">
        <f>TEXT(B28,"aaa")</f>
        <v>Sat</v>
      </c>
      <c r="D28" s="515" t="n"/>
      <c r="E28" s="515" t="n"/>
      <c r="F28" s="515" t="n"/>
    </row>
    <row r="29">
      <c r="B29" s="943" t="str">
        <f>B28+1</f>
        <v>2025-10-26 00:00:00</v>
      </c>
      <c r="C29" s="943" t="str">
        <f>TEXT(B29,"aaa")</f>
        <v>Sun</v>
      </c>
      <c r="D29" s="515" t="n"/>
      <c r="E29" s="515" t="n"/>
      <c r="F29" s="515" t="n"/>
    </row>
    <row r="30">
      <c r="B30" s="927" t="str">
        <f>B29+1</f>
        <v>2025-10-27 00:00:00</v>
      </c>
      <c r="C30" s="927" t="str">
        <f>TEXT(B30,"aaa")</f>
        <v>Mon</v>
      </c>
      <c r="D30" s="515" t="n"/>
      <c r="E30" s="577" t="inlineStr">
        <is>
          <t>DDキックオフミーティング</t>
        </is>
      </c>
      <c r="F30" s="945" t="n"/>
    </row>
    <row r="31" ht="18.75" customHeight="1" s="595">
      <c r="B31" s="927" t="str">
        <f>B30+1</f>
        <v>2025-10-28 00:00:00</v>
      </c>
      <c r="C31" s="927" t="str">
        <f>TEXT(B31,"aaa")</f>
        <v>Tue</v>
      </c>
      <c r="D31" s="577" t="inlineStr">
        <is>
          <t>DD資料提出・QA対応</t>
        </is>
      </c>
      <c r="E31" s="577" t="inlineStr">
        <is>
          <t>IRL提出※DD依頼先</t>
        </is>
      </c>
      <c r="F31" s="577" t="inlineStr">
        <is>
          <t>DD資料提出・QA対応</t>
        </is>
      </c>
    </row>
    <row r="32">
      <c r="B32" s="927" t="str">
        <f>B31+1</f>
        <v>2025-10-29 00:00:00</v>
      </c>
      <c r="C32" s="927" t="str">
        <f>TEXT(B32,"aaa")</f>
        <v>Wed</v>
      </c>
      <c r="D32" s="930" t="n"/>
      <c r="E32" s="577" t="inlineStr">
        <is>
          <t>DDQA対応※DD依頼先</t>
        </is>
      </c>
      <c r="F32" s="930" t="n"/>
    </row>
    <row r="33">
      <c r="B33" s="927" t="str">
        <f>B32+1</f>
        <v>2025-10-30 00:00:00</v>
      </c>
      <c r="C33" s="927" t="str">
        <f>TEXT(B33,"aaa")</f>
        <v>Thu</v>
      </c>
      <c r="D33" s="930" t="n"/>
      <c r="E33" s="930" t="n"/>
      <c r="F33" s="930" t="n"/>
    </row>
    <row r="34">
      <c r="B34" s="927" t="str">
        <f>B33+1</f>
        <v>2025-10-31 00:00:00</v>
      </c>
      <c r="C34" s="927" t="str">
        <f>TEXT(B34,"aaa")</f>
        <v>Fri</v>
      </c>
      <c r="D34" s="931" t="n"/>
      <c r="E34" s="931" t="n"/>
      <c r="F34" s="931" t="n"/>
    </row>
    <row r="35" ht="18.75" customHeight="1" s="595">
      <c r="B35" s="942" t="str">
        <f>B34+1</f>
        <v>2025-11-01 00:00:00</v>
      </c>
      <c r="C35" s="942" t="str">
        <f>TEXT(B35,"aaa")</f>
        <v>Sat</v>
      </c>
      <c r="D35" s="515" t="n"/>
      <c r="E35" s="515" t="n"/>
      <c r="F35" s="515" t="n"/>
    </row>
    <row r="36">
      <c r="B36" s="943" t="str">
        <f>B35+1</f>
        <v>2025-11-02 00:00:00</v>
      </c>
      <c r="C36" s="943" t="str">
        <f>TEXT(B36,"aaa")</f>
        <v>Sun</v>
      </c>
      <c r="D36" s="515" t="n"/>
      <c r="E36" s="515" t="n"/>
      <c r="F36" s="515" t="n"/>
    </row>
    <row r="37">
      <c r="B37" s="946" t="str">
        <f>B36+1</f>
        <v>2025-11-03 00:00:00</v>
      </c>
      <c r="C37" s="946" t="str">
        <f>TEXT(B37,"aaa")</f>
        <v>Mon</v>
      </c>
      <c r="D37" s="515" t="n"/>
      <c r="E37" s="515" t="n"/>
      <c r="F37" s="515" t="n"/>
    </row>
    <row r="38" ht="18.75" customHeight="1" s="595">
      <c r="B38" s="927" t="str">
        <f>B37+1</f>
        <v>2025-11-04 00:00:00</v>
      </c>
      <c r="C38" s="927" t="str">
        <f>TEXT(B38,"aaa")</f>
        <v>Tue</v>
      </c>
      <c r="D38" s="577" t="inlineStr">
        <is>
          <t>DD資料提出・QA対応</t>
        </is>
      </c>
      <c r="E38" s="577" t="inlineStr">
        <is>
          <t>DDQA対応※DD依頼先</t>
        </is>
      </c>
      <c r="F38" s="577" t="inlineStr">
        <is>
          <t>DD資料提出・QA対応</t>
        </is>
      </c>
    </row>
    <row r="39">
      <c r="B39" s="927" t="str">
        <f>B38+1</f>
        <v>2025-11-05 00:00:00</v>
      </c>
      <c r="C39" s="927" t="str">
        <f>TEXT(B39,"aaa")</f>
        <v>Wed</v>
      </c>
      <c r="D39" s="930" t="n"/>
      <c r="E39" s="930" t="n"/>
      <c r="F39" s="930" t="n"/>
    </row>
    <row r="40">
      <c r="B40" s="927" t="str">
        <f>B39+1</f>
        <v>2025-11-06 00:00:00</v>
      </c>
      <c r="C40" s="927" t="str">
        <f>TEXT(B40,"aaa")</f>
        <v>Thu</v>
      </c>
      <c r="D40" s="930" t="n"/>
      <c r="E40" s="930" t="n"/>
      <c r="F40" s="930" t="n"/>
    </row>
    <row r="41">
      <c r="B41" s="927" t="str">
        <f>B40+1</f>
        <v>2025-11-07 00:00:00</v>
      </c>
      <c r="C41" s="927" t="str">
        <f>TEXT(B41,"aaa")</f>
        <v>Fri</v>
      </c>
      <c r="D41" s="931" t="n"/>
      <c r="E41" s="931" t="n"/>
      <c r="F41" s="931" t="n"/>
    </row>
    <row r="42" ht="18" customHeight="1" s="595">
      <c r="B42" s="942" t="str">
        <f>B41+1</f>
        <v>2025-11-08 00:00:00</v>
      </c>
      <c r="C42" s="942" t="str">
        <f>TEXT(B42,"aaa")</f>
        <v>Sat</v>
      </c>
      <c r="D42" s="515" t="n"/>
      <c r="E42" s="515" t="n"/>
      <c r="F42" s="515" t="n"/>
    </row>
    <row r="43">
      <c r="B43" s="943" t="str">
        <f>B42+1</f>
        <v>2025-11-09 00:00:00</v>
      </c>
      <c r="C43" s="943" t="str">
        <f>TEXT(B43,"aaa")</f>
        <v>Sun</v>
      </c>
      <c r="D43" s="515" t="n"/>
      <c r="E43" s="515" t="n"/>
      <c r="F43" s="515" t="n"/>
    </row>
    <row r="44">
      <c r="B44" s="927" t="str">
        <f>B43+1</f>
        <v>2025-11-10 00:00:00</v>
      </c>
      <c r="C44" s="927" t="str">
        <f>TEXT(B44,"aaa")</f>
        <v>Mon</v>
      </c>
      <c r="D44" s="577" t="inlineStr">
        <is>
          <t>DD資料提出・QA対応</t>
        </is>
      </c>
      <c r="E44" s="577" t="inlineStr">
        <is>
          <t>DDQA対応※DD依頼先</t>
        </is>
      </c>
      <c r="F44" s="577" t="inlineStr">
        <is>
          <t>DD資料提出・QA対応</t>
        </is>
      </c>
    </row>
    <row r="45">
      <c r="B45" s="927" t="str">
        <f>B44+1</f>
        <v>2025-11-11 00:00:00</v>
      </c>
      <c r="C45" s="927" t="str">
        <f>TEXT(B45,"aaa")</f>
        <v>Tue</v>
      </c>
      <c r="D45" s="931" t="n"/>
      <c r="E45" s="931" t="n"/>
      <c r="F45" s="931" t="n"/>
    </row>
    <row r="46">
      <c r="B46" s="927" t="str">
        <f>B45+1</f>
        <v>2025-11-12 00:00:00</v>
      </c>
      <c r="C46" s="927" t="str">
        <f>TEXT(B46,"aaa")</f>
        <v>Wed</v>
      </c>
      <c r="D46" s="577" t="inlineStr">
        <is>
          <t>DDマネジメントインタビュー</t>
        </is>
      </c>
      <c r="E46" s="944" t="n"/>
      <c r="F46" s="945" t="n"/>
    </row>
    <row r="47">
      <c r="B47" s="927" t="str">
        <f>B46+1</f>
        <v>2025-11-13 00:00:00</v>
      </c>
      <c r="C47" s="927" t="str">
        <f>TEXT(B47,"aaa")</f>
        <v>Thu</v>
      </c>
      <c r="D47" s="515" t="n"/>
      <c r="E47" s="515" t="n"/>
      <c r="F47" s="515" t="n"/>
    </row>
    <row r="48">
      <c r="B48" s="927" t="str">
        <f>B47+1</f>
        <v>2025-11-14 00:00:00</v>
      </c>
      <c r="C48" s="927" t="str">
        <f>TEXT(B48,"aaa")</f>
        <v>Fri</v>
      </c>
      <c r="D48" s="515" t="n"/>
      <c r="E48" s="515" t="n"/>
      <c r="F48" s="515" t="n"/>
    </row>
    <row r="49">
      <c r="B49" s="942" t="str">
        <f>B48+1</f>
        <v>2025-11-15 00:00:00</v>
      </c>
      <c r="C49" s="942" t="str">
        <f>TEXT(B49,"aaa")</f>
        <v>Sat</v>
      </c>
      <c r="D49" s="515" t="n"/>
      <c r="E49" s="515" t="n"/>
      <c r="F49" s="515" t="n"/>
    </row>
    <row r="50">
      <c r="B50" s="943" t="str">
        <f>B49+1</f>
        <v>2025-11-16 00:00:00</v>
      </c>
      <c r="C50" s="943" t="str">
        <f>TEXT(B50,"aaa")</f>
        <v>Sun</v>
      </c>
      <c r="D50" s="515" t="n"/>
      <c r="E50" s="515" t="n"/>
      <c r="F50" s="515" t="n"/>
    </row>
    <row r="51">
      <c r="B51" s="927" t="str">
        <f>B50+1</f>
        <v>2025-11-17 00:00:00</v>
      </c>
      <c r="C51" s="927" t="str">
        <f>TEXT(B51,"aaa")</f>
        <v>Mon</v>
      </c>
      <c r="D51" s="515" t="n"/>
      <c r="E51" s="577" t="inlineStr">
        <is>
          <t>SPA内容検討</t>
        </is>
      </c>
      <c r="F51" s="577" t="inlineStr">
        <is>
          <t>SPAドラフト提出</t>
        </is>
      </c>
    </row>
    <row r="52">
      <c r="B52" s="927" t="str">
        <f>B51+1</f>
        <v>2025-11-18 00:00:00</v>
      </c>
      <c r="C52" s="927" t="str">
        <f>TEXT(B52,"aaa")</f>
        <v>Tue</v>
      </c>
      <c r="D52" s="515" t="n"/>
      <c r="E52" s="515" t="n"/>
      <c r="F52" s="515" t="n"/>
    </row>
    <row r="53" ht="18.75" customHeight="1" s="595">
      <c r="B53" s="927" t="str">
        <f>B52+1</f>
        <v>2025-11-19 00:00:00</v>
      </c>
      <c r="C53" s="927" t="str">
        <f>TEXT(B53,"aaa")</f>
        <v>Wed</v>
      </c>
      <c r="D53" s="515" t="n"/>
      <c r="E53" s="515" t="n"/>
      <c r="F53" s="515" t="n"/>
    </row>
    <row r="54">
      <c r="B54" s="927" t="str">
        <f>B53+1</f>
        <v>2025-11-20 00:00:00</v>
      </c>
      <c r="C54" s="927" t="str">
        <f>TEXT(B54,"aaa")</f>
        <v>Thu</v>
      </c>
      <c r="D54" s="515" t="n"/>
      <c r="E54" s="515" t="n"/>
      <c r="F54" s="515" t="n"/>
    </row>
    <row r="55">
      <c r="B55" s="927" t="str">
        <f>B54+1</f>
        <v>2025-11-21 00:00:00</v>
      </c>
      <c r="C55" s="927" t="str">
        <f>TEXT(B55,"aaa")</f>
        <v>Fri</v>
      </c>
      <c r="D55" s="515" t="n"/>
      <c r="E55" s="577" t="inlineStr">
        <is>
          <t>DD結果確認(DD報告会)</t>
        </is>
      </c>
      <c r="F55" s="515" t="n"/>
    </row>
    <row r="56">
      <c r="B56" s="942" t="str">
        <f>B55+1</f>
        <v>2025-11-22 00:00:00</v>
      </c>
      <c r="C56" s="942" t="str">
        <f>TEXT(B56,"aaa")</f>
        <v>Sat</v>
      </c>
      <c r="D56" s="515" t="n"/>
      <c r="E56" s="515" t="n"/>
      <c r="F56" s="515" t="n"/>
    </row>
    <row r="57">
      <c r="B57" s="946" t="str">
        <f>B56+1</f>
        <v>2025-11-23 00:00:00</v>
      </c>
      <c r="C57" s="946" t="str">
        <f>TEXT(B57,"aaa")</f>
        <v>Sun</v>
      </c>
      <c r="D57" s="515" t="n"/>
      <c r="E57" s="515" t="n"/>
      <c r="F57" s="515" t="n"/>
    </row>
    <row r="58">
      <c r="B58" s="946" t="str">
        <f>B57+1</f>
        <v>2025-11-24 00:00:00</v>
      </c>
      <c r="C58" s="946" t="str">
        <f>TEXT(B58,"aaa")</f>
        <v>Mon</v>
      </c>
      <c r="D58" s="515" t="n"/>
      <c r="E58" s="515" t="n"/>
      <c r="F58" s="515" t="n"/>
    </row>
    <row r="59">
      <c r="B59" s="927" t="str">
        <f>B58+1</f>
        <v>2025-11-25 00:00:00</v>
      </c>
      <c r="C59" s="927" t="str">
        <f>TEXT(B59,"aaa")</f>
        <v>Tue</v>
      </c>
      <c r="D59" s="515" t="n"/>
      <c r="E59" s="577" t="inlineStr">
        <is>
          <t>SPA案ご提出</t>
        </is>
      </c>
      <c r="F59" s="515" t="n"/>
    </row>
    <row r="60">
      <c r="B60" s="927" t="str">
        <f>B59+1</f>
        <v>2025-11-26 00:00:00</v>
      </c>
      <c r="C60" s="927" t="str">
        <f>TEXT(B60,"aaa")</f>
        <v>Wed</v>
      </c>
      <c r="D60" s="577" t="inlineStr">
        <is>
          <t>SPA調整</t>
        </is>
      </c>
      <c r="E60" s="947" t="n"/>
      <c r="F60" s="919" t="n"/>
    </row>
    <row r="61">
      <c r="B61" s="927" t="str">
        <f>B60+1</f>
        <v>2025-11-27 00:00:00</v>
      </c>
      <c r="C61" s="927" t="str">
        <f>TEXT(B61,"aaa")</f>
        <v>Thu</v>
      </c>
      <c r="D61" s="948" t="n"/>
      <c r="F61" s="949" t="n"/>
    </row>
    <row r="62">
      <c r="B62" s="927" t="str">
        <f>B61+1</f>
        <v>2025-11-28 00:00:00</v>
      </c>
      <c r="C62" s="927" t="str">
        <f>TEXT(B62,"aaa")</f>
        <v>Fri</v>
      </c>
      <c r="D62" s="921" t="n"/>
      <c r="E62" s="950" t="n"/>
      <c r="F62" s="922" t="n"/>
    </row>
    <row r="63">
      <c r="B63" s="942" t="str">
        <f>B62+1</f>
        <v>2025-11-29 00:00:00</v>
      </c>
      <c r="C63" s="942" t="str">
        <f>TEXT(B63,"aaa")</f>
        <v>Sat</v>
      </c>
      <c r="D63" s="515" t="n"/>
      <c r="E63" s="515" t="n"/>
      <c r="F63" s="515" t="n"/>
    </row>
    <row r="64">
      <c r="B64" s="943" t="str">
        <f>B63+1</f>
        <v>2025-11-30 00:00:00</v>
      </c>
      <c r="C64" s="943" t="str">
        <f>TEXT(B64,"aaa")</f>
        <v>Sun</v>
      </c>
      <c r="D64" s="515" t="n"/>
      <c r="E64" s="515" t="n"/>
      <c r="F64" s="515" t="n"/>
    </row>
    <row r="65">
      <c r="B65" s="927" t="str">
        <f>B64+1</f>
        <v>2025-12-01 00:00:00</v>
      </c>
      <c r="C65" s="927" t="str">
        <f>TEXT(B65,"aaa")</f>
        <v>Mon</v>
      </c>
      <c r="D65" s="577" t="inlineStr">
        <is>
          <t>SPA調整</t>
        </is>
      </c>
      <c r="E65" s="947" t="n"/>
      <c r="F65" s="919" t="n"/>
    </row>
    <row r="66">
      <c r="B66" s="927" t="str">
        <f>B65+1</f>
        <v>2025-12-02 00:00:00</v>
      </c>
      <c r="C66" s="927" t="str">
        <f>TEXT(B66,"aaa")</f>
        <v>Tue</v>
      </c>
      <c r="D66" s="948" t="n"/>
      <c r="F66" s="949" t="n"/>
    </row>
    <row r="67">
      <c r="B67" s="927" t="str">
        <f>B66+1</f>
        <v>2025-12-03 00:00:00</v>
      </c>
      <c r="C67" s="927" t="str">
        <f>TEXT(B67,"aaa")</f>
        <v>Wed</v>
      </c>
      <c r="D67" s="948" t="n"/>
      <c r="F67" s="949" t="n"/>
    </row>
    <row r="68">
      <c r="B68" s="927" t="str">
        <f>B67+1</f>
        <v>2025-12-04 00:00:00</v>
      </c>
      <c r="C68" s="927" t="str">
        <f>TEXT(B68,"aaa")</f>
        <v>Thu</v>
      </c>
      <c r="D68" s="948" t="n"/>
      <c r="F68" s="949" t="n"/>
    </row>
    <row r="69">
      <c r="B69" s="927" t="str">
        <f>B68+1</f>
        <v>2025-12-05 00:00:00</v>
      </c>
      <c r="C69" s="927" t="str">
        <f>TEXT(B69,"aaa")</f>
        <v>Fri</v>
      </c>
      <c r="D69" s="921" t="n"/>
      <c r="E69" s="950" t="n"/>
      <c r="F69" s="922" t="n"/>
    </row>
    <row r="70">
      <c r="B70" s="942" t="str">
        <f>B69+1</f>
        <v>2025-12-06 00:00:00</v>
      </c>
      <c r="C70" s="942" t="str">
        <f>TEXT(B70,"aaa")</f>
        <v>Sat</v>
      </c>
      <c r="D70" s="515" t="n"/>
      <c r="E70" s="515" t="n"/>
      <c r="F70" s="515" t="n"/>
    </row>
    <row r="71">
      <c r="B71" s="943" t="str">
        <f>B70+1</f>
        <v>2025-12-07 00:00:00</v>
      </c>
      <c r="C71" s="943" t="str">
        <f>TEXT(B71,"aaa")</f>
        <v>Sun</v>
      </c>
      <c r="D71" s="515" t="n"/>
      <c r="E71" s="515" t="n"/>
      <c r="F71" s="515" t="n"/>
    </row>
    <row r="72">
      <c r="B72" s="927" t="str">
        <f>B71+1</f>
        <v>2025-12-08 00:00:00</v>
      </c>
      <c r="C72" s="927" t="str">
        <f>TEXT(B72,"aaa")</f>
        <v>Mon</v>
      </c>
      <c r="D72" s="577" t="inlineStr">
        <is>
          <t>SPA調整</t>
        </is>
      </c>
      <c r="E72" s="947" t="n"/>
      <c r="F72" s="919" t="n"/>
    </row>
    <row r="73">
      <c r="B73" s="927" t="str">
        <f>B72+1</f>
        <v>2025-12-09 00:00:00</v>
      </c>
      <c r="C73" s="927" t="str">
        <f>TEXT(B73,"aaa")</f>
        <v>Tue</v>
      </c>
      <c r="D73" s="948" t="n"/>
      <c r="F73" s="949" t="n"/>
    </row>
    <row r="74">
      <c r="B74" s="927" t="str">
        <f>B73+1</f>
        <v>2025-12-10 00:00:00</v>
      </c>
      <c r="C74" s="927" t="str">
        <f>TEXT(B74,"aaa")</f>
        <v>Wed</v>
      </c>
      <c r="D74" s="921" t="n"/>
      <c r="E74" s="950" t="n"/>
      <c r="F74" s="922" t="n"/>
    </row>
    <row r="75">
      <c r="B75" s="927" t="str">
        <f>B74+1</f>
        <v>2025-12-11 00:00:00</v>
      </c>
      <c r="C75" s="927" t="str">
        <f>TEXT(B75,"aaa")</f>
        <v>Thu</v>
      </c>
      <c r="D75" s="515" t="n"/>
      <c r="E75" s="515" t="n"/>
      <c r="F75" s="515" t="n"/>
    </row>
    <row r="76">
      <c r="B76" s="927" t="str">
        <f>B75+1</f>
        <v>2025-12-12 00:00:00</v>
      </c>
      <c r="C76" s="927" t="str">
        <f>TEXT(B76,"aaa")</f>
        <v>Fri</v>
      </c>
      <c r="D76" s="578" t="inlineStr">
        <is>
          <t>株式譲渡契約書締結</t>
        </is>
      </c>
      <c r="E76" s="944" t="n"/>
      <c r="F76" s="945" t="n"/>
    </row>
    <row r="77">
      <c r="B77" s="942" t="str">
        <f>B76+1</f>
        <v>2025-12-13 00:00:00</v>
      </c>
      <c r="C77" s="942" t="str">
        <f>TEXT(B77,"aaa")</f>
        <v>Sat</v>
      </c>
      <c r="D77" s="515" t="n"/>
      <c r="E77" s="515" t="n"/>
      <c r="F77" s="515" t="n"/>
    </row>
    <row r="78">
      <c r="B78" s="943" t="str">
        <f>B77+1</f>
        <v>2025-12-14 00:00:00</v>
      </c>
      <c r="C78" s="943" t="str">
        <f>TEXT(B78,"aaa")</f>
        <v>Sun</v>
      </c>
      <c r="D78" s="515" t="n"/>
      <c r="E78" s="515" t="n"/>
      <c r="F78" s="515" t="n"/>
    </row>
    <row r="79">
      <c r="B79" s="927" t="str">
        <f>B78+1</f>
        <v>2025-12-15 00:00:00</v>
      </c>
      <c r="C79" s="927" t="str">
        <f>TEXT(B79,"aaa")</f>
        <v>Mon</v>
      </c>
      <c r="D79" s="577" t="inlineStr">
        <is>
          <t>COC対応等</t>
        </is>
      </c>
      <c r="E79" s="515" t="n"/>
      <c r="F79" s="577" t="inlineStr">
        <is>
          <t>COC対応等</t>
        </is>
      </c>
    </row>
    <row r="80">
      <c r="B80" s="927" t="str">
        <f>B79+1</f>
        <v>2025-12-16 00:00:00</v>
      </c>
      <c r="C80" s="927" t="str">
        <f>TEXT(B80,"aaa")</f>
        <v>Tue</v>
      </c>
      <c r="D80" s="930" t="n"/>
      <c r="E80" s="515" t="n"/>
      <c r="F80" s="930" t="n"/>
    </row>
    <row r="81">
      <c r="B81" s="927" t="str">
        <f>B80+1</f>
        <v>2025-12-17 00:00:00</v>
      </c>
      <c r="C81" s="927" t="str">
        <f>TEXT(B81,"aaa")</f>
        <v>Wed</v>
      </c>
      <c r="D81" s="930" t="n"/>
      <c r="E81" s="515" t="n"/>
      <c r="F81" s="930" t="n"/>
    </row>
    <row r="82">
      <c r="B82" s="927" t="str">
        <f>B81+1</f>
        <v>2025-12-18 00:00:00</v>
      </c>
      <c r="C82" s="927" t="str">
        <f>TEXT(B82,"aaa")</f>
        <v>Thu</v>
      </c>
      <c r="D82" s="931" t="n"/>
      <c r="E82" s="515" t="n"/>
      <c r="F82" s="931" t="n"/>
    </row>
    <row r="83">
      <c r="B83" s="927" t="str">
        <f>B82+1</f>
        <v>2025-12-19 00:00:00</v>
      </c>
      <c r="C83" s="927" t="str">
        <f>TEXT(B83,"aaa")</f>
        <v>Fri</v>
      </c>
      <c r="D83" s="578" t="inlineStr">
        <is>
          <t>クロージング（資金決済、株主名簿書換、役員変更登記申請)</t>
        </is>
      </c>
      <c r="E83" s="944" t="n"/>
      <c r="F83" s="945" t="n"/>
    </row>
    <row r="84">
      <c r="B84" s="942" t="str">
        <f>B83+1</f>
        <v>2025-12-20 00:00:00</v>
      </c>
      <c r="C84" s="942" t="str">
        <f>TEXT(B84,"aaa")</f>
        <v>Sat</v>
      </c>
      <c r="D84" s="515" t="n"/>
      <c r="E84" s="515" t="n"/>
      <c r="F84" s="515" t="n"/>
    </row>
    <row r="85">
      <c r="B85" s="943" t="str">
        <f>B84+1</f>
        <v>2025-12-21 00:00:00</v>
      </c>
      <c r="C85" s="943" t="str">
        <f>TEXT(B85,"aaa")</f>
        <v>Sun</v>
      </c>
      <c r="D85" s="515" t="n"/>
      <c r="E85" s="515" t="n"/>
      <c r="F85" s="515" t="n"/>
    </row>
    <row r="86">
      <c r="B86" s="927" t="str">
        <f>B85+1</f>
        <v>2025-12-22 00:00:00</v>
      </c>
      <c r="C86" s="927" t="str">
        <f>TEXT(B86,"aaa")</f>
        <v>Mon</v>
      </c>
      <c r="D86" s="577" t="inlineStr">
        <is>
          <t>従業員・取引先への開示、PMI</t>
        </is>
      </c>
      <c r="E86" s="945" t="n"/>
      <c r="F86" s="515" t="n"/>
    </row>
    <row r="87">
      <c r="B87" s="927" t="str">
        <f>B86+1</f>
        <v>2025-12-23 00:00:00</v>
      </c>
      <c r="C87" s="927" t="str">
        <f>TEXT(B87,"aaa")</f>
        <v>Tue</v>
      </c>
      <c r="D87" s="515" t="n"/>
      <c r="E87" s="515" t="n"/>
      <c r="F87" s="515" t="n"/>
    </row>
    <row r="88">
      <c r="B88" s="927" t="str">
        <f>B87+1</f>
        <v>2025-12-24 00:00:00</v>
      </c>
      <c r="C88" s="927" t="str">
        <f>TEXT(B88,"aaa")</f>
        <v>Wed</v>
      </c>
      <c r="D88" s="515" t="n"/>
      <c r="E88" s="515" t="n"/>
      <c r="F88" s="515" t="n"/>
    </row>
    <row r="89">
      <c r="B89" s="927" t="str">
        <f>B88+1</f>
        <v>2025-12-25 00:00:00</v>
      </c>
      <c r="C89" s="927" t="str">
        <f>TEXT(B89,"aaa")</f>
        <v>Thu</v>
      </c>
      <c r="D89" s="515" t="n"/>
      <c r="E89" s="515" t="n"/>
      <c r="F89" s="515" t="n"/>
    </row>
    <row r="90">
      <c r="B90" s="927" t="str">
        <f>B89+1</f>
        <v>2025-12-26 00:00:00</v>
      </c>
      <c r="C90" s="927" t="str">
        <f>TEXT(B90,"aaa")</f>
        <v>Fri</v>
      </c>
      <c r="D90" s="515" t="n"/>
      <c r="E90" s="515" t="n"/>
      <c r="F90" s="515" t="n"/>
    </row>
    <row r="91">
      <c r="B91" s="942" t="str">
        <f>B90+1</f>
        <v>2025-12-27 00:00:00</v>
      </c>
      <c r="C91" s="942" t="str">
        <f>TEXT(B91,"aaa")</f>
        <v>Sat</v>
      </c>
      <c r="D91" s="515" t="n"/>
      <c r="E91" s="515" t="n"/>
      <c r="F91" s="515" t="n"/>
    </row>
    <row r="92">
      <c r="B92" s="943" t="str">
        <f>B91+1</f>
        <v>2025-12-28 00:00:00</v>
      </c>
      <c r="C92" s="943" t="str">
        <f>TEXT(B92,"aaa")</f>
        <v>Sun</v>
      </c>
      <c r="D92" s="515" t="n"/>
      <c r="E92" s="515" t="n"/>
      <c r="F92" s="515" t="n"/>
    </row>
    <row r="93">
      <c r="B93" s="927" t="str">
        <f>B92+1</f>
        <v>2025-12-29 00:00:00</v>
      </c>
      <c r="C93" s="927" t="str">
        <f>TEXT(B93,"aaa")</f>
        <v>Mon</v>
      </c>
      <c r="D93" s="515" t="n"/>
      <c r="E93" s="515" t="n"/>
      <c r="F93" s="515" t="n"/>
    </row>
    <row r="94">
      <c r="B94" s="927" t="str">
        <f>B93+1</f>
        <v>2025-12-30 00:00:00</v>
      </c>
      <c r="C94" s="927" t="str">
        <f>TEXT(B94,"aaa")</f>
        <v>Tue</v>
      </c>
      <c r="D94" s="515" t="n"/>
      <c r="E94" s="515" t="n"/>
      <c r="F94" s="515" t="n"/>
    </row>
    <row r="95">
      <c r="B95" s="946" t="str">
        <f>B94+1</f>
        <v>2025-12-31 00:00:00</v>
      </c>
      <c r="C95" s="946" t="str">
        <f>TEXT(B95,"aaa")</f>
        <v>Wed</v>
      </c>
      <c r="D95" s="515" t="n"/>
      <c r="E95" s="515" t="n"/>
      <c r="F95" s="515" t="n"/>
    </row>
    <row r="96">
      <c r="A96" s="506" t="inlineStr">
        <is>
          <t>2026年</t>
        </is>
      </c>
      <c r="B96" s="946" t="str">
        <f>B95+1</f>
        <v>2026-01-01 00:00:00</v>
      </c>
      <c r="C96" s="946" t="str">
        <f>TEXT(B96,"aaa")</f>
        <v>Thu</v>
      </c>
      <c r="D96" s="515" t="n"/>
      <c r="E96" s="515" t="n"/>
      <c r="F96" s="515" t="n"/>
    </row>
    <row r="97">
      <c r="B97" s="946" t="str">
        <f>B96+1</f>
        <v>2026-01-02 00:00:00</v>
      </c>
      <c r="C97" s="946" t="str">
        <f>TEXT(B97,"aaa")</f>
        <v>Fri</v>
      </c>
      <c r="D97" s="515" t="n"/>
      <c r="E97" s="515" t="n"/>
      <c r="F97" s="515" t="n"/>
    </row>
    <row r="98">
      <c r="B98" s="942" t="str">
        <f>B97+1</f>
        <v>2026-01-03 00:00:00</v>
      </c>
      <c r="C98" s="942" t="str">
        <f>TEXT(B98,"aaa")</f>
        <v>Sat</v>
      </c>
      <c r="D98" s="515" t="n"/>
      <c r="E98" s="515" t="n"/>
      <c r="F98" s="515" t="n"/>
    </row>
    <row r="99">
      <c r="B99" s="943" t="str">
        <f>B98+1</f>
        <v>2026-01-04 00:00:00</v>
      </c>
      <c r="C99" s="943" t="str">
        <f>TEXT(B99,"aaa")</f>
        <v>Sun</v>
      </c>
      <c r="D99" s="515" t="n"/>
      <c r="E99" s="515" t="n"/>
      <c r="F99" s="515" t="n"/>
    </row>
    <row r="100">
      <c r="B100" s="927" t="str">
        <f>B99+1</f>
        <v>2026-01-05 00:00:00</v>
      </c>
      <c r="C100" s="927" t="str">
        <f>TEXT(B100,"aaa")</f>
        <v>Mon</v>
      </c>
      <c r="D100" s="515" t="n"/>
      <c r="E100" s="515" t="n"/>
      <c r="F100" s="515" t="n"/>
    </row>
    <row r="101">
      <c r="B101" s="927" t="str">
        <f>B100+1</f>
        <v>2026-01-06 00:00:00</v>
      </c>
      <c r="C101" s="927" t="str">
        <f>TEXT(B101,"aaa")</f>
        <v>Tue</v>
      </c>
      <c r="D101" s="515" t="n"/>
      <c r="E101" s="515" t="n"/>
      <c r="F101" s="515" t="n"/>
    </row>
    <row r="102">
      <c r="B102" s="927" t="str">
        <f>B101+1</f>
        <v>2026-01-07 00:00:00</v>
      </c>
      <c r="C102" s="927" t="str">
        <f>TEXT(B102,"aaa")</f>
        <v>Wed</v>
      </c>
      <c r="D102" s="515" t="n"/>
      <c r="E102" s="515" t="n"/>
      <c r="F102" s="515" t="n"/>
    </row>
    <row r="103">
      <c r="B103" s="927" t="str">
        <f>B102+1</f>
        <v>2026-01-08 00:00:00</v>
      </c>
      <c r="C103" s="927" t="str">
        <f>TEXT(B103,"aaa")</f>
        <v>Thu</v>
      </c>
      <c r="D103" s="515" t="n"/>
      <c r="E103" s="515" t="n"/>
      <c r="F103" s="515" t="n"/>
    </row>
    <row r="104">
      <c r="B104" s="927" t="str">
        <f>B103+1</f>
        <v>2026-01-09 00:00:00</v>
      </c>
      <c r="C104" s="927" t="str">
        <f>TEXT(B104,"aaa")</f>
        <v>Fri</v>
      </c>
      <c r="D104" s="515" t="n"/>
      <c r="E104" s="515" t="n"/>
      <c r="F104" s="515" t="n"/>
    </row>
    <row r="105">
      <c r="B105" s="942" t="str">
        <f>B104+1</f>
        <v>2026-01-10 00:00:00</v>
      </c>
      <c r="C105" s="942" t="str">
        <f>TEXT(B105,"aaa")</f>
        <v>Sat</v>
      </c>
      <c r="D105" s="515" t="n"/>
      <c r="E105" s="515" t="n"/>
      <c r="F105" s="515" t="n"/>
    </row>
    <row r="106">
      <c r="B106" s="943" t="str">
        <f>B105+1</f>
        <v>2026-01-11 00:00:00</v>
      </c>
      <c r="C106" s="943" t="str">
        <f>TEXT(B106,"aaa")</f>
        <v>Sun</v>
      </c>
      <c r="D106" s="515" t="n"/>
      <c r="E106" s="515" t="n"/>
      <c r="F106" s="515" t="n"/>
    </row>
    <row r="107">
      <c r="B107" s="927" t="str">
        <f>B106+1</f>
        <v>2026-01-12 00:00:00</v>
      </c>
      <c r="C107" s="927" t="str">
        <f>TEXT(B107,"aaa")</f>
        <v>Mon</v>
      </c>
      <c r="D107" s="515" t="n"/>
      <c r="E107" s="515" t="n"/>
      <c r="F107" s="515" t="n"/>
    </row>
    <row r="108">
      <c r="B108" s="927" t="str">
        <f>B107+1</f>
        <v>2026-01-13 00:00:00</v>
      </c>
      <c r="C108" s="927" t="str">
        <f>TEXT(B108,"aaa")</f>
        <v>Tue</v>
      </c>
      <c r="D108" s="515" t="n"/>
      <c r="E108" s="515" t="n"/>
      <c r="F108" s="515" t="n"/>
    </row>
    <row r="109">
      <c r="B109" s="927" t="str">
        <f>B108+1</f>
        <v>2026-01-14 00:00:00</v>
      </c>
      <c r="C109" s="927" t="str">
        <f>TEXT(B109,"aaa")</f>
        <v>Wed</v>
      </c>
      <c r="D109" s="515" t="n"/>
      <c r="E109" s="515" t="n"/>
      <c r="F109" s="515" t="n"/>
    </row>
    <row r="110">
      <c r="B110" s="927" t="str">
        <f>B109+1</f>
        <v>2026-01-15 00:00:00</v>
      </c>
      <c r="C110" s="927" t="str">
        <f>TEXT(B110,"aaa")</f>
        <v>Thu</v>
      </c>
      <c r="D110" s="515" t="n"/>
      <c r="E110" s="515" t="n"/>
      <c r="F110" s="515" t="n"/>
    </row>
    <row r="111">
      <c r="B111" s="927" t="str">
        <f>B110+1</f>
        <v>2026-01-16 00:00:00</v>
      </c>
      <c r="C111" s="927" t="str">
        <f>TEXT(B111,"aaa")</f>
        <v>Fri</v>
      </c>
      <c r="D111" s="515" t="n"/>
      <c r="E111" s="515" t="n"/>
      <c r="F111" s="515" t="n"/>
    </row>
    <row r="112">
      <c r="B112" s="942" t="str">
        <f>B111+1</f>
        <v>2026-01-17 00:00:00</v>
      </c>
      <c r="C112" s="942" t="str">
        <f>TEXT(B112,"aaa")</f>
        <v>Sat</v>
      </c>
      <c r="D112" s="515" t="n"/>
      <c r="E112" s="515" t="n"/>
      <c r="F112" s="515" t="n"/>
    </row>
    <row r="113">
      <c r="B113" s="943" t="str">
        <f>B112+1</f>
        <v>2026-01-18 00:00:00</v>
      </c>
      <c r="C113" s="943" t="str">
        <f>TEXT(B113,"aaa")</f>
        <v>Sun</v>
      </c>
      <c r="D113" s="515" t="n"/>
      <c r="E113" s="515" t="n"/>
      <c r="F113" s="515" t="n"/>
    </row>
    <row r="114">
      <c r="B114" s="927" t="str">
        <f>B113+1</f>
        <v>2026-01-19 00:00:00</v>
      </c>
      <c r="C114" s="927" t="str">
        <f>TEXT(B114,"aaa")</f>
        <v>Mon</v>
      </c>
      <c r="D114" s="515" t="n"/>
      <c r="E114" s="515" t="n"/>
      <c r="F114" s="515" t="n"/>
    </row>
    <row r="115">
      <c r="B115" s="927" t="str">
        <f>B114+1</f>
        <v>2026-01-20 00:00:00</v>
      </c>
      <c r="C115" s="927" t="str">
        <f>TEXT(B115,"aaa")</f>
        <v>Tue</v>
      </c>
      <c r="D115" s="515" t="n"/>
      <c r="E115" s="515" t="n"/>
      <c r="F115" s="515" t="n"/>
    </row>
    <row r="116">
      <c r="B116" s="927" t="str">
        <f>B115+1</f>
        <v>2026-01-21 00:00:00</v>
      </c>
      <c r="C116" s="927" t="str">
        <f>TEXT(B116,"aaa")</f>
        <v>Wed</v>
      </c>
      <c r="D116" s="515" t="n"/>
      <c r="E116" s="515" t="n"/>
      <c r="F116" s="515" t="n"/>
    </row>
    <row r="117">
      <c r="B117" s="927" t="str">
        <f>B116+1</f>
        <v>2026-01-22 00:00:00</v>
      </c>
      <c r="C117" s="927" t="str">
        <f>TEXT(B117,"aaa")</f>
        <v>Thu</v>
      </c>
      <c r="D117" s="515" t="n"/>
      <c r="E117" s="515" t="n"/>
      <c r="F117" s="515" t="n"/>
    </row>
    <row r="118">
      <c r="B118" s="927" t="str">
        <f>B117+1</f>
        <v>2026-01-23 00:00:00</v>
      </c>
      <c r="C118" s="927" t="str">
        <f>TEXT(B118,"aaa")</f>
        <v>Fri</v>
      </c>
      <c r="D118" s="515" t="n"/>
      <c r="E118" s="515" t="n"/>
      <c r="F118" s="515" t="n"/>
    </row>
    <row r="119">
      <c r="B119" s="942" t="str">
        <f>B118+1</f>
        <v>2026-01-24 00:00:00</v>
      </c>
      <c r="C119" s="942" t="str">
        <f>TEXT(B119,"aaa")</f>
        <v>Sat</v>
      </c>
      <c r="D119" s="515" t="n"/>
      <c r="E119" s="515" t="n"/>
      <c r="F119" s="515" t="n"/>
    </row>
    <row r="120">
      <c r="B120" s="943" t="str">
        <f>B119+1</f>
        <v>2026-01-25 00:00:00</v>
      </c>
      <c r="C120" s="943" t="str">
        <f>TEXT(B120,"aaa")</f>
        <v>Sun</v>
      </c>
      <c r="D120" s="515" t="n"/>
      <c r="E120" s="515" t="n"/>
      <c r="F120" s="515" t="n"/>
    </row>
    <row r="121">
      <c r="B121" s="927" t="str">
        <f>B120+1</f>
        <v>2026-01-26 00:00:00</v>
      </c>
      <c r="C121" s="927" t="str">
        <f>TEXT(B121,"aaa")</f>
        <v>Mon</v>
      </c>
      <c r="D121" s="515" t="n"/>
      <c r="E121" s="515" t="n"/>
      <c r="F121" s="515" t="n"/>
    </row>
    <row r="122">
      <c r="B122" s="927" t="str">
        <f>B121+1</f>
        <v>2026-01-27 00:00:00</v>
      </c>
      <c r="C122" s="927" t="str">
        <f>TEXT(B122,"aaa")</f>
        <v>Tue</v>
      </c>
      <c r="D122" s="515" t="n"/>
      <c r="E122" s="515" t="n"/>
      <c r="F122" s="515" t="n"/>
    </row>
    <row r="123">
      <c r="B123" s="927" t="str">
        <f>B122+1</f>
        <v>2026-01-28 00:00:00</v>
      </c>
      <c r="C123" s="927" t="str">
        <f>TEXT(B123,"aaa")</f>
        <v>Wed</v>
      </c>
      <c r="D123" s="515" t="n"/>
      <c r="E123" s="515" t="n"/>
      <c r="F123" s="515" t="n"/>
    </row>
    <row r="124">
      <c r="B124" s="927" t="str">
        <f>B123+1</f>
        <v>2026-01-29 00:00:00</v>
      </c>
      <c r="C124" s="927" t="str">
        <f>TEXT(B124,"aaa")</f>
        <v>Thu</v>
      </c>
      <c r="D124" s="515" t="n"/>
      <c r="E124" s="515" t="n"/>
      <c r="F124" s="515" t="n"/>
    </row>
    <row r="125">
      <c r="B125" s="927" t="str">
        <f>B124+1</f>
        <v>2026-01-30 00:00:00</v>
      </c>
      <c r="C125" s="927" t="str">
        <f>TEXT(B125,"aaa")</f>
        <v>Fri</v>
      </c>
      <c r="D125" s="515" t="n"/>
      <c r="E125" s="515" t="n"/>
      <c r="F125" s="515" t="n"/>
    </row>
    <row r="126">
      <c r="B126" s="942" t="str">
        <f>B125+1</f>
        <v>2026-01-31 00:00:00</v>
      </c>
      <c r="C126" s="942" t="str">
        <f>TEXT(B126,"aaa")</f>
        <v>Sat</v>
      </c>
      <c r="D126" s="515" t="n"/>
      <c r="E126" s="515" t="n"/>
      <c r="F126" s="515" t="n"/>
    </row>
    <row r="127">
      <c r="B127" s="943" t="str">
        <f>B126+1</f>
        <v>2026-02-01 00:00:00</v>
      </c>
      <c r="C127" s="943" t="str">
        <f>TEXT(B127,"aaa")</f>
        <v>Sun</v>
      </c>
      <c r="D127" s="515" t="n"/>
      <c r="E127" s="515" t="n"/>
      <c r="F127" s="515" t="n"/>
    </row>
    <row r="128">
      <c r="B128" s="927" t="str">
        <f>B127+1</f>
        <v>2026-02-02 00:00:00</v>
      </c>
      <c r="C128" s="927" t="str">
        <f>TEXT(B128,"aaa")</f>
        <v>Mon</v>
      </c>
      <c r="D128" s="515" t="n"/>
      <c r="E128" s="515" t="n"/>
      <c r="F128" s="515" t="n"/>
    </row>
    <row r="129">
      <c r="B129" s="927" t="str">
        <f>B128+1</f>
        <v>2026-02-03 00:00:00</v>
      </c>
      <c r="C129" s="927" t="str">
        <f>TEXT(B129,"aaa")</f>
        <v>Tue</v>
      </c>
      <c r="D129" s="515" t="n"/>
      <c r="E129" s="515" t="n"/>
      <c r="F129" s="515" t="n"/>
    </row>
    <row r="130">
      <c r="B130" s="927" t="str">
        <f>B129+1</f>
        <v>2026-02-04 00:00:00</v>
      </c>
      <c r="C130" s="927" t="str">
        <f>TEXT(B130,"aaa")</f>
        <v>Wed</v>
      </c>
      <c r="D130" s="515" t="n"/>
      <c r="E130" s="515" t="n"/>
      <c r="F130" s="515" t="n"/>
    </row>
    <row r="131">
      <c r="B131" s="927" t="str">
        <f>B130+1</f>
        <v>2026-02-05 00:00:00</v>
      </c>
      <c r="C131" s="927" t="str">
        <f>TEXT(B131,"aaa")</f>
        <v>Thu</v>
      </c>
      <c r="D131" s="515" t="n"/>
      <c r="E131" s="515" t="n"/>
      <c r="F131" s="515" t="n"/>
    </row>
    <row r="132">
      <c r="B132" s="927" t="str">
        <f>B131+1</f>
        <v>2026-02-06 00:00:00</v>
      </c>
      <c r="C132" s="927" t="str">
        <f>TEXT(B132,"aaa")</f>
        <v>Fri</v>
      </c>
      <c r="D132" s="515" t="n"/>
      <c r="E132" s="515" t="n"/>
      <c r="F132" s="515" t="n"/>
    </row>
    <row r="133">
      <c r="B133" s="942" t="str">
        <f>B132+1</f>
        <v>2026-02-07 00:00:00</v>
      </c>
      <c r="C133" s="942" t="str">
        <f>TEXT(B133,"aaa")</f>
        <v>Sat</v>
      </c>
      <c r="D133" s="515" t="n"/>
      <c r="E133" s="515" t="n"/>
      <c r="F133" s="515" t="n"/>
    </row>
    <row r="134">
      <c r="B134" s="943" t="str">
        <f>B133+1</f>
        <v>2026-02-08 00:00:00</v>
      </c>
      <c r="C134" s="943" t="str">
        <f>TEXT(B134,"aaa")</f>
        <v>Sun</v>
      </c>
      <c r="D134" s="515" t="n"/>
      <c r="E134" s="515" t="n"/>
      <c r="F134" s="515" t="n"/>
    </row>
    <row r="135">
      <c r="B135" s="927" t="str">
        <f>B134+1</f>
        <v>2026-02-09 00:00:00</v>
      </c>
      <c r="C135" s="927" t="str">
        <f>TEXT(B135,"aaa")</f>
        <v>Mon</v>
      </c>
      <c r="D135" s="515" t="n"/>
      <c r="E135" s="515" t="n"/>
      <c r="F135" s="515" t="n"/>
    </row>
    <row r="136">
      <c r="B136" s="927" t="str">
        <f>B135+1</f>
        <v>2026-02-10 00:00:00</v>
      </c>
      <c r="C136" s="927" t="str">
        <f>TEXT(B136,"aaa")</f>
        <v>Tue</v>
      </c>
      <c r="D136" s="515" t="n"/>
      <c r="E136" s="515" t="n"/>
      <c r="F136" s="515" t="n"/>
    </row>
    <row r="137">
      <c r="B137" s="946" t="str">
        <f>B136+1</f>
        <v>2026-02-11 00:00:00</v>
      </c>
      <c r="C137" s="946" t="str">
        <f>TEXT(B137,"aaa")</f>
        <v>Wed</v>
      </c>
      <c r="D137" s="515" t="n"/>
      <c r="E137" s="515" t="n"/>
      <c r="F137" s="515" t="n"/>
    </row>
    <row r="138">
      <c r="B138" s="927" t="str">
        <f>B137+1</f>
        <v>2026-02-12 00:00:00</v>
      </c>
      <c r="C138" s="927" t="str">
        <f>TEXT(B138,"aaa")</f>
        <v>Thu</v>
      </c>
      <c r="D138" s="515" t="n"/>
      <c r="E138" s="515" t="n"/>
      <c r="F138" s="515" t="n"/>
    </row>
    <row r="139">
      <c r="B139" s="927" t="str">
        <f>B138+1</f>
        <v>2026-02-13 00:00:00</v>
      </c>
      <c r="C139" s="927" t="str">
        <f>TEXT(B139,"aaa")</f>
        <v>Fri</v>
      </c>
      <c r="D139" s="515" t="n"/>
      <c r="E139" s="515" t="n"/>
      <c r="F139" s="515" t="n"/>
    </row>
    <row r="140">
      <c r="B140" s="942" t="str">
        <f>B139+1</f>
        <v>2026-02-14 00:00:00</v>
      </c>
      <c r="C140" s="942" t="str">
        <f>TEXT(B140,"aaa")</f>
        <v>Sat</v>
      </c>
      <c r="D140" s="515" t="n"/>
      <c r="E140" s="515" t="n"/>
      <c r="F140" s="515" t="n"/>
    </row>
    <row r="141">
      <c r="B141" s="943" t="str">
        <f>B140+1</f>
        <v>2026-02-15 00:00:00</v>
      </c>
      <c r="C141" s="943" t="str">
        <f>TEXT(B141,"aaa")</f>
        <v>Sun</v>
      </c>
      <c r="D141" s="515" t="n"/>
      <c r="E141" s="515" t="n"/>
      <c r="F141" s="515" t="n"/>
    </row>
    <row r="142">
      <c r="B142" s="927" t="str">
        <f>B141+1</f>
        <v>2026-02-16 00:00:00</v>
      </c>
      <c r="C142" s="927" t="str">
        <f>TEXT(B142,"aaa")</f>
        <v>Mon</v>
      </c>
      <c r="D142" s="515" t="n"/>
      <c r="E142" s="515" t="n"/>
      <c r="F142" s="515" t="n"/>
    </row>
    <row r="143">
      <c r="B143" s="927" t="str">
        <f>B142+1</f>
        <v>2026-02-17 00:00:00</v>
      </c>
      <c r="C143" s="927" t="str">
        <f>TEXT(B143,"aaa")</f>
        <v>Tue</v>
      </c>
      <c r="D143" s="515" t="n"/>
      <c r="E143" s="515" t="n"/>
      <c r="F143" s="515" t="n"/>
    </row>
    <row r="144">
      <c r="B144" s="927" t="str">
        <f>B143+1</f>
        <v>2026-02-18 00:00:00</v>
      </c>
      <c r="C144" s="927" t="str">
        <f>TEXT(B144,"aaa")</f>
        <v>Wed</v>
      </c>
      <c r="D144" s="515" t="n"/>
      <c r="E144" s="515" t="n"/>
      <c r="F144" s="515" t="n"/>
    </row>
    <row r="145">
      <c r="B145" s="927" t="str">
        <f>B144+1</f>
        <v>2026-02-19 00:00:00</v>
      </c>
      <c r="C145" s="927" t="str">
        <f>TEXT(B145,"aaa")</f>
        <v>Thu</v>
      </c>
      <c r="D145" s="515" t="n"/>
      <c r="E145" s="515" t="n"/>
      <c r="F145" s="515" t="n"/>
    </row>
    <row r="146">
      <c r="B146" s="927" t="str">
        <f>B145+1</f>
        <v>2026-02-20 00:00:00</v>
      </c>
      <c r="C146" s="927" t="str">
        <f>TEXT(B146,"aaa")</f>
        <v>Fri</v>
      </c>
      <c r="D146" s="515" t="n"/>
      <c r="E146" s="515" t="n"/>
      <c r="F146" s="515" t="n"/>
    </row>
    <row r="147">
      <c r="B147" s="942" t="str">
        <f>B146+1</f>
        <v>2026-02-21 00:00:00</v>
      </c>
      <c r="C147" s="942" t="str">
        <f>TEXT(B147,"aaa")</f>
        <v>Sat</v>
      </c>
      <c r="D147" s="515" t="n"/>
      <c r="E147" s="515" t="n"/>
      <c r="F147" s="515" t="n"/>
    </row>
    <row r="148">
      <c r="B148" s="943" t="str">
        <f>B147+1</f>
        <v>2026-02-22 00:00:00</v>
      </c>
      <c r="C148" s="943" t="str">
        <f>TEXT(B148,"aaa")</f>
        <v>Sun</v>
      </c>
      <c r="D148" s="515" t="n"/>
      <c r="E148" s="515" t="n"/>
      <c r="F148" s="515" t="n"/>
    </row>
    <row r="149">
      <c r="B149" s="946" t="str">
        <f>B148+1</f>
        <v>2026-02-23 00:00:00</v>
      </c>
      <c r="C149" s="946" t="str">
        <f>TEXT(B149,"aaa")</f>
        <v>Mon</v>
      </c>
      <c r="D149" s="515" t="n"/>
      <c r="E149" s="515" t="n"/>
      <c r="F149" s="515" t="n"/>
    </row>
    <row r="150">
      <c r="B150" s="927" t="str">
        <f>B149+1</f>
        <v>2026-02-24 00:00:00</v>
      </c>
      <c r="C150" s="927" t="str">
        <f>TEXT(B150,"aaa")</f>
        <v>Tue</v>
      </c>
      <c r="D150" s="515" t="n"/>
      <c r="E150" s="515" t="n"/>
      <c r="F150" s="515" t="n"/>
    </row>
    <row r="151">
      <c r="B151" s="927" t="str">
        <f>B150+1</f>
        <v>2026-02-25 00:00:00</v>
      </c>
      <c r="C151" s="927" t="str">
        <f>TEXT(B151,"aaa")</f>
        <v>Wed</v>
      </c>
      <c r="D151" s="515" t="n"/>
      <c r="E151" s="515" t="n"/>
      <c r="F151" s="515" t="n"/>
    </row>
    <row r="152">
      <c r="B152" s="927" t="str">
        <f>B151+1</f>
        <v>2026-02-26 00:00:00</v>
      </c>
      <c r="C152" s="927" t="str">
        <f>TEXT(B152,"aaa")</f>
        <v>Thu</v>
      </c>
      <c r="D152" s="515" t="n"/>
      <c r="E152" s="515" t="n"/>
      <c r="F152" s="515" t="n"/>
    </row>
    <row r="153">
      <c r="B153" s="927" t="str">
        <f>B152+1</f>
        <v>2026-02-27 00:00:00</v>
      </c>
      <c r="C153" s="927" t="str">
        <f>TEXT(B153,"aaa")</f>
        <v>Fri</v>
      </c>
      <c r="D153" s="515" t="n"/>
      <c r="E153" s="515" t="n"/>
      <c r="F153" s="515" t="n"/>
    </row>
    <row r="154">
      <c r="B154" s="942" t="str">
        <f>B153+1</f>
        <v>2026-02-28 00:00:00</v>
      </c>
      <c r="C154" s="942" t="str">
        <f>TEXT(B154,"aaa")</f>
        <v>Sat</v>
      </c>
      <c r="D154" s="515" t="n"/>
      <c r="E154" s="515" t="n"/>
      <c r="F154" s="515" t="n"/>
    </row>
    <row r="155">
      <c r="B155" s="943" t="str">
        <f>B154+1</f>
        <v>2026-03-01 00:00:00</v>
      </c>
      <c r="C155" s="943" t="str">
        <f>TEXT(B155,"aaa")</f>
        <v>Sun</v>
      </c>
      <c r="D155" s="515" t="n"/>
      <c r="E155" s="515" t="n"/>
      <c r="F155" s="515" t="n"/>
    </row>
    <row r="156">
      <c r="B156" s="927" t="str">
        <f>B155+1</f>
        <v>2026-03-02 00:00:00</v>
      </c>
      <c r="C156" s="927" t="str">
        <f>TEXT(B156,"aaa")</f>
        <v>Mon</v>
      </c>
      <c r="D156" s="515" t="n"/>
      <c r="E156" s="515" t="n"/>
      <c r="F156" s="515" t="n"/>
    </row>
    <row r="157">
      <c r="B157" s="927" t="str">
        <f>B156+1</f>
        <v>2026-03-03 00:00:00</v>
      </c>
      <c r="C157" s="927" t="str">
        <f>TEXT(B157,"aaa")</f>
        <v>Tue</v>
      </c>
      <c r="D157" s="515" t="n"/>
      <c r="E157" s="515" t="n"/>
      <c r="F157" s="515" t="n"/>
    </row>
    <row r="158">
      <c r="B158" s="927" t="str">
        <f>B157+1</f>
        <v>2026-03-04 00:00:00</v>
      </c>
      <c r="C158" s="927" t="str">
        <f>TEXT(B158,"aaa")</f>
        <v>Wed</v>
      </c>
      <c r="D158" s="515" t="n"/>
      <c r="E158" s="515" t="n"/>
      <c r="F158" s="515" t="n"/>
    </row>
    <row r="159">
      <c r="B159" s="927" t="str">
        <f>B158+1</f>
        <v>2026-03-05 00:00:00</v>
      </c>
      <c r="C159" s="927" t="str">
        <f>TEXT(B159,"aaa")</f>
        <v>Thu</v>
      </c>
      <c r="D159" s="515" t="n"/>
      <c r="E159" s="515" t="n"/>
      <c r="F159" s="515" t="n"/>
    </row>
    <row r="160">
      <c r="B160" s="927" t="str">
        <f>B159+1</f>
        <v>2026-03-06 00:00:00</v>
      </c>
      <c r="C160" s="927" t="str">
        <f>TEXT(B160,"aaa")</f>
        <v>Fri</v>
      </c>
      <c r="D160" s="515" t="n"/>
      <c r="E160" s="515" t="n"/>
      <c r="F160" s="515" t="n"/>
    </row>
    <row r="161">
      <c r="B161" s="942" t="str">
        <f>B160+1</f>
        <v>2026-03-07 00:00:00</v>
      </c>
      <c r="C161" s="942" t="str">
        <f>TEXT(B161,"aaa")</f>
        <v>Sat</v>
      </c>
      <c r="D161" s="515" t="n"/>
      <c r="E161" s="515" t="n"/>
      <c r="F161" s="515" t="n"/>
    </row>
    <row r="162">
      <c r="B162" s="943" t="str">
        <f>B161+1</f>
        <v>2026-03-08 00:00:00</v>
      </c>
      <c r="C162" s="943" t="str">
        <f>TEXT(B162,"aaa")</f>
        <v>Sun</v>
      </c>
      <c r="D162" s="515" t="n"/>
      <c r="E162" s="515" t="n"/>
      <c r="F162" s="515" t="n"/>
    </row>
    <row r="163">
      <c r="B163" s="927" t="str">
        <f>B162+1</f>
        <v>2026-03-09 00:00:00</v>
      </c>
      <c r="C163" s="927" t="str">
        <f>TEXT(B163,"aaa")</f>
        <v>Mon</v>
      </c>
      <c r="D163" s="515" t="n"/>
      <c r="E163" s="515" t="n"/>
      <c r="F163" s="515" t="n"/>
    </row>
    <row r="164">
      <c r="B164" s="927" t="str">
        <f>B163+1</f>
        <v>2026-03-10 00:00:00</v>
      </c>
      <c r="C164" s="927" t="str">
        <f>TEXT(B164,"aaa")</f>
        <v>Tue</v>
      </c>
      <c r="D164" s="515" t="n"/>
      <c r="E164" s="515" t="n"/>
      <c r="F164" s="515" t="n"/>
    </row>
    <row r="165">
      <c r="B165" s="927" t="str">
        <f>B164+1</f>
        <v>2026-03-11 00:00:00</v>
      </c>
      <c r="C165" s="927" t="str">
        <f>TEXT(B165,"aaa")</f>
        <v>Wed</v>
      </c>
      <c r="D165" s="515" t="n"/>
      <c r="E165" s="515" t="n"/>
      <c r="F165" s="515" t="n"/>
    </row>
    <row r="166">
      <c r="B166" s="927" t="str">
        <f>B165+1</f>
        <v>2026-03-12 00:00:00</v>
      </c>
      <c r="C166" s="927" t="str">
        <f>TEXT(B166,"aaa")</f>
        <v>Thu</v>
      </c>
      <c r="D166" s="515" t="n"/>
      <c r="E166" s="515" t="n"/>
      <c r="F166" s="515" t="n"/>
    </row>
    <row r="167">
      <c r="B167" s="927" t="str">
        <f>B166+1</f>
        <v>2026-03-13 00:00:00</v>
      </c>
      <c r="C167" s="927" t="str">
        <f>TEXT(B167,"aaa")</f>
        <v>Fri</v>
      </c>
      <c r="D167" s="515" t="n"/>
      <c r="E167" s="515" t="n"/>
      <c r="F167" s="515" t="n"/>
    </row>
    <row r="168">
      <c r="B168" s="942" t="str">
        <f>B167+1</f>
        <v>2026-03-14 00:00:00</v>
      </c>
      <c r="C168" s="942" t="str">
        <f>TEXT(B168,"aaa")</f>
        <v>Sat</v>
      </c>
      <c r="D168" s="515" t="n"/>
      <c r="E168" s="515" t="n"/>
      <c r="F168" s="515" t="n"/>
    </row>
    <row r="169">
      <c r="B169" s="943" t="str">
        <f>B168+1</f>
        <v>2026-03-15 00:00:00</v>
      </c>
      <c r="C169" s="943" t="str">
        <f>TEXT(B169,"aaa")</f>
        <v>Sun</v>
      </c>
      <c r="D169" s="515" t="n"/>
      <c r="E169" s="515" t="n"/>
      <c r="F169" s="515" t="n"/>
    </row>
    <row r="170">
      <c r="B170" s="927" t="str">
        <f>B169+1</f>
        <v>2026-03-16 00:00:00</v>
      </c>
      <c r="C170" s="927" t="str">
        <f>TEXT(B170,"aaa")</f>
        <v>Mon</v>
      </c>
      <c r="D170" s="515" t="n"/>
      <c r="E170" s="515" t="n"/>
      <c r="F170" s="515" t="n"/>
    </row>
    <row r="171">
      <c r="B171" s="927" t="str">
        <f>B170+1</f>
        <v>2026-03-17 00:00:00</v>
      </c>
      <c r="C171" s="927" t="str">
        <f>TEXT(B171,"aaa")</f>
        <v>Tue</v>
      </c>
      <c r="D171" s="515" t="n"/>
      <c r="E171" s="515" t="n"/>
      <c r="F171" s="515" t="n"/>
    </row>
    <row r="172">
      <c r="B172" s="927" t="str">
        <f>B171+1</f>
        <v>2026-03-18 00:00:00</v>
      </c>
      <c r="C172" s="927" t="str">
        <f>TEXT(B172,"aaa")</f>
        <v>Wed</v>
      </c>
      <c r="D172" s="515" t="n"/>
      <c r="E172" s="515" t="n"/>
      <c r="F172" s="515" t="n"/>
    </row>
    <row r="173">
      <c r="B173" s="927" t="str">
        <f>B172+1</f>
        <v>2026-03-19 00:00:00</v>
      </c>
      <c r="C173" s="927" t="str">
        <f>TEXT(B173,"aaa")</f>
        <v>Thu</v>
      </c>
      <c r="D173" s="515" t="n"/>
      <c r="E173" s="515" t="n"/>
      <c r="F173" s="515" t="n"/>
    </row>
    <row r="174">
      <c r="B174" s="946" t="str">
        <f>B173+1</f>
        <v>2026-03-20 00:00:00</v>
      </c>
      <c r="C174" s="946" t="str">
        <f>TEXT(B174,"aaa")</f>
        <v>Fri</v>
      </c>
      <c r="D174" s="515" t="n"/>
      <c r="E174" s="515" t="n"/>
      <c r="F174" s="515" t="n"/>
    </row>
    <row r="175">
      <c r="B175" s="942" t="str">
        <f>B174+1</f>
        <v>2026-03-21 00:00:00</v>
      </c>
      <c r="C175" s="942" t="str">
        <f>TEXT(B175,"aaa")</f>
        <v>Sat</v>
      </c>
      <c r="D175" s="515" t="n"/>
      <c r="E175" s="515" t="n"/>
      <c r="F175" s="515" t="n"/>
    </row>
    <row r="176">
      <c r="B176" s="943" t="str">
        <f>B175+1</f>
        <v>2026-03-22 00:00:00</v>
      </c>
      <c r="C176" s="943" t="str">
        <f>TEXT(B176,"aaa")</f>
        <v>Sun</v>
      </c>
      <c r="D176" s="515" t="n"/>
      <c r="E176" s="515" t="n"/>
      <c r="F176" s="515" t="n"/>
    </row>
    <row r="177">
      <c r="B177" s="927" t="str">
        <f>B176+1</f>
        <v>2026-03-23 00:00:00</v>
      </c>
      <c r="C177" s="927" t="str">
        <f>TEXT(B177,"aaa")</f>
        <v>Mon</v>
      </c>
      <c r="D177" s="515" t="n"/>
      <c r="E177" s="515" t="n"/>
      <c r="F177" s="515" t="n"/>
    </row>
    <row r="178">
      <c r="B178" s="927" t="str">
        <f>B177+1</f>
        <v>2026-03-24 00:00:00</v>
      </c>
      <c r="C178" s="927" t="str">
        <f>TEXT(B178,"aaa")</f>
        <v>Tue</v>
      </c>
      <c r="D178" s="515" t="n"/>
      <c r="E178" s="515" t="n"/>
      <c r="F178" s="515" t="n"/>
    </row>
    <row r="179">
      <c r="B179" s="927" t="str">
        <f>B178+1</f>
        <v>2026-03-25 00:00:00</v>
      </c>
      <c r="C179" s="927" t="str">
        <f>TEXT(B179,"aaa")</f>
        <v>Wed</v>
      </c>
      <c r="D179" s="515" t="n"/>
      <c r="E179" s="515" t="n"/>
      <c r="F179" s="515" t="n"/>
    </row>
    <row r="180">
      <c r="B180" s="927" t="str">
        <f>B179+1</f>
        <v>2026-03-26 00:00:00</v>
      </c>
      <c r="C180" s="927" t="str">
        <f>TEXT(B180,"aaa")</f>
        <v>Thu</v>
      </c>
      <c r="D180" s="515" t="n"/>
      <c r="E180" s="515" t="n"/>
      <c r="F180" s="515" t="n"/>
    </row>
    <row r="181">
      <c r="B181" s="927" t="str">
        <f>B180+1</f>
        <v>2026-03-27 00:00:00</v>
      </c>
      <c r="C181" s="927" t="str">
        <f>TEXT(B181,"aaa")</f>
        <v>Fri</v>
      </c>
      <c r="D181" s="515" t="n"/>
      <c r="E181" s="515" t="n"/>
      <c r="F181" s="515" t="n"/>
    </row>
    <row r="182">
      <c r="B182" s="942" t="str">
        <f>B181+1</f>
        <v>2026-03-28 00:00:00</v>
      </c>
      <c r="C182" s="942" t="str">
        <f>TEXT(B182,"aaa")</f>
        <v>Sat</v>
      </c>
      <c r="D182" s="515" t="n"/>
      <c r="E182" s="515" t="n"/>
      <c r="F182" s="515" t="n"/>
    </row>
    <row r="183">
      <c r="B183" s="943" t="str">
        <f>B182+1</f>
        <v>2026-03-29 00:00:00</v>
      </c>
      <c r="C183" s="943" t="str">
        <f>TEXT(B183,"aaa")</f>
        <v>Sun</v>
      </c>
      <c r="D183" s="515" t="n"/>
      <c r="E183" s="515" t="n"/>
      <c r="F183" s="515" t="n"/>
    </row>
    <row r="184">
      <c r="B184" s="927" t="str">
        <f>B183+1</f>
        <v>2026-03-30 00:00:00</v>
      </c>
      <c r="C184" s="927" t="str">
        <f>TEXT(B184,"aaa")</f>
        <v>Mon</v>
      </c>
      <c r="D184" s="515" t="n"/>
      <c r="E184" s="515" t="n"/>
      <c r="F184" s="515" t="n"/>
    </row>
    <row r="185">
      <c r="B185" s="927" t="str">
        <f>B184+1</f>
        <v>2026-03-31 00:00:00</v>
      </c>
      <c r="C185" s="927" t="str">
        <f>TEXT(B185,"aaa")</f>
        <v>Tue</v>
      </c>
      <c r="D185" s="515" t="n"/>
      <c r="E185" s="515" t="n"/>
      <c r="F185" s="515" t="n"/>
    </row>
    <row r="186">
      <c r="B186" s="927" t="str">
        <f>B185+1</f>
        <v>2026-04-01 00:00:00</v>
      </c>
      <c r="C186" s="927" t="str">
        <f>TEXT(B186,"aaa")</f>
        <v>Wed</v>
      </c>
      <c r="D186" s="515" t="n"/>
      <c r="E186" s="515" t="n"/>
      <c r="F186" s="515" t="n"/>
    </row>
    <row r="187">
      <c r="B187" s="927" t="str">
        <f>B186+1</f>
        <v>2026-04-02 00:00:00</v>
      </c>
      <c r="C187" s="927" t="str">
        <f>TEXT(B187,"aaa")</f>
        <v>Thu</v>
      </c>
      <c r="D187" s="515" t="n"/>
      <c r="E187" s="515" t="n"/>
      <c r="F187" s="515" t="n"/>
    </row>
    <row r="188">
      <c r="B188" s="927" t="str">
        <f>B187+1</f>
        <v>2026-04-03 00:00:00</v>
      </c>
      <c r="C188" s="927" t="str">
        <f>TEXT(B188,"aaa")</f>
        <v>Fri</v>
      </c>
      <c r="D188" s="515" t="n"/>
      <c r="E188" s="515" t="n"/>
      <c r="F188" s="515" t="n"/>
    </row>
    <row r="189">
      <c r="B189" s="942" t="str">
        <f>B188+1</f>
        <v>2026-04-04 00:00:00</v>
      </c>
      <c r="C189" s="942" t="str">
        <f>TEXT(B189,"aaa")</f>
        <v>Sat</v>
      </c>
      <c r="D189" s="515" t="n"/>
      <c r="E189" s="515" t="n"/>
      <c r="F189" s="515" t="n"/>
    </row>
    <row r="190">
      <c r="B190" s="943" t="str">
        <f>B189+1</f>
        <v>2026-04-05 00:00:00</v>
      </c>
      <c r="C190" s="943" t="str">
        <f>TEXT(B190,"aaa")</f>
        <v>Sun</v>
      </c>
      <c r="D190" s="515" t="n"/>
      <c r="E190" s="515" t="n"/>
      <c r="F190" s="515" t="n"/>
    </row>
    <row r="191">
      <c r="B191" s="927" t="str">
        <f>B190+1</f>
        <v>2026-04-06 00:00:00</v>
      </c>
      <c r="C191" s="927" t="str">
        <f>TEXT(B191,"aaa")</f>
        <v>Mon</v>
      </c>
      <c r="D191" s="515" t="n"/>
      <c r="E191" s="515" t="n"/>
      <c r="F191" s="515" t="n"/>
    </row>
    <row r="192">
      <c r="B192" s="927" t="str">
        <f>B191+1</f>
        <v>2026-04-07 00:00:00</v>
      </c>
      <c r="C192" s="927" t="str">
        <f>TEXT(B192,"aaa")</f>
        <v>Tue</v>
      </c>
      <c r="D192" s="515" t="n"/>
      <c r="E192" s="515" t="n"/>
      <c r="F192" s="515" t="n"/>
    </row>
    <row r="193">
      <c r="B193" s="927" t="str">
        <f>B192+1</f>
        <v>2026-04-08 00:00:00</v>
      </c>
      <c r="C193" s="927" t="str">
        <f>TEXT(B193,"aaa")</f>
        <v>Wed</v>
      </c>
      <c r="D193" s="515" t="n"/>
      <c r="E193" s="515" t="n"/>
      <c r="F193" s="515" t="n"/>
    </row>
    <row r="194">
      <c r="B194" s="927" t="str">
        <f>B193+1</f>
        <v>2026-04-09 00:00:00</v>
      </c>
      <c r="C194" s="927" t="str">
        <f>TEXT(B194,"aaa")</f>
        <v>Thu</v>
      </c>
      <c r="D194" s="515" t="n"/>
      <c r="E194" s="515" t="n"/>
      <c r="F194" s="515" t="n"/>
    </row>
    <row r="195">
      <c r="B195" s="927" t="str">
        <f>B194+1</f>
        <v>2026-04-10 00:00:00</v>
      </c>
      <c r="C195" s="927" t="str">
        <f>TEXT(B195,"aaa")</f>
        <v>Fri</v>
      </c>
      <c r="D195" s="515" t="n"/>
      <c r="E195" s="515" t="n"/>
      <c r="F195" s="515" t="n"/>
    </row>
    <row r="196">
      <c r="B196" s="942" t="str">
        <f>B195+1</f>
        <v>2026-04-11 00:00:00</v>
      </c>
      <c r="C196" s="942" t="str">
        <f>TEXT(B196,"aaa")</f>
        <v>Sat</v>
      </c>
      <c r="D196" s="515" t="n"/>
      <c r="E196" s="515" t="n"/>
      <c r="F196" s="515" t="n"/>
    </row>
    <row r="197">
      <c r="B197" s="943" t="str">
        <f>B196+1</f>
        <v>2026-04-12 00:00:00</v>
      </c>
      <c r="C197" s="943" t="str">
        <f>TEXT(B197,"aaa")</f>
        <v>Sun</v>
      </c>
      <c r="D197" s="515" t="n"/>
      <c r="E197" s="515" t="n"/>
      <c r="F197" s="515" t="n"/>
    </row>
    <row r="198">
      <c r="B198" s="927" t="str">
        <f>B197+1</f>
        <v>2026-04-13 00:00:00</v>
      </c>
      <c r="C198" s="927" t="str">
        <f>TEXT(B198,"aaa")</f>
        <v>Mon</v>
      </c>
      <c r="D198" s="515" t="n"/>
      <c r="E198" s="515" t="n"/>
      <c r="F198" s="515" t="n"/>
    </row>
    <row r="199">
      <c r="B199" s="927" t="str">
        <f>B198+1</f>
        <v>2026-04-14 00:00:00</v>
      </c>
      <c r="C199" s="927" t="str">
        <f>TEXT(B199,"aaa")</f>
        <v>Tue</v>
      </c>
      <c r="D199" s="515" t="n"/>
      <c r="E199" s="515" t="n"/>
      <c r="F199" s="515" t="n"/>
    </row>
    <row r="200">
      <c r="B200" s="927" t="str">
        <f>B199+1</f>
        <v>2026-04-15 00:00:00</v>
      </c>
      <c r="C200" s="927" t="str">
        <f>TEXT(B200,"aaa")</f>
        <v>Wed</v>
      </c>
      <c r="D200" s="515" t="n"/>
      <c r="E200" s="515" t="n"/>
      <c r="F200" s="515" t="n"/>
    </row>
    <row r="201">
      <c r="B201" s="927" t="str">
        <f>B200+1</f>
        <v>2026-04-16 00:00:00</v>
      </c>
      <c r="C201" s="927" t="str">
        <f>TEXT(B201,"aaa")</f>
        <v>Thu</v>
      </c>
      <c r="D201" s="515" t="n"/>
      <c r="E201" s="515" t="n"/>
      <c r="F201" s="515" t="n"/>
    </row>
    <row r="202">
      <c r="B202" s="927" t="str">
        <f>B201+1</f>
        <v>2026-04-17 00:00:00</v>
      </c>
      <c r="C202" s="927" t="str">
        <f>TEXT(B202,"aaa")</f>
        <v>Fri</v>
      </c>
      <c r="D202" s="515" t="n"/>
      <c r="E202" s="515" t="n"/>
      <c r="F202" s="515" t="n"/>
    </row>
    <row r="203">
      <c r="B203" s="942" t="str">
        <f>B202+1</f>
        <v>2026-04-18 00:00:00</v>
      </c>
      <c r="C203" s="942" t="str">
        <f>TEXT(B203,"aaa")</f>
        <v>Sat</v>
      </c>
      <c r="D203" s="515" t="n"/>
      <c r="E203" s="515" t="n"/>
      <c r="F203" s="515" t="n"/>
    </row>
    <row r="204">
      <c r="B204" s="943" t="str">
        <f>B203+1</f>
        <v>2026-04-19 00:00:00</v>
      </c>
      <c r="C204" s="943" t="str">
        <f>TEXT(B204,"aaa")</f>
        <v>Sun</v>
      </c>
      <c r="D204" s="515" t="n"/>
      <c r="E204" s="515" t="n"/>
      <c r="F204" s="515" t="n"/>
    </row>
    <row r="205">
      <c r="B205" s="927" t="str">
        <f>B204+1</f>
        <v>2026-04-20 00:00:00</v>
      </c>
      <c r="C205" s="927" t="str">
        <f>TEXT(B205,"aaa")</f>
        <v>Mon</v>
      </c>
      <c r="D205" s="515" t="n"/>
      <c r="E205" s="515" t="n"/>
      <c r="F205" s="515" t="n"/>
    </row>
    <row r="206">
      <c r="B206" s="927" t="str">
        <f>B205+1</f>
        <v>2026-04-21 00:00:00</v>
      </c>
      <c r="C206" s="927" t="str">
        <f>TEXT(B206,"aaa")</f>
        <v>Tue</v>
      </c>
      <c r="D206" s="515" t="n"/>
      <c r="E206" s="515" t="n"/>
      <c r="F206" s="515" t="n"/>
    </row>
    <row r="207">
      <c r="B207" s="927" t="str">
        <f>B206+1</f>
        <v>2026-04-22 00:00:00</v>
      </c>
      <c r="C207" s="927" t="str">
        <f>TEXT(B207,"aaa")</f>
        <v>Wed</v>
      </c>
      <c r="D207" s="515" t="n"/>
      <c r="E207" s="515" t="n"/>
      <c r="F207" s="515" t="n"/>
    </row>
    <row r="208">
      <c r="B208" s="927" t="str">
        <f>B207+1</f>
        <v>2026-04-23 00:00:00</v>
      </c>
      <c r="C208" s="927" t="str">
        <f>TEXT(B208,"aaa")</f>
        <v>Thu</v>
      </c>
      <c r="D208" s="515" t="n"/>
      <c r="E208" s="515" t="n"/>
      <c r="F208" s="515" t="n"/>
    </row>
    <row r="209">
      <c r="B209" s="927" t="str">
        <f>B208+1</f>
        <v>2026-04-24 00:00:00</v>
      </c>
      <c r="C209" s="927" t="str">
        <f>TEXT(B209,"aaa")</f>
        <v>Fri</v>
      </c>
      <c r="D209" s="515" t="n"/>
      <c r="E209" s="515" t="n"/>
      <c r="F209" s="515" t="n"/>
    </row>
    <row r="210">
      <c r="B210" s="942" t="str">
        <f>B209+1</f>
        <v>2026-04-25 00:00:00</v>
      </c>
      <c r="C210" s="942" t="str">
        <f>TEXT(B210,"aaa")</f>
        <v>Sat</v>
      </c>
      <c r="D210" s="515" t="n"/>
      <c r="E210" s="515" t="n"/>
      <c r="F210" s="515" t="n"/>
    </row>
    <row r="211">
      <c r="B211" s="943" t="str">
        <f>B210+1</f>
        <v>2026-04-26 00:00:00</v>
      </c>
      <c r="C211" s="943" t="str">
        <f>TEXT(B211,"aaa")</f>
        <v>Sun</v>
      </c>
      <c r="D211" s="515" t="n"/>
      <c r="E211" s="515" t="n"/>
      <c r="F211" s="515" t="n"/>
    </row>
    <row r="212">
      <c r="B212" s="927" t="str">
        <f>B211+1</f>
        <v>2026-04-27 00:00:00</v>
      </c>
      <c r="C212" s="927" t="str">
        <f>TEXT(B212,"aaa")</f>
        <v>Mon</v>
      </c>
      <c r="D212" s="515" t="n"/>
      <c r="E212" s="515" t="n"/>
      <c r="F212" s="515" t="n"/>
    </row>
    <row r="213">
      <c r="B213" s="927" t="str">
        <f>B212+1</f>
        <v>2026-04-28 00:00:00</v>
      </c>
      <c r="C213" s="927" t="str">
        <f>TEXT(B213,"aaa")</f>
        <v>Tue</v>
      </c>
      <c r="D213" s="515" t="n"/>
      <c r="E213" s="515" t="n"/>
      <c r="F213" s="515" t="n"/>
    </row>
    <row r="214">
      <c r="B214" s="946" t="str">
        <f>B213+1</f>
        <v>2026-04-29 00:00:00</v>
      </c>
      <c r="C214" s="946" t="str">
        <f>TEXT(B214,"aaa")</f>
        <v>Wed</v>
      </c>
      <c r="D214" s="515" t="n"/>
      <c r="E214" s="515" t="n"/>
      <c r="F214" s="515" t="n"/>
    </row>
    <row r="215">
      <c r="B215" s="927" t="str">
        <f>B214+1</f>
        <v>2026-04-30 00:00:00</v>
      </c>
      <c r="C215" s="927" t="str">
        <f>TEXT(B215,"aaa")</f>
        <v>Thu</v>
      </c>
      <c r="D215" s="515" t="n"/>
      <c r="E215" s="515" t="n"/>
      <c r="F215" s="515" t="n"/>
    </row>
    <row r="216">
      <c r="B216" s="927" t="str">
        <f>B215+1</f>
        <v>2026-05-01 00:00:00</v>
      </c>
      <c r="C216" s="927" t="str">
        <f>TEXT(B216,"aaa")</f>
        <v>Fri</v>
      </c>
      <c r="D216" s="515" t="n"/>
      <c r="E216" s="515" t="n"/>
      <c r="F216" s="515" t="n"/>
    </row>
    <row r="217">
      <c r="B217" s="942" t="str">
        <f>B216+1</f>
        <v>2026-05-02 00:00:00</v>
      </c>
      <c r="C217" s="942" t="str">
        <f>TEXT(B217,"aaa")</f>
        <v>Sat</v>
      </c>
      <c r="D217" s="515" t="n"/>
      <c r="E217" s="515" t="n"/>
      <c r="F217" s="515" t="n"/>
    </row>
    <row r="218">
      <c r="B218" s="946" t="str">
        <f>B217+1</f>
        <v>2026-05-03 00:00:00</v>
      </c>
      <c r="C218" s="946" t="str">
        <f>TEXT(B218,"aaa")</f>
        <v>Sun</v>
      </c>
      <c r="D218" s="515" t="n"/>
      <c r="E218" s="515" t="n"/>
      <c r="F218" s="515" t="n"/>
    </row>
    <row r="219">
      <c r="B219" s="946" t="str">
        <f>B218+1</f>
        <v>2026-05-04 00:00:00</v>
      </c>
      <c r="C219" s="946" t="str">
        <f>TEXT(B219,"aaa")</f>
        <v>Mon</v>
      </c>
      <c r="D219" s="515" t="n"/>
      <c r="E219" s="515" t="n"/>
      <c r="F219" s="515" t="n"/>
    </row>
    <row r="220">
      <c r="B220" s="946" t="str">
        <f>B219+1</f>
        <v>2026-05-05 00:00:00</v>
      </c>
      <c r="C220" s="946" t="str">
        <f>TEXT(B220,"aaa")</f>
        <v>Tue</v>
      </c>
      <c r="D220" s="515" t="n"/>
      <c r="E220" s="515" t="n"/>
      <c r="F220" s="515" t="n"/>
    </row>
    <row r="221">
      <c r="B221" s="946" t="str">
        <f>B220+1</f>
        <v>2026-05-06 00:00:00</v>
      </c>
      <c r="C221" s="946" t="str">
        <f>TEXT(B221,"aaa")</f>
        <v>Wed</v>
      </c>
      <c r="D221" s="515" t="n"/>
      <c r="E221" s="515" t="n"/>
      <c r="F221" s="515" t="n"/>
    </row>
    <row r="222">
      <c r="B222" s="927" t="str">
        <f>B221+1</f>
        <v>2026-05-07 00:00:00</v>
      </c>
      <c r="C222" s="927" t="str">
        <f>TEXT(B222,"aaa")</f>
        <v>Thu</v>
      </c>
      <c r="D222" s="515" t="n"/>
      <c r="E222" s="515" t="n"/>
      <c r="F222" s="515" t="n"/>
    </row>
    <row r="223">
      <c r="B223" s="927" t="str">
        <f>B222+1</f>
        <v>2026-05-08 00:00:00</v>
      </c>
      <c r="C223" s="927" t="str">
        <f>TEXT(B223,"aaa")</f>
        <v>Fri</v>
      </c>
      <c r="D223" s="515" t="n"/>
      <c r="E223" s="515" t="n"/>
      <c r="F223" s="515" t="n"/>
    </row>
    <row r="224">
      <c r="B224" s="942" t="str">
        <f>B223+1</f>
        <v>2026-05-09 00:00:00</v>
      </c>
      <c r="C224" s="942" t="str">
        <f>TEXT(B224,"aaa")</f>
        <v>Sat</v>
      </c>
      <c r="D224" s="515" t="n"/>
      <c r="E224" s="515" t="n"/>
      <c r="F224" s="515" t="n"/>
    </row>
    <row r="225">
      <c r="B225" s="943" t="str">
        <f>B224+1</f>
        <v>2026-05-10 00:00:00</v>
      </c>
      <c r="C225" s="943" t="str">
        <f>TEXT(B225,"aaa")</f>
        <v>Sun</v>
      </c>
      <c r="D225" s="515" t="n"/>
      <c r="E225" s="515" t="n"/>
      <c r="F225" s="515" t="n"/>
    </row>
    <row r="226">
      <c r="B226" s="927" t="str">
        <f>B225+1</f>
        <v>2026-05-11 00:00:00</v>
      </c>
      <c r="C226" s="927" t="str">
        <f>TEXT(B226,"aaa")</f>
        <v>Mon</v>
      </c>
      <c r="D226" s="515" t="n"/>
      <c r="E226" s="515" t="n"/>
      <c r="F226" s="515" t="n"/>
    </row>
    <row r="227">
      <c r="B227" s="927" t="str">
        <f>B226+1</f>
        <v>2026-05-12 00:00:00</v>
      </c>
      <c r="C227" s="927" t="str">
        <f>TEXT(B227,"aaa")</f>
        <v>Tue</v>
      </c>
      <c r="D227" s="515" t="n"/>
      <c r="E227" s="515" t="n"/>
      <c r="F227" s="515" t="n"/>
    </row>
    <row r="228">
      <c r="B228" s="927" t="str">
        <f>B227+1</f>
        <v>2026-05-13 00:00:00</v>
      </c>
      <c r="C228" s="927" t="str">
        <f>TEXT(B228,"aaa")</f>
        <v>Wed</v>
      </c>
      <c r="D228" s="515" t="n"/>
      <c r="E228" s="515" t="n"/>
      <c r="F228" s="515" t="n"/>
    </row>
    <row r="229">
      <c r="B229" s="927" t="str">
        <f>B228+1</f>
        <v>2026-05-14 00:00:00</v>
      </c>
      <c r="C229" s="927" t="str">
        <f>TEXT(B229,"aaa")</f>
        <v>Thu</v>
      </c>
      <c r="D229" s="515" t="n"/>
      <c r="E229" s="515" t="n"/>
      <c r="F229" s="515" t="n"/>
    </row>
    <row r="230">
      <c r="B230" s="927" t="str">
        <f>B229+1</f>
        <v>2026-05-15 00:00:00</v>
      </c>
      <c r="C230" s="927" t="str">
        <f>TEXT(B230,"aaa")</f>
        <v>Fri</v>
      </c>
      <c r="D230" s="515" t="n"/>
      <c r="E230" s="515" t="n"/>
      <c r="F230" s="515" t="n"/>
    </row>
    <row r="231">
      <c r="B231" s="942" t="str">
        <f>B230+1</f>
        <v>2026-05-16 00:00:00</v>
      </c>
      <c r="C231" s="942" t="str">
        <f>TEXT(B231,"aaa")</f>
        <v>Sat</v>
      </c>
      <c r="D231" s="515" t="n"/>
      <c r="E231" s="515" t="n"/>
      <c r="F231" s="515" t="n"/>
    </row>
    <row r="232">
      <c r="B232" s="943" t="str">
        <f>B231+1</f>
        <v>2026-05-17 00:00:00</v>
      </c>
      <c r="C232" s="943" t="str">
        <f>TEXT(B232,"aaa")</f>
        <v>Sun</v>
      </c>
      <c r="D232" s="515" t="n"/>
      <c r="E232" s="515" t="n"/>
      <c r="F232" s="515" t="n"/>
    </row>
    <row r="233">
      <c r="B233" s="927" t="str">
        <f>B232+1</f>
        <v>2026-05-18 00:00:00</v>
      </c>
      <c r="C233" s="927" t="str">
        <f>TEXT(B233,"aaa")</f>
        <v>Mon</v>
      </c>
      <c r="D233" s="515" t="n"/>
      <c r="E233" s="515" t="n"/>
      <c r="F233" s="515" t="n"/>
    </row>
    <row r="234">
      <c r="B234" s="927" t="str">
        <f>B233+1</f>
        <v>2026-05-19 00:00:00</v>
      </c>
      <c r="C234" s="927" t="str">
        <f>TEXT(B234,"aaa")</f>
        <v>Tue</v>
      </c>
      <c r="D234" s="515" t="n"/>
      <c r="E234" s="515" t="n"/>
      <c r="F234" s="515" t="n"/>
    </row>
    <row r="235">
      <c r="B235" s="927" t="str">
        <f>B234+1</f>
        <v>2026-05-20 00:00:00</v>
      </c>
      <c r="C235" s="927" t="str">
        <f>TEXT(B235,"aaa")</f>
        <v>Wed</v>
      </c>
      <c r="D235" s="515" t="n"/>
      <c r="E235" s="515" t="n"/>
      <c r="F235" s="515" t="n"/>
    </row>
    <row r="236">
      <c r="B236" s="927" t="str">
        <f>B235+1</f>
        <v>2026-05-21 00:00:00</v>
      </c>
      <c r="C236" s="927" t="str">
        <f>TEXT(B236,"aaa")</f>
        <v>Thu</v>
      </c>
      <c r="D236" s="515" t="n"/>
      <c r="E236" s="515" t="n"/>
      <c r="F236" s="515" t="n"/>
    </row>
    <row r="237">
      <c r="B237" s="927" t="str">
        <f>B236+1</f>
        <v>2026-05-22 00:00:00</v>
      </c>
      <c r="C237" s="927" t="str">
        <f>TEXT(B237,"aaa")</f>
        <v>Fri</v>
      </c>
      <c r="D237" s="515" t="n"/>
      <c r="E237" s="515" t="n"/>
      <c r="F237" s="515" t="n"/>
    </row>
    <row r="238">
      <c r="B238" s="942" t="str">
        <f>B237+1</f>
        <v>2026-05-23 00:00:00</v>
      </c>
      <c r="C238" s="942" t="str">
        <f>TEXT(B238,"aaa")</f>
        <v>Sat</v>
      </c>
      <c r="D238" s="515" t="n"/>
      <c r="E238" s="515" t="n"/>
      <c r="F238" s="515" t="n"/>
    </row>
    <row r="239">
      <c r="B239" s="943" t="str">
        <f>B238+1</f>
        <v>2026-05-24 00:00:00</v>
      </c>
      <c r="C239" s="943" t="str">
        <f>TEXT(B239,"aaa")</f>
        <v>Sun</v>
      </c>
      <c r="D239" s="515" t="n"/>
      <c r="E239" s="515" t="n"/>
      <c r="F239" s="515" t="n"/>
    </row>
    <row r="240">
      <c r="B240" s="927" t="str">
        <f>B239+1</f>
        <v>2026-05-25 00:00:00</v>
      </c>
      <c r="C240" s="927" t="str">
        <f>TEXT(B240,"aaa")</f>
        <v>Mon</v>
      </c>
      <c r="D240" s="515" t="n"/>
      <c r="E240" s="515" t="n"/>
      <c r="F240" s="515" t="n"/>
    </row>
    <row r="241">
      <c r="B241" s="927" t="str">
        <f>B240+1</f>
        <v>2026-05-26 00:00:00</v>
      </c>
      <c r="C241" s="927" t="str">
        <f>TEXT(B241,"aaa")</f>
        <v>Tue</v>
      </c>
      <c r="D241" s="515" t="n"/>
      <c r="E241" s="515" t="n"/>
      <c r="F241" s="515" t="n"/>
    </row>
    <row r="242">
      <c r="B242" s="927" t="str">
        <f>B241+1</f>
        <v>2026-05-27 00:00:00</v>
      </c>
      <c r="C242" s="927" t="str">
        <f>TEXT(B242,"aaa")</f>
        <v>Wed</v>
      </c>
      <c r="D242" s="515" t="n"/>
      <c r="E242" s="515" t="n"/>
      <c r="F242" s="515" t="n"/>
    </row>
    <row r="243">
      <c r="B243" s="927" t="str">
        <f>B242+1</f>
        <v>2026-05-28 00:00:00</v>
      </c>
      <c r="C243" s="927" t="str">
        <f>TEXT(B243,"aaa")</f>
        <v>Thu</v>
      </c>
      <c r="D243" s="515" t="n"/>
      <c r="E243" s="515" t="n"/>
      <c r="F243" s="515" t="n"/>
    </row>
    <row r="244">
      <c r="B244" s="927" t="str">
        <f>B243+1</f>
        <v>2026-05-29 00:00:00</v>
      </c>
      <c r="C244" s="927" t="str">
        <f>TEXT(B244,"aaa")</f>
        <v>Fri</v>
      </c>
      <c r="D244" s="515" t="n"/>
      <c r="E244" s="515" t="n"/>
      <c r="F244" s="515" t="n"/>
    </row>
    <row r="245">
      <c r="B245" s="942" t="str">
        <f>B244+1</f>
        <v>2026-05-30 00:00:00</v>
      </c>
      <c r="C245" s="942" t="str">
        <f>TEXT(B245,"aaa")</f>
        <v>Sat</v>
      </c>
      <c r="D245" s="515" t="n"/>
      <c r="E245" s="515" t="n"/>
      <c r="F245" s="515" t="n"/>
    </row>
    <row r="246">
      <c r="B246" s="943" t="str">
        <f>B245+1</f>
        <v>2026-05-31 00:00:00</v>
      </c>
      <c r="C246" s="943" t="str">
        <f>TEXT(B246,"aaa")</f>
        <v>Sun</v>
      </c>
      <c r="D246" s="515" t="n"/>
      <c r="E246" s="515" t="n"/>
      <c r="F246" s="515" t="n"/>
    </row>
    <row r="247">
      <c r="B247" s="927" t="str">
        <f>B246+1</f>
        <v>2026-06-01 00:00:00</v>
      </c>
      <c r="C247" s="927" t="str">
        <f>TEXT(B247,"aaa")</f>
        <v>Mon</v>
      </c>
      <c r="D247" s="515" t="n"/>
      <c r="E247" s="515" t="n"/>
      <c r="F247" s="515" t="n"/>
    </row>
    <row r="248">
      <c r="B248" s="927" t="str">
        <f>B247+1</f>
        <v>2026-06-02 00:00:00</v>
      </c>
      <c r="C248" s="927" t="str">
        <f>TEXT(B248,"aaa")</f>
        <v>Tue</v>
      </c>
      <c r="D248" s="515" t="n"/>
      <c r="E248" s="515" t="n"/>
      <c r="F248" s="515" t="n"/>
    </row>
    <row r="249">
      <c r="B249" s="927" t="str">
        <f>B248+1</f>
        <v>2026-06-03 00:00:00</v>
      </c>
      <c r="C249" s="927" t="str">
        <f>TEXT(B249,"aaa")</f>
        <v>Wed</v>
      </c>
      <c r="D249" s="515" t="n"/>
      <c r="E249" s="515" t="n"/>
      <c r="F249" s="515" t="n"/>
    </row>
    <row r="250">
      <c r="B250" s="927" t="str">
        <f>B249+1</f>
        <v>2026-06-04 00:00:00</v>
      </c>
      <c r="C250" s="927" t="str">
        <f>TEXT(B250,"aaa")</f>
        <v>Thu</v>
      </c>
      <c r="D250" s="515" t="n"/>
      <c r="E250" s="515" t="n"/>
      <c r="F250" s="515" t="n"/>
    </row>
    <row r="251">
      <c r="B251" s="927" t="str">
        <f>B250+1</f>
        <v>2026-06-05 00:00:00</v>
      </c>
      <c r="C251" s="927" t="str">
        <f>TEXT(B251,"aaa")</f>
        <v>Fri</v>
      </c>
      <c r="D251" s="515" t="n"/>
      <c r="E251" s="515" t="n"/>
      <c r="F251" s="515" t="n"/>
    </row>
    <row r="252">
      <c r="B252" s="942" t="str">
        <f>B251+1</f>
        <v>2026-06-06 00:00:00</v>
      </c>
      <c r="C252" s="942" t="str">
        <f>TEXT(B252,"aaa")</f>
        <v>Sat</v>
      </c>
      <c r="D252" s="515" t="n"/>
      <c r="E252" s="515" t="n"/>
      <c r="F252" s="515" t="n"/>
    </row>
    <row r="253">
      <c r="B253" s="943" t="str">
        <f>B252+1</f>
        <v>2026-06-07 00:00:00</v>
      </c>
      <c r="C253" s="943" t="str">
        <f>TEXT(B253,"aaa")</f>
        <v>Sun</v>
      </c>
      <c r="D253" s="515" t="n"/>
      <c r="E253" s="515" t="n"/>
      <c r="F253" s="515" t="n"/>
    </row>
    <row r="254">
      <c r="B254" s="927" t="str">
        <f>B253+1</f>
        <v>2026-06-08 00:00:00</v>
      </c>
      <c r="C254" s="927" t="str">
        <f>TEXT(B254,"aaa")</f>
        <v>Mon</v>
      </c>
      <c r="D254" s="515" t="n"/>
      <c r="E254" s="515" t="n"/>
      <c r="F254" s="515" t="n"/>
    </row>
    <row r="255">
      <c r="B255" s="927" t="str">
        <f>B254+1</f>
        <v>2026-06-09 00:00:00</v>
      </c>
      <c r="C255" s="927" t="str">
        <f>TEXT(B255,"aaa")</f>
        <v>Tue</v>
      </c>
      <c r="D255" s="515" t="n"/>
      <c r="E255" s="515" t="n"/>
      <c r="F255" s="515" t="n"/>
    </row>
    <row r="256">
      <c r="B256" s="927" t="str">
        <f>B255+1</f>
        <v>2026-06-10 00:00:00</v>
      </c>
      <c r="C256" s="927" t="str">
        <f>TEXT(B256,"aaa")</f>
        <v>Wed</v>
      </c>
      <c r="D256" s="515" t="n"/>
      <c r="E256" s="515" t="n"/>
      <c r="F256" s="515" t="n"/>
    </row>
    <row r="257">
      <c r="B257" s="927" t="str">
        <f>B256+1</f>
        <v>2026-06-11 00:00:00</v>
      </c>
      <c r="C257" s="927" t="str">
        <f>TEXT(B257,"aaa")</f>
        <v>Thu</v>
      </c>
      <c r="D257" s="515" t="n"/>
      <c r="E257" s="515" t="n"/>
      <c r="F257" s="515" t="n"/>
    </row>
    <row r="258">
      <c r="B258" s="927" t="str">
        <f>B257+1</f>
        <v>2026-06-12 00:00:00</v>
      </c>
      <c r="C258" s="927" t="str">
        <f>TEXT(B258,"aaa")</f>
        <v>Fri</v>
      </c>
      <c r="D258" s="515" t="n"/>
      <c r="E258" s="515" t="n"/>
      <c r="F258" s="515" t="n"/>
    </row>
    <row r="259">
      <c r="B259" s="942" t="str">
        <f>B258+1</f>
        <v>2026-06-13 00:00:00</v>
      </c>
      <c r="C259" s="942" t="str">
        <f>TEXT(B259,"aaa")</f>
        <v>Sat</v>
      </c>
      <c r="D259" s="515" t="n"/>
      <c r="E259" s="515" t="n"/>
      <c r="F259" s="515" t="n"/>
    </row>
    <row r="260">
      <c r="B260" s="943" t="str">
        <f>B259+1</f>
        <v>2026-06-14 00:00:00</v>
      </c>
      <c r="C260" s="943" t="str">
        <f>TEXT(B260,"aaa")</f>
        <v>Sun</v>
      </c>
      <c r="D260" s="515" t="n"/>
      <c r="E260" s="515" t="n"/>
      <c r="F260" s="515" t="n"/>
    </row>
    <row r="261">
      <c r="B261" s="927" t="str">
        <f>B260+1</f>
        <v>2026-06-15 00:00:00</v>
      </c>
      <c r="C261" s="927" t="str">
        <f>TEXT(B261,"aaa")</f>
        <v>Mon</v>
      </c>
      <c r="D261" s="515" t="n"/>
      <c r="E261" s="515" t="n"/>
      <c r="F261" s="515" t="n"/>
    </row>
    <row r="262">
      <c r="B262" s="927" t="str">
        <f>B261+1</f>
        <v>2026-06-16 00:00:00</v>
      </c>
      <c r="C262" s="927" t="str">
        <f>TEXT(B262,"aaa")</f>
        <v>Tue</v>
      </c>
      <c r="D262" s="515" t="n"/>
      <c r="E262" s="515" t="n"/>
      <c r="F262" s="515" t="n"/>
    </row>
    <row r="263">
      <c r="B263" s="927" t="str">
        <f>B262+1</f>
        <v>2026-06-17 00:00:00</v>
      </c>
      <c r="C263" s="927" t="str">
        <f>TEXT(B263,"aaa")</f>
        <v>Wed</v>
      </c>
      <c r="D263" s="515" t="n"/>
      <c r="E263" s="515" t="n"/>
      <c r="F263" s="515" t="n"/>
    </row>
    <row r="264">
      <c r="B264" s="927" t="str">
        <f>B263+1</f>
        <v>2026-06-18 00:00:00</v>
      </c>
      <c r="C264" s="927" t="str">
        <f>TEXT(B264,"aaa")</f>
        <v>Thu</v>
      </c>
      <c r="D264" s="515" t="n"/>
      <c r="E264" s="515" t="n"/>
      <c r="F264" s="515" t="n"/>
    </row>
    <row r="265">
      <c r="B265" s="927" t="str">
        <f>B264+1</f>
        <v>2026-06-19 00:00:00</v>
      </c>
      <c r="C265" s="927" t="str">
        <f>TEXT(B265,"aaa")</f>
        <v>Fri</v>
      </c>
      <c r="D265" s="515" t="n"/>
      <c r="E265" s="515" t="n"/>
      <c r="F265" s="515" t="n"/>
    </row>
    <row r="266">
      <c r="B266" s="942" t="str">
        <f>B265+1</f>
        <v>2026-06-20 00:00:00</v>
      </c>
      <c r="C266" s="942" t="str">
        <f>TEXT(B266,"aaa")</f>
        <v>Sat</v>
      </c>
      <c r="D266" s="515" t="n"/>
      <c r="E266" s="515" t="n"/>
      <c r="F266" s="515" t="n"/>
    </row>
    <row r="267">
      <c r="B267" s="943" t="str">
        <f>B266+1</f>
        <v>2026-06-21 00:00:00</v>
      </c>
      <c r="C267" s="943" t="str">
        <f>TEXT(B267,"aaa")</f>
        <v>Sun</v>
      </c>
      <c r="D267" s="515" t="n"/>
      <c r="E267" s="515" t="n"/>
      <c r="F267" s="515" t="n"/>
    </row>
    <row r="268">
      <c r="B268" s="927" t="str">
        <f>B267+1</f>
        <v>2026-06-22 00:00:00</v>
      </c>
      <c r="C268" s="927" t="str">
        <f>TEXT(B268,"aaa")</f>
        <v>Mon</v>
      </c>
      <c r="D268" s="515" t="n"/>
      <c r="E268" s="515" t="n"/>
      <c r="F268" s="515" t="n"/>
    </row>
    <row r="269">
      <c r="B269" s="927" t="str">
        <f>B268+1</f>
        <v>2026-06-23 00:00:00</v>
      </c>
      <c r="C269" s="927" t="str">
        <f>TEXT(B269,"aaa")</f>
        <v>Tue</v>
      </c>
      <c r="D269" s="515" t="n"/>
      <c r="E269" s="515" t="n"/>
      <c r="F269" s="515" t="n"/>
    </row>
    <row r="270">
      <c r="B270" s="927" t="str">
        <f>B269+1</f>
        <v>2026-06-24 00:00:00</v>
      </c>
      <c r="C270" s="927" t="str">
        <f>TEXT(B270,"aaa")</f>
        <v>Wed</v>
      </c>
      <c r="D270" s="515" t="n"/>
      <c r="E270" s="515" t="n"/>
      <c r="F270" s="515" t="n"/>
    </row>
    <row r="271">
      <c r="B271" s="927" t="str">
        <f>B270+1</f>
        <v>2026-06-25 00:00:00</v>
      </c>
      <c r="C271" s="927" t="str">
        <f>TEXT(B271,"aaa")</f>
        <v>Thu</v>
      </c>
      <c r="D271" s="515" t="n"/>
      <c r="E271" s="515" t="n"/>
      <c r="F271" s="515" t="n"/>
    </row>
    <row r="272">
      <c r="B272" s="927" t="str">
        <f>B271+1</f>
        <v>2026-06-26 00:00:00</v>
      </c>
      <c r="C272" s="927" t="str">
        <f>TEXT(B272,"aaa")</f>
        <v>Fri</v>
      </c>
      <c r="D272" s="515" t="n"/>
      <c r="E272" s="515" t="n"/>
      <c r="F272" s="515" t="n"/>
    </row>
    <row r="273">
      <c r="B273" s="942" t="str">
        <f>B272+1</f>
        <v>2026-06-27 00:00:00</v>
      </c>
      <c r="C273" s="942" t="str">
        <f>TEXT(B273,"aaa")</f>
        <v>Sat</v>
      </c>
      <c r="D273" s="515" t="n"/>
      <c r="E273" s="515" t="n"/>
      <c r="F273" s="515" t="n"/>
    </row>
    <row r="274">
      <c r="B274" s="943" t="str">
        <f>B273+1</f>
        <v>2026-06-28 00:00:00</v>
      </c>
      <c r="C274" s="943" t="str">
        <f>TEXT(B274,"aaa")</f>
        <v>Sun</v>
      </c>
      <c r="D274" s="515" t="n"/>
      <c r="E274" s="515" t="n"/>
      <c r="F274" s="515" t="n"/>
    </row>
    <row r="275">
      <c r="B275" s="927" t="str">
        <f>B274+1</f>
        <v>2026-06-29 00:00:00</v>
      </c>
      <c r="C275" s="927" t="str">
        <f>TEXT(B275,"aaa")</f>
        <v>Mon</v>
      </c>
      <c r="D275" s="515" t="n"/>
      <c r="E275" s="515" t="n"/>
      <c r="F275" s="515" t="n"/>
    </row>
    <row r="276">
      <c r="B276" s="927" t="str">
        <f>B275+1</f>
        <v>2026-06-30 00:00:00</v>
      </c>
      <c r="C276" s="927" t="str">
        <f>TEXT(B276,"aaa")</f>
        <v>Tue</v>
      </c>
      <c r="D276" s="515" t="n"/>
      <c r="E276" s="515" t="n"/>
      <c r="F276" s="515" t="n"/>
    </row>
    <row r="277">
      <c r="B277" s="927" t="str">
        <f>B276+1</f>
        <v>2026-07-01 00:00:00</v>
      </c>
      <c r="C277" s="927" t="str">
        <f>TEXT(B277,"aaa")</f>
        <v>Wed</v>
      </c>
      <c r="D277" s="515" t="n"/>
      <c r="E277" s="515" t="n"/>
      <c r="F277" s="515" t="n"/>
    </row>
    <row r="278">
      <c r="B278" s="927" t="str">
        <f>B277+1</f>
        <v>2026-07-02 00:00:00</v>
      </c>
      <c r="C278" s="927" t="str">
        <f>TEXT(B278,"aaa")</f>
        <v>Thu</v>
      </c>
      <c r="D278" s="515" t="n"/>
      <c r="E278" s="515" t="n"/>
      <c r="F278" s="515" t="n"/>
    </row>
    <row r="279">
      <c r="B279" s="927" t="str">
        <f>B278+1</f>
        <v>2026-07-03 00:00:00</v>
      </c>
      <c r="C279" s="927" t="str">
        <f>TEXT(B279,"aaa")</f>
        <v>Fri</v>
      </c>
      <c r="D279" s="515" t="n"/>
      <c r="E279" s="515" t="n"/>
      <c r="F279" s="515" t="n"/>
    </row>
    <row r="280">
      <c r="B280" s="942" t="str">
        <f>B279+1</f>
        <v>2026-07-04 00:00:00</v>
      </c>
      <c r="C280" s="942" t="str">
        <f>TEXT(B280,"aaa")</f>
        <v>Sat</v>
      </c>
      <c r="D280" s="515" t="n"/>
      <c r="E280" s="515" t="n"/>
      <c r="F280" s="515" t="n"/>
    </row>
    <row r="281">
      <c r="B281" s="943" t="str">
        <f>B280+1</f>
        <v>2026-07-05 00:00:00</v>
      </c>
      <c r="C281" s="943" t="str">
        <f>TEXT(B281,"aaa")</f>
        <v>Sun</v>
      </c>
      <c r="D281" s="515" t="n"/>
      <c r="E281" s="515" t="n"/>
      <c r="F281" s="515" t="n"/>
    </row>
    <row r="282">
      <c r="B282" s="927" t="str">
        <f>B281+1</f>
        <v>2026-07-06 00:00:00</v>
      </c>
      <c r="C282" s="927" t="str">
        <f>TEXT(B282,"aaa")</f>
        <v>Mon</v>
      </c>
      <c r="D282" s="515" t="n"/>
      <c r="E282" s="515" t="n"/>
      <c r="F282" s="515" t="n"/>
    </row>
    <row r="283">
      <c r="B283" s="927" t="str">
        <f>B282+1</f>
        <v>2026-07-07 00:00:00</v>
      </c>
      <c r="C283" s="927" t="str">
        <f>TEXT(B283,"aaa")</f>
        <v>Tue</v>
      </c>
      <c r="D283" s="515" t="n"/>
      <c r="E283" s="515" t="n"/>
      <c r="F283" s="515" t="n"/>
    </row>
    <row r="284">
      <c r="B284" s="927" t="str">
        <f>B283+1</f>
        <v>2026-07-08 00:00:00</v>
      </c>
      <c r="C284" s="927" t="str">
        <f>TEXT(B284,"aaa")</f>
        <v>Wed</v>
      </c>
      <c r="D284" s="515" t="n"/>
      <c r="E284" s="515" t="n"/>
      <c r="F284" s="515" t="n"/>
    </row>
    <row r="285">
      <c r="B285" s="927" t="str">
        <f>B284+1</f>
        <v>2026-07-09 00:00:00</v>
      </c>
      <c r="C285" s="927" t="str">
        <f>TEXT(B285,"aaa")</f>
        <v>Thu</v>
      </c>
      <c r="D285" s="515" t="n"/>
      <c r="E285" s="515" t="n"/>
      <c r="F285" s="515" t="n"/>
    </row>
    <row r="286">
      <c r="B286" s="927" t="str">
        <f>B285+1</f>
        <v>2026-07-10 00:00:00</v>
      </c>
      <c r="C286" s="927" t="str">
        <f>TEXT(B286,"aaa")</f>
        <v>Fri</v>
      </c>
      <c r="D286" s="515" t="n"/>
      <c r="E286" s="515" t="n"/>
      <c r="F286" s="515" t="n"/>
    </row>
    <row r="287">
      <c r="B287" s="942" t="str">
        <f>B286+1</f>
        <v>2026-07-11 00:00:00</v>
      </c>
      <c r="C287" s="942" t="str">
        <f>TEXT(B287,"aaa")</f>
        <v>Sat</v>
      </c>
      <c r="D287" s="515" t="n"/>
      <c r="E287" s="515" t="n"/>
      <c r="F287" s="515" t="n"/>
    </row>
    <row r="288">
      <c r="B288" s="943" t="str">
        <f>B287+1</f>
        <v>2026-07-12 00:00:00</v>
      </c>
      <c r="C288" s="943" t="str">
        <f>TEXT(B288,"aaa")</f>
        <v>Sun</v>
      </c>
      <c r="D288" s="515" t="n"/>
      <c r="E288" s="515" t="n"/>
      <c r="F288" s="515" t="n"/>
    </row>
    <row r="289">
      <c r="B289" s="927" t="str">
        <f>B288+1</f>
        <v>2026-07-13 00:00:00</v>
      </c>
      <c r="C289" s="927" t="str">
        <f>TEXT(B289,"aaa")</f>
        <v>Mon</v>
      </c>
      <c r="D289" s="515" t="n"/>
      <c r="E289" s="515" t="n"/>
      <c r="F289" s="515" t="n"/>
    </row>
    <row r="290">
      <c r="B290" s="927" t="str">
        <f>B289+1</f>
        <v>2026-07-14 00:00:00</v>
      </c>
      <c r="C290" s="927" t="str">
        <f>TEXT(B290,"aaa")</f>
        <v>Tue</v>
      </c>
      <c r="D290" s="515" t="n"/>
      <c r="E290" s="515" t="n"/>
      <c r="F290" s="515" t="n"/>
    </row>
    <row r="291">
      <c r="B291" s="927" t="str">
        <f>B290+1</f>
        <v>2026-07-15 00:00:00</v>
      </c>
      <c r="C291" s="927" t="str">
        <f>TEXT(B291,"aaa")</f>
        <v>Wed</v>
      </c>
      <c r="D291" s="515" t="n"/>
      <c r="E291" s="515" t="n"/>
      <c r="F291" s="515" t="n"/>
    </row>
    <row r="292">
      <c r="B292" s="927" t="str">
        <f>B291+1</f>
        <v>2026-07-16 00:00:00</v>
      </c>
      <c r="C292" s="927" t="str">
        <f>TEXT(B292,"aaa")</f>
        <v>Thu</v>
      </c>
      <c r="D292" s="515" t="n"/>
      <c r="E292" s="515" t="n"/>
      <c r="F292" s="515" t="n"/>
    </row>
    <row r="293">
      <c r="B293" s="927" t="str">
        <f>B292+1</f>
        <v>2026-07-17 00:00:00</v>
      </c>
      <c r="C293" s="927" t="str">
        <f>TEXT(B293,"aaa")</f>
        <v>Fri</v>
      </c>
      <c r="D293" s="515" t="n"/>
      <c r="E293" s="515" t="n"/>
      <c r="F293" s="515" t="n"/>
    </row>
    <row r="294">
      <c r="B294" s="942" t="str">
        <f>B293+1</f>
        <v>2026-07-18 00:00:00</v>
      </c>
      <c r="C294" s="942" t="str">
        <f>TEXT(B294,"aaa")</f>
        <v>Sat</v>
      </c>
      <c r="D294" s="515" t="n"/>
      <c r="E294" s="515" t="n"/>
      <c r="F294" s="515" t="n"/>
    </row>
    <row r="295">
      <c r="B295" s="943" t="str">
        <f>B294+1</f>
        <v>2026-07-19 00:00:00</v>
      </c>
      <c r="C295" s="943" t="str">
        <f>TEXT(B295,"aaa")</f>
        <v>Sun</v>
      </c>
      <c r="D295" s="515" t="n"/>
      <c r="E295" s="515" t="n"/>
      <c r="F295" s="515" t="n"/>
    </row>
    <row r="296">
      <c r="B296" s="946" t="str">
        <f>B295+1</f>
        <v>2026-07-20 00:00:00</v>
      </c>
      <c r="C296" s="946" t="str">
        <f>TEXT(B296,"aaa")</f>
        <v>Mon</v>
      </c>
      <c r="D296" s="515" t="n"/>
      <c r="E296" s="515" t="n"/>
      <c r="F296" s="515" t="n"/>
    </row>
    <row r="297">
      <c r="B297" s="927" t="str">
        <f>B296+1</f>
        <v>2026-07-21 00:00:00</v>
      </c>
      <c r="C297" s="927" t="str">
        <f>TEXT(B297,"aaa")</f>
        <v>Tue</v>
      </c>
      <c r="D297" s="515" t="n"/>
      <c r="E297" s="515" t="n"/>
      <c r="F297" s="515" t="n"/>
    </row>
    <row r="298">
      <c r="B298" s="927" t="str">
        <f>B297+1</f>
        <v>2026-07-22 00:00:00</v>
      </c>
      <c r="C298" s="927" t="str">
        <f>TEXT(B298,"aaa")</f>
        <v>Wed</v>
      </c>
      <c r="D298" s="515" t="n"/>
      <c r="E298" s="515" t="n"/>
      <c r="F298" s="515" t="n"/>
    </row>
    <row r="299">
      <c r="B299" s="927" t="str">
        <f>B298+1</f>
        <v>2026-07-23 00:00:00</v>
      </c>
      <c r="C299" s="927" t="str">
        <f>TEXT(B299,"aaa")</f>
        <v>Thu</v>
      </c>
      <c r="D299" s="515" t="n"/>
      <c r="E299" s="515" t="n"/>
      <c r="F299" s="515" t="n"/>
    </row>
    <row r="300">
      <c r="B300" s="927" t="str">
        <f>B299+1</f>
        <v>2026-07-24 00:00:00</v>
      </c>
      <c r="C300" s="927" t="str">
        <f>TEXT(B300,"aaa")</f>
        <v>Fri</v>
      </c>
      <c r="D300" s="515" t="n"/>
      <c r="E300" s="515" t="n"/>
      <c r="F300" s="515" t="n"/>
    </row>
    <row r="301">
      <c r="B301" s="942" t="str">
        <f>B300+1</f>
        <v>2026-07-25 00:00:00</v>
      </c>
      <c r="C301" s="942" t="str">
        <f>TEXT(B301,"aaa")</f>
        <v>Sat</v>
      </c>
      <c r="D301" s="515" t="n"/>
      <c r="E301" s="515" t="n"/>
      <c r="F301" s="515" t="n"/>
    </row>
    <row r="302">
      <c r="B302" s="943" t="str">
        <f>B301+1</f>
        <v>2026-07-26 00:00:00</v>
      </c>
      <c r="C302" s="943" t="str">
        <f>TEXT(B302,"aaa")</f>
        <v>Sun</v>
      </c>
      <c r="D302" s="515" t="n"/>
      <c r="E302" s="515" t="n"/>
      <c r="F302" s="515" t="n"/>
    </row>
    <row r="303">
      <c r="B303" s="927" t="str">
        <f>B302+1</f>
        <v>2026-07-27 00:00:00</v>
      </c>
      <c r="C303" s="927" t="str">
        <f>TEXT(B303,"aaa")</f>
        <v>Mon</v>
      </c>
      <c r="D303" s="515" t="n"/>
      <c r="E303" s="515" t="n"/>
      <c r="F303" s="515" t="n"/>
    </row>
    <row r="304">
      <c r="B304" s="927" t="str">
        <f>B303+1</f>
        <v>2026-07-28 00:00:00</v>
      </c>
      <c r="C304" s="927" t="str">
        <f>TEXT(B304,"aaa")</f>
        <v>Tue</v>
      </c>
      <c r="D304" s="515" t="n"/>
      <c r="E304" s="515" t="n"/>
      <c r="F304" s="515" t="n"/>
    </row>
    <row r="305">
      <c r="B305" s="927" t="str">
        <f>B304+1</f>
        <v>2026-07-29 00:00:00</v>
      </c>
      <c r="C305" s="927" t="str">
        <f>TEXT(B305,"aaa")</f>
        <v>Wed</v>
      </c>
      <c r="D305" s="515" t="n"/>
      <c r="E305" s="515" t="n"/>
      <c r="F305" s="515" t="n"/>
    </row>
    <row r="306">
      <c r="B306" s="927" t="str">
        <f>B305+1</f>
        <v>2026-07-30 00:00:00</v>
      </c>
      <c r="C306" s="927" t="str">
        <f>TEXT(B306,"aaa")</f>
        <v>Thu</v>
      </c>
      <c r="D306" s="515" t="n"/>
      <c r="E306" s="515" t="n"/>
      <c r="F306" s="515" t="n"/>
    </row>
    <row r="307">
      <c r="B307" s="927" t="str">
        <f>B306+1</f>
        <v>2026-07-31 00:00:00</v>
      </c>
      <c r="C307" s="927" t="str">
        <f>TEXT(B307,"aaa")</f>
        <v>Fri</v>
      </c>
      <c r="D307" s="515" t="n"/>
      <c r="E307" s="515" t="n"/>
      <c r="F307" s="515" t="n"/>
    </row>
    <row r="308">
      <c r="B308" s="942" t="str">
        <f>B307+1</f>
        <v>2026-08-01 00:00:00</v>
      </c>
      <c r="C308" s="942" t="str">
        <f>TEXT(B308,"aaa")</f>
        <v>Sat</v>
      </c>
      <c r="D308" s="515" t="n"/>
      <c r="E308" s="515" t="n"/>
      <c r="F308" s="515" t="n"/>
    </row>
    <row r="309">
      <c r="B309" s="943" t="str">
        <f>B308+1</f>
        <v>2026-08-02 00:00:00</v>
      </c>
      <c r="C309" s="943" t="str">
        <f>TEXT(B309,"aaa")</f>
        <v>Sun</v>
      </c>
      <c r="D309" s="515" t="n"/>
      <c r="E309" s="515" t="n"/>
      <c r="F309" s="515" t="n"/>
    </row>
    <row r="310">
      <c r="B310" s="927" t="str">
        <f>B309+1</f>
        <v>2026-08-03 00:00:00</v>
      </c>
      <c r="C310" s="927" t="str">
        <f>TEXT(B310,"aaa")</f>
        <v>Mon</v>
      </c>
      <c r="D310" s="515" t="n"/>
      <c r="E310" s="515" t="n"/>
      <c r="F310" s="515" t="n"/>
    </row>
    <row r="311">
      <c r="B311" s="927" t="str">
        <f>B310+1</f>
        <v>2026-08-04 00:00:00</v>
      </c>
      <c r="C311" s="927" t="str">
        <f>TEXT(B311,"aaa")</f>
        <v>Tue</v>
      </c>
      <c r="D311" s="515" t="n"/>
      <c r="E311" s="515" t="n"/>
      <c r="F311" s="515" t="n"/>
    </row>
    <row r="312">
      <c r="B312" s="927" t="str">
        <f>B311+1</f>
        <v>2026-08-05 00:00:00</v>
      </c>
      <c r="C312" s="927" t="str">
        <f>TEXT(B312,"aaa")</f>
        <v>Wed</v>
      </c>
      <c r="D312" s="515" t="n"/>
      <c r="E312" s="515" t="n"/>
      <c r="F312" s="515" t="n"/>
    </row>
    <row r="313">
      <c r="B313" s="927" t="str">
        <f>B312+1</f>
        <v>2026-08-06 00:00:00</v>
      </c>
      <c r="C313" s="927" t="str">
        <f>TEXT(B313,"aaa")</f>
        <v>Thu</v>
      </c>
      <c r="D313" s="515" t="n"/>
      <c r="E313" s="515" t="n"/>
      <c r="F313" s="515" t="n"/>
    </row>
    <row r="314">
      <c r="B314" s="927" t="str">
        <f>B313+1</f>
        <v>2026-08-07 00:00:00</v>
      </c>
      <c r="C314" s="927" t="str">
        <f>TEXT(B314,"aaa")</f>
        <v>Fri</v>
      </c>
      <c r="D314" s="515" t="n"/>
      <c r="E314" s="515" t="n"/>
      <c r="F314" s="515" t="n"/>
    </row>
    <row r="315">
      <c r="B315" s="942" t="str">
        <f>B314+1</f>
        <v>2026-08-08 00:00:00</v>
      </c>
      <c r="C315" s="942" t="str">
        <f>TEXT(B315,"aaa")</f>
        <v>Sat</v>
      </c>
      <c r="D315" s="515" t="n"/>
      <c r="E315" s="515" t="n"/>
      <c r="F315" s="515" t="n"/>
    </row>
    <row r="316">
      <c r="B316" s="943" t="str">
        <f>B315+1</f>
        <v>2026-08-09 00:00:00</v>
      </c>
      <c r="C316" s="943" t="str">
        <f>TEXT(B316,"aaa")</f>
        <v>Sun</v>
      </c>
      <c r="D316" s="515" t="n"/>
      <c r="E316" s="515" t="n"/>
      <c r="F316" s="515" t="n"/>
    </row>
    <row r="317">
      <c r="B317" s="927" t="str">
        <f>B316+1</f>
        <v>2026-08-10 00:00:00</v>
      </c>
      <c r="C317" s="927" t="str">
        <f>TEXT(B317,"aaa")</f>
        <v>Mon</v>
      </c>
      <c r="D317" s="515" t="n"/>
      <c r="E317" s="515" t="n"/>
      <c r="F317" s="515" t="n"/>
    </row>
    <row r="318">
      <c r="B318" s="946" t="str">
        <f>B317+1</f>
        <v>2026-08-11 00:00:00</v>
      </c>
      <c r="C318" s="946" t="str">
        <f>TEXT(B318,"aaa")</f>
        <v>Tue</v>
      </c>
      <c r="D318" s="515" t="n"/>
      <c r="E318" s="515" t="n"/>
      <c r="F318" s="515" t="n"/>
    </row>
    <row r="319">
      <c r="B319" s="927" t="str">
        <f>B318+1</f>
        <v>2026-08-12 00:00:00</v>
      </c>
      <c r="C319" s="927" t="str">
        <f>TEXT(B319,"aaa")</f>
        <v>Wed</v>
      </c>
      <c r="D319" s="515" t="n"/>
      <c r="E319" s="515" t="n"/>
      <c r="F319" s="515" t="n"/>
    </row>
    <row r="320">
      <c r="B320" s="927" t="str">
        <f>B319+1</f>
        <v>2026-08-13 00:00:00</v>
      </c>
      <c r="C320" s="927" t="str">
        <f>TEXT(B320,"aaa")</f>
        <v>Thu</v>
      </c>
      <c r="D320" s="515" t="n"/>
      <c r="E320" s="515" t="n"/>
      <c r="F320" s="515" t="n"/>
    </row>
    <row r="321">
      <c r="B321" s="927" t="str">
        <f>B320+1</f>
        <v>2026-08-14 00:00:00</v>
      </c>
      <c r="C321" s="927" t="str">
        <f>TEXT(B321,"aaa")</f>
        <v>Fri</v>
      </c>
      <c r="D321" s="515" t="n"/>
      <c r="E321" s="515" t="n"/>
      <c r="F321" s="515" t="n"/>
    </row>
    <row r="322">
      <c r="B322" s="942" t="str">
        <f>B321+1</f>
        <v>2026-08-15 00:00:00</v>
      </c>
      <c r="C322" s="942" t="str">
        <f>TEXT(B322,"aaa")</f>
        <v>Sat</v>
      </c>
      <c r="D322" s="515" t="n"/>
      <c r="E322" s="515" t="n"/>
      <c r="F322" s="515" t="n"/>
    </row>
    <row r="323">
      <c r="B323" s="943" t="str">
        <f>B322+1</f>
        <v>2026-08-16 00:00:00</v>
      </c>
      <c r="C323" s="943" t="str">
        <f>TEXT(B323,"aaa")</f>
        <v>Sun</v>
      </c>
      <c r="D323" s="515" t="n"/>
      <c r="E323" s="515" t="n"/>
      <c r="F323" s="515" t="n"/>
    </row>
    <row r="324">
      <c r="B324" s="927" t="str">
        <f>B323+1</f>
        <v>2026-08-17 00:00:00</v>
      </c>
      <c r="C324" s="927" t="str">
        <f>TEXT(B324,"aaa")</f>
        <v>Mon</v>
      </c>
      <c r="D324" s="515" t="n"/>
      <c r="E324" s="515" t="n"/>
      <c r="F324" s="515" t="n"/>
    </row>
    <row r="325">
      <c r="B325" s="927" t="str">
        <f>B324+1</f>
        <v>2026-08-18 00:00:00</v>
      </c>
      <c r="C325" s="927" t="str">
        <f>TEXT(B325,"aaa")</f>
        <v>Tue</v>
      </c>
      <c r="D325" s="515" t="n"/>
      <c r="E325" s="515" t="n"/>
      <c r="F325" s="515" t="n"/>
    </row>
    <row r="326">
      <c r="B326" s="927" t="str">
        <f>B325+1</f>
        <v>2026-08-19 00:00:00</v>
      </c>
      <c r="C326" s="927" t="str">
        <f>TEXT(B326,"aaa")</f>
        <v>Wed</v>
      </c>
      <c r="D326" s="515" t="n"/>
      <c r="E326" s="515" t="n"/>
      <c r="F326" s="515" t="n"/>
    </row>
    <row r="327">
      <c r="B327" s="927" t="str">
        <f>B326+1</f>
        <v>2026-08-20 00:00:00</v>
      </c>
      <c r="C327" s="927" t="str">
        <f>TEXT(B327,"aaa")</f>
        <v>Thu</v>
      </c>
      <c r="D327" s="515" t="n"/>
      <c r="E327" s="515" t="n"/>
      <c r="F327" s="515" t="n"/>
    </row>
    <row r="328">
      <c r="B328" s="927" t="str">
        <f>B327+1</f>
        <v>2026-08-21 00:00:00</v>
      </c>
      <c r="C328" s="927" t="str">
        <f>TEXT(B328,"aaa")</f>
        <v>Fri</v>
      </c>
      <c r="D328" s="515" t="n"/>
      <c r="E328" s="515" t="n"/>
      <c r="F328" s="515" t="n"/>
    </row>
    <row r="329">
      <c r="B329" s="942" t="str">
        <f>B328+1</f>
        <v>2026-08-22 00:00:00</v>
      </c>
      <c r="C329" s="942" t="str">
        <f>TEXT(B329,"aaa")</f>
        <v>Sat</v>
      </c>
      <c r="D329" s="515" t="n"/>
      <c r="E329" s="515" t="n"/>
      <c r="F329" s="515" t="n"/>
    </row>
    <row r="330">
      <c r="B330" s="943" t="str">
        <f>B329+1</f>
        <v>2026-08-23 00:00:00</v>
      </c>
      <c r="C330" s="943" t="str">
        <f>TEXT(B330,"aaa")</f>
        <v>Sun</v>
      </c>
      <c r="D330" s="515" t="n"/>
      <c r="E330" s="515" t="n"/>
      <c r="F330" s="515" t="n"/>
    </row>
    <row r="331">
      <c r="B331" s="927" t="str">
        <f>B330+1</f>
        <v>2026-08-24 00:00:00</v>
      </c>
      <c r="C331" s="927" t="str">
        <f>TEXT(B331,"aaa")</f>
        <v>Mon</v>
      </c>
      <c r="D331" s="515" t="n"/>
      <c r="E331" s="515" t="n"/>
      <c r="F331" s="515" t="n"/>
    </row>
    <row r="332">
      <c r="B332" s="927" t="str">
        <f>B331+1</f>
        <v>2026-08-25 00:00:00</v>
      </c>
      <c r="C332" s="927" t="str">
        <f>TEXT(B332,"aaa")</f>
        <v>Tue</v>
      </c>
      <c r="D332" s="515" t="n"/>
      <c r="E332" s="515" t="n"/>
      <c r="F332" s="515" t="n"/>
    </row>
    <row r="333">
      <c r="B333" s="927" t="str">
        <f>B332+1</f>
        <v>2026-08-26 00:00:00</v>
      </c>
      <c r="C333" s="927" t="str">
        <f>TEXT(B333,"aaa")</f>
        <v>Wed</v>
      </c>
      <c r="D333" s="515" t="n"/>
      <c r="E333" s="515" t="n"/>
      <c r="F333" s="515" t="n"/>
    </row>
    <row r="334">
      <c r="B334" s="927" t="str">
        <f>B333+1</f>
        <v>2026-08-27 00:00:00</v>
      </c>
      <c r="C334" s="927" t="str">
        <f>TEXT(B334,"aaa")</f>
        <v>Thu</v>
      </c>
      <c r="D334" s="515" t="n"/>
      <c r="E334" s="515" t="n"/>
      <c r="F334" s="515" t="n"/>
    </row>
    <row r="335">
      <c r="B335" s="927" t="str">
        <f>B334+1</f>
        <v>2026-08-28 00:00:00</v>
      </c>
      <c r="C335" s="927" t="str">
        <f>TEXT(B335,"aaa")</f>
        <v>Fri</v>
      </c>
      <c r="D335" s="515" t="n"/>
      <c r="E335" s="515" t="n"/>
      <c r="F335" s="515" t="n"/>
    </row>
    <row r="336">
      <c r="B336" s="942" t="str">
        <f>B335+1</f>
        <v>2026-08-29 00:00:00</v>
      </c>
      <c r="C336" s="942" t="str">
        <f>TEXT(B336,"aaa")</f>
        <v>Sat</v>
      </c>
      <c r="D336" s="515" t="n"/>
      <c r="E336" s="515" t="n"/>
      <c r="F336" s="515" t="n"/>
    </row>
    <row r="337">
      <c r="B337" s="943" t="str">
        <f>B336+1</f>
        <v>2026-08-30 00:00:00</v>
      </c>
      <c r="C337" s="943" t="str">
        <f>TEXT(B337,"aaa")</f>
        <v>Sun</v>
      </c>
      <c r="D337" s="515" t="n"/>
      <c r="E337" s="515" t="n"/>
      <c r="F337" s="515" t="n"/>
    </row>
  </sheetData>
  <mergeCells count="20">
    <mergeCell ref="F44:F45"/>
    <mergeCell ref="D11:F11"/>
    <mergeCell ref="D76:F76"/>
    <mergeCell ref="D31:D34"/>
    <mergeCell ref="E38:E41"/>
    <mergeCell ref="E32:E34"/>
    <mergeCell ref="E44:E45"/>
    <mergeCell ref="D86:E86"/>
    <mergeCell ref="F79:F82"/>
    <mergeCell ref="D72:F74"/>
    <mergeCell ref="D83:F83"/>
    <mergeCell ref="E30:F30"/>
    <mergeCell ref="F31:F34"/>
    <mergeCell ref="F38:F41"/>
    <mergeCell ref="D60:F62"/>
    <mergeCell ref="D79:D82"/>
    <mergeCell ref="D46:F46"/>
    <mergeCell ref="D38:D41"/>
    <mergeCell ref="D65:F69"/>
    <mergeCell ref="D44:D45"/>
  </mergeCells>
  <pageMargins left="0.7" right="0.7" top="0.75" bottom="0.75" header="0.3" footer="0.3"/>
</worksheet>
</file>

<file path=xl/worksheets/sheet52.xml><?xml version="1.0" encoding="utf-8"?>
<worksheet xmlns="http://schemas.openxmlformats.org/spreadsheetml/2006/main">
  <sheetPr>
    <outlinePr summaryBelow="1" summaryRight="1"/>
    <pageSetUpPr/>
  </sheetPr>
  <dimension ref="B2:AF55"/>
  <sheetViews>
    <sheetView showGridLines="0" zoomScale="50" zoomScaleNormal="50" workbookViewId="0">
      <selection activeCell="AB47" sqref="AB47"/>
    </sheetView>
  </sheetViews>
  <sheetFormatPr baseColWidth="8" defaultRowHeight="18"/>
  <sheetData>
    <row r="2">
      <c r="B2" s="0" t="inlineStr">
        <is>
          <t xml:space="preserve"> </t>
        </is>
      </c>
      <c r="C2" s="0" t="inlineStr">
        <is>
          <t>A</t>
        </is>
      </c>
      <c r="D2" s="0" t="inlineStr">
        <is>
          <t>B</t>
        </is>
      </c>
      <c r="E2" s="0" t="inlineStr">
        <is>
          <t>C</t>
        </is>
      </c>
      <c r="S2" s="0" t="inlineStr">
        <is>
          <t xml:space="preserve"> </t>
        </is>
      </c>
      <c r="T2" s="0" t="inlineStr">
        <is>
          <t>A</t>
        </is>
      </c>
    </row>
    <row r="3">
      <c r="B3" s="0" t="inlineStr">
        <is>
          <t>第1四半期</t>
        </is>
      </c>
      <c r="C3" s="0" t="n">
        <v>50</v>
      </c>
      <c r="D3" s="0" t="n">
        <v>10</v>
      </c>
      <c r="E3" s="0" t="n">
        <v>20</v>
      </c>
      <c r="S3" s="0" t="inlineStr">
        <is>
          <t>第1四半期</t>
        </is>
      </c>
      <c r="T3" s="0" t="n">
        <v>50</v>
      </c>
    </row>
    <row r="4">
      <c r="B4" s="0" t="inlineStr">
        <is>
          <t>第2四半期</t>
        </is>
      </c>
      <c r="C4" s="0" t="n">
        <v>55</v>
      </c>
      <c r="D4" s="0" t="n">
        <v>25</v>
      </c>
      <c r="E4" s="0" t="n">
        <v>22</v>
      </c>
      <c r="S4" s="0" t="inlineStr">
        <is>
          <t>第2四半期</t>
        </is>
      </c>
      <c r="T4" s="0" t="n">
        <v>55</v>
      </c>
    </row>
    <row r="5">
      <c r="B5" s="0" t="inlineStr">
        <is>
          <t>第3四半期</t>
        </is>
      </c>
      <c r="C5" s="0" t="n">
        <v>52</v>
      </c>
      <c r="D5" s="0" t="n">
        <v>45</v>
      </c>
      <c r="E5" s="0" t="n">
        <v>25</v>
      </c>
      <c r="S5" s="0" t="inlineStr">
        <is>
          <t>第3四半期</t>
        </is>
      </c>
      <c r="T5" s="0" t="n">
        <v>52</v>
      </c>
    </row>
    <row r="6">
      <c r="B6" s="0" t="inlineStr">
        <is>
          <t>第4四半期</t>
        </is>
      </c>
      <c r="C6" s="0" t="n">
        <v>50</v>
      </c>
      <c r="D6" s="0" t="n">
        <v>70</v>
      </c>
      <c r="E6" s="0" t="n">
        <v>25</v>
      </c>
      <c r="S6" s="0" t="inlineStr">
        <is>
          <t>第4四半期</t>
        </is>
      </c>
      <c r="T6" s="0" t="n">
        <v>80</v>
      </c>
    </row>
    <row r="16">
      <c r="AF16" s="0" t="inlineStr">
        <is>
          <t>ｂ</t>
        </is>
      </c>
    </row>
    <row r="18">
      <c r="B18" s="0" t="inlineStr">
        <is>
          <t xml:space="preserve"> </t>
        </is>
      </c>
      <c r="C18" s="0" t="inlineStr">
        <is>
          <t>A</t>
        </is>
      </c>
      <c r="D18" s="0" t="inlineStr">
        <is>
          <t>B</t>
        </is>
      </c>
      <c r="E18" s="0" t="inlineStr">
        <is>
          <t>C</t>
        </is>
      </c>
    </row>
    <row r="19">
      <c r="B19" s="0" t="inlineStr">
        <is>
          <t>1ヶ月目</t>
        </is>
      </c>
      <c r="C19" s="0" t="n">
        <v>100</v>
      </c>
      <c r="D19" s="0" t="n">
        <v>100</v>
      </c>
      <c r="E19" s="0" t="n">
        <v>100</v>
      </c>
      <c r="S19" s="0" t="inlineStr">
        <is>
          <t xml:space="preserve"> </t>
        </is>
      </c>
      <c r="T19" s="0" t="inlineStr">
        <is>
          <t>A</t>
        </is>
      </c>
    </row>
    <row r="20">
      <c r="B20" s="0" t="inlineStr">
        <is>
          <t>2ヶ月目</t>
        </is>
      </c>
      <c r="C20" s="0" t="n">
        <v>105</v>
      </c>
      <c r="D20" s="0" t="n">
        <v>90</v>
      </c>
      <c r="E20" s="0" t="n">
        <v>110</v>
      </c>
      <c r="S20" s="0" t="inlineStr">
        <is>
          <t>第1四半期</t>
        </is>
      </c>
      <c r="T20" s="0" t="n">
        <v>50</v>
      </c>
    </row>
    <row r="21">
      <c r="B21" s="0" t="inlineStr">
        <is>
          <t>3か月目</t>
        </is>
      </c>
      <c r="C21" s="0" t="n">
        <v>110</v>
      </c>
      <c r="D21" s="0" t="n">
        <v>75</v>
      </c>
      <c r="E21" s="0" t="n">
        <v>90</v>
      </c>
      <c r="S21" s="0" t="inlineStr">
        <is>
          <t>第2四半期</t>
        </is>
      </c>
      <c r="T21" s="0" t="n">
        <v>55</v>
      </c>
    </row>
    <row r="22">
      <c r="B22" s="0" t="inlineStr">
        <is>
          <t>4か月目</t>
        </is>
      </c>
      <c r="C22" s="0" t="n">
        <v>115</v>
      </c>
      <c r="D22" s="0" t="n">
        <v>60</v>
      </c>
      <c r="E22" s="0" t="n">
        <v>80</v>
      </c>
      <c r="S22" s="0" t="inlineStr">
        <is>
          <t>第3四半期</t>
        </is>
      </c>
      <c r="T22" s="0" t="n">
        <v>52</v>
      </c>
    </row>
    <row r="23">
      <c r="B23" s="0" t="inlineStr">
        <is>
          <t>5か月目</t>
        </is>
      </c>
      <c r="C23" s="0" t="n">
        <v>120</v>
      </c>
      <c r="D23" s="0" t="n">
        <v>55</v>
      </c>
      <c r="E23" s="0" t="n">
        <v>45</v>
      </c>
      <c r="S23" s="0" t="inlineStr">
        <is>
          <t>第4四半期</t>
        </is>
      </c>
      <c r="T23" s="0" t="n">
        <v>80</v>
      </c>
    </row>
    <row r="33">
      <c r="B33" s="0" t="inlineStr">
        <is>
          <t xml:space="preserve"> </t>
        </is>
      </c>
      <c r="C33" s="0" t="inlineStr">
        <is>
          <t>グラフタイトル</t>
        </is>
      </c>
    </row>
    <row r="34">
      <c r="B34" s="0" t="inlineStr">
        <is>
          <t>A</t>
        </is>
      </c>
      <c r="C34" s="0" t="n">
        <v>60</v>
      </c>
    </row>
    <row r="35">
      <c r="B35" s="0" t="inlineStr">
        <is>
          <t>B</t>
        </is>
      </c>
      <c r="C35" s="0" t="n">
        <v>20</v>
      </c>
    </row>
    <row r="36">
      <c r="B36" s="0" t="inlineStr">
        <is>
          <t>C</t>
        </is>
      </c>
      <c r="C36" s="0" t="n">
        <v>15</v>
      </c>
    </row>
    <row r="37">
      <c r="B37" s="0" t="inlineStr">
        <is>
          <t>D</t>
        </is>
      </c>
      <c r="C37" s="0" t="n">
        <v>5</v>
      </c>
    </row>
    <row r="51">
      <c r="B51" s="0" t="inlineStr">
        <is>
          <t xml:space="preserve"> </t>
        </is>
      </c>
      <c r="C51" s="0" t="inlineStr">
        <is>
          <t>X</t>
        </is>
      </c>
      <c r="D51" s="0" t="inlineStr">
        <is>
          <t>Y</t>
        </is>
      </c>
      <c r="E51" s="0" t="inlineStr">
        <is>
          <t>Z</t>
        </is>
      </c>
    </row>
    <row r="52">
      <c r="B52" s="0" t="inlineStr">
        <is>
          <t>D</t>
        </is>
      </c>
      <c r="C52" s="0" t="n">
        <v>4.3</v>
      </c>
      <c r="D52" s="0" t="n">
        <v>2.4</v>
      </c>
      <c r="E52" s="0" t="n">
        <v>2</v>
      </c>
    </row>
    <row r="53">
      <c r="B53" s="0" t="inlineStr">
        <is>
          <t>C</t>
        </is>
      </c>
      <c r="C53" s="0" t="n">
        <v>2.5</v>
      </c>
      <c r="D53" s="0" t="n">
        <v>4.4</v>
      </c>
      <c r="E53" s="0" t="n">
        <v>2</v>
      </c>
    </row>
    <row r="54">
      <c r="B54" s="0" t="inlineStr">
        <is>
          <t>B</t>
        </is>
      </c>
      <c r="C54" s="0" t="n">
        <v>3.5</v>
      </c>
      <c r="D54" s="0" t="n">
        <v>1.8</v>
      </c>
      <c r="E54" s="0" t="n">
        <v>3</v>
      </c>
    </row>
    <row r="55">
      <c r="B55" s="0" t="inlineStr">
        <is>
          <t>A</t>
        </is>
      </c>
      <c r="C55" s="0" t="n">
        <v>4.5</v>
      </c>
      <c r="D55" s="0" t="n">
        <v>2.8</v>
      </c>
      <c r="E55" s="0" t="n">
        <v>5</v>
      </c>
    </row>
  </sheetData>
  <pageMargins left="0.7" right="0.7" top="0.75" bottom="0.75" header="0.3" footer="0.3"/>
  <drawing xmlns:r="http://schemas.openxmlformats.org/officeDocument/2006/relationships" r:id="rId1"/>
</worksheet>
</file>

<file path=xl/worksheets/sheet53.xml><?xml version="1.0" encoding="utf-8"?>
<worksheet xmlns="http://schemas.openxmlformats.org/spreadsheetml/2006/main">
  <sheetPr>
    <outlinePr summaryBelow="1" summaryRight="1"/>
    <pageSetUpPr/>
  </sheetPr>
  <dimension ref="B2:F36"/>
  <sheetViews>
    <sheetView showGridLines="0" zoomScale="115" zoomScaleNormal="115" workbookViewId="0">
      <selection activeCell="B2" sqref="B2"/>
    </sheetView>
  </sheetViews>
  <sheetFormatPr baseColWidth="8" defaultRowHeight="18"/>
  <cols>
    <col width="16.125" customWidth="1" style="595" min="2" max="5"/>
    <col width="55.5" customWidth="1" style="595" min="6" max="6"/>
  </cols>
  <sheetData>
    <row r="2" ht="19.5" customHeight="1" s="595">
      <c r="B2" s="2" t="inlineStr">
        <is>
          <t>あああ</t>
        </is>
      </c>
      <c r="C2" s="3" t="inlineStr">
        <is>
          <t>あああ</t>
        </is>
      </c>
      <c r="D2" s="3" t="inlineStr">
        <is>
          <t>あああ</t>
        </is>
      </c>
      <c r="E2" s="3" t="inlineStr">
        <is>
          <t>あああ</t>
        </is>
      </c>
      <c r="F2" s="1" t="inlineStr">
        <is>
          <t>あああ</t>
        </is>
      </c>
    </row>
    <row r="3" ht="22.5" customHeight="1" s="595">
      <c r="B3" s="443" t="inlineStr">
        <is>
          <t>あああああ</t>
        </is>
      </c>
      <c r="C3" s="904" t="inlineStr">
        <is>
          <t>XXXXX</t>
        </is>
      </c>
      <c r="D3" s="904" t="inlineStr">
        <is>
          <t>XXXXX</t>
        </is>
      </c>
      <c r="E3" s="904" t="inlineStr">
        <is>
          <t>XXXXX</t>
        </is>
      </c>
      <c r="F3" s="21" t="inlineStr">
        <is>
          <t>ああああああああああああああああああああああああああああああああ</t>
        </is>
      </c>
    </row>
    <row r="4" ht="22.5" customHeight="1" s="595">
      <c r="B4" s="444" t="inlineStr">
        <is>
          <t>あああああ</t>
        </is>
      </c>
      <c r="C4" s="862" t="inlineStr">
        <is>
          <t>XXXXX</t>
        </is>
      </c>
      <c r="D4" s="862" t="inlineStr">
        <is>
          <t>XXXXX</t>
        </is>
      </c>
      <c r="E4" s="951" t="inlineStr">
        <is>
          <t>XXXXX</t>
        </is>
      </c>
      <c r="F4" s="20" t="inlineStr">
        <is>
          <t>ああああああああああああああああああああああああああああああああ</t>
        </is>
      </c>
    </row>
    <row r="5" ht="22.5" customHeight="1" s="595">
      <c r="B5" s="444" t="inlineStr">
        <is>
          <t>あああああ</t>
        </is>
      </c>
      <c r="C5" s="862" t="inlineStr">
        <is>
          <t>XXXXX</t>
        </is>
      </c>
      <c r="D5" s="862" t="inlineStr">
        <is>
          <t>XXXXX</t>
        </is>
      </c>
      <c r="E5" s="951" t="inlineStr">
        <is>
          <t>XXXXX</t>
        </is>
      </c>
      <c r="F5" s="19" t="inlineStr">
        <is>
          <t>ああああああああああああああああああああああああああああああああ</t>
        </is>
      </c>
    </row>
    <row r="6" ht="22.5" customHeight="1" s="595">
      <c r="B6" s="444" t="inlineStr">
        <is>
          <t>あああああ</t>
        </is>
      </c>
      <c r="C6" s="862" t="inlineStr">
        <is>
          <t>XXXXX</t>
        </is>
      </c>
      <c r="D6" s="862" t="inlineStr">
        <is>
          <t>XXXXX</t>
        </is>
      </c>
      <c r="E6" s="951" t="inlineStr">
        <is>
          <t>XXXXX</t>
        </is>
      </c>
      <c r="F6" s="19" t="inlineStr">
        <is>
          <t>ああああああああああああああああああああああああああああああああ</t>
        </is>
      </c>
    </row>
    <row r="7" ht="22.5" customHeight="1" s="595">
      <c r="B7" s="444" t="inlineStr">
        <is>
          <t>あああああ</t>
        </is>
      </c>
      <c r="C7" s="862" t="inlineStr">
        <is>
          <t>XXXXX</t>
        </is>
      </c>
      <c r="D7" s="862" t="inlineStr">
        <is>
          <t>XXXXX</t>
        </is>
      </c>
      <c r="E7" s="951" t="inlineStr">
        <is>
          <t>XXXXX</t>
        </is>
      </c>
      <c r="F7" s="19" t="inlineStr">
        <is>
          <t>ああああああああああああああああああああああああああああああああ</t>
        </is>
      </c>
    </row>
    <row r="8" ht="22.5" customHeight="1" s="595">
      <c r="B8" s="444" t="inlineStr">
        <is>
          <t>あああああ</t>
        </is>
      </c>
      <c r="C8" s="862" t="inlineStr">
        <is>
          <t>XXXXX</t>
        </is>
      </c>
      <c r="D8" s="862" t="inlineStr">
        <is>
          <t>XXXXX</t>
        </is>
      </c>
      <c r="E8" s="951" t="inlineStr">
        <is>
          <t>XXXXX</t>
        </is>
      </c>
      <c r="F8" s="19" t="inlineStr">
        <is>
          <t>ああああああああああああああああああああああああああああああああ</t>
        </is>
      </c>
    </row>
    <row r="11" ht="19.5" customHeight="1" s="595">
      <c r="B11" s="2" t="inlineStr">
        <is>
          <t>あああ</t>
        </is>
      </c>
      <c r="C11" s="3" t="inlineStr">
        <is>
          <t>あああ</t>
        </is>
      </c>
      <c r="D11" s="3" t="inlineStr">
        <is>
          <t>あああ</t>
        </is>
      </c>
      <c r="E11" s="3" t="inlineStr">
        <is>
          <t>あああ</t>
        </is>
      </c>
      <c r="F11" s="1" t="inlineStr">
        <is>
          <t>あああ</t>
        </is>
      </c>
    </row>
    <row r="12" ht="20.1" customHeight="1" s="595">
      <c r="B12" s="952" t="inlineStr">
        <is>
          <t>あああああ</t>
        </is>
      </c>
      <c r="C12" s="953" t="inlineStr">
        <is>
          <t>XXXXX</t>
        </is>
      </c>
      <c r="D12" s="953" t="inlineStr">
        <is>
          <t>XXXXX</t>
        </is>
      </c>
      <c r="E12" s="954" t="inlineStr">
        <is>
          <t>XXXXX</t>
        </is>
      </c>
      <c r="F12" s="24" t="inlineStr">
        <is>
          <t>ああああああああああああああああああああああああああああああああ</t>
        </is>
      </c>
    </row>
    <row r="13" ht="20.1" customHeight="1" s="595">
      <c r="B13" s="955" t="n"/>
      <c r="C13" s="862" t="inlineStr">
        <is>
          <t>XXXXX</t>
        </is>
      </c>
      <c r="D13" s="862" t="inlineStr">
        <is>
          <t>XXXXX</t>
        </is>
      </c>
      <c r="E13" s="956" t="inlineStr">
        <is>
          <t>XXXXX</t>
        </is>
      </c>
      <c r="F13" s="20" t="inlineStr">
        <is>
          <t>ああああああああああああああああああああああああああああああああ</t>
        </is>
      </c>
    </row>
    <row r="14" ht="20.1" customHeight="1" s="595">
      <c r="B14" s="444" t="inlineStr">
        <is>
          <t>あああああ</t>
        </is>
      </c>
      <c r="C14" s="957" t="inlineStr">
        <is>
          <t>XXXXX</t>
        </is>
      </c>
      <c r="D14" s="957" t="inlineStr">
        <is>
          <t>XXXXX</t>
        </is>
      </c>
      <c r="E14" s="957" t="inlineStr">
        <is>
          <t>XXXXX</t>
        </is>
      </c>
      <c r="F14" s="26" t="inlineStr">
        <is>
          <t>ああああああああああああああああああああああああああああああああ</t>
        </is>
      </c>
    </row>
    <row r="15" ht="20.1" customHeight="1" s="595">
      <c r="B15" s="955" t="n"/>
      <c r="C15" s="862" t="inlineStr">
        <is>
          <t>XXXXX</t>
        </is>
      </c>
      <c r="D15" s="862" t="inlineStr">
        <is>
          <t>XXXXX</t>
        </is>
      </c>
      <c r="E15" s="862" t="inlineStr">
        <is>
          <t>XXXXX</t>
        </is>
      </c>
      <c r="F15" s="19" t="inlineStr">
        <is>
          <t>ああああああああああああああああああああああああああああああああ</t>
        </is>
      </c>
    </row>
    <row r="16" ht="20.1" customHeight="1" s="595">
      <c r="B16" s="444" t="inlineStr">
        <is>
          <t>あああああ</t>
        </is>
      </c>
      <c r="C16" s="957" t="inlineStr">
        <is>
          <t>XXXXX</t>
        </is>
      </c>
      <c r="D16" s="957" t="inlineStr">
        <is>
          <t>XXXXX</t>
        </is>
      </c>
      <c r="E16" s="957" t="inlineStr">
        <is>
          <t>XXXXX</t>
        </is>
      </c>
      <c r="F16" s="26" t="inlineStr">
        <is>
          <t>ああああああああああああああああああああああああああああああああ</t>
        </is>
      </c>
    </row>
    <row r="17" ht="20.1" customHeight="1" s="595">
      <c r="B17" s="955" t="n"/>
      <c r="C17" s="862" t="inlineStr">
        <is>
          <t>XXXXX</t>
        </is>
      </c>
      <c r="D17" s="862" t="inlineStr">
        <is>
          <t>XXXXX</t>
        </is>
      </c>
      <c r="E17" s="862" t="inlineStr">
        <is>
          <t>XXXXX</t>
        </is>
      </c>
      <c r="F17" s="19" t="inlineStr">
        <is>
          <t>ああああああああああああああああああああああああああああああああ</t>
        </is>
      </c>
    </row>
    <row r="20" ht="19.5" customHeight="1" s="595">
      <c r="B20" s="2" t="inlineStr">
        <is>
          <t>あああ</t>
        </is>
      </c>
      <c r="C20" s="3" t="inlineStr">
        <is>
          <t>あああ</t>
        </is>
      </c>
      <c r="D20" s="27" t="inlineStr">
        <is>
          <t>あああ</t>
        </is>
      </c>
      <c r="E20" s="3" t="inlineStr">
        <is>
          <t>あああ</t>
        </is>
      </c>
    </row>
    <row r="21">
      <c r="B21" s="952" t="inlineStr">
        <is>
          <t>あああああ</t>
        </is>
      </c>
      <c r="C21" s="958" t="inlineStr">
        <is>
          <t>XXXXX</t>
        </is>
      </c>
      <c r="D21" s="959" t="inlineStr">
        <is>
          <t>XXXXX</t>
        </is>
      </c>
      <c r="E21" s="960" t="inlineStr">
        <is>
          <t>XXXXX</t>
        </is>
      </c>
    </row>
    <row r="22">
      <c r="B22" s="955" t="n"/>
      <c r="C22" s="961" t="inlineStr">
        <is>
          <t>XXXXX</t>
        </is>
      </c>
      <c r="D22" s="962" t="inlineStr">
        <is>
          <t>XXXXX</t>
        </is>
      </c>
      <c r="E22" s="963" t="inlineStr">
        <is>
          <t>XXXXX</t>
        </is>
      </c>
    </row>
    <row r="23">
      <c r="B23" s="444" t="inlineStr">
        <is>
          <t>あああああ</t>
        </is>
      </c>
      <c r="C23" s="964" t="inlineStr">
        <is>
          <t>XXXXX</t>
        </is>
      </c>
      <c r="D23" s="965" t="inlineStr">
        <is>
          <t>XXXXX</t>
        </is>
      </c>
      <c r="E23" s="966" t="inlineStr">
        <is>
          <t>XXXXX</t>
        </is>
      </c>
    </row>
    <row r="24">
      <c r="B24" s="955" t="n"/>
      <c r="C24" s="967" t="inlineStr">
        <is>
          <t>XXXXX</t>
        </is>
      </c>
      <c r="D24" s="968" t="inlineStr">
        <is>
          <t>XXXXX</t>
        </is>
      </c>
      <c r="E24" s="969" t="inlineStr">
        <is>
          <t>XXXXX</t>
        </is>
      </c>
    </row>
    <row r="25">
      <c r="B25" s="444" t="inlineStr">
        <is>
          <t>あああああ</t>
        </is>
      </c>
      <c r="C25" s="970" t="inlineStr">
        <is>
          <t>XXXXX</t>
        </is>
      </c>
      <c r="D25" s="971" t="inlineStr">
        <is>
          <t>XXXXX</t>
        </is>
      </c>
      <c r="E25" s="972" t="inlineStr">
        <is>
          <t>XXXXX</t>
        </is>
      </c>
    </row>
    <row r="26" ht="18.75" customHeight="1" s="595" thickBot="1">
      <c r="B26" s="955" t="n"/>
      <c r="C26" s="961" t="inlineStr">
        <is>
          <t>XXXXX</t>
        </is>
      </c>
      <c r="D26" s="973" t="inlineStr">
        <is>
          <t>XXXXX</t>
        </is>
      </c>
      <c r="E26" s="969" t="inlineStr">
        <is>
          <t>XXXXX</t>
        </is>
      </c>
    </row>
    <row r="27" ht="18.75" customHeight="1" s="595" thickTop="1">
      <c r="D27" s="35" t="n"/>
    </row>
    <row r="29" ht="19.5" customHeight="1" s="595">
      <c r="B29" s="2" t="inlineStr">
        <is>
          <t>あああ</t>
        </is>
      </c>
      <c r="C29" s="3" t="inlineStr">
        <is>
          <t>あああ</t>
        </is>
      </c>
      <c r="D29" s="3" t="inlineStr">
        <is>
          <t>あああ</t>
        </is>
      </c>
      <c r="E29" s="3" t="inlineStr">
        <is>
          <t>あああ</t>
        </is>
      </c>
    </row>
    <row r="30">
      <c r="B30" s="952" t="inlineStr">
        <is>
          <t>あああああ</t>
        </is>
      </c>
      <c r="C30" s="953" t="inlineStr">
        <is>
          <t>XXXXX</t>
        </is>
      </c>
      <c r="D30" s="953" t="inlineStr">
        <is>
          <t>XXXXX</t>
        </is>
      </c>
      <c r="E30" s="954" t="inlineStr">
        <is>
          <t>XXXXX</t>
        </is>
      </c>
    </row>
    <row r="31">
      <c r="B31" s="955" t="n"/>
      <c r="C31" s="862" t="inlineStr">
        <is>
          <t>XXXXX</t>
        </is>
      </c>
      <c r="D31" s="862" t="inlineStr">
        <is>
          <t>XXXXX</t>
        </is>
      </c>
      <c r="E31" s="956" t="inlineStr">
        <is>
          <t>XXXXX</t>
        </is>
      </c>
    </row>
    <row r="32">
      <c r="B32" s="974" t="inlineStr">
        <is>
          <t>あああああ</t>
        </is>
      </c>
      <c r="C32" s="957" t="inlineStr">
        <is>
          <t>XXXXX</t>
        </is>
      </c>
      <c r="D32" s="957" t="inlineStr">
        <is>
          <t>XXXXX</t>
        </is>
      </c>
      <c r="E32" s="957" t="inlineStr">
        <is>
          <t>XXXXX</t>
        </is>
      </c>
    </row>
    <row r="33" ht="18.75" customHeight="1" s="595" thickBot="1">
      <c r="B33" s="975" t="n"/>
      <c r="C33" s="976" t="inlineStr">
        <is>
          <t>XXXXX</t>
        </is>
      </c>
      <c r="D33" s="976" t="inlineStr">
        <is>
          <t>XXXXX</t>
        </is>
      </c>
      <c r="E33" s="976" t="inlineStr">
        <is>
          <t>XXXXX</t>
        </is>
      </c>
    </row>
    <row r="34" ht="18.75" customHeight="1" s="595" thickTop="1">
      <c r="B34" s="584" t="inlineStr">
        <is>
          <t>あああああ</t>
        </is>
      </c>
      <c r="C34" s="977" t="inlineStr">
        <is>
          <t>XXXXX</t>
        </is>
      </c>
      <c r="D34" s="977" t="inlineStr">
        <is>
          <t>XXXXX</t>
        </is>
      </c>
      <c r="E34" s="978" t="inlineStr">
        <is>
          <t>XXXXX</t>
        </is>
      </c>
      <c r="F34" s="39" t="n"/>
    </row>
    <row r="35" ht="18.75" customHeight="1" s="595" thickBot="1">
      <c r="B35" s="979" t="n"/>
      <c r="C35" s="980" t="inlineStr">
        <is>
          <t>XXXXX</t>
        </is>
      </c>
      <c r="D35" s="980" t="inlineStr">
        <is>
          <t>XXXXX</t>
        </is>
      </c>
      <c r="E35" s="981" t="inlineStr">
        <is>
          <t>XXXXX</t>
        </is>
      </c>
      <c r="F35" s="39" t="n"/>
    </row>
    <row r="36" ht="18.75" customHeight="1" s="595" thickTop="1">
      <c r="B36" s="35" t="n"/>
      <c r="C36" s="35" t="n"/>
      <c r="D36" s="35" t="n"/>
      <c r="E36" s="35" t="n"/>
    </row>
  </sheetData>
  <mergeCells count="9">
    <mergeCell ref="B23:B24"/>
    <mergeCell ref="B32:B33"/>
    <mergeCell ref="B12:B13"/>
    <mergeCell ref="B25:B26"/>
    <mergeCell ref="B16:B17"/>
    <mergeCell ref="B34:B35"/>
    <mergeCell ref="B21:B22"/>
    <mergeCell ref="B14:B15"/>
    <mergeCell ref="B30:B3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直子 渡辺</dc:creator>
  <dcterms:created xmlns:dcterms="http://purl.org/dc/terms/" xmlns:xsi="http://www.w3.org/2001/XMLSchema-instance" xsi:type="dcterms:W3CDTF">2026-01-09T01:04:21Z</dcterms:created>
  <dcterms:modified xmlns:dcterms="http://purl.org/dc/terms/" xmlns:xsi="http://www.w3.org/2001/XMLSchema-instance" xsi:type="dcterms:W3CDTF">2026-10-27T14:29:13Z</dcterms:modified>
  <cp:lastModifiedBy>D07</cp:lastModifiedBy>
</cp:coreProperties>
</file>