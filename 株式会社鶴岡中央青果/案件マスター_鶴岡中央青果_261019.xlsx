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ルール" sheetId="1" state="visible" r:id="rId1"/>
    <sheet xmlns:r="http://schemas.openxmlformats.org/officeDocument/2006/relationships" name="財務入力→" sheetId="2" state="visible" r:id="rId2"/>
    <sheet xmlns:r="http://schemas.openxmlformats.org/officeDocument/2006/relationships" name="BS(借方)" sheetId="3" state="visible" r:id="rId3"/>
    <sheet xmlns:r="http://schemas.openxmlformats.org/officeDocument/2006/relationships" name="BS (貸方)" sheetId="4" state="visible" r:id="rId4"/>
    <sheet xmlns:r="http://schemas.openxmlformats.org/officeDocument/2006/relationships" name="SGA" sheetId="5" state="visible" r:id="rId5"/>
    <sheet xmlns:r="http://schemas.openxmlformats.org/officeDocument/2006/relationships" name="PL" sheetId="6" state="visible" r:id="rId6"/>
    <sheet xmlns:r="http://schemas.openxmlformats.org/officeDocument/2006/relationships" name="VR→" sheetId="7" state="visible" r:id="rId7"/>
    <sheet xmlns:r="http://schemas.openxmlformats.org/officeDocument/2006/relationships" name="修正PL" sheetId="8" state="visible" r:id="rId8"/>
    <sheet xmlns:r="http://schemas.openxmlformats.org/officeDocument/2006/relationships" name="修正BS" sheetId="9" state="visible" r:id="rId9"/>
    <sheet xmlns:r="http://schemas.openxmlformats.org/officeDocument/2006/relationships" name="ネットキャッシュ" sheetId="10" state="visible" r:id="rId10"/>
    <sheet xmlns:r="http://schemas.openxmlformats.org/officeDocument/2006/relationships" name="年買法" sheetId="11" state="visible" r:id="rId11"/>
    <sheet xmlns:r="http://schemas.openxmlformats.org/officeDocument/2006/relationships" name="EV EBITDAマルチプル" sheetId="12" state="visible" r:id="rId12"/>
    <sheet xmlns:r="http://schemas.openxmlformats.org/officeDocument/2006/relationships" name="株式価値" sheetId="13" state="visible" r:id="rId13"/>
    <sheet xmlns:r="http://schemas.openxmlformats.org/officeDocument/2006/relationships" name="IM→" sheetId="14" state="visible" r:id="rId14"/>
    <sheet xmlns:r="http://schemas.openxmlformats.org/officeDocument/2006/relationships" name="会社概要" sheetId="15" state="visible" r:id="rId15"/>
    <sheet xmlns:r="http://schemas.openxmlformats.org/officeDocument/2006/relationships" name="PLハイライト" sheetId="16" state="visible" r:id="rId16"/>
    <sheet xmlns:r="http://schemas.openxmlformats.org/officeDocument/2006/relationships" name="BSハイライト" sheetId="17" state="visible" r:id="rId17"/>
    <sheet xmlns:r="http://schemas.openxmlformats.org/officeDocument/2006/relationships" name="売上構成" sheetId="18" state="visible" r:id="rId18"/>
    <sheet xmlns:r="http://schemas.openxmlformats.org/officeDocument/2006/relationships" name="取引先" sheetId="19" state="visible" r:id="rId19"/>
    <sheet xmlns:r="http://schemas.openxmlformats.org/officeDocument/2006/relationships" name="仕入先" sheetId="20" state="visible" r:id="rId20"/>
    <sheet xmlns:r="http://schemas.openxmlformats.org/officeDocument/2006/relationships" name="株主" sheetId="21" state="visible" r:id="rId21"/>
    <sheet xmlns:r="http://schemas.openxmlformats.org/officeDocument/2006/relationships" name="取締役" sheetId="22" state="visible" r:id="rId22"/>
    <sheet xmlns:r="http://schemas.openxmlformats.org/officeDocument/2006/relationships" name="従業員" sheetId="23" state="visible" r:id="rId23"/>
    <sheet xmlns:r="http://schemas.openxmlformats.org/officeDocument/2006/relationships" name="拠点(本社等)" sheetId="24" state="visible" r:id="rId24"/>
    <sheet xmlns:r="http://schemas.openxmlformats.org/officeDocument/2006/relationships" name="不動産概況" sheetId="25" state="visible" r:id="rId25"/>
    <sheet xmlns:r="http://schemas.openxmlformats.org/officeDocument/2006/relationships" name="不動産(所有)" sheetId="26" state="visible" r:id="rId26"/>
    <sheet xmlns:r="http://schemas.openxmlformats.org/officeDocument/2006/relationships" name="不動産詳細" sheetId="27" state="visible" r:id="rId27"/>
    <sheet xmlns:r="http://schemas.openxmlformats.org/officeDocument/2006/relationships" name="設備" sheetId="28" state="visible" r:id="rId28"/>
    <sheet xmlns:r="http://schemas.openxmlformats.org/officeDocument/2006/relationships" name="月別売上" sheetId="29" state="visible" r:id="rId29"/>
    <sheet xmlns:r="http://schemas.openxmlformats.org/officeDocument/2006/relationships" name="貸借対照表" sheetId="30" state="visible" r:id="rId30"/>
    <sheet xmlns:r="http://schemas.openxmlformats.org/officeDocument/2006/relationships" name="損益計算書" sheetId="31" state="visible" r:id="rId31"/>
    <sheet xmlns:r="http://schemas.openxmlformats.org/officeDocument/2006/relationships" name="販管費" sheetId="32" state="visible" r:id="rId32"/>
    <sheet xmlns:r="http://schemas.openxmlformats.org/officeDocument/2006/relationships" name="沿革" sheetId="33" state="visible" r:id="rId33"/>
    <sheet xmlns:r="http://schemas.openxmlformats.org/officeDocument/2006/relationships" name="その他補足" sheetId="34" state="visible" r:id="rId34"/>
    <sheet xmlns:r="http://schemas.openxmlformats.org/officeDocument/2006/relationships" name="その他" sheetId="35" state="visible" r:id="rId35"/>
  </sheets>
  <definedNames/>
  <calcPr calcId="124519" fullCalcOnLoad="1"/>
</workbook>
</file>

<file path=xl/styles.xml><?xml version="1.0" encoding="utf-8"?>
<styleSheet xmlns="http://schemas.openxmlformats.org/spreadsheetml/2006/main">
  <numFmts count="9">
    <numFmt numFmtId="164" formatCode="#,##0,;[Red]△#,##0,;&quot;-&quot;"/>
    <numFmt numFmtId="165" formatCode="0.0%;[Red]△0.0%;&quot;-&quot;"/>
    <numFmt numFmtId="166" formatCode="0&quot;倍&quot;"/>
    <numFmt numFmtId="167" formatCode="#,##0,;△#,##0,;&quot;-&quot;"/>
    <numFmt numFmtId="168" formatCode="0.0%;△0.0%;&quot;-&quot;"/>
    <numFmt numFmtId="169" formatCode="#,##0;△#,##0;&quot;-&quot;"/>
    <numFmt numFmtId="170" formatCode="0.0"/>
    <numFmt numFmtId="171" formatCode="#,##0.00;△#,##0.00;&quot;-&quot;"/>
    <numFmt numFmtId="172" formatCode="0.00&quot;倍&quot;"/>
  </numFmts>
  <fonts count="40">
    <font>
      <name val="Calibri"/>
      <family val="2"/>
      <color theme="1"/>
      <sz val="11"/>
      <scheme val="minor"/>
    </font>
    <font>
      <name val="游ゴシック"/>
      <b val="1"/>
      <color rgb="000B3041"/>
      <sz val="14"/>
    </font>
    <font>
      <name val="游ゴシック"/>
      <sz val="10"/>
    </font>
    <font>
      <name val="游ゴシック Medium"/>
      <color rgb="00555555"/>
      <sz val="9"/>
    </font>
    <font>
      <name val="游ゴシック"/>
      <b val="1"/>
      <color rgb="00FFFFFF"/>
      <sz val="10"/>
    </font>
    <font>
      <name val="游ゴシック"/>
      <b val="1"/>
      <sz val="10"/>
    </font>
    <font>
      <name val="Arial"/>
      <sz val="10"/>
    </font>
    <font>
      <name val="Arial"/>
      <b val="1"/>
      <sz val="10"/>
    </font>
    <font>
      <name val="游ゴシック Medium"/>
      <sz val="9"/>
    </font>
    <font>
      <name val="游ゴシック"/>
      <sz val="9"/>
    </font>
    <font>
      <name val="游ゴシック"/>
      <color rgb="00000000"/>
      <sz val="9"/>
    </font>
    <font>
      <name val="游ゴシック"/>
      <color rgb="00FFFFFF"/>
      <sz val="10"/>
    </font>
    <font>
      <name val="游ゴシック"/>
      <color rgb="00000000"/>
      <sz val="10.5"/>
    </font>
    <font>
      <name val="Arial"/>
      <color rgb="00000000"/>
      <sz val="10.5"/>
    </font>
    <font>
      <name val="游ゴシック"/>
      <i val="1"/>
      <color rgb="00000000"/>
      <sz val="7"/>
    </font>
    <font>
      <name val="Arial"/>
      <i val="1"/>
      <color rgb="00000000"/>
      <sz val="7"/>
    </font>
    <font>
      <name val="游ゴシック"/>
      <b val="1"/>
      <color rgb="00000000"/>
      <sz val="10.5"/>
    </font>
    <font>
      <name val="Arial"/>
      <b val="1"/>
      <color rgb="00000000"/>
      <sz val="10.5"/>
    </font>
    <font>
      <name val="游ゴシック Medium"/>
      <color rgb="00C00000"/>
      <sz val="9"/>
    </font>
    <font>
      <name val="游ゴシック"/>
      <color rgb="00000000"/>
      <sz val="10"/>
    </font>
    <font>
      <name val="游ゴシック"/>
      <color rgb="00FFFFFF"/>
      <sz val="9"/>
    </font>
    <font>
      <name val="Arial"/>
      <color rgb="00000000"/>
      <sz val="9"/>
    </font>
    <font>
      <name val="游ゴシック"/>
      <b val="1"/>
      <color rgb="00000000"/>
      <sz val="9"/>
    </font>
    <font>
      <name val="Arial"/>
      <b val="1"/>
      <color rgb="00000000"/>
      <sz val="9"/>
    </font>
    <font>
      <name val="游ゴシック"/>
      <color rgb="00FFFFFF"/>
      <sz val="8.5"/>
    </font>
    <font>
      <name val="游ゴシック"/>
      <color rgb="00000000"/>
      <sz val="8.5"/>
    </font>
    <font>
      <name val="Arial"/>
      <color rgb="00000000"/>
      <sz val="8.5"/>
    </font>
    <font>
      <name val="游ゴシック"/>
      <color rgb="00000000"/>
      <sz val="9.5"/>
    </font>
    <font>
      <name val="Arial"/>
      <color rgb="00000000"/>
      <sz val="9.5"/>
    </font>
    <font>
      <name val="游ゴシック"/>
      <b val="1"/>
      <color rgb="00000000"/>
      <sz val="9.5"/>
    </font>
    <font>
      <name val="Arial"/>
      <b val="1"/>
      <color rgb="00000000"/>
      <sz val="9.5"/>
    </font>
    <font>
      <name val="游ゴシック"/>
      <color rgb="00000000"/>
      <sz val="8"/>
    </font>
    <font>
      <name val="游ゴシック"/>
      <color rgb="00FFFFFF"/>
      <sz val="8"/>
    </font>
    <font>
      <name val="Arial"/>
      <color rgb="00000000"/>
      <sz val="8"/>
    </font>
    <font>
      <name val="游ゴシック"/>
      <b val="1"/>
      <color rgb="00000000"/>
      <sz val="8"/>
    </font>
    <font>
      <name val="Arial"/>
      <b val="1"/>
      <color rgb="00000000"/>
      <sz val="8"/>
    </font>
    <font>
      <name val="游ゴシック"/>
      <b val="1"/>
      <color rgb="00FFFFFF"/>
      <sz val="8"/>
    </font>
    <font>
      <name val="Arial"/>
      <b val="1"/>
      <color rgb="00FFFFFF"/>
      <sz val="8"/>
    </font>
    <font>
      <name val="游ゴシック"/>
      <b val="1"/>
      <color rgb="000B3041"/>
      <sz val="11"/>
    </font>
    <font>
      <name val="游ゴシック"/>
      <b val="1"/>
      <color rgb="00C00000"/>
      <sz val="11"/>
    </font>
  </fonts>
  <fills count="5">
    <fill>
      <patternFill/>
    </fill>
    <fill>
      <patternFill patternType="gray125"/>
    </fill>
    <fill>
      <patternFill patternType="solid">
        <fgColor rgb="000B3041"/>
      </patternFill>
    </fill>
    <fill>
      <patternFill patternType="solid">
        <fgColor rgb="00E3E7E9"/>
      </patternFill>
    </fill>
    <fill>
      <patternFill patternType="solid">
        <fgColor rgb="00E1F3FB"/>
      </patternFill>
    </fill>
  </fills>
  <borders count="12">
    <border>
      <left/>
      <right/>
      <top/>
      <bottom/>
      <diagonal/>
    </border>
    <border>
      <bottom style="hair">
        <color rgb="009AA5AB"/>
      </bottom>
    </border>
    <border>
      <left style="medium">
        <color rgb="00FFFFFF"/>
      </left>
      <right style="medium">
        <color rgb="00FFFFFF"/>
      </right>
      <bottom style="thin">
        <color rgb="00A6A6A6"/>
      </bottom>
    </border>
    <border>
      <left style="medium">
        <color rgb="00FFFFFF"/>
      </left>
      <right style="medium">
        <color rgb="00FFFFFF"/>
      </right>
    </border>
    <border>
      <left style="medium">
        <color rgb="00FFFFFF"/>
      </left>
      <right style="medium">
        <color rgb="00FFFFFF"/>
      </right>
      <top style="thin">
        <color rgb="000B3041"/>
      </top>
      <bottom style="thin">
        <color rgb="000B3041"/>
      </bottom>
    </border>
    <border>
      <left/>
      <right style="medium">
        <color rgb="00FFFFFF"/>
      </right>
      <top/>
      <bottom/>
      <diagonal/>
    </border>
    <border>
      <left/>
      <right/>
      <top/>
      <bottom style="thin">
        <color rgb="00A6A6A6"/>
      </bottom>
      <diagonal/>
    </border>
    <border>
      <left/>
      <right style="medium">
        <color rgb="00FFFFFF"/>
      </right>
      <top/>
      <bottom style="thin">
        <color rgb="00A6A6A6"/>
      </bottom>
      <diagonal/>
    </border>
    <border>
      <left style="medium">
        <color rgb="00FFFFFF"/>
      </left>
      <right/>
      <top/>
      <bottom/>
      <diagonal/>
    </border>
    <border>
      <left style="medium">
        <color rgb="00FFFFFF"/>
      </left>
      <right style="medium">
        <color rgb="00FFFFFF"/>
      </right>
      <top/>
      <bottom/>
      <diagonal/>
    </border>
    <border>
      <left style="medium">
        <color rgb="00FFFFFF"/>
      </left>
      <right style="medium">
        <color rgb="00FFFFFF"/>
      </right>
      <top/>
      <bottom style="thin">
        <color rgb="00A6A6A6"/>
      </bottom>
      <diagonal/>
    </border>
    <border>
      <left style="medium">
        <color rgb="00FFFFFF"/>
      </left>
      <right style="medium">
        <color rgb="00FFFFFF"/>
      </right>
      <bottom style="thin">
        <color rgb="000B3041"/>
      </bottom>
    </border>
  </borders>
  <cellStyleXfs count="1">
    <xf numFmtId="0" fontId="0" fillId="0" borderId="0"/>
  </cellStyleXfs>
  <cellXfs count="106">
    <xf numFmtId="0" fontId="0" fillId="0" borderId="0" pivotButton="0" quotePrefix="0" xfId="0"/>
    <xf numFmtId="0" fontId="1" fillId="0" borderId="0" pivotButton="0" quotePrefix="0" xfId="0"/>
    <xf numFmtId="0" fontId="2" fillId="0" borderId="0" pivotButton="0" quotePrefix="0" xfId="0"/>
    <xf numFmtId="0" fontId="38" fillId="0" borderId="0" pivotButton="0" quotePrefix="0" xfId="0"/>
    <xf numFmtId="0" fontId="6"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5" fillId="0" borderId="1" applyAlignment="1" pivotButton="0" quotePrefix="0" xfId="0">
      <alignment vertical="center"/>
    </xf>
    <xf numFmtId="0" fontId="2" fillId="0" borderId="1" applyAlignment="1" pivotButton="0" quotePrefix="0" xfId="0">
      <alignment vertical="center" indent="1"/>
    </xf>
    <xf numFmtId="164" fontId="6" fillId="0" borderId="1" pivotButton="0" quotePrefix="0" xfId="0"/>
    <xf numFmtId="0" fontId="5" fillId="3" borderId="1" applyAlignment="1" pivotButton="0" quotePrefix="0" xfId="0">
      <alignment vertical="center"/>
    </xf>
    <xf numFmtId="164" fontId="7" fillId="3" borderId="1" pivotButton="0" quotePrefix="0" xfId="0"/>
    <xf numFmtId="0" fontId="5" fillId="4" borderId="1" applyAlignment="1" pivotButton="0" quotePrefix="0" xfId="0">
      <alignment vertical="center"/>
    </xf>
    <xf numFmtId="164" fontId="7" fillId="4" borderId="1" pivotButton="0" quotePrefix="0" xfId="0"/>
    <xf numFmtId="0" fontId="2" fillId="0" borderId="1" applyAlignment="1" pivotButton="0" quotePrefix="0" xfId="0">
      <alignment vertical="center"/>
    </xf>
    <xf numFmtId="0" fontId="7" fillId="0" borderId="0" pivotButton="0" quotePrefix="0" xfId="0"/>
    <xf numFmtId="0" fontId="8" fillId="0" borderId="1" applyAlignment="1" pivotButton="0" quotePrefix="0" xfId="0">
      <alignment vertical="center"/>
    </xf>
    <xf numFmtId="165" fontId="6" fillId="0" borderId="1" pivotButton="0" quotePrefix="0" xfId="0"/>
    <xf numFmtId="0" fontId="8" fillId="0" borderId="0" pivotButton="0" quotePrefix="0" xfId="0"/>
    <xf numFmtId="164" fontId="7" fillId="0" borderId="1" pivotButton="0" quotePrefix="0" xfId="0"/>
    <xf numFmtId="0" fontId="9" fillId="0" borderId="1" applyAlignment="1" pivotButton="0" quotePrefix="0" xfId="0">
      <alignment vertical="top" wrapText="1"/>
    </xf>
    <xf numFmtId="9" fontId="6" fillId="0" borderId="1" pivotButton="0" quotePrefix="0" xfId="0"/>
    <xf numFmtId="0" fontId="9" fillId="0" borderId="1" applyAlignment="1" pivotButton="0" quotePrefix="0" xfId="0">
      <alignment vertical="top"/>
    </xf>
    <xf numFmtId="166" fontId="6" fillId="0" borderId="1" pivotButton="0" quotePrefix="0" xfId="0"/>
    <xf numFmtId="9" fontId="7" fillId="0" borderId="1" pivotButton="0" quotePrefix="0" xfId="0"/>
    <xf numFmtId="0" fontId="18" fillId="0" borderId="0" pivotButton="0" quotePrefix="0" xfId="0"/>
    <xf numFmtId="0" fontId="4" fillId="2" borderId="2" applyAlignment="1" pivotButton="0" quotePrefix="0" xfId="0">
      <alignment horizontal="left" vertical="center" wrapText="1"/>
    </xf>
    <xf numFmtId="0" fontId="12" fillId="3" borderId="2" applyAlignment="1" pivotButton="0" quotePrefix="0" xfId="0">
      <alignment horizontal="left" vertical="center" wrapText="1"/>
    </xf>
    <xf numFmtId="0" fontId="19" fillId="0" borderId="2" applyAlignment="1" pivotButton="0" quotePrefix="0" xfId="0">
      <alignment horizontal="left" vertical="center" wrapText="1"/>
    </xf>
    <xf numFmtId="0" fontId="0" fillId="0" borderId="7" pivotButton="0" quotePrefix="0" xfId="0"/>
    <xf numFmtId="0" fontId="12" fillId="0" borderId="2" applyAlignment="1" pivotButton="0" quotePrefix="0" xfId="0">
      <alignment horizontal="left" vertical="center" wrapText="1"/>
    </xf>
    <xf numFmtId="0" fontId="10" fillId="0" borderId="2" applyAlignment="1" pivotButton="0" quotePrefix="0" xfId="0">
      <alignment horizontal="left" vertical="center" wrapText="1"/>
    </xf>
    <xf numFmtId="0" fontId="10" fillId="0" borderId="0" applyAlignment="1" pivotButton="0" quotePrefix="0" xfId="0">
      <alignment horizontal="right" vertical="center" wrapText="1"/>
    </xf>
    <xf numFmtId="0" fontId="11" fillId="2" borderId="2" applyAlignment="1" pivotButton="0" quotePrefix="0" xfId="0">
      <alignment horizontal="center" vertical="center" wrapText="1"/>
    </xf>
    <xf numFmtId="0" fontId="12" fillId="3" borderId="3" applyAlignment="1" pivotButton="0" quotePrefix="0" xfId="0">
      <alignment horizontal="left" vertical="center" wrapText="1"/>
    </xf>
    <xf numFmtId="167" fontId="13" fillId="0" borderId="3" applyAlignment="1" pivotButton="0" quotePrefix="0" xfId="0">
      <alignment horizontal="right" vertical="center" wrapText="1"/>
    </xf>
    <xf numFmtId="0" fontId="14" fillId="3" borderId="2" applyAlignment="1" pivotButton="0" quotePrefix="0" xfId="0">
      <alignment horizontal="right" vertical="center" wrapText="1"/>
    </xf>
    <xf numFmtId="168" fontId="15" fillId="0" borderId="2" applyAlignment="1" pivotButton="0" quotePrefix="0" xfId="0">
      <alignment horizontal="right" vertical="center" wrapText="1"/>
    </xf>
    <xf numFmtId="0" fontId="12" fillId="0" borderId="0" applyAlignment="1" pivotButton="0" quotePrefix="0" xfId="0">
      <alignment horizontal="left" vertical="center" wrapText="1"/>
    </xf>
    <xf numFmtId="167" fontId="13" fillId="0" borderId="2" applyAlignment="1" pivotButton="0" quotePrefix="0" xfId="0">
      <alignment horizontal="right" vertical="center" wrapText="1"/>
    </xf>
    <xf numFmtId="0" fontId="16" fillId="4" borderId="2" applyAlignment="1" pivotButton="0" quotePrefix="0" xfId="0">
      <alignment horizontal="left" vertical="center" wrapText="1"/>
    </xf>
    <xf numFmtId="167" fontId="17" fillId="4" borderId="2" applyAlignment="1" pivotButton="0" quotePrefix="0" xfId="0">
      <alignment horizontal="right" vertical="center" wrapText="1"/>
    </xf>
    <xf numFmtId="0" fontId="12" fillId="0" borderId="2" applyAlignment="1" pivotButton="0" quotePrefix="0" xfId="0">
      <alignment horizontal="left" vertical="center" wrapText="1" indent="1"/>
    </xf>
    <xf numFmtId="0" fontId="16" fillId="3" borderId="4" applyAlignment="1" pivotButton="0" quotePrefix="0" xfId="0">
      <alignment horizontal="left" vertical="center" wrapText="1"/>
    </xf>
    <xf numFmtId="167" fontId="17" fillId="3" borderId="4" applyAlignment="1" pivotButton="0" quotePrefix="0" xfId="0">
      <alignment horizontal="right" vertical="center" wrapText="1"/>
    </xf>
    <xf numFmtId="0" fontId="0" fillId="0" borderId="6" pivotButton="0" quotePrefix="0" xfId="0"/>
    <xf numFmtId="168" fontId="13" fillId="0" borderId="2" applyAlignment="1" pivotButton="0" quotePrefix="0" xfId="0">
      <alignment horizontal="right" vertical="center" wrapText="1"/>
    </xf>
    <xf numFmtId="0" fontId="8" fillId="0" borderId="0" applyAlignment="1" pivotButton="0" quotePrefix="0" xfId="0">
      <alignment/>
    </xf>
    <xf numFmtId="0" fontId="12" fillId="3" borderId="4" applyAlignment="1" pivotButton="0" quotePrefix="0" xfId="0">
      <alignment horizontal="left" vertical="center" wrapText="1"/>
    </xf>
    <xf numFmtId="167" fontId="13" fillId="3" borderId="4" applyAlignment="1" pivotButton="0" quotePrefix="0" xfId="0">
      <alignment horizontal="right" vertical="center" wrapText="1"/>
    </xf>
    <xf numFmtId="167" fontId="13" fillId="0" borderId="0" applyAlignment="1" pivotButton="0" quotePrefix="0" xfId="0">
      <alignment horizontal="right" vertical="center" wrapText="1"/>
    </xf>
    <xf numFmtId="168" fontId="17" fillId="4" borderId="2" applyAlignment="1" pivotButton="0" quotePrefix="0" xfId="0">
      <alignment horizontal="right" vertical="center" wrapText="1"/>
    </xf>
    <xf numFmtId="0" fontId="20" fillId="2" borderId="2" applyAlignment="1" pivotButton="0" quotePrefix="0" xfId="0">
      <alignment horizontal="center" vertical="center" wrapText="1"/>
    </xf>
    <xf numFmtId="0" fontId="0" fillId="0" borderId="10" pivotButton="0" quotePrefix="0" xfId="0"/>
    <xf numFmtId="0" fontId="10" fillId="0" borderId="2" applyAlignment="1" pivotButton="0" quotePrefix="0" xfId="0">
      <alignment horizontal="center" vertical="center" wrapText="1"/>
    </xf>
    <xf numFmtId="167" fontId="21" fillId="0" borderId="2" applyAlignment="1" pivotButton="0" quotePrefix="0" xfId="0">
      <alignment horizontal="right" vertical="center" wrapText="1"/>
    </xf>
    <xf numFmtId="168" fontId="21" fillId="0" borderId="2" applyAlignment="1" pivotButton="0" quotePrefix="0" xfId="0">
      <alignment horizontal="right" vertical="center" wrapText="1"/>
    </xf>
    <xf numFmtId="0" fontId="22" fillId="4" borderId="2" applyAlignment="1" pivotButton="0" quotePrefix="0" xfId="0">
      <alignment horizontal="left" vertical="center" wrapText="1"/>
    </xf>
    <xf numFmtId="167" fontId="23" fillId="4" borderId="2" applyAlignment="1" pivotButton="0" quotePrefix="0" xfId="0">
      <alignment horizontal="right" vertical="center" wrapText="1"/>
    </xf>
    <xf numFmtId="168" fontId="23" fillId="4" borderId="2" applyAlignment="1" pivotButton="0" quotePrefix="0" xfId="0">
      <alignment horizontal="right" vertical="center" wrapText="1"/>
    </xf>
    <xf numFmtId="0" fontId="12" fillId="3" borderId="2" applyAlignment="1" pivotButton="0" quotePrefix="0" xfId="0">
      <alignment horizontal="center" vertical="center" wrapText="1"/>
    </xf>
    <xf numFmtId="169" fontId="13" fillId="0" borderId="2" applyAlignment="1" pivotButton="0" quotePrefix="0" xfId="0">
      <alignment horizontal="right" vertical="center" wrapText="1"/>
    </xf>
    <xf numFmtId="0" fontId="16" fillId="4" borderId="2" applyAlignment="1" pivotButton="0" quotePrefix="0" xfId="0">
      <alignment horizontal="center" vertical="center" wrapText="1"/>
    </xf>
    <xf numFmtId="169" fontId="17" fillId="4" borderId="2" applyAlignment="1" pivotButton="0" quotePrefix="0" xfId="0">
      <alignment horizontal="right" vertical="center" wrapText="1"/>
    </xf>
    <xf numFmtId="0" fontId="19" fillId="0" borderId="2" applyAlignment="1" pivotButton="0" quotePrefix="0" xfId="0">
      <alignment horizontal="center" vertical="center" wrapText="1"/>
    </xf>
    <xf numFmtId="0" fontId="24" fillId="2" borderId="2" applyAlignment="1" pivotButton="0" quotePrefix="0" xfId="0">
      <alignment horizontal="center" vertical="center" wrapText="1"/>
    </xf>
    <xf numFmtId="0" fontId="25" fillId="3" borderId="2" applyAlignment="1" pivotButton="0" quotePrefix="0" xfId="0">
      <alignment horizontal="center" vertical="center" wrapText="1"/>
    </xf>
    <xf numFmtId="0" fontId="25" fillId="0" borderId="2" applyAlignment="1" pivotButton="0" quotePrefix="0" xfId="0">
      <alignment horizontal="left" vertical="center" wrapText="1"/>
    </xf>
    <xf numFmtId="0" fontId="25" fillId="0" borderId="2" applyAlignment="1" pivotButton="0" quotePrefix="0" xfId="0">
      <alignment horizontal="center" vertical="center" wrapText="1"/>
    </xf>
    <xf numFmtId="1" fontId="26" fillId="0" borderId="2" applyAlignment="1" pivotButton="0" quotePrefix="0" xfId="0">
      <alignment horizontal="right" vertical="center" wrapText="1"/>
    </xf>
    <xf numFmtId="1" fontId="13" fillId="0" borderId="2" applyAlignment="1" pivotButton="0" quotePrefix="0" xfId="0">
      <alignment horizontal="right" vertical="center" wrapText="1"/>
    </xf>
    <xf numFmtId="170" fontId="13" fillId="0" borderId="2" applyAlignment="1" pivotButton="0" quotePrefix="0" xfId="0">
      <alignment horizontal="right" vertical="center" wrapText="1"/>
    </xf>
    <xf numFmtId="171" fontId="13" fillId="0" borderId="2" applyAlignment="1" pivotButton="0" quotePrefix="0" xfId="0">
      <alignment horizontal="right" vertical="center" wrapText="1"/>
    </xf>
    <xf numFmtId="171" fontId="17" fillId="4" borderId="2" applyAlignment="1" pivotButton="0" quotePrefix="0" xfId="0">
      <alignment horizontal="right" vertical="center" wrapText="1"/>
    </xf>
    <xf numFmtId="0" fontId="2" fillId="0" borderId="1" applyAlignment="1" pivotButton="0" quotePrefix="0" xfId="0">
      <alignment vertical="top" wrapText="1"/>
    </xf>
    <xf numFmtId="4" fontId="6" fillId="0" borderId="1" pivotButton="0" quotePrefix="0" xfId="0"/>
    <xf numFmtId="4" fontId="7" fillId="3" borderId="1" pivotButton="0" quotePrefix="0" xfId="0"/>
    <xf numFmtId="0" fontId="27" fillId="3" borderId="2" applyAlignment="1" pivotButton="0" quotePrefix="0" xfId="0">
      <alignment horizontal="left" vertical="center" wrapText="1"/>
    </xf>
    <xf numFmtId="0" fontId="27" fillId="0" borderId="2" applyAlignment="1" pivotButton="0" quotePrefix="0" xfId="0">
      <alignment horizontal="left" vertical="center" wrapText="1"/>
    </xf>
    <xf numFmtId="171" fontId="28" fillId="0" borderId="2" applyAlignment="1" pivotButton="0" quotePrefix="0" xfId="0">
      <alignment horizontal="right" vertical="center" wrapText="1"/>
    </xf>
    <xf numFmtId="0" fontId="27" fillId="0" borderId="2" applyAlignment="1" pivotButton="0" quotePrefix="0" xfId="0">
      <alignment horizontal="center" vertical="center" wrapText="1"/>
    </xf>
    <xf numFmtId="167" fontId="28" fillId="0" borderId="2" applyAlignment="1" pivotButton="0" quotePrefix="0" xfId="0">
      <alignment horizontal="right" vertical="center" wrapText="1"/>
    </xf>
    <xf numFmtId="0" fontId="29" fillId="4" borderId="2" applyAlignment="1" pivotButton="0" quotePrefix="0" xfId="0">
      <alignment horizontal="left" vertical="center" wrapText="1"/>
    </xf>
    <xf numFmtId="171" fontId="30" fillId="4" borderId="2" applyAlignment="1" pivotButton="0" quotePrefix="0" xfId="0">
      <alignment horizontal="right" vertical="center" wrapText="1"/>
    </xf>
    <xf numFmtId="167" fontId="30" fillId="4" borderId="2" applyAlignment="1" pivotButton="0" quotePrefix="0" xfId="0">
      <alignment horizontal="right" vertical="center" wrapText="1"/>
    </xf>
    <xf numFmtId="0" fontId="31" fillId="0" borderId="0" applyAlignment="1" pivotButton="0" quotePrefix="0" xfId="0">
      <alignment horizontal="right" vertical="center" wrapText="1"/>
    </xf>
    <xf numFmtId="0" fontId="32" fillId="2" borderId="2" applyAlignment="1" pivotButton="0" quotePrefix="0" xfId="0">
      <alignment horizontal="center" vertical="center" wrapText="1"/>
    </xf>
    <xf numFmtId="0" fontId="31" fillId="3" borderId="2" applyAlignment="1" pivotButton="0" quotePrefix="0" xfId="0">
      <alignment horizontal="left" vertical="center" wrapText="1"/>
    </xf>
    <xf numFmtId="0" fontId="31" fillId="0" borderId="2" applyAlignment="1" pivotButton="0" quotePrefix="0" xfId="0">
      <alignment horizontal="left" vertical="center" wrapText="1"/>
    </xf>
    <xf numFmtId="171" fontId="33" fillId="0" borderId="2" applyAlignment="1" pivotButton="0" quotePrefix="0" xfId="0">
      <alignment horizontal="right" vertical="center" wrapText="1"/>
    </xf>
    <xf numFmtId="167" fontId="33" fillId="0" borderId="2" applyAlignment="1" pivotButton="0" quotePrefix="0" xfId="0">
      <alignment horizontal="right" vertical="center" wrapText="1"/>
    </xf>
    <xf numFmtId="0" fontId="34" fillId="4" borderId="2" applyAlignment="1" pivotButton="0" quotePrefix="0" xfId="0">
      <alignment horizontal="left" vertical="center" wrapText="1"/>
    </xf>
    <xf numFmtId="171" fontId="35" fillId="4" borderId="2" applyAlignment="1" pivotButton="0" quotePrefix="0" xfId="0">
      <alignment horizontal="right" vertical="center" wrapText="1"/>
    </xf>
    <xf numFmtId="167" fontId="35" fillId="4" borderId="2" applyAlignment="1" pivotButton="0" quotePrefix="0" xfId="0">
      <alignment horizontal="right" vertical="center" wrapText="1"/>
    </xf>
    <xf numFmtId="172" fontId="15" fillId="0" borderId="2" applyAlignment="1" pivotButton="0" quotePrefix="0" xfId="0">
      <alignment horizontal="right" vertical="center" wrapText="1"/>
    </xf>
    <xf numFmtId="0" fontId="31" fillId="3" borderId="2" applyAlignment="1" pivotButton="0" quotePrefix="0" xfId="0">
      <alignment horizontal="left" vertical="center" wrapText="1" indent="1"/>
    </xf>
    <xf numFmtId="0" fontId="36" fillId="2" borderId="2" applyAlignment="1" pivotButton="0" quotePrefix="0" xfId="0">
      <alignment horizontal="left" vertical="center" wrapText="1"/>
    </xf>
    <xf numFmtId="167" fontId="37" fillId="2" borderId="2" applyAlignment="1" pivotButton="0" quotePrefix="0" xfId="0">
      <alignment horizontal="right" vertical="center" wrapText="1"/>
    </xf>
    <xf numFmtId="0" fontId="31" fillId="0" borderId="11" applyAlignment="1" pivotButton="0" quotePrefix="0" xfId="0">
      <alignment horizontal="left" vertical="center" wrapText="1"/>
    </xf>
    <xf numFmtId="167" fontId="33" fillId="0" borderId="11" applyAlignment="1" pivotButton="0" quotePrefix="0" xfId="0">
      <alignment horizontal="right" vertical="center" wrapText="1"/>
    </xf>
    <xf numFmtId="168" fontId="33" fillId="0" borderId="2" applyAlignment="1" pivotButton="0" quotePrefix="0" xfId="0">
      <alignment horizontal="right" vertical="center" wrapText="1"/>
    </xf>
    <xf numFmtId="168" fontId="35" fillId="4" borderId="2" applyAlignment="1" pivotButton="0" quotePrefix="0" xfId="0">
      <alignment horizontal="right" vertical="center" wrapText="1"/>
    </xf>
    <xf numFmtId="168" fontId="37" fillId="2" borderId="2" applyAlignment="1" pivotButton="0" quotePrefix="0" xfId="0">
      <alignment horizontal="right" vertical="center" wrapText="1"/>
    </xf>
    <xf numFmtId="168" fontId="33" fillId="0" borderId="11" applyAlignment="1" pivotButton="0" quotePrefix="0" xfId="0">
      <alignment horizontal="right" vertical="center" wrapText="1"/>
    </xf>
    <xf numFmtId="1" fontId="6" fillId="0" borderId="1" pivotButton="0" quotePrefix="0" xfId="0"/>
    <xf numFmtId="0" fontId="3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showGridLines="0" workbookViewId="0">
      <selection activeCell="A1" sqref="A1"/>
    </sheetView>
  </sheetViews>
  <sheetFormatPr baseColWidth="8" defaultRowHeight="15"/>
  <cols>
    <col width="4" customWidth="1" min="1" max="1"/>
    <col width="100" customWidth="1" min="2" max="2"/>
  </cols>
  <sheetData>
    <row r="1">
      <c r="A1" s="1" t="inlineStr">
        <is>
          <t>案件マスター 運用ルール（株式会社鶴岡中央青果）</t>
        </is>
      </c>
    </row>
    <row r="3">
      <c r="B3" s="2" t="inlineStr">
        <is>
          <t>1. 本ファイルが唯一の数値ソース。企業概要書・評価書の数字は必ず本ファイルから転記する（パワポに直接打たない）。</t>
        </is>
      </c>
    </row>
    <row r="4">
      <c r="B4" s="2" t="inlineStr">
        <is>
          <t>2. 文字は「游ゴシック」、数字は「Arial」、備考等の細かい文章は「游ゴシック Medium」。タイトル・合計欄は太字。</t>
        </is>
      </c>
    </row>
    <row r="5">
      <c r="B5" s="2" t="inlineStr">
        <is>
          <t>3. 数字は円単位で入力する。表示は千円単位に設定済み（千円で入力すると1000倍ずれる）。</t>
        </is>
      </c>
    </row>
    <row r="6">
      <c r="B6" s="2" t="inlineStr">
        <is>
          <t>4. 未確認事項は推測で埋めず「要確認」と記載し、「その他」シートに集約する。推測を書く場合は「推察」「想定」「（仮説）」と明記。</t>
        </is>
      </c>
    </row>
    <row r="7">
      <c r="B7" s="2" t="inlineStr">
        <is>
          <t>5. 転記元：第51〜53期決算報告書（勘定科目内訳明細書・法人税申告書・法人事業概況説明書を含む）、2026年7月試算表、</t>
        </is>
      </c>
    </row>
    <row r="8">
      <c r="B8" s="2" t="inlineStr">
        <is>
          <t xml:space="preserve">   職員名簿（2026/9/1現在）、履歴事項全部証明書（2026/9/10取得）、R8年度固定資産税課税明細書。</t>
        </is>
      </c>
    </row>
    <row r="9">
      <c r="B9" s="2" t="inlineStr">
        <is>
          <t>6. 進行期（G列）は2026年4月〜7月の4か月累計。7〜8月が繁忙期（だだちゃ豆・メロン等）のため単純年換算しない。</t>
        </is>
      </c>
    </row>
    <row r="10">
      <c r="B10" s="2" t="inlineStr">
        <is>
          <t>7. 作成日：2026年9月23日　初版</t>
        </is>
      </c>
    </row>
    <row r="11">
      <c r="B11" s="2" t="inlineStr">
        <is>
          <t>8. 更新：2026年10月19日　第2回面談（2026/10/16往訪・岡部社長）のメモ・文字起こしを反映。回答状況・社内限のプロセス事項は「その他」シートに集約。</t>
        </is>
      </c>
    </row>
    <row r="13">
      <c r="B13" s="3" t="inlineStr">
        <is>
          <t>■ 企業概要書への貼付範囲一覧（IM→セクション）</t>
        </is>
      </c>
    </row>
    <row r="14">
      <c r="B14" s="2" t="inlineStr">
        <is>
          <t xml:space="preserve">   作り方：①転記→②IMシートの貼付範囲を確認→③範囲をコピー→④概要書の該当ページへ貼り付け→⑤リード文・Commentを記入。業種により不要なページは削除、必要なページ（商流・生産サイクル等）は追加する。</t>
        </is>
      </c>
    </row>
    <row r="15">
      <c r="B15" s="4" t="inlineStr">
        <is>
          <t xml:space="preserve">   PLハイライト!B4:F25　→　財務ハイライト（P/L）</t>
        </is>
      </c>
    </row>
    <row r="16">
      <c r="B16" s="4" t="inlineStr">
        <is>
          <t xml:space="preserve">   BSハイライト!B4:F19　→　財務ハイライト（B/S）</t>
        </is>
      </c>
    </row>
    <row r="17">
      <c r="B17" s="4" t="inlineStr">
        <is>
          <t xml:space="preserve">   売上構成!B4:E11　→　事業の仕組みと収益源</t>
        </is>
      </c>
    </row>
    <row r="18">
      <c r="B18" s="4" t="inlineStr">
        <is>
          <t xml:space="preserve">   取引先!B4:L19　→　主要得意先の3期推移</t>
        </is>
      </c>
    </row>
    <row r="19">
      <c r="B19" s="4" t="inlineStr">
        <is>
          <t xml:space="preserve">   仕入先!B4:L15　→　主要仕入先の3期推移</t>
        </is>
      </c>
    </row>
    <row r="20">
      <c r="B20" s="4" t="inlineStr">
        <is>
          <t xml:space="preserve">   株主!B4:H14　→　株主及び役員（株主）</t>
        </is>
      </c>
    </row>
    <row r="21">
      <c r="B21" s="4" t="inlineStr">
        <is>
          <t xml:space="preserve">   取締役!B4:I11　→　株主及び役員（役員）</t>
        </is>
      </c>
    </row>
    <row r="22">
      <c r="B22" s="4" t="inlineStr">
        <is>
          <t xml:space="preserve">   従業員!B4:J29　→　従業員一覧</t>
        </is>
      </c>
    </row>
    <row r="23">
      <c r="B23" s="4" t="inlineStr">
        <is>
          <t xml:space="preserve">   拠点(本社等)!B5:G9　→　拠点概要（本社・市場）</t>
        </is>
      </c>
    </row>
    <row r="24">
      <c r="B24" s="4" t="inlineStr">
        <is>
          <t xml:space="preserve">   不動産概況!B4:J9　→　不動産概況</t>
        </is>
      </c>
    </row>
    <row r="25">
      <c r="B25" s="4" t="inlineStr">
        <is>
          <t xml:space="preserve">   不動産詳細!B4:I17　→　不動産詳細</t>
        </is>
      </c>
    </row>
    <row r="26">
      <c r="B26" s="4" t="inlineStr">
        <is>
          <t xml:space="preserve">   設備!B4:E32　→　保有設備一覧（建物内訳）</t>
        </is>
      </c>
    </row>
    <row r="27">
      <c r="B27" s="4" t="inlineStr">
        <is>
          <t xml:space="preserve">   設備!G36:I45　→　保有設備一覧（科目別）</t>
        </is>
      </c>
    </row>
    <row r="28">
      <c r="B28" s="4" t="inlineStr">
        <is>
          <t xml:space="preserve">   月別売上!B4:O8　→　月別売上高</t>
        </is>
      </c>
    </row>
    <row r="29">
      <c r="B29" s="4" t="inlineStr">
        <is>
          <t xml:space="preserve">   貸借対照表!B4:E37　→　貸借対照表（資産の部）</t>
        </is>
      </c>
    </row>
    <row r="30">
      <c r="B30" s="4" t="inlineStr">
        <is>
          <t xml:space="preserve">   貸借対照表!G5:J16　→　貸借対照表（負債の部）</t>
        </is>
      </c>
    </row>
    <row r="31">
      <c r="B31" s="4" t="inlineStr">
        <is>
          <t xml:space="preserve">   貸借対照表!G31:J37　→　貸借対照表（純資産の部）</t>
        </is>
      </c>
    </row>
    <row r="32">
      <c r="B32" s="4" t="inlineStr">
        <is>
          <t xml:space="preserve">   損益計算書!B4:H37　→　損益計算書</t>
        </is>
      </c>
    </row>
    <row r="33">
      <c r="B33" s="4" t="inlineStr">
        <is>
          <t xml:space="preserve">   販管費!B4:H34　→　販売費及び一般管理費</t>
        </is>
      </c>
    </row>
    <row r="34">
      <c r="B34" s="4" t="inlineStr">
        <is>
          <t xml:space="preserve">   沿革!B4:C15　→　沿革</t>
        </is>
      </c>
    </row>
    <row r="35">
      <c r="B35" s="4" t="inlineStr">
        <is>
          <t xml:space="preserve">   その他補足!B4:C15　→　その他補足情報</t>
        </is>
      </c>
    </row>
    <row r="36">
      <c r="B36" s="4" t="inlineStr">
        <is>
          <t xml:space="preserve">   会社概要!B4:C17　→　基本情報</t>
        </is>
      </c>
    </row>
  </sheetData>
  <pageMargins left="0.75" right="0.75" top="1" bottom="1" header="0.5" footer="0.5"/>
</worksheet>
</file>

<file path=xl/worksheets/sheet2.xml><?xml version="1.0" encoding="utf-8"?>
<worksheet xmlns="http://schemas.openxmlformats.org/spreadsheetml/2006/main">
  <sheetPr>
    <tabColor rgb="000B3041"/>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4"/>
  <sheetViews>
    <sheetView showGridLines="0" workbookViewId="0">
      <selection activeCell="A1" sqref="A1"/>
    </sheetView>
  </sheetViews>
  <sheetFormatPr baseColWidth="8" defaultRowHeight="15"/>
  <cols>
    <col width="2" customWidth="1" min="1" max="1"/>
    <col width="30" customWidth="1" min="2" max="2"/>
    <col width="16" customWidth="1" min="3" max="3"/>
    <col width="16" customWidth="1" min="4" max="4"/>
    <col width="16" customWidth="1" min="5" max="5"/>
    <col width="12" customWidth="1" min="6" max="6"/>
    <col width="16" customWidth="1" min="7" max="7"/>
  </cols>
  <sheetData>
    <row r="1">
      <c r="A1" s="1" t="inlineStr">
        <is>
          <t>貸借対照表（資産の部）</t>
        </is>
      </c>
    </row>
    <row r="2">
      <c r="A2" s="5" t="inlineStr">
        <is>
          <t>単位：千円（入力は円）</t>
        </is>
      </c>
    </row>
    <row r="4" ht="30" customHeight="1">
      <c r="A4" s="6" t="inlineStr"/>
      <c r="B4" s="6" t="inlineStr">
        <is>
          <t>勘定科目</t>
        </is>
      </c>
      <c r="C4" s="6" t="inlineStr">
        <is>
          <t>2024年3月期
(第51期)</t>
        </is>
      </c>
      <c r="D4" s="6" t="inlineStr">
        <is>
          <t>2025年3月期
(第52期)</t>
        </is>
      </c>
      <c r="E4" s="6" t="inlineStr">
        <is>
          <t>2026年3月期
(第53期)</t>
        </is>
      </c>
      <c r="F4" s="6" t="inlineStr">
        <is>
          <t>（4期目）</t>
        </is>
      </c>
      <c r="G4" s="6" t="inlineStr">
        <is>
          <t>2026年7月
(試算表)</t>
        </is>
      </c>
    </row>
    <row r="5">
      <c r="B5" s="7" t="inlineStr">
        <is>
          <t>【流動資産】</t>
        </is>
      </c>
    </row>
    <row r="6">
      <c r="B6" s="8" t="inlineStr">
        <is>
          <t>現金及び預金</t>
        </is>
      </c>
      <c r="C6" s="9" t="n">
        <v>339552632</v>
      </c>
      <c r="D6" s="9" t="n">
        <v>259719301</v>
      </c>
      <c r="E6" s="9" t="n">
        <v>210887077</v>
      </c>
      <c r="F6" s="9" t="n"/>
      <c r="G6" s="9" t="n">
        <v>162087296</v>
      </c>
    </row>
    <row r="7">
      <c r="B7" s="8" t="inlineStr">
        <is>
          <t>売掛金</t>
        </is>
      </c>
      <c r="C7" s="9" t="n">
        <v>21171056</v>
      </c>
      <c r="D7" s="9" t="n">
        <v>21896538</v>
      </c>
      <c r="E7" s="9" t="n">
        <v>19608899</v>
      </c>
      <c r="F7" s="9" t="n"/>
      <c r="G7" s="9" t="n">
        <v>40586984</v>
      </c>
    </row>
    <row r="8">
      <c r="B8" s="8" t="inlineStr">
        <is>
          <t>資材肥料売掛金</t>
        </is>
      </c>
      <c r="C8" s="9" t="n">
        <v>1352474</v>
      </c>
      <c r="D8" s="9" t="n">
        <v>1269087</v>
      </c>
      <c r="E8" s="9" t="n">
        <v>1227419</v>
      </c>
      <c r="F8" s="9" t="n"/>
      <c r="G8" s="9" t="n">
        <v>2365307</v>
      </c>
    </row>
    <row r="9">
      <c r="B9" s="8" t="inlineStr">
        <is>
          <t>棚卸資産</t>
        </is>
      </c>
      <c r="C9" s="9" t="n">
        <v>9859795</v>
      </c>
      <c r="D9" s="9" t="n">
        <v>15443609</v>
      </c>
      <c r="E9" s="9" t="n">
        <v>14596695</v>
      </c>
      <c r="F9" s="9" t="n"/>
      <c r="G9" s="9" t="n">
        <v>36647736</v>
      </c>
    </row>
    <row r="10">
      <c r="B10" s="8" t="inlineStr">
        <is>
          <t>立替金</t>
        </is>
      </c>
      <c r="C10" s="9" t="n">
        <v>96860</v>
      </c>
      <c r="D10" s="9" t="n">
        <v>6400</v>
      </c>
      <c r="E10" s="9" t="n">
        <v>0</v>
      </c>
      <c r="F10" s="9" t="n"/>
      <c r="G10" s="9" t="n">
        <v>0</v>
      </c>
    </row>
    <row r="11">
      <c r="B11" s="8" t="inlineStr">
        <is>
          <t>未収入金</t>
        </is>
      </c>
      <c r="C11" s="9" t="n">
        <v>3684415</v>
      </c>
      <c r="D11" s="9" t="n">
        <v>3905410</v>
      </c>
      <c r="E11" s="9" t="n">
        <v>3011112</v>
      </c>
      <c r="F11" s="9" t="n"/>
      <c r="G11" s="9" t="n">
        <v>2664958</v>
      </c>
    </row>
    <row r="12">
      <c r="B12" s="8" t="inlineStr">
        <is>
          <t>前払費用</t>
        </is>
      </c>
      <c r="C12" s="9" t="n">
        <v>108779</v>
      </c>
      <c r="D12" s="9" t="n">
        <v>96162</v>
      </c>
      <c r="E12" s="9" t="n">
        <v>83575</v>
      </c>
      <c r="F12" s="9" t="n"/>
      <c r="G12" s="9" t="n">
        <v>101324</v>
      </c>
    </row>
    <row r="13">
      <c r="B13" s="8" t="inlineStr">
        <is>
          <t>仮払金</t>
        </is>
      </c>
      <c r="C13" s="9" t="n">
        <v>0</v>
      </c>
      <c r="D13" s="9" t="n">
        <v>0</v>
      </c>
      <c r="E13" s="9" t="n">
        <v>493135</v>
      </c>
      <c r="F13" s="9" t="n"/>
      <c r="G13" s="9" t="n">
        <v>0</v>
      </c>
    </row>
    <row r="14">
      <c r="B14" s="8" t="inlineStr">
        <is>
          <t>仮払税金等</t>
        </is>
      </c>
      <c r="C14" s="9" t="n">
        <v>0</v>
      </c>
      <c r="D14" s="9" t="n">
        <v>998300</v>
      </c>
      <c r="E14" s="9" t="n">
        <v>0</v>
      </c>
      <c r="F14" s="9" t="n"/>
      <c r="G14" s="9" t="n">
        <v>0</v>
      </c>
    </row>
    <row r="15">
      <c r="B15" s="8" t="inlineStr">
        <is>
          <t>貸倒引当金</t>
        </is>
      </c>
      <c r="C15" s="9" t="n">
        <v>-237000</v>
      </c>
      <c r="D15" s="9" t="n">
        <v>-234000</v>
      </c>
      <c r="E15" s="9" t="n">
        <v>-203000</v>
      </c>
      <c r="F15" s="9" t="n"/>
      <c r="G15" s="9" t="n">
        <v>-203000</v>
      </c>
    </row>
    <row r="16">
      <c r="B16" s="10" t="inlineStr">
        <is>
          <t>流動資産計</t>
        </is>
      </c>
      <c r="C16" s="11">
        <f>SUM(C6:C15)</f>
        <v>375589011</v>
      </c>
      <c r="D16" s="11">
        <f>SUM(D6:D15)</f>
        <v>303100807</v>
      </c>
      <c r="E16" s="11">
        <f>SUM(E6:E15)</f>
        <v>249704912</v>
      </c>
      <c r="F16" s="11">
        <f>SUM(F6:F15)</f>
        <v>0</v>
      </c>
      <c r="G16" s="11">
        <f>SUM(G6:G15)</f>
        <v>244250605</v>
      </c>
    </row>
    <row r="17">
      <c r="B17" s="7" t="inlineStr">
        <is>
          <t>【有形固定資産】</t>
        </is>
      </c>
    </row>
    <row r="18">
      <c r="B18" s="8" t="inlineStr">
        <is>
          <t>建物</t>
        </is>
      </c>
      <c r="C18" s="9" t="n">
        <v>101161720</v>
      </c>
      <c r="D18" s="9" t="n">
        <v>95851274</v>
      </c>
      <c r="E18" s="9" t="n">
        <v>92065694</v>
      </c>
      <c r="F18" s="9" t="n"/>
      <c r="G18" s="9" t="n">
        <v>92065694</v>
      </c>
    </row>
    <row r="19">
      <c r="B19" s="8" t="inlineStr">
        <is>
          <t>建物付属設備</t>
        </is>
      </c>
      <c r="C19" s="9" t="n">
        <v>15416918</v>
      </c>
      <c r="D19" s="9" t="n">
        <v>13503020</v>
      </c>
      <c r="E19" s="9" t="n">
        <v>11399836</v>
      </c>
      <c r="F19" s="9" t="n"/>
      <c r="G19" s="9" t="n">
        <v>11399836</v>
      </c>
    </row>
    <row r="20">
      <c r="B20" s="8" t="inlineStr">
        <is>
          <t>構築物</t>
        </is>
      </c>
      <c r="C20" s="9" t="n">
        <v>382601</v>
      </c>
      <c r="D20" s="9" t="n">
        <v>333498</v>
      </c>
      <c r="E20" s="9" t="n">
        <v>284395</v>
      </c>
      <c r="F20" s="9" t="n"/>
      <c r="G20" s="9" t="n">
        <v>284395</v>
      </c>
    </row>
    <row r="21">
      <c r="B21" s="8" t="inlineStr">
        <is>
          <t>機械装置</t>
        </is>
      </c>
      <c r="C21" s="9" t="n">
        <v>133566</v>
      </c>
      <c r="D21" s="9" t="n">
        <v>2</v>
      </c>
      <c r="E21" s="9" t="n">
        <v>2</v>
      </c>
      <c r="F21" s="9" t="n"/>
      <c r="G21" s="9" t="n">
        <v>2</v>
      </c>
    </row>
    <row r="22">
      <c r="B22" s="8" t="inlineStr">
        <is>
          <t>車両運搬具</t>
        </is>
      </c>
      <c r="C22" s="9" t="n">
        <v>5837529</v>
      </c>
      <c r="D22" s="9" t="n">
        <v>1281878</v>
      </c>
      <c r="E22" s="9" t="n">
        <v>15</v>
      </c>
      <c r="F22" s="9" t="n"/>
      <c r="G22" s="9" t="n">
        <v>15</v>
      </c>
    </row>
    <row r="23">
      <c r="B23" s="8" t="inlineStr">
        <is>
          <t>工具器具備品</t>
        </is>
      </c>
      <c r="C23" s="9" t="n">
        <v>287873</v>
      </c>
      <c r="D23" s="9" t="n">
        <v>153209</v>
      </c>
      <c r="E23" s="9" t="n">
        <v>18546</v>
      </c>
      <c r="F23" s="9" t="n"/>
      <c r="G23" s="9" t="n">
        <v>18546</v>
      </c>
    </row>
    <row r="24">
      <c r="B24" s="8" t="inlineStr">
        <is>
          <t>土地</t>
        </is>
      </c>
      <c r="C24" s="9" t="n">
        <v>93137240</v>
      </c>
      <c r="D24" s="9" t="n">
        <v>93137240</v>
      </c>
      <c r="E24" s="9" t="n">
        <v>93137240</v>
      </c>
      <c r="F24" s="9" t="n"/>
      <c r="G24" s="9" t="n">
        <v>93137240</v>
      </c>
    </row>
    <row r="25">
      <c r="B25" s="8" t="inlineStr">
        <is>
          <t>減価償却累計額（期中計上分）</t>
        </is>
      </c>
      <c r="C25" s="9" t="n">
        <v>0</v>
      </c>
      <c r="D25" s="9" t="n">
        <v>0</v>
      </c>
      <c r="E25" s="9" t="n">
        <v>0</v>
      </c>
      <c r="F25" s="9" t="n"/>
      <c r="G25" s="9" t="n">
        <v>-2436000</v>
      </c>
    </row>
    <row r="26">
      <c r="B26" s="10" t="inlineStr">
        <is>
          <t>有形固定資産計</t>
        </is>
      </c>
      <c r="C26" s="11">
        <f>SUM(C18:C25)</f>
        <v>216357447</v>
      </c>
      <c r="D26" s="11">
        <f>SUM(D18:D25)</f>
        <v>204260121</v>
      </c>
      <c r="E26" s="11">
        <f>SUM(E18:E25)</f>
        <v>196905728</v>
      </c>
      <c r="F26" s="11">
        <f>SUM(F18:F25)</f>
        <v>0</v>
      </c>
      <c r="G26" s="11">
        <f>SUM(G18:G25)</f>
        <v>194469728</v>
      </c>
    </row>
    <row r="27">
      <c r="B27" s="7" t="inlineStr">
        <is>
          <t>【無形固定資産】</t>
        </is>
      </c>
    </row>
    <row r="28">
      <c r="B28" s="8" t="inlineStr">
        <is>
          <t>電話加入権</t>
        </is>
      </c>
      <c r="C28" s="9" t="n">
        <v>2155595</v>
      </c>
      <c r="D28" s="9" t="n">
        <v>2155595</v>
      </c>
      <c r="E28" s="9" t="n">
        <v>2155595</v>
      </c>
      <c r="F28" s="9" t="n"/>
      <c r="G28" s="9" t="n">
        <v>2155595</v>
      </c>
    </row>
    <row r="29">
      <c r="B29" s="8" t="inlineStr">
        <is>
          <t>ソフトウェア</t>
        </is>
      </c>
      <c r="C29" s="9" t="n">
        <v>715000</v>
      </c>
      <c r="D29" s="9" t="n">
        <v>543400</v>
      </c>
      <c r="E29" s="9" t="n">
        <v>371800</v>
      </c>
      <c r="F29" s="9" t="n"/>
      <c r="G29" s="9" t="n">
        <v>371800</v>
      </c>
    </row>
    <row r="30">
      <c r="B30" s="10" t="inlineStr">
        <is>
          <t>無形固定資産計</t>
        </is>
      </c>
      <c r="C30" s="11">
        <f>SUM(C28:C29)</f>
        <v>2870595</v>
      </c>
      <c r="D30" s="11">
        <f>SUM(D28:D29)</f>
        <v>2698995</v>
      </c>
      <c r="E30" s="11">
        <f>SUM(E28:E29)</f>
        <v>2527395</v>
      </c>
      <c r="F30" s="11">
        <f>SUM(F28:F29)</f>
        <v>0</v>
      </c>
      <c r="G30" s="11">
        <f>SUM(G28:G29)</f>
        <v>2527395</v>
      </c>
    </row>
    <row r="31">
      <c r="B31" s="7" t="inlineStr">
        <is>
          <t>【投資その他の資産】</t>
        </is>
      </c>
    </row>
    <row r="32">
      <c r="B32" s="8" t="inlineStr">
        <is>
          <t>投資有価証券</t>
        </is>
      </c>
      <c r="C32" s="9" t="n">
        <v>3250000</v>
      </c>
      <c r="D32" s="9" t="n">
        <v>3250000</v>
      </c>
      <c r="E32" s="9" t="n">
        <v>2600000</v>
      </c>
      <c r="F32" s="9" t="n"/>
      <c r="G32" s="9" t="n">
        <v>1600000</v>
      </c>
    </row>
    <row r="33">
      <c r="B33" s="8" t="inlineStr">
        <is>
          <t>出資金</t>
        </is>
      </c>
      <c r="C33" s="9" t="n">
        <v>75000</v>
      </c>
      <c r="D33" s="9" t="n">
        <v>75000</v>
      </c>
      <c r="E33" s="9" t="n">
        <v>75000</v>
      </c>
      <c r="F33" s="9" t="n"/>
      <c r="G33" s="9" t="n">
        <v>75000</v>
      </c>
    </row>
    <row r="34">
      <c r="B34" s="8" t="inlineStr">
        <is>
          <t>長期前払費用</t>
        </is>
      </c>
      <c r="C34" s="9" t="n">
        <v>397411</v>
      </c>
      <c r="D34" s="9" t="n">
        <v>74500</v>
      </c>
      <c r="E34" s="9" t="n">
        <v>74500</v>
      </c>
      <c r="F34" s="9" t="n"/>
      <c r="G34" s="9" t="n">
        <v>74500</v>
      </c>
    </row>
    <row r="35">
      <c r="B35" s="8" t="inlineStr">
        <is>
          <t>保証金</t>
        </is>
      </c>
      <c r="C35" s="9" t="n">
        <v>32002569</v>
      </c>
      <c r="D35" s="9" t="n">
        <v>33002569</v>
      </c>
      <c r="E35" s="9" t="n">
        <v>33302569</v>
      </c>
      <c r="F35" s="9" t="n"/>
      <c r="G35" s="9" t="n">
        <v>33302569</v>
      </c>
    </row>
    <row r="36">
      <c r="B36" s="8" t="inlineStr">
        <is>
          <t>事業保険積立金</t>
        </is>
      </c>
      <c r="C36" s="9" t="n">
        <v>21161692</v>
      </c>
      <c r="D36" s="9" t="n">
        <v>20900138</v>
      </c>
      <c r="E36" s="9" t="n">
        <v>0</v>
      </c>
      <c r="F36" s="9" t="n"/>
      <c r="G36" s="9" t="n">
        <v>0</v>
      </c>
    </row>
    <row r="37">
      <c r="B37" s="10" t="inlineStr">
        <is>
          <t>投資その他の資産計</t>
        </is>
      </c>
      <c r="C37" s="11">
        <f>SUM(C32:C36)</f>
        <v>56886672</v>
      </c>
      <c r="D37" s="11">
        <f>SUM(D32:D36)</f>
        <v>57302207</v>
      </c>
      <c r="E37" s="11">
        <f>SUM(E32:E36)</f>
        <v>36052069</v>
      </c>
      <c r="F37" s="11">
        <f>SUM(F32:F36)</f>
        <v>0</v>
      </c>
      <c r="G37" s="11">
        <f>SUM(G32:G36)</f>
        <v>35052069</v>
      </c>
    </row>
    <row r="38">
      <c r="B38" s="10" t="inlineStr">
        <is>
          <t>固定資産計</t>
        </is>
      </c>
      <c r="C38" s="11">
        <f>C26+C30+C37</f>
        <v>276114714</v>
      </c>
      <c r="D38" s="11">
        <f>D26+D30+D37</f>
        <v>264261323</v>
      </c>
      <c r="E38" s="11">
        <f>E26+E30+E37</f>
        <v>235485192</v>
      </c>
      <c r="F38" s="11">
        <f>F26+F30+F37</f>
        <v>0</v>
      </c>
      <c r="G38" s="11">
        <f>G26+G30+G37</f>
        <v>232049192</v>
      </c>
    </row>
    <row r="39">
      <c r="B39" s="8" t="inlineStr">
        <is>
          <t>繰延資産</t>
        </is>
      </c>
      <c r="C39" s="9" t="n">
        <v>243834</v>
      </c>
      <c r="D39" s="9" t="n">
        <v>166834</v>
      </c>
      <c r="E39" s="9" t="n">
        <v>0</v>
      </c>
      <c r="F39" s="9" t="n"/>
      <c r="G39" s="9" t="n">
        <v>0</v>
      </c>
    </row>
    <row r="40">
      <c r="B40" s="12" t="inlineStr">
        <is>
          <t>資産の部合計</t>
        </is>
      </c>
      <c r="C40" s="13">
        <f>C16+C38+C39</f>
        <v>651947559</v>
      </c>
      <c r="D40" s="13">
        <f>D16+D38+D39</f>
        <v>567528964</v>
      </c>
      <c r="E40" s="13">
        <f>E16+E38+E39</f>
        <v>485190104</v>
      </c>
      <c r="F40" s="13">
        <f>F16+F38+F39</f>
        <v>0</v>
      </c>
      <c r="G40" s="13">
        <f>G16+G38+G39</f>
        <v>476299797</v>
      </c>
    </row>
    <row r="42">
      <c r="B42" s="14" t="inlineStr">
        <is>
          <t>決算書記載の資産合計</t>
        </is>
      </c>
      <c r="C42" s="9" t="n">
        <v>651947559</v>
      </c>
      <c r="D42" s="9" t="n">
        <v>567528964</v>
      </c>
      <c r="E42" s="9" t="n">
        <v>485190104</v>
      </c>
      <c r="G42" s="9" t="n">
        <v>476299797</v>
      </c>
    </row>
    <row r="43">
      <c r="B43" s="7" t="inlineStr">
        <is>
          <t>チェック：借貸一致</t>
        </is>
      </c>
      <c r="C43" s="15" t="b">
        <f>EXACT(C40,'BS (貸方)'!C23)</f>
        <v>1</v>
      </c>
      <c r="D43" s="15" t="b">
        <f>EXACT(D40,'BS (貸方)'!D23)</f>
        <v>1</v>
      </c>
      <c r="E43" s="15" t="b">
        <f>EXACT(E40,'BS (貸方)'!E23)</f>
        <v>1</v>
      </c>
      <c r="G43" s="15" t="b">
        <f>EXACT(G40,'BS (貸方)'!G23)</f>
        <v>1</v>
      </c>
    </row>
    <row r="44">
      <c r="B44" s="7" t="inlineStr">
        <is>
          <t>チェック：決算書合計と一致</t>
        </is>
      </c>
      <c r="C44" s="15" t="b">
        <f>EXACT(C40,C42)</f>
        <v>1</v>
      </c>
      <c r="D44" s="15" t="b">
        <f>EXACT(D40,D42)</f>
        <v>1</v>
      </c>
      <c r="E44" s="15" t="b">
        <f>EXACT(E40,E42)</f>
        <v>1</v>
      </c>
      <c r="G44" s="15" t="b">
        <f>EXACT(G40,G42)</f>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2" customWidth="1" min="1" max="1"/>
    <col width="30" customWidth="1" min="2" max="2"/>
    <col width="16" customWidth="1" min="3" max="3"/>
    <col width="16" customWidth="1" min="4" max="4"/>
    <col width="16" customWidth="1" min="5" max="5"/>
    <col width="12" customWidth="1" min="6" max="6"/>
    <col width="16" customWidth="1" min="7" max="7"/>
  </cols>
  <sheetData>
    <row r="1">
      <c r="A1" s="1" t="inlineStr">
        <is>
          <t>貸借対照表（負債・純資産の部）</t>
        </is>
      </c>
    </row>
    <row r="2">
      <c r="A2" s="5" t="inlineStr">
        <is>
          <t>単位：千円（入力は円）</t>
        </is>
      </c>
    </row>
    <row r="4" ht="30" customHeight="1">
      <c r="A4" s="6" t="inlineStr"/>
      <c r="B4" s="6" t="inlineStr">
        <is>
          <t>勘定科目</t>
        </is>
      </c>
      <c r="C4" s="6" t="inlineStr">
        <is>
          <t>2024年3月期
(第51期)</t>
        </is>
      </c>
      <c r="D4" s="6" t="inlineStr">
        <is>
          <t>2025年3月期
(第52期)</t>
        </is>
      </c>
      <c r="E4" s="6" t="inlineStr">
        <is>
          <t>2026年3月期
(第53期)</t>
        </is>
      </c>
      <c r="F4" s="6" t="inlineStr">
        <is>
          <t>（4期目）</t>
        </is>
      </c>
      <c r="G4" s="6" t="inlineStr">
        <is>
          <t>2026年7月
(試算表)</t>
        </is>
      </c>
    </row>
    <row r="5">
      <c r="B5" s="7" t="inlineStr">
        <is>
          <t>【流動負債】</t>
        </is>
      </c>
    </row>
    <row r="6">
      <c r="B6" s="8" t="inlineStr">
        <is>
          <t>買掛金</t>
        </is>
      </c>
      <c r="C6" s="9" t="n">
        <v>18127739</v>
      </c>
      <c r="D6" s="9" t="n">
        <v>19954920</v>
      </c>
      <c r="E6" s="9" t="n">
        <v>26349122</v>
      </c>
      <c r="F6" s="9" t="n"/>
      <c r="G6" s="9" t="n">
        <v>32102162</v>
      </c>
    </row>
    <row r="7">
      <c r="B7" s="8" t="inlineStr">
        <is>
          <t>未払金</t>
        </is>
      </c>
      <c r="C7" s="9" t="n">
        <v>10198849</v>
      </c>
      <c r="D7" s="9" t="n">
        <v>7302614</v>
      </c>
      <c r="E7" s="9" t="n">
        <v>6630301</v>
      </c>
      <c r="F7" s="9" t="n"/>
      <c r="G7" s="9" t="n">
        <v>3999712</v>
      </c>
    </row>
    <row r="8">
      <c r="B8" s="8" t="inlineStr">
        <is>
          <t>仮受金</t>
        </is>
      </c>
      <c r="C8" s="9" t="n">
        <v>0</v>
      </c>
      <c r="D8" s="9" t="n">
        <v>0</v>
      </c>
      <c r="E8" s="9" t="n">
        <v>0</v>
      </c>
      <c r="F8" s="9" t="n"/>
      <c r="G8" s="9" t="n">
        <v>5641499</v>
      </c>
    </row>
    <row r="9">
      <c r="B9" s="8" t="inlineStr">
        <is>
          <t>預り金</t>
        </is>
      </c>
      <c r="C9" s="9" t="n">
        <v>504234</v>
      </c>
      <c r="D9" s="9" t="n">
        <v>557594</v>
      </c>
      <c r="E9" s="9" t="n">
        <v>281300</v>
      </c>
      <c r="F9" s="9" t="n"/>
      <c r="G9" s="9" t="n">
        <v>196956</v>
      </c>
    </row>
    <row r="10">
      <c r="B10" s="8" t="inlineStr">
        <is>
          <t>未払法人税等</t>
        </is>
      </c>
      <c r="C10" s="9" t="n">
        <v>2308000</v>
      </c>
      <c r="D10" s="9" t="n">
        <v>33900</v>
      </c>
      <c r="E10" s="9" t="n">
        <v>1851300</v>
      </c>
      <c r="F10" s="9" t="n"/>
      <c r="G10" s="9" t="n">
        <v>0</v>
      </c>
    </row>
    <row r="11">
      <c r="B11" s="8" t="inlineStr">
        <is>
          <t>未払消費税</t>
        </is>
      </c>
      <c r="C11" s="9" t="n">
        <v>2970400</v>
      </c>
      <c r="D11" s="9" t="n">
        <v>1606700</v>
      </c>
      <c r="E11" s="9" t="n">
        <v>2167500</v>
      </c>
      <c r="F11" s="9" t="n"/>
      <c r="G11" s="9" t="n">
        <v>3760000</v>
      </c>
    </row>
    <row r="12">
      <c r="B12" s="10" t="inlineStr">
        <is>
          <t>流動負債計</t>
        </is>
      </c>
      <c r="C12" s="11">
        <f>SUM(C6:C11)</f>
        <v>34109222</v>
      </c>
      <c r="D12" s="11">
        <f>SUM(D6:D11)</f>
        <v>29455728</v>
      </c>
      <c r="E12" s="11">
        <f>SUM(E6:E11)</f>
        <v>37279523</v>
      </c>
      <c r="F12" s="11">
        <f>SUM(F6:F11)</f>
        <v>0</v>
      </c>
      <c r="G12" s="11">
        <f>SUM(G6:G11)</f>
        <v>45700329</v>
      </c>
    </row>
    <row r="13">
      <c r="B13" s="7" t="inlineStr">
        <is>
          <t>【固定負債】</t>
        </is>
      </c>
    </row>
    <row r="14">
      <c r="B14" s="8" t="inlineStr">
        <is>
          <t>長期借入金</t>
        </is>
      </c>
      <c r="C14" s="9" t="n">
        <v>514690000</v>
      </c>
      <c r="D14" s="9" t="n">
        <v>434046000</v>
      </c>
      <c r="E14" s="9" t="n">
        <v>361058000</v>
      </c>
      <c r="F14" s="9" t="n"/>
      <c r="G14" s="9" t="n">
        <v>337862000</v>
      </c>
    </row>
    <row r="15">
      <c r="B15" s="8" t="inlineStr">
        <is>
          <t>預り保証金</t>
        </is>
      </c>
      <c r="C15" s="9" t="n">
        <v>10320000</v>
      </c>
      <c r="D15" s="9" t="n">
        <v>10270000</v>
      </c>
      <c r="E15" s="9" t="n">
        <v>8980000</v>
      </c>
      <c r="F15" s="9" t="n"/>
      <c r="G15" s="9" t="n">
        <v>8980000</v>
      </c>
    </row>
    <row r="16">
      <c r="B16" s="10" t="inlineStr">
        <is>
          <t>固定負債計</t>
        </is>
      </c>
      <c r="C16" s="11">
        <f>SUM(C14:C15)</f>
        <v>525010000</v>
      </c>
      <c r="D16" s="11">
        <f>SUM(D14:D15)</f>
        <v>444316000</v>
      </c>
      <c r="E16" s="11">
        <f>SUM(E14:E15)</f>
        <v>370038000</v>
      </c>
      <c r="F16" s="11">
        <f>SUM(F14:F15)</f>
        <v>0</v>
      </c>
      <c r="G16" s="11">
        <f>SUM(G14:G15)</f>
        <v>346842000</v>
      </c>
    </row>
    <row r="17">
      <c r="B17" s="12" t="inlineStr">
        <is>
          <t>負債の部合計</t>
        </is>
      </c>
      <c r="C17" s="13">
        <f>C12+C16</f>
        <v>559119222</v>
      </c>
      <c r="D17" s="13">
        <f>D12+D16</f>
        <v>473771728</v>
      </c>
      <c r="E17" s="13">
        <f>E12+E16</f>
        <v>407317523</v>
      </c>
      <c r="F17" s="13">
        <f>F12+F16</f>
        <v>0</v>
      </c>
      <c r="G17" s="13">
        <f>G12+G16</f>
        <v>392542329</v>
      </c>
    </row>
    <row r="18">
      <c r="B18" s="7" t="inlineStr">
        <is>
          <t>【純資産】</t>
        </is>
      </c>
    </row>
    <row r="19">
      <c r="B19" s="8" t="inlineStr">
        <is>
          <t>資本金</t>
        </is>
      </c>
      <c r="C19" s="9" t="n">
        <v>40000000</v>
      </c>
      <c r="D19" s="9" t="n">
        <v>40000000</v>
      </c>
      <c r="E19" s="9" t="n">
        <v>40000000</v>
      </c>
      <c r="F19" s="9" t="n"/>
      <c r="G19" s="9" t="n">
        <v>40000000</v>
      </c>
    </row>
    <row r="20">
      <c r="B20" s="8" t="inlineStr">
        <is>
          <t>利益準備金</t>
        </is>
      </c>
      <c r="C20" s="9" t="n">
        <v>1800000</v>
      </c>
      <c r="D20" s="9" t="n">
        <v>2000000</v>
      </c>
      <c r="E20" s="9" t="n">
        <v>2080000</v>
      </c>
      <c r="F20" s="9" t="n"/>
      <c r="G20" s="9" t="n">
        <v>2080000</v>
      </c>
    </row>
    <row r="21">
      <c r="B21" s="8" t="inlineStr">
        <is>
          <t>繰越利益剰余金</t>
        </is>
      </c>
      <c r="C21" s="9" t="n">
        <v>51028337</v>
      </c>
      <c r="D21" s="9" t="n">
        <v>51757236</v>
      </c>
      <c r="E21" s="9" t="n">
        <v>35792581</v>
      </c>
      <c r="F21" s="9" t="n"/>
      <c r="G21" s="9" t="n">
        <v>41677468</v>
      </c>
    </row>
    <row r="22">
      <c r="B22" s="12" t="inlineStr">
        <is>
          <t>純資産の部合計</t>
        </is>
      </c>
      <c r="C22" s="13">
        <f>SUM(C19:C21)</f>
        <v>92828337</v>
      </c>
      <c r="D22" s="13">
        <f>SUM(D19:D21)</f>
        <v>93757236</v>
      </c>
      <c r="E22" s="13">
        <f>SUM(E19:E21)</f>
        <v>77872581</v>
      </c>
      <c r="F22" s="13">
        <f>SUM(F19:F21)</f>
        <v>0</v>
      </c>
      <c r="G22" s="13">
        <f>SUM(G19:G21)</f>
        <v>83757468</v>
      </c>
    </row>
    <row r="23">
      <c r="B23" s="12" t="inlineStr">
        <is>
          <t>負債・純資産の部合計</t>
        </is>
      </c>
      <c r="C23" s="13">
        <f>C17+C22</f>
        <v>651947559</v>
      </c>
      <c r="D23" s="13">
        <f>D17+D22</f>
        <v>567528964</v>
      </c>
      <c r="E23" s="13">
        <f>E17+E22</f>
        <v>485190104</v>
      </c>
      <c r="F23" s="13">
        <f>F17+F22</f>
        <v>0</v>
      </c>
      <c r="G23" s="13">
        <f>G17+G22</f>
        <v>476299797</v>
      </c>
    </row>
    <row r="25">
      <c r="B25" s="16" t="inlineStr">
        <is>
          <t>※2026年7月の買掛金は委託分6,457千円・仕入分25,126千円・資材分519千円の合計。長期借入金は1年内返済予定額を区分していない（要確認）。</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7"/>
  <sheetViews>
    <sheetView showGridLines="0" workbookViewId="0">
      <selection activeCell="A1" sqref="A1"/>
    </sheetView>
  </sheetViews>
  <sheetFormatPr baseColWidth="8" defaultRowHeight="15"/>
  <cols>
    <col width="2" customWidth="1" min="1" max="1"/>
    <col width="26" customWidth="1" min="2" max="2"/>
    <col width="15" customWidth="1" min="3" max="3"/>
    <col width="9" customWidth="1" min="4" max="4"/>
    <col width="15" customWidth="1" min="5" max="5"/>
    <col width="9" customWidth="1" min="6" max="6"/>
    <col width="15" customWidth="1" min="7" max="7"/>
    <col width="9" customWidth="1" min="8" max="8"/>
    <col width="15" customWidth="1" min="9" max="9"/>
    <col width="9" customWidth="1" min="10" max="10"/>
  </cols>
  <sheetData>
    <row r="1">
      <c r="A1" s="1" t="inlineStr">
        <is>
          <t>販売費及び一般管理費</t>
        </is>
      </c>
    </row>
    <row r="2">
      <c r="A2" s="5" t="inlineStr">
        <is>
          <t>単位：千円（入力は円）／売上高比</t>
        </is>
      </c>
    </row>
    <row r="4" ht="30" customHeight="1">
      <c r="A4" s="6" t="inlineStr"/>
      <c r="B4" s="6" t="inlineStr">
        <is>
          <t>勘定科目</t>
        </is>
      </c>
      <c r="C4" s="6" t="inlineStr">
        <is>
          <t>2024年3月期
(第51期)</t>
        </is>
      </c>
      <c r="D4" s="6" t="inlineStr">
        <is>
          <t>売上比</t>
        </is>
      </c>
      <c r="E4" s="6" t="inlineStr">
        <is>
          <t>2025年3月期
(第52期)</t>
        </is>
      </c>
      <c r="F4" s="6" t="inlineStr">
        <is>
          <t>売上比</t>
        </is>
      </c>
      <c r="G4" s="6" t="inlineStr">
        <is>
          <t>2026年3月期
(第53期)</t>
        </is>
      </c>
      <c r="H4" s="6" t="inlineStr">
        <is>
          <t>売上比</t>
        </is>
      </c>
      <c r="I4" s="6" t="inlineStr">
        <is>
          <t>2026年7月
(試算表)</t>
        </is>
      </c>
      <c r="J4" s="6" t="inlineStr">
        <is>
          <t>売上比</t>
        </is>
      </c>
    </row>
    <row r="5">
      <c r="B5" s="8" t="inlineStr">
        <is>
          <t>役員報酬</t>
        </is>
      </c>
      <c r="C5" s="9" t="n">
        <v>22200000</v>
      </c>
      <c r="D5" s="17">
        <f>IFERROR(C5/PL!C$10,"")</f>
        <v>0.0188376795658741</v>
      </c>
      <c r="E5" s="9" t="n">
        <v>22200000</v>
      </c>
      <c r="F5" s="17">
        <f>IFERROR(E5/PL!E$10,"")</f>
        <v>0.0187825626816843</v>
      </c>
      <c r="G5" s="9" t="n">
        <v>15360000</v>
      </c>
      <c r="H5" s="17">
        <f>IFERROR(G5/PL!G$10,"")</f>
        <v>0.012843955558713</v>
      </c>
      <c r="I5" s="9" t="n">
        <v>4730000</v>
      </c>
      <c r="J5" s="17">
        <f>IFERROR(I5/PL!I$10,"")</f>
        <v>0.0115041787397003</v>
      </c>
    </row>
    <row r="6">
      <c r="B6" s="8" t="inlineStr">
        <is>
          <t>給料手当</t>
        </is>
      </c>
      <c r="C6" s="9" t="n">
        <v>73148460</v>
      </c>
      <c r="D6" s="17">
        <f>IFERROR(C6/PL!C$10,"")</f>
        <v>0.0620696959557279</v>
      </c>
      <c r="E6" s="9" t="n">
        <v>74179162</v>
      </c>
      <c r="F6" s="17">
        <f>IFERROR(E6/PL!E$10,"")</f>
        <v>0.0627601243216132</v>
      </c>
      <c r="G6" s="9" t="n">
        <v>71673365</v>
      </c>
      <c r="H6" s="17">
        <f>IFERROR(G6/PL!G$10,"")</f>
        <v>0.059932911120014</v>
      </c>
      <c r="I6" s="9" t="n">
        <v>19328747</v>
      </c>
      <c r="J6" s="17">
        <f>IFERROR(I6/PL!I$10,"")</f>
        <v>0.0470108584148934</v>
      </c>
    </row>
    <row r="7">
      <c r="B7" s="8" t="inlineStr">
        <is>
          <t>賞与</t>
        </is>
      </c>
      <c r="C7" s="9" t="n">
        <v>6002150</v>
      </c>
      <c r="D7" s="17">
        <f>IFERROR(C7/PL!C$10,"")</f>
        <v>0.00509308911740141</v>
      </c>
      <c r="E7" s="9" t="n">
        <v>5692500</v>
      </c>
      <c r="F7" s="17">
        <f>IFERROR(E7/PL!E$10,"")</f>
        <v>0.00481620441736431</v>
      </c>
      <c r="G7" s="9" t="n">
        <v>0</v>
      </c>
      <c r="H7" s="17">
        <f>IFERROR(G7/PL!G$10,"")</f>
        <v>0</v>
      </c>
      <c r="I7" s="9" t="n">
        <v>0</v>
      </c>
      <c r="J7" s="17">
        <f>IFERROR(I7/PL!I$10,"")</f>
        <v>0</v>
      </c>
    </row>
    <row r="8">
      <c r="B8" s="8" t="inlineStr">
        <is>
          <t>退職金共済掛金</t>
        </is>
      </c>
      <c r="C8" s="9" t="n">
        <v>3175000</v>
      </c>
      <c r="D8" s="17">
        <f>IFERROR(C8/PL!C$10,"")</f>
        <v>0.00269412759556983</v>
      </c>
      <c r="E8" s="9" t="n">
        <v>3166000</v>
      </c>
      <c r="F8" s="17">
        <f>IFERROR(E8/PL!E$10,"")</f>
        <v>0.00267863033559515</v>
      </c>
      <c r="G8" s="9" t="n">
        <v>3026000</v>
      </c>
      <c r="H8" s="17">
        <f>IFERROR(G8/PL!G$10,"")</f>
        <v>0.00253032614066833</v>
      </c>
      <c r="I8" s="9" t="n">
        <v>769000</v>
      </c>
      <c r="J8" s="17">
        <f>IFERROR(I8/PL!I$10,"")</f>
        <v>0.00187034111011195</v>
      </c>
    </row>
    <row r="9">
      <c r="B9" s="8" t="inlineStr">
        <is>
          <t>退職金</t>
        </is>
      </c>
      <c r="C9" s="9" t="n">
        <v>0</v>
      </c>
      <c r="D9" s="17">
        <f>IFERROR(C9/PL!C$10,"")</f>
        <v>0</v>
      </c>
      <c r="E9" s="9" t="n">
        <v>356400</v>
      </c>
      <c r="F9" s="17">
        <f>IFERROR(E9/PL!E$10,"")</f>
        <v>0.000301536276565418</v>
      </c>
      <c r="G9" s="9" t="n">
        <v>746960</v>
      </c>
      <c r="H9" s="17">
        <f>IFERROR(G9/PL!G$10,"")</f>
        <v>0.000624604234644288</v>
      </c>
      <c r="I9" s="9" t="n">
        <v>0</v>
      </c>
      <c r="J9" s="17">
        <f>IFERROR(I9/PL!I$10,"")</f>
        <v>0</v>
      </c>
    </row>
    <row r="10">
      <c r="B10" s="8" t="inlineStr">
        <is>
          <t>法定福利費</t>
        </is>
      </c>
      <c r="C10" s="9" t="n">
        <v>15154087</v>
      </c>
      <c r="D10" s="17">
        <f>IFERROR(C10/PL!C$10,"")</f>
        <v>0.0128589114873594</v>
      </c>
      <c r="E10" s="9" t="n">
        <v>14913183</v>
      </c>
      <c r="F10" s="17">
        <f>IFERROR(E10/PL!E$10,"")</f>
        <v>0.0126174682198616</v>
      </c>
      <c r="G10" s="9" t="n">
        <v>13295870</v>
      </c>
      <c r="H10" s="17">
        <f>IFERROR(G10/PL!G$10,"")</f>
        <v>0.0111179403251579</v>
      </c>
      <c r="I10" s="9" t="n">
        <v>3603031</v>
      </c>
      <c r="J10" s="17">
        <f>IFERROR(I10/PL!I$10,"")</f>
        <v>0.00876319505891778</v>
      </c>
    </row>
    <row r="11">
      <c r="B11" s="8" t="inlineStr">
        <is>
          <t>福利厚生費</t>
        </is>
      </c>
      <c r="C11" s="9" t="n">
        <v>594849</v>
      </c>
      <c r="D11" s="17">
        <f>IFERROR(C11/PL!C$10,"")</f>
        <v>0.000504755623967597</v>
      </c>
      <c r="E11" s="9" t="n">
        <v>899852</v>
      </c>
      <c r="F11" s="17">
        <f>IFERROR(E11/PL!E$10,"")</f>
        <v>0.000761330026767521</v>
      </c>
      <c r="G11" s="9" t="n">
        <v>460243</v>
      </c>
      <c r="H11" s="17">
        <f>IFERROR(G11/PL!G$10,"")</f>
        <v>0.000384852906133382</v>
      </c>
      <c r="I11" s="9" t="n">
        <v>95149</v>
      </c>
      <c r="J11" s="17">
        <f>IFERROR(I11/PL!I$10,"")</f>
        <v>0.000231418837823201</v>
      </c>
    </row>
    <row r="12">
      <c r="B12" s="8" t="inlineStr">
        <is>
          <t>広告宣伝費</t>
        </is>
      </c>
      <c r="C12" s="9" t="n">
        <v>203020</v>
      </c>
      <c r="D12" s="17">
        <f>IFERROR(C12/PL!C$10,"")</f>
        <v>0.000172271428174043</v>
      </c>
      <c r="E12" s="9" t="n">
        <v>114444</v>
      </c>
      <c r="F12" s="17">
        <f>IFERROR(E12/PL!E$10,"")</f>
        <v>9.68266488082286e-05</v>
      </c>
      <c r="G12" s="9" t="n">
        <v>89300</v>
      </c>
      <c r="H12" s="17">
        <f>IFERROR(G12/PL!G$10,"")</f>
        <v>7.46722155854863e-05</v>
      </c>
      <c r="I12" s="9" t="n">
        <v>10000</v>
      </c>
      <c r="J12" s="17">
        <f>IFERROR(I12/PL!I$10,"")</f>
        <v>2.43217309507406e-05</v>
      </c>
    </row>
    <row r="13">
      <c r="B13" s="8" t="inlineStr">
        <is>
          <t>旅費交通費</t>
        </is>
      </c>
      <c r="C13" s="9" t="n">
        <v>44957</v>
      </c>
      <c r="D13" s="17">
        <f>IFERROR(C13/PL!C$10,"")</f>
        <v>3.81479982091442e-05</v>
      </c>
      <c r="E13" s="9" t="n">
        <v>212048</v>
      </c>
      <c r="F13" s="17">
        <f>IFERROR(E13/PL!E$10,"")</f>
        <v>0.000179405623942603</v>
      </c>
      <c r="G13" s="9" t="n">
        <v>78650</v>
      </c>
      <c r="H13" s="17">
        <f>IFERROR(G13/PL!G$10,"")</f>
        <v>6.57667385867693e-05</v>
      </c>
      <c r="I13" s="9" t="n">
        <v>9490</v>
      </c>
      <c r="J13" s="17">
        <f>IFERROR(I13/PL!I$10,"")</f>
        <v>2.30813226722528e-05</v>
      </c>
    </row>
    <row r="14">
      <c r="B14" s="8" t="inlineStr">
        <is>
          <t>通信費</t>
        </is>
      </c>
      <c r="C14" s="9" t="n">
        <v>1434812</v>
      </c>
      <c r="D14" s="17">
        <f>IFERROR(C14/PL!C$10,"")</f>
        <v>0.00121750129248968</v>
      </c>
      <c r="E14" s="9" t="n">
        <v>1143086</v>
      </c>
      <c r="F14" s="17">
        <f>IFERROR(E14/PL!E$10,"")</f>
        <v>0.00096712092097098</v>
      </c>
      <c r="G14" s="9" t="n">
        <v>1191701</v>
      </c>
      <c r="H14" s="17">
        <f>IFERROR(G14/PL!G$10,"")</f>
        <v>0.00099649444552564</v>
      </c>
      <c r="I14" s="9" t="n">
        <v>296684</v>
      </c>
      <c r="J14" s="17">
        <f>IFERROR(I14/PL!I$10,"")</f>
        <v>0.000721586842538952</v>
      </c>
    </row>
    <row r="15">
      <c r="B15" s="8" t="inlineStr">
        <is>
          <t>車両関連費</t>
        </is>
      </c>
      <c r="C15" s="9" t="n">
        <v>8475295</v>
      </c>
      <c r="D15" s="17">
        <f>IFERROR(C15/PL!C$10,"")</f>
        <v>0.00719166177640788</v>
      </c>
      <c r="E15" s="9" t="n">
        <v>10126052</v>
      </c>
      <c r="F15" s="17">
        <f>IFERROR(E15/PL!E$10,"")</f>
        <v>0.00856726154990966</v>
      </c>
      <c r="G15" s="9" t="n">
        <v>9861597</v>
      </c>
      <c r="H15" s="17">
        <f>IFERROR(G15/PL!G$10,"")</f>
        <v>0.00824621833371988</v>
      </c>
      <c r="I15" s="9" t="n">
        <v>2954932</v>
      </c>
      <c r="J15" s="17">
        <f>IFERROR(I15/PL!I$10,"")</f>
        <v>0.00718690610817338</v>
      </c>
    </row>
    <row r="16">
      <c r="B16" s="8" t="inlineStr">
        <is>
          <t>運賃</t>
        </is>
      </c>
      <c r="C16" s="9" t="n">
        <v>27546757</v>
      </c>
      <c r="D16" s="17">
        <f>IFERROR(C16/PL!C$10,"")</f>
        <v>0.0233746388038288</v>
      </c>
      <c r="E16" s="9" t="n">
        <v>29493733</v>
      </c>
      <c r="F16" s="17">
        <f>IFERROR(E16/PL!E$10,"")</f>
        <v>0.0249535085040252</v>
      </c>
      <c r="G16" s="9" t="n">
        <v>28996599</v>
      </c>
      <c r="H16" s="17">
        <f>IFERROR(G16/PL!G$10,"")</f>
        <v>0.0242468117779832</v>
      </c>
      <c r="I16" s="9" t="n">
        <v>8099852</v>
      </c>
      <c r="J16" s="17">
        <f>IFERROR(I16/PL!I$10,"")</f>
        <v>0.0197002421084818</v>
      </c>
    </row>
    <row r="17">
      <c r="B17" s="8" t="inlineStr">
        <is>
          <t>振込手数料負担金</t>
        </is>
      </c>
      <c r="C17" s="9" t="n">
        <v>122652</v>
      </c>
      <c r="D17" s="17">
        <f>IFERROR(C17/PL!C$10,"")</f>
        <v>0.000104075633969081</v>
      </c>
      <c r="E17" s="9" t="n">
        <v>207322</v>
      </c>
      <c r="F17" s="17">
        <f>IFERROR(E17/PL!E$10,"")</f>
        <v>0.000175407137850998</v>
      </c>
      <c r="G17" s="9" t="n">
        <v>215198</v>
      </c>
      <c r="H17" s="17">
        <f>IFERROR(G17/PL!G$10,"")</f>
        <v>0.000179947496635672</v>
      </c>
      <c r="I17" s="9" t="n">
        <v>60288</v>
      </c>
      <c r="J17" s="17">
        <f>IFERROR(I17/PL!I$10,"")</f>
        <v>0.000146630851555825</v>
      </c>
    </row>
    <row r="18">
      <c r="B18" s="8" t="inlineStr">
        <is>
          <t>委託手数料</t>
        </is>
      </c>
      <c r="C18" s="9" t="n">
        <v>3709319</v>
      </c>
      <c r="D18" s="17">
        <f>IFERROR(C18/PL!C$10,"")</f>
        <v>0.00314752084367606</v>
      </c>
      <c r="E18" s="9" t="n">
        <v>3538995</v>
      </c>
      <c r="F18" s="17">
        <f>IFERROR(E18/PL!E$10,"")</f>
        <v>0.00299420700079582</v>
      </c>
      <c r="G18" s="9" t="n">
        <v>4075300</v>
      </c>
      <c r="H18" s="17">
        <f>IFERROR(G18/PL!G$10,"")</f>
        <v>0.00340774557867338</v>
      </c>
      <c r="I18" s="9" t="n">
        <v>910303</v>
      </c>
      <c r="J18" s="17">
        <f>IFERROR(I18/PL!I$10,"")</f>
        <v>0.0022140144649652</v>
      </c>
    </row>
    <row r="19">
      <c r="B19" s="8" t="inlineStr">
        <is>
          <t>接待交際費</t>
        </is>
      </c>
      <c r="C19" s="9" t="n">
        <v>3474959</v>
      </c>
      <c r="D19" s="17">
        <f>IFERROR(C19/PL!C$10,"")</f>
        <v>0.0029486560426374</v>
      </c>
      <c r="E19" s="9" t="n">
        <v>2485921</v>
      </c>
      <c r="F19" s="17">
        <f>IFERROR(E19/PL!E$10,"")</f>
        <v>0.00210324175694663</v>
      </c>
      <c r="G19" s="9" t="n">
        <v>1580405</v>
      </c>
      <c r="H19" s="17">
        <f>IFERROR(G19/PL!G$10,"")</f>
        <v>0.00132152679588332</v>
      </c>
      <c r="I19" s="9" t="n">
        <v>930135</v>
      </c>
      <c r="J19" s="17">
        <f>IFERROR(I19/PL!I$10,"")</f>
        <v>0.00226224932178671</v>
      </c>
    </row>
    <row r="20">
      <c r="B20" s="8" t="inlineStr">
        <is>
          <t>水道光熱費</t>
        </is>
      </c>
      <c r="C20" s="9" t="n">
        <v>4423538</v>
      </c>
      <c r="D20" s="17">
        <f>IFERROR(C20/PL!C$10,"")</f>
        <v>0.00375356717979584</v>
      </c>
      <c r="E20" s="9" t="n">
        <v>4700697</v>
      </c>
      <c r="F20" s="17">
        <f>IFERROR(E20/PL!E$10,"")</f>
        <v>0.00397707820045519</v>
      </c>
      <c r="G20" s="9" t="n">
        <v>4684668</v>
      </c>
      <c r="H20" s="17">
        <f>IFERROR(G20/PL!G$10,"")</f>
        <v>0.00391729606766438</v>
      </c>
      <c r="I20" s="9" t="n">
        <v>1495968</v>
      </c>
      <c r="J20" s="17">
        <f>IFERROR(I20/PL!I$10,"")</f>
        <v>0.00363845312069175</v>
      </c>
    </row>
    <row r="21">
      <c r="B21" s="8" t="inlineStr">
        <is>
          <t>消耗品費</t>
        </is>
      </c>
      <c r="C21" s="9" t="n">
        <v>35750</v>
      </c>
      <c r="D21" s="17">
        <f>IFERROR(C21/PL!C$10,"")</f>
        <v>3.0335452454054e-05</v>
      </c>
      <c r="E21" s="9" t="n">
        <v>0</v>
      </c>
      <c r="F21" s="17">
        <f>IFERROR(E21/PL!E$10,"")</f>
        <v>0</v>
      </c>
      <c r="G21" s="9" t="n">
        <v>95055</v>
      </c>
      <c r="H21" s="17">
        <f>IFERROR(G21/PL!G$10,"")</f>
        <v>7.94845179448869e-05</v>
      </c>
      <c r="I21" s="9" t="n">
        <v>0</v>
      </c>
      <c r="J21" s="17">
        <f>IFERROR(I21/PL!I$10,"")</f>
        <v>0</v>
      </c>
    </row>
    <row r="22">
      <c r="B22" s="8" t="inlineStr">
        <is>
          <t>租税公課</t>
        </is>
      </c>
      <c r="C22" s="9" t="n">
        <v>14464767</v>
      </c>
      <c r="D22" s="17">
        <f>IFERROR(C22/PL!C$10,"")</f>
        <v>0.0122739930513977</v>
      </c>
      <c r="E22" s="9" t="n">
        <v>12813800</v>
      </c>
      <c r="F22" s="17">
        <f>IFERROR(E22/PL!E$10,"")</f>
        <v>0.0108412613374129</v>
      </c>
      <c r="G22" s="9" t="n">
        <v>12176834</v>
      </c>
      <c r="H22" s="17">
        <f>IFERROR(G22/PL!G$10,"")</f>
        <v>0.0101822079910043</v>
      </c>
      <c r="I22" s="9" t="n">
        <v>889634</v>
      </c>
      <c r="J22" s="17">
        <f>IFERROR(I22/PL!I$10,"")</f>
        <v>0.00216374387926311</v>
      </c>
    </row>
    <row r="23">
      <c r="B23" s="8" t="inlineStr">
        <is>
          <t>消費税引当金</t>
        </is>
      </c>
      <c r="C23" s="9" t="n">
        <v>0</v>
      </c>
      <c r="D23" s="17">
        <f>IFERROR(C23/PL!C$10,"")</f>
        <v>0</v>
      </c>
      <c r="E23" s="9" t="n">
        <v>0</v>
      </c>
      <c r="F23" s="17">
        <f>IFERROR(E23/PL!E$10,"")</f>
        <v>0</v>
      </c>
      <c r="G23" s="9" t="n">
        <v>0</v>
      </c>
      <c r="H23" s="17">
        <f>IFERROR(G23/PL!G$10,"")</f>
        <v>0</v>
      </c>
      <c r="I23" s="9" t="n">
        <v>3760000</v>
      </c>
      <c r="J23" s="17">
        <f>IFERROR(I23/PL!I$10,"")</f>
        <v>0.00914497083747846</v>
      </c>
    </row>
    <row r="24">
      <c r="B24" s="8" t="inlineStr">
        <is>
          <t>支払手数料</t>
        </is>
      </c>
      <c r="C24" s="9" t="n">
        <v>1546474</v>
      </c>
      <c r="D24" s="17">
        <f>IFERROR(C24/PL!C$10,"")</f>
        <v>0.00131225142652953</v>
      </c>
      <c r="E24" s="9" t="n">
        <v>1527460</v>
      </c>
      <c r="F24" s="17">
        <f>IFERROR(E24/PL!E$10,"")</f>
        <v>0.00129232491863808</v>
      </c>
      <c r="G24" s="9" t="n">
        <v>1596627</v>
      </c>
      <c r="H24" s="17">
        <f>IFERROR(G24/PL!G$10,"")</f>
        <v>0.00133509155155216</v>
      </c>
      <c r="I24" s="9" t="n">
        <v>866958</v>
      </c>
      <c r="J24" s="17">
        <f>IFERROR(I24/PL!I$10,"")</f>
        <v>0.00210859192215921</v>
      </c>
    </row>
    <row r="25">
      <c r="B25" s="8" t="inlineStr">
        <is>
          <t>諸会費</t>
        </is>
      </c>
      <c r="C25" s="9" t="n">
        <v>181000</v>
      </c>
      <c r="D25" s="17">
        <f>IFERROR(C25/PL!C$10,"")</f>
        <v>0.000153586486550595</v>
      </c>
      <c r="E25" s="9" t="n">
        <v>141000</v>
      </c>
      <c r="F25" s="17">
        <f>IFERROR(E25/PL!E$10,"")</f>
        <v>0.000119294654870157</v>
      </c>
      <c r="G25" s="9" t="n">
        <v>138400</v>
      </c>
      <c r="H25" s="17">
        <f>IFERROR(G25/PL!G$10,"")</f>
        <v>0.000115729391232154</v>
      </c>
      <c r="I25" s="9" t="n">
        <v>116000</v>
      </c>
      <c r="J25" s="17">
        <f>IFERROR(I25/PL!I$10,"")</f>
        <v>0.000282132079028591</v>
      </c>
    </row>
    <row r="26">
      <c r="B26" s="8" t="inlineStr">
        <is>
          <t>寄付金</t>
        </is>
      </c>
      <c r="C26" s="9" t="n">
        <v>13000</v>
      </c>
      <c r="D26" s="17">
        <f>IFERROR(C26/PL!C$10,"")</f>
        <v>1.1031073619656e-05</v>
      </c>
      <c r="E26" s="9" t="n">
        <v>71000</v>
      </c>
      <c r="F26" s="17">
        <f>IFERROR(E26/PL!E$10,"")</f>
        <v>6.00703581261074e-05</v>
      </c>
      <c r="G26" s="9" t="n">
        <v>11000</v>
      </c>
      <c r="H26" s="17">
        <f>IFERROR(G26/PL!G$10,"")</f>
        <v>9.19814525689081e-06</v>
      </c>
      <c r="I26" s="9" t="n">
        <v>0</v>
      </c>
      <c r="J26" s="17">
        <f>IFERROR(I26/PL!I$10,"")</f>
        <v>0</v>
      </c>
    </row>
    <row r="27">
      <c r="B27" s="8" t="inlineStr">
        <is>
          <t>リース料</t>
        </is>
      </c>
      <c r="C27" s="9" t="n">
        <v>4711966</v>
      </c>
      <c r="D27" s="17">
        <f>IFERROR(C27/PL!C$10,"")</f>
        <v>0.00399831106456277</v>
      </c>
      <c r="E27" s="9" t="n">
        <v>6710821</v>
      </c>
      <c r="F27" s="17">
        <f>IFERROR(E27/PL!E$10,"")</f>
        <v>0.00567776649000285</v>
      </c>
      <c r="G27" s="9" t="n">
        <v>6227194</v>
      </c>
      <c r="H27" s="17">
        <f>IFERROR(G27/PL!G$10,"")</f>
        <v>0.00520714863225809</v>
      </c>
      <c r="I27" s="9" t="n">
        <v>2046083</v>
      </c>
      <c r="J27" s="17">
        <f>IFERROR(I27/PL!I$10,"")</f>
        <v>0.00497642802288841</v>
      </c>
    </row>
    <row r="28">
      <c r="B28" s="8" t="inlineStr">
        <is>
          <t>支払保険料</t>
        </is>
      </c>
      <c r="C28" s="9" t="n">
        <v>2772322</v>
      </c>
      <c r="D28" s="17">
        <f>IFERROR(C28/PL!C$10,"")</f>
        <v>0.00235243754456861</v>
      </c>
      <c r="E28" s="9" t="n">
        <v>1431329</v>
      </c>
      <c r="F28" s="17">
        <f>IFERROR(E28/PL!E$10,"")</f>
        <v>0.00121099219191948</v>
      </c>
      <c r="G28" s="9" t="n">
        <v>1541660</v>
      </c>
      <c r="H28" s="17">
        <f>IFERROR(G28/PL!G$10,"")</f>
        <v>0.00128912841970348</v>
      </c>
      <c r="I28" s="9" t="n">
        <v>195474</v>
      </c>
      <c r="J28" s="17">
        <f>IFERROR(I28/PL!I$10,"")</f>
        <v>0.000475426603586506</v>
      </c>
    </row>
    <row r="29">
      <c r="B29" s="8" t="inlineStr">
        <is>
          <t>修繕費</t>
        </is>
      </c>
      <c r="C29" s="9" t="n">
        <v>1169740</v>
      </c>
      <c r="D29" s="17">
        <f>IFERROR(C29/PL!C$10,"")</f>
        <v>0.000992576004296647</v>
      </c>
      <c r="E29" s="9" t="n">
        <v>707846</v>
      </c>
      <c r="F29" s="17">
        <f>IFERROR(E29/PL!E$10,"")</f>
        <v>0.000598881165044121</v>
      </c>
      <c r="G29" s="9" t="n">
        <v>123750</v>
      </c>
      <c r="H29" s="17">
        <f>IFERROR(G29/PL!G$10,"")</f>
        <v>0.000103479134140022</v>
      </c>
      <c r="I29" s="9" t="n">
        <v>207130</v>
      </c>
      <c r="J29" s="17">
        <f>IFERROR(I29/PL!I$10,"")</f>
        <v>0.00050377601318269</v>
      </c>
    </row>
    <row r="30">
      <c r="B30" s="8" t="inlineStr">
        <is>
          <t>事務用消耗品費</t>
        </is>
      </c>
      <c r="C30" s="9" t="n">
        <v>2033078</v>
      </c>
      <c r="D30" s="17">
        <f>IFERROR(C30/PL!C$10,"")</f>
        <v>0.001725156391731</v>
      </c>
      <c r="E30" s="9" t="n">
        <v>1934919</v>
      </c>
      <c r="F30" s="17">
        <f>IFERROR(E30/PL!E$10,"")</f>
        <v>0.00163706024330999</v>
      </c>
      <c r="G30" s="9" t="n">
        <v>2335738</v>
      </c>
      <c r="H30" s="17">
        <f>IFERROR(G30/PL!G$10,"")</f>
        <v>0.00195313249145815</v>
      </c>
      <c r="I30" s="9" t="n">
        <v>819112</v>
      </c>
      <c r="J30" s="17">
        <f>IFERROR(I30/PL!I$10,"")</f>
        <v>0.0019922221682523</v>
      </c>
    </row>
    <row r="31">
      <c r="B31" s="8" t="inlineStr">
        <is>
          <t>減価償却費</t>
        </is>
      </c>
      <c r="C31" s="9" t="n">
        <v>13663684</v>
      </c>
      <c r="D31" s="17">
        <f>IFERROR(C31/PL!C$10,"")</f>
        <v>0.0115942387784397</v>
      </c>
      <c r="E31" s="9" t="n">
        <v>12557564</v>
      </c>
      <c r="F31" s="17">
        <f>IFERROR(E31/PL!E$10,"")</f>
        <v>0.0106244699531199</v>
      </c>
      <c r="G31" s="9" t="n">
        <v>8878970</v>
      </c>
      <c r="H31" s="17">
        <f>IFERROR(G31/PL!G$10,"")</f>
        <v>0.00742455052650689</v>
      </c>
      <c r="I31" s="9" t="n">
        <v>2436000</v>
      </c>
      <c r="J31" s="17">
        <f>IFERROR(I31/PL!I$10,"")</f>
        <v>0.0059247736596004</v>
      </c>
    </row>
    <row r="32">
      <c r="B32" s="8" t="inlineStr">
        <is>
          <t>雑費</t>
        </is>
      </c>
      <c r="C32" s="9" t="n">
        <v>4521805</v>
      </c>
      <c r="D32" s="17">
        <f>IFERROR(C32/PL!C$10,"")</f>
        <v>0.00383695106528682</v>
      </c>
      <c r="E32" s="9" t="n">
        <v>4393320</v>
      </c>
      <c r="F32" s="17">
        <f>IFERROR(E32/PL!E$10,"")</f>
        <v>0.0037170183910224</v>
      </c>
      <c r="G32" s="9" t="n">
        <v>4689970</v>
      </c>
      <c r="H32" s="17">
        <f>IFERROR(G32/PL!G$10,"")</f>
        <v>0.0039217295736782</v>
      </c>
      <c r="I32" s="9" t="n">
        <v>1266623</v>
      </c>
      <c r="J32" s="17">
        <f>IFERROR(I32/PL!I$10,"")</f>
        <v>0.00308064638220199</v>
      </c>
    </row>
    <row r="33">
      <c r="B33" s="10" t="inlineStr">
        <is>
          <t>販売費及び一般管理費 計</t>
        </is>
      </c>
      <c r="C33" s="11">
        <f>SUM(C5:C32)</f>
        <v>214823441</v>
      </c>
      <c r="D33" s="17">
        <f>IFERROR(C33/PL!C$10,"")</f>
        <v>0.182287168684525</v>
      </c>
      <c r="E33" s="11">
        <f>SUM(E5:E32)</f>
        <v>215718454</v>
      </c>
      <c r="F33" s="17">
        <f>IFERROR(E33/PL!E$10,"")</f>
        <v>0.182511053326623</v>
      </c>
      <c r="G33" s="11">
        <f>SUM(G5:G32)</f>
        <v>193151054</v>
      </c>
      <c r="H33" s="17">
        <f>IFERROR(G33/PL!G$10,"")</f>
        <v>0.161511950110324</v>
      </c>
      <c r="I33" s="11">
        <f>SUM(I5:I32)</f>
        <v>55896593</v>
      </c>
      <c r="J33" s="17">
        <f>IFERROR(I33/PL!I$10,"")</f>
        <v>0.135950189600905</v>
      </c>
    </row>
    <row r="34">
      <c r="B34" s="14" t="inlineStr">
        <is>
          <t>決算書記載の販管費計</t>
        </is>
      </c>
      <c r="C34" s="9" t="n">
        <v>214823441</v>
      </c>
      <c r="E34" s="9" t="n">
        <v>215718454</v>
      </c>
      <c r="G34" s="9" t="n">
        <v>193151054</v>
      </c>
      <c r="I34" s="9" t="n">
        <v>55896593</v>
      </c>
    </row>
    <row r="35">
      <c r="B35" s="7" t="inlineStr">
        <is>
          <t>チェック</t>
        </is>
      </c>
      <c r="C35" t="b">
        <f>EXACT(C33,C34)</f>
        <v>1</v>
      </c>
      <c r="E35" t="b">
        <f>EXACT(E33,E34)</f>
        <v>1</v>
      </c>
      <c r="G35" t="b">
        <f>EXACT(G33,G34)</f>
        <v>1</v>
      </c>
      <c r="I35" t="b">
        <f>EXACT(I33,I34)</f>
        <v>1</v>
      </c>
    </row>
    <row r="37">
      <c r="B37" s="18" t="inlineStr">
        <is>
          <t>※消費税等は税込方式のため、納付消費税相当は租税公課（決算）／消費税引当金（試算表）に計上されている。2026/3期は賞与の計上なし（要確認）。</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7"/>
  <sheetViews>
    <sheetView showGridLines="0" workbookViewId="0">
      <selection activeCell="A1" sqref="A1"/>
    </sheetView>
  </sheetViews>
  <sheetFormatPr baseColWidth="8" defaultRowHeight="15"/>
  <cols>
    <col width="2" customWidth="1" min="1" max="1"/>
    <col width="26" customWidth="1" min="2" max="2"/>
    <col width="15" customWidth="1" min="3" max="3"/>
    <col width="9" customWidth="1" min="4" max="4"/>
    <col width="15" customWidth="1" min="5" max="5"/>
    <col width="9" customWidth="1" min="6" max="6"/>
    <col width="15" customWidth="1" min="7" max="7"/>
    <col width="9" customWidth="1" min="8" max="8"/>
    <col width="15" customWidth="1" min="9" max="9"/>
    <col width="9" customWidth="1" min="10" max="10"/>
  </cols>
  <sheetData>
    <row r="1">
      <c r="A1" s="1" t="inlineStr">
        <is>
          <t>損益計算書</t>
        </is>
      </c>
    </row>
    <row r="2">
      <c r="A2" s="5" t="inlineStr">
        <is>
          <t>単位：千円（入力は円）／売上高比</t>
        </is>
      </c>
    </row>
    <row r="4" ht="30" customHeight="1">
      <c r="A4" s="6" t="inlineStr"/>
      <c r="B4" s="6" t="inlineStr">
        <is>
          <t>勘定科目</t>
        </is>
      </c>
      <c r="C4" s="6" t="inlineStr">
        <is>
          <t>2024年3月期
(第51期)</t>
        </is>
      </c>
      <c r="D4" s="6" t="inlineStr">
        <is>
          <t>売上比</t>
        </is>
      </c>
      <c r="E4" s="6" t="inlineStr">
        <is>
          <t>2025年3月期
(第52期)</t>
        </is>
      </c>
      <c r="F4" s="6" t="inlineStr">
        <is>
          <t>売上比</t>
        </is>
      </c>
      <c r="G4" s="6" t="inlineStr">
        <is>
          <t>2026年3月期
(第53期)</t>
        </is>
      </c>
      <c r="H4" s="6" t="inlineStr">
        <is>
          <t>売上比</t>
        </is>
      </c>
      <c r="I4" s="6" t="inlineStr">
        <is>
          <t>2026年7月
(試算表)</t>
        </is>
      </c>
      <c r="J4" s="6" t="inlineStr">
        <is>
          <t>売上比</t>
        </is>
      </c>
    </row>
    <row r="5">
      <c r="B5" s="8" t="inlineStr">
        <is>
          <t>商品売上高</t>
        </is>
      </c>
      <c r="C5" s="9" t="n">
        <v>1179974308</v>
      </c>
      <c r="D5" s="17">
        <f>IFERROR(C5/C$10,"")</f>
        <v>1.00126026621928</v>
      </c>
      <c r="E5" s="9" t="n">
        <v>1183308630</v>
      </c>
      <c r="F5" s="17">
        <f>IFERROR(E5/E$10,"")</f>
        <v>1.00115173489878</v>
      </c>
      <c r="G5" s="9" t="n">
        <v>1197530299</v>
      </c>
      <c r="H5" s="17">
        <f>IFERROR(G5/G$10,"")</f>
        <v>1.00136887633908</v>
      </c>
      <c r="I5" s="9" t="n">
        <v>375960544</v>
      </c>
      <c r="J5" s="17">
        <f>IFERROR(I5/I$10,"")</f>
        <v>0.914401119926206</v>
      </c>
    </row>
    <row r="6">
      <c r="B6" s="8" t="inlineStr">
        <is>
          <t>資材売上高</t>
        </is>
      </c>
      <c r="C6" s="9" t="n">
        <v>0</v>
      </c>
      <c r="D6" s="17">
        <f>IFERROR(C6/C$10,"")</f>
        <v>0</v>
      </c>
      <c r="E6" s="9" t="n">
        <v>0</v>
      </c>
      <c r="F6" s="17">
        <f>IFERROR(E6/E$10,"")</f>
        <v>0</v>
      </c>
      <c r="G6" s="9" t="n">
        <v>0</v>
      </c>
      <c r="H6" s="17">
        <f>IFERROR(G6/G$10,"")</f>
        <v>0</v>
      </c>
      <c r="I6" s="9" t="n">
        <v>10820414</v>
      </c>
      <c r="J6" s="17">
        <f>IFERROR(I6/I$10,"")</f>
        <v>0.0263171198083627</v>
      </c>
    </row>
    <row r="7">
      <c r="B7" s="8" t="inlineStr">
        <is>
          <t>センター費収入</t>
        </is>
      </c>
      <c r="C7" s="9" t="n">
        <v>0</v>
      </c>
      <c r="D7" s="17">
        <f>IFERROR(C7/C$10,"")</f>
        <v>0</v>
      </c>
      <c r="E7" s="9" t="n">
        <v>0</v>
      </c>
      <c r="F7" s="17">
        <f>IFERROR(E7/E$10,"")</f>
        <v>0</v>
      </c>
      <c r="G7" s="9" t="n">
        <v>0</v>
      </c>
      <c r="H7" s="17">
        <f>IFERROR(G7/G$10,"")</f>
        <v>0</v>
      </c>
      <c r="I7" s="9" t="n">
        <v>12272629</v>
      </c>
      <c r="J7" s="17">
        <f>IFERROR(I7/I$10,"")</f>
        <v>0.0298491580596256</v>
      </c>
    </row>
    <row r="8">
      <c r="B8" s="8" t="inlineStr">
        <is>
          <t>委託手数料収入</t>
        </is>
      </c>
      <c r="C8" s="9" t="n">
        <v>0</v>
      </c>
      <c r="D8" s="17">
        <f>IFERROR(C8/C$10,"")</f>
        <v>0</v>
      </c>
      <c r="E8" s="9" t="n">
        <v>0</v>
      </c>
      <c r="F8" s="17">
        <f>IFERROR(E8/E$10,"")</f>
        <v>0</v>
      </c>
      <c r="G8" s="9" t="n">
        <v>0</v>
      </c>
      <c r="H8" s="17">
        <f>IFERROR(G8/G$10,"")</f>
        <v>0</v>
      </c>
      <c r="I8" s="9" t="n">
        <v>12563500</v>
      </c>
      <c r="J8" s="17">
        <f>IFERROR(I8/I$10,"")</f>
        <v>0.0305566066799629</v>
      </c>
    </row>
    <row r="9">
      <c r="B9" s="8" t="inlineStr">
        <is>
          <t>売上割戻</t>
        </is>
      </c>
      <c r="C9" s="9" t="n">
        <v>-1485210</v>
      </c>
      <c r="D9" s="17">
        <f>IFERROR(C9/C$10,"")</f>
        <v>-0.00126026621928072</v>
      </c>
      <c r="E9" s="9" t="n">
        <v>-1361290</v>
      </c>
      <c r="F9" s="17">
        <f>IFERROR(E9/E$10,"")</f>
        <v>-0.00115173489878153</v>
      </c>
      <c r="G9" s="9" t="n">
        <v>-1637030</v>
      </c>
      <c r="H9" s="17">
        <f>IFERROR(G9/G$10,"")</f>
        <v>-0.00136887633908072</v>
      </c>
      <c r="I9" s="9" t="n">
        <v>-462140</v>
      </c>
      <c r="J9" s="17">
        <f>IFERROR(I9/I$10,"")</f>
        <v>-0.00112400447415753</v>
      </c>
    </row>
    <row r="10">
      <c r="B10" s="12" t="inlineStr">
        <is>
          <t>売上高</t>
        </is>
      </c>
      <c r="C10" s="13">
        <f>SUM(C5:C9)</f>
        <v>1178489098</v>
      </c>
      <c r="D10" s="17">
        <f>IFERROR(C10/C$10,"")</f>
        <v>1</v>
      </c>
      <c r="E10" s="13">
        <f>SUM(E5:E9)</f>
        <v>1181947340</v>
      </c>
      <c r="F10" s="17">
        <f>IFERROR(E10/E$10,"")</f>
        <v>1</v>
      </c>
      <c r="G10" s="13">
        <f>SUM(G5:G9)</f>
        <v>1195893269</v>
      </c>
      <c r="H10" s="17">
        <f>IFERROR(G10/G$10,"")</f>
        <v>1</v>
      </c>
      <c r="I10" s="13">
        <f>SUM(I5:I9)</f>
        <v>411154947</v>
      </c>
      <c r="J10" s="17">
        <f>IFERROR(I10/I$10,"")</f>
        <v>1</v>
      </c>
    </row>
    <row r="11">
      <c r="B11" s="8" t="inlineStr">
        <is>
          <t>期首棚卸高</t>
        </is>
      </c>
      <c r="C11" s="9" t="n">
        <v>15470384</v>
      </c>
      <c r="D11" s="17">
        <f>IFERROR(C11/C$10,"")</f>
        <v>0.0131273034483345</v>
      </c>
      <c r="E11" s="9" t="n">
        <v>9859795</v>
      </c>
      <c r="F11" s="17">
        <f>IFERROR(E11/E$10,"")</f>
        <v>0.00834199178450708</v>
      </c>
      <c r="G11" s="9" t="n">
        <v>15443609</v>
      </c>
      <c r="H11" s="17">
        <f>IFERROR(G11/G$10,"")</f>
        <v>0.0129138689884206</v>
      </c>
      <c r="I11" s="9" t="n">
        <v>14596695</v>
      </c>
      <c r="J11" s="17">
        <f>IFERROR(I11/I$10,"")</f>
        <v>0.035501688856002</v>
      </c>
    </row>
    <row r="12">
      <c r="B12" s="8" t="inlineStr">
        <is>
          <t>当期仕入高</t>
        </is>
      </c>
      <c r="C12" s="9" t="n">
        <v>953298320</v>
      </c>
      <c r="D12" s="17">
        <f>IFERROR(C12/C$10,"")</f>
        <v>0.808915688416491</v>
      </c>
      <c r="E12" s="9" t="n">
        <v>976235640</v>
      </c>
      <c r="F12" s="17">
        <f>IFERROR(E12/E$10,"")</f>
        <v>0.82595527479253</v>
      </c>
      <c r="G12" s="9" t="n">
        <v>996035389</v>
      </c>
      <c r="H12" s="17">
        <f>IFERROR(G12/G$10,"")</f>
        <v>0.832879835365977</v>
      </c>
      <c r="I12" s="9" t="n">
        <v>371992415</v>
      </c>
      <c r="J12" s="17">
        <f>IFERROR(I12/I$10,"")</f>
        <v>0.904749943334623</v>
      </c>
    </row>
    <row r="13">
      <c r="B13" s="8" t="inlineStr">
        <is>
          <t>期末棚卸高</t>
        </is>
      </c>
      <c r="C13" s="9" t="n">
        <v>-9859795</v>
      </c>
      <c r="D13" s="17">
        <f>IFERROR(C13/C$10,"")</f>
        <v>-0.00836647111690124</v>
      </c>
      <c r="E13" s="9" t="n">
        <v>-15443609</v>
      </c>
      <c r="F13" s="17">
        <f>IFERROR(E13/E$10,"")</f>
        <v>-0.0130662411745011</v>
      </c>
      <c r="G13" s="9" t="n">
        <v>-14596695</v>
      </c>
      <c r="H13" s="17">
        <f>IFERROR(G13/G$10,"")</f>
        <v>-0.012205683716412</v>
      </c>
      <c r="I13" s="9" t="n">
        <v>-36647736</v>
      </c>
      <c r="J13" s="17">
        <f>IFERROR(I13/I$10,"")</f>
        <v>-0.089133637494577</v>
      </c>
    </row>
    <row r="14">
      <c r="B14" s="10" t="inlineStr">
        <is>
          <t>売上原価</t>
        </is>
      </c>
      <c r="C14" s="11">
        <f>SUM(C11:C13)</f>
        <v>958908909</v>
      </c>
      <c r="D14" s="17">
        <f>IFERROR(C14/C$10,"")</f>
        <v>0.813676520747925</v>
      </c>
      <c r="E14" s="11">
        <f>SUM(E11:E13)</f>
        <v>970651826</v>
      </c>
      <c r="F14" s="17">
        <f>IFERROR(E14/E$10,"")</f>
        <v>0.821231025402536</v>
      </c>
      <c r="G14" s="11">
        <f>SUM(G11:G13)</f>
        <v>996882303</v>
      </c>
      <c r="H14" s="17">
        <f>IFERROR(G14/G$10,"")</f>
        <v>0.833588020637986</v>
      </c>
      <c r="I14" s="11">
        <f>SUM(I11:I13)</f>
        <v>349941374</v>
      </c>
      <c r="J14" s="17">
        <f>IFERROR(I14/I$10,"")</f>
        <v>0.851117994696048</v>
      </c>
    </row>
    <row r="15">
      <c r="B15" s="12" t="inlineStr">
        <is>
          <t>売上総利益</t>
        </is>
      </c>
      <c r="C15" s="13">
        <f>C10-C14</f>
        <v>219580189</v>
      </c>
      <c r="D15" s="17">
        <f>IFERROR(C15/C$10,"")</f>
        <v>0.186323479252075</v>
      </c>
      <c r="E15" s="13">
        <f>E10-E14</f>
        <v>211295514</v>
      </c>
      <c r="F15" s="17">
        <f>IFERROR(E15/E$10,"")</f>
        <v>0.178768974597464</v>
      </c>
      <c r="G15" s="13">
        <f>G10-G14</f>
        <v>199010966</v>
      </c>
      <c r="H15" s="17">
        <f>IFERROR(G15/G$10,"")</f>
        <v>0.166411979362014</v>
      </c>
      <c r="I15" s="13">
        <f>I10-I14</f>
        <v>61213573</v>
      </c>
      <c r="J15" s="17">
        <f>IFERROR(I15/I$10,"")</f>
        <v>0.148882005303952</v>
      </c>
    </row>
    <row r="16">
      <c r="B16" s="10" t="inlineStr">
        <is>
          <t>販売費及び一般管理費</t>
        </is>
      </c>
      <c r="C16" s="11">
        <f>SGA!C33</f>
        <v>214823441</v>
      </c>
      <c r="D16" s="17">
        <f>IFERROR(C16/C$10,"")</f>
        <v>0.182287168684525</v>
      </c>
      <c r="E16" s="11">
        <f>SGA!E33</f>
        <v>215718454</v>
      </c>
      <c r="F16" s="17">
        <f>IFERROR(E16/E$10,"")</f>
        <v>0.182511053326623</v>
      </c>
      <c r="G16" s="11">
        <f>SGA!G33</f>
        <v>193151054</v>
      </c>
      <c r="H16" s="17">
        <f>IFERROR(G16/G$10,"")</f>
        <v>0.161511950110324</v>
      </c>
      <c r="I16" s="11">
        <f>SGA!I33</f>
        <v>55896593</v>
      </c>
      <c r="J16" s="17">
        <f>IFERROR(I16/I$10,"")</f>
        <v>0.135950189600905</v>
      </c>
    </row>
    <row r="17">
      <c r="B17" s="12" t="inlineStr">
        <is>
          <t>営業利益</t>
        </is>
      </c>
      <c r="C17" s="13">
        <f>C15-C16</f>
        <v>4756748</v>
      </c>
      <c r="D17" s="17">
        <f>IFERROR(C17/C$10,"")</f>
        <v>0.00403631056755011</v>
      </c>
      <c r="E17" s="13">
        <f>E15-E16</f>
        <v>-4422940</v>
      </c>
      <c r="F17" s="17">
        <f>IFERROR(E17/E$10,"")</f>
        <v>-0.00374207872915895</v>
      </c>
      <c r="G17" s="13">
        <f>G15-G16</f>
        <v>5859912</v>
      </c>
      <c r="H17" s="17">
        <f>IFERROR(G17/G$10,"")</f>
        <v>0.00490002925169069</v>
      </c>
      <c r="I17" s="13">
        <f>I15-I16</f>
        <v>5316980</v>
      </c>
      <c r="J17" s="17">
        <f>IFERROR(I17/I$10,"")</f>
        <v>0.0129318157030469</v>
      </c>
    </row>
    <row r="18">
      <c r="B18" s="8" t="inlineStr">
        <is>
          <t>受取利息</t>
        </is>
      </c>
      <c r="C18" s="9" t="n">
        <v>1252</v>
      </c>
      <c r="D18" s="17">
        <f>IFERROR(C18/C$10,"")</f>
        <v>1.06237724398533e-06</v>
      </c>
      <c r="E18" s="9" t="n">
        <v>84858</v>
      </c>
      <c r="F18" s="17">
        <f>IFERROR(E18/E$10,"")</f>
        <v>7.17950767586651e-05</v>
      </c>
      <c r="G18" s="9" t="n">
        <v>267463</v>
      </c>
      <c r="H18" s="17">
        <f>IFERROR(G18/G$10,"")</f>
        <v>0.000223651229531253</v>
      </c>
      <c r="I18" s="9" t="n">
        <v>0</v>
      </c>
      <c r="J18" s="17">
        <f>IFERROR(I18/I$10,"")</f>
        <v>0</v>
      </c>
    </row>
    <row r="19">
      <c r="B19" s="8" t="inlineStr">
        <is>
          <t>受取配当金</t>
        </is>
      </c>
      <c r="C19" s="9" t="n">
        <v>30500</v>
      </c>
      <c r="D19" s="17">
        <f>IFERROR(C19/C$10,"")</f>
        <v>2.58805957999622e-05</v>
      </c>
      <c r="E19" s="9" t="n">
        <v>30500</v>
      </c>
      <c r="F19" s="17">
        <f>IFERROR(E19/E$10,"")</f>
        <v>2.58048721527644e-05</v>
      </c>
      <c r="G19" s="9" t="n">
        <v>30500</v>
      </c>
      <c r="H19" s="17">
        <f>IFERROR(G19/G$10,"")</f>
        <v>2.55039482122882e-05</v>
      </c>
      <c r="I19" s="9" t="n">
        <v>30950</v>
      </c>
      <c r="J19" s="17">
        <f>IFERROR(I19/I$10,"")</f>
        <v>7.52757572925421e-05</v>
      </c>
    </row>
    <row r="20">
      <c r="B20" s="8" t="inlineStr">
        <is>
          <t>受取奨励金</t>
        </is>
      </c>
      <c r="C20" s="9" t="n">
        <v>2284370</v>
      </c>
      <c r="D20" s="17">
        <f>IFERROR(C20/C$10,"")</f>
        <v>0.0019383887418872</v>
      </c>
      <c r="E20" s="9" t="n">
        <v>2406729</v>
      </c>
      <c r="F20" s="17">
        <f>IFERROR(E20/E$10,"")</f>
        <v>0.00203624046397871</v>
      </c>
      <c r="G20" s="9" t="n">
        <v>2513377</v>
      </c>
      <c r="H20" s="17">
        <f>IFERROR(G20/G$10,"")</f>
        <v>0.00210167333921168</v>
      </c>
      <c r="I20" s="9" t="n">
        <v>652788</v>
      </c>
      <c r="J20" s="17">
        <f>IFERROR(I20/I$10,"")</f>
        <v>0.0015876934103872</v>
      </c>
    </row>
    <row r="21">
      <c r="B21" s="8" t="inlineStr">
        <is>
          <t>受取延滞料</t>
        </is>
      </c>
      <c r="C21" s="9" t="n">
        <v>170242</v>
      </c>
      <c r="D21" s="17">
        <f>IFERROR(C21/C$10,"")</f>
        <v>0.000144457848858268</v>
      </c>
      <c r="E21" s="9" t="n">
        <v>147416</v>
      </c>
      <c r="F21" s="17">
        <f>IFERROR(E21/E$10,"")</f>
        <v>0.00012472298469744</v>
      </c>
      <c r="G21" s="9" t="n">
        <v>96879</v>
      </c>
      <c r="H21" s="17">
        <f>IFERROR(G21/G$10,"")</f>
        <v>8.10097376674841e-05</v>
      </c>
      <c r="I21" s="9" t="n">
        <v>51327</v>
      </c>
      <c r="J21" s="17">
        <f>IFERROR(I21/I$10,"")</f>
        <v>0.000124836148450866</v>
      </c>
    </row>
    <row r="22">
      <c r="B22" s="8" t="inlineStr">
        <is>
          <t>受取運賃・配達収入</t>
        </is>
      </c>
      <c r="C22" s="9" t="n">
        <v>0</v>
      </c>
      <c r="D22" s="17">
        <f>IFERROR(C22/C$10,"")</f>
        <v>0</v>
      </c>
      <c r="E22" s="9" t="n">
        <v>0</v>
      </c>
      <c r="F22" s="17">
        <f>IFERROR(E22/E$10,"")</f>
        <v>0</v>
      </c>
      <c r="G22" s="9" t="n">
        <v>0</v>
      </c>
      <c r="H22" s="17">
        <f>IFERROR(G22/G$10,"")</f>
        <v>0</v>
      </c>
      <c r="I22" s="9" t="n">
        <v>49500</v>
      </c>
      <c r="J22" s="17">
        <f>IFERROR(I22/I$10,"")</f>
        <v>0.000120392568206166</v>
      </c>
    </row>
    <row r="23">
      <c r="B23" s="8" t="inlineStr">
        <is>
          <t>雑収入</t>
        </is>
      </c>
      <c r="C23" s="9" t="n">
        <v>8141731</v>
      </c>
      <c r="D23" s="17">
        <f>IFERROR(C23/C$10,"")</f>
        <v>0.0069086180040335</v>
      </c>
      <c r="E23" s="9" t="n">
        <v>8067387</v>
      </c>
      <c r="F23" s="17">
        <f>IFERROR(E23/E$10,"")</f>
        <v>0.00682550459481554</v>
      </c>
      <c r="G23" s="9" t="n">
        <v>3669539</v>
      </c>
      <c r="H23" s="17">
        <f>IFERROR(G23/G$10,"")</f>
        <v>0.00306845024980235</v>
      </c>
      <c r="I23" s="9" t="n">
        <v>976086</v>
      </c>
      <c r="J23" s="17">
        <f>IFERROR(I23/I$10,"")</f>
        <v>0.00237401010767846</v>
      </c>
    </row>
    <row r="24">
      <c r="B24" s="14" t="inlineStr">
        <is>
          <t>営業外収益計</t>
        </is>
      </c>
      <c r="C24" s="9">
        <f>SUM(C18:C23)</f>
        <v>10628095</v>
      </c>
      <c r="D24" s="17">
        <f>IFERROR(C24/C$10,"")</f>
        <v>0.00901840756782292</v>
      </c>
      <c r="E24" s="9">
        <f>SUM(E18:E23)</f>
        <v>10736890</v>
      </c>
      <c r="F24" s="17">
        <f>IFERROR(E24/E$10,"")</f>
        <v>0.00908406799240311</v>
      </c>
      <c r="G24" s="9">
        <f>SUM(G18:G23)</f>
        <v>6577758</v>
      </c>
      <c r="H24" s="17">
        <f>IFERROR(G24/G$10,"")</f>
        <v>0.00550028850442506</v>
      </c>
      <c r="I24" s="9">
        <f>SUM(I18:I23)</f>
        <v>1760651</v>
      </c>
      <c r="J24" s="17">
        <f>IFERROR(I24/I$10,"")</f>
        <v>0.00428220799201523</v>
      </c>
    </row>
    <row r="25">
      <c r="B25" s="8" t="inlineStr">
        <is>
          <t>支払利息</t>
        </is>
      </c>
      <c r="C25" s="9" t="n">
        <v>3962441</v>
      </c>
      <c r="D25" s="17">
        <f>IFERROR(C25/C$10,"")</f>
        <v>0.00336230602958026</v>
      </c>
      <c r="E25" s="9" t="n">
        <v>4040547</v>
      </c>
      <c r="F25" s="17">
        <f>IFERROR(E25/E$10,"")</f>
        <v>0.0034185507790897</v>
      </c>
      <c r="G25" s="9" t="n">
        <v>3895556</v>
      </c>
      <c r="H25" s="17">
        <f>IFERROR(G25/G$10,"")</f>
        <v>0.00325744454039569</v>
      </c>
      <c r="I25" s="9" t="n">
        <v>1192744</v>
      </c>
      <c r="J25" s="17">
        <f>IFERROR(I25/I$10,"")</f>
        <v>0.00290095986611101</v>
      </c>
    </row>
    <row r="26">
      <c r="B26" s="8" t="inlineStr">
        <is>
          <t>出荷奨励金</t>
        </is>
      </c>
      <c r="C26" s="9" t="n">
        <v>105862</v>
      </c>
      <c r="D26" s="17">
        <f>IFERROR(C26/C$10,"")</f>
        <v>8.98285781172326e-05</v>
      </c>
      <c r="E26" s="9" t="n">
        <v>92022</v>
      </c>
      <c r="F26" s="17">
        <f>IFERROR(E26/E$10,"")</f>
        <v>7.78562604997275e-05</v>
      </c>
      <c r="G26" s="9" t="n">
        <v>94929</v>
      </c>
      <c r="H26" s="17">
        <f>IFERROR(G26/G$10,"")</f>
        <v>7.93791573719444e-05</v>
      </c>
      <c r="I26" s="9" t="n">
        <v>0</v>
      </c>
      <c r="J26" s="17">
        <f>IFERROR(I26/I$10,"")</f>
        <v>0</v>
      </c>
    </row>
    <row r="27">
      <c r="B27" s="8" t="inlineStr">
        <is>
          <t>雑損失</t>
        </is>
      </c>
      <c r="C27" s="9" t="n">
        <v>0</v>
      </c>
      <c r="D27" s="17">
        <f>IFERROR(C27/C$10,"")</f>
        <v>0</v>
      </c>
      <c r="E27" s="9" t="n">
        <v>0</v>
      </c>
      <c r="F27" s="17">
        <f>IFERROR(E27/E$10,"")</f>
        <v>0</v>
      </c>
      <c r="G27" s="9" t="n">
        <v>379401</v>
      </c>
      <c r="H27" s="17">
        <f>IFERROR(G27/G$10,"")</f>
        <v>0.000317253228055421</v>
      </c>
      <c r="I27" s="9" t="n">
        <v>0</v>
      </c>
      <c r="J27" s="17">
        <f>IFERROR(I27/I$10,"")</f>
        <v>0</v>
      </c>
    </row>
    <row r="28">
      <c r="B28" s="14" t="inlineStr">
        <is>
          <t>営業外費用計</t>
        </is>
      </c>
      <c r="C28" s="9">
        <f>SUM(C25:C27)</f>
        <v>4068303</v>
      </c>
      <c r="D28" s="17">
        <f>IFERROR(C28/C$10,"")</f>
        <v>0.00345213460769749</v>
      </c>
      <c r="E28" s="9">
        <f>SUM(E25:E27)</f>
        <v>4132569</v>
      </c>
      <c r="F28" s="17">
        <f>IFERROR(E28/E$10,"")</f>
        <v>0.00349640703958943</v>
      </c>
      <c r="G28" s="9">
        <f>SUM(G25:G27)</f>
        <v>4369886</v>
      </c>
      <c r="H28" s="17">
        <f>IFERROR(G28/G$10,"")</f>
        <v>0.00365407692582305</v>
      </c>
      <c r="I28" s="9">
        <f>SUM(I25:I27)</f>
        <v>1192744</v>
      </c>
      <c r="J28" s="17">
        <f>IFERROR(I28/I$10,"")</f>
        <v>0.00290095986611101</v>
      </c>
    </row>
    <row r="29">
      <c r="B29" s="12" t="inlineStr">
        <is>
          <t>経常利益</t>
        </is>
      </c>
      <c r="C29" s="13">
        <f>C17+C24-C28</f>
        <v>11316540</v>
      </c>
      <c r="D29" s="17">
        <f>IFERROR(C29/C$10,"")</f>
        <v>0.00960258352767554</v>
      </c>
      <c r="E29" s="13">
        <f>E17+E24-E28</f>
        <v>2181381</v>
      </c>
      <c r="F29" s="17">
        <f>IFERROR(E29/E$10,"")</f>
        <v>0.00184558222365474</v>
      </c>
      <c r="G29" s="13">
        <f>G17+G24-G28</f>
        <v>8067784</v>
      </c>
      <c r="H29" s="17">
        <f>IFERROR(G29/G$10,"")</f>
        <v>0.00674624083029269</v>
      </c>
      <c r="I29" s="13">
        <f>I17+I24-I28</f>
        <v>5884887</v>
      </c>
      <c r="J29" s="17">
        <f>IFERROR(I29/I$10,"")</f>
        <v>0.0143130638289511</v>
      </c>
    </row>
    <row r="30">
      <c r="B30" s="8" t="inlineStr">
        <is>
          <t>固定資産売却益</t>
        </is>
      </c>
      <c r="C30" s="9" t="n">
        <v>1711177</v>
      </c>
      <c r="D30" s="17">
        <f>IFERROR(C30/C$10,"")</f>
        <v>0.0014520091894817</v>
      </c>
      <c r="E30" s="9" t="n">
        <v>1608918</v>
      </c>
      <c r="F30" s="17">
        <f>IFERROR(E30/E$10,"")</f>
        <v>0.00136124338669775</v>
      </c>
      <c r="G30" s="9" t="n">
        <v>0</v>
      </c>
      <c r="H30" s="17">
        <f>IFERROR(G30/G$10,"")</f>
        <v>0</v>
      </c>
      <c r="I30" s="9" t="n">
        <v>0</v>
      </c>
      <c r="J30" s="17">
        <f>IFERROR(I30/I$10,"")</f>
        <v>0</v>
      </c>
    </row>
    <row r="31">
      <c r="B31" s="8" t="inlineStr">
        <is>
          <t>貸倒引当金戻入</t>
        </is>
      </c>
      <c r="C31" s="9" t="n">
        <v>176000</v>
      </c>
      <c r="D31" s="17">
        <f>IFERROR(C31/C$10,"")</f>
        <v>0.000149343765927651</v>
      </c>
      <c r="E31" s="9" t="n">
        <v>237000</v>
      </c>
      <c r="F31" s="17">
        <f>IFERROR(E31/E$10,"")</f>
        <v>0.000200516547547711</v>
      </c>
      <c r="G31" s="9" t="n">
        <v>234000</v>
      </c>
      <c r="H31" s="17">
        <f>IFERROR(G31/G$10,"")</f>
        <v>0.000195669635464768</v>
      </c>
      <c r="I31" s="9" t="n">
        <v>0</v>
      </c>
      <c r="J31" s="17">
        <f>IFERROR(I31/I$10,"")</f>
        <v>0</v>
      </c>
    </row>
    <row r="32">
      <c r="B32" s="14" t="inlineStr">
        <is>
          <t>特別利益計</t>
        </is>
      </c>
      <c r="C32" s="9">
        <f>SUM(C30:C31)</f>
        <v>1887177</v>
      </c>
      <c r="D32" s="17">
        <f>IFERROR(C32/C$10,"")</f>
        <v>0.00160135295540935</v>
      </c>
      <c r="E32" s="9">
        <f>SUM(E30:E31)</f>
        <v>1845918</v>
      </c>
      <c r="F32" s="17">
        <f>IFERROR(E32/E$10,"")</f>
        <v>0.00156175993424546</v>
      </c>
      <c r="G32" s="9">
        <f>SUM(G30:G31)</f>
        <v>234000</v>
      </c>
      <c r="H32" s="17">
        <f>IFERROR(G32/G$10,"")</f>
        <v>0.000195669635464768</v>
      </c>
      <c r="I32" s="9">
        <f>SUM(I30:I31)</f>
        <v>0</v>
      </c>
      <c r="J32" s="17">
        <f>IFERROR(I32/I$10,"")</f>
        <v>0</v>
      </c>
    </row>
    <row r="33">
      <c r="B33" s="8" t="inlineStr">
        <is>
          <t>固定資産売却除却損</t>
        </is>
      </c>
      <c r="C33" s="9" t="n">
        <v>201719</v>
      </c>
      <c r="D33" s="17">
        <f>IFERROR(C33/C$10,"")</f>
        <v>0.000171167472267953</v>
      </c>
      <c r="E33" s="9" t="n">
        <v>0</v>
      </c>
      <c r="F33" s="17">
        <f>IFERROR(E33/E$10,"")</f>
        <v>0</v>
      </c>
      <c r="G33" s="9" t="n">
        <v>1</v>
      </c>
      <c r="H33" s="17">
        <f>IFERROR(G33/G$10,"")</f>
        <v>8.3619502335371e-10</v>
      </c>
      <c r="I33" s="9" t="n">
        <v>0</v>
      </c>
      <c r="J33" s="17">
        <f>IFERROR(I33/I$10,"")</f>
        <v>0</v>
      </c>
    </row>
    <row r="34">
      <c r="B34" s="8" t="inlineStr">
        <is>
          <t>貸倒引当金繰入</t>
        </is>
      </c>
      <c r="C34" s="9" t="n">
        <v>237000</v>
      </c>
      <c r="D34" s="17">
        <f>IFERROR(C34/C$10,"")</f>
        <v>0.000201104957527575</v>
      </c>
      <c r="E34" s="9" t="n">
        <v>234000</v>
      </c>
      <c r="F34" s="17">
        <f>IFERROR(E34/E$10,"")</f>
        <v>0.000197978363401537</v>
      </c>
      <c r="G34" s="9" t="n">
        <v>203000</v>
      </c>
      <c r="H34" s="17">
        <f>IFERROR(G34/G$10,"")</f>
        <v>0.000169747589740803</v>
      </c>
      <c r="I34" s="9" t="n">
        <v>0</v>
      </c>
      <c r="J34" s="17">
        <f>IFERROR(I34/I$10,"")</f>
        <v>0</v>
      </c>
    </row>
    <row r="35">
      <c r="B35" s="8" t="inlineStr">
        <is>
          <t>前期損益修正損</t>
        </is>
      </c>
      <c r="C35" s="9" t="n">
        <v>0</v>
      </c>
      <c r="D35" s="17">
        <f>IFERROR(C35/C$10,"")</f>
        <v>0</v>
      </c>
      <c r="E35" s="9" t="n">
        <v>0</v>
      </c>
      <c r="F35" s="17">
        <f>IFERROR(E35/E$10,"")</f>
        <v>0</v>
      </c>
      <c r="G35" s="9" t="n">
        <v>20900138</v>
      </c>
      <c r="H35" s="17">
        <f>IFERROR(G35/G$10,"")</f>
        <v>0.0174765913830058</v>
      </c>
      <c r="I35" s="9" t="n">
        <v>0</v>
      </c>
      <c r="J35" s="17">
        <f>IFERROR(I35/I$10,"")</f>
        <v>0</v>
      </c>
    </row>
    <row r="36">
      <c r="B36" s="14" t="inlineStr">
        <is>
          <t>特別損失計</t>
        </is>
      </c>
      <c r="C36" s="9">
        <f>SUM(C33:C35)</f>
        <v>438719</v>
      </c>
      <c r="D36" s="17">
        <f>IFERROR(C36/C$10,"")</f>
        <v>0.000372272429795528</v>
      </c>
      <c r="E36" s="9">
        <f>SUM(E33:E35)</f>
        <v>234000</v>
      </c>
      <c r="F36" s="17">
        <f>IFERROR(E36/E$10,"")</f>
        <v>0.000197978363401537</v>
      </c>
      <c r="G36" s="9">
        <f>SUM(G33:G35)</f>
        <v>21103139</v>
      </c>
      <c r="H36" s="17">
        <f>IFERROR(G36/G$10,"")</f>
        <v>0.0176463398089416</v>
      </c>
      <c r="I36" s="9">
        <f>SUM(I33:I35)</f>
        <v>0</v>
      </c>
      <c r="J36" s="17">
        <f>IFERROR(I36/I$10,"")</f>
        <v>0</v>
      </c>
    </row>
    <row r="37">
      <c r="B37" s="10" t="inlineStr">
        <is>
          <t>税引前当期純利益</t>
        </is>
      </c>
      <c r="C37" s="11">
        <f>C29+C32-C36</f>
        <v>12764998</v>
      </c>
      <c r="D37" s="17">
        <f>IFERROR(C37/C$10,"")</f>
        <v>0.0108316640532894</v>
      </c>
      <c r="E37" s="11">
        <f>E29+E32-E36</f>
        <v>3793299</v>
      </c>
      <c r="F37" s="17">
        <f>IFERROR(E37/E$10,"")</f>
        <v>0.00320936379449866</v>
      </c>
      <c r="G37" s="11">
        <f>G29+G32-G36</f>
        <v>-12801355</v>
      </c>
      <c r="H37" s="17">
        <f>IFERROR(G37/G$10,"")</f>
        <v>-0.0107044293431841</v>
      </c>
      <c r="I37" s="11">
        <f>I29+I32-I36</f>
        <v>5884887</v>
      </c>
      <c r="J37" s="17">
        <f>IFERROR(I37/I$10,"")</f>
        <v>0.0143130638289511</v>
      </c>
    </row>
    <row r="38">
      <c r="B38" s="8" t="inlineStr">
        <is>
          <t>法人税等</t>
        </is>
      </c>
      <c r="C38" s="9" t="n">
        <v>3658100</v>
      </c>
      <c r="D38" s="17">
        <f>IFERROR(C38/C$10,"")</f>
        <v>0.00310405926215874</v>
      </c>
      <c r="E38" s="9" t="n">
        <v>864400</v>
      </c>
      <c r="F38" s="17">
        <f>IFERROR(E38/E$10,"")</f>
        <v>0.000731335458650806</v>
      </c>
      <c r="G38" s="9" t="n">
        <v>2283300</v>
      </c>
      <c r="H38" s="17">
        <f>IFERROR(G38/G$10,"")</f>
        <v>0.00190928409682353</v>
      </c>
      <c r="I38" s="9" t="n">
        <v>0</v>
      </c>
      <c r="J38" s="17">
        <f>IFERROR(I38/I$10,"")</f>
        <v>0</v>
      </c>
    </row>
    <row r="39">
      <c r="B39" s="12" t="inlineStr">
        <is>
          <t>当期純利益</t>
        </is>
      </c>
      <c r="C39" s="13">
        <f>C37-C38</f>
        <v>9106898</v>
      </c>
      <c r="D39" s="17">
        <f>IFERROR(C39/C$10,"")</f>
        <v>0.00772760479113062</v>
      </c>
      <c r="E39" s="13">
        <f>E37-E38</f>
        <v>2928899</v>
      </c>
      <c r="F39" s="17">
        <f>IFERROR(E39/E$10,"")</f>
        <v>0.00247802833584786</v>
      </c>
      <c r="G39" s="13">
        <f>G37-G38</f>
        <v>-15084655</v>
      </c>
      <c r="H39" s="17">
        <f>IFERROR(G39/G$10,"")</f>
        <v>-0.0126137134400077</v>
      </c>
      <c r="I39" s="13">
        <f>I37-I38</f>
        <v>5884887</v>
      </c>
      <c r="J39" s="17">
        <f>IFERROR(I39/I$10,"")</f>
        <v>0.0143130638289511</v>
      </c>
    </row>
    <row r="41">
      <c r="B41" s="7" t="inlineStr">
        <is>
          <t>チェック：営業利益</t>
        </is>
      </c>
      <c r="C41" t="b">
        <f>EXACT(C17,4756748)</f>
        <v>1</v>
      </c>
      <c r="E41" t="b">
        <f>EXACT(E17,-4422940)</f>
        <v>1</v>
      </c>
      <c r="G41" t="b">
        <f>EXACT(G17,5859912)</f>
        <v>1</v>
      </c>
      <c r="I41" t="b">
        <f>EXACT(I17,5316980)</f>
        <v>1</v>
      </c>
    </row>
    <row r="42">
      <c r="B42" s="7" t="inlineStr">
        <is>
          <t>チェック：当期純利益</t>
        </is>
      </c>
      <c r="C42" t="b">
        <f>EXACT(C39,9106898)</f>
        <v>1</v>
      </c>
      <c r="E42" t="b">
        <f>EXACT(E39,2928899)</f>
        <v>1</v>
      </c>
      <c r="G42" t="b">
        <f>EXACT(G39,-15084655)</f>
        <v>1</v>
      </c>
      <c r="I42" t="b">
        <f>EXACT(I39,5884887)</f>
        <v>1</v>
      </c>
    </row>
    <row r="44">
      <c r="B44" s="18" t="inlineStr">
        <is>
          <t>※決算書では売上高は「商品売上高」1本で表示。試算表では資材売上・センター費・委託手数料収入を区分しており、決算上の内訳は要確認。</t>
        </is>
      </c>
    </row>
    <row r="45">
      <c r="B45" s="18" t="inlineStr">
        <is>
          <t>※受託販売は2019年10月以降、受託手数料のみの純額表示（個別注記表）。買付販売（総額）と受託販売（純額）が混在するため、粗利率の期間比較には留意。</t>
        </is>
      </c>
    </row>
    <row r="46">
      <c r="B46" s="18" t="inlineStr">
        <is>
          <t>※2026/3期の前期損益修正損20,900千円は「過年度保険解約訂正額」（事業保険積立金の取崩し）。非経常損失。</t>
        </is>
      </c>
    </row>
    <row r="47">
      <c r="B47" s="18" t="inlineStr">
        <is>
          <t>※進行期（2026年7月試算表）は4か月累計。繁忙期（7〜8月）を含むため年換算しない。</t>
        </is>
      </c>
    </row>
  </sheetData>
  <pageMargins left="0.75" right="0.75" top="1" bottom="1" header="0.5" footer="0.5"/>
</worksheet>
</file>

<file path=xl/worksheets/sheet7.xml><?xml version="1.0" encoding="utf-8"?>
<worksheet xmlns="http://schemas.openxmlformats.org/spreadsheetml/2006/main">
  <sheetPr>
    <tabColor rgb="000B3041"/>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7"/>
  <sheetViews>
    <sheetView showGridLines="0" workbookViewId="0">
      <selection activeCell="A1" sqref="A1"/>
    </sheetView>
  </sheetViews>
  <sheetFormatPr baseColWidth="8" defaultRowHeight="15"/>
  <cols>
    <col width="2" customWidth="1" min="1" max="1"/>
    <col width="46" customWidth="1" min="2" max="2"/>
    <col width="15" customWidth="1" min="3" max="3"/>
    <col width="15" customWidth="1" min="4" max="4"/>
    <col width="15" customWidth="1" min="5" max="5"/>
    <col width="64" customWidth="1" min="6" max="6"/>
  </cols>
  <sheetData>
    <row r="1">
      <c r="A1" s="1" t="inlineStr">
        <is>
          <t>修正PL（正常収益力の算定）</t>
        </is>
      </c>
    </row>
    <row r="2">
      <c r="A2" s="5" t="inlineStr">
        <is>
          <t>単位：千円（入力は円）。営業利益ベースで調整。概要書の調整後EBITDAも本シートを参照する</t>
        </is>
      </c>
    </row>
    <row r="4" ht="30" customHeight="1">
      <c r="A4" s="6" t="inlineStr"/>
      <c r="B4" s="6" t="inlineStr">
        <is>
          <t>項目</t>
        </is>
      </c>
      <c r="C4" s="6" t="inlineStr">
        <is>
          <t>2024年3月期
(第51期)</t>
        </is>
      </c>
      <c r="D4" s="6" t="inlineStr">
        <is>
          <t>2025年3月期
(第52期)</t>
        </is>
      </c>
      <c r="E4" s="6" t="inlineStr">
        <is>
          <t>2026年3月期
(第53期)</t>
        </is>
      </c>
      <c r="F4" s="6" t="inlineStr">
        <is>
          <t>調整事由</t>
        </is>
      </c>
    </row>
    <row r="5">
      <c r="B5" s="7" t="inlineStr">
        <is>
          <t>営業利益（帳簿）</t>
        </is>
      </c>
      <c r="C5" s="19">
        <f>PL!C17</f>
        <v>4756748</v>
      </c>
      <c r="D5" s="19">
        <f>PL!E17</f>
        <v>-4422940</v>
      </c>
      <c r="E5" s="19">
        <f>PL!G17</f>
        <v>5859912</v>
      </c>
      <c r="F5" s="20" t="inlineStr"/>
    </row>
    <row r="6">
      <c r="B6" s="8" t="inlineStr">
        <is>
          <t>（前提）社会保険料率</t>
        </is>
      </c>
      <c r="C6" s="21" t="n">
        <v>0.15</v>
      </c>
    </row>
    <row r="7">
      <c r="B7" s="8" t="inlineStr">
        <is>
          <t>（前提）代表者及びその家族分の役員報酬（実績）</t>
        </is>
      </c>
      <c r="C7" s="9" t="n">
        <v>10680000</v>
      </c>
      <c r="D7" s="9" t="n">
        <v>10680000</v>
      </c>
      <c r="E7" s="9" t="n">
        <v>4440000</v>
      </c>
      <c r="F7" s="20" t="inlineStr">
        <is>
          <t>勘定科目内訳書「人件費の内訳」（代表取締役・取締役〔配偶者〕）</t>
        </is>
      </c>
    </row>
    <row r="8">
      <c r="B8" s="8" t="inlineStr">
        <is>
          <t>（前提）新体制の役員報酬（仮定）</t>
        </is>
      </c>
      <c r="C8" s="9" t="n">
        <v>8000000</v>
      </c>
      <c r="D8" s="9" t="n">
        <v>8000000</v>
      </c>
      <c r="E8" s="9" t="n">
        <v>8000000</v>
      </c>
      <c r="F8" s="20" t="inlineStr">
        <is>
          <t>（仮定）買手からの派遣役員等を年8,000千円と想定</t>
        </is>
      </c>
    </row>
    <row r="9">
      <c r="B9" s="14" t="inlineStr">
        <is>
          <t>①役員報酬の正常化（社保込）</t>
        </is>
      </c>
      <c r="C9" s="9">
        <f>(C7-C8)*(1+$C$6)</f>
        <v>3082000</v>
      </c>
      <c r="D9" s="9">
        <f>(D7-D8)*(1+$C$6)</f>
        <v>3082000</v>
      </c>
      <c r="E9" s="9">
        <f>(E7-E8)*(1+$C$6)</f>
        <v>-4094000</v>
      </c>
      <c r="F9" s="20" t="inlineStr">
        <is>
          <t>退任予定と想定する代表者・配偶者の報酬を控除し、新体制の報酬に置換。社会保険料も概算15%で連動。常務取締役（2026/5退任）の後任要否は要確認のため対象外</t>
        </is>
      </c>
    </row>
    <row r="10">
      <c r="B10" s="14" t="inlineStr">
        <is>
          <t>②賞与の正常化（社保込）</t>
        </is>
      </c>
      <c r="C10" s="9">
        <f>0</f>
        <v>0</v>
      </c>
      <c r="D10" s="9">
        <f>0</f>
        <v>0</v>
      </c>
      <c r="E10" s="9">
        <f>-AVERAGE(SGA!C7,SGA!E7)*(1+$C$6)</f>
        <v>-6724423.75</v>
      </c>
      <c r="F10" s="20" t="inlineStr">
        <is>
          <t>2026/3期は賞与計上なし。前2期平均相当を費用計上（仮説：支給再開を前提。不支給の経緯は要確認）</t>
        </is>
      </c>
    </row>
    <row r="11">
      <c r="B11" s="14" t="inlineStr">
        <is>
          <t>③寄付金の加算</t>
        </is>
      </c>
      <c r="C11" s="9">
        <f>SGA!C26</f>
        <v>13000</v>
      </c>
      <c r="D11" s="9">
        <f>SGA!E26</f>
        <v>71000</v>
      </c>
      <c r="E11" s="9">
        <f>SGA!G26</f>
        <v>11000</v>
      </c>
      <c r="F11" s="20" t="inlineStr">
        <is>
          <t>譲渡後に発生しない費用として加算</t>
        </is>
      </c>
    </row>
    <row r="12">
      <c r="B12" s="14" t="inlineStr">
        <is>
          <t>④受取奨励金（純額）の加算</t>
        </is>
      </c>
      <c r="C12" s="9">
        <f>PL!C20-PL!C26</f>
        <v>2178508</v>
      </c>
      <c r="D12" s="9">
        <f>PL!E20-PL!E26</f>
        <v>2314707</v>
      </c>
      <c r="E12" s="9">
        <f>PL!G20-PL!G26</f>
        <v>2418448</v>
      </c>
      <c r="F12" s="20" t="inlineStr">
        <is>
          <t>営業外に計上されているが、仕入完納等に伴い毎期経常的に発生する事業関連収益（受取奨励金−出荷奨励金）</t>
        </is>
      </c>
    </row>
    <row r="13">
      <c r="B13" s="7" t="inlineStr">
        <is>
          <t>修正額 計</t>
        </is>
      </c>
      <c r="C13" s="19">
        <f>SUM(C9:C12)</f>
        <v>5273508</v>
      </c>
      <c r="D13" s="19">
        <f>SUM(D9:D12)</f>
        <v>5467707</v>
      </c>
      <c r="E13" s="19">
        <f>SUM(E9:E12)</f>
        <v>-8388975.75</v>
      </c>
      <c r="F13" s="20" t="inlineStr"/>
    </row>
    <row r="14">
      <c r="B14" s="12" t="inlineStr">
        <is>
          <t>修正後営業利益</t>
        </is>
      </c>
      <c r="C14" s="13">
        <f>C5+C13</f>
        <v>10030256</v>
      </c>
      <c r="D14" s="13">
        <f>D5+D13</f>
        <v>1044767</v>
      </c>
      <c r="E14" s="13">
        <f>E5+E13</f>
        <v>-2529063.75</v>
      </c>
      <c r="F14" s="20" t="inlineStr"/>
    </row>
    <row r="15">
      <c r="B15" s="8" t="inlineStr">
        <is>
          <t>（前提）実効税率</t>
        </is>
      </c>
      <c r="C15" s="21" t="n">
        <v>0.34</v>
      </c>
    </row>
    <row r="16">
      <c r="B16" s="14" t="inlineStr">
        <is>
          <t>税考慮額</t>
        </is>
      </c>
      <c r="C16" s="9">
        <f>-C14*$C$15</f>
        <v>-3410287.04</v>
      </c>
      <c r="D16" s="9">
        <f>-D14*$C$15</f>
        <v>-355220.78</v>
      </c>
      <c r="E16" s="9">
        <f>-E14*$C$15</f>
        <v>859881.675</v>
      </c>
      <c r="F16" s="20" t="inlineStr"/>
    </row>
    <row r="17">
      <c r="B17" s="12" t="inlineStr">
        <is>
          <t>修正後税考慮後営業利益</t>
        </is>
      </c>
      <c r="C17" s="13">
        <f>C14+C16</f>
        <v>6619968.96</v>
      </c>
      <c r="D17" s="13">
        <f>D14+D16</f>
        <v>689546.22</v>
      </c>
      <c r="E17" s="13">
        <f>E14+E16</f>
        <v>-1669182.075</v>
      </c>
      <c r="F17" s="20" t="inlineStr"/>
    </row>
    <row r="18">
      <c r="B18" s="14" t="inlineStr">
        <is>
          <t>減価償却費</t>
        </is>
      </c>
      <c r="C18" s="9">
        <f>SGA!C31</f>
        <v>13663684</v>
      </c>
      <c r="D18" s="9">
        <f>SGA!E31</f>
        <v>12557564</v>
      </c>
      <c r="E18" s="9">
        <f>SGA!G31</f>
        <v>8878970</v>
      </c>
      <c r="F18" s="20" t="inlineStr"/>
    </row>
    <row r="19">
      <c r="B19" s="12" t="inlineStr">
        <is>
          <t>修正後EBITDA</t>
        </is>
      </c>
      <c r="C19" s="13">
        <f>C14+C18</f>
        <v>23693940</v>
      </c>
      <c r="D19" s="13">
        <f>D14+D18</f>
        <v>13602331</v>
      </c>
      <c r="E19" s="13">
        <f>E14+E18</f>
        <v>6349906.25</v>
      </c>
      <c r="F19" s="20" t="inlineStr"/>
    </row>
    <row r="20">
      <c r="B20" s="8" t="inlineStr">
        <is>
          <t>加重（前々期：前期：直近期）</t>
        </is>
      </c>
      <c r="C20" s="21" t="n">
        <v>0.2</v>
      </c>
      <c r="D20" s="21" t="n">
        <v>0.3</v>
      </c>
      <c r="E20" s="21" t="n">
        <v>0.5</v>
      </c>
    </row>
    <row r="21">
      <c r="B21" s="10" t="inlineStr">
        <is>
          <t>基準営業利益（税考慮後・加重平均）</t>
        </is>
      </c>
      <c r="E21" s="11">
        <f>SUMPRODUCT(C17:E17,C20:E20)</f>
        <v>696266.620500001</v>
      </c>
    </row>
    <row r="22">
      <c r="B22" s="10" t="inlineStr">
        <is>
          <t>基準EBITDA（加重平均）</t>
        </is>
      </c>
      <c r="E22" s="11">
        <f>SUMPRODUCT(C19:E19,C20:E20)</f>
        <v>11994440.425</v>
      </c>
    </row>
    <row r="24">
      <c r="B24" s="18" t="inlineStr">
        <is>
          <t>※支払利息は営業外費用のため営業利益ベースの正常収益力には含まれない（債権者への分配前の収益として算定）。</t>
        </is>
      </c>
    </row>
    <row r="25">
      <c r="B25" s="18" t="inlineStr">
        <is>
          <t>※前期損益修正損（保険解約訂正）・固定資産売却損益・貸倒引当金繰入/戻入は特別損益のため対象外（非経常）。</t>
        </is>
      </c>
    </row>
    <row r="26">
      <c r="B26" s="18" t="inlineStr">
        <is>
          <t>※雑収入（ゴミ処理料・冷蔵庫保管料等の経常部分を含む）は内容の区分資料がないため加算していない（要確認。加算余地あり）。</t>
        </is>
      </c>
    </row>
    <row r="27">
      <c r="B27" s="18" t="inlineStr">
        <is>
          <t>※支払保険料・接待交際費にオーナー個人に帰属する費用が含まれるかは未確認（要確認）。</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6"/>
  <sheetViews>
    <sheetView showGridLines="0" workbookViewId="0">
      <selection activeCell="A1" sqref="A1"/>
    </sheetView>
  </sheetViews>
  <sheetFormatPr baseColWidth="8" defaultRowHeight="15"/>
  <cols>
    <col width="2" customWidth="1" min="1" max="1"/>
    <col width="30" customWidth="1" min="2" max="2"/>
    <col width="15" customWidth="1" min="3" max="3"/>
    <col width="15" customWidth="1" min="4" max="4"/>
    <col width="15" customWidth="1" min="5" max="5"/>
    <col width="70" customWidth="1" min="6" max="6"/>
  </cols>
  <sheetData>
    <row r="1">
      <c r="A1" s="1" t="inlineStr">
        <is>
          <t>修正BS（時価純資産の算定）</t>
        </is>
      </c>
    </row>
    <row r="2">
      <c r="A2" s="5" t="inlineStr">
        <is>
          <t>評価基準日：2026年3月31日（2026/3期末貸借対照表）。単位：千円（入力は円）</t>
        </is>
      </c>
    </row>
    <row r="4" ht="30" customHeight="1">
      <c r="A4" s="6" t="inlineStr"/>
      <c r="B4" s="6" t="inlineStr">
        <is>
          <t>科目</t>
        </is>
      </c>
      <c r="C4" s="6" t="inlineStr">
        <is>
          <t>帳簿価額</t>
        </is>
      </c>
      <c r="D4" s="6" t="inlineStr">
        <is>
          <t>修正額</t>
        </is>
      </c>
      <c r="E4" s="6" t="inlineStr">
        <is>
          <t>修正後</t>
        </is>
      </c>
      <c r="F4" s="6" t="inlineStr">
        <is>
          <t>修正事由／評価方法</t>
        </is>
      </c>
    </row>
    <row r="5">
      <c r="B5" s="8" t="inlineStr">
        <is>
          <t>現金及び預金</t>
        </is>
      </c>
      <c r="C5" s="9">
        <f>'BS(借方)'!E6</f>
        <v>210887077</v>
      </c>
      <c r="D5" s="9" t="n">
        <v>0</v>
      </c>
      <c r="E5" s="9">
        <f>C5+D5</f>
        <v>210887077</v>
      </c>
      <c r="F5" s="20" t="inlineStr">
        <is>
          <t>残高証明書との照合は未了（簿価評価）</t>
        </is>
      </c>
    </row>
    <row r="6">
      <c r="B6" s="8" t="inlineStr">
        <is>
          <t>売掛金</t>
        </is>
      </c>
      <c r="C6" s="9">
        <f>'BS(借方)'!E7</f>
        <v>19608899</v>
      </c>
      <c r="D6" s="9" t="n">
        <v>0</v>
      </c>
      <c r="E6" s="9">
        <f>C6+D6</f>
        <v>19608899</v>
      </c>
      <c r="F6" s="20" t="inlineStr">
        <is>
          <t>年齢表未受領のため簿価評価（長期滞留の有無は要確認）</t>
        </is>
      </c>
    </row>
    <row r="7">
      <c r="B7" s="8" t="inlineStr">
        <is>
          <t>資材肥料売掛金</t>
        </is>
      </c>
      <c r="C7" s="9">
        <f>'BS(借方)'!E8</f>
        <v>1227419</v>
      </c>
      <c r="D7" s="9" t="n">
        <v>0</v>
      </c>
      <c r="E7" s="9">
        <f>C7+D7</f>
        <v>1227419</v>
      </c>
      <c r="F7" s="20" t="inlineStr">
        <is>
          <t>同上</t>
        </is>
      </c>
    </row>
    <row r="8">
      <c r="B8" s="8" t="inlineStr">
        <is>
          <t>棚卸資産</t>
        </is>
      </c>
      <c r="C8" s="9">
        <f>'BS(借方)'!E9</f>
        <v>14596695</v>
      </c>
      <c r="D8" s="9" t="n">
        <v>0</v>
      </c>
      <c r="E8" s="9">
        <f>C8+D8</f>
        <v>14596695</v>
      </c>
      <c r="F8" s="20" t="inlineStr">
        <is>
          <t>青果物は短期回転。資材（パック・容器）の滞留有無は要確認（簿価評価）</t>
        </is>
      </c>
    </row>
    <row r="9">
      <c r="B9" s="8" t="inlineStr">
        <is>
          <t>立替金</t>
        </is>
      </c>
      <c r="C9" s="9">
        <f>'BS(借方)'!E10</f>
        <v>0</v>
      </c>
      <c r="D9" s="9" t="n">
        <v>0</v>
      </c>
      <c r="E9" s="9">
        <f>C9+D9</f>
        <v>0</v>
      </c>
      <c r="F9" s="20" t="inlineStr">
        <is>
          <t>簿価評価</t>
        </is>
      </c>
    </row>
    <row r="10">
      <c r="B10" s="8" t="inlineStr">
        <is>
          <t>未収入金</t>
        </is>
      </c>
      <c r="C10" s="9">
        <f>'BS(借方)'!E11</f>
        <v>3011112</v>
      </c>
      <c r="D10" s="9" t="n">
        <v>0</v>
      </c>
      <c r="E10" s="9">
        <f>C10+D10</f>
        <v>3011112</v>
      </c>
      <c r="F10" s="20" t="inlineStr">
        <is>
          <t>センター費・完納奨励金等。簿価評価</t>
        </is>
      </c>
    </row>
    <row r="11">
      <c r="B11" s="8" t="inlineStr">
        <is>
          <t>前払費用</t>
        </is>
      </c>
      <c r="C11" s="9">
        <f>'BS(借方)'!E12</f>
        <v>83575</v>
      </c>
      <c r="D11" s="9" t="n">
        <v>0</v>
      </c>
      <c r="E11" s="9">
        <f>C11+D11</f>
        <v>83575</v>
      </c>
      <c r="F11" s="20" t="inlineStr">
        <is>
          <t>簿価評価</t>
        </is>
      </c>
    </row>
    <row r="12">
      <c r="B12" s="8" t="inlineStr">
        <is>
          <t>仮払金</t>
        </is>
      </c>
      <c r="C12" s="9">
        <f>'BS(借方)'!E13</f>
        <v>493135</v>
      </c>
      <c r="D12" s="9" t="n">
        <v>0</v>
      </c>
      <c r="E12" s="9">
        <f>C12+D12</f>
        <v>493135</v>
      </c>
      <c r="F12" s="20" t="inlineStr">
        <is>
          <t>簿価評価</t>
        </is>
      </c>
    </row>
    <row r="13">
      <c r="B13" s="8" t="inlineStr">
        <is>
          <t>仮払税金等</t>
        </is>
      </c>
      <c r="C13" s="9">
        <f>'BS(借方)'!E14</f>
        <v>0</v>
      </c>
      <c r="D13" s="9" t="n">
        <v>0</v>
      </c>
      <c r="E13" s="9">
        <f>C13+D13</f>
        <v>0</v>
      </c>
      <c r="F13" s="20" t="inlineStr">
        <is>
          <t>簿価評価</t>
        </is>
      </c>
    </row>
    <row r="14">
      <c r="B14" s="8" t="inlineStr">
        <is>
          <t>貸倒引当金</t>
        </is>
      </c>
      <c r="C14" s="9">
        <f>'BS(借方)'!E15</f>
        <v>-203000</v>
      </c>
      <c r="D14" s="9">
        <f>-C14</f>
        <v>203000</v>
      </c>
      <c r="E14" s="9">
        <f>C14+D14</f>
        <v>0</v>
      </c>
      <c r="F14" s="20" t="inlineStr">
        <is>
          <t>個別に回収可能性を判断するため全額戻入（貸倒実績は要確認）</t>
        </is>
      </c>
    </row>
    <row r="15">
      <c r="B15" s="8" t="inlineStr">
        <is>
          <t>建物</t>
        </is>
      </c>
      <c r="C15" s="9">
        <f>'BS(借方)'!E18</f>
        <v>92065694</v>
      </c>
      <c r="D15" s="9" t="n">
        <v>0</v>
      </c>
      <c r="E15" s="9">
        <f>C15+D15</f>
        <v>92065694</v>
      </c>
      <c r="F15" s="20" t="inlineStr">
        <is>
          <t>固定資産台帳未受領のため簿価評価（定額法で償却不足なし：別表十六）。固定資産税評価額は47,062千円</t>
        </is>
      </c>
    </row>
    <row r="16">
      <c r="B16" s="8" t="inlineStr">
        <is>
          <t>建物付属設備</t>
        </is>
      </c>
      <c r="C16" s="9">
        <f>'BS(借方)'!E19</f>
        <v>11399836</v>
      </c>
      <c r="D16" s="9" t="n">
        <v>0</v>
      </c>
      <c r="E16" s="9">
        <f>C16+D16</f>
        <v>11399836</v>
      </c>
      <c r="F16" s="20" t="inlineStr">
        <is>
          <t>簿価評価</t>
        </is>
      </c>
    </row>
    <row r="17">
      <c r="B17" s="8" t="inlineStr">
        <is>
          <t>構築物</t>
        </is>
      </c>
      <c r="C17" s="9">
        <f>'BS(借方)'!E20</f>
        <v>284395</v>
      </c>
      <c r="D17" s="9" t="n">
        <v>0</v>
      </c>
      <c r="E17" s="9">
        <f>C17+D17</f>
        <v>284395</v>
      </c>
      <c r="F17" s="20" t="inlineStr">
        <is>
          <t>簿価評価</t>
        </is>
      </c>
    </row>
    <row r="18">
      <c r="B18" s="8" t="inlineStr">
        <is>
          <t>機械装置</t>
        </is>
      </c>
      <c r="C18" s="9">
        <f>'BS(借方)'!E21</f>
        <v>2</v>
      </c>
      <c r="D18" s="9" t="n">
        <v>0</v>
      </c>
      <c r="E18" s="9">
        <f>C18+D18</f>
        <v>2</v>
      </c>
      <c r="F18" s="20" t="inlineStr">
        <is>
          <t>簿価評価</t>
        </is>
      </c>
    </row>
    <row r="19">
      <c r="B19" s="8" t="inlineStr">
        <is>
          <t>車両運搬具</t>
        </is>
      </c>
      <c r="C19" s="9">
        <f>'BS(借方)'!E22</f>
        <v>15</v>
      </c>
      <c r="D19" s="9" t="n">
        <v>0</v>
      </c>
      <c r="E19" s="9">
        <f>C19+D19</f>
        <v>15</v>
      </c>
      <c r="F19" s="20" t="inlineStr">
        <is>
          <t>簿価評価</t>
        </is>
      </c>
    </row>
    <row r="20">
      <c r="B20" s="8" t="inlineStr">
        <is>
          <t>工具器具備品</t>
        </is>
      </c>
      <c r="C20" s="9">
        <f>'BS(借方)'!E23</f>
        <v>18546</v>
      </c>
      <c r="D20" s="9" t="n">
        <v>0</v>
      </c>
      <c r="E20" s="9">
        <f>C20+D20</f>
        <v>18546</v>
      </c>
      <c r="F20" s="20" t="inlineStr">
        <is>
          <t>簿価評価</t>
        </is>
      </c>
    </row>
    <row r="21">
      <c r="B21" s="8" t="inlineStr">
        <is>
          <t>土地</t>
        </is>
      </c>
      <c r="C21" s="9">
        <f>'BS(借方)'!E24</f>
        <v>93137240</v>
      </c>
      <c r="D21" s="9">
        <f>47477508/0.7-C21</f>
        <v>-25312228.5714286</v>
      </c>
      <c r="E21" s="9">
        <f>C21+D21</f>
        <v>67825011.4285714</v>
      </c>
      <c r="F21" s="20" t="inlineStr">
        <is>
          <t>固定資産税評価額（R8年度）47,478千円÷0.7で時価を推計（鑑定・路線価で要確認）</t>
        </is>
      </c>
    </row>
    <row r="22">
      <c r="B22" s="8" t="inlineStr">
        <is>
          <t>電話加入権</t>
        </is>
      </c>
      <c r="C22" s="9">
        <f>'BS(借方)'!E28</f>
        <v>2155595</v>
      </c>
      <c r="D22" s="9">
        <f>-C22</f>
        <v>-2155595</v>
      </c>
      <c r="E22" s="9">
        <f>C22+D22</f>
        <v>0</v>
      </c>
      <c r="F22" s="20" t="inlineStr">
        <is>
          <t>換金価値なしとしてゼロ評価</t>
        </is>
      </c>
    </row>
    <row r="23">
      <c r="B23" s="8" t="inlineStr">
        <is>
          <t>ソフトウェア</t>
        </is>
      </c>
      <c r="C23" s="9">
        <f>'BS(借方)'!E29</f>
        <v>371800</v>
      </c>
      <c r="D23" s="9" t="n">
        <v>0</v>
      </c>
      <c r="E23" s="9">
        <f>C23+D23</f>
        <v>371800</v>
      </c>
      <c r="F23" s="20" t="inlineStr">
        <is>
          <t>簿価評価</t>
        </is>
      </c>
    </row>
    <row r="24">
      <c r="B24" s="8" t="inlineStr">
        <is>
          <t>投資有価証券</t>
        </is>
      </c>
      <c r="C24" s="9">
        <f>'BS(借方)'!E32</f>
        <v>2600000</v>
      </c>
      <c r="D24" s="9" t="n">
        <v>7242000</v>
      </c>
      <c r="E24" s="9">
        <f>C24+D24</f>
        <v>9842000</v>
      </c>
      <c r="F24" s="20" t="inlineStr">
        <is>
          <t>フィデアHD株式3,000株を2026/9/18終値2,814円で時価評価（算定日終値で要更新）。(株)庄果株式・鶴岡信金出資は簿価</t>
        </is>
      </c>
    </row>
    <row r="25">
      <c r="B25" s="8" t="inlineStr">
        <is>
          <t>出資金</t>
        </is>
      </c>
      <c r="C25" s="9">
        <f>'BS(借方)'!E33</f>
        <v>75000</v>
      </c>
      <c r="D25" s="9" t="n">
        <v>0</v>
      </c>
      <c r="E25" s="9">
        <f>C25+D25</f>
        <v>75000</v>
      </c>
      <c r="F25" s="20" t="inlineStr">
        <is>
          <t>簿価評価</t>
        </is>
      </c>
    </row>
    <row r="26">
      <c r="B26" s="8" t="inlineStr">
        <is>
          <t>長期前払費用</t>
        </is>
      </c>
      <c r="C26" s="9">
        <f>'BS(借方)'!E34</f>
        <v>74500</v>
      </c>
      <c r="D26" s="9" t="n">
        <v>0</v>
      </c>
      <c r="E26" s="9">
        <f>C26+D26</f>
        <v>74500</v>
      </c>
      <c r="F26" s="20" t="inlineStr">
        <is>
          <t>簿価評価（僅少）</t>
        </is>
      </c>
    </row>
    <row r="27">
      <c r="B27" s="8" t="inlineStr">
        <is>
          <t>保証金</t>
        </is>
      </c>
      <c r="C27" s="9">
        <f>'BS(借方)'!E35</f>
        <v>33302569</v>
      </c>
      <c r="D27" s="9" t="n">
        <v>0</v>
      </c>
      <c r="E27" s="9">
        <f>C27+D27</f>
        <v>33302569</v>
      </c>
      <c r="F27" s="20" t="inlineStr">
        <is>
          <t>庄内青果物卸売精算(有)31,993千円ほか。返還条件未確認のため簿価評価（要確認）</t>
        </is>
      </c>
    </row>
    <row r="28">
      <c r="B28" s="8" t="inlineStr">
        <is>
          <t>事業保険積立金</t>
        </is>
      </c>
      <c r="C28" s="9">
        <f>'BS(借方)'!E36</f>
        <v>0</v>
      </c>
      <c r="D28" s="9" t="n">
        <v>0</v>
      </c>
      <c r="E28" s="9">
        <f>C28+D28</f>
        <v>0</v>
      </c>
      <c r="F28" s="20" t="inlineStr">
        <is>
          <t>2026/3期に全額取崩し済</t>
        </is>
      </c>
    </row>
    <row r="29">
      <c r="B29" s="8" t="inlineStr">
        <is>
          <t>繰延資産</t>
        </is>
      </c>
      <c r="C29" s="9">
        <f>'BS(借方)'!E39</f>
        <v>0</v>
      </c>
      <c r="D29" s="9" t="n">
        <v>0</v>
      </c>
      <c r="E29" s="9">
        <f>C29+D29</f>
        <v>0</v>
      </c>
      <c r="F29" s="20" t="inlineStr"/>
    </row>
    <row r="30">
      <c r="B30" s="10" t="inlineStr">
        <is>
          <t>資産合計</t>
        </is>
      </c>
      <c r="C30" s="11">
        <f>SUM(C5:C29)</f>
        <v>485190104</v>
      </c>
      <c r="D30" s="11">
        <f>SUM(D5:D29)</f>
        <v>-20022823.5714286</v>
      </c>
      <c r="E30" s="11">
        <f>SUM(E5:E29)</f>
        <v>465167280.428571</v>
      </c>
    </row>
    <row r="31">
      <c r="B31" s="8" t="inlineStr">
        <is>
          <t>買掛金</t>
        </is>
      </c>
      <c r="C31" s="9">
        <f>'BS (貸方)'!E6</f>
        <v>26349122</v>
      </c>
      <c r="D31" s="9" t="n">
        <v>0</v>
      </c>
      <c r="E31" s="9">
        <f>C31+D31</f>
        <v>26349122</v>
      </c>
      <c r="F31" s="20" t="inlineStr">
        <is>
          <t>簿価評価</t>
        </is>
      </c>
    </row>
    <row r="32">
      <c r="B32" s="8" t="inlineStr">
        <is>
          <t>未払金</t>
        </is>
      </c>
      <c r="C32" s="9">
        <f>'BS (貸方)'!E7</f>
        <v>6630301</v>
      </c>
      <c r="D32" s="9" t="n">
        <v>0</v>
      </c>
      <c r="E32" s="9">
        <f>C32+D32</f>
        <v>6630301</v>
      </c>
      <c r="F32" s="20" t="inlineStr">
        <is>
          <t>3/16〜3/31の未払給与2,837千円は計上済のため追加計上なし</t>
        </is>
      </c>
    </row>
    <row r="33">
      <c r="B33" s="8" t="inlineStr">
        <is>
          <t>仮受金</t>
        </is>
      </c>
      <c r="C33" s="9">
        <f>'BS (貸方)'!E8</f>
        <v>0</v>
      </c>
      <c r="D33" s="9" t="n">
        <v>0</v>
      </c>
      <c r="E33" s="9">
        <f>C33+D33</f>
        <v>0</v>
      </c>
      <c r="F33" s="20" t="inlineStr">
        <is>
          <t>簿価評価</t>
        </is>
      </c>
    </row>
    <row r="34">
      <c r="B34" s="8" t="inlineStr">
        <is>
          <t>預り金</t>
        </is>
      </c>
      <c r="C34" s="9">
        <f>'BS (貸方)'!E9</f>
        <v>281300</v>
      </c>
      <c r="D34" s="9" t="n">
        <v>0</v>
      </c>
      <c r="E34" s="9">
        <f>C34+D34</f>
        <v>281300</v>
      </c>
      <c r="F34" s="20" t="inlineStr">
        <is>
          <t>簿価評価</t>
        </is>
      </c>
    </row>
    <row r="35">
      <c r="B35" s="8" t="inlineStr">
        <is>
          <t>未払法人税等</t>
        </is>
      </c>
      <c r="C35" s="9">
        <f>'BS (貸方)'!E10</f>
        <v>1851300</v>
      </c>
      <c r="D35" s="9" t="n">
        <v>0</v>
      </c>
      <c r="E35" s="9">
        <f>C35+D35</f>
        <v>1851300</v>
      </c>
      <c r="F35" s="20" t="inlineStr">
        <is>
          <t>簿価評価</t>
        </is>
      </c>
    </row>
    <row r="36">
      <c r="B36" s="8" t="inlineStr">
        <is>
          <t>未払消費税</t>
        </is>
      </c>
      <c r="C36" s="9">
        <f>'BS (貸方)'!E11</f>
        <v>2167500</v>
      </c>
      <c r="D36" s="9" t="n">
        <v>0</v>
      </c>
      <c r="E36" s="9">
        <f>C36+D36</f>
        <v>2167500</v>
      </c>
      <c r="F36" s="20" t="inlineStr">
        <is>
          <t>簿価評価</t>
        </is>
      </c>
    </row>
    <row r="37">
      <c r="B37" s="8" t="inlineStr">
        <is>
          <t>長期借入金</t>
        </is>
      </c>
      <c r="C37" s="9">
        <f>'BS (貸方)'!E14</f>
        <v>361058000</v>
      </c>
      <c r="D37" s="9" t="n">
        <v>0</v>
      </c>
      <c r="E37" s="9">
        <f>C37+D37</f>
        <v>361058000</v>
      </c>
      <c r="F37" s="20" t="inlineStr">
        <is>
          <t>1年内返済額の区分なし。額面で評価</t>
        </is>
      </c>
    </row>
    <row r="38">
      <c r="B38" s="8" t="inlineStr">
        <is>
          <t>預り保証金</t>
        </is>
      </c>
      <c r="C38" s="9">
        <f>'BS (貸方)'!E15</f>
        <v>8980000</v>
      </c>
      <c r="D38" s="9" t="n">
        <v>0</v>
      </c>
      <c r="E38" s="9">
        <f>C38+D38</f>
        <v>8980000</v>
      </c>
      <c r="F38" s="20" t="inlineStr">
        <is>
          <t>仲卸業者・買参人等からの預りと推察。返還義務ありとして額面評価</t>
        </is>
      </c>
    </row>
    <row r="39">
      <c r="B39" s="8" t="inlineStr">
        <is>
          <t>賞与引当金</t>
        </is>
      </c>
      <c r="C39" s="9" t="n">
        <v>0</v>
      </c>
      <c r="D39" s="9" t="n">
        <v>0</v>
      </c>
      <c r="E39" s="9">
        <f>C39+D39</f>
        <v>0</v>
      </c>
      <c r="F39" s="20" t="inlineStr">
        <is>
          <t>2026/3期は賞与支給なし・規程未受領のため計上せず（要確認）</t>
        </is>
      </c>
    </row>
    <row r="40">
      <c r="B40" s="8" t="inlineStr">
        <is>
          <t>退職給付引当金</t>
        </is>
      </c>
      <c r="C40" s="9" t="n">
        <v>0</v>
      </c>
      <c r="D40" s="9" t="n">
        <v>0</v>
      </c>
      <c r="E40" s="9">
        <f>C40+D40</f>
        <v>0</v>
      </c>
      <c r="F40" s="20" t="inlineStr">
        <is>
          <t>中小企業退職金共済に加入（掛金3,026千円/年）。外部積立で充足と推定し計上せず（退職金規程で要確認）</t>
        </is>
      </c>
    </row>
    <row r="41">
      <c r="B41" s="8" t="inlineStr">
        <is>
          <t>繰延税金負債（税効果）</t>
        </is>
      </c>
      <c r="C41" s="9" t="n">
        <v>0</v>
      </c>
      <c r="D41" s="9">
        <f>(D14+D24)*0.34</f>
        <v>2531300</v>
      </c>
      <c r="E41" s="9">
        <f>C41+D41</f>
        <v>2531300</v>
      </c>
      <c r="F41" s="20" t="inlineStr">
        <is>
          <t>貸倒引当金戻入・有価証券評価益に実効税率34%で税効果を認識。土地評価損・電話加入権は売却予定がなく実現可能性が低いため認識しない</t>
        </is>
      </c>
    </row>
    <row r="42">
      <c r="B42" s="10" t="inlineStr">
        <is>
          <t>負債合計</t>
        </is>
      </c>
      <c r="C42" s="11">
        <f>SUM(C31:C41)</f>
        <v>407317523</v>
      </c>
      <c r="D42" s="11">
        <f>SUM(D31:D41)</f>
        <v>2531300</v>
      </c>
      <c r="E42" s="11">
        <f>SUM(E31:E41)</f>
        <v>409848823</v>
      </c>
    </row>
    <row r="43">
      <c r="B43" s="12" t="inlineStr">
        <is>
          <t>純資産（時価純資産）</t>
        </is>
      </c>
      <c r="C43" s="13">
        <f>C30-C42</f>
        <v>77872581</v>
      </c>
      <c r="D43" s="13">
        <f>D30-D42</f>
        <v>-22554123.5714286</v>
      </c>
      <c r="E43" s="13">
        <f>E30-E42</f>
        <v>55318457.4285715</v>
      </c>
    </row>
    <row r="44">
      <c r="B44" s="7" t="inlineStr">
        <is>
          <t>チェック：帳簿純資産と一致</t>
        </is>
      </c>
      <c r="C44" t="b">
        <f>EXACT(C43,'BS (貸方)'!E22)</f>
        <v>1</v>
      </c>
    </row>
    <row r="46">
      <c r="B46" s="22" t="inlineStr">
        <is>
          <t>※評価できなかった科目（売掛金・棚卸資産・建物・保証金・退職給付等）は簿価評価とし、上記事由に記載。DDで追加調整の余地がある。</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2" customWidth="1" min="1" max="1"/>
    <col width="36" customWidth="1" min="2" max="2"/>
    <col width="15" customWidth="1" min="3" max="3"/>
    <col width="60" customWidth="1" min="4" max="4"/>
  </cols>
  <sheetData>
    <row r="1">
      <c r="A1" s="1" t="inlineStr">
        <is>
          <t>ネットキャッシュ</t>
        </is>
      </c>
    </row>
    <row r="2">
      <c r="A2" s="5" t="inlineStr">
        <is>
          <t>評価基準日：2026年3月31日（修正後BS）。単位：千円（入力は円）</t>
        </is>
      </c>
    </row>
    <row r="4" ht="30" customHeight="1">
      <c r="A4" s="6" t="inlineStr"/>
      <c r="B4" s="6" t="inlineStr">
        <is>
          <t>項目</t>
        </is>
      </c>
      <c r="C4" s="6" t="inlineStr">
        <is>
          <t>金額</t>
        </is>
      </c>
      <c r="D4" s="6" t="inlineStr">
        <is>
          <t>判断根拠</t>
        </is>
      </c>
    </row>
    <row r="5">
      <c r="B5" s="8" t="inlineStr">
        <is>
          <t>現金及び預金</t>
        </is>
      </c>
      <c r="C5" s="9">
        <f>修正BS!E5</f>
        <v>210887077</v>
      </c>
      <c r="D5" s="20" t="inlineStr">
        <is>
          <t>全額をキャッシュライクとする（運転資金は考慮しない）</t>
        </is>
      </c>
    </row>
    <row r="6">
      <c r="B6" s="8" t="inlineStr">
        <is>
          <t>投資有価証券（フィデアHD株式・時価）</t>
        </is>
      </c>
      <c r="C6" s="9" t="n">
        <v>8442000</v>
      </c>
      <c r="D6" s="20" t="inlineStr">
        <is>
          <t>事業運営に供されていない上場株式。(株)庄果株式・信金出資は取引関係上の保有のため除外</t>
        </is>
      </c>
    </row>
    <row r="7">
      <c r="B7" s="10" t="inlineStr">
        <is>
          <t>キャッシュライク 計</t>
        </is>
      </c>
      <c r="C7" s="11">
        <f>C5+C6</f>
        <v>219329077</v>
      </c>
    </row>
    <row r="8">
      <c r="B8" s="8" t="inlineStr">
        <is>
          <t>長期借入金</t>
        </is>
      </c>
      <c r="C8" s="9">
        <f>修正BS!E37</f>
        <v>361058000</v>
      </c>
      <c r="D8" s="20" t="inlineStr">
        <is>
          <t>有利子負債</t>
        </is>
      </c>
    </row>
    <row r="9">
      <c r="B9" s="8" t="inlineStr">
        <is>
          <t>未払法人税等</t>
        </is>
      </c>
      <c r="C9" s="9">
        <f>修正BS!E35</f>
        <v>1851300</v>
      </c>
      <c r="D9" s="20" t="inlineStr"/>
    </row>
    <row r="10">
      <c r="B10" s="10" t="inlineStr">
        <is>
          <t>デットライク 計</t>
        </is>
      </c>
      <c r="C10" s="11">
        <f>C8+C9</f>
        <v>362909300</v>
      </c>
    </row>
    <row r="11">
      <c r="B11" s="12" t="inlineStr">
        <is>
          <t>ネットキャッシュ</t>
        </is>
      </c>
      <c r="C11" s="13">
        <f>C7-C10</f>
        <v>-143580223</v>
      </c>
    </row>
    <row r="13">
      <c r="B13" s="22" t="inlineStr">
        <is>
          <t>※預り保証金8,980千円・保証金33,303千円は事業上の預託・預り金としてネットキャッシュに含めていない（取扱いは要確認）。</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2" customWidth="1" min="1" max="1"/>
    <col width="30" customWidth="1" min="2" max="2"/>
    <col width="15" customWidth="1" min="3" max="3"/>
    <col width="15" customWidth="1" min="4" max="4"/>
    <col width="15" customWidth="1" min="5" max="5"/>
    <col width="50" customWidth="1" min="6" max="6"/>
  </cols>
  <sheetData>
    <row r="1">
      <c r="A1" s="1" t="inlineStr">
        <is>
          <t>年買法（コストアプローチ）</t>
        </is>
      </c>
    </row>
    <row r="2">
      <c r="A2" s="5" t="inlineStr">
        <is>
          <t>想定株式価値＝時価純資産＋営業権（基準営業利益×倍率）。単位：千円（入力は円）</t>
        </is>
      </c>
    </row>
    <row r="4">
      <c r="B4" s="7" t="inlineStr">
        <is>
          <t>時価純資産</t>
        </is>
      </c>
      <c r="C4" s="19">
        <f>修正BS!E43</f>
        <v>55318457.4285715</v>
      </c>
    </row>
    <row r="5">
      <c r="B5" s="7" t="inlineStr">
        <is>
          <t>基準営業利益（税考慮後・加重平均）</t>
        </is>
      </c>
      <c r="C5" s="19">
        <f>修正PL!E21</f>
        <v>696266.620500001</v>
      </c>
    </row>
    <row r="7" ht="30" customHeight="1">
      <c r="A7" s="6" t="inlineStr"/>
      <c r="B7" s="6" t="inlineStr">
        <is>
          <t>営業権倍率</t>
        </is>
      </c>
      <c r="C7" s="6" t="inlineStr">
        <is>
          <t>1倍</t>
        </is>
      </c>
      <c r="D7" s="6" t="inlineStr">
        <is>
          <t>2倍</t>
        </is>
      </c>
      <c r="E7" s="6" t="inlineStr">
        <is>
          <t>3倍</t>
        </is>
      </c>
      <c r="F7" s="6" t="inlineStr"/>
    </row>
    <row r="8">
      <c r="B8" s="14" t="inlineStr">
        <is>
          <t>倍率</t>
        </is>
      </c>
      <c r="C8" s="23" t="n">
        <v>1</v>
      </c>
      <c r="D8" s="23" t="n">
        <v>2</v>
      </c>
      <c r="E8" s="23" t="n">
        <v>3</v>
      </c>
    </row>
    <row r="9">
      <c r="B9" s="14" t="inlineStr">
        <is>
          <t>時価純資産</t>
        </is>
      </c>
      <c r="C9" s="9">
        <f>$C$4</f>
        <v>55318457.4285715</v>
      </c>
      <c r="D9" s="9">
        <f>$C$4</f>
        <v>55318457.4285715</v>
      </c>
      <c r="E9" s="9">
        <f>$C$4</f>
        <v>55318457.4285715</v>
      </c>
    </row>
    <row r="10">
      <c r="B10" s="14" t="inlineStr">
        <is>
          <t>営業権</t>
        </is>
      </c>
      <c r="C10" s="9">
        <f>MAX($C$5,0)*C8</f>
        <v>696266.620500001</v>
      </c>
      <c r="D10" s="9">
        <f>MAX($C$5,0)*D8</f>
        <v>1392533.241</v>
      </c>
      <c r="E10" s="9">
        <f>MAX($C$5,0)*E8</f>
        <v>2088799.8615</v>
      </c>
    </row>
    <row r="11">
      <c r="B11" s="12" t="inlineStr">
        <is>
          <t>想定株式価値</t>
        </is>
      </c>
      <c r="C11" s="13">
        <f>C9+C10</f>
        <v>56014724.0490715</v>
      </c>
      <c r="D11" s="13">
        <f>D9+D10</f>
        <v>56710990.6695715</v>
      </c>
      <c r="E11" s="13">
        <f>E9+E10</f>
        <v>57407257.2900715</v>
      </c>
    </row>
    <row r="13">
      <c r="B13" s="22" t="inlineStr">
        <is>
          <t>※営業権倍率1〜3倍は国内中小企業M&amp;Aのボリュームゾーン。基準営業利益がマイナスの場合は営業権ゼロ。</t>
        </is>
      </c>
    </row>
    <row r="15">
      <c r="B15" s="7" t="inlineStr">
        <is>
          <t>（参考）賞与正常化を行わない場合の基準営業利益</t>
        </is>
      </c>
      <c r="C15" s="19">
        <f>C5-修正PL!E10*(1-0.34)*0.5</f>
        <v>2915326.458</v>
      </c>
    </row>
    <row r="16">
      <c r="B16" s="14" t="inlineStr">
        <is>
          <t>（参考）想定株式価値</t>
        </is>
      </c>
      <c r="C16" s="9">
        <f>$C$4+MAX($C$15,0)*C8</f>
        <v>58233783.8865715</v>
      </c>
      <c r="D16" s="9">
        <f>$C$4+MAX($C$15,0)*D8</f>
        <v>61149110.3445715</v>
      </c>
      <c r="E16" s="9">
        <f>$C$4+MAX($C$15,0)*E8</f>
        <v>64064436.8025715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2" customWidth="1" min="1" max="1"/>
    <col width="30" customWidth="1" min="2" max="2"/>
    <col width="15" customWidth="1" min="3" max="3"/>
    <col width="15" customWidth="1" min="4" max="4"/>
    <col width="15" customWidth="1" min="5" max="5"/>
    <col width="50" customWidth="1" min="6" max="6"/>
  </cols>
  <sheetData>
    <row r="1">
      <c r="A1" s="1" t="inlineStr">
        <is>
          <t>EV/EBITDAマルチプル法（マーケットアプローチ）</t>
        </is>
      </c>
    </row>
    <row r="2">
      <c r="A2" s="5" t="inlineStr">
        <is>
          <t>想定株式価値＝基準EBITDA×倍率×(1−非流動性ディスカウント)＋ネットキャッシュ。単位：千円（入力は円）</t>
        </is>
      </c>
    </row>
    <row r="4">
      <c r="B4" s="7" t="inlineStr">
        <is>
          <t>基準EBITDA（加重平均）</t>
        </is>
      </c>
      <c r="C4" s="19">
        <f>修正PL!E22</f>
        <v>11994440.425</v>
      </c>
    </row>
    <row r="5">
      <c r="B5" s="7" t="inlineStr">
        <is>
          <t>ネットキャッシュ</t>
        </is>
      </c>
      <c r="C5" s="19">
        <f>ネットキャッシュ!C11</f>
        <v>-143580223</v>
      </c>
    </row>
    <row r="6">
      <c r="B6" s="7" t="inlineStr">
        <is>
          <t>非流動性ディスカウント</t>
        </is>
      </c>
      <c r="C6" s="24" t="n">
        <v>0.3</v>
      </c>
    </row>
    <row r="8" ht="30" customHeight="1">
      <c r="A8" s="6" t="inlineStr"/>
      <c r="B8" s="6" t="inlineStr">
        <is>
          <t>マルチプル倍率</t>
        </is>
      </c>
      <c r="C8" s="6" t="inlineStr">
        <is>
          <t>3倍</t>
        </is>
      </c>
      <c r="D8" s="6" t="inlineStr">
        <is>
          <t>4倍</t>
        </is>
      </c>
      <c r="E8" s="6" t="inlineStr">
        <is>
          <t>5倍</t>
        </is>
      </c>
      <c r="F8" s="6" t="inlineStr"/>
    </row>
    <row r="9">
      <c r="B9" s="14" t="inlineStr">
        <is>
          <t>倍率</t>
        </is>
      </c>
      <c r="C9" s="23" t="n">
        <v>3</v>
      </c>
      <c r="D9" s="23" t="n">
        <v>4</v>
      </c>
      <c r="E9" s="23" t="n">
        <v>5</v>
      </c>
    </row>
    <row r="10">
      <c r="B10" s="14" t="inlineStr">
        <is>
          <t>EV（EBITDA×倍率）</t>
        </is>
      </c>
      <c r="C10" s="9">
        <f>$C$4*C9</f>
        <v>35983321.275</v>
      </c>
      <c r="D10" s="9">
        <f>$C$4*D9</f>
        <v>47977761.7</v>
      </c>
      <c r="E10" s="9">
        <f>$C$4*E9</f>
        <v>59972202.125</v>
      </c>
    </row>
    <row r="11">
      <c r="B11" s="14" t="inlineStr">
        <is>
          <t>非流動性ディスカウント</t>
        </is>
      </c>
      <c r="C11" s="9">
        <f>-C10*$C$6</f>
        <v>-10794996.3825</v>
      </c>
      <c r="D11" s="9">
        <f>-D10*$C$6</f>
        <v>-14393328.51</v>
      </c>
      <c r="E11" s="9">
        <f>-E10*$C$6</f>
        <v>-17991660.6375</v>
      </c>
    </row>
    <row r="12">
      <c r="B12" s="14" t="inlineStr">
        <is>
          <t>ネットキャッシュ</t>
        </is>
      </c>
      <c r="C12" s="9">
        <f>$C$5</f>
        <v>-143580223</v>
      </c>
      <c r="D12" s="9">
        <f>$C$5</f>
        <v>-143580223</v>
      </c>
      <c r="E12" s="9">
        <f>$C$5</f>
        <v>-143580223</v>
      </c>
    </row>
    <row r="13">
      <c r="B13" s="12" t="inlineStr">
        <is>
          <t>想定株式価値（算定値）</t>
        </is>
      </c>
      <c r="C13" s="13">
        <f>SUM(C10:C12)</f>
        <v>-118391898.1075</v>
      </c>
      <c r="D13" s="13">
        <f>SUM(D10:D12)</f>
        <v>-109995789.81</v>
      </c>
      <c r="E13" s="13">
        <f>SUM(E10:E12)</f>
        <v>-101599681.5125</v>
      </c>
    </row>
    <row r="15">
      <c r="B15" s="22" t="inlineStr">
        <is>
          <t>※倍率3〜5倍は国内中小企業M&amp;Aの実務水準。卸売市場関連の上場会社の倍率は算定日時点の株価で更新が必要（要確認）。</t>
        </is>
      </c>
    </row>
    <row r="16">
      <c r="B16" s="22" t="inlineStr">
        <is>
          <t>※算定値がマイナスの場合、ネットデット（有利子負債−現預金等）が事業価値を上回ることを示す。</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
  <sheetViews>
    <sheetView showGridLines="0" workbookViewId="0">
      <selection activeCell="A1" sqref="A1"/>
    </sheetView>
  </sheetViews>
  <sheetFormatPr baseColWidth="8" defaultRowHeight="15"/>
  <cols>
    <col width="2" customWidth="1" min="1" max="1"/>
    <col width="40" customWidth="1" min="2" max="2"/>
    <col width="15" customWidth="1" min="3" max="3"/>
    <col width="15" customWidth="1" min="4" max="4"/>
    <col width="50" customWidth="1" min="5" max="5"/>
  </cols>
  <sheetData>
    <row r="1">
      <c r="A1" s="1" t="inlineStr">
        <is>
          <t>株式価値の試算結果（集計）</t>
        </is>
      </c>
    </row>
    <row r="2">
      <c r="A2" s="5" t="inlineStr">
        <is>
          <t>単位：千円（入力は円）</t>
        </is>
      </c>
    </row>
    <row r="4" ht="30" customHeight="1">
      <c r="A4" s="6" t="inlineStr"/>
      <c r="B4" s="6" t="inlineStr">
        <is>
          <t>アプローチ</t>
        </is>
      </c>
      <c r="C4" s="6" t="inlineStr">
        <is>
          <t>下限</t>
        </is>
      </c>
      <c r="D4" s="6" t="inlineStr">
        <is>
          <t>上限</t>
        </is>
      </c>
      <c r="E4" s="6" t="inlineStr">
        <is>
          <t>備考</t>
        </is>
      </c>
    </row>
    <row r="5">
      <c r="B5" s="14" t="inlineStr">
        <is>
          <t>コストアプローチ（年買法）</t>
        </is>
      </c>
      <c r="C5" s="9">
        <f>年買法!C11</f>
        <v>56014724.0490715</v>
      </c>
      <c r="D5" s="9">
        <f>年買法!E11</f>
        <v>57407257.2900715</v>
      </c>
      <c r="E5" s="20" t="inlineStr">
        <is>
          <t>営業権倍率1〜3倍</t>
        </is>
      </c>
    </row>
    <row r="6">
      <c r="B6" s="14" t="inlineStr">
        <is>
          <t>マーケットアプローチ（EV/EBITDAマルチプル法）</t>
        </is>
      </c>
      <c r="C6" s="9">
        <f>'EV EBITDAマルチプル'!C13</f>
        <v>-118391898.1075</v>
      </c>
      <c r="D6" s="9">
        <f>'EV EBITDAマルチプル'!E13</f>
        <v>-101599681.5125</v>
      </c>
      <c r="E6" s="20" t="inlineStr">
        <is>
          <t>EV/EBITDA3〜5倍、非流動性ディスカウント30%</t>
        </is>
      </c>
    </row>
    <row r="7">
      <c r="B7" s="14" t="inlineStr">
        <is>
          <t>インカムアプローチ（DCF法）</t>
        </is>
      </c>
      <c r="E7" s="20" t="inlineStr">
        <is>
          <t>不採用（詳細な事業計画が存在せず算定困難）</t>
        </is>
      </c>
    </row>
  </sheetData>
  <pageMargins left="0.75" right="0.75" top="1" bottom="1" header="0.5" footer="0.5"/>
</worksheet>
</file>

<file path=xl/worksheets/sheet14.xml><?xml version="1.0" encoding="utf-8"?>
<worksheet xmlns="http://schemas.openxmlformats.org/spreadsheetml/2006/main">
  <sheetPr>
    <tabColor rgb="000B3041"/>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5"/>
  <cols>
    <col width="2" customWidth="1" min="1" max="1"/>
    <col width="19.17" customWidth="1" min="2" max="2"/>
    <col width="67.31" customWidth="1" min="3" max="3"/>
  </cols>
  <sheetData>
    <row r="1">
      <c r="A1" s="1" t="inlineStr">
        <is>
          <t>会社概要（基本情報）</t>
        </is>
      </c>
    </row>
    <row r="2">
      <c r="A2" s="25" t="inlineStr">
        <is>
          <t>■ 貼付範囲 B4:C17 → 企業概要書「基本情報」（範囲をコピーしてパワポに貼り付け。数字はここを直す）</t>
        </is>
      </c>
    </row>
    <row r="4" ht="17" customHeight="1">
      <c r="B4" s="26" t="inlineStr">
        <is>
          <t>項目</t>
        </is>
      </c>
      <c r="C4" s="26" t="inlineStr">
        <is>
          <t>内容</t>
        </is>
      </c>
    </row>
    <row r="5" ht="17" customHeight="1">
      <c r="B5" s="27" t="inlineStr">
        <is>
          <t>会社名</t>
        </is>
      </c>
      <c r="C5" s="28" t="inlineStr">
        <is>
          <t>株式会社鶴岡中央青果（http://www.turu-chu.co.jp/）</t>
        </is>
      </c>
    </row>
    <row r="6" ht="17" customHeight="1">
      <c r="B6" s="27" t="inlineStr">
        <is>
          <t>本社所在地</t>
        </is>
      </c>
      <c r="C6" s="28" t="inlineStr">
        <is>
          <t>山形県鶴岡市宝田一丁目4番20号</t>
        </is>
      </c>
    </row>
    <row r="7" ht="45" customHeight="1">
      <c r="B7" s="27" t="inlineStr">
        <is>
          <t>拠点</t>
        </is>
      </c>
      <c r="C7" s="28" t="inlineStr">
        <is>
          <t>① 本社・市場：山形県鶴岡市宝田一丁目4番20号
② パッケージ場：山形県鶴岡市宝田一丁目5-1
③ 旧倉庫敷地（駐車場）：山形県東田川郡庄内町長沼字宮前304-7</t>
        </is>
      </c>
    </row>
    <row r="8" ht="17" customHeight="1">
      <c r="B8" s="27" t="inlineStr">
        <is>
          <t>設立</t>
        </is>
      </c>
      <c r="C8" s="28" t="inlineStr">
        <is>
          <t>1973年（昭和48年）11月22日</t>
        </is>
      </c>
    </row>
    <row r="9" ht="17" customHeight="1">
      <c r="B9" s="27" t="inlineStr">
        <is>
          <t>資本金</t>
        </is>
      </c>
      <c r="C9" s="28" t="str">
        <f>TEXT('BS (貸方)'!E19/1000,"#,##0")&amp;"千円"</f>
        <v>40,000千円</v>
      </c>
    </row>
    <row r="10" ht="17" customHeight="1">
      <c r="B10" s="27" t="inlineStr">
        <is>
          <t>代表者</t>
        </is>
      </c>
      <c r="C10" s="28" t="inlineStr">
        <is>
          <t>岡部 寛</t>
        </is>
      </c>
    </row>
    <row r="11" ht="31" customHeight="1">
      <c r="B11" s="27" t="inlineStr">
        <is>
          <t>株主</t>
        </is>
      </c>
      <c r="C11" s="28" t="str">
        <f>"岡部 寛（"&amp;TEXT(株主!F6,"#,##0")&amp;"株／"&amp;TEXT(株主!G6,"0.0%")&amp;"）ほか7名"&amp;CHAR(10)&amp;"代表者一族4名で"&amp;TEXT(株主!G16,"0.0%")&amp;"を保有"</f>
        <v>岡部 寛（1,510株／37.8%）ほか7名
代表者一族4名で75.8%を保有</v>
      </c>
    </row>
    <row r="12" ht="45" customHeight="1">
      <c r="B12" s="27" t="inlineStr">
        <is>
          <t>事業内容</t>
        </is>
      </c>
      <c r="C12" s="28" t="inlineStr">
        <is>
          <t>・青果物（野菜・果実）の卸売（地方卸売市場の開設・運営、買付販売・受託販売）
・パッケージ（小分け・包装）、配送（量販店の配送受託を含む）
・包装資材の販売</t>
        </is>
      </c>
    </row>
    <row r="13" ht="31" customHeight="1">
      <c r="B13" s="27" t="inlineStr">
        <is>
          <t>従業員数</t>
        </is>
      </c>
      <c r="C13" s="28" t="str">
        <f>従業員!D32&amp;"名（正社員"&amp;従業員!D37&amp;"名、嘱託・再雇用・試用3名、パート・アルバイト4名）"&amp;CHAR(10)&amp;"※2026年9月1日時点。別途、常勤役員2名"</f>
        <v>24名（正社員17名、嘱託・再雇用・試用3名、パート・アルバイト4名）
※2026年9月1日時点。別途、常勤役員2名</v>
      </c>
    </row>
    <row r="14" ht="17" customHeight="1">
      <c r="B14" s="27" t="inlineStr">
        <is>
          <t>許認可等</t>
        </is>
      </c>
      <c r="C14" s="28" t="inlineStr">
        <is>
          <t>地方卸売市場（卸売市場法）※認定の時期・条件は要確認</t>
        </is>
      </c>
    </row>
    <row r="15" ht="17" customHeight="1">
      <c r="B15" s="27" t="inlineStr">
        <is>
          <t>売上高</t>
        </is>
      </c>
      <c r="C15" s="28" t="str">
        <f>TEXT(PL!G10/1000,"#,##0")&amp;"千円（2026年3月期）"</f>
        <v>1,195,893千円（2026年3月期）</v>
      </c>
    </row>
    <row r="16" ht="17" customHeight="1">
      <c r="B16" s="27" t="inlineStr">
        <is>
          <t>調整後EBITDA</t>
        </is>
      </c>
      <c r="C16" s="28" t="str">
        <f>TEXT(PLハイライト!C43/1000,"#,##0")&amp;"千円（過去3期平均）"</f>
        <v>14,549千円（過去3期平均）</v>
      </c>
    </row>
    <row r="17" ht="17" customHeight="1">
      <c r="B17" s="27" t="inlineStr">
        <is>
          <t>譲渡理由</t>
        </is>
      </c>
      <c r="C17" s="28" t="inlineStr">
        <is>
          <t>後継者不在およびさらなる企業の発展</t>
        </is>
      </c>
    </row>
    <row r="19">
      <c r="B19" s="26" t="inlineStr">
        <is>
          <t>参考（概要書非掲載の登記・基本事項）</t>
        </is>
      </c>
      <c r="C19" s="29" t="n"/>
    </row>
    <row r="20">
      <c r="B20" s="30" t="inlineStr">
        <is>
          <t>発行済株式総数</t>
        </is>
      </c>
      <c r="C20" s="31" t="inlineStr">
        <is>
          <t>4,000株（発行可能株式総数5,000株、譲渡制限あり：取締役会の承認）</t>
        </is>
      </c>
    </row>
    <row r="21">
      <c r="B21" s="30" t="inlineStr">
        <is>
          <t>登記上の目的</t>
        </is>
      </c>
      <c r="C21" s="31" t="inlineStr">
        <is>
          <t>1 青果物の販売及び卸売の業務　2 倉庫業　3 前号に附帯する一切の業務</t>
        </is>
      </c>
    </row>
    <row r="22">
      <c r="B22" s="30" t="inlineStr">
        <is>
          <t>機関設計</t>
        </is>
      </c>
      <c r="C22" s="31" t="inlineStr">
        <is>
          <t>取締役会設置会社／監査役設置会社（監査の範囲を会計に限定）</t>
        </is>
      </c>
    </row>
    <row r="23">
      <c r="B23" s="30" t="inlineStr">
        <is>
          <t>決算期</t>
        </is>
      </c>
      <c r="C23" s="31" t="inlineStr">
        <is>
          <t>3月</t>
        </is>
      </c>
    </row>
    <row r="24">
      <c r="B24" s="30" t="inlineStr">
        <is>
          <t>営業時間／定休日</t>
        </is>
      </c>
      <c r="C24" s="31" t="inlineStr">
        <is>
          <t>5時〜（終業時刻は要確認）／水・日・祝日</t>
        </is>
      </c>
    </row>
    <row r="25">
      <c r="B25" s="30" t="inlineStr">
        <is>
          <t>主要取引金融機関</t>
        </is>
      </c>
      <c r="C25" s="31" t="inlineStr">
        <is>
          <t>鶴岡信用金庫、山形銀行、荘内銀行、日本政策金融公庫</t>
        </is>
      </c>
    </row>
    <row r="26">
      <c r="B26" s="30" t="inlineStr">
        <is>
          <t>顧問税理士</t>
        </is>
      </c>
      <c r="C26" s="31" t="inlineStr">
        <is>
          <t>池田昭一税理士事務所（山形県酒田市）</t>
        </is>
      </c>
    </row>
    <row r="27">
      <c r="B27" s="30" t="inlineStr">
        <is>
          <t>Webサイト</t>
        </is>
      </c>
      <c r="C27" s="31" t="inlineStr">
        <is>
          <t>https://www.turu-chu.co.jp/（検索結果により存在を確認。法人事業概況説明書では「HPなし」と記載：要確認）</t>
        </is>
      </c>
    </row>
  </sheetData>
  <mergeCells count="1">
    <mergeCell ref="B19:C1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6"/>
  <sheetViews>
    <sheetView showGridLines="0" workbookViewId="0">
      <selection activeCell="A1" sqref="A1"/>
    </sheetView>
  </sheetViews>
  <sheetFormatPr baseColWidth="8" defaultRowHeight="15"/>
  <cols>
    <col width="2" customWidth="1" min="1" max="1"/>
    <col width="24.25" customWidth="1" min="2" max="2"/>
    <col width="15.74" customWidth="1" min="3" max="3"/>
    <col width="15.74" customWidth="1" min="4" max="4"/>
    <col width="15.74" customWidth="1" min="5" max="5"/>
    <col width="15.74" customWidth="1" min="6" max="6"/>
    <col width="61" customWidth="1" min="7" max="7"/>
  </cols>
  <sheetData>
    <row r="1">
      <c r="A1" s="1" t="inlineStr">
        <is>
          <t>財務ハイライト（P/L）・調整後EBITDA</t>
        </is>
      </c>
    </row>
    <row r="2">
      <c r="A2" s="25" t="inlineStr">
        <is>
          <t>■ 貼付範囲 B4:F25 → 企業概要書「財務ハイライト（P/L）」（範囲をコピーしてパワポに貼り付け。数字はここを直す）</t>
        </is>
      </c>
    </row>
    <row r="4">
      <c r="F4" s="32" t="inlineStr">
        <is>
          <t>(単位：千円)</t>
        </is>
      </c>
    </row>
    <row r="5" ht="19" customHeight="1">
      <c r="B5" s="33" t="inlineStr"/>
      <c r="C5" s="33" t="inlineStr">
        <is>
          <t>2024年3月期</t>
        </is>
      </c>
      <c r="D5" s="33" t="inlineStr">
        <is>
          <t>2025年3月期</t>
        </is>
      </c>
      <c r="E5" s="33" t="inlineStr">
        <is>
          <t>2026年3月期</t>
        </is>
      </c>
      <c r="F5" s="33" t="inlineStr">
        <is>
          <t>2026年4〜7月</t>
        </is>
      </c>
      <c r="G5" s="26" t="inlineStr">
        <is>
          <t>調整理由（概要書【調整項目】の原本）</t>
        </is>
      </c>
    </row>
    <row r="6" ht="19" customHeight="1">
      <c r="B6" s="34" t="inlineStr">
        <is>
          <t>売上高</t>
        </is>
      </c>
      <c r="C6" s="35">
        <f>PL!C10</f>
        <v>1178489098</v>
      </c>
      <c r="D6" s="35">
        <f>PL!E10</f>
        <v>1181947340</v>
      </c>
      <c r="E6" s="35">
        <f>PL!G10</f>
        <v>1195893269</v>
      </c>
      <c r="F6" s="35">
        <f>PL!I10</f>
        <v>411154947</v>
      </c>
    </row>
    <row r="7" ht="14" customHeight="1">
      <c r="B7" s="36" t="inlineStr">
        <is>
          <t>前期比</t>
        </is>
      </c>
      <c r="C7" s="37" t="inlineStr">
        <is>
          <t>-</t>
        </is>
      </c>
      <c r="D7" s="37">
        <f>IFERROR(D6/C6,"")</f>
        <v>1.00293447093051</v>
      </c>
      <c r="E7" s="37">
        <f>IFERROR(E6/D6,"")</f>
        <v>1.01179911196382</v>
      </c>
      <c r="F7" s="37">
        <f>IFERROR(F6/C34,"")</f>
        <v>0.980602705061915</v>
      </c>
    </row>
    <row r="8" ht="19" customHeight="1">
      <c r="B8" s="34" t="inlineStr">
        <is>
          <t>売上総利益</t>
        </is>
      </c>
      <c r="C8" s="35">
        <f>PL!C15</f>
        <v>219580189</v>
      </c>
      <c r="D8" s="35">
        <f>PL!E15</f>
        <v>211295514</v>
      </c>
      <c r="E8" s="35">
        <f>PL!G15</f>
        <v>199010966</v>
      </c>
      <c r="F8" s="35">
        <f>PL!I15</f>
        <v>61213573</v>
      </c>
    </row>
    <row r="9" ht="14" customHeight="1">
      <c r="B9" s="36" t="inlineStr">
        <is>
          <t>利益率</t>
        </is>
      </c>
      <c r="C9" s="37">
        <f>IFERROR(C8/C$6,"")</f>
        <v>0.186323479252075</v>
      </c>
      <c r="D9" s="37">
        <f>IFERROR(D8/D$6,"")</f>
        <v>0.178768974597464</v>
      </c>
      <c r="E9" s="37">
        <f>IFERROR(E8/E$6,"")</f>
        <v>0.166411979362014</v>
      </c>
      <c r="F9" s="37">
        <f>IFERROR(F8/F$6,"")</f>
        <v>0.148882005303952</v>
      </c>
    </row>
    <row r="10" ht="19" customHeight="1">
      <c r="B10" s="34" t="inlineStr">
        <is>
          <t>営業利益</t>
        </is>
      </c>
      <c r="C10" s="35">
        <f>PL!C17</f>
        <v>4756748</v>
      </c>
      <c r="D10" s="35">
        <f>PL!E17</f>
        <v>-4422940</v>
      </c>
      <c r="E10" s="35">
        <f>PL!G17</f>
        <v>5859912</v>
      </c>
      <c r="F10" s="35">
        <f>PL!I17</f>
        <v>5316980</v>
      </c>
    </row>
    <row r="11" ht="14" customHeight="1">
      <c r="B11" s="36" t="inlineStr">
        <is>
          <t>利益率</t>
        </is>
      </c>
      <c r="C11" s="37">
        <f>IFERROR(C10/C$6,"")</f>
        <v>0.00403631056755011</v>
      </c>
      <c r="D11" s="37">
        <f>IFERROR(D10/D$6,"")</f>
        <v>-0.00374207872915895</v>
      </c>
      <c r="E11" s="37">
        <f>IFERROR(E10/E$6,"")</f>
        <v>0.00490002925169069</v>
      </c>
      <c r="F11" s="37">
        <f>IFERROR(F10/F$6,"")</f>
        <v>0.0129318157030469</v>
      </c>
    </row>
    <row r="12" ht="19" customHeight="1">
      <c r="B12" s="34" t="inlineStr">
        <is>
          <t>経常利益</t>
        </is>
      </c>
      <c r="C12" s="35">
        <f>PL!C29</f>
        <v>11316540</v>
      </c>
      <c r="D12" s="35">
        <f>PL!E29</f>
        <v>2181381</v>
      </c>
      <c r="E12" s="35">
        <f>PL!G29</f>
        <v>8067784</v>
      </c>
      <c r="F12" s="35">
        <f>PL!I29</f>
        <v>5884887</v>
      </c>
    </row>
    <row r="13" ht="14" customHeight="1">
      <c r="B13" s="36" t="inlineStr">
        <is>
          <t>利益率</t>
        </is>
      </c>
      <c r="C13" s="37">
        <f>IFERROR(C12/C$6,"")</f>
        <v>0.00960258352767554</v>
      </c>
      <c r="D13" s="37">
        <f>IFERROR(D12/D$6,"")</f>
        <v>0.00184558222365474</v>
      </c>
      <c r="E13" s="37">
        <f>IFERROR(E12/E$6,"")</f>
        <v>0.00674624083029269</v>
      </c>
      <c r="F13" s="37">
        <f>IFERROR(F12/F$6,"")</f>
        <v>0.0143130638289511</v>
      </c>
    </row>
    <row r="14" ht="19" customHeight="1">
      <c r="B14" s="34" t="inlineStr">
        <is>
          <t>税引後当期純利益</t>
        </is>
      </c>
      <c r="C14" s="35">
        <f>PL!C39</f>
        <v>9106898</v>
      </c>
      <c r="D14" s="35">
        <f>PL!E39</f>
        <v>2928899</v>
      </c>
      <c r="E14" s="35">
        <f>PL!G39</f>
        <v>-15084655</v>
      </c>
      <c r="F14" s="35">
        <f>PL!I39</f>
        <v>5884887</v>
      </c>
    </row>
    <row r="15" ht="14" customHeight="1">
      <c r="B15" s="36" t="inlineStr">
        <is>
          <t>利益率</t>
        </is>
      </c>
      <c r="C15" s="37">
        <f>IFERROR(C14/C$6,"")</f>
        <v>0.00772760479113062</v>
      </c>
      <c r="D15" s="37">
        <f>IFERROR(D14/D$6,"")</f>
        <v>0.00247802833584786</v>
      </c>
      <c r="E15" s="37">
        <f>IFERROR(E14/E$6,"")</f>
        <v>-0.0126137134400077</v>
      </c>
      <c r="F15" s="37">
        <f>IFERROR(F14/F$6,"")</f>
        <v>0.0143130638289511</v>
      </c>
    </row>
    <row r="16" ht="8" customHeight="1">
      <c r="B16" s="38" t="inlineStr"/>
      <c r="C16" s="38" t="inlineStr"/>
      <c r="D16" s="38" t="inlineStr"/>
      <c r="E16" s="38" t="inlineStr"/>
      <c r="F16" s="38" t="inlineStr"/>
    </row>
    <row r="17" ht="19" customHeight="1">
      <c r="B17" s="27" t="inlineStr">
        <is>
          <t>減価償却費</t>
        </is>
      </c>
      <c r="C17" s="39">
        <f>SGA!C31</f>
        <v>13663684</v>
      </c>
      <c r="D17" s="39">
        <f>SGA!E31</f>
        <v>12557564</v>
      </c>
      <c r="E17" s="39">
        <f>SGA!G31</f>
        <v>8878970</v>
      </c>
      <c r="F17" s="39">
        <f>SGA!I31</f>
        <v>2436000</v>
      </c>
    </row>
    <row r="18" ht="8" customHeight="1">
      <c r="B18" s="38" t="inlineStr"/>
      <c r="C18" s="38" t="inlineStr"/>
      <c r="D18" s="38" t="inlineStr"/>
      <c r="E18" s="38" t="inlineStr"/>
      <c r="F18" s="38" t="inlineStr"/>
    </row>
    <row r="19" ht="19" customHeight="1">
      <c r="B19" s="40" t="inlineStr">
        <is>
          <t>調整項目 合計</t>
        </is>
      </c>
      <c r="C19" s="41">
        <f>SUM(C20:C23)</f>
        <v>5273508</v>
      </c>
      <c r="D19" s="41">
        <f>SUM(D20:D23)</f>
        <v>5467707</v>
      </c>
      <c r="E19" s="41">
        <f>SUM(E20:E23)</f>
        <v>-8388975.75</v>
      </c>
      <c r="F19" s="41" t="inlineStr">
        <is>
          <t>－</t>
        </is>
      </c>
    </row>
    <row r="20" ht="19" customHeight="1">
      <c r="B20" s="42" t="inlineStr">
        <is>
          <t>①役員報酬の正常化</t>
        </is>
      </c>
      <c r="C20" s="39">
        <f>修正PL!C9</f>
        <v>3082000</v>
      </c>
      <c r="D20" s="39">
        <f>修正PL!D9</f>
        <v>3082000</v>
      </c>
      <c r="E20" s="39">
        <f>修正PL!E9</f>
        <v>-4094000</v>
      </c>
      <c r="F20" s="39" t="inlineStr">
        <is>
          <t>－</t>
        </is>
      </c>
      <c r="G20" s="31" t="inlineStr">
        <is>
          <t>代表者・配偶者の報酬を新体制の役員報酬（仮定8,000千円）に置換。社会保険料15%を連動</t>
        </is>
      </c>
    </row>
    <row r="21" ht="19" customHeight="1">
      <c r="B21" s="42" t="inlineStr">
        <is>
          <t>②賞与の正常化</t>
        </is>
      </c>
      <c r="C21" s="39">
        <f>修正PL!C10</f>
        <v>0</v>
      </c>
      <c r="D21" s="39">
        <f>修正PL!D10</f>
        <v>0</v>
      </c>
      <c r="E21" s="39">
        <f>修正PL!E10</f>
        <v>-6724423.75</v>
      </c>
      <c r="F21" s="39" t="inlineStr">
        <is>
          <t>－</t>
        </is>
      </c>
      <c r="G21" s="31" t="inlineStr">
        <is>
          <t>賞与規定はなく業績に応じて支給（第2回面談）。2026/3期は支給なし。継続支給を前提に前2期平均（社保込）を控除（保守的に想定）</t>
        </is>
      </c>
    </row>
    <row r="22" ht="19" customHeight="1">
      <c r="B22" s="42" t="inlineStr">
        <is>
          <t>③受取奨励金（純額）</t>
        </is>
      </c>
      <c r="C22" s="39">
        <f>修正PL!C12</f>
        <v>2178508</v>
      </c>
      <c r="D22" s="39">
        <f>修正PL!D12</f>
        <v>2314707</v>
      </c>
      <c r="E22" s="39">
        <f>修正PL!E12</f>
        <v>2418448</v>
      </c>
      <c r="F22" s="39" t="inlineStr">
        <is>
          <t>－</t>
        </is>
      </c>
      <c r="G22" s="31" t="inlineStr">
        <is>
          <t>仕入先市場から受け取る完納奨励金（期限内の代金支払に対する奨励金。保証金として積立：代表者談）。毎期経常的に発生するため加算</t>
        </is>
      </c>
    </row>
    <row r="23" ht="19" customHeight="1">
      <c r="B23" s="42" t="inlineStr">
        <is>
          <t>④寄付金</t>
        </is>
      </c>
      <c r="C23" s="39">
        <f>修正PL!C11</f>
        <v>13000</v>
      </c>
      <c r="D23" s="39">
        <f>修正PL!D11</f>
        <v>71000</v>
      </c>
      <c r="E23" s="39">
        <f>修正PL!E11</f>
        <v>11000</v>
      </c>
      <c r="F23" s="39" t="inlineStr">
        <is>
          <t>－</t>
        </is>
      </c>
      <c r="G23" s="31" t="inlineStr">
        <is>
          <t>譲渡後に発生しない費用として加算</t>
        </is>
      </c>
    </row>
    <row r="24" ht="8" customHeight="1">
      <c r="B24" s="38" t="inlineStr"/>
      <c r="C24" s="38" t="inlineStr"/>
      <c r="D24" s="38" t="inlineStr"/>
      <c r="E24" s="38" t="inlineStr"/>
      <c r="F24" s="38" t="inlineStr"/>
    </row>
    <row r="25" ht="21" customHeight="1">
      <c r="B25" s="43" t="inlineStr">
        <is>
          <t>調整後EBITDA</t>
        </is>
      </c>
      <c r="C25" s="44">
        <f>C10+C17+C19</f>
        <v>23693940</v>
      </c>
      <c r="D25" s="44">
        <f>D10+D17+D19</f>
        <v>13602331</v>
      </c>
      <c r="E25" s="44">
        <f>E10+E17+E19</f>
        <v>6349906.25</v>
      </c>
      <c r="F25" s="44" t="inlineStr">
        <is>
          <t>－</t>
        </is>
      </c>
    </row>
    <row r="33">
      <c r="B33" s="26" t="inlineStr">
        <is>
          <t>参考（リード文・コメント用の集計。貼付範囲外）</t>
        </is>
      </c>
      <c r="C33" s="45" t="n"/>
      <c r="D33" s="45" t="n"/>
      <c r="E33" s="45" t="n"/>
      <c r="F33" s="29" t="n"/>
    </row>
    <row r="34">
      <c r="B34" s="30" t="inlineStr">
        <is>
          <t>前年同期（2025年4〜7月）売上高</t>
        </is>
      </c>
      <c r="C34" s="39" t="n">
        <v>419288000</v>
      </c>
    </row>
    <row r="35">
      <c r="B35" s="30" t="inlineStr">
        <is>
          <t>売上総利益率</t>
        </is>
      </c>
      <c r="C35" s="46">
        <f>IFERROR(C8/C6,"")</f>
        <v>0.186323479252075</v>
      </c>
      <c r="D35" s="46">
        <f>IFERROR(D8/D6,"")</f>
        <v>0.178768974597464</v>
      </c>
      <c r="E35" s="46">
        <f>IFERROR(E8/E6,"")</f>
        <v>0.166411979362014</v>
      </c>
      <c r="F35" s="46">
        <f>IFERROR(F8/F6,"")</f>
        <v>0.148882005303952</v>
      </c>
    </row>
    <row r="36">
      <c r="B36" s="30" t="inlineStr">
        <is>
          <t>販売費及び一般管理費</t>
        </is>
      </c>
      <c r="C36" s="39">
        <f>PL!C16</f>
        <v>214823441</v>
      </c>
      <c r="D36" s="39">
        <f>PL!E16</f>
        <v>215718454</v>
      </c>
      <c r="E36" s="39">
        <f>PL!G16</f>
        <v>193151054</v>
      </c>
      <c r="F36" s="39">
        <f>PL!I16</f>
        <v>55896593</v>
      </c>
    </row>
    <row r="37">
      <c r="B37" s="30" t="inlineStr">
        <is>
          <t>EBITDA（営業利益＋減価償却費）</t>
        </is>
      </c>
      <c r="C37" s="39">
        <f>C10+C17</f>
        <v>18420432</v>
      </c>
      <c r="D37" s="39">
        <f>D10+D17</f>
        <v>8134624</v>
      </c>
      <c r="E37" s="39">
        <f>E10+E17</f>
        <v>14738882</v>
      </c>
      <c r="F37" s="39">
        <f>F10+F17</f>
        <v>7752980</v>
      </c>
    </row>
    <row r="38">
      <c r="B38" s="30" t="inlineStr">
        <is>
          <t>当期純利益</t>
        </is>
      </c>
      <c r="C38" s="39">
        <f>C14</f>
        <v>9106898</v>
      </c>
      <c r="D38" s="39">
        <f>D14</f>
        <v>2928899</v>
      </c>
      <c r="E38" s="39">
        <f>E14</f>
        <v>-15084655</v>
      </c>
      <c r="F38" s="39">
        <f>F14</f>
        <v>5884887</v>
      </c>
    </row>
    <row r="39">
      <c r="B39" s="30" t="inlineStr">
        <is>
          <t>当期仕入高</t>
        </is>
      </c>
      <c r="C39" s="39">
        <f>PL!C12</f>
        <v>953298320</v>
      </c>
      <c r="D39" s="39">
        <f>PL!E12</f>
        <v>976235640</v>
      </c>
      <c r="E39" s="39">
        <f>PL!G12</f>
        <v>996035389</v>
      </c>
      <c r="F39" s="39">
        <f>PL!I12</f>
        <v>371992415</v>
      </c>
    </row>
    <row r="40">
      <c r="B40" s="30" t="inlineStr">
        <is>
          <t>支払利息</t>
        </is>
      </c>
      <c r="C40" s="39">
        <f>PL!C25</f>
        <v>3962441</v>
      </c>
      <c r="D40" s="39">
        <f>PL!E25</f>
        <v>4040547</v>
      </c>
      <c r="E40" s="39">
        <f>PL!G25</f>
        <v>3895556</v>
      </c>
      <c r="F40" s="39">
        <f>PL!I25</f>
        <v>1192744</v>
      </c>
    </row>
    <row r="41">
      <c r="B41" s="30" t="inlineStr">
        <is>
          <t>人件費（役員報酬・給与・賞与・法定福利等）</t>
        </is>
      </c>
      <c r="C41" s="39">
        <f>SGA!C5+SGA!C6+SGA!C7+SGA!C8+SGA!C9+SGA!C10+SGA!C11</f>
        <v>120274546</v>
      </c>
      <c r="D41" s="39">
        <f>SGA!E5+SGA!E6+SGA!E7+SGA!E8+SGA!E9+SGA!E10+SGA!E11</f>
        <v>121407097</v>
      </c>
      <c r="E41" s="39">
        <f>SGA!G5+SGA!G6+SGA!G7+SGA!G8+SGA!G9+SGA!G10+SGA!G11</f>
        <v>104562438</v>
      </c>
      <c r="F41" s="39">
        <f>SGA!I5+SGA!I6+SGA!I7+SGA!I8+SGA!I9+SGA!I10+SGA!I11</f>
        <v>28525927</v>
      </c>
    </row>
    <row r="42">
      <c r="B42" s="30" t="inlineStr">
        <is>
          <t>運賃＋車両関連費</t>
        </is>
      </c>
      <c r="C42" s="39">
        <f>SGA!C16+SGA!C15</f>
        <v>36022052</v>
      </c>
      <c r="D42" s="39">
        <f>SGA!E16+SGA!E15</f>
        <v>39619785</v>
      </c>
      <c r="E42" s="39">
        <f>SGA!G16+SGA!G15</f>
        <v>38858196</v>
      </c>
      <c r="F42" s="39">
        <f>SGA!I16+SGA!I15</f>
        <v>11054784</v>
      </c>
    </row>
    <row r="43">
      <c r="B43" s="30" t="inlineStr">
        <is>
          <t>調整後EBITDA 3期平均</t>
        </is>
      </c>
      <c r="C43" s="39">
        <f>AVERAGE(C25:E25)</f>
        <v>14548725.75</v>
      </c>
    </row>
    <row r="44">
      <c r="B44" s="30" t="inlineStr">
        <is>
          <t>調整後EBITDA 直近2期平均</t>
        </is>
      </c>
      <c r="C44" s="39">
        <f>AVERAGE(D25:E25)</f>
        <v>9976118.625</v>
      </c>
    </row>
    <row r="46">
      <c r="B46" s="47" t="inlineStr">
        <is>
          <t>※進行期（2026年4〜7月）は試算表の4か月累計。前期比は前年同期（法人事業概況説明書の月別売上の4〜7月合計）との比較。調整項目は年度決算のみ算定。</t>
        </is>
      </c>
    </row>
  </sheetData>
  <mergeCells count="1">
    <mergeCell ref="B33:F3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42"/>
  <sheetViews>
    <sheetView showGridLines="0" workbookViewId="0">
      <selection activeCell="A1" sqref="A1"/>
    </sheetView>
  </sheetViews>
  <sheetFormatPr baseColWidth="8" defaultRowHeight="15"/>
  <cols>
    <col width="2" customWidth="1" min="1" max="1"/>
    <col width="20.27" customWidth="1" min="2" max="2"/>
    <col width="13.27" customWidth="1" min="3" max="3"/>
    <col width="4.36" customWidth="1" min="4" max="4"/>
    <col width="20.27" customWidth="1" min="5" max="5"/>
    <col width="13.27" customWidth="1" min="6" max="6"/>
    <col width="2.03" customWidth="1" min="7" max="7"/>
    <col width="13" customWidth="1" min="8" max="8"/>
    <col width="13" customWidth="1" min="9" max="9"/>
    <col width="13" customWidth="1" min="10" max="10"/>
    <col width="13" customWidth="1" min="11" max="11"/>
  </cols>
  <sheetData>
    <row r="1">
      <c r="A1" s="1" t="inlineStr">
        <is>
          <t>財務ハイライト（B/S）</t>
        </is>
      </c>
    </row>
    <row r="2">
      <c r="A2" s="25" t="inlineStr">
        <is>
          <t>■ 貼付範囲 B4:F19 → 企業概要書「財務ハイライト（B/S）」（範囲をコピーしてパワポに貼り付け。数字はここを直す）</t>
        </is>
      </c>
    </row>
    <row r="4">
      <c r="F4" s="32" t="inlineStr">
        <is>
          <t>(単位：千円)</t>
        </is>
      </c>
    </row>
    <row r="5" ht="19" customHeight="1">
      <c r="B5" s="33" t="inlineStr">
        <is>
          <t>2026年3月期末</t>
        </is>
      </c>
      <c r="C5" s="45" t="n"/>
      <c r="D5" s="45" t="n"/>
      <c r="E5" s="45" t="n"/>
      <c r="F5" s="29" t="n"/>
    </row>
    <row r="6" ht="23" customHeight="1">
      <c r="B6" s="48" t="inlineStr">
        <is>
          <t>流動資産</t>
        </is>
      </c>
      <c r="C6" s="49">
        <f>'BS(借方)'!E16</f>
        <v>249704912</v>
      </c>
      <c r="D6" s="38" t="n"/>
      <c r="E6" s="48" t="inlineStr">
        <is>
          <t>流動負債</t>
        </is>
      </c>
      <c r="F6" s="49">
        <f>'BS (貸方)'!E12</f>
        <v>37279523</v>
      </c>
    </row>
    <row r="7" ht="23" customHeight="1">
      <c r="B7" s="38" t="inlineStr">
        <is>
          <t>現金及び預金</t>
        </is>
      </c>
      <c r="C7" s="50">
        <f>'BS(借方)'!E6</f>
        <v>210887077</v>
      </c>
      <c r="D7" s="38" t="n"/>
      <c r="E7" s="38" t="inlineStr">
        <is>
          <t>買掛金</t>
        </is>
      </c>
      <c r="F7" s="50">
        <f>'BS (貸方)'!E6</f>
        <v>26349122</v>
      </c>
    </row>
    <row r="8" ht="23" customHeight="1">
      <c r="B8" s="38" t="inlineStr">
        <is>
          <t>売上債権</t>
        </is>
      </c>
      <c r="C8" s="50">
        <f>'BS(借方)'!E7+'BS(借方)'!E8</f>
        <v>20836318</v>
      </c>
      <c r="D8" s="38" t="n"/>
      <c r="E8" s="38" t="inlineStr">
        <is>
          <t>未払金</t>
        </is>
      </c>
      <c r="F8" s="50">
        <f>'BS (貸方)'!E7</f>
        <v>6630301</v>
      </c>
    </row>
    <row r="9" ht="23" customHeight="1">
      <c r="B9" s="38" t="inlineStr">
        <is>
          <t>棚卸資産</t>
        </is>
      </c>
      <c r="C9" s="50">
        <f>'BS(借方)'!E9</f>
        <v>14596695</v>
      </c>
      <c r="D9" s="38" t="n"/>
      <c r="E9" s="38" t="inlineStr">
        <is>
          <t>未払法人税等</t>
        </is>
      </c>
      <c r="F9" s="50">
        <f>'BS (貸方)'!E10</f>
        <v>1851300</v>
      </c>
    </row>
    <row r="10" ht="23" customHeight="1">
      <c r="B10" s="38" t="inlineStr">
        <is>
          <t>その他</t>
        </is>
      </c>
      <c r="C10" s="50">
        <f>'BS(借方)'!E16-'BS(借方)'!E6-'BS(借方)'!E7-'BS(借方)'!E8-'BS(借方)'!E9</f>
        <v>3384822</v>
      </c>
      <c r="D10" s="38" t="n"/>
      <c r="E10" s="38" t="inlineStr">
        <is>
          <t>その他</t>
        </is>
      </c>
      <c r="F10" s="50">
        <f>'BS (貸方)'!E12-'BS (貸方)'!E6-'BS (貸方)'!E7-'BS (貸方)'!E10</f>
        <v>2448800</v>
      </c>
    </row>
    <row r="11" ht="23" customHeight="1">
      <c r="B11" s="48" t="inlineStr">
        <is>
          <t>固定資産</t>
        </is>
      </c>
      <c r="C11" s="49">
        <f>'BS(借方)'!E38</f>
        <v>235485192</v>
      </c>
      <c r="D11" s="38" t="n"/>
      <c r="E11" s="48" t="inlineStr">
        <is>
          <t>固定負債</t>
        </is>
      </c>
      <c r="F11" s="49">
        <f>'BS (貸方)'!E16</f>
        <v>370038000</v>
      </c>
    </row>
    <row r="12" ht="23" customHeight="1">
      <c r="B12" s="38" t="inlineStr">
        <is>
          <t>建物等</t>
        </is>
      </c>
      <c r="C12" s="50">
        <f>'BS(借方)'!E18+'BS(借方)'!E19+'BS(借方)'!E20</f>
        <v>103749925</v>
      </c>
      <c r="D12" s="38" t="n"/>
      <c r="E12" s="38" t="inlineStr">
        <is>
          <t>長期借入金</t>
        </is>
      </c>
      <c r="F12" s="50">
        <f>'BS (貸方)'!E14</f>
        <v>361058000</v>
      </c>
    </row>
    <row r="13" ht="23" customHeight="1">
      <c r="B13" s="38" t="inlineStr">
        <is>
          <t>土地</t>
        </is>
      </c>
      <c r="C13" s="50">
        <f>'BS(借方)'!E24</f>
        <v>93137240</v>
      </c>
      <c r="D13" s="38" t="n"/>
      <c r="E13" s="38" t="inlineStr">
        <is>
          <t>預り保証金</t>
        </is>
      </c>
      <c r="F13" s="50">
        <f>'BS (貸方)'!E15</f>
        <v>8980000</v>
      </c>
    </row>
    <row r="14" ht="23" customHeight="1">
      <c r="B14" s="38" t="inlineStr">
        <is>
          <t>電話加入権等（無形）</t>
        </is>
      </c>
      <c r="C14" s="50">
        <f>'BS(借方)'!E30</f>
        <v>2527395</v>
      </c>
      <c r="D14" s="38" t="n"/>
      <c r="E14" s="38" t="n"/>
      <c r="F14" s="50" t="n"/>
    </row>
    <row r="15" ht="23" customHeight="1">
      <c r="B15" s="38" t="inlineStr">
        <is>
          <t>投資有価証券</t>
        </is>
      </c>
      <c r="C15" s="50">
        <f>'BS(借方)'!E32</f>
        <v>2600000</v>
      </c>
      <c r="D15" s="38" t="n"/>
      <c r="E15" s="43" t="inlineStr">
        <is>
          <t>負債合計</t>
        </is>
      </c>
      <c r="F15" s="44">
        <f>'BS (貸方)'!E17</f>
        <v>407317523</v>
      </c>
    </row>
    <row r="16" ht="23" customHeight="1">
      <c r="B16" s="38" t="inlineStr">
        <is>
          <t>保証金</t>
        </is>
      </c>
      <c r="C16" s="50">
        <f>'BS(借方)'!E35</f>
        <v>33302569</v>
      </c>
      <c r="D16" s="38" t="n"/>
      <c r="E16" s="38" t="inlineStr">
        <is>
          <t>資本金</t>
        </is>
      </c>
      <c r="F16" s="50">
        <f>'BS (貸方)'!E19</f>
        <v>40000000</v>
      </c>
    </row>
    <row r="17" ht="23" customHeight="1">
      <c r="B17" s="38" t="inlineStr">
        <is>
          <t>その他</t>
        </is>
      </c>
      <c r="C17" s="50">
        <f>'BS(借方)'!E38-('BS(借方)'!E18+'BS(借方)'!E19+'BS(借方)'!E20)-'BS(借方)'!E24-'BS(借方)'!E30-'BS(借方)'!E32-'BS(借方)'!E35</f>
        <v>168063</v>
      </c>
      <c r="D17" s="38" t="n"/>
      <c r="E17" s="38" t="inlineStr">
        <is>
          <t>利益剰余金</t>
        </is>
      </c>
      <c r="F17" s="50">
        <f>'BS (貸方)'!E20+'BS (貸方)'!E21</f>
        <v>37872581</v>
      </c>
    </row>
    <row r="18" ht="23" customHeight="1">
      <c r="B18" s="38" t="n"/>
      <c r="C18" s="50" t="n"/>
      <c r="D18" s="38" t="n"/>
      <c r="E18" s="43" t="inlineStr">
        <is>
          <t>純資産合計</t>
        </is>
      </c>
      <c r="F18" s="44">
        <f>'BS (貸方)'!E22</f>
        <v>77872581</v>
      </c>
    </row>
    <row r="19" ht="23" customHeight="1">
      <c r="B19" s="43" t="inlineStr">
        <is>
          <t>資産合計</t>
        </is>
      </c>
      <c r="C19" s="44">
        <f>'BS(借方)'!E40</f>
        <v>485190104</v>
      </c>
      <c r="D19" s="38" t="n"/>
      <c r="E19" s="43" t="inlineStr">
        <is>
          <t>負債・純資産合計</t>
        </is>
      </c>
      <c r="F19" s="44">
        <f>'BS (貸方)'!E23</f>
        <v>485190104</v>
      </c>
    </row>
    <row r="22">
      <c r="B22" s="26" t="inlineStr">
        <is>
          <t>参考：B/S推移（コメント・リード文用。貼付範囲外）</t>
        </is>
      </c>
      <c r="C22" s="45" t="n"/>
      <c r="D22" s="45" t="n"/>
      <c r="E22" s="45" t="n"/>
      <c r="F22" s="29" t="n"/>
    </row>
    <row r="23">
      <c r="B23" s="33" t="inlineStr">
        <is>
          <t>項目</t>
        </is>
      </c>
      <c r="C23" s="33" t="inlineStr">
        <is>
          <t>2024/3末</t>
        </is>
      </c>
      <c r="D23" s="33" t="inlineStr">
        <is>
          <t>2025/3末</t>
        </is>
      </c>
      <c r="E23" s="33" t="inlineStr">
        <is>
          <t>2026/3末</t>
        </is>
      </c>
      <c r="F23" s="33" t="inlineStr">
        <is>
          <t>2026/7末</t>
        </is>
      </c>
    </row>
    <row r="24">
      <c r="B24" s="30" t="inlineStr">
        <is>
          <t>現金及び預金</t>
        </is>
      </c>
      <c r="C24" s="39">
        <f>'BS(借方)'!C6</f>
        <v>339552632</v>
      </c>
      <c r="D24" s="39">
        <f>'BS(借方)'!D6</f>
        <v>259719301</v>
      </c>
      <c r="E24" s="39">
        <f>'BS(借方)'!E6</f>
        <v>210887077</v>
      </c>
      <c r="F24" s="39">
        <f>'BS(借方)'!G6</f>
        <v>162087296</v>
      </c>
    </row>
    <row r="25">
      <c r="B25" s="30" t="inlineStr">
        <is>
          <t>売上債権（売掛金・資材肥料売掛金）</t>
        </is>
      </c>
      <c r="C25" s="39">
        <f>'BS(借方)'!C7+'BS(借方)'!C8</f>
        <v>22523530</v>
      </c>
      <c r="D25" s="39">
        <f>'BS(借方)'!D7+'BS(借方)'!D8</f>
        <v>23165625</v>
      </c>
      <c r="E25" s="39">
        <f>'BS(借方)'!E7+'BS(借方)'!E8</f>
        <v>20836318</v>
      </c>
      <c r="F25" s="39">
        <f>'BS(借方)'!G7+'BS(借方)'!G8</f>
        <v>42952291</v>
      </c>
    </row>
    <row r="26">
      <c r="B26" s="30" t="inlineStr">
        <is>
          <t>棚卸資産</t>
        </is>
      </c>
      <c r="C26" s="39">
        <f>'BS(借方)'!C9</f>
        <v>9859795</v>
      </c>
      <c r="D26" s="39">
        <f>'BS(借方)'!D9</f>
        <v>15443609</v>
      </c>
      <c r="E26" s="39">
        <f>'BS(借方)'!E9</f>
        <v>14596695</v>
      </c>
      <c r="F26" s="39">
        <f>'BS(借方)'!G9</f>
        <v>36647736</v>
      </c>
    </row>
    <row r="27">
      <c r="B27" s="30" t="inlineStr">
        <is>
          <t>資産合計</t>
        </is>
      </c>
      <c r="C27" s="39">
        <f>'BS(借方)'!C40</f>
        <v>651947559</v>
      </c>
      <c r="D27" s="39">
        <f>'BS(借方)'!D40</f>
        <v>567528964</v>
      </c>
      <c r="E27" s="39">
        <f>'BS(借方)'!E40</f>
        <v>485190104</v>
      </c>
      <c r="F27" s="39">
        <f>'BS(借方)'!G40</f>
        <v>476299797</v>
      </c>
    </row>
    <row r="28">
      <c r="B28" s="30" t="inlineStr">
        <is>
          <t>有利子負債（長期借入金）</t>
        </is>
      </c>
      <c r="C28" s="39">
        <f>'BS (貸方)'!C14</f>
        <v>514690000</v>
      </c>
      <c r="D28" s="39">
        <f>'BS (貸方)'!D14</f>
        <v>434046000</v>
      </c>
      <c r="E28" s="39">
        <f>'BS (貸方)'!E14</f>
        <v>361058000</v>
      </c>
      <c r="F28" s="39">
        <f>'BS (貸方)'!G14</f>
        <v>337862000</v>
      </c>
    </row>
    <row r="29">
      <c r="B29" s="30" t="inlineStr">
        <is>
          <t>純資産</t>
        </is>
      </c>
      <c r="C29" s="39">
        <f>'BS (貸方)'!C22</f>
        <v>92828337</v>
      </c>
      <c r="D29" s="39">
        <f>'BS (貸方)'!D22</f>
        <v>93757236</v>
      </c>
      <c r="E29" s="39">
        <f>'BS (貸方)'!E22</f>
        <v>77872581</v>
      </c>
      <c r="F29" s="39">
        <f>'BS (貸方)'!G22</f>
        <v>83757468</v>
      </c>
    </row>
    <row r="30">
      <c r="B30" s="30" t="inlineStr">
        <is>
          <t>自己資本比率</t>
        </is>
      </c>
      <c r="C30" s="46">
        <f>IFERROR(C29/C27,"")</f>
        <v>0.142386202262014</v>
      </c>
      <c r="D30" s="46">
        <f>IFERROR(D29/D27,"")</f>
        <v>0.165202556957075</v>
      </c>
      <c r="E30" s="46">
        <f>IFERROR(E29/E27,"")</f>
        <v>0.160499112323198</v>
      </c>
      <c r="F30" s="46">
        <f>IFERROR(F29/F27,"")</f>
        <v>0.175850312193184</v>
      </c>
    </row>
    <row r="31">
      <c r="B31" s="30" t="inlineStr">
        <is>
          <t>ネットデット（有利子負債−現預金）</t>
        </is>
      </c>
      <c r="C31" s="39">
        <f>C28-C24</f>
        <v>175137368</v>
      </c>
      <c r="D31" s="39">
        <f>D28-D24</f>
        <v>174326699</v>
      </c>
      <c r="E31" s="39">
        <f>E28-E24</f>
        <v>150170923</v>
      </c>
      <c r="F31" s="39">
        <f>F28-F24</f>
        <v>175774704</v>
      </c>
    </row>
    <row r="33">
      <c r="B33" s="26" t="inlineStr">
        <is>
          <t>借入先別残高（2026/3期末）</t>
        </is>
      </c>
      <c r="C33" s="33" t="inlineStr">
        <is>
          <t>残高</t>
        </is>
      </c>
    </row>
    <row r="34">
      <c r="B34" s="30" t="inlineStr">
        <is>
          <t>鶴岡信用金庫 本店営業部</t>
        </is>
      </c>
      <c r="C34" s="39" t="n">
        <v>182840000</v>
      </c>
    </row>
    <row r="35">
      <c r="B35" s="30" t="inlineStr">
        <is>
          <t>山形銀行 鶴岡支店</t>
        </is>
      </c>
      <c r="C35" s="39" t="n">
        <v>70250000</v>
      </c>
    </row>
    <row r="36">
      <c r="B36" s="30" t="inlineStr">
        <is>
          <t>日本政策金融公庫 山形支店（1）</t>
        </is>
      </c>
      <c r="C36" s="39" t="n">
        <v>60730000</v>
      </c>
    </row>
    <row r="37">
      <c r="B37" s="30" t="inlineStr">
        <is>
          <t>日本政策金融公庫 山形支店（2）</t>
        </is>
      </c>
      <c r="C37" s="39" t="n">
        <v>39380000</v>
      </c>
    </row>
    <row r="38">
      <c r="B38" s="30" t="inlineStr">
        <is>
          <t>日本政策金融公庫 山形支店（3）</t>
        </is>
      </c>
      <c r="C38" s="39" t="n">
        <v>7858000</v>
      </c>
    </row>
    <row r="39">
      <c r="B39" s="40" t="inlineStr">
        <is>
          <t>合計</t>
        </is>
      </c>
      <c r="C39" s="41">
        <f>SUM(C34:C38)</f>
        <v>361058000</v>
      </c>
    </row>
    <row r="40">
      <c r="B40" s="30" t="inlineStr">
        <is>
          <t>チェック：BS長期借入金と一致</t>
        </is>
      </c>
      <c r="C40" t="b">
        <f>EXACT(C39,'BS (貸方)'!E14)</f>
        <v>1</v>
      </c>
    </row>
    <row r="42">
      <c r="B42" s="47" t="inlineStr">
        <is>
          <t>※金利・返済条件・担保・保証（代表者の連帯保証含む）は内訳書に記載がなく要確認。</t>
        </is>
      </c>
    </row>
  </sheetData>
  <mergeCells count="2">
    <mergeCell ref="B22:F22"/>
    <mergeCell ref="B5:F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2" customWidth="1" min="1" max="1"/>
    <col width="25.34" customWidth="1" min="2" max="2"/>
    <col width="15.06" customWidth="1" min="3" max="3"/>
    <col width="10.26" customWidth="1" min="4" max="4"/>
    <col width="93.23" customWidth="1" min="5" max="5"/>
  </cols>
  <sheetData>
    <row r="1">
      <c r="A1" s="1" t="inlineStr">
        <is>
          <t>収益源別売上高（進行期試算表）</t>
        </is>
      </c>
    </row>
    <row r="2">
      <c r="A2" s="25" t="inlineStr">
        <is>
          <t>■ 貼付範囲 B4:E11 → 企業概要書「事業の仕組みと収益源」（範囲をコピーしてパワポに貼り付け。数字はここを直す）</t>
        </is>
      </c>
    </row>
    <row r="4">
      <c r="C4" s="32" t="inlineStr">
        <is>
          <t>(単位：千円)</t>
        </is>
      </c>
    </row>
    <row r="5" ht="28" customHeight="1">
      <c r="B5" s="33" t="inlineStr">
        <is>
          <t>収益区分
（2026年4〜7月）</t>
        </is>
      </c>
      <c r="C5" s="33" t="inlineStr">
        <is>
          <t>金額</t>
        </is>
      </c>
      <c r="D5" s="33" t="inlineStr">
        <is>
          <t>構成比</t>
        </is>
      </c>
      <c r="E5" s="33" t="inlineStr">
        <is>
          <t>内容</t>
        </is>
      </c>
    </row>
    <row r="6" ht="19" customHeight="1">
      <c r="B6" s="27" t="inlineStr">
        <is>
          <t>商品売上高</t>
        </is>
      </c>
      <c r="C6" s="39">
        <f>PL!I5</f>
        <v>375960544</v>
      </c>
      <c r="D6" s="46">
        <f>IFERROR(C6/C$11,"")</f>
        <v>0.914401119926206</v>
      </c>
      <c r="E6" s="28" t="inlineStr">
        <is>
          <t>青果物の販売（買付販売は総額、受託販売は2019年10月以降手数料のみの純額で計上）</t>
        </is>
      </c>
    </row>
    <row r="7" ht="19" customHeight="1">
      <c r="B7" s="27" t="inlineStr">
        <is>
          <t>委託手数料収入</t>
        </is>
      </c>
      <c r="C7" s="39">
        <f>PL!I8</f>
        <v>12563500</v>
      </c>
      <c r="D7" s="46">
        <f>IFERROR(C7/C$11,"")</f>
        <v>0.0305566066799629</v>
      </c>
      <c r="E7" s="28" t="inlineStr">
        <is>
          <t>受託販売の手数料。生産者の商品を預かり、販売後に販売額の8.5%を収受</t>
        </is>
      </c>
    </row>
    <row r="8" ht="19" customHeight="1">
      <c r="B8" s="27" t="inlineStr">
        <is>
          <t>センター費収入</t>
        </is>
      </c>
      <c r="C8" s="39">
        <f>PL!I7</f>
        <v>12272629</v>
      </c>
      <c r="D8" s="46">
        <f>IFERROR(C8/C$11,"")</f>
        <v>0.0298491580596256</v>
      </c>
      <c r="E8" s="28" t="inlineStr">
        <is>
          <t>(株)主婦の店の仕入商品の配送受託。配送額の約10%（1日約10万円）を収受</t>
        </is>
      </c>
    </row>
    <row r="9" ht="19" customHeight="1">
      <c r="B9" s="27" t="inlineStr">
        <is>
          <t>資材売上高</t>
        </is>
      </c>
      <c r="C9" s="39">
        <f>PL!I6</f>
        <v>10820414</v>
      </c>
      <c r="D9" s="46">
        <f>IFERROR(C9/C$11,"")</f>
        <v>0.0263171198083627</v>
      </c>
      <c r="E9" s="28" t="inlineStr">
        <is>
          <t>包装資材の販売（仕入資材の約8割は自社利用。肥料はほぼ取扱いなし）</t>
        </is>
      </c>
    </row>
    <row r="10" ht="19" customHeight="1">
      <c r="B10" s="27" t="inlineStr">
        <is>
          <t>売上割戻</t>
        </is>
      </c>
      <c r="C10" s="39">
        <f>PL!I9</f>
        <v>-462140</v>
      </c>
      <c r="D10" s="46">
        <f>IFERROR(C10/C$11,"")</f>
        <v>-0.00112400447415753</v>
      </c>
      <c r="E10" s="28" t="inlineStr">
        <is>
          <t>完納奨励金：期限内に代金を支払った八百屋等へ対象売上の約3%を還元（市場の商慣習）</t>
        </is>
      </c>
    </row>
    <row r="11" ht="19" customHeight="1">
      <c r="B11" s="40" t="inlineStr">
        <is>
          <t>売上高 計</t>
        </is>
      </c>
      <c r="C11" s="41">
        <f>SUM(C6:C10)</f>
        <v>411154947</v>
      </c>
      <c r="D11" s="51">
        <f>IFERROR(C11/C11,"")</f>
        <v>1</v>
      </c>
      <c r="E11" s="40" t="inlineStr"/>
    </row>
    <row r="12">
      <c r="B12" s="30" t="inlineStr">
        <is>
          <t>チェック：PL売上高と一致</t>
        </is>
      </c>
      <c r="C12" t="b">
        <f>EXACT(C11,PL!I10)</f>
        <v>1</v>
      </c>
    </row>
    <row r="14">
      <c r="B14" s="26" t="inlineStr">
        <is>
          <t>参考（貼付範囲外）</t>
        </is>
      </c>
      <c r="C14" s="45" t="n"/>
      <c r="D14" s="29" t="n"/>
    </row>
    <row r="15">
      <c r="B15" s="30" t="inlineStr">
        <is>
          <t>受託手数料率（第2回面談）</t>
        </is>
      </c>
      <c r="C15" s="46" t="n">
        <v>0.08500000000000001</v>
      </c>
    </row>
    <row r="16">
      <c r="B16" s="30" t="inlineStr">
        <is>
          <t>受託販売の取扱高（推計）</t>
        </is>
      </c>
      <c r="C16" s="39">
        <f>IFERROR(C7/C15,"")</f>
        <v>147805882.352941</v>
      </c>
      <c r="D16" s="31" t="inlineStr">
        <is>
          <t>委託手数料収入÷手数料率（4か月）</t>
        </is>
      </c>
    </row>
    <row r="17">
      <c r="B17" s="30" t="inlineStr">
        <is>
          <t>センター費の月平均（試算表）</t>
        </is>
      </c>
      <c r="C17" s="39">
        <f>C8/4</f>
        <v>3068157.25</v>
      </c>
      <c r="D17" s="31" t="inlineStr">
        <is>
          <t>代表者談「1日約10万円」と照合用</t>
        </is>
      </c>
    </row>
    <row r="18">
      <c r="B18" s="30" t="inlineStr">
        <is>
          <t>取扱構成（代表者の感覚値）</t>
        </is>
      </c>
      <c r="C18" s="31" t="inlineStr">
        <is>
          <t>買付販売 約7割／受託販売 約2割／関連サービス等 約1割／資材 ほぼ0</t>
        </is>
      </c>
      <c r="D18" s="45" t="n"/>
      <c r="E18" s="29" t="n"/>
    </row>
    <row r="20">
      <c r="B20" s="47" t="inlineStr">
        <is>
          <t>※決算書では売上高を「商品売上高」1本で表示しているため、収益源別の内訳は試算表（2026年4〜7月）で代替。年度別内訳は要確認。</t>
        </is>
      </c>
    </row>
  </sheetData>
  <mergeCells count="2">
    <mergeCell ref="C18:E18"/>
    <mergeCell ref="B14:D14"/>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2"/>
  <sheetViews>
    <sheetView showGridLines="0" workbookViewId="0">
      <selection activeCell="A1" sqref="A1"/>
    </sheetView>
  </sheetViews>
  <sheetFormatPr baseColWidth="8" defaultRowHeight="15"/>
  <cols>
    <col width="2" customWidth="1" min="1" max="1"/>
    <col width="3.67" customWidth="1" min="2" max="2"/>
    <col width="27.4" customWidth="1" min="3" max="3"/>
    <col width="13" customWidth="1" min="4" max="4"/>
    <col width="29.46" customWidth="1" min="5" max="5"/>
    <col width="9.98" customWidth="1" min="6" max="6"/>
    <col width="7.51" customWidth="1" min="7" max="7"/>
    <col width="9.98" customWidth="1" min="8" max="8"/>
    <col width="7.51" customWidth="1" min="9" max="9"/>
    <col width="9.98" customWidth="1" min="10" max="10"/>
    <col width="7.51" customWidth="1" min="11" max="11"/>
    <col width="13" customWidth="1" min="12" max="12"/>
  </cols>
  <sheetData>
    <row r="1">
      <c r="A1" s="1" t="inlineStr">
        <is>
          <t>主要得意先の3期推移（期末売掛金残高）</t>
        </is>
      </c>
    </row>
    <row r="2">
      <c r="A2" s="25" t="inlineStr">
        <is>
          <t>■ 貼付範囲 B4:L19 → 企業概要書「主要得意先の3期推移」（範囲をコピーしてパワポに貼り付け。数字はここを直す）</t>
        </is>
      </c>
    </row>
    <row r="4">
      <c r="L4" s="32" t="inlineStr">
        <is>
          <t>(単位：千円)</t>
        </is>
      </c>
    </row>
    <row r="5" ht="15" customHeight="1">
      <c r="B5" s="52" t="inlineStr">
        <is>
          <t>№</t>
        </is>
      </c>
      <c r="C5" s="52" t="inlineStr">
        <is>
          <t>得意先</t>
        </is>
      </c>
      <c r="D5" s="52" t="inlineStr">
        <is>
          <t>本社所在地</t>
        </is>
      </c>
      <c r="E5" s="52" t="inlineStr">
        <is>
          <t>業種等</t>
        </is>
      </c>
      <c r="F5" s="52" t="inlineStr">
        <is>
          <t>2024年3月期末</t>
        </is>
      </c>
      <c r="G5" s="29" t="n"/>
      <c r="H5" s="52" t="inlineStr">
        <is>
          <t>2025年3月期末</t>
        </is>
      </c>
      <c r="I5" s="29" t="n"/>
      <c r="J5" s="52" t="inlineStr">
        <is>
          <t>2026年3月期末</t>
        </is>
      </c>
      <c r="K5" s="29" t="n"/>
      <c r="L5" s="52" t="inlineStr">
        <is>
          <t>備考</t>
        </is>
      </c>
    </row>
    <row r="6" ht="15" customHeight="1">
      <c r="B6" s="53" t="n"/>
      <c r="C6" s="53" t="n"/>
      <c r="D6" s="53" t="n"/>
      <c r="E6" s="53" t="n"/>
      <c r="F6" s="52" t="inlineStr">
        <is>
          <t>残高</t>
        </is>
      </c>
      <c r="G6" s="52" t="inlineStr">
        <is>
          <t>構成比</t>
        </is>
      </c>
      <c r="H6" s="52" t="inlineStr">
        <is>
          <t>残高</t>
        </is>
      </c>
      <c r="I6" s="52" t="inlineStr">
        <is>
          <t>構成比</t>
        </is>
      </c>
      <c r="J6" s="52" t="inlineStr">
        <is>
          <t>残高</t>
        </is>
      </c>
      <c r="K6" s="52" t="inlineStr">
        <is>
          <t>構成比</t>
        </is>
      </c>
      <c r="L6" s="53" t="n"/>
    </row>
    <row r="7" ht="22" customHeight="1">
      <c r="B7" s="54" t="n">
        <v>1</v>
      </c>
      <c r="C7" s="31" t="inlineStr">
        <is>
          <t>(株)主婦の店</t>
        </is>
      </c>
      <c r="D7" s="31" t="inlineStr">
        <is>
          <t>鶴岡市</t>
        </is>
      </c>
      <c r="E7" s="31" t="inlineStr">
        <is>
          <t>食品スーパー（推察）</t>
        </is>
      </c>
      <c r="F7" s="55" t="n">
        <v>7624554</v>
      </c>
      <c r="G7" s="56">
        <f>IFERROR(F7/F$19,"")</f>
        <v>0.338515055144553</v>
      </c>
      <c r="H7" s="55" t="n">
        <v>7465020</v>
      </c>
      <c r="I7" s="56">
        <f>IFERROR(H7/H$19,"")</f>
        <v>0.32224556859571</v>
      </c>
      <c r="J7" s="55" t="n">
        <v>7194026</v>
      </c>
      <c r="K7" s="56">
        <f>IFERROR(J7/J$19,"")</f>
        <v>0.345263784129231</v>
      </c>
      <c r="L7" s="31" t="inlineStr"/>
    </row>
    <row r="8" ht="22" customHeight="1">
      <c r="B8" s="54" t="n">
        <v>2</v>
      </c>
      <c r="C8" s="31" t="inlineStr">
        <is>
          <t>小島商店</t>
        </is>
      </c>
      <c r="D8" s="31" t="inlineStr">
        <is>
          <t>鶴岡市</t>
        </is>
      </c>
      <c r="E8" s="31" t="inlineStr">
        <is>
          <t>青果小売（推察）</t>
        </is>
      </c>
      <c r="F8" s="55" t="n">
        <v>3566319</v>
      </c>
      <c r="G8" s="56">
        <f>IFERROR(F8/F$19,"")</f>
        <v>0.158337480847807</v>
      </c>
      <c r="H8" s="55" t="n">
        <v>1609526</v>
      </c>
      <c r="I8" s="56">
        <f>IFERROR(H8/H$19,"")</f>
        <v>0.0694790665047889</v>
      </c>
      <c r="J8" s="55" t="n">
        <v>2482212</v>
      </c>
      <c r="K8" s="56">
        <f>IFERROR(J8/J$19,"")</f>
        <v>0.119129109087316</v>
      </c>
      <c r="L8" s="31" t="inlineStr"/>
    </row>
    <row r="9" ht="22" customHeight="1">
      <c r="B9" s="54" t="n">
        <v>3</v>
      </c>
      <c r="C9" s="31" t="inlineStr">
        <is>
          <t>長井中央青果(株)</t>
        </is>
      </c>
      <c r="D9" s="31" t="inlineStr">
        <is>
          <t>長井市</t>
        </is>
      </c>
      <c r="E9" s="31" t="inlineStr">
        <is>
          <t>青果卸（長井中央青果地方卸売市場）</t>
        </is>
      </c>
      <c r="F9" s="55" t="n">
        <v>3038668</v>
      </c>
      <c r="G9" s="56">
        <f>IFERROR(F9/F$19,"")</f>
        <v>0.134910824369004</v>
      </c>
      <c r="H9" s="55" t="n">
        <v>4185185</v>
      </c>
      <c r="I9" s="56">
        <f>IFERROR(H9/H$19,"")</f>
        <v>0.180663590988803</v>
      </c>
      <c r="J9" s="55" t="n">
        <v>1785378</v>
      </c>
      <c r="K9" s="56">
        <f>IFERROR(J9/J$19,"")</f>
        <v>0.0856858682997639</v>
      </c>
      <c r="L9" s="31" t="inlineStr"/>
    </row>
    <row r="10" ht="22" customHeight="1">
      <c r="B10" s="54" t="n">
        <v>4</v>
      </c>
      <c r="C10" s="31" t="inlineStr">
        <is>
          <t>生活協同組合共立社</t>
        </is>
      </c>
      <c r="D10" s="31" t="inlineStr">
        <is>
          <t>鶴岡市</t>
        </is>
      </c>
      <c r="E10" s="31" t="inlineStr">
        <is>
          <t>生協</t>
        </is>
      </c>
      <c r="F10" s="55" t="n">
        <v>1109653</v>
      </c>
      <c r="G10" s="56">
        <f>IFERROR(F10/F$19,"")</f>
        <v>0.0492663894158687</v>
      </c>
      <c r="H10" s="55" t="n">
        <v>2034205</v>
      </c>
      <c r="I10" s="56">
        <f>IFERROR(H10/H$19,"")</f>
        <v>0.0878113584243896</v>
      </c>
      <c r="J10" s="55" t="n">
        <v>1931830</v>
      </c>
      <c r="K10" s="56">
        <f>IFERROR(J10/J$19,"")</f>
        <v>0.092714557341657</v>
      </c>
      <c r="L10" s="31" t="inlineStr"/>
    </row>
    <row r="11" ht="22" customHeight="1">
      <c r="B11" s="54" t="n">
        <v>5</v>
      </c>
      <c r="C11" s="31" t="inlineStr">
        <is>
          <t>給食センター</t>
        </is>
      </c>
      <c r="D11" s="31" t="inlineStr">
        <is>
          <t>鶴岡市</t>
        </is>
      </c>
      <c r="E11" s="31" t="inlineStr">
        <is>
          <t>学校給食（推察）</t>
        </is>
      </c>
      <c r="F11" s="55" t="n">
        <v>793291</v>
      </c>
      <c r="G11" s="56">
        <f>IFERROR(F11/F$19,"")</f>
        <v>0.0352205449145849</v>
      </c>
      <c r="H11" s="55" t="n">
        <v>1307264</v>
      </c>
      <c r="I11" s="56">
        <f>IFERROR(H11/H$19,"")</f>
        <v>0.0564311992445704</v>
      </c>
      <c r="J11" s="55" t="n">
        <v>1121037</v>
      </c>
      <c r="K11" s="56">
        <f>IFERROR(J11/J$19,"")</f>
        <v>0.0538020681005156</v>
      </c>
      <c r="L11" s="31" t="inlineStr"/>
    </row>
    <row r="12" ht="22" customHeight="1">
      <c r="B12" s="54" t="n">
        <v>6</v>
      </c>
      <c r="C12" s="31" t="inlineStr">
        <is>
          <t>元青果</t>
        </is>
      </c>
      <c r="D12" s="31" t="inlineStr">
        <is>
          <t>三川町</t>
        </is>
      </c>
      <c r="E12" s="31" t="inlineStr">
        <is>
          <t>公設庄内青果物地方卸売市場内事業者（推察）</t>
        </is>
      </c>
      <c r="F12" s="55" t="n">
        <v>1050840</v>
      </c>
      <c r="G12" s="56">
        <f>IFERROR(F12/F$19,"")</f>
        <v>0.0466552090191902</v>
      </c>
      <c r="H12" s="55" t="n">
        <v>1018741</v>
      </c>
      <c r="I12" s="56">
        <f>IFERROR(H12/H$19,"")</f>
        <v>0.0439764090111965</v>
      </c>
      <c r="J12" s="55" t="n">
        <v>745635</v>
      </c>
      <c r="K12" s="56">
        <f>IFERROR(J12/J$19,"")</f>
        <v>0.0357853532471524</v>
      </c>
      <c r="L12" s="31" t="inlineStr"/>
    </row>
    <row r="13" ht="22" customHeight="1">
      <c r="B13" s="54" t="n">
        <v>7</v>
      </c>
      <c r="C13" s="31" t="inlineStr">
        <is>
          <t>生活協同組合連合会アイチョイス</t>
        </is>
      </c>
      <c r="D13" s="31" t="inlineStr">
        <is>
          <t>名古屋市</t>
        </is>
      </c>
      <c r="E13" s="31" t="inlineStr">
        <is>
          <t>生協連合会</t>
        </is>
      </c>
      <c r="F13" s="55" t="n">
        <v>751258</v>
      </c>
      <c r="G13" s="56">
        <f>IFERROR(F13/F$19,"")</f>
        <v>0.0333543631926257</v>
      </c>
      <c r="H13" s="55" t="n">
        <v>1032520</v>
      </c>
      <c r="I13" s="56">
        <f>IFERROR(H13/H$19,"")</f>
        <v>0.0445712127343855</v>
      </c>
      <c r="J13" s="55" t="n">
        <v>617729</v>
      </c>
      <c r="K13" s="56">
        <f>IFERROR(J13/J$19,"")</f>
        <v>0.0296467446887689</v>
      </c>
      <c r="L13" s="31" t="inlineStr"/>
    </row>
    <row r="14" ht="22" customHeight="1">
      <c r="B14" s="54" t="n">
        <v>8</v>
      </c>
      <c r="C14" s="31" t="inlineStr">
        <is>
          <t>(株)みどりの里</t>
        </is>
      </c>
      <c r="D14" s="31" t="inlineStr">
        <is>
          <t>愛知県豊田市</t>
        </is>
      </c>
      <c r="E14" s="31" t="inlineStr"/>
      <c r="F14" s="55" t="n">
        <v>502958</v>
      </c>
      <c r="G14" s="56">
        <f>IFERROR(F14/F$19,"")</f>
        <v>0.0223303363193958</v>
      </c>
      <c r="H14" s="55" t="n">
        <v>886182</v>
      </c>
      <c r="I14" s="56">
        <f>IFERROR(H14/H$19,"")</f>
        <v>0.0382541804937272</v>
      </c>
      <c r="J14" s="55" t="n"/>
      <c r="K14" s="56">
        <f>IFERROR(J14/J$19,"")</f>
        <v>0</v>
      </c>
      <c r="L14" s="31" t="inlineStr"/>
    </row>
    <row r="15" ht="22" customHeight="1">
      <c r="B15" s="54" t="n">
        <v>9</v>
      </c>
      <c r="C15" s="31" t="inlineStr">
        <is>
          <t>(有)新庄丸果青果</t>
        </is>
      </c>
      <c r="D15" s="31" t="inlineStr">
        <is>
          <t>新庄市</t>
        </is>
      </c>
      <c r="E15" s="31" t="inlineStr">
        <is>
          <t>青果卸（推察）</t>
        </is>
      </c>
      <c r="F15" s="55" t="n">
        <v>825334</v>
      </c>
      <c r="G15" s="56">
        <f>IFERROR(F15/F$19,"")</f>
        <v>0.0366431904768036</v>
      </c>
      <c r="H15" s="55" t="n">
        <v>705974</v>
      </c>
      <c r="I15" s="56">
        <f>IFERROR(H15/H$19,"")</f>
        <v>0.0304750681235667</v>
      </c>
      <c r="J15" s="55" t="n"/>
      <c r="K15" s="56">
        <f>IFERROR(J15/J$19,"")</f>
        <v>0</v>
      </c>
      <c r="L15" s="31" t="inlineStr"/>
    </row>
    <row r="16" ht="22" customHeight="1">
      <c r="B16" s="54" t="n">
        <v>10</v>
      </c>
      <c r="C16" s="31" t="inlineStr">
        <is>
          <t>(株)やま高商店</t>
        </is>
      </c>
      <c r="D16" s="31" t="inlineStr">
        <is>
          <t>仙台市</t>
        </is>
      </c>
      <c r="E16" s="31" t="inlineStr"/>
      <c r="F16" s="55" t="n">
        <v>862435</v>
      </c>
      <c r="G16" s="56">
        <f>IFERROR(F16/F$19,"")</f>
        <v>0.0382904011937738</v>
      </c>
      <c r="H16" s="55" t="n"/>
      <c r="I16" s="56">
        <f>IFERROR(H16/H$19,"")</f>
        <v>0</v>
      </c>
      <c r="J16" s="55" t="n"/>
      <c r="K16" s="56">
        <f>IFERROR(J16/J$19,"")</f>
        <v>0</v>
      </c>
      <c r="L16" s="31" t="inlineStr"/>
    </row>
    <row r="17" ht="22" customHeight="1">
      <c r="B17" s="54" t="n">
        <v>11</v>
      </c>
      <c r="C17" s="31" t="inlineStr">
        <is>
          <t>みどり水産</t>
        </is>
      </c>
      <c r="D17" s="31" t="inlineStr"/>
      <c r="E17" s="31" t="inlineStr"/>
      <c r="F17" s="55" t="n"/>
      <c r="G17" s="56">
        <f>IFERROR(F17/F$19,"")</f>
        <v>0</v>
      </c>
      <c r="H17" s="55" t="n">
        <v>630388</v>
      </c>
      <c r="I17" s="56">
        <f>IFERROR(H17/H$19,"")</f>
        <v>0.0272122163766356</v>
      </c>
      <c r="J17" s="55" t="n"/>
      <c r="K17" s="56">
        <f>IFERROR(J17/J$19,"")</f>
        <v>0</v>
      </c>
      <c r="L17" s="31" t="inlineStr"/>
    </row>
    <row r="18" ht="22" customHeight="1">
      <c r="B18" s="54" t="inlineStr"/>
      <c r="C18" s="31" t="inlineStr">
        <is>
          <t>その他</t>
        </is>
      </c>
      <c r="D18" s="31" t="inlineStr"/>
      <c r="E18" s="31" t="inlineStr"/>
      <c r="F18" s="55" t="n">
        <v>2398220</v>
      </c>
      <c r="G18" s="56">
        <f>IFERROR(F18/F$19,"")</f>
        <v>0.106476205106393</v>
      </c>
      <c r="H18" s="55" t="n">
        <v>2290620</v>
      </c>
      <c r="I18" s="56">
        <f>IFERROR(H18/H$19,"")</f>
        <v>0.0988801295022258</v>
      </c>
      <c r="J18" s="55" t="n">
        <v>4958471</v>
      </c>
      <c r="K18" s="56">
        <f>IFERROR(J18/J$19,"")</f>
        <v>0.237972515105596</v>
      </c>
      <c r="L18" s="31" t="inlineStr"/>
    </row>
    <row r="19" ht="16" customHeight="1">
      <c r="B19" s="57" t="inlineStr"/>
      <c r="C19" s="57" t="inlineStr">
        <is>
          <t>合計</t>
        </is>
      </c>
      <c r="D19" s="57" t="inlineStr"/>
      <c r="E19" s="57" t="inlineStr"/>
      <c r="F19" s="58" t="n">
        <v>22523530</v>
      </c>
      <c r="G19" s="59">
        <f>IFERROR(F19/F19,"")</f>
        <v>1</v>
      </c>
      <c r="H19" s="58" t="n">
        <v>23165625</v>
      </c>
      <c r="I19" s="59">
        <f>IFERROR(H19/H19,"")</f>
        <v>1</v>
      </c>
      <c r="J19" s="58" t="n">
        <v>20836318</v>
      </c>
      <c r="K19" s="59">
        <f>IFERROR(J19/J19,"")</f>
        <v>1</v>
      </c>
      <c r="L19" s="57" t="inlineStr"/>
    </row>
    <row r="20">
      <c r="C20" s="30" t="inlineStr">
        <is>
          <t>チェック（明細合計＝合計）</t>
        </is>
      </c>
      <c r="F20" t="b">
        <f>EXACT(SUM(F7:F18),F19)</f>
        <v>1</v>
      </c>
      <c r="H20" t="b">
        <f>EXACT(SUM(H7:H18),H19)</f>
        <v>1</v>
      </c>
      <c r="J20" t="b">
        <f>EXACT(SUM(J7:J18),J19)</f>
        <v>1</v>
      </c>
    </row>
    <row r="22">
      <c r="B22" s="47" t="inlineStr">
        <is>
          <t>※勘定科目内訳明細書の期末残高（50万円以上の相手先を個別記載）。年間取引高ではないため取引規模の順位とは異なる可能性がある（年間取引高は資料依頼中）。業種は公開情報等からの推察を含む。</t>
        </is>
      </c>
    </row>
  </sheetData>
  <mergeCells count="8">
    <mergeCell ref="E5:E6"/>
    <mergeCell ref="J5:K5"/>
    <mergeCell ref="L5:L6"/>
    <mergeCell ref="F5:G5"/>
    <mergeCell ref="C5:C6"/>
    <mergeCell ref="H5:I5"/>
    <mergeCell ref="B5:B6"/>
    <mergeCell ref="D5:D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8"/>
  <sheetViews>
    <sheetView showGridLines="0" workbookViewId="0">
      <selection activeCell="A1" sqref="A1"/>
    </sheetView>
  </sheetViews>
  <sheetFormatPr baseColWidth="8" defaultRowHeight="15"/>
  <cols>
    <col width="2" customWidth="1" min="1" max="1"/>
    <col width="3.67" customWidth="1" min="2" max="2"/>
    <col width="27.4" customWidth="1" min="3" max="3"/>
    <col width="13" customWidth="1" min="4" max="4"/>
    <col width="29.46" customWidth="1" min="5" max="5"/>
    <col width="9.98" customWidth="1" min="6" max="6"/>
    <col width="7.51" customWidth="1" min="7" max="7"/>
    <col width="9.98" customWidth="1" min="8" max="8"/>
    <col width="7.51" customWidth="1" min="9" max="9"/>
    <col width="9.98" customWidth="1" min="10" max="10"/>
    <col width="7.51" customWidth="1" min="11" max="11"/>
    <col width="13" customWidth="1" min="12" max="12"/>
  </cols>
  <sheetData>
    <row r="1">
      <c r="A1" s="1" t="inlineStr">
        <is>
          <t>主要仕入先の3期推移（期末買掛金残高）</t>
        </is>
      </c>
    </row>
    <row r="2">
      <c r="A2" s="25" t="inlineStr">
        <is>
          <t>■ 貼付範囲 B4:L15 → 企業概要書「主要仕入先の3期推移」（範囲をコピーしてパワポに貼り付け。数字はここを直す）</t>
        </is>
      </c>
    </row>
    <row r="4">
      <c r="L4" s="32" t="inlineStr">
        <is>
          <t>(単位：千円)</t>
        </is>
      </c>
    </row>
    <row r="5" ht="15" customHeight="1">
      <c r="B5" s="52" t="inlineStr">
        <is>
          <t>№</t>
        </is>
      </c>
      <c r="C5" s="52" t="inlineStr">
        <is>
          <t>仕入先</t>
        </is>
      </c>
      <c r="D5" s="52" t="inlineStr">
        <is>
          <t>本社所在地</t>
        </is>
      </c>
      <c r="E5" s="52" t="inlineStr">
        <is>
          <t>業種等</t>
        </is>
      </c>
      <c r="F5" s="52" t="inlineStr">
        <is>
          <t>2024年3月期末</t>
        </is>
      </c>
      <c r="G5" s="29" t="n"/>
      <c r="H5" s="52" t="inlineStr">
        <is>
          <t>2025年3月期末</t>
        </is>
      </c>
      <c r="I5" s="29" t="n"/>
      <c r="J5" s="52" t="inlineStr">
        <is>
          <t>2026年3月期末</t>
        </is>
      </c>
      <c r="K5" s="29" t="n"/>
      <c r="L5" s="52" t="inlineStr">
        <is>
          <t>備考</t>
        </is>
      </c>
    </row>
    <row r="6" ht="15" customHeight="1">
      <c r="B6" s="53" t="n"/>
      <c r="C6" s="53" t="n"/>
      <c r="D6" s="53" t="n"/>
      <c r="E6" s="53" t="n"/>
      <c r="F6" s="52" t="inlineStr">
        <is>
          <t>残高</t>
        </is>
      </c>
      <c r="G6" s="52" t="inlineStr">
        <is>
          <t>構成比</t>
        </is>
      </c>
      <c r="H6" s="52" t="inlineStr">
        <is>
          <t>残高</t>
        </is>
      </c>
      <c r="I6" s="52" t="inlineStr">
        <is>
          <t>構成比</t>
        </is>
      </c>
      <c r="J6" s="52" t="inlineStr">
        <is>
          <t>残高</t>
        </is>
      </c>
      <c r="K6" s="52" t="inlineStr">
        <is>
          <t>構成比</t>
        </is>
      </c>
      <c r="L6" s="53" t="n"/>
    </row>
    <row r="7" ht="22" customHeight="1">
      <c r="B7" s="54" t="n">
        <v>1</v>
      </c>
      <c r="C7" s="31" t="inlineStr">
        <is>
          <t>丸果庄内青果(株)</t>
        </is>
      </c>
      <c r="D7" s="31" t="inlineStr">
        <is>
          <t>三川町</t>
        </is>
      </c>
      <c r="E7" s="31" t="inlineStr">
        <is>
          <t>青果卸（公設庄内青果物地方卸売市場）</t>
        </is>
      </c>
      <c r="F7" s="55" t="n">
        <v>6568837</v>
      </c>
      <c r="G7" s="56">
        <f>IFERROR(F7/F$15,"")</f>
        <v>0.362363833680527</v>
      </c>
      <c r="H7" s="55" t="n">
        <v>5733427</v>
      </c>
      <c r="I7" s="56">
        <f>IFERROR(H7/H$15,"")</f>
        <v>0.287318966951509</v>
      </c>
      <c r="J7" s="55" t="n">
        <v>12426183</v>
      </c>
      <c r="K7" s="56">
        <f>IFERROR(J7/J$15,"")</f>
        <v>0.471597611487776</v>
      </c>
      <c r="L7" s="31" t="inlineStr"/>
    </row>
    <row r="8" ht="22" customHeight="1">
      <c r="B8" s="54" t="n">
        <v>2</v>
      </c>
      <c r="C8" s="31" t="inlineStr">
        <is>
          <t>長井中央青果(株)</t>
        </is>
      </c>
      <c r="D8" s="31" t="inlineStr">
        <is>
          <t>長井市</t>
        </is>
      </c>
      <c r="E8" s="31" t="inlineStr">
        <is>
          <t>青果卸</t>
        </is>
      </c>
      <c r="F8" s="55" t="n">
        <v>1308421</v>
      </c>
      <c r="G8" s="56">
        <f>IFERROR(F8/F$15,"")</f>
        <v>0.0721778375118927</v>
      </c>
      <c r="H8" s="55" t="n">
        <v>2086538</v>
      </c>
      <c r="I8" s="56">
        <f>IFERROR(H8/H$15,"")</f>
        <v>0.104562584064481</v>
      </c>
      <c r="J8" s="55" t="n">
        <v>7397876</v>
      </c>
      <c r="K8" s="56">
        <f>IFERROR(J8/J$15,"")</f>
        <v>0.280763662637412</v>
      </c>
      <c r="L8" s="31" t="inlineStr"/>
    </row>
    <row r="9" ht="22" customHeight="1">
      <c r="B9" s="54" t="n">
        <v>3</v>
      </c>
      <c r="C9" s="31" t="inlineStr">
        <is>
          <t>(株)庄果</t>
        </is>
      </c>
      <c r="D9" s="31" t="inlineStr">
        <is>
          <t>三川町</t>
        </is>
      </c>
      <c r="E9" s="31" t="inlineStr">
        <is>
          <t>青果卸（公設庄内青果物地方卸売市場）</t>
        </is>
      </c>
      <c r="F9" s="55" t="n">
        <v>3610982</v>
      </c>
      <c r="G9" s="56">
        <f>IFERROR(F9/F$15,"")</f>
        <v>0.199196491079224</v>
      </c>
      <c r="H9" s="55" t="n">
        <v>4495652</v>
      </c>
      <c r="I9" s="56">
        <f>IFERROR(H9/H$15,"")</f>
        <v>0.225290404571905</v>
      </c>
      <c r="J9" s="55" t="n"/>
      <c r="K9" s="56">
        <f>IFERROR(J9/J$15,"")</f>
        <v>0</v>
      </c>
      <c r="L9" s="31" t="inlineStr"/>
    </row>
    <row r="10" ht="22" customHeight="1">
      <c r="B10" s="54" t="n">
        <v>4</v>
      </c>
      <c r="C10" s="31" t="inlineStr">
        <is>
          <t>(株)マルト直治郎商店</t>
        </is>
      </c>
      <c r="D10" s="31" t="inlineStr">
        <is>
          <t>三川町</t>
        </is>
      </c>
      <c r="E10" s="31" t="inlineStr"/>
      <c r="F10" s="55" t="n">
        <v>1228678</v>
      </c>
      <c r="G10" s="56">
        <f>IFERROR(F10/F$15,"")</f>
        <v>0.0677788884758325</v>
      </c>
      <c r="H10" s="55" t="n">
        <v>1954193</v>
      </c>
      <c r="I10" s="56">
        <f>IFERROR(H10/H$15,"")</f>
        <v>0.0979303850879883</v>
      </c>
      <c r="J10" s="55" t="n">
        <v>676643</v>
      </c>
      <c r="K10" s="56">
        <f>IFERROR(J10/J$15,"")</f>
        <v>0.0256799069054369</v>
      </c>
      <c r="L10" s="31" t="inlineStr"/>
    </row>
    <row r="11" ht="22" customHeight="1">
      <c r="B11" s="54" t="n">
        <v>5</v>
      </c>
      <c r="C11" s="31" t="inlineStr">
        <is>
          <t>成田食品(株)</t>
        </is>
      </c>
      <c r="D11" s="31" t="inlineStr">
        <is>
          <t>福島県相馬市</t>
        </is>
      </c>
      <c r="E11" s="31" t="inlineStr"/>
      <c r="F11" s="55" t="n">
        <v>540882</v>
      </c>
      <c r="G11" s="56">
        <f>IFERROR(F11/F$15,"")</f>
        <v>0.0298372565933347</v>
      </c>
      <c r="H11" s="55" t="n">
        <v>698863</v>
      </c>
      <c r="I11" s="56">
        <f>IFERROR(H11/H$15,"")</f>
        <v>0.0350220897903875</v>
      </c>
      <c r="J11" s="55" t="n">
        <v>615054</v>
      </c>
      <c r="K11" s="56">
        <f>IFERROR(J11/J$15,"")</f>
        <v>0.0233424855674508</v>
      </c>
      <c r="L11" s="31" t="inlineStr"/>
    </row>
    <row r="12" ht="22" customHeight="1">
      <c r="B12" s="54" t="n">
        <v>6</v>
      </c>
      <c r="C12" s="31" t="inlineStr">
        <is>
          <t>(株)ファーマインド</t>
        </is>
      </c>
      <c r="D12" s="31" t="inlineStr">
        <is>
          <t>東京都千代田区</t>
        </is>
      </c>
      <c r="E12" s="31" t="inlineStr">
        <is>
          <t>青果流通（バナナ等・推察）</t>
        </is>
      </c>
      <c r="F12" s="55" t="n"/>
      <c r="G12" s="56">
        <f>IFERROR(F12/F$15,"")</f>
        <v>0</v>
      </c>
      <c r="H12" s="55" t="n"/>
      <c r="I12" s="56">
        <f>IFERROR(H12/H$15,"")</f>
        <v>0</v>
      </c>
      <c r="J12" s="55" t="n">
        <v>707255</v>
      </c>
      <c r="K12" s="56">
        <f>IFERROR(J12/J$15,"")</f>
        <v>0.0268416913474384</v>
      </c>
      <c r="L12" s="31" t="inlineStr"/>
    </row>
    <row r="13" ht="22" customHeight="1">
      <c r="B13" s="54" t="n">
        <v>7</v>
      </c>
      <c r="C13" s="31" t="inlineStr">
        <is>
          <t>(株)東根農産センター</t>
        </is>
      </c>
      <c r="D13" s="31" t="inlineStr">
        <is>
          <t>東根市</t>
        </is>
      </c>
      <c r="E13" s="31" t="inlineStr"/>
      <c r="F13" s="55" t="n"/>
      <c r="G13" s="56">
        <f>IFERROR(F13/F$15,"")</f>
        <v>0</v>
      </c>
      <c r="H13" s="55" t="n"/>
      <c r="I13" s="56">
        <f>IFERROR(H13/H$15,"")</f>
        <v>0</v>
      </c>
      <c r="J13" s="55" t="n">
        <v>547560</v>
      </c>
      <c r="K13" s="56">
        <f>IFERROR(J13/J$15,"")</f>
        <v>0.0207809580903683</v>
      </c>
      <c r="L13" s="31" t="inlineStr"/>
    </row>
    <row r="14" ht="22" customHeight="1">
      <c r="B14" s="54" t="inlineStr"/>
      <c r="C14" s="31" t="inlineStr">
        <is>
          <t>その他</t>
        </is>
      </c>
      <c r="D14" s="31" t="inlineStr"/>
      <c r="E14" s="31" t="inlineStr"/>
      <c r="F14" s="55" t="n">
        <v>4869939</v>
      </c>
      <c r="G14" s="56">
        <f>IFERROR(F14/F$15,"")</f>
        <v>0.268645692659189</v>
      </c>
      <c r="H14" s="55" t="n">
        <v>4986247</v>
      </c>
      <c r="I14" s="56">
        <f>IFERROR(H14/H$15,"")</f>
        <v>0.249875569533729</v>
      </c>
      <c r="J14" s="55" t="n">
        <v>3978551</v>
      </c>
      <c r="K14" s="56">
        <f>IFERROR(J14/J$15,"")</f>
        <v>0.150993683964118</v>
      </c>
      <c r="L14" s="31" t="inlineStr"/>
    </row>
    <row r="15" ht="16" customHeight="1">
      <c r="B15" s="57" t="inlineStr"/>
      <c r="C15" s="57" t="inlineStr">
        <is>
          <t>合計</t>
        </is>
      </c>
      <c r="D15" s="57" t="inlineStr"/>
      <c r="E15" s="57" t="inlineStr"/>
      <c r="F15" s="58" t="n">
        <v>18127739</v>
      </c>
      <c r="G15" s="59">
        <f>IFERROR(F15/F15,"")</f>
        <v>1</v>
      </c>
      <c r="H15" s="58" t="n">
        <v>19954920</v>
      </c>
      <c r="I15" s="59">
        <f>IFERROR(H15/H15,"")</f>
        <v>1</v>
      </c>
      <c r="J15" s="58" t="n">
        <v>26349122</v>
      </c>
      <c r="K15" s="59">
        <f>IFERROR(J15/J15,"")</f>
        <v>1</v>
      </c>
      <c r="L15" s="57" t="inlineStr"/>
    </row>
    <row r="16">
      <c r="C16" s="30" t="inlineStr">
        <is>
          <t>チェック（明細合計＝合計）</t>
        </is>
      </c>
      <c r="F16" t="b">
        <f>EXACT(SUM(F7:F14),F15)</f>
        <v>1</v>
      </c>
      <c r="H16" t="b">
        <f>EXACT(SUM(H7:H14),H15)</f>
        <v>1</v>
      </c>
      <c r="J16" t="b">
        <f>EXACT(SUM(J7:J14),J15)</f>
        <v>1</v>
      </c>
    </row>
    <row r="18">
      <c r="B18" s="47" t="inlineStr">
        <is>
          <t>※勘定科目内訳明細書の期末残高（50万円以上の相手先を個別記載）。年間取引高ではないため取引規模の順位とは異なる可能性がある（年間取引高は資料依頼中）。業種は公開情報等からの推察を含む。</t>
        </is>
      </c>
    </row>
  </sheetData>
  <mergeCells count="8">
    <mergeCell ref="E5:E6"/>
    <mergeCell ref="J5:K5"/>
    <mergeCell ref="L5:L6"/>
    <mergeCell ref="F5:G5"/>
    <mergeCell ref="C5:C6"/>
    <mergeCell ref="H5:I5"/>
    <mergeCell ref="B5:B6"/>
    <mergeCell ref="D5:D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2" customWidth="1" min="1" max="1"/>
    <col width="4.09" customWidth="1" min="2" max="2"/>
    <col width="17.8" customWidth="1" min="3" max="3"/>
    <col width="31.51" customWidth="1" min="4" max="4"/>
    <col width="16.43" customWidth="1" min="5" max="5"/>
    <col width="14.37" customWidth="1" min="6" max="6"/>
    <col width="13" customWidth="1" min="7" max="7"/>
    <col width="28.09" customWidth="1" min="8" max="8"/>
  </cols>
  <sheetData>
    <row r="1">
      <c r="A1" s="1" t="inlineStr">
        <is>
          <t>株主</t>
        </is>
      </c>
    </row>
    <row r="2">
      <c r="A2" s="25" t="inlineStr">
        <is>
          <t>■ 貼付範囲 B4:H14 → 企業概要書「株主及び役員（株主）」（範囲をコピーしてパワポに貼り付け。数字はここを直す）</t>
        </is>
      </c>
    </row>
    <row r="4">
      <c r="E4" s="32" t="inlineStr">
        <is>
          <t>(単位：千円)</t>
        </is>
      </c>
    </row>
    <row r="5" ht="28" customHeight="1">
      <c r="B5" s="33" t="inlineStr">
        <is>
          <t>№</t>
        </is>
      </c>
      <c r="C5" s="33" t="inlineStr">
        <is>
          <t>氏名</t>
        </is>
      </c>
      <c r="D5" s="33" t="inlineStr">
        <is>
          <t>役職・続柄</t>
        </is>
      </c>
      <c r="E5" s="33" t="inlineStr">
        <is>
          <t>役員報酬
(2026年3月期)</t>
        </is>
      </c>
      <c r="F5" s="33" t="inlineStr">
        <is>
          <t>保有株式数</t>
        </is>
      </c>
      <c r="G5" s="33" t="inlineStr">
        <is>
          <t>保有割合</t>
        </is>
      </c>
      <c r="H5" s="33" t="inlineStr">
        <is>
          <t>備考</t>
        </is>
      </c>
    </row>
    <row r="6" ht="17" customHeight="1">
      <c r="B6" s="60" t="n">
        <v>1</v>
      </c>
      <c r="C6" s="30" t="inlineStr">
        <is>
          <t>岡部 寛</t>
        </is>
      </c>
      <c r="D6" s="28" t="inlineStr">
        <is>
          <t>代表取締役（本人）</t>
        </is>
      </c>
      <c r="E6" s="39" t="n">
        <v>4320000</v>
      </c>
      <c r="F6" s="61" t="n">
        <v>1510</v>
      </c>
      <c r="G6" s="46">
        <f>IFERROR(F6/F$14,"")</f>
        <v>0.3775</v>
      </c>
      <c r="H6" s="28" t="inlineStr"/>
    </row>
    <row r="7" ht="17" customHeight="1">
      <c r="B7" s="60" t="n">
        <v>2</v>
      </c>
      <c r="C7" s="30" t="inlineStr">
        <is>
          <t>岡部 一</t>
        </is>
      </c>
      <c r="D7" s="28" t="inlineStr">
        <is>
          <t>取締役・代表者の兄弟</t>
        </is>
      </c>
      <c r="E7" s="39" t="n">
        <v>4200000</v>
      </c>
      <c r="F7" s="61" t="n">
        <v>720</v>
      </c>
      <c r="G7" s="46">
        <f>IFERROR(F7/F$14,"")</f>
        <v>0.18</v>
      </c>
      <c r="H7" s="28" t="inlineStr"/>
    </row>
    <row r="8" ht="17" customHeight="1">
      <c r="B8" s="60" t="n">
        <v>3</v>
      </c>
      <c r="C8" s="30" t="inlineStr">
        <is>
          <t>岡部 和子</t>
        </is>
      </c>
      <c r="D8" s="28" t="inlineStr">
        <is>
          <t>代表者の兄弟</t>
        </is>
      </c>
      <c r="E8" s="39" t="n">
        <v>0</v>
      </c>
      <c r="F8" s="61" t="n">
        <v>500</v>
      </c>
      <c r="G8" s="46">
        <f>IFERROR(F8/F$14,"")</f>
        <v>0.125</v>
      </c>
      <c r="H8" s="28" t="inlineStr"/>
    </row>
    <row r="9" ht="17" customHeight="1">
      <c r="B9" s="60" t="n">
        <v>4</v>
      </c>
      <c r="C9" s="30" t="inlineStr">
        <is>
          <t>梅津 恵一</t>
        </is>
      </c>
      <c r="D9" s="28" t="inlineStr">
        <is>
          <t>－</t>
        </is>
      </c>
      <c r="E9" s="39" t="n">
        <v>0</v>
      </c>
      <c r="F9" s="61" t="n">
        <v>360</v>
      </c>
      <c r="G9" s="46">
        <f>IFERROR(F9/F$14,"")</f>
        <v>0.09</v>
      </c>
      <c r="H9" s="28" t="inlineStr"/>
    </row>
    <row r="10" ht="17" customHeight="1">
      <c r="B10" s="60" t="n">
        <v>5</v>
      </c>
      <c r="C10" s="30" t="inlineStr">
        <is>
          <t>小野寺 則和</t>
        </is>
      </c>
      <c r="D10" s="28" t="inlineStr">
        <is>
          <t>監査役</t>
        </is>
      </c>
      <c r="E10" s="39" t="n">
        <v>120000</v>
      </c>
      <c r="F10" s="61" t="n">
        <v>350</v>
      </c>
      <c r="G10" s="46">
        <f>IFERROR(F10/F$14,"")</f>
        <v>0.0875</v>
      </c>
      <c r="H10" s="28" t="inlineStr"/>
    </row>
    <row r="11" ht="17" customHeight="1">
      <c r="B11" s="60" t="n">
        <v>6</v>
      </c>
      <c r="C11" s="30" t="inlineStr">
        <is>
          <t>岡部 竹古</t>
        </is>
      </c>
      <c r="D11" s="28" t="inlineStr">
        <is>
          <t>取締役・代表者の配偶者</t>
        </is>
      </c>
      <c r="E11" s="39" t="n">
        <v>120000</v>
      </c>
      <c r="F11" s="61" t="n">
        <v>300</v>
      </c>
      <c r="G11" s="46">
        <f>IFERROR(F11/F$14,"")</f>
        <v>0.075</v>
      </c>
      <c r="H11" s="28" t="inlineStr"/>
    </row>
    <row r="12" ht="17" customHeight="1">
      <c r="B12" s="60" t="n">
        <v>7</v>
      </c>
      <c r="C12" s="30" t="inlineStr">
        <is>
          <t>佐藤 令子</t>
        </is>
      </c>
      <c r="D12" s="28" t="inlineStr">
        <is>
          <t>－</t>
        </is>
      </c>
      <c r="E12" s="39" t="n">
        <v>0</v>
      </c>
      <c r="F12" s="61" t="n">
        <v>200</v>
      </c>
      <c r="G12" s="46">
        <f>IFERROR(F12/F$14,"")</f>
        <v>0.05</v>
      </c>
      <c r="H12" s="28" t="inlineStr"/>
    </row>
    <row r="13" ht="17" customHeight="1">
      <c r="B13" s="60" t="n">
        <v>8</v>
      </c>
      <c r="C13" s="30" t="inlineStr">
        <is>
          <t>菅原 圭吾</t>
        </is>
      </c>
      <c r="D13" s="28" t="inlineStr">
        <is>
          <t>元常務取締役</t>
        </is>
      </c>
      <c r="E13" s="39" t="n">
        <v>6600000</v>
      </c>
      <c r="F13" s="61" t="n">
        <v>60</v>
      </c>
      <c r="G13" s="46">
        <f>IFERROR(F13/F$14,"")</f>
        <v>0.015</v>
      </c>
      <c r="H13" s="28" t="inlineStr">
        <is>
          <t>2026年5月29日退任</t>
        </is>
      </c>
    </row>
    <row r="14" ht="17" customHeight="1">
      <c r="B14" s="40" t="inlineStr"/>
      <c r="C14" s="62" t="inlineStr">
        <is>
          <t>合計</t>
        </is>
      </c>
      <c r="D14" s="29" t="n"/>
      <c r="E14" s="41">
        <f>SUM(E6:E13)</f>
        <v>15360000</v>
      </c>
      <c r="F14" s="63">
        <f>SUM(F6:F13)</f>
        <v>4000</v>
      </c>
      <c r="G14" s="51">
        <f>IFERROR(F14/F14,"")</f>
        <v>1</v>
      </c>
      <c r="H14" s="40" t="inlineStr"/>
    </row>
    <row r="16">
      <c r="B16" s="30" t="inlineStr">
        <is>
          <t>うち代表者一族（岡部家4名）</t>
        </is>
      </c>
      <c r="C16" s="45" t="n"/>
      <c r="D16" s="29" t="n"/>
      <c r="F16" s="61">
        <f>F6+F7+F8+F11</f>
        <v>3030</v>
      </c>
      <c r="G16" s="46">
        <f>F16/F14</f>
        <v>0.7575</v>
      </c>
    </row>
    <row r="17">
      <c r="B17" s="30" t="inlineStr">
        <is>
          <t>チェック：発行済株式総数4,000株と一致</t>
        </is>
      </c>
      <c r="C17" s="45" t="n"/>
      <c r="D17" s="29" t="n"/>
      <c r="F17" t="b">
        <f>EXACT(F14,4000)</f>
        <v>1</v>
      </c>
    </row>
    <row r="19">
      <c r="B19" s="47" t="inlineStr">
        <is>
          <t>※出所：法人税申告書別表二（2026/3期）。株主名簿・名義株の有無・親族外株主の取得経緯は要確認。</t>
        </is>
      </c>
    </row>
  </sheetData>
  <mergeCells count="3">
    <mergeCell ref="B17:D17"/>
    <mergeCell ref="C14:D14"/>
    <mergeCell ref="B16:D1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4"/>
  <sheetViews>
    <sheetView showGridLines="0" workbookViewId="0">
      <selection activeCell="A1" sqref="A1"/>
    </sheetView>
  </sheetViews>
  <sheetFormatPr baseColWidth="8" defaultRowHeight="15"/>
  <cols>
    <col width="2" customWidth="1" min="1" max="1"/>
    <col width="4.09" customWidth="1" min="2" max="2"/>
    <col width="16.43" customWidth="1" min="3" max="3"/>
    <col width="17.11" customWidth="1" min="4" max="4"/>
    <col width="13" customWidth="1" min="5" max="5"/>
    <col width="10.26" customWidth="1" min="6" max="6"/>
    <col width="17.8" customWidth="1" min="7" max="7"/>
    <col width="22.6" customWidth="1" min="8" max="8"/>
    <col width="26.71" customWidth="1" min="9" max="9"/>
  </cols>
  <sheetData>
    <row r="1">
      <c r="A1" s="1" t="inlineStr">
        <is>
          <t>役員</t>
        </is>
      </c>
    </row>
    <row r="2">
      <c r="A2" s="25" t="inlineStr">
        <is>
          <t>■ 貼付範囲 B4:I11 → 企業概要書「株主及び役員（役員）」（範囲をコピーしてパワポに貼り付け。数字はここを直す）</t>
        </is>
      </c>
    </row>
    <row r="4">
      <c r="G4" s="32" t="inlineStr">
        <is>
          <t>(単位：千円)</t>
        </is>
      </c>
    </row>
    <row r="5" ht="28" customHeight="1">
      <c r="B5" s="33" t="inlineStr">
        <is>
          <t>№</t>
        </is>
      </c>
      <c r="C5" s="33" t="inlineStr">
        <is>
          <t>氏名</t>
        </is>
      </c>
      <c r="D5" s="33" t="inlineStr">
        <is>
          <t>役職</t>
        </is>
      </c>
      <c r="E5" s="33" t="inlineStr">
        <is>
          <t>代表者
との関係</t>
        </is>
      </c>
      <c r="F5" s="33" t="inlineStr">
        <is>
          <t>常勤／
非常勤</t>
        </is>
      </c>
      <c r="G5" s="33" t="inlineStr">
        <is>
          <t>役員報酬
(2026年3月期)</t>
        </is>
      </c>
      <c r="H5" s="33" t="inlineStr">
        <is>
          <t>業務範囲</t>
        </is>
      </c>
      <c r="I5" s="33" t="inlineStr">
        <is>
          <t>備考</t>
        </is>
      </c>
    </row>
    <row r="6" ht="17" customHeight="1">
      <c r="B6" s="60" t="n">
        <v>1</v>
      </c>
      <c r="C6" s="30" t="inlineStr">
        <is>
          <t>岡部 寛</t>
        </is>
      </c>
      <c r="D6" s="28" t="inlineStr">
        <is>
          <t>代表取締役</t>
        </is>
      </c>
      <c r="E6" s="64" t="inlineStr">
        <is>
          <t>本人</t>
        </is>
      </c>
      <c r="F6" s="64" t="inlineStr">
        <is>
          <t>常勤</t>
        </is>
      </c>
      <c r="G6" s="39" t="n">
        <v>4320000</v>
      </c>
      <c r="H6" s="28" t="inlineStr">
        <is>
          <t>経営全般・販売</t>
        </is>
      </c>
      <c r="I6" s="28" t="inlineStr">
        <is>
          <t>譲渡後は顧問就任可</t>
        </is>
      </c>
    </row>
    <row r="7" ht="17" customHeight="1">
      <c r="B7" s="60" t="n">
        <v>2</v>
      </c>
      <c r="C7" s="30" t="inlineStr">
        <is>
          <t>岡部 一</t>
        </is>
      </c>
      <c r="D7" s="28" t="inlineStr">
        <is>
          <t>取締役</t>
        </is>
      </c>
      <c r="E7" s="64" t="inlineStr">
        <is>
          <t>兄弟</t>
        </is>
      </c>
      <c r="F7" s="64" t="inlineStr">
        <is>
          <t>常勤</t>
        </is>
      </c>
      <c r="G7" s="39" t="n">
        <v>4200000</v>
      </c>
      <c r="H7" s="28" t="inlineStr">
        <is>
          <t>買付・販売</t>
        </is>
      </c>
      <c r="I7" s="28" t="inlineStr">
        <is>
          <t>譲渡後も残留予定</t>
        </is>
      </c>
    </row>
    <row r="8" ht="17" customHeight="1">
      <c r="B8" s="60" t="n">
        <v>3</v>
      </c>
      <c r="C8" s="30" t="inlineStr">
        <is>
          <t>岡部 竹古</t>
        </is>
      </c>
      <c r="D8" s="28" t="inlineStr">
        <is>
          <t>取締役</t>
        </is>
      </c>
      <c r="E8" s="64" t="inlineStr">
        <is>
          <t>配偶者</t>
        </is>
      </c>
      <c r="F8" s="64" t="inlineStr">
        <is>
          <t>非常勤</t>
        </is>
      </c>
      <c r="G8" s="39" t="n">
        <v>120000</v>
      </c>
      <c r="H8" s="28" t="inlineStr">
        <is>
          <t>業務への関与なし</t>
        </is>
      </c>
      <c r="I8" s="28" t="inlineStr">
        <is>
          <t>譲渡時に退任予定</t>
        </is>
      </c>
    </row>
    <row r="9" ht="17" customHeight="1">
      <c r="B9" s="60" t="n">
        <v>4</v>
      </c>
      <c r="C9" s="30" t="inlineStr">
        <is>
          <t>小野寺 則和</t>
        </is>
      </c>
      <c r="D9" s="28" t="inlineStr">
        <is>
          <t>監査役</t>
        </is>
      </c>
      <c r="E9" s="64" t="inlineStr">
        <is>
          <t>－</t>
        </is>
      </c>
      <c r="F9" s="64" t="inlineStr">
        <is>
          <t>非常勤</t>
        </is>
      </c>
      <c r="G9" s="39" t="n">
        <v>120000</v>
      </c>
      <c r="H9" s="28" t="inlineStr">
        <is>
          <t>会計監査</t>
        </is>
      </c>
      <c r="I9" s="28" t="inlineStr">
        <is>
          <t>譲渡時に退任予定</t>
        </is>
      </c>
    </row>
    <row r="10" ht="17" customHeight="1">
      <c r="B10" s="60" t="n">
        <v>5</v>
      </c>
      <c r="C10" s="30" t="inlineStr">
        <is>
          <t>菅原 圭吾</t>
        </is>
      </c>
      <c r="D10" s="28" t="inlineStr">
        <is>
          <t>常務取締役</t>
        </is>
      </c>
      <c r="E10" s="64" t="inlineStr">
        <is>
          <t>－</t>
        </is>
      </c>
      <c r="F10" s="64" t="inlineStr">
        <is>
          <t>常勤</t>
        </is>
      </c>
      <c r="G10" s="39" t="n">
        <v>6600000</v>
      </c>
      <c r="H10" s="28" t="inlineStr">
        <is>
          <t>－</t>
        </is>
      </c>
      <c r="I10" s="28" t="inlineStr">
        <is>
          <t>2026年5月29日退任</t>
        </is>
      </c>
    </row>
    <row r="11" ht="17" customHeight="1">
      <c r="B11" s="40" t="inlineStr"/>
      <c r="C11" s="40" t="inlineStr">
        <is>
          <t>合計</t>
        </is>
      </c>
      <c r="D11" s="40" t="inlineStr"/>
      <c r="E11" s="40" t="inlineStr"/>
      <c r="F11" s="40" t="inlineStr"/>
      <c r="G11" s="41">
        <f>SUM(G6:G10)</f>
        <v>15360000</v>
      </c>
      <c r="H11" s="40" t="inlineStr"/>
      <c r="I11" s="40" t="inlineStr"/>
    </row>
    <row r="14">
      <c r="B14" s="26" t="inlineStr">
        <is>
          <t>参考：役員報酬推移（評価書用。貼付範囲外）</t>
        </is>
      </c>
      <c r="C14" s="45" t="n"/>
      <c r="D14" s="45" t="n"/>
      <c r="E14" s="45" t="n"/>
      <c r="F14" s="45" t="n"/>
      <c r="G14" s="45" t="n"/>
      <c r="H14" s="45" t="n"/>
      <c r="I14" s="29" t="n"/>
    </row>
    <row r="15">
      <c r="B15" s="33" t="inlineStr">
        <is>
          <t>役職</t>
        </is>
      </c>
      <c r="C15" s="33" t="inlineStr">
        <is>
          <t>氏名</t>
        </is>
      </c>
      <c r="D15" s="33" t="inlineStr">
        <is>
          <t>常勤/非常勤</t>
        </is>
      </c>
      <c r="E15" s="33" t="inlineStr">
        <is>
          <t>備考</t>
        </is>
      </c>
      <c r="F15" s="33" t="inlineStr">
        <is>
          <t>2024/3期</t>
        </is>
      </c>
      <c r="G15" s="33" t="inlineStr">
        <is>
          <t>2025/3期</t>
        </is>
      </c>
      <c r="H15" s="33" t="inlineStr">
        <is>
          <t>2026/3期</t>
        </is>
      </c>
    </row>
    <row r="16">
      <c r="B16" s="30" t="inlineStr">
        <is>
          <t>代表取締役</t>
        </is>
      </c>
      <c r="C16" s="30" t="inlineStr">
        <is>
          <t>岡部 寛</t>
        </is>
      </c>
      <c r="D16" s="28" t="inlineStr">
        <is>
          <t>常勤</t>
        </is>
      </c>
      <c r="E16" s="28" t="inlineStr">
        <is>
          <t>社長</t>
        </is>
      </c>
      <c r="F16" s="39" t="n">
        <v>10560000</v>
      </c>
      <c r="G16" s="39" t="n">
        <v>10560000</v>
      </c>
      <c r="H16" s="39" t="n">
        <v>4320000</v>
      </c>
    </row>
    <row r="17">
      <c r="B17" s="30" t="inlineStr">
        <is>
          <t>取締役</t>
        </is>
      </c>
      <c r="C17" s="30" t="inlineStr">
        <is>
          <t>岡部 一</t>
        </is>
      </c>
      <c r="D17" s="28" t="inlineStr">
        <is>
          <t>常勤</t>
        </is>
      </c>
      <c r="E17" s="28" t="inlineStr">
        <is>
          <t>部長（代表者の兄弟）</t>
        </is>
      </c>
      <c r="F17" s="39" t="n">
        <v>4800000</v>
      </c>
      <c r="G17" s="39" t="n">
        <v>4800000</v>
      </c>
      <c r="H17" s="39" t="n">
        <v>4200000</v>
      </c>
    </row>
    <row r="18">
      <c r="B18" s="30" t="inlineStr">
        <is>
          <t>取締役</t>
        </is>
      </c>
      <c r="C18" s="30" t="inlineStr">
        <is>
          <t>岡部 竹古</t>
        </is>
      </c>
      <c r="D18" s="28" t="inlineStr">
        <is>
          <t>非常勤</t>
        </is>
      </c>
      <c r="E18" s="28" t="inlineStr">
        <is>
          <t>代表者の配偶者</t>
        </is>
      </c>
      <c r="F18" s="39" t="n">
        <v>120000</v>
      </c>
      <c r="G18" s="39" t="n">
        <v>120000</v>
      </c>
      <c r="H18" s="39" t="n">
        <v>120000</v>
      </c>
    </row>
    <row r="19">
      <c r="B19" s="30" t="inlineStr">
        <is>
          <t>監査役</t>
        </is>
      </c>
      <c r="C19" s="30" t="inlineStr">
        <is>
          <t>小野寺 則和</t>
        </is>
      </c>
      <c r="D19" s="28" t="inlineStr">
        <is>
          <t>非常勤</t>
        </is>
      </c>
      <c r="E19" s="28" t="inlineStr">
        <is>
          <t>会計監査限定</t>
        </is>
      </c>
      <c r="F19" s="39" t="n">
        <v>120000</v>
      </c>
      <c r="G19" s="39" t="n">
        <v>120000</v>
      </c>
      <c r="H19" s="39" t="n">
        <v>120000</v>
      </c>
    </row>
    <row r="20">
      <c r="B20" s="30" t="inlineStr">
        <is>
          <t>（退任）常務取締役</t>
        </is>
      </c>
      <c r="C20" s="30" t="inlineStr">
        <is>
          <t>菅原 圭吾</t>
        </is>
      </c>
      <c r="D20" s="28" t="inlineStr">
        <is>
          <t>常勤</t>
        </is>
      </c>
      <c r="E20" s="28" t="inlineStr">
        <is>
          <t>2026年5月29日退任</t>
        </is>
      </c>
      <c r="F20" s="39" t="n">
        <v>6600000</v>
      </c>
      <c r="G20" s="39" t="n">
        <v>6600000</v>
      </c>
      <c r="H20" s="39" t="n">
        <v>6600000</v>
      </c>
    </row>
    <row r="21">
      <c r="B21" s="40" t="inlineStr">
        <is>
          <t>役員報酬 計</t>
        </is>
      </c>
      <c r="C21" s="40" t="inlineStr"/>
      <c r="D21" s="40" t="inlineStr"/>
      <c r="E21" s="40" t="inlineStr"/>
      <c r="F21" s="41">
        <f>SUM(F16:F20)</f>
        <v>22200000</v>
      </c>
      <c r="G21" s="41">
        <f>SUM(G16:G20)</f>
        <v>22200000</v>
      </c>
      <c r="H21" s="41">
        <f>SUM(H16:H20)</f>
        <v>15360000</v>
      </c>
    </row>
    <row r="22">
      <c r="B22" s="30" t="inlineStr">
        <is>
          <t>チェック：SGA役員報酬と一致</t>
        </is>
      </c>
      <c r="F22" t="b">
        <f>EXACT(F21,SGA!C5)</f>
        <v>1</v>
      </c>
      <c r="G22" t="b">
        <f>EXACT(G21,SGA!E5)</f>
        <v>1</v>
      </c>
      <c r="H22" t="b">
        <f>EXACT(H21,SGA!G5)</f>
        <v>1</v>
      </c>
    </row>
    <row r="24">
      <c r="B24" s="47" t="inlineStr">
        <is>
          <t>※任期：取締役は2年（直近重任2026/5/29）、監査役は2024/5/18重任。代表者の連帯保証・退職慰労金規程の有無、各取締役の担当業務は要確認。</t>
        </is>
      </c>
    </row>
  </sheetData>
  <mergeCells count="1">
    <mergeCell ref="B14:I14"/>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40"/>
  <sheetViews>
    <sheetView showGridLines="0" workbookViewId="0">
      <selection activeCell="A1" sqref="A1"/>
    </sheetView>
  </sheetViews>
  <sheetFormatPr baseColWidth="8" defaultRowHeight="15"/>
  <cols>
    <col width="2" customWidth="1" min="1" max="1"/>
    <col width="4.09" customWidth="1" min="2" max="2"/>
    <col width="13" customWidth="1" min="3" max="3"/>
    <col width="5.46" customWidth="1" min="4" max="4"/>
    <col width="7.51" customWidth="1" min="5" max="5"/>
    <col width="9.57" customWidth="1" min="6" max="6"/>
    <col width="14.37" customWidth="1" min="7" max="7"/>
    <col width="10.26" customWidth="1" min="8" max="8"/>
    <col width="21.23" customWidth="1" min="9" max="9"/>
    <col width="54.14" customWidth="1" min="10" max="10"/>
  </cols>
  <sheetData>
    <row r="1">
      <c r="A1" s="1" t="inlineStr">
        <is>
          <t>従業員一覧（2026年9月1日現在）</t>
        </is>
      </c>
    </row>
    <row r="2">
      <c r="A2" s="25" t="inlineStr">
        <is>
          <t>■ 貼付範囲 B4:J29 → 企業概要書「従業員一覧」（範囲をコピーしてパワポに貼り付け。数字はここを直す）</t>
        </is>
      </c>
    </row>
    <row r="4">
      <c r="J4" s="32" t="inlineStr">
        <is>
          <t>2026年9月1日現在</t>
        </is>
      </c>
    </row>
    <row r="5" ht="24" customHeight="1">
      <c r="B5" s="65" t="inlineStr">
        <is>
          <t>№</t>
        </is>
      </c>
      <c r="C5" s="65" t="inlineStr">
        <is>
          <t>雇用形態</t>
        </is>
      </c>
      <c r="D5" s="65" t="inlineStr">
        <is>
          <t>性別</t>
        </is>
      </c>
      <c r="E5" s="65" t="inlineStr">
        <is>
          <t>年齢
（歳）</t>
        </is>
      </c>
      <c r="F5" s="65" t="inlineStr">
        <is>
          <t>勤続年数
（年）</t>
        </is>
      </c>
      <c r="G5" s="65" t="inlineStr">
        <is>
          <t>部署</t>
        </is>
      </c>
      <c r="H5" s="65" t="inlineStr">
        <is>
          <t>役職</t>
        </is>
      </c>
      <c r="I5" s="65" t="inlineStr">
        <is>
          <t>取得資格</t>
        </is>
      </c>
      <c r="J5" s="65" t="inlineStr">
        <is>
          <t>備考</t>
        </is>
      </c>
    </row>
    <row r="6" ht="14.5" customHeight="1">
      <c r="B6" s="66" t="n">
        <v>2</v>
      </c>
      <c r="C6" s="67" t="inlineStr">
        <is>
          <t>正社員</t>
        </is>
      </c>
      <c r="D6" s="68" t="inlineStr">
        <is>
          <t>男</t>
        </is>
      </c>
      <c r="E6" s="69" t="n">
        <v>47</v>
      </c>
      <c r="F6" s="69" t="n">
        <v>24</v>
      </c>
      <c r="G6" s="67" t="inlineStr">
        <is>
          <t>野菜営業部</t>
        </is>
      </c>
      <c r="H6" s="67" t="inlineStr">
        <is>
          <t>副部長</t>
        </is>
      </c>
      <c r="I6" s="67" t="inlineStr">
        <is>
          <t>セリ人・フォークリフト</t>
        </is>
      </c>
      <c r="J6" s="67" t="inlineStr"/>
    </row>
    <row r="7" ht="14.5" customHeight="1">
      <c r="B7" s="66" t="n">
        <v>1</v>
      </c>
      <c r="C7" s="67" t="inlineStr">
        <is>
          <t>正社員</t>
        </is>
      </c>
      <c r="D7" s="68" t="inlineStr">
        <is>
          <t>男</t>
        </is>
      </c>
      <c r="E7" s="69" t="n">
        <v>63</v>
      </c>
      <c r="F7" s="69" t="n">
        <v>1</v>
      </c>
      <c r="G7" s="67" t="inlineStr">
        <is>
          <t>野菜営業部</t>
        </is>
      </c>
      <c r="H7" s="67" t="inlineStr">
        <is>
          <t>副部長</t>
        </is>
      </c>
      <c r="I7" s="67" t="inlineStr"/>
      <c r="J7" s="67" t="inlineStr"/>
    </row>
    <row r="8" ht="14.5" customHeight="1">
      <c r="B8" s="66" t="n">
        <v>7</v>
      </c>
      <c r="C8" s="67" t="inlineStr">
        <is>
          <t>正社員</t>
        </is>
      </c>
      <c r="D8" s="68" t="inlineStr">
        <is>
          <t>男</t>
        </is>
      </c>
      <c r="E8" s="69" t="n">
        <v>32</v>
      </c>
      <c r="F8" s="69" t="n">
        <v>6</v>
      </c>
      <c r="G8" s="67" t="inlineStr">
        <is>
          <t>野菜営業部</t>
        </is>
      </c>
      <c r="H8" s="67" t="inlineStr"/>
      <c r="I8" s="67" t="inlineStr">
        <is>
          <t>フォークリフト</t>
        </is>
      </c>
      <c r="J8" s="67" t="inlineStr"/>
    </row>
    <row r="9" ht="14.5" customHeight="1">
      <c r="B9" s="66" t="n">
        <v>16</v>
      </c>
      <c r="C9" s="67" t="inlineStr">
        <is>
          <t>正社員</t>
        </is>
      </c>
      <c r="D9" s="68" t="inlineStr">
        <is>
          <t>女</t>
        </is>
      </c>
      <c r="E9" s="69" t="n">
        <v>49</v>
      </c>
      <c r="F9" s="69" t="n">
        <v>19</v>
      </c>
      <c r="G9" s="67" t="inlineStr">
        <is>
          <t>果実営業部</t>
        </is>
      </c>
      <c r="H9" s="67" t="inlineStr">
        <is>
          <t>課長</t>
        </is>
      </c>
      <c r="I9" s="67" t="inlineStr"/>
      <c r="J9" s="67" t="inlineStr"/>
    </row>
    <row r="10" ht="14.5" customHeight="1">
      <c r="B10" s="66" t="n">
        <v>8</v>
      </c>
      <c r="C10" s="67" t="inlineStr">
        <is>
          <t>正社員</t>
        </is>
      </c>
      <c r="D10" s="68" t="inlineStr">
        <is>
          <t>男</t>
        </is>
      </c>
      <c r="E10" s="69" t="n">
        <v>36</v>
      </c>
      <c r="F10" s="69" t="n">
        <v>4</v>
      </c>
      <c r="G10" s="67" t="inlineStr">
        <is>
          <t>果実営業部</t>
        </is>
      </c>
      <c r="H10" s="67" t="inlineStr"/>
      <c r="I10" s="67" t="inlineStr">
        <is>
          <t>フォークリフト</t>
        </is>
      </c>
      <c r="J10" s="67" t="inlineStr"/>
    </row>
    <row r="11" ht="14.5" customHeight="1">
      <c r="B11" s="66" t="n">
        <v>3</v>
      </c>
      <c r="C11" s="67" t="inlineStr">
        <is>
          <t>正社員</t>
        </is>
      </c>
      <c r="D11" s="68" t="inlineStr">
        <is>
          <t>男</t>
        </is>
      </c>
      <c r="E11" s="69" t="n">
        <v>31</v>
      </c>
      <c r="F11" s="69" t="n">
        <v>12</v>
      </c>
      <c r="G11" s="67" t="inlineStr">
        <is>
          <t>近郷部</t>
        </is>
      </c>
      <c r="H11" s="67" t="inlineStr">
        <is>
          <t>課長</t>
        </is>
      </c>
      <c r="I11" s="67" t="inlineStr">
        <is>
          <t>セリ人・フォークリフト</t>
        </is>
      </c>
      <c r="J11" s="67" t="inlineStr"/>
    </row>
    <row r="12" ht="14.5" customHeight="1">
      <c r="B12" s="66" t="n">
        <v>4</v>
      </c>
      <c r="C12" s="67" t="inlineStr">
        <is>
          <t>正社員</t>
        </is>
      </c>
      <c r="D12" s="68" t="inlineStr">
        <is>
          <t>男</t>
        </is>
      </c>
      <c r="E12" s="69" t="n">
        <v>42</v>
      </c>
      <c r="F12" s="69" t="n">
        <v>7</v>
      </c>
      <c r="G12" s="67" t="inlineStr">
        <is>
          <t>近郷部</t>
        </is>
      </c>
      <c r="H12" s="67" t="inlineStr"/>
      <c r="I12" s="67" t="inlineStr">
        <is>
          <t>フォークリフト</t>
        </is>
      </c>
      <c r="J12" s="67" t="inlineStr"/>
    </row>
    <row r="13" ht="14.5" customHeight="1">
      <c r="B13" s="66" t="n">
        <v>5</v>
      </c>
      <c r="C13" s="67" t="inlineStr">
        <is>
          <t>正社員</t>
        </is>
      </c>
      <c r="D13" s="68" t="inlineStr">
        <is>
          <t>男</t>
        </is>
      </c>
      <c r="E13" s="69" t="n">
        <v>45</v>
      </c>
      <c r="F13" s="69" t="n">
        <v>7</v>
      </c>
      <c r="G13" s="67" t="inlineStr">
        <is>
          <t>近郷部</t>
        </is>
      </c>
      <c r="H13" s="67" t="inlineStr"/>
      <c r="I13" s="67" t="inlineStr">
        <is>
          <t>フォークリフト</t>
        </is>
      </c>
      <c r="J13" s="67" t="inlineStr"/>
    </row>
    <row r="14" ht="14.5" customHeight="1">
      <c r="B14" s="66" t="n">
        <v>12</v>
      </c>
      <c r="C14" s="67" t="inlineStr">
        <is>
          <t>試用期間</t>
        </is>
      </c>
      <c r="D14" s="68" t="inlineStr">
        <is>
          <t>男</t>
        </is>
      </c>
      <c r="E14" s="69" t="n">
        <v>66</v>
      </c>
      <c r="F14" s="69" t="n">
        <v>2</v>
      </c>
      <c r="G14" s="67" t="inlineStr">
        <is>
          <t>近郷部</t>
        </is>
      </c>
      <c r="H14" s="67" t="inlineStr"/>
      <c r="I14" s="67" t="inlineStr">
        <is>
          <t>セリ人</t>
        </is>
      </c>
      <c r="J14" s="67" t="inlineStr"/>
    </row>
    <row r="15" ht="14.5" customHeight="1">
      <c r="B15" s="66" t="n">
        <v>9</v>
      </c>
      <c r="C15" s="67" t="inlineStr">
        <is>
          <t>正社員</t>
        </is>
      </c>
      <c r="D15" s="68" t="inlineStr">
        <is>
          <t>男</t>
        </is>
      </c>
      <c r="E15" s="69" t="n">
        <v>42</v>
      </c>
      <c r="F15" s="69" t="n">
        <v>14</v>
      </c>
      <c r="G15" s="67" t="inlineStr">
        <is>
          <t>集配部</t>
        </is>
      </c>
      <c r="H15" s="67" t="inlineStr"/>
      <c r="I15" s="67" t="inlineStr">
        <is>
          <t>フォークリフト</t>
        </is>
      </c>
      <c r="J15" s="67" t="inlineStr">
        <is>
          <t>2022年4月よりフルタイム</t>
        </is>
      </c>
    </row>
    <row r="16" ht="14.5" customHeight="1">
      <c r="B16" s="66" t="n">
        <v>6</v>
      </c>
      <c r="C16" s="67" t="inlineStr">
        <is>
          <t>正社員</t>
        </is>
      </c>
      <c r="D16" s="68" t="inlineStr">
        <is>
          <t>男</t>
        </is>
      </c>
      <c r="E16" s="69" t="n">
        <v>63</v>
      </c>
      <c r="F16" s="69" t="n">
        <v>6</v>
      </c>
      <c r="G16" s="67" t="inlineStr">
        <is>
          <t>集配部</t>
        </is>
      </c>
      <c r="H16" s="67" t="inlineStr"/>
      <c r="I16" s="67" t="inlineStr">
        <is>
          <t>フォークリフト</t>
        </is>
      </c>
      <c r="J16" s="67" t="inlineStr"/>
    </row>
    <row r="17" ht="14.5" customHeight="1">
      <c r="B17" s="66" t="n">
        <v>11</v>
      </c>
      <c r="C17" s="67" t="inlineStr">
        <is>
          <t>再雇用正社員</t>
        </is>
      </c>
      <c r="D17" s="68" t="inlineStr">
        <is>
          <t>男</t>
        </is>
      </c>
      <c r="E17" s="69" t="n">
        <v>40</v>
      </c>
      <c r="F17" s="69" t="n">
        <v>3</v>
      </c>
      <c r="G17" s="67" t="inlineStr">
        <is>
          <t>集配部</t>
        </is>
      </c>
      <c r="H17" s="67" t="inlineStr"/>
      <c r="I17" s="67" t="inlineStr"/>
      <c r="J17" s="67" t="inlineStr"/>
    </row>
    <row r="18" ht="14.5" customHeight="1">
      <c r="B18" s="66" t="n">
        <v>13</v>
      </c>
      <c r="C18" s="67" t="inlineStr">
        <is>
          <t>アルバイト</t>
        </is>
      </c>
      <c r="D18" s="68" t="inlineStr">
        <is>
          <t>男</t>
        </is>
      </c>
      <c r="E18" s="69" t="n">
        <v>55</v>
      </c>
      <c r="F18" s="69" t="n">
        <v>0</v>
      </c>
      <c r="G18" s="67" t="inlineStr">
        <is>
          <t>集配部</t>
        </is>
      </c>
      <c r="H18" s="67" t="inlineStr"/>
      <c r="I18" s="67" t="inlineStr"/>
      <c r="J18" s="67" t="inlineStr">
        <is>
          <t>休日のみ配送</t>
        </is>
      </c>
    </row>
    <row r="19" ht="14.5" customHeight="1">
      <c r="B19" s="66" t="n">
        <v>10</v>
      </c>
      <c r="C19" s="67" t="inlineStr">
        <is>
          <t>嘱託社員</t>
        </is>
      </c>
      <c r="D19" s="68" t="inlineStr">
        <is>
          <t>男</t>
        </is>
      </c>
      <c r="E19" s="69" t="n">
        <v>69</v>
      </c>
      <c r="F19" s="69" t="n">
        <v>20</v>
      </c>
      <c r="G19" s="67" t="inlineStr">
        <is>
          <t>生花部</t>
        </is>
      </c>
      <c r="H19" s="67" t="inlineStr"/>
      <c r="I19" s="67" t="inlineStr">
        <is>
          <t>フォークリフト</t>
        </is>
      </c>
      <c r="J19" s="67" t="inlineStr"/>
    </row>
    <row r="20" ht="14.5" customHeight="1">
      <c r="B20" s="66" t="n">
        <v>18</v>
      </c>
      <c r="C20" s="67" t="inlineStr">
        <is>
          <t>正社員</t>
        </is>
      </c>
      <c r="D20" s="68" t="inlineStr">
        <is>
          <t>女</t>
        </is>
      </c>
      <c r="E20" s="69" t="n">
        <v>52</v>
      </c>
      <c r="F20" s="69" t="n">
        <v>20</v>
      </c>
      <c r="G20" s="67" t="inlineStr">
        <is>
          <t>パッケージ部</t>
        </is>
      </c>
      <c r="H20" s="67" t="inlineStr">
        <is>
          <t>係長</t>
        </is>
      </c>
      <c r="I20" s="67" t="inlineStr"/>
      <c r="J20" s="67" t="inlineStr">
        <is>
          <t>2012年4月よりフルタイム</t>
        </is>
      </c>
    </row>
    <row r="21" ht="14.5" customHeight="1">
      <c r="B21" s="66" t="n">
        <v>19</v>
      </c>
      <c r="C21" s="67" t="inlineStr">
        <is>
          <t>正社員</t>
        </is>
      </c>
      <c r="D21" s="68" t="inlineStr">
        <is>
          <t>女</t>
        </is>
      </c>
      <c r="E21" s="69" t="n">
        <v>65</v>
      </c>
      <c r="F21" s="69" t="n">
        <v>20</v>
      </c>
      <c r="G21" s="67" t="inlineStr">
        <is>
          <t>パッケージ部</t>
        </is>
      </c>
      <c r="H21" s="67" t="inlineStr"/>
      <c r="I21" s="67" t="inlineStr"/>
      <c r="J21" s="67" t="inlineStr">
        <is>
          <t>2012年4月よりフルタイム／定年後再雇用</t>
        </is>
      </c>
    </row>
    <row r="22" ht="14.5" customHeight="1">
      <c r="B22" s="66" t="n">
        <v>21</v>
      </c>
      <c r="C22" s="67" t="inlineStr">
        <is>
          <t>正社員</t>
        </is>
      </c>
      <c r="D22" s="68" t="inlineStr">
        <is>
          <t>女</t>
        </is>
      </c>
      <c r="E22" s="69" t="n">
        <v>65</v>
      </c>
      <c r="F22" s="69" t="n">
        <v>17</v>
      </c>
      <c r="G22" s="67" t="inlineStr">
        <is>
          <t>パッケージ部</t>
        </is>
      </c>
      <c r="H22" s="67" t="inlineStr"/>
      <c r="I22" s="67" t="inlineStr"/>
      <c r="J22" s="67" t="inlineStr">
        <is>
          <t>2012年4月よりフルタイム</t>
        </is>
      </c>
    </row>
    <row r="23" ht="14.5" customHeight="1">
      <c r="B23" s="66" t="n">
        <v>22</v>
      </c>
      <c r="C23" s="67" t="inlineStr">
        <is>
          <t>パート</t>
        </is>
      </c>
      <c r="D23" s="68" t="inlineStr">
        <is>
          <t>女</t>
        </is>
      </c>
      <c r="E23" s="69" t="n">
        <v>67</v>
      </c>
      <c r="F23" s="69" t="n">
        <v>14</v>
      </c>
      <c r="G23" s="67" t="inlineStr">
        <is>
          <t>パッケージ部</t>
        </is>
      </c>
      <c r="H23" s="67" t="inlineStr"/>
      <c r="I23" s="67" t="inlineStr"/>
      <c r="J23" s="67" t="inlineStr">
        <is>
          <t>4h</t>
        </is>
      </c>
    </row>
    <row r="24" ht="14.5" customHeight="1">
      <c r="B24" s="66" t="n">
        <v>23</v>
      </c>
      <c r="C24" s="67" t="inlineStr">
        <is>
          <t>パート</t>
        </is>
      </c>
      <c r="D24" s="68" t="inlineStr">
        <is>
          <t>男</t>
        </is>
      </c>
      <c r="E24" s="69" t="n">
        <v>29</v>
      </c>
      <c r="F24" s="69" t="n">
        <v>8</v>
      </c>
      <c r="G24" s="67" t="inlineStr">
        <is>
          <t>パッケージ部</t>
        </is>
      </c>
      <c r="H24" s="67" t="inlineStr"/>
      <c r="I24" s="67" t="inlineStr"/>
      <c r="J24" s="67" t="inlineStr">
        <is>
          <t>4h</t>
        </is>
      </c>
    </row>
    <row r="25" ht="14.5" customHeight="1">
      <c r="B25" s="66" t="n">
        <v>20</v>
      </c>
      <c r="C25" s="67" t="inlineStr">
        <is>
          <t>正社員</t>
        </is>
      </c>
      <c r="D25" s="68" t="inlineStr">
        <is>
          <t>女</t>
        </is>
      </c>
      <c r="E25" s="69" t="n">
        <v>55</v>
      </c>
      <c r="F25" s="69" t="n">
        <v>5</v>
      </c>
      <c r="G25" s="67" t="inlineStr">
        <is>
          <t>パッケージ部</t>
        </is>
      </c>
      <c r="H25" s="67" t="inlineStr"/>
      <c r="I25" s="67" t="inlineStr"/>
      <c r="J25" s="67" t="inlineStr"/>
    </row>
    <row r="26" ht="14.5" customHeight="1">
      <c r="B26" s="66" t="n">
        <v>24</v>
      </c>
      <c r="C26" s="67" t="inlineStr">
        <is>
          <t>パート</t>
        </is>
      </c>
      <c r="D26" s="68" t="inlineStr">
        <is>
          <t>女</t>
        </is>
      </c>
      <c r="E26" s="69" t="n">
        <v>59</v>
      </c>
      <c r="F26" s="69" t="n">
        <v>3</v>
      </c>
      <c r="G26" s="67" t="inlineStr">
        <is>
          <t>パッケージ部</t>
        </is>
      </c>
      <c r="H26" s="67" t="inlineStr"/>
      <c r="I26" s="67" t="inlineStr"/>
      <c r="J26" s="67" t="inlineStr">
        <is>
          <t>4h</t>
        </is>
      </c>
    </row>
    <row r="27" ht="14.5" customHeight="1">
      <c r="B27" s="66" t="n">
        <v>15</v>
      </c>
      <c r="C27" s="67" t="inlineStr">
        <is>
          <t>正社員</t>
        </is>
      </c>
      <c r="D27" s="68" t="inlineStr">
        <is>
          <t>女</t>
        </is>
      </c>
      <c r="E27" s="69" t="n">
        <v>65</v>
      </c>
      <c r="F27" s="69" t="n">
        <v>47</v>
      </c>
      <c r="G27" s="67" t="inlineStr">
        <is>
          <t>資材部</t>
        </is>
      </c>
      <c r="H27" s="67" t="inlineStr">
        <is>
          <t>課長</t>
        </is>
      </c>
      <c r="I27" s="67" t="inlineStr"/>
      <c r="J27" s="67" t="inlineStr">
        <is>
          <t>定年後再雇用</t>
        </is>
      </c>
    </row>
    <row r="28" ht="14.5" customHeight="1">
      <c r="B28" s="66" t="n">
        <v>14</v>
      </c>
      <c r="C28" s="67" t="inlineStr">
        <is>
          <t>正社員</t>
        </is>
      </c>
      <c r="D28" s="68" t="inlineStr">
        <is>
          <t>女</t>
        </is>
      </c>
      <c r="E28" s="69" t="n">
        <v>56</v>
      </c>
      <c r="F28" s="69" t="n">
        <v>38</v>
      </c>
      <c r="G28" s="67" t="inlineStr">
        <is>
          <t>総務部</t>
        </is>
      </c>
      <c r="H28" s="67" t="inlineStr">
        <is>
          <t>部長</t>
        </is>
      </c>
      <c r="I28" s="67" t="inlineStr"/>
      <c r="J28" s="67" t="inlineStr"/>
    </row>
    <row r="29" ht="14.5" customHeight="1">
      <c r="B29" s="66" t="n">
        <v>17</v>
      </c>
      <c r="C29" s="67" t="inlineStr">
        <is>
          <t>正社員</t>
        </is>
      </c>
      <c r="D29" s="68" t="inlineStr">
        <is>
          <t>女</t>
        </is>
      </c>
      <c r="E29" s="69" t="n">
        <v>28</v>
      </c>
      <c r="F29" s="69" t="n">
        <v>7</v>
      </c>
      <c r="G29" s="67" t="inlineStr">
        <is>
          <t>事務</t>
        </is>
      </c>
      <c r="H29" s="67" t="inlineStr"/>
      <c r="I29" s="67" t="inlineStr"/>
      <c r="J29" s="67" t="inlineStr"/>
    </row>
    <row r="31">
      <c r="B31" s="26" t="inlineStr">
        <is>
          <t>参考（リード文用の集計。貼付範囲外）</t>
        </is>
      </c>
      <c r="C31" s="45" t="n"/>
      <c r="D31" s="45" t="n"/>
      <c r="E31" s="45" t="n"/>
      <c r="F31" s="29" t="n"/>
    </row>
    <row r="32">
      <c r="B32" s="30" t="inlineStr">
        <is>
          <t>人数</t>
        </is>
      </c>
      <c r="C32" s="29" t="n"/>
      <c r="D32" s="70">
        <f>COUNT(B6:B29)</f>
        <v>24</v>
      </c>
    </row>
    <row r="33">
      <c r="B33" s="30" t="inlineStr">
        <is>
          <t>平均年齢</t>
        </is>
      </c>
      <c r="C33" s="29" t="n"/>
      <c r="D33" s="71">
        <f>AVERAGE(E6:E29)</f>
        <v>50.875</v>
      </c>
    </row>
    <row r="34">
      <c r="B34" s="30" t="inlineStr">
        <is>
          <t>平均勤続年数</t>
        </is>
      </c>
      <c r="C34" s="29" t="n"/>
      <c r="D34" s="71">
        <f>AVERAGE(F6:F29)</f>
        <v>12.6666666666667</v>
      </c>
    </row>
    <row r="35">
      <c r="B35" s="30" t="inlineStr">
        <is>
          <t>60歳以上</t>
        </is>
      </c>
      <c r="C35" s="29" t="n"/>
      <c r="D35" s="70">
        <f>COUNTIF(E6:E29,"&gt;=60")</f>
        <v>8</v>
      </c>
    </row>
    <row r="36">
      <c r="B36" s="30" t="inlineStr">
        <is>
          <t>セリ人資格者</t>
        </is>
      </c>
      <c r="C36" s="29" t="n"/>
      <c r="D36" s="70">
        <f>SUMPRODUCT(ISNUMBER(FIND("セリ人",I6:I29))*1)</f>
        <v>3</v>
      </c>
    </row>
    <row r="37">
      <c r="B37" s="30" t="inlineStr">
        <is>
          <t>正社員</t>
        </is>
      </c>
      <c r="C37" s="29" t="n"/>
      <c r="D37" s="70">
        <f>COUNTIF(C6:C29,"正社員")</f>
        <v>17</v>
      </c>
    </row>
    <row r="39">
      <c r="B39" s="47" t="inlineStr">
        <is>
          <t>※出所：職員名簿（2026年9月1日現在）。氏名・住所・電話番号は概要書に記載しない。№は名簿の番号（組織図と対応）。部署→役職→勤続年数の順に並べ替え。</t>
        </is>
      </c>
    </row>
    <row r="40">
      <c r="B40" s="47" t="inlineStr">
        <is>
          <t>※定年は60歳（名簿注記）と65歳の両記載あり、就業規則で要確認。法人事業概況説明書（2026/3期末）では従業員30名（常勤役員3名含む）と記載があり、人数定義の差は要確認。</t>
        </is>
      </c>
    </row>
  </sheetData>
  <mergeCells count="7">
    <mergeCell ref="B33:C33"/>
    <mergeCell ref="B34:C34"/>
    <mergeCell ref="B37:C37"/>
    <mergeCell ref="B36:C36"/>
    <mergeCell ref="B31:F31"/>
    <mergeCell ref="B32:C32"/>
    <mergeCell ref="B35:C35"/>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1"/>
  <sheetViews>
    <sheetView showGridLines="0" workbookViewId="0">
      <selection activeCell="A1" sqref="A1"/>
    </sheetView>
  </sheetViews>
  <sheetFormatPr baseColWidth="8" defaultRowHeight="15"/>
  <cols>
    <col width="2" customWidth="1" min="1" max="1"/>
    <col width="16.43" customWidth="1" min="2" max="2"/>
    <col width="37" customWidth="1" min="3" max="3"/>
    <col width="9.57" customWidth="1" min="4" max="4"/>
    <col width="13" customWidth="1" min="5" max="5"/>
    <col width="40.43" customWidth="1" min="6" max="6"/>
    <col width="26.03" customWidth="1" min="7" max="7"/>
  </cols>
  <sheetData>
    <row r="1">
      <c r="A1" s="1" t="inlineStr">
        <is>
          <t>拠点概要</t>
        </is>
      </c>
    </row>
    <row r="2">
      <c r="A2" s="25" t="inlineStr">
        <is>
          <t>■ 貼付範囲 B5:G9 → 企業概要書「拠点概要（本社・市場）」（範囲をコピーしてパワポに貼り付け。数字はここを直す）</t>
        </is>
      </c>
    </row>
    <row r="5" ht="28" customHeight="1">
      <c r="B5" s="33" t="inlineStr">
        <is>
          <t>拠点</t>
        </is>
      </c>
      <c r="C5" s="33" t="inlineStr">
        <is>
          <t>所在地</t>
        </is>
      </c>
      <c r="D5" s="33" t="inlineStr">
        <is>
          <t>所有区分</t>
        </is>
      </c>
      <c r="E5" s="33" t="inlineStr">
        <is>
          <t>土地面積
(㎡)</t>
        </is>
      </c>
      <c r="F5" s="33" t="inlineStr">
        <is>
          <t>主な建物</t>
        </is>
      </c>
      <c r="G5" s="33" t="inlineStr">
        <is>
          <t>用途</t>
        </is>
      </c>
    </row>
    <row r="6" ht="30" customHeight="1">
      <c r="B6" s="27" t="inlineStr">
        <is>
          <t>本社・市場</t>
        </is>
      </c>
      <c r="C6" s="28" t="inlineStr">
        <is>
          <t>山形県鶴岡市宝田一丁目4番20号
（地番：宝田一丁目4-2）</t>
        </is>
      </c>
      <c r="D6" s="64" t="inlineStr">
        <is>
          <t>法人</t>
        </is>
      </c>
      <c r="E6" s="72">
        <f>'不動産(所有)'!E5</f>
        <v>3100.22</v>
      </c>
      <c r="F6" s="28" t="inlineStr">
        <is>
          <t>事務所（管理棟）・市場・倉庫・容器庫・貯蔵庫</t>
        </is>
      </c>
      <c r="G6" s="28" t="inlineStr">
        <is>
          <t>事務、セリ・相対取引、保管</t>
        </is>
      </c>
    </row>
    <row r="7" ht="30" customHeight="1">
      <c r="B7" s="27" t="inlineStr">
        <is>
          <t>パッケージ場</t>
        </is>
      </c>
      <c r="C7" s="28" t="inlineStr">
        <is>
          <t>山形県鶴岡市宝田一丁目5-1</t>
        </is>
      </c>
      <c r="D7" s="64" t="inlineStr">
        <is>
          <t>法人</t>
        </is>
      </c>
      <c r="E7" s="72">
        <f>'不動産(所有)'!E6</f>
        <v>900.5</v>
      </c>
      <c r="F7" s="28" t="inlineStr">
        <is>
          <t>事務所兼倉庫（パッケージ場）・倉庫</t>
        </is>
      </c>
      <c r="G7" s="28" t="inlineStr">
        <is>
          <t>小分け・包装、保管</t>
        </is>
      </c>
    </row>
    <row r="8" ht="30" customHeight="1">
      <c r="B8" s="27" t="inlineStr">
        <is>
          <t>旧倉庫敷地</t>
        </is>
      </c>
      <c r="C8" s="28" t="inlineStr">
        <is>
          <t>山形県東田川郡庄内町長沼字宮前304-7</t>
        </is>
      </c>
      <c r="D8" s="64" t="inlineStr">
        <is>
          <t>法人</t>
        </is>
      </c>
      <c r="E8" s="72">
        <f>'不動産(所有)'!E7</f>
        <v>261.81</v>
      </c>
      <c r="F8" s="28" t="inlineStr">
        <is>
          <t>なし（倉庫は老朽化により解体済み）</t>
        </is>
      </c>
      <c r="G8" s="28" t="inlineStr">
        <is>
          <t>月極駐車場として近隣へ賃貸</t>
        </is>
      </c>
    </row>
    <row r="9" ht="30" customHeight="1">
      <c r="B9" s="27" t="inlineStr">
        <is>
          <t>賃借物件</t>
        </is>
      </c>
      <c r="C9" s="28" t="inlineStr">
        <is>
          <t>なし（地代家賃の計上なし）</t>
        </is>
      </c>
      <c r="D9" s="64" t="inlineStr">
        <is>
          <t>－</t>
        </is>
      </c>
      <c r="E9" s="72" t="n"/>
      <c r="F9" s="28" t="inlineStr">
        <is>
          <t>－</t>
        </is>
      </c>
      <c r="G9" s="28" t="inlineStr">
        <is>
          <t>－</t>
        </is>
      </c>
    </row>
    <row r="11">
      <c r="B11" s="47" t="inlineStr">
        <is>
          <t>※営業時間は早朝5時から（終業時刻は要確認）、定休日は水・日・祝日。リース料年6,227千円を計上（対象資産・車両の保有形態は要確認）。</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2" customWidth="1" min="1" max="1"/>
    <col width="13.69" customWidth="1" min="2" max="2"/>
    <col width="32.89" customWidth="1" min="3" max="3"/>
    <col width="12.31" customWidth="1" min="4" max="4"/>
    <col width="10.94" customWidth="1" min="5" max="5"/>
    <col width="26.03" customWidth="1" min="6" max="6"/>
    <col width="12.31" customWidth="1" min="7" max="7"/>
    <col width="12.31" customWidth="1" min="8" max="8"/>
    <col width="12.31" customWidth="1" min="9" max="9"/>
    <col width="8.199999999999999" customWidth="1" min="10" max="10"/>
  </cols>
  <sheetData>
    <row r="1">
      <c r="A1" s="1" t="inlineStr">
        <is>
          <t>不動産概況</t>
        </is>
      </c>
    </row>
    <row r="2">
      <c r="A2" s="25" t="inlineStr">
        <is>
          <t>■ 貼付範囲 B4:J9 → 企業概要書「不動産概況」（範囲をコピーしてパワポに貼り付け。数字はここを直す）</t>
        </is>
      </c>
    </row>
    <row r="4">
      <c r="J4" s="32" t="inlineStr">
        <is>
          <t>(単位：千円)</t>
        </is>
      </c>
    </row>
    <row r="5" ht="30" customHeight="1">
      <c r="B5" s="52" t="inlineStr">
        <is>
          <t>拠点</t>
        </is>
      </c>
      <c r="C5" s="52" t="inlineStr">
        <is>
          <t>所在地</t>
        </is>
      </c>
      <c r="D5" s="52" t="inlineStr">
        <is>
          <t>土地面積
(㎡)</t>
        </is>
      </c>
      <c r="E5" s="52" t="inlineStr">
        <is>
          <t>土地の
所有区分</t>
        </is>
      </c>
      <c r="F5" s="52" t="inlineStr">
        <is>
          <t>建物の所有区分</t>
        </is>
      </c>
      <c r="G5" s="52" t="inlineStr">
        <is>
          <t>土地簿価
(千円)</t>
        </is>
      </c>
      <c r="H5" s="52" t="inlineStr">
        <is>
          <t>土地時価
(千円)</t>
        </is>
      </c>
      <c r="I5" s="52" t="inlineStr">
        <is>
          <t>建物固定資産税
評価額(千円)</t>
        </is>
      </c>
      <c r="J5" s="52" t="inlineStr">
        <is>
          <t>担保</t>
        </is>
      </c>
    </row>
    <row r="6" ht="30" customHeight="1">
      <c r="B6" s="27" t="inlineStr">
        <is>
          <t>本社・市場</t>
        </is>
      </c>
      <c r="C6" s="28" t="str">
        <f>'不動産(所有)'!B5</f>
        <v>鶴岡市宝田一丁目4-2</v>
      </c>
      <c r="D6" s="72">
        <f>'不動産(所有)'!E5</f>
        <v>3100.22</v>
      </c>
      <c r="E6" s="64" t="inlineStr">
        <is>
          <t>法人</t>
        </is>
      </c>
      <c r="F6" s="28" t="inlineStr">
        <is>
          <t>法人（5棟／延床1,246.20㎡）</t>
        </is>
      </c>
      <c r="G6" s="39">
        <f>'不動産(所有)'!H5</f>
        <v>70757240</v>
      </c>
      <c r="H6" s="39">
        <f>'不動産(所有)'!F5/0.7</f>
        <v>51230292.8571429</v>
      </c>
      <c r="I6" s="39">
        <f>'不動産(所有)'!H12+'不動産(所有)'!H13+'不動産(所有)'!H14+'不動産(所有)'!H15+'不動産(所有)'!H16</f>
        <v>22295345</v>
      </c>
      <c r="J6" s="64" t="inlineStr">
        <is>
          <t>要確認</t>
        </is>
      </c>
    </row>
    <row r="7" ht="30" customHeight="1">
      <c r="B7" s="27" t="inlineStr">
        <is>
          <t>パッケージ場</t>
        </is>
      </c>
      <c r="C7" s="28" t="str">
        <f>'不動産(所有)'!B6</f>
        <v>鶴岡市宝田一丁目5-1</v>
      </c>
      <c r="D7" s="72">
        <f>'不動産(所有)'!E6</f>
        <v>900.5</v>
      </c>
      <c r="E7" s="64" t="inlineStr">
        <is>
          <t>法人</t>
        </is>
      </c>
      <c r="F7" s="28" t="inlineStr">
        <is>
          <t>法人（2棟／延床766.48㎡）</t>
        </is>
      </c>
      <c r="G7" s="39">
        <f>'不動産(所有)'!H6</f>
        <v>21380000</v>
      </c>
      <c r="H7" s="39">
        <f>'不動産(所有)'!F6/0.7</f>
        <v>15086140</v>
      </c>
      <c r="I7" s="39">
        <f>'不動産(所有)'!H17+'不動産(所有)'!H18</f>
        <v>24766655</v>
      </c>
      <c r="J7" s="64" t="inlineStr">
        <is>
          <t>要確認</t>
        </is>
      </c>
    </row>
    <row r="8" ht="30" customHeight="1">
      <c r="B8" s="27" t="inlineStr">
        <is>
          <t>旧倉庫敷地</t>
        </is>
      </c>
      <c r="C8" s="28" t="str">
        <f>'不動産(所有)'!B7</f>
        <v>東田川郡庄内町長沼字宮前304-7</v>
      </c>
      <c r="D8" s="72">
        <f>'不動産(所有)'!E7</f>
        <v>261.81</v>
      </c>
      <c r="E8" s="64" t="inlineStr">
        <is>
          <t>法人</t>
        </is>
      </c>
      <c r="F8" s="28" t="inlineStr">
        <is>
          <t>建物なし（老朽化により解体済み）</t>
        </is>
      </c>
      <c r="G8" s="39">
        <f>'不動産(所有)'!H7</f>
        <v>1000000</v>
      </c>
      <c r="H8" s="39">
        <f>'不動産(所有)'!F7/0.7</f>
        <v>1508578.57142857</v>
      </c>
      <c r="I8" s="39" t="n"/>
      <c r="J8" s="64" t="inlineStr">
        <is>
          <t>要確認</t>
        </is>
      </c>
    </row>
    <row r="9" ht="24" customHeight="1">
      <c r="B9" s="40" t="inlineStr">
        <is>
          <t>合計</t>
        </is>
      </c>
      <c r="C9" s="40" t="inlineStr"/>
      <c r="D9" s="73">
        <f>SUM(D6:D8)</f>
        <v>4262.53</v>
      </c>
      <c r="E9" s="40" t="inlineStr"/>
      <c r="F9" s="40" t="inlineStr">
        <is>
          <t>法人 7棟</t>
        </is>
      </c>
      <c r="G9" s="41">
        <f>SUM(G6:G8)</f>
        <v>93137240</v>
      </c>
      <c r="H9" s="41">
        <f>SUM(H6:H8)</f>
        <v>67825011.4285714</v>
      </c>
      <c r="I9" s="41">
        <f>SUM(I6:I8)</f>
        <v>47062000</v>
      </c>
      <c r="J9" s="40" t="inlineStr"/>
    </row>
    <row r="10">
      <c r="B10" s="30" t="inlineStr">
        <is>
          <t>チェック</t>
        </is>
      </c>
      <c r="G10" t="b">
        <f>EXACT(G9,'不動産(所有)'!H8)</f>
        <v>1</v>
      </c>
      <c r="I10" t="b">
        <f>EXACT(I9,'不動産(所有)'!H19)</f>
        <v>1</v>
      </c>
    </row>
    <row r="12">
      <c r="B12" s="47" t="inlineStr">
        <is>
          <t>※面積は登記地積（固定資産税課税明細書）。土地時価＝固定資産税評価額÷0.7（公示価格水準への割戻し。推計）。建物評価額は令和8年度固定資産税評価額。</t>
        </is>
      </c>
    </row>
    <row r="13">
      <c r="B13" s="47" t="inlineStr">
        <is>
          <t>※担保設定の状況は不動産登記簿謄本（未受領）により確認予定。</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23"/>
  <sheetViews>
    <sheetView showGridLines="0" workbookViewId="0">
      <selection activeCell="A1" sqref="A1"/>
    </sheetView>
  </sheetViews>
  <sheetFormatPr baseColWidth="8" defaultRowHeight="15"/>
  <cols>
    <col width="2" customWidth="1" min="1" max="1"/>
    <col width="30" customWidth="1" min="2" max="2"/>
    <col width="14" customWidth="1" min="3" max="3"/>
    <col width="22" customWidth="1" min="4" max="4"/>
    <col width="12" customWidth="1" min="5" max="5"/>
    <col width="16" customWidth="1" min="6" max="6"/>
    <col width="22" customWidth="1" min="7" max="7"/>
    <col width="16" customWidth="1" min="8" max="8"/>
    <col width="16" customWidth="1" min="9" max="9"/>
  </cols>
  <sheetData>
    <row r="1">
      <c r="A1" s="1" t="inlineStr">
        <is>
          <t>所有不動産（転記元データ）</t>
        </is>
      </c>
    </row>
    <row r="2">
      <c r="A2" s="5" t="inlineStr">
        <is>
          <t>出所：R8年度固定資産税課税明細書、固定資産（土地・建物）内訳書。概要書へは「不動産概況」「不動産詳細」シート経由で貼り付ける</t>
        </is>
      </c>
    </row>
    <row r="4" ht="30" customHeight="1">
      <c r="A4" s="6" t="inlineStr"/>
      <c r="B4" s="6" t="inlineStr">
        <is>
          <t>所在</t>
        </is>
      </c>
      <c r="C4" s="6" t="inlineStr">
        <is>
          <t>地目</t>
        </is>
      </c>
      <c r="D4" s="6" t="inlineStr">
        <is>
          <t>用途</t>
        </is>
      </c>
      <c r="E4" s="6" t="inlineStr">
        <is>
          <t>地積(㎡)</t>
        </is>
      </c>
      <c r="F4" s="6" t="inlineStr">
        <is>
          <t>固定資産税評価額</t>
        </is>
      </c>
      <c r="G4" s="6" t="inlineStr"/>
      <c r="H4" s="6" t="inlineStr">
        <is>
          <t>簿価(2026/3末)</t>
        </is>
      </c>
      <c r="I4" s="6" t="inlineStr"/>
    </row>
    <row r="5">
      <c r="B5" s="14" t="inlineStr">
        <is>
          <t>鶴岡市宝田一丁目4-2</t>
        </is>
      </c>
      <c r="C5" s="74" t="inlineStr">
        <is>
          <t>宅地</t>
        </is>
      </c>
      <c r="D5" s="74" t="inlineStr">
        <is>
          <t>市場・事務所・倉庫</t>
        </is>
      </c>
      <c r="E5" s="75" t="n">
        <v>3100.22</v>
      </c>
      <c r="F5" s="9" t="n">
        <v>35861205</v>
      </c>
      <c r="H5" s="9" t="n">
        <v>70757240</v>
      </c>
    </row>
    <row r="6">
      <c r="B6" s="14" t="inlineStr">
        <is>
          <t>鶴岡市宝田一丁目5-1</t>
        </is>
      </c>
      <c r="C6" s="74" t="inlineStr">
        <is>
          <t>宅地</t>
        </is>
      </c>
      <c r="D6" s="74" t="inlineStr">
        <is>
          <t>パッケージ場・倉庫</t>
        </is>
      </c>
      <c r="E6" s="75" t="n">
        <v>900.5</v>
      </c>
      <c r="F6" s="9" t="n">
        <v>10560298</v>
      </c>
      <c r="H6" s="9" t="n">
        <v>21380000</v>
      </c>
    </row>
    <row r="7">
      <c r="B7" s="14" t="inlineStr">
        <is>
          <t>東田川郡庄内町長沼字宮前304-7</t>
        </is>
      </c>
      <c r="C7" s="74" t="inlineStr">
        <is>
          <t>宅地</t>
        </is>
      </c>
      <c r="D7" s="74" t="inlineStr">
        <is>
          <t>駐車場・旧倉庫敷地</t>
        </is>
      </c>
      <c r="E7" s="75" t="n">
        <v>261.81</v>
      </c>
      <c r="F7" s="9" t="n">
        <v>1056005</v>
      </c>
      <c r="H7" s="9" t="n">
        <v>1000000</v>
      </c>
    </row>
    <row r="8">
      <c r="B8" s="10" t="inlineStr">
        <is>
          <t>土地 計</t>
        </is>
      </c>
      <c r="E8" s="76">
        <f>SUM(E5:E7)</f>
        <v>4262.53</v>
      </c>
      <c r="F8" s="11">
        <f>SUM(F5:F7)</f>
        <v>47477508</v>
      </c>
      <c r="H8" s="11">
        <f>SUM(H5:H7)</f>
        <v>93137240</v>
      </c>
    </row>
    <row r="9">
      <c r="B9" s="7" t="inlineStr">
        <is>
          <t>チェック：BS土地と一致</t>
        </is>
      </c>
      <c r="H9" t="b">
        <f>EXACT(H8,'BS(借方)'!E24)</f>
        <v>1</v>
      </c>
    </row>
    <row r="11" ht="30" customHeight="1">
      <c r="A11" s="6" t="inlineStr"/>
      <c r="B11" s="6" t="inlineStr">
        <is>
          <t>所在</t>
        </is>
      </c>
      <c r="C11" s="6" t="inlineStr">
        <is>
          <t>種類</t>
        </is>
      </c>
      <c r="D11" s="6" t="inlineStr">
        <is>
          <t>構造</t>
        </is>
      </c>
      <c r="E11" s="6" t="inlineStr">
        <is>
          <t>階数</t>
        </is>
      </c>
      <c r="F11" s="6" t="inlineStr">
        <is>
          <t>床面積(㎡)</t>
        </is>
      </c>
      <c r="G11" s="6" t="inlineStr">
        <is>
          <t>建築年</t>
        </is>
      </c>
      <c r="H11" s="6" t="inlineStr">
        <is>
          <t>固定資産税評価額</t>
        </is>
      </c>
      <c r="I11" s="6" t="inlineStr"/>
    </row>
    <row r="12">
      <c r="B12" s="14" t="inlineStr">
        <is>
          <t>宝田一丁目4-2</t>
        </is>
      </c>
      <c r="C12" s="74" t="inlineStr">
        <is>
          <t>事務所</t>
        </is>
      </c>
      <c r="D12" s="20" t="inlineStr">
        <is>
          <t>鉄骨造 亜鉛メッキ鋼板葺</t>
        </is>
      </c>
      <c r="E12" s="74" t="inlineStr">
        <is>
          <t>2階</t>
        </is>
      </c>
      <c r="F12" s="75" t="n">
        <v>365.63</v>
      </c>
      <c r="G12" s="74" t="inlineStr">
        <is>
          <t>1981年（昭和56年）</t>
        </is>
      </c>
      <c r="H12" s="9" t="n">
        <v>11218061</v>
      </c>
    </row>
    <row r="13">
      <c r="B13" s="14" t="inlineStr">
        <is>
          <t>宝田一丁目4-2</t>
        </is>
      </c>
      <c r="C13" s="74" t="inlineStr">
        <is>
          <t>市場</t>
        </is>
      </c>
      <c r="D13" s="20" t="inlineStr">
        <is>
          <t>鉄骨造 亜鉛メッキ鋼板葺</t>
        </is>
      </c>
      <c r="E13" s="74" t="inlineStr">
        <is>
          <t>1階</t>
        </is>
      </c>
      <c r="F13" s="75" t="n">
        <v>320.22</v>
      </c>
      <c r="G13" s="74" t="inlineStr">
        <is>
          <t>1981年（昭和56年）</t>
        </is>
      </c>
      <c r="H13" s="9" t="n">
        <v>4712536</v>
      </c>
    </row>
    <row r="14">
      <c r="B14" s="14" t="inlineStr">
        <is>
          <t>宝田一丁目4-2</t>
        </is>
      </c>
      <c r="C14" s="74" t="inlineStr">
        <is>
          <t>倉庫</t>
        </is>
      </c>
      <c r="D14" s="20" t="inlineStr">
        <is>
          <t>鉄骨造 亜鉛メッキ鋼板葺</t>
        </is>
      </c>
      <c r="E14" s="74" t="inlineStr">
        <is>
          <t>1階</t>
        </is>
      </c>
      <c r="F14" s="75" t="n">
        <v>327.13</v>
      </c>
      <c r="G14" s="74" t="inlineStr">
        <is>
          <t>1981年（昭和56年）</t>
        </is>
      </c>
      <c r="H14" s="9" t="n">
        <v>4560792</v>
      </c>
    </row>
    <row r="15">
      <c r="B15" s="14" t="inlineStr">
        <is>
          <t>宝田一丁目4-2</t>
        </is>
      </c>
      <c r="C15" s="74" t="inlineStr">
        <is>
          <t>倉庫</t>
        </is>
      </c>
      <c r="D15" s="20" t="inlineStr">
        <is>
          <t>軽量鉄骨造</t>
        </is>
      </c>
      <c r="E15" s="74" t="inlineStr">
        <is>
          <t>2階</t>
        </is>
      </c>
      <c r="F15" s="75" t="n">
        <v>198.74</v>
      </c>
      <c r="G15" s="74" t="inlineStr">
        <is>
          <t>1981年（昭和56年）</t>
        </is>
      </c>
      <c r="H15" s="9" t="n">
        <v>1237049</v>
      </c>
    </row>
    <row r="16">
      <c r="B16" s="14" t="inlineStr">
        <is>
          <t>宝田一丁目4-2</t>
        </is>
      </c>
      <c r="C16" s="74" t="inlineStr">
        <is>
          <t>貯蔵庫</t>
        </is>
      </c>
      <c r="D16" s="20" t="inlineStr">
        <is>
          <t>軽量鉄骨造</t>
        </is>
      </c>
      <c r="E16" s="74" t="inlineStr">
        <is>
          <t>1階</t>
        </is>
      </c>
      <c r="F16" s="75" t="n">
        <v>34.48</v>
      </c>
      <c r="G16" s="74" t="inlineStr">
        <is>
          <t>1981年（昭和56年）</t>
        </is>
      </c>
      <c r="H16" s="9" t="n">
        <v>566907</v>
      </c>
    </row>
    <row r="17">
      <c r="B17" s="14" t="inlineStr">
        <is>
          <t>宝田一丁目5-1</t>
        </is>
      </c>
      <c r="C17" s="74" t="inlineStr">
        <is>
          <t>事務所兼倉庫</t>
        </is>
      </c>
      <c r="D17" s="20" t="inlineStr">
        <is>
          <t>鉄骨造 亜鉛メッキ鋼板葺</t>
        </is>
      </c>
      <c r="E17" s="74" t="inlineStr">
        <is>
          <t>2階</t>
        </is>
      </c>
      <c r="F17" s="75" t="n">
        <v>627.4</v>
      </c>
      <c r="G17" s="74" t="inlineStr">
        <is>
          <t>1982年（昭和57年）</t>
        </is>
      </c>
      <c r="H17" s="9" t="n">
        <v>13110977</v>
      </c>
    </row>
    <row r="18">
      <c r="B18" s="14" t="inlineStr">
        <is>
          <t>宝田一丁目5-1</t>
        </is>
      </c>
      <c r="C18" s="74" t="inlineStr">
        <is>
          <t>倉庫</t>
        </is>
      </c>
      <c r="D18" s="20" t="inlineStr">
        <is>
          <t>鉄骨造 亜鉛メッキ鋼板葺</t>
        </is>
      </c>
      <c r="E18" s="74" t="inlineStr">
        <is>
          <t>1階</t>
        </is>
      </c>
      <c r="F18" s="75" t="n">
        <v>139.08</v>
      </c>
      <c r="G18" s="74" t="inlineStr">
        <is>
          <t>2012年（平成24年）</t>
        </is>
      </c>
      <c r="H18" s="9" t="n">
        <v>11655678</v>
      </c>
    </row>
    <row r="19">
      <c r="B19" s="10" t="inlineStr">
        <is>
          <t>建物 計</t>
        </is>
      </c>
      <c r="F19" s="76">
        <f>SUM(F12:F18)</f>
        <v>2012.68</v>
      </c>
      <c r="H19" s="11">
        <f>SUM(H12:H18)</f>
        <v>47062000</v>
      </c>
    </row>
    <row r="21">
      <c r="B21" s="22" t="inlineStr">
        <is>
          <t>※建物簿価（2026/3末）92,066千円・建物付属設備11,400千円。主要棟は1981〜82年築であり、新耐震基準への適合（確認済証の日付）・アスベスト・修繕履歴は要確認。</t>
        </is>
      </c>
    </row>
    <row r="22">
      <c r="B22" s="22" t="inlineStr">
        <is>
          <t>※土地の簿価93,137千円に対し、固定資産税評価額は47,478千円。評価額÷0.7で推計した時価は約67,800千円（推察）であり、含み損の可能性あり。鑑定・路線価で要確認。</t>
        </is>
      </c>
    </row>
    <row r="23">
      <c r="B23" s="22" t="inlineStr">
        <is>
          <t>※償却資産の課税標準額9,779千円。R8年度固定資産税・都市計画税の年税額1,488千円。</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0"/>
  <sheetViews>
    <sheetView showGridLines="0" workbookViewId="0">
      <selection activeCell="A1" sqref="A1"/>
    </sheetView>
  </sheetViews>
  <sheetFormatPr baseColWidth="8" defaultRowHeight="15"/>
  <cols>
    <col width="2" customWidth="1" min="1" max="1"/>
    <col width="17.11" customWidth="1" min="2" max="2"/>
    <col width="31.51" customWidth="1" min="3" max="3"/>
    <col width="11.63" customWidth="1" min="4" max="4"/>
    <col width="31.51" customWidth="1" min="5" max="5"/>
    <col width="13.69" customWidth="1" min="6" max="6"/>
    <col width="12.31" customWidth="1" min="7" max="7"/>
    <col width="12.31" customWidth="1" min="8" max="8"/>
    <col width="10.94" customWidth="1" min="9" max="9"/>
  </cols>
  <sheetData>
    <row r="1">
      <c r="A1" s="1" t="inlineStr">
        <is>
          <t>不動産詳細</t>
        </is>
      </c>
    </row>
    <row r="2">
      <c r="A2" s="25" t="inlineStr">
        <is>
          <t>■ 貼付範囲 B4:I17 → 企業概要書「不動産詳細」（範囲をコピーしてパワポに貼り付け。数字はここを直す）</t>
        </is>
      </c>
    </row>
    <row r="4">
      <c r="I4" s="32" t="inlineStr">
        <is>
          <t>(単位：千円)</t>
        </is>
      </c>
    </row>
    <row r="5" ht="30" customHeight="1">
      <c r="B5" s="52" t="inlineStr">
        <is>
          <t>区分</t>
        </is>
      </c>
      <c r="C5" s="52" t="inlineStr">
        <is>
          <t>所在地</t>
        </is>
      </c>
      <c r="D5" s="52" t="inlineStr">
        <is>
          <t>面積
(㎡)</t>
        </is>
      </c>
      <c r="E5" s="52" t="inlineStr">
        <is>
          <t>地目・構造</t>
        </is>
      </c>
      <c r="F5" s="52" t="inlineStr">
        <is>
          <t>建築年</t>
        </is>
      </c>
      <c r="G5" s="52" t="inlineStr">
        <is>
          <t>期末簿価
(千円)</t>
        </is>
      </c>
      <c r="H5" s="52" t="inlineStr">
        <is>
          <t>固定資産税
評価額(千円)</t>
        </is>
      </c>
      <c r="I5" s="52" t="inlineStr">
        <is>
          <t>時価
(千円)</t>
        </is>
      </c>
    </row>
    <row r="6" ht="17" customHeight="1">
      <c r="B6" s="77" t="inlineStr">
        <is>
          <t>土地</t>
        </is>
      </c>
      <c r="C6" s="78" t="str">
        <f>'不動産(所有)'!B5</f>
        <v>鶴岡市宝田一丁目4-2</v>
      </c>
      <c r="D6" s="79">
        <f>'不動産(所有)'!E5</f>
        <v>3100.22</v>
      </c>
      <c r="E6" s="78" t="str">
        <f>'不動産(所有)'!C5&amp;"（"&amp;'不動産(所有)'!D5&amp;"）"</f>
        <v>宅地（市場・事務所・倉庫）</v>
      </c>
      <c r="F6" s="80" t="inlineStr">
        <is>
          <t>－</t>
        </is>
      </c>
      <c r="G6" s="81">
        <f>'不動産(所有)'!H5</f>
        <v>70757240</v>
      </c>
      <c r="H6" s="81">
        <f>'不動産(所有)'!F5</f>
        <v>35861205</v>
      </c>
      <c r="I6" s="81">
        <f>'不動産(所有)'!F5/0.7</f>
        <v>51230292.8571429</v>
      </c>
    </row>
    <row r="7" ht="17" customHeight="1">
      <c r="B7" s="77" t="inlineStr">
        <is>
          <t>土地</t>
        </is>
      </c>
      <c r="C7" s="78" t="str">
        <f>'不動産(所有)'!B6</f>
        <v>鶴岡市宝田一丁目5-1</v>
      </c>
      <c r="D7" s="79">
        <f>'不動産(所有)'!E6</f>
        <v>900.5</v>
      </c>
      <c r="E7" s="78" t="str">
        <f>'不動産(所有)'!C6&amp;"（"&amp;'不動産(所有)'!D6&amp;"）"</f>
        <v>宅地（パッケージ場・倉庫）</v>
      </c>
      <c r="F7" s="80" t="inlineStr">
        <is>
          <t>－</t>
        </is>
      </c>
      <c r="G7" s="81">
        <f>'不動産(所有)'!H6</f>
        <v>21380000</v>
      </c>
      <c r="H7" s="81">
        <f>'不動産(所有)'!F6</f>
        <v>10560298</v>
      </c>
      <c r="I7" s="81">
        <f>'不動産(所有)'!F6/0.7</f>
        <v>15086140</v>
      </c>
    </row>
    <row r="8" ht="17" customHeight="1">
      <c r="B8" s="77" t="inlineStr">
        <is>
          <t>土地</t>
        </is>
      </c>
      <c r="C8" s="78" t="str">
        <f>'不動産(所有)'!B7</f>
        <v>東田川郡庄内町長沼字宮前304-7</v>
      </c>
      <c r="D8" s="79">
        <f>'不動産(所有)'!E7</f>
        <v>261.81</v>
      </c>
      <c r="E8" s="78" t="str">
        <f>'不動産(所有)'!C7&amp;"（"&amp;'不動産(所有)'!D7&amp;"）"</f>
        <v>宅地（駐車場・旧倉庫敷地）</v>
      </c>
      <c r="F8" s="80" t="inlineStr">
        <is>
          <t>－</t>
        </is>
      </c>
      <c r="G8" s="81">
        <f>'不動産(所有)'!H7</f>
        <v>1000000</v>
      </c>
      <c r="H8" s="81">
        <f>'不動産(所有)'!F7</f>
        <v>1056005</v>
      </c>
      <c r="I8" s="81">
        <f>'不動産(所有)'!F7/0.7</f>
        <v>1508578.57142857</v>
      </c>
    </row>
    <row r="9" ht="17" customHeight="1">
      <c r="B9" s="82" t="inlineStr">
        <is>
          <t>土地 計</t>
        </is>
      </c>
      <c r="C9" s="82" t="inlineStr"/>
      <c r="D9" s="83">
        <f>SUM(D6:D8)</f>
        <v>4262.53</v>
      </c>
      <c r="E9" s="82" t="inlineStr"/>
      <c r="F9" s="82" t="inlineStr"/>
      <c r="G9" s="84">
        <f>SUM(G6:G8)</f>
        <v>93137240</v>
      </c>
      <c r="H9" s="84">
        <f>SUM(H6:H8)</f>
        <v>47477508</v>
      </c>
      <c r="I9" s="84">
        <f>SUM(I6:I8)</f>
        <v>67825011.4285714</v>
      </c>
    </row>
    <row r="10" ht="17" customHeight="1">
      <c r="B10" s="77" t="str">
        <f>'不動産(所有)'!C12</f>
        <v>事務所</v>
      </c>
      <c r="C10" s="78" t="str">
        <f>"鶴岡市"&amp;'不動産(所有)'!B12</f>
        <v>鶴岡市宝田一丁目4-2</v>
      </c>
      <c r="D10" s="79">
        <f>'不動産(所有)'!F12</f>
        <v>365.63</v>
      </c>
      <c r="E10" s="78" t="str">
        <f>'不動産(所有)'!D12&amp;" "&amp;'不動産(所有)'!E12</f>
        <v>鉄骨造 亜鉛メッキ鋼板葺 2階</v>
      </c>
      <c r="F10" s="80" t="str">
        <f>LEFT('不動産(所有)'!G12,5)</f>
        <v>1981年</v>
      </c>
      <c r="G10" s="81" t="inlineStr">
        <is>
          <t>－</t>
        </is>
      </c>
      <c r="H10" s="81">
        <f>'不動産(所有)'!H12</f>
        <v>11218061</v>
      </c>
      <c r="I10" s="81" t="inlineStr">
        <is>
          <t>－</t>
        </is>
      </c>
    </row>
    <row r="11" ht="17" customHeight="1">
      <c r="B11" s="77" t="str">
        <f>'不動産(所有)'!C13</f>
        <v>市場</v>
      </c>
      <c r="C11" s="78" t="str">
        <f>"鶴岡市"&amp;'不動産(所有)'!B13</f>
        <v>鶴岡市宝田一丁目4-2</v>
      </c>
      <c r="D11" s="79">
        <f>'不動産(所有)'!F13</f>
        <v>320.22</v>
      </c>
      <c r="E11" s="78" t="str">
        <f>'不動産(所有)'!D13&amp;" "&amp;'不動産(所有)'!E13</f>
        <v>鉄骨造 亜鉛メッキ鋼板葺 1階</v>
      </c>
      <c r="F11" s="80" t="str">
        <f>LEFT('不動産(所有)'!G13,5)</f>
        <v>1981年</v>
      </c>
      <c r="G11" s="81" t="inlineStr">
        <is>
          <t>－</t>
        </is>
      </c>
      <c r="H11" s="81">
        <f>'不動産(所有)'!H13</f>
        <v>4712536</v>
      </c>
      <c r="I11" s="81" t="inlineStr">
        <is>
          <t>－</t>
        </is>
      </c>
    </row>
    <row r="12" ht="17" customHeight="1">
      <c r="B12" s="77" t="str">
        <f>'不動産(所有)'!C14</f>
        <v>倉庫</v>
      </c>
      <c r="C12" s="78" t="str">
        <f>"鶴岡市"&amp;'不動産(所有)'!B14</f>
        <v>鶴岡市宝田一丁目4-2</v>
      </c>
      <c r="D12" s="79">
        <f>'不動産(所有)'!F14</f>
        <v>327.13</v>
      </c>
      <c r="E12" s="78" t="str">
        <f>'不動産(所有)'!D14&amp;" "&amp;'不動産(所有)'!E14</f>
        <v>鉄骨造 亜鉛メッキ鋼板葺 1階</v>
      </c>
      <c r="F12" s="80" t="str">
        <f>LEFT('不動産(所有)'!G14,5)</f>
        <v>1981年</v>
      </c>
      <c r="G12" s="81" t="inlineStr">
        <is>
          <t>－</t>
        </is>
      </c>
      <c r="H12" s="81">
        <f>'不動産(所有)'!H14</f>
        <v>4560792</v>
      </c>
      <c r="I12" s="81" t="inlineStr">
        <is>
          <t>－</t>
        </is>
      </c>
    </row>
    <row r="13" ht="17" customHeight="1">
      <c r="B13" s="77" t="str">
        <f>'不動産(所有)'!C15</f>
        <v>倉庫</v>
      </c>
      <c r="C13" s="78" t="str">
        <f>"鶴岡市"&amp;'不動産(所有)'!B15</f>
        <v>鶴岡市宝田一丁目4-2</v>
      </c>
      <c r="D13" s="79">
        <f>'不動産(所有)'!F15</f>
        <v>198.74</v>
      </c>
      <c r="E13" s="78" t="str">
        <f>'不動産(所有)'!D15&amp;" "&amp;'不動産(所有)'!E15</f>
        <v>軽量鉄骨造 2階</v>
      </c>
      <c r="F13" s="80" t="str">
        <f>LEFT('不動産(所有)'!G15,5)</f>
        <v>1981年</v>
      </c>
      <c r="G13" s="81" t="inlineStr">
        <is>
          <t>－</t>
        </is>
      </c>
      <c r="H13" s="81">
        <f>'不動産(所有)'!H15</f>
        <v>1237049</v>
      </c>
      <c r="I13" s="81" t="inlineStr">
        <is>
          <t>－</t>
        </is>
      </c>
    </row>
    <row r="14" ht="17" customHeight="1">
      <c r="B14" s="77" t="str">
        <f>'不動産(所有)'!C16</f>
        <v>貯蔵庫</v>
      </c>
      <c r="C14" s="78" t="str">
        <f>"鶴岡市"&amp;'不動産(所有)'!B16</f>
        <v>鶴岡市宝田一丁目4-2</v>
      </c>
      <c r="D14" s="79">
        <f>'不動産(所有)'!F16</f>
        <v>34.48</v>
      </c>
      <c r="E14" s="78" t="str">
        <f>'不動産(所有)'!D16&amp;" "&amp;'不動産(所有)'!E16</f>
        <v>軽量鉄骨造 1階</v>
      </c>
      <c r="F14" s="80" t="str">
        <f>LEFT('不動産(所有)'!G16,5)</f>
        <v>1981年</v>
      </c>
      <c r="G14" s="81" t="inlineStr">
        <is>
          <t>－</t>
        </is>
      </c>
      <c r="H14" s="81">
        <f>'不動産(所有)'!H16</f>
        <v>566907</v>
      </c>
      <c r="I14" s="81" t="inlineStr">
        <is>
          <t>－</t>
        </is>
      </c>
    </row>
    <row r="15" ht="17" customHeight="1">
      <c r="B15" s="77" t="str">
        <f>'不動産(所有)'!C17</f>
        <v>事務所兼倉庫</v>
      </c>
      <c r="C15" s="78" t="str">
        <f>"鶴岡市"&amp;'不動産(所有)'!B17</f>
        <v>鶴岡市宝田一丁目5-1</v>
      </c>
      <c r="D15" s="79">
        <f>'不動産(所有)'!F17</f>
        <v>627.4</v>
      </c>
      <c r="E15" s="78" t="str">
        <f>'不動産(所有)'!D17&amp;" "&amp;'不動産(所有)'!E17</f>
        <v>鉄骨造 亜鉛メッキ鋼板葺 2階</v>
      </c>
      <c r="F15" s="80" t="str">
        <f>LEFT('不動産(所有)'!G17,5)</f>
        <v>1982年</v>
      </c>
      <c r="G15" s="81" t="inlineStr">
        <is>
          <t>－</t>
        </is>
      </c>
      <c r="H15" s="81">
        <f>'不動産(所有)'!H17</f>
        <v>13110977</v>
      </c>
      <c r="I15" s="81" t="inlineStr">
        <is>
          <t>－</t>
        </is>
      </c>
    </row>
    <row r="16" ht="17" customHeight="1">
      <c r="B16" s="77" t="str">
        <f>'不動産(所有)'!C18</f>
        <v>倉庫</v>
      </c>
      <c r="C16" s="78" t="str">
        <f>"鶴岡市"&amp;'不動産(所有)'!B18</f>
        <v>鶴岡市宝田一丁目5-1</v>
      </c>
      <c r="D16" s="79">
        <f>'不動産(所有)'!F18</f>
        <v>139.08</v>
      </c>
      <c r="E16" s="78" t="str">
        <f>'不動産(所有)'!D18&amp;" "&amp;'不動産(所有)'!E18</f>
        <v>鉄骨造 亜鉛メッキ鋼板葺 1階</v>
      </c>
      <c r="F16" s="80" t="str">
        <f>LEFT('不動産(所有)'!G18,5)</f>
        <v>2012年</v>
      </c>
      <c r="G16" s="81" t="inlineStr">
        <is>
          <t>－</t>
        </is>
      </c>
      <c r="H16" s="81">
        <f>'不動産(所有)'!H18</f>
        <v>11655678</v>
      </c>
      <c r="I16" s="81" t="inlineStr">
        <is>
          <t>－</t>
        </is>
      </c>
    </row>
    <row r="17" ht="17" customHeight="1">
      <c r="B17" s="82" t="inlineStr">
        <is>
          <t>建物 計</t>
        </is>
      </c>
      <c r="C17" s="82" t="inlineStr"/>
      <c r="D17" s="83">
        <f>SUM(D10:D16)</f>
        <v>2012.68</v>
      </c>
      <c r="E17" s="82" t="inlineStr"/>
      <c r="F17" s="82" t="inlineStr"/>
      <c r="G17" s="84">
        <f>'BS(借方)'!E18</f>
        <v>92065694</v>
      </c>
      <c r="H17" s="84">
        <f>SUM(H10:H16)</f>
        <v>47062000</v>
      </c>
      <c r="I17" s="84" t="inlineStr">
        <is>
          <t>－</t>
        </is>
      </c>
    </row>
    <row r="19">
      <c r="B19" s="47" t="inlineStr">
        <is>
          <t>※建物の簿価は棟別ではなく改修工事を含めた合計（BS建物）で記載。棟別の内訳は「設備」シート参照。土地時価＝固定資産税評価額÷0.7（推計）。</t>
        </is>
      </c>
    </row>
    <row r="20">
      <c r="B20" s="47" t="inlineStr">
        <is>
          <t>※1981年築の建物は新耐震基準（1981年6月施行）の適用有無を建築確認日で要確認。土地の時価は鑑定・路線価で要確認。賃借物件なし。</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47"/>
  <sheetViews>
    <sheetView showGridLines="0" workbookViewId="0">
      <selection activeCell="A1" sqref="A1"/>
    </sheetView>
  </sheetViews>
  <sheetFormatPr baseColWidth="8" defaultRowHeight="15"/>
  <cols>
    <col width="2" customWidth="1" min="1" max="1"/>
    <col width="26.03" customWidth="1" min="2" max="2"/>
    <col width="21.23" customWidth="1" min="3" max="3"/>
    <col width="10.94" customWidth="1" min="4" max="4"/>
    <col width="13" customWidth="1" min="5" max="5"/>
    <col width="3.4" customWidth="1" min="6" max="6"/>
    <col width="17.11" customWidth="1" min="7" max="7"/>
    <col width="12.31" customWidth="1" min="8" max="8"/>
    <col width="29.46" customWidth="1" min="9" max="9"/>
  </cols>
  <sheetData>
    <row r="1">
      <c r="A1" s="1" t="inlineStr">
        <is>
          <t>保有設備一覧</t>
        </is>
      </c>
    </row>
    <row r="2">
      <c r="A2" s="25" t="inlineStr">
        <is>
          <t>■ 貼付範囲 B4:E32（建物内訳）／G36:I45（科目別）→ 企業概要書「保有設備一覧」</t>
        </is>
      </c>
    </row>
    <row r="4">
      <c r="E4" s="85" t="inlineStr">
        <is>
          <t>(単位：千円)</t>
        </is>
      </c>
    </row>
    <row r="5" ht="15" customHeight="1">
      <c r="B5" s="86" t="inlineStr">
        <is>
          <t>建物内訳（用途）</t>
        </is>
      </c>
      <c r="C5" s="86" t="inlineStr">
        <is>
          <t>所在</t>
        </is>
      </c>
      <c r="D5" s="86" t="inlineStr">
        <is>
          <t>面積(㎡)</t>
        </is>
      </c>
      <c r="E5" s="86" t="inlineStr">
        <is>
          <t>簿価</t>
        </is>
      </c>
    </row>
    <row r="6" ht="13" customHeight="1">
      <c r="B6" s="87" t="inlineStr">
        <is>
          <t>管理棟</t>
        </is>
      </c>
      <c r="C6" s="88" t="inlineStr">
        <is>
          <t>宝田一丁目4-20</t>
        </is>
      </c>
      <c r="D6" s="89" t="n">
        <v>365</v>
      </c>
      <c r="E6" s="90" t="n">
        <v>20192827</v>
      </c>
    </row>
    <row r="7" ht="13" customHeight="1">
      <c r="B7" s="87" t="inlineStr">
        <is>
          <t>荷捌市場</t>
        </is>
      </c>
      <c r="C7" s="88" t="inlineStr">
        <is>
          <t>宝田一丁目4-20</t>
        </is>
      </c>
      <c r="D7" s="89" t="n">
        <v>330.7</v>
      </c>
      <c r="E7" s="90" t="n">
        <v>5899377</v>
      </c>
    </row>
    <row r="8" ht="13" customHeight="1">
      <c r="B8" s="87" t="inlineStr">
        <is>
          <t>倉庫</t>
        </is>
      </c>
      <c r="C8" s="88" t="inlineStr">
        <is>
          <t>宝田一丁目4-20</t>
        </is>
      </c>
      <c r="D8" s="89" t="n">
        <v>320.2</v>
      </c>
      <c r="E8" s="90" t="n">
        <v>1165921</v>
      </c>
    </row>
    <row r="9" ht="13" customHeight="1">
      <c r="B9" s="87" t="inlineStr">
        <is>
          <t>容器庫</t>
        </is>
      </c>
      <c r="C9" s="88" t="inlineStr">
        <is>
          <t>宝田一丁目4-20</t>
        </is>
      </c>
      <c r="D9" s="89" t="n">
        <v>198.7</v>
      </c>
      <c r="E9" s="90" t="n">
        <v>500001</v>
      </c>
    </row>
    <row r="10" ht="13" customHeight="1">
      <c r="B10" s="87" t="inlineStr">
        <is>
          <t>物置</t>
        </is>
      </c>
      <c r="C10" s="88" t="inlineStr">
        <is>
          <t>宝田一丁目4-20</t>
        </is>
      </c>
      <c r="D10" s="89" t="n">
        <v>34.4</v>
      </c>
      <c r="E10" s="90" t="n">
        <v>1</v>
      </c>
    </row>
    <row r="11" ht="13" customHeight="1">
      <c r="B11" s="87" t="inlineStr">
        <is>
          <t>容器倉庫</t>
        </is>
      </c>
      <c r="C11" s="88" t="inlineStr">
        <is>
          <t>宝田一丁目4-20</t>
        </is>
      </c>
      <c r="D11" s="89" t="n"/>
      <c r="E11" s="90" t="n">
        <v>249260</v>
      </c>
    </row>
    <row r="12" ht="13" customHeight="1">
      <c r="B12" s="87" t="inlineStr">
        <is>
          <t>シャッター</t>
        </is>
      </c>
      <c r="C12" s="88" t="inlineStr">
        <is>
          <t>宝田一丁目4-20</t>
        </is>
      </c>
      <c r="D12" s="89" t="n"/>
      <c r="E12" s="90" t="n">
        <v>1</v>
      </c>
    </row>
    <row r="13" ht="13" customHeight="1">
      <c r="B13" s="87" t="inlineStr">
        <is>
          <t>シャッター取替</t>
        </is>
      </c>
      <c r="C13" s="88" t="inlineStr">
        <is>
          <t>宝田一丁目4-20</t>
        </is>
      </c>
      <c r="D13" s="89" t="n"/>
      <c r="E13" s="90" t="n">
        <v>1739340</v>
      </c>
    </row>
    <row r="14" ht="13" customHeight="1">
      <c r="B14" s="87" t="inlineStr">
        <is>
          <t>改修工事</t>
        </is>
      </c>
      <c r="C14" s="88" t="inlineStr">
        <is>
          <t>宝田一丁目4-20</t>
        </is>
      </c>
      <c r="D14" s="89" t="n"/>
      <c r="E14" s="90" t="n">
        <v>2695280</v>
      </c>
    </row>
    <row r="15" ht="13" customHeight="1">
      <c r="B15" s="87" t="inlineStr">
        <is>
          <t>改修工事</t>
        </is>
      </c>
      <c r="C15" s="88" t="inlineStr">
        <is>
          <t>宝田一丁目4-20</t>
        </is>
      </c>
      <c r="D15" s="89" t="n"/>
      <c r="E15" s="90" t="n">
        <v>6000156</v>
      </c>
    </row>
    <row r="16" ht="13" customHeight="1">
      <c r="B16" s="87" t="inlineStr">
        <is>
          <t>パッケージ場</t>
        </is>
      </c>
      <c r="C16" s="88" t="inlineStr">
        <is>
          <t>宝田一丁目5-20</t>
        </is>
      </c>
      <c r="D16" s="89" t="n">
        <v>629.34</v>
      </c>
      <c r="E16" s="90" t="n">
        <v>11751239</v>
      </c>
    </row>
    <row r="17" ht="13" customHeight="1">
      <c r="B17" s="87" t="inlineStr">
        <is>
          <t>シャッター更新</t>
        </is>
      </c>
      <c r="C17" s="88" t="inlineStr">
        <is>
          <t>宝田一丁目4-20</t>
        </is>
      </c>
      <c r="D17" s="89" t="n"/>
      <c r="E17" s="90" t="n">
        <v>1077501</v>
      </c>
    </row>
    <row r="18" ht="13" customHeight="1">
      <c r="B18" s="87" t="inlineStr">
        <is>
          <t>プレハブ修繕</t>
        </is>
      </c>
      <c r="C18" s="88" t="inlineStr">
        <is>
          <t>宝田一丁目4-20</t>
        </is>
      </c>
      <c r="D18" s="89" t="n"/>
      <c r="E18" s="90" t="n">
        <v>1377441</v>
      </c>
    </row>
    <row r="19" ht="13" customHeight="1">
      <c r="B19" s="87" t="inlineStr">
        <is>
          <t>不用材置場</t>
        </is>
      </c>
      <c r="C19" s="88" t="inlineStr">
        <is>
          <t>宝田一丁目4-20</t>
        </is>
      </c>
      <c r="D19" s="89" t="n"/>
      <c r="E19" s="90" t="n">
        <v>1</v>
      </c>
    </row>
    <row r="20" ht="13" customHeight="1">
      <c r="B20" s="87" t="inlineStr">
        <is>
          <t>倉庫</t>
        </is>
      </c>
      <c r="C20" s="88" t="inlineStr">
        <is>
          <t>宝田一丁目5-1</t>
        </is>
      </c>
      <c r="D20" s="89" t="n"/>
      <c r="E20" s="90" t="n">
        <v>8917430</v>
      </c>
    </row>
    <row r="21" ht="13" customHeight="1">
      <c r="B21" s="87" t="inlineStr">
        <is>
          <t>2階改修</t>
        </is>
      </c>
      <c r="C21" s="88" t="inlineStr">
        <is>
          <t>宝田一丁目4-20</t>
        </is>
      </c>
      <c r="D21" s="89" t="n"/>
      <c r="E21" s="90" t="n">
        <v>6403541</v>
      </c>
    </row>
    <row r="22" ht="13" customHeight="1">
      <c r="B22" s="87" t="inlineStr">
        <is>
          <t>1階トイレ改修</t>
        </is>
      </c>
      <c r="C22" s="88" t="inlineStr">
        <is>
          <t>宝田一丁目4-20</t>
        </is>
      </c>
      <c r="D22" s="89" t="n"/>
      <c r="E22" s="90" t="n">
        <v>1169632</v>
      </c>
    </row>
    <row r="23" ht="13" customHeight="1">
      <c r="B23" s="87" t="inlineStr">
        <is>
          <t>屋根改修</t>
        </is>
      </c>
      <c r="C23" s="88" t="inlineStr">
        <is>
          <t>宝田一丁目4-20</t>
        </is>
      </c>
      <c r="D23" s="89" t="n"/>
      <c r="E23" s="90" t="n">
        <v>3391200</v>
      </c>
    </row>
    <row r="24" ht="13" customHeight="1">
      <c r="B24" s="87" t="inlineStr">
        <is>
          <t>屋根改修</t>
        </is>
      </c>
      <c r="C24" s="88" t="inlineStr">
        <is>
          <t>宝田一丁目4-20</t>
        </is>
      </c>
      <c r="D24" s="89" t="n"/>
      <c r="E24" s="90" t="n">
        <v>3120320</v>
      </c>
    </row>
    <row r="25" ht="13" customHeight="1">
      <c r="B25" s="87" t="inlineStr">
        <is>
          <t>屋根改修</t>
        </is>
      </c>
      <c r="C25" s="88" t="inlineStr">
        <is>
          <t>宝田一丁目4-20</t>
        </is>
      </c>
      <c r="D25" s="89" t="n"/>
      <c r="E25" s="90" t="n">
        <v>3736745</v>
      </c>
    </row>
    <row r="26" ht="13" customHeight="1">
      <c r="B26" s="87" t="inlineStr">
        <is>
          <t>下屋修理・塗装</t>
        </is>
      </c>
      <c r="C26" s="88" t="inlineStr">
        <is>
          <t>宝田一丁目4-20</t>
        </is>
      </c>
      <c r="D26" s="89" t="n"/>
      <c r="E26" s="90" t="n">
        <v>971487</v>
      </c>
    </row>
    <row r="27" ht="13" customHeight="1">
      <c r="B27" s="87" t="inlineStr">
        <is>
          <t>パッケージ場外壁</t>
        </is>
      </c>
      <c r="C27" s="88" t="inlineStr">
        <is>
          <t>宝田一丁目5-20</t>
        </is>
      </c>
      <c r="D27" s="89" t="n"/>
      <c r="E27" s="90" t="n">
        <v>6815160</v>
      </c>
    </row>
    <row r="28" ht="13" customHeight="1">
      <c r="B28" s="87" t="inlineStr">
        <is>
          <t>冷蔵庫ユニット交換工事</t>
        </is>
      </c>
      <c r="C28" s="88" t="inlineStr">
        <is>
          <t>宝田一丁目4-20</t>
        </is>
      </c>
      <c r="D28" s="89" t="n"/>
      <c r="E28" s="90" t="n">
        <v>1001990</v>
      </c>
    </row>
    <row r="29" ht="13" customHeight="1">
      <c r="B29" s="87" t="inlineStr">
        <is>
          <t>シャッター</t>
        </is>
      </c>
      <c r="C29" s="88" t="inlineStr">
        <is>
          <t>宝田一丁目4-20</t>
        </is>
      </c>
      <c r="D29" s="89" t="n"/>
      <c r="E29" s="90" t="n">
        <v>2570350</v>
      </c>
    </row>
    <row r="30" ht="13" customHeight="1">
      <c r="B30" s="87" t="inlineStr">
        <is>
          <t>資材倉庫外壁改修（2025年5月）</t>
        </is>
      </c>
      <c r="C30" s="88" t="inlineStr">
        <is>
          <t>宝田一丁目4-20</t>
        </is>
      </c>
      <c r="D30" s="89" t="n"/>
      <c r="E30" s="90" t="n">
        <v>917734</v>
      </c>
    </row>
    <row r="31" ht="13" customHeight="1">
      <c r="B31" s="87" t="inlineStr">
        <is>
          <t>資材倉庫シャッター（2025年5月）</t>
        </is>
      </c>
      <c r="C31" s="88" t="inlineStr">
        <is>
          <t>宝田一丁目4-20</t>
        </is>
      </c>
      <c r="D31" s="89" t="n"/>
      <c r="E31" s="90" t="n">
        <v>401759</v>
      </c>
    </row>
    <row r="32" ht="13" customHeight="1">
      <c r="B32" s="91" t="inlineStr">
        <is>
          <t>建物 計</t>
        </is>
      </c>
      <c r="C32" s="91" t="inlineStr"/>
      <c r="D32" s="92" t="inlineStr"/>
      <c r="E32" s="93">
        <f>SUM(E6:E31)</f>
        <v>92065694</v>
      </c>
    </row>
    <row r="33">
      <c r="B33" s="30" t="inlineStr">
        <is>
          <t>チェック：BS建物と一致</t>
        </is>
      </c>
      <c r="E33" t="b">
        <f>EXACT(E32,'BS(借方)'!E18)</f>
        <v>1</v>
      </c>
    </row>
    <row r="36">
      <c r="I36" s="85" t="inlineStr">
        <is>
          <t>(単位：千円)</t>
        </is>
      </c>
    </row>
    <row r="37" ht="15" customHeight="1">
      <c r="G37" s="86" t="inlineStr">
        <is>
          <t>区分</t>
        </is>
      </c>
      <c r="H37" s="86" t="inlineStr">
        <is>
          <t>簿価(2026/3末)</t>
        </is>
      </c>
      <c r="I37" s="86" t="inlineStr">
        <is>
          <t>備考</t>
        </is>
      </c>
    </row>
    <row r="38" ht="25" customHeight="1">
      <c r="G38" s="87" t="inlineStr">
        <is>
          <t>建物</t>
        </is>
      </c>
      <c r="H38" s="90">
        <f>'BS(借方)'!E18</f>
        <v>92065694</v>
      </c>
      <c r="I38" s="88" t="inlineStr">
        <is>
          <t>左表の内訳のとおり。改修工事を資産計上</t>
        </is>
      </c>
    </row>
    <row r="39" ht="25" customHeight="1">
      <c r="G39" s="87" t="inlineStr">
        <is>
          <t>建物付属設備</t>
        </is>
      </c>
      <c r="H39" s="90">
        <f>'BS(借方)'!E19</f>
        <v>11399836</v>
      </c>
      <c r="I39" s="88" t="inlineStr">
        <is>
          <t>冷蔵庫ユニット・シャッター等（内訳は台帳で要確認）</t>
        </is>
      </c>
    </row>
    <row r="40" ht="25" customHeight="1">
      <c r="G40" s="87" t="inlineStr">
        <is>
          <t>構築物</t>
        </is>
      </c>
      <c r="H40" s="90">
        <f>'BS(借方)'!E20</f>
        <v>284395</v>
      </c>
      <c r="I40" s="88" t="inlineStr"/>
    </row>
    <row r="41" ht="25" customHeight="1">
      <c r="G41" s="87" t="inlineStr">
        <is>
          <t>機械装置</t>
        </is>
      </c>
      <c r="H41" s="90">
        <f>'BS(借方)'!E21</f>
        <v>2</v>
      </c>
      <c r="I41" s="88" t="inlineStr">
        <is>
          <t>備忘価額のみ（償却済）</t>
        </is>
      </c>
    </row>
    <row r="42" ht="25" customHeight="1">
      <c r="G42" s="87" t="inlineStr">
        <is>
          <t>車両運搬具</t>
        </is>
      </c>
      <c r="H42" s="90">
        <f>'BS(借方)'!E22</f>
        <v>15</v>
      </c>
      <c r="I42" s="88" t="inlineStr">
        <is>
          <t>備忘価額のみ。集配車両はリースと推察（要確認）</t>
        </is>
      </c>
    </row>
    <row r="43" ht="25" customHeight="1">
      <c r="G43" s="87" t="inlineStr">
        <is>
          <t>工具器具備品</t>
        </is>
      </c>
      <c r="H43" s="90">
        <f>'BS(借方)'!E23</f>
        <v>18546</v>
      </c>
      <c r="I43" s="88" t="inlineStr"/>
    </row>
    <row r="44" ht="25" customHeight="1">
      <c r="G44" s="87" t="inlineStr">
        <is>
          <t>ソフトウェア</t>
        </is>
      </c>
      <c r="H44" s="90">
        <f>'BS(借方)'!E29</f>
        <v>371800</v>
      </c>
      <c r="I44" s="88" t="inlineStr">
        <is>
          <t>販売管理システム等と推察（要確認）</t>
        </is>
      </c>
    </row>
    <row r="45" ht="18" customHeight="1">
      <c r="G45" s="91" t="inlineStr">
        <is>
          <t>合計</t>
        </is>
      </c>
      <c r="H45" s="93">
        <f>SUM(H38:H44)</f>
        <v>104140288</v>
      </c>
      <c r="I45" s="91" t="inlineStr"/>
    </row>
    <row r="47">
      <c r="B47" s="47" t="inlineStr">
        <is>
          <t>※固定資産内訳書（2026/3期末）。固定資産台帳は未受領のため、冷蔵設備・フォークリフト・車両等の明細は受領後に追加。リース契約の一覧は資料依頼中。</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O12"/>
  <sheetViews>
    <sheetView showGridLines="0" workbookViewId="0">
      <selection activeCell="A1" sqref="A1"/>
    </sheetView>
  </sheetViews>
  <sheetFormatPr baseColWidth="8" defaultRowHeight="15"/>
  <cols>
    <col width="2" customWidth="1" min="1" max="1"/>
    <col width="12.31" customWidth="1" min="2" max="2"/>
    <col width="8.34" customWidth="1" min="3" max="3"/>
    <col width="8.34" customWidth="1" min="4" max="4"/>
    <col width="8.34" customWidth="1" min="5" max="5"/>
    <col width="8.34" customWidth="1" min="6" max="6"/>
    <col width="8.34" customWidth="1" min="7" max="7"/>
    <col width="8.34" customWidth="1" min="8" max="8"/>
    <col width="8.34" customWidth="1" min="9" max="9"/>
    <col width="8.34" customWidth="1" min="10" max="10"/>
    <col width="8.34" customWidth="1" min="11" max="11"/>
    <col width="8.34" customWidth="1" min="12" max="12"/>
    <col width="8.34" customWidth="1" min="13" max="13"/>
    <col width="8.34" customWidth="1" min="14" max="14"/>
    <col width="10.94" customWidth="1" min="15" max="15"/>
  </cols>
  <sheetData>
    <row r="1">
      <c r="A1" s="1" t="inlineStr">
        <is>
          <t>月別売上高・仕入高（2026/3期）</t>
        </is>
      </c>
    </row>
    <row r="2">
      <c r="A2" s="25" t="inlineStr">
        <is>
          <t>■ 貼付範囲 B4:O8 → 企業概要書「月別売上高」（範囲をコピーしてパワポに貼り付け。数字はここを直す）</t>
        </is>
      </c>
    </row>
    <row r="4">
      <c r="O4" s="32" t="inlineStr">
        <is>
          <t>(単位：千円)</t>
        </is>
      </c>
    </row>
    <row r="5" ht="18" customHeight="1">
      <c r="B5" s="33" t="inlineStr"/>
      <c r="C5" s="33" t="inlineStr">
        <is>
          <t>4月</t>
        </is>
      </c>
      <c r="D5" s="33" t="inlineStr">
        <is>
          <t>5月</t>
        </is>
      </c>
      <c r="E5" s="33" t="inlineStr">
        <is>
          <t>6月</t>
        </is>
      </c>
      <c r="F5" s="33" t="inlineStr">
        <is>
          <t>7月</t>
        </is>
      </c>
      <c r="G5" s="33" t="inlineStr">
        <is>
          <t>8月</t>
        </is>
      </c>
      <c r="H5" s="33" t="inlineStr">
        <is>
          <t>9月</t>
        </is>
      </c>
      <c r="I5" s="33" t="inlineStr">
        <is>
          <t>10月</t>
        </is>
      </c>
      <c r="J5" s="33" t="inlineStr">
        <is>
          <t>11月</t>
        </is>
      </c>
      <c r="K5" s="33" t="inlineStr">
        <is>
          <t>12月</t>
        </is>
      </c>
      <c r="L5" s="33" t="inlineStr">
        <is>
          <t>1月</t>
        </is>
      </c>
      <c r="M5" s="33" t="inlineStr">
        <is>
          <t>2月</t>
        </is>
      </c>
      <c r="N5" s="33" t="inlineStr">
        <is>
          <t>3月</t>
        </is>
      </c>
      <c r="O5" s="33" t="inlineStr">
        <is>
          <t>合計</t>
        </is>
      </c>
    </row>
    <row r="6" ht="19" customHeight="1">
      <c r="B6" s="27" t="inlineStr">
        <is>
          <t>売上高</t>
        </is>
      </c>
      <c r="C6" s="61" t="n">
        <v>87736</v>
      </c>
      <c r="D6" s="61" t="n">
        <v>101698</v>
      </c>
      <c r="E6" s="61" t="n">
        <v>83794</v>
      </c>
      <c r="F6" s="61" t="n">
        <v>146060</v>
      </c>
      <c r="G6" s="61" t="n">
        <v>138177</v>
      </c>
      <c r="H6" s="61" t="n">
        <v>110175</v>
      </c>
      <c r="I6" s="61" t="n">
        <v>106499</v>
      </c>
      <c r="J6" s="61" t="n">
        <v>100617</v>
      </c>
      <c r="K6" s="61" t="n">
        <v>98058</v>
      </c>
      <c r="L6" s="61" t="n">
        <v>69520</v>
      </c>
      <c r="M6" s="61" t="n">
        <v>69339</v>
      </c>
      <c r="N6" s="61" t="n">
        <v>84221</v>
      </c>
      <c r="O6" s="63">
        <f>SUM(C6:N6)</f>
        <v>1195894</v>
      </c>
    </row>
    <row r="7" ht="19" customHeight="1">
      <c r="B7" s="27" t="inlineStr">
        <is>
          <t>仕入高</t>
        </is>
      </c>
      <c r="C7" s="61" t="n">
        <v>76904</v>
      </c>
      <c r="D7" s="61" t="n">
        <v>86235</v>
      </c>
      <c r="E7" s="61" t="n">
        <v>74095</v>
      </c>
      <c r="F7" s="61" t="n">
        <v>139243</v>
      </c>
      <c r="G7" s="61" t="n">
        <v>96826</v>
      </c>
      <c r="H7" s="61" t="n">
        <v>85074</v>
      </c>
      <c r="I7" s="61" t="n">
        <v>84386</v>
      </c>
      <c r="J7" s="61" t="n">
        <v>85425</v>
      </c>
      <c r="K7" s="61" t="n">
        <v>82345</v>
      </c>
      <c r="L7" s="61" t="n">
        <v>56698</v>
      </c>
      <c r="M7" s="61" t="n">
        <v>58088</v>
      </c>
      <c r="N7" s="61" t="n">
        <v>70716</v>
      </c>
      <c r="O7" s="63">
        <f>SUM(C7:N7)</f>
        <v>996035</v>
      </c>
    </row>
    <row r="8" ht="14" customHeight="1">
      <c r="B8" s="36" t="inlineStr">
        <is>
          <t>月平均比</t>
        </is>
      </c>
      <c r="C8" s="94">
        <f>IFERROR(C6/($O$6/12),"")</f>
        <v>0.880372340692403</v>
      </c>
      <c r="D8" s="94">
        <f>IFERROR(D6/($O$6/12),"")</f>
        <v>1.02047171404824</v>
      </c>
      <c r="E8" s="94">
        <f>IFERROR(E6/($O$6/12),"")</f>
        <v>0.840816995486222</v>
      </c>
      <c r="F8" s="94">
        <f>IFERROR(F6/($O$6/12),"")</f>
        <v>1.46561484546289</v>
      </c>
      <c r="G8" s="94">
        <f>IFERROR(G6/($O$6/12),"")</f>
        <v>1.38651418938468</v>
      </c>
      <c r="H8" s="94">
        <f>IFERROR(H6/($O$6/12),"")</f>
        <v>1.10553276460957</v>
      </c>
      <c r="I8" s="94">
        <f>IFERROR(I6/($O$6/12),"")</f>
        <v>1.06864655228641</v>
      </c>
      <c r="J8" s="94">
        <f>IFERROR(J6/($O$6/12),"")</f>
        <v>1.00962459883568</v>
      </c>
      <c r="K8" s="94">
        <f>IFERROR(K6/($O$6/12),"")</f>
        <v>0.98394673775435</v>
      </c>
      <c r="L8" s="94">
        <f>IFERROR(L6/($O$6/12),"")</f>
        <v>0.697586909876628</v>
      </c>
      <c r="M8" s="94">
        <f>IFERROR(M6/($O$6/12),"")</f>
        <v>0.69577069539608</v>
      </c>
      <c r="N8" s="94">
        <f>IFERROR(N6/($O$6/12),"")</f>
        <v>0.845101656166851</v>
      </c>
      <c r="O8" s="94" t="inlineStr"/>
    </row>
    <row r="10">
      <c r="B10" s="30" t="inlineStr">
        <is>
          <t>人件費</t>
        </is>
      </c>
      <c r="C10" s="61" t="n">
        <v>4204</v>
      </c>
      <c r="D10" s="61" t="n">
        <v>7349</v>
      </c>
      <c r="E10" s="61" t="n">
        <v>7586</v>
      </c>
      <c r="F10" s="61" t="n">
        <v>7363</v>
      </c>
      <c r="G10" s="61" t="n">
        <v>7717</v>
      </c>
      <c r="H10" s="61" t="n">
        <v>7474</v>
      </c>
      <c r="I10" s="61" t="n">
        <v>7291</v>
      </c>
      <c r="J10" s="61" t="n">
        <v>7298</v>
      </c>
      <c r="K10" s="61" t="n">
        <v>7200</v>
      </c>
      <c r="L10" s="61" t="n">
        <v>6903</v>
      </c>
      <c r="M10" s="61" t="n">
        <v>6884</v>
      </c>
      <c r="N10" s="61" t="n">
        <v>9764</v>
      </c>
    </row>
    <row r="12">
      <c r="B12" s="47" t="inlineStr">
        <is>
          <t>※出所：法人事業概況説明書（2026/3期）。千円単位の記載値をそのまま転記（円単位入力の例外）。合計はPLの売上高と端数・集計範囲の差がある。</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37"/>
  <sheetViews>
    <sheetView showGridLines="0" workbookViewId="0">
      <selection activeCell="A1" sqref="A1"/>
    </sheetView>
  </sheetViews>
  <sheetFormatPr baseColWidth="8" defaultRowHeight="15"/>
  <cols>
    <col width="2" customWidth="1" min="1" max="1"/>
    <col width="26.03" customWidth="1" min="2" max="2"/>
    <col width="10.94" customWidth="1" min="3" max="3"/>
    <col width="10.94" customWidth="1" min="4" max="4"/>
    <col width="10.94" customWidth="1" min="5" max="5"/>
    <col width="0.93" customWidth="1" min="6" max="6"/>
    <col width="26.03" customWidth="1" min="7" max="7"/>
    <col width="10.94" customWidth="1" min="8" max="8"/>
    <col width="10.94" customWidth="1" min="9" max="9"/>
    <col width="10.94" customWidth="1" min="10" max="10"/>
  </cols>
  <sheetData>
    <row r="1">
      <c r="A1" s="1" t="inlineStr">
        <is>
          <t>貸借対照表（財務情報詳細）</t>
        </is>
      </c>
    </row>
    <row r="2">
      <c r="A2" s="25" t="inlineStr">
        <is>
          <t>■ 貼付範囲 B4:E37（資産）／G5:J16（負債）／G31:J37（純資産）→ 企業概要書「貸借対照表」</t>
        </is>
      </c>
    </row>
    <row r="4">
      <c r="J4" s="85" t="inlineStr">
        <is>
          <t>(単位：千円)</t>
        </is>
      </c>
    </row>
    <row r="5" ht="12.6" customHeight="1">
      <c r="B5" s="86" t="inlineStr">
        <is>
          <t>資産の部</t>
        </is>
      </c>
      <c r="C5" s="45" t="n"/>
      <c r="D5" s="45" t="n"/>
      <c r="E5" s="29" t="n"/>
      <c r="G5" s="86" t="inlineStr">
        <is>
          <t>負債の部</t>
        </is>
      </c>
      <c r="H5" s="45" t="n"/>
      <c r="I5" s="45" t="n"/>
      <c r="J5" s="29" t="n"/>
    </row>
    <row r="6" ht="12.6" customHeight="1">
      <c r="B6" s="86" t="inlineStr">
        <is>
          <t>科目</t>
        </is>
      </c>
      <c r="C6" s="86" t="inlineStr">
        <is>
          <t>2024年3月期</t>
        </is>
      </c>
      <c r="D6" s="86" t="inlineStr">
        <is>
          <t>2025年3月期</t>
        </is>
      </c>
      <c r="E6" s="86" t="inlineStr">
        <is>
          <t>2026年3月期</t>
        </is>
      </c>
      <c r="G6" s="86" t="inlineStr">
        <is>
          <t>科目</t>
        </is>
      </c>
      <c r="H6" s="86" t="inlineStr">
        <is>
          <t>2024年3月期</t>
        </is>
      </c>
      <c r="I6" s="86" t="inlineStr">
        <is>
          <t>2025年3月期</t>
        </is>
      </c>
      <c r="J6" s="86" t="inlineStr">
        <is>
          <t>2026年3月期</t>
        </is>
      </c>
    </row>
    <row r="7" ht="11.6" customHeight="1">
      <c r="B7" s="91" t="inlineStr">
        <is>
          <t>【流動資産】</t>
        </is>
      </c>
      <c r="C7" s="93">
        <f>'BS(借方)'!C16</f>
        <v>375589011</v>
      </c>
      <c r="D7" s="93">
        <f>'BS(借方)'!D16</f>
        <v>303100807</v>
      </c>
      <c r="E7" s="93">
        <f>'BS(借方)'!E16</f>
        <v>249704912</v>
      </c>
      <c r="G7" s="91" t="inlineStr">
        <is>
          <t>【流動負債】</t>
        </is>
      </c>
      <c r="H7" s="93">
        <f>'BS (貸方)'!C12</f>
        <v>34109222</v>
      </c>
      <c r="I7" s="93">
        <f>'BS (貸方)'!D12</f>
        <v>29455728</v>
      </c>
      <c r="J7" s="93">
        <f>'BS (貸方)'!E12</f>
        <v>37279523</v>
      </c>
    </row>
    <row r="8" ht="11.6" customHeight="1">
      <c r="B8" s="95" t="inlineStr">
        <is>
          <t>現金及び預金</t>
        </is>
      </c>
      <c r="C8" s="90">
        <f>'BS(借方)'!C6</f>
        <v>339552632</v>
      </c>
      <c r="D8" s="90">
        <f>'BS(借方)'!D6</f>
        <v>259719301</v>
      </c>
      <c r="E8" s="90">
        <f>'BS(借方)'!E6</f>
        <v>210887077</v>
      </c>
      <c r="G8" s="95" t="inlineStr">
        <is>
          <t>買掛金</t>
        </is>
      </c>
      <c r="H8" s="90">
        <f>'BS (貸方)'!C6</f>
        <v>18127739</v>
      </c>
      <c r="I8" s="90">
        <f>'BS (貸方)'!D6</f>
        <v>19954920</v>
      </c>
      <c r="J8" s="90">
        <f>'BS (貸方)'!E6</f>
        <v>26349122</v>
      </c>
    </row>
    <row r="9" ht="11.6" customHeight="1">
      <c r="B9" s="95" t="inlineStr">
        <is>
          <t>売掛金</t>
        </is>
      </c>
      <c r="C9" s="90">
        <f>'BS(借方)'!C7</f>
        <v>21171056</v>
      </c>
      <c r="D9" s="90">
        <f>'BS(借方)'!D7</f>
        <v>21896538</v>
      </c>
      <c r="E9" s="90">
        <f>'BS(借方)'!E7</f>
        <v>19608899</v>
      </c>
      <c r="G9" s="95" t="inlineStr">
        <is>
          <t>未払金</t>
        </is>
      </c>
      <c r="H9" s="90">
        <f>'BS (貸方)'!C7</f>
        <v>10198849</v>
      </c>
      <c r="I9" s="90">
        <f>'BS (貸方)'!D7</f>
        <v>7302614</v>
      </c>
      <c r="J9" s="90">
        <f>'BS (貸方)'!E7</f>
        <v>6630301</v>
      </c>
    </row>
    <row r="10" ht="11.6" customHeight="1">
      <c r="B10" s="95" t="inlineStr">
        <is>
          <t>資材肥料売掛金</t>
        </is>
      </c>
      <c r="C10" s="90">
        <f>'BS(借方)'!C8</f>
        <v>1352474</v>
      </c>
      <c r="D10" s="90">
        <f>'BS(借方)'!D8</f>
        <v>1269087</v>
      </c>
      <c r="E10" s="90">
        <f>'BS(借方)'!E8</f>
        <v>1227419</v>
      </c>
      <c r="G10" s="95" t="inlineStr">
        <is>
          <t>預り金</t>
        </is>
      </c>
      <c r="H10" s="90">
        <f>'BS (貸方)'!C9</f>
        <v>504234</v>
      </c>
      <c r="I10" s="90">
        <f>'BS (貸方)'!D9</f>
        <v>557594</v>
      </c>
      <c r="J10" s="90">
        <f>'BS (貸方)'!E9</f>
        <v>281300</v>
      </c>
    </row>
    <row r="11" ht="11.6" customHeight="1">
      <c r="B11" s="95" t="inlineStr">
        <is>
          <t>棚卸資産</t>
        </is>
      </c>
      <c r="C11" s="90">
        <f>'BS(借方)'!C9</f>
        <v>9859795</v>
      </c>
      <c r="D11" s="90">
        <f>'BS(借方)'!D9</f>
        <v>15443609</v>
      </c>
      <c r="E11" s="90">
        <f>'BS(借方)'!E9</f>
        <v>14596695</v>
      </c>
      <c r="G11" s="95" t="inlineStr">
        <is>
          <t>未払法人税等</t>
        </is>
      </c>
      <c r="H11" s="90">
        <f>'BS (貸方)'!C10</f>
        <v>2308000</v>
      </c>
      <c r="I11" s="90">
        <f>'BS (貸方)'!D10</f>
        <v>33900</v>
      </c>
      <c r="J11" s="90">
        <f>'BS (貸方)'!E10</f>
        <v>1851300</v>
      </c>
    </row>
    <row r="12" ht="11.6" customHeight="1">
      <c r="B12" s="95" t="inlineStr">
        <is>
          <t>立替金</t>
        </is>
      </c>
      <c r="C12" s="90">
        <f>'BS(借方)'!C10</f>
        <v>96860</v>
      </c>
      <c r="D12" s="90">
        <f>'BS(借方)'!D10</f>
        <v>6400</v>
      </c>
      <c r="E12" s="90">
        <f>'BS(借方)'!E10</f>
        <v>0</v>
      </c>
      <c r="G12" s="95" t="inlineStr">
        <is>
          <t>未払消費税</t>
        </is>
      </c>
      <c r="H12" s="90">
        <f>'BS (貸方)'!C11</f>
        <v>2970400</v>
      </c>
      <c r="I12" s="90">
        <f>'BS (貸方)'!D11</f>
        <v>1606700</v>
      </c>
      <c r="J12" s="90">
        <f>'BS (貸方)'!E11</f>
        <v>2167500</v>
      </c>
    </row>
    <row r="13" ht="11.6" customHeight="1">
      <c r="B13" s="95" t="inlineStr">
        <is>
          <t>未収入金</t>
        </is>
      </c>
      <c r="C13" s="90">
        <f>'BS(借方)'!C11</f>
        <v>3684415</v>
      </c>
      <c r="D13" s="90">
        <f>'BS(借方)'!D11</f>
        <v>3905410</v>
      </c>
      <c r="E13" s="90">
        <f>'BS(借方)'!E11</f>
        <v>3011112</v>
      </c>
      <c r="G13" s="91" t="inlineStr">
        <is>
          <t>【固定負債】</t>
        </is>
      </c>
      <c r="H13" s="93">
        <f>'BS (貸方)'!C16</f>
        <v>525010000</v>
      </c>
      <c r="I13" s="93">
        <f>'BS (貸方)'!D16</f>
        <v>444316000</v>
      </c>
      <c r="J13" s="93">
        <f>'BS (貸方)'!E16</f>
        <v>370038000</v>
      </c>
    </row>
    <row r="14" ht="11.6" customHeight="1">
      <c r="B14" s="95" t="inlineStr">
        <is>
          <t>前払費用</t>
        </is>
      </c>
      <c r="C14" s="90">
        <f>'BS(借方)'!C12</f>
        <v>108779</v>
      </c>
      <c r="D14" s="90">
        <f>'BS(借方)'!D12</f>
        <v>96162</v>
      </c>
      <c r="E14" s="90">
        <f>'BS(借方)'!E12</f>
        <v>83575</v>
      </c>
      <c r="G14" s="95" t="inlineStr">
        <is>
          <t>長期借入金</t>
        </is>
      </c>
      <c r="H14" s="90">
        <f>'BS (貸方)'!C14</f>
        <v>514690000</v>
      </c>
      <c r="I14" s="90">
        <f>'BS (貸方)'!D14</f>
        <v>434046000</v>
      </c>
      <c r="J14" s="90">
        <f>'BS (貸方)'!E14</f>
        <v>361058000</v>
      </c>
    </row>
    <row r="15" ht="11.6" customHeight="1">
      <c r="B15" s="95" t="inlineStr">
        <is>
          <t>仮払金</t>
        </is>
      </c>
      <c r="C15" s="90">
        <f>'BS(借方)'!C13</f>
        <v>0</v>
      </c>
      <c r="D15" s="90">
        <f>'BS(借方)'!D13</f>
        <v>0</v>
      </c>
      <c r="E15" s="90">
        <f>'BS(借方)'!E13</f>
        <v>493135</v>
      </c>
      <c r="G15" s="95" t="inlineStr">
        <is>
          <t>預り保証金</t>
        </is>
      </c>
      <c r="H15" s="90">
        <f>'BS (貸方)'!C15</f>
        <v>10320000</v>
      </c>
      <c r="I15" s="90">
        <f>'BS (貸方)'!D15</f>
        <v>10270000</v>
      </c>
      <c r="J15" s="90">
        <f>'BS (貸方)'!E15</f>
        <v>8980000</v>
      </c>
    </row>
    <row r="16" ht="11.6" customHeight="1">
      <c r="B16" s="95" t="inlineStr">
        <is>
          <t>仮払税金等</t>
        </is>
      </c>
      <c r="C16" s="90">
        <f>'BS(借方)'!C14</f>
        <v>0</v>
      </c>
      <c r="D16" s="90">
        <f>'BS(借方)'!D14</f>
        <v>998300</v>
      </c>
      <c r="E16" s="90">
        <f>'BS(借方)'!E14</f>
        <v>0</v>
      </c>
      <c r="G16" s="96" t="inlineStr">
        <is>
          <t>負債合計</t>
        </is>
      </c>
      <c r="H16" s="97">
        <f>'BS (貸方)'!C17</f>
        <v>559119222</v>
      </c>
      <c r="I16" s="97">
        <f>'BS (貸方)'!D17</f>
        <v>473771728</v>
      </c>
      <c r="J16" s="97">
        <f>'BS (貸方)'!E17</f>
        <v>407317523</v>
      </c>
    </row>
    <row r="17" ht="11.6" customHeight="1">
      <c r="B17" s="95" t="inlineStr">
        <is>
          <t>貸倒引当金</t>
        </is>
      </c>
      <c r="C17" s="90">
        <f>'BS(借方)'!C15</f>
        <v>-237000</v>
      </c>
      <c r="D17" s="90">
        <f>'BS(借方)'!D15</f>
        <v>-234000</v>
      </c>
      <c r="E17" s="90">
        <f>'BS(借方)'!E15</f>
        <v>-203000</v>
      </c>
    </row>
    <row r="18" ht="11.6" customHeight="1">
      <c r="B18" s="91" t="inlineStr">
        <is>
          <t>【固定資産】</t>
        </is>
      </c>
      <c r="C18" s="93">
        <f>'BS(借方)'!C38</f>
        <v>276114714</v>
      </c>
      <c r="D18" s="93">
        <f>'BS(借方)'!D38</f>
        <v>264261323</v>
      </c>
      <c r="E18" s="93">
        <f>'BS(借方)'!E38</f>
        <v>235485192</v>
      </c>
    </row>
    <row r="19" ht="11.6" customHeight="1">
      <c r="B19" s="98" t="inlineStr">
        <is>
          <t>［有形固定資産］</t>
        </is>
      </c>
      <c r="C19" s="99">
        <f>'BS(借方)'!C26</f>
        <v>216357447</v>
      </c>
      <c r="D19" s="99">
        <f>'BS(借方)'!D26</f>
        <v>204260121</v>
      </c>
      <c r="E19" s="99">
        <f>'BS(借方)'!E26</f>
        <v>196905728</v>
      </c>
    </row>
    <row r="20" ht="11.6" customHeight="1">
      <c r="B20" s="95" t="inlineStr">
        <is>
          <t>建物</t>
        </is>
      </c>
      <c r="C20" s="90">
        <f>'BS(借方)'!C18</f>
        <v>101161720</v>
      </c>
      <c r="D20" s="90">
        <f>'BS(借方)'!D18</f>
        <v>95851274</v>
      </c>
      <c r="E20" s="90">
        <f>'BS(借方)'!E18</f>
        <v>92065694</v>
      </c>
    </row>
    <row r="21" ht="11.6" customHeight="1">
      <c r="B21" s="95" t="inlineStr">
        <is>
          <t>建物付属設備</t>
        </is>
      </c>
      <c r="C21" s="90">
        <f>'BS(借方)'!C19</f>
        <v>15416918</v>
      </c>
      <c r="D21" s="90">
        <f>'BS(借方)'!D19</f>
        <v>13503020</v>
      </c>
      <c r="E21" s="90">
        <f>'BS(借方)'!E19</f>
        <v>11399836</v>
      </c>
    </row>
    <row r="22" ht="11.6" customHeight="1">
      <c r="B22" s="95" t="inlineStr">
        <is>
          <t>構築物</t>
        </is>
      </c>
      <c r="C22" s="90">
        <f>'BS(借方)'!C20</f>
        <v>382601</v>
      </c>
      <c r="D22" s="90">
        <f>'BS(借方)'!D20</f>
        <v>333498</v>
      </c>
      <c r="E22" s="90">
        <f>'BS(借方)'!E20</f>
        <v>284395</v>
      </c>
    </row>
    <row r="23" ht="11.6" customHeight="1">
      <c r="B23" s="95" t="inlineStr">
        <is>
          <t>機械装置</t>
        </is>
      </c>
      <c r="C23" s="90">
        <f>'BS(借方)'!C21</f>
        <v>133566</v>
      </c>
      <c r="D23" s="90">
        <f>'BS(借方)'!D21</f>
        <v>2</v>
      </c>
      <c r="E23" s="90">
        <f>'BS(借方)'!E21</f>
        <v>2</v>
      </c>
    </row>
    <row r="24" ht="11.6" customHeight="1">
      <c r="B24" s="95" t="inlineStr">
        <is>
          <t>車両運搬具</t>
        </is>
      </c>
      <c r="C24" s="90">
        <f>'BS(借方)'!C22</f>
        <v>5837529</v>
      </c>
      <c r="D24" s="90">
        <f>'BS(借方)'!D22</f>
        <v>1281878</v>
      </c>
      <c r="E24" s="90">
        <f>'BS(借方)'!E22</f>
        <v>15</v>
      </c>
    </row>
    <row r="25" ht="11.6" customHeight="1">
      <c r="B25" s="95" t="inlineStr">
        <is>
          <t>工具器具備品</t>
        </is>
      </c>
      <c r="C25" s="90">
        <f>'BS(借方)'!C23</f>
        <v>287873</v>
      </c>
      <c r="D25" s="90">
        <f>'BS(借方)'!D23</f>
        <v>153209</v>
      </c>
      <c r="E25" s="90">
        <f>'BS(借方)'!E23</f>
        <v>18546</v>
      </c>
    </row>
    <row r="26" ht="11.6" customHeight="1">
      <c r="B26" s="95" t="inlineStr">
        <is>
          <t>土地</t>
        </is>
      </c>
      <c r="C26" s="90">
        <f>'BS(借方)'!C24</f>
        <v>93137240</v>
      </c>
      <c r="D26" s="90">
        <f>'BS(借方)'!D24</f>
        <v>93137240</v>
      </c>
      <c r="E26" s="90">
        <f>'BS(借方)'!E24</f>
        <v>93137240</v>
      </c>
    </row>
    <row r="27" ht="11.6" customHeight="1">
      <c r="B27" s="98" t="inlineStr">
        <is>
          <t>［無形固定資産］</t>
        </is>
      </c>
      <c r="C27" s="99">
        <f>'BS(借方)'!C30</f>
        <v>2870595</v>
      </c>
      <c r="D27" s="99">
        <f>'BS(借方)'!D30</f>
        <v>2698995</v>
      </c>
      <c r="E27" s="99">
        <f>'BS(借方)'!E30</f>
        <v>2527395</v>
      </c>
    </row>
    <row r="28" ht="11.6" customHeight="1">
      <c r="B28" s="95" t="inlineStr">
        <is>
          <t>電話加入権</t>
        </is>
      </c>
      <c r="C28" s="90">
        <f>'BS(借方)'!C28</f>
        <v>2155595</v>
      </c>
      <c r="D28" s="90">
        <f>'BS(借方)'!D28</f>
        <v>2155595</v>
      </c>
      <c r="E28" s="90">
        <f>'BS(借方)'!E28</f>
        <v>2155595</v>
      </c>
    </row>
    <row r="29" ht="11.6" customHeight="1">
      <c r="B29" s="95" t="inlineStr">
        <is>
          <t>ソフトウェア</t>
        </is>
      </c>
      <c r="C29" s="90">
        <f>'BS(借方)'!C29</f>
        <v>715000</v>
      </c>
      <c r="D29" s="90">
        <f>'BS(借方)'!D29</f>
        <v>543400</v>
      </c>
      <c r="E29" s="90">
        <f>'BS(借方)'!E29</f>
        <v>371800</v>
      </c>
    </row>
    <row r="30" ht="11.6" customHeight="1">
      <c r="B30" s="98" t="inlineStr">
        <is>
          <t>［投資その他の資産］</t>
        </is>
      </c>
      <c r="C30" s="99">
        <f>'BS(借方)'!C37</f>
        <v>56886672</v>
      </c>
      <c r="D30" s="99">
        <f>'BS(借方)'!D37</f>
        <v>57302207</v>
      </c>
      <c r="E30" s="99">
        <f>'BS(借方)'!E37</f>
        <v>36052069</v>
      </c>
    </row>
    <row r="31" ht="12.6" customHeight="1">
      <c r="B31" s="95" t="inlineStr">
        <is>
          <t>投資有価証券</t>
        </is>
      </c>
      <c r="C31" s="90">
        <f>'BS(借方)'!C32</f>
        <v>3250000</v>
      </c>
      <c r="D31" s="90">
        <f>'BS(借方)'!D32</f>
        <v>3250000</v>
      </c>
      <c r="E31" s="90">
        <f>'BS(借方)'!E32</f>
        <v>2600000</v>
      </c>
      <c r="G31" s="86" t="inlineStr">
        <is>
          <t>純資産の部</t>
        </is>
      </c>
      <c r="H31" s="45" t="n"/>
      <c r="I31" s="45" t="n"/>
      <c r="J31" s="29" t="n"/>
    </row>
    <row r="32" ht="11.6" customHeight="1">
      <c r="B32" s="95" t="inlineStr">
        <is>
          <t>出資金</t>
        </is>
      </c>
      <c r="C32" s="90">
        <f>'BS(借方)'!C33</f>
        <v>75000</v>
      </c>
      <c r="D32" s="90">
        <f>'BS(借方)'!D33</f>
        <v>75000</v>
      </c>
      <c r="E32" s="90">
        <f>'BS(借方)'!E33</f>
        <v>75000</v>
      </c>
      <c r="G32" s="91" t="inlineStr">
        <is>
          <t>【資本金】</t>
        </is>
      </c>
      <c r="H32" s="93">
        <f>'BS (貸方)'!C19</f>
        <v>40000000</v>
      </c>
      <c r="I32" s="93">
        <f>'BS (貸方)'!D19</f>
        <v>40000000</v>
      </c>
      <c r="J32" s="93">
        <f>'BS (貸方)'!E19</f>
        <v>40000000</v>
      </c>
    </row>
    <row r="33" ht="11.6" customHeight="1">
      <c r="B33" s="95" t="inlineStr">
        <is>
          <t>長期前払費用</t>
        </is>
      </c>
      <c r="C33" s="90">
        <f>'BS(借方)'!C34</f>
        <v>397411</v>
      </c>
      <c r="D33" s="90">
        <f>'BS(借方)'!D34</f>
        <v>74500</v>
      </c>
      <c r="E33" s="90">
        <f>'BS(借方)'!E34</f>
        <v>74500</v>
      </c>
      <c r="G33" s="91" t="inlineStr">
        <is>
          <t>【利益剰余金】</t>
        </is>
      </c>
      <c r="H33" s="93">
        <f>'BS (貸方)'!C20+'BS (貸方)'!C21</f>
        <v>52828337</v>
      </c>
      <c r="I33" s="93">
        <f>'BS (貸方)'!D20+'BS (貸方)'!D21</f>
        <v>53757236</v>
      </c>
      <c r="J33" s="93">
        <f>'BS (貸方)'!E20+'BS (貸方)'!E21</f>
        <v>37872581</v>
      </c>
    </row>
    <row r="34" ht="11.6" customHeight="1">
      <c r="B34" s="95" t="inlineStr">
        <is>
          <t>保証金</t>
        </is>
      </c>
      <c r="C34" s="90">
        <f>'BS(借方)'!C35</f>
        <v>32002569</v>
      </c>
      <c r="D34" s="90">
        <f>'BS(借方)'!D35</f>
        <v>33002569</v>
      </c>
      <c r="E34" s="90">
        <f>'BS(借方)'!E35</f>
        <v>33302569</v>
      </c>
      <c r="G34" s="95" t="inlineStr">
        <is>
          <t>利益準備金</t>
        </is>
      </c>
      <c r="H34" s="90">
        <f>'BS (貸方)'!C20</f>
        <v>1800000</v>
      </c>
      <c r="I34" s="90">
        <f>'BS (貸方)'!D20</f>
        <v>2000000</v>
      </c>
      <c r="J34" s="90">
        <f>'BS (貸方)'!E20</f>
        <v>2080000</v>
      </c>
    </row>
    <row r="35" ht="11.6" customHeight="1">
      <c r="B35" s="95" t="inlineStr">
        <is>
          <t>事業保険積立金</t>
        </is>
      </c>
      <c r="C35" s="90">
        <f>'BS(借方)'!C36</f>
        <v>21161692</v>
      </c>
      <c r="D35" s="90">
        <f>'BS(借方)'!D36</f>
        <v>20900138</v>
      </c>
      <c r="E35" s="90">
        <f>'BS(借方)'!E36</f>
        <v>0</v>
      </c>
      <c r="G35" s="95" t="inlineStr">
        <is>
          <t>繰越利益剰余金</t>
        </is>
      </c>
      <c r="H35" s="90">
        <f>'BS (貸方)'!C21</f>
        <v>51028337</v>
      </c>
      <c r="I35" s="90">
        <f>'BS (貸方)'!D21</f>
        <v>51757236</v>
      </c>
      <c r="J35" s="90">
        <f>'BS (貸方)'!E21</f>
        <v>35792581</v>
      </c>
    </row>
    <row r="36" ht="11.6" customHeight="1">
      <c r="B36" s="91" t="inlineStr">
        <is>
          <t>【繰延資産】</t>
        </is>
      </c>
      <c r="C36" s="93">
        <f>'BS(借方)'!C39</f>
        <v>243834</v>
      </c>
      <c r="D36" s="93">
        <f>'BS(借方)'!D39</f>
        <v>166834</v>
      </c>
      <c r="E36" s="93">
        <f>'BS(借方)'!E39</f>
        <v>0</v>
      </c>
      <c r="G36" s="96" t="inlineStr">
        <is>
          <t>純資産合計</t>
        </is>
      </c>
      <c r="H36" s="97">
        <f>'BS (貸方)'!C22</f>
        <v>92828337</v>
      </c>
      <c r="I36" s="97">
        <f>'BS (貸方)'!D22</f>
        <v>93757236</v>
      </c>
      <c r="J36" s="97">
        <f>'BS (貸方)'!E22</f>
        <v>77872581</v>
      </c>
    </row>
    <row r="37" ht="11.6" customHeight="1">
      <c r="B37" s="96" t="inlineStr">
        <is>
          <t>資産合計</t>
        </is>
      </c>
      <c r="C37" s="97">
        <f>'BS(借方)'!C40</f>
        <v>651947559</v>
      </c>
      <c r="D37" s="97">
        <f>'BS(借方)'!D40</f>
        <v>567528964</v>
      </c>
      <c r="E37" s="97">
        <f>'BS(借方)'!E40</f>
        <v>485190104</v>
      </c>
      <c r="G37" s="96" t="inlineStr">
        <is>
          <t>負債・純資産合計</t>
        </is>
      </c>
      <c r="H37" s="97">
        <f>'BS (貸方)'!C23</f>
        <v>651947559</v>
      </c>
      <c r="I37" s="97">
        <f>'BS (貸方)'!D23</f>
        <v>567528964</v>
      </c>
      <c r="J37" s="97">
        <f>'BS (貸方)'!E23</f>
        <v>485190104</v>
      </c>
    </row>
  </sheetData>
  <mergeCells count="3">
    <mergeCell ref="G5:J5"/>
    <mergeCell ref="G31:J31"/>
    <mergeCell ref="B5:E5"/>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41"/>
  <sheetViews>
    <sheetView showGridLines="0" workbookViewId="0">
      <selection activeCell="A1" sqref="A1"/>
    </sheetView>
  </sheetViews>
  <sheetFormatPr baseColWidth="8" defaultRowHeight="15"/>
  <cols>
    <col width="2" customWidth="1" min="1" max="1"/>
    <col width="27.4" customWidth="1" min="2" max="2"/>
    <col width="12.31" customWidth="1" min="3" max="3"/>
    <col width="8.609999999999999" customWidth="1" min="4" max="4"/>
    <col width="12.31" customWidth="1" min="5" max="5"/>
    <col width="8.609999999999999" customWidth="1" min="6" max="6"/>
    <col width="12.31" customWidth="1" min="7" max="7"/>
    <col width="8.609999999999999" customWidth="1" min="8" max="8"/>
  </cols>
  <sheetData>
    <row r="1">
      <c r="A1" s="1" t="inlineStr">
        <is>
          <t>損益計算書（財務情報詳細）</t>
        </is>
      </c>
    </row>
    <row r="2">
      <c r="A2" s="25" t="inlineStr">
        <is>
          <t>■ 貼付範囲 B4:H37 → 企業概要書「損益計算書」（範囲をコピーしてパワポに貼り付け。数字はここを直す）</t>
        </is>
      </c>
    </row>
    <row r="4">
      <c r="H4" s="85" t="inlineStr">
        <is>
          <t>(単位：千円)</t>
        </is>
      </c>
    </row>
    <row r="5" ht="12.6" customHeight="1">
      <c r="B5" s="86" t="inlineStr">
        <is>
          <t>科目</t>
        </is>
      </c>
      <c r="C5" s="86" t="inlineStr">
        <is>
          <t>2024年3月期</t>
        </is>
      </c>
      <c r="D5" s="29" t="n"/>
      <c r="E5" s="86" t="inlineStr">
        <is>
          <t>2025年3月期</t>
        </is>
      </c>
      <c r="F5" s="29" t="n"/>
      <c r="G5" s="86" t="inlineStr">
        <is>
          <t>2026年3月期</t>
        </is>
      </c>
      <c r="H5" s="29" t="n"/>
    </row>
    <row r="6" ht="12.6" customHeight="1">
      <c r="B6" s="53" t="n"/>
      <c r="C6" s="86" t="inlineStr">
        <is>
          <t>帳簿価額</t>
        </is>
      </c>
      <c r="D6" s="86" t="inlineStr">
        <is>
          <t>売上高比</t>
        </is>
      </c>
      <c r="E6" s="86" t="inlineStr">
        <is>
          <t>帳簿価額</t>
        </is>
      </c>
      <c r="F6" s="86" t="inlineStr">
        <is>
          <t>売上高比</t>
        </is>
      </c>
      <c r="G6" s="86" t="inlineStr">
        <is>
          <t>帳簿価額</t>
        </is>
      </c>
      <c r="H6" s="86" t="inlineStr">
        <is>
          <t>売上高比</t>
        </is>
      </c>
    </row>
    <row r="7" ht="11.6" customHeight="1">
      <c r="B7" s="95" t="inlineStr">
        <is>
          <t>商品売上高</t>
        </is>
      </c>
      <c r="C7" s="90">
        <f>PL!C5</f>
        <v>1179974308</v>
      </c>
      <c r="D7" s="100">
        <f>IFERROR(PL!C5/PL!C$10,"")</f>
        <v>1.00126026621928</v>
      </c>
      <c r="E7" s="90">
        <f>PL!E5</f>
        <v>1183308630</v>
      </c>
      <c r="F7" s="100">
        <f>IFERROR(PL!E5/PL!E$10,"")</f>
        <v>1.00115173489878</v>
      </c>
      <c r="G7" s="90">
        <f>PL!G5</f>
        <v>1197530299</v>
      </c>
      <c r="H7" s="100">
        <f>IFERROR(PL!G5/PL!G$10,"")</f>
        <v>1.00136887633908</v>
      </c>
    </row>
    <row r="8" ht="11.6" customHeight="1">
      <c r="B8" s="95" t="inlineStr">
        <is>
          <t>売上割戻</t>
        </is>
      </c>
      <c r="C8" s="90">
        <f>PL!C9</f>
        <v>-1485210</v>
      </c>
      <c r="D8" s="100">
        <f>IFERROR(PL!C9/PL!C$10,"")</f>
        <v>-0.00126026621928072</v>
      </c>
      <c r="E8" s="90">
        <f>PL!E9</f>
        <v>-1361290</v>
      </c>
      <c r="F8" s="100">
        <f>IFERROR(PL!E9/PL!E$10,"")</f>
        <v>-0.00115173489878153</v>
      </c>
      <c r="G8" s="90">
        <f>PL!G9</f>
        <v>-1637030</v>
      </c>
      <c r="H8" s="100">
        <f>IFERROR(PL!G9/PL!G$10,"")</f>
        <v>-0.00136887633908072</v>
      </c>
    </row>
    <row r="9" ht="11.6" customHeight="1">
      <c r="B9" s="91" t="inlineStr">
        <is>
          <t>売上高</t>
        </is>
      </c>
      <c r="C9" s="93">
        <f>PL!C10</f>
        <v>1178489098</v>
      </c>
      <c r="D9" s="101">
        <f>IFERROR(PL!C10/PL!C$10,"")</f>
        <v>1</v>
      </c>
      <c r="E9" s="93">
        <f>PL!E10</f>
        <v>1181947340</v>
      </c>
      <c r="F9" s="101">
        <f>IFERROR(PL!E10/PL!E$10,"")</f>
        <v>1</v>
      </c>
      <c r="G9" s="93">
        <f>PL!G10</f>
        <v>1195893269</v>
      </c>
      <c r="H9" s="101">
        <f>IFERROR(PL!G10/PL!G$10,"")</f>
        <v>1</v>
      </c>
    </row>
    <row r="10" ht="11.6" customHeight="1">
      <c r="B10" s="95" t="inlineStr">
        <is>
          <t>期首棚卸高</t>
        </is>
      </c>
      <c r="C10" s="90">
        <f>PL!C11</f>
        <v>15470384</v>
      </c>
      <c r="D10" s="100">
        <f>IFERROR(PL!C11/PL!C$10,"")</f>
        <v>0.0131273034483345</v>
      </c>
      <c r="E10" s="90">
        <f>PL!E11</f>
        <v>9859795</v>
      </c>
      <c r="F10" s="100">
        <f>IFERROR(PL!E11/PL!E$10,"")</f>
        <v>0.00834199178450708</v>
      </c>
      <c r="G10" s="90">
        <f>PL!G11</f>
        <v>15443609</v>
      </c>
      <c r="H10" s="100">
        <f>IFERROR(PL!G11/PL!G$10,"")</f>
        <v>0.0129138689884206</v>
      </c>
    </row>
    <row r="11" ht="11.6" customHeight="1">
      <c r="B11" s="95" t="inlineStr">
        <is>
          <t>当期仕入高</t>
        </is>
      </c>
      <c r="C11" s="90">
        <f>PL!C12</f>
        <v>953298320</v>
      </c>
      <c r="D11" s="100">
        <f>IFERROR(PL!C12/PL!C$10,"")</f>
        <v>0.808915688416491</v>
      </c>
      <c r="E11" s="90">
        <f>PL!E12</f>
        <v>976235640</v>
      </c>
      <c r="F11" s="100">
        <f>IFERROR(PL!E12/PL!E$10,"")</f>
        <v>0.82595527479253</v>
      </c>
      <c r="G11" s="90">
        <f>PL!G12</f>
        <v>996035389</v>
      </c>
      <c r="H11" s="100">
        <f>IFERROR(PL!G12/PL!G$10,"")</f>
        <v>0.832879835365977</v>
      </c>
    </row>
    <row r="12" ht="11.6" customHeight="1">
      <c r="B12" s="95" t="inlineStr">
        <is>
          <t>期末棚卸高</t>
        </is>
      </c>
      <c r="C12" s="90">
        <f>PL!C13</f>
        <v>-9859795</v>
      </c>
      <c r="D12" s="100">
        <f>IFERROR(PL!C13/PL!C$10,"")</f>
        <v>-0.00836647111690124</v>
      </c>
      <c r="E12" s="90">
        <f>PL!E13</f>
        <v>-15443609</v>
      </c>
      <c r="F12" s="100">
        <f>IFERROR(PL!E13/PL!E$10,"")</f>
        <v>-0.0130662411745011</v>
      </c>
      <c r="G12" s="90">
        <f>PL!G13</f>
        <v>-14596695</v>
      </c>
      <c r="H12" s="100">
        <f>IFERROR(PL!G13/PL!G$10,"")</f>
        <v>-0.012205683716412</v>
      </c>
    </row>
    <row r="13" ht="11.6" customHeight="1">
      <c r="B13" s="91" t="inlineStr">
        <is>
          <t>売上原価</t>
        </is>
      </c>
      <c r="C13" s="93">
        <f>PL!C14</f>
        <v>958908909</v>
      </c>
      <c r="D13" s="101">
        <f>IFERROR(PL!C14/PL!C$10,"")</f>
        <v>0.813676520747925</v>
      </c>
      <c r="E13" s="93">
        <f>PL!E14</f>
        <v>970651826</v>
      </c>
      <c r="F13" s="101">
        <f>IFERROR(PL!E14/PL!E$10,"")</f>
        <v>0.821231025402536</v>
      </c>
      <c r="G13" s="93">
        <f>PL!G14</f>
        <v>996882303</v>
      </c>
      <c r="H13" s="101">
        <f>IFERROR(PL!G14/PL!G$10,"")</f>
        <v>0.833588020637986</v>
      </c>
    </row>
    <row r="14" ht="11.6" customHeight="1">
      <c r="B14" s="91" t="inlineStr">
        <is>
          <t>売上総利益</t>
        </is>
      </c>
      <c r="C14" s="93">
        <f>PL!C15</f>
        <v>219580189</v>
      </c>
      <c r="D14" s="101">
        <f>IFERROR(PL!C15/PL!C$10,"")</f>
        <v>0.186323479252075</v>
      </c>
      <c r="E14" s="93">
        <f>PL!E15</f>
        <v>211295514</v>
      </c>
      <c r="F14" s="101">
        <f>IFERROR(PL!E15/PL!E$10,"")</f>
        <v>0.178768974597464</v>
      </c>
      <c r="G14" s="93">
        <f>PL!G15</f>
        <v>199010966</v>
      </c>
      <c r="H14" s="101">
        <f>IFERROR(PL!G15/PL!G$10,"")</f>
        <v>0.166411979362014</v>
      </c>
    </row>
    <row r="15" ht="11.6" customHeight="1">
      <c r="B15" s="91" t="inlineStr">
        <is>
          <t>販売費及び一般管理費</t>
        </is>
      </c>
      <c r="C15" s="93">
        <f>PL!C16</f>
        <v>214823441</v>
      </c>
      <c r="D15" s="101">
        <f>IFERROR(PL!C16/PL!C$10,"")</f>
        <v>0.182287168684525</v>
      </c>
      <c r="E15" s="93">
        <f>PL!E16</f>
        <v>215718454</v>
      </c>
      <c r="F15" s="101">
        <f>IFERROR(PL!E16/PL!E$10,"")</f>
        <v>0.182511053326623</v>
      </c>
      <c r="G15" s="93">
        <f>PL!G16</f>
        <v>193151054</v>
      </c>
      <c r="H15" s="101">
        <f>IFERROR(PL!G16/PL!G$10,"")</f>
        <v>0.161511950110324</v>
      </c>
    </row>
    <row r="16" ht="11.6" customHeight="1">
      <c r="B16" s="96" t="inlineStr">
        <is>
          <t>営業利益</t>
        </is>
      </c>
      <c r="C16" s="97">
        <f>PL!C17</f>
        <v>4756748</v>
      </c>
      <c r="D16" s="102">
        <f>IFERROR(PL!C17/PL!C$10,"")</f>
        <v>0.00403631056755011</v>
      </c>
      <c r="E16" s="97">
        <f>PL!E17</f>
        <v>-4422940</v>
      </c>
      <c r="F16" s="102">
        <f>IFERROR(PL!E17/PL!E$10,"")</f>
        <v>-0.00374207872915895</v>
      </c>
      <c r="G16" s="97">
        <f>PL!G17</f>
        <v>5859912</v>
      </c>
      <c r="H16" s="102">
        <f>IFERROR(PL!G17/PL!G$10,"")</f>
        <v>0.00490002925169069</v>
      </c>
    </row>
    <row r="17" ht="11.6" customHeight="1">
      <c r="B17" s="95" t="inlineStr">
        <is>
          <t>受取利息</t>
        </is>
      </c>
      <c r="C17" s="90">
        <f>PL!C18</f>
        <v>1252</v>
      </c>
      <c r="D17" s="100">
        <f>IFERROR(PL!C18/PL!C$10,"")</f>
        <v>1.06237724398533e-06</v>
      </c>
      <c r="E17" s="90">
        <f>PL!E18</f>
        <v>84858</v>
      </c>
      <c r="F17" s="100">
        <f>IFERROR(PL!E18/PL!E$10,"")</f>
        <v>7.17950767586651e-05</v>
      </c>
      <c r="G17" s="90">
        <f>PL!G18</f>
        <v>267463</v>
      </c>
      <c r="H17" s="100">
        <f>IFERROR(PL!G18/PL!G$10,"")</f>
        <v>0.000223651229531253</v>
      </c>
    </row>
    <row r="18" ht="11.6" customHeight="1">
      <c r="B18" s="95" t="inlineStr">
        <is>
          <t>受取配当金</t>
        </is>
      </c>
      <c r="C18" s="90">
        <f>PL!C19</f>
        <v>30500</v>
      </c>
      <c r="D18" s="100">
        <f>IFERROR(PL!C19/PL!C$10,"")</f>
        <v>2.58805957999622e-05</v>
      </c>
      <c r="E18" s="90">
        <f>PL!E19</f>
        <v>30500</v>
      </c>
      <c r="F18" s="100">
        <f>IFERROR(PL!E19/PL!E$10,"")</f>
        <v>2.58048721527644e-05</v>
      </c>
      <c r="G18" s="90">
        <f>PL!G19</f>
        <v>30500</v>
      </c>
      <c r="H18" s="100">
        <f>IFERROR(PL!G19/PL!G$10,"")</f>
        <v>2.55039482122882e-05</v>
      </c>
    </row>
    <row r="19" ht="11.6" customHeight="1">
      <c r="B19" s="95" t="inlineStr">
        <is>
          <t>受取奨励金</t>
        </is>
      </c>
      <c r="C19" s="90">
        <f>PL!C20</f>
        <v>2284370</v>
      </c>
      <c r="D19" s="100">
        <f>IFERROR(PL!C20/PL!C$10,"")</f>
        <v>0.0019383887418872</v>
      </c>
      <c r="E19" s="90">
        <f>PL!E20</f>
        <v>2406729</v>
      </c>
      <c r="F19" s="100">
        <f>IFERROR(PL!E20/PL!E$10,"")</f>
        <v>0.00203624046397871</v>
      </c>
      <c r="G19" s="90">
        <f>PL!G20</f>
        <v>2513377</v>
      </c>
      <c r="H19" s="100">
        <f>IFERROR(PL!G20/PL!G$10,"")</f>
        <v>0.00210167333921168</v>
      </c>
    </row>
    <row r="20" ht="11.6" customHeight="1">
      <c r="B20" s="95" t="inlineStr">
        <is>
          <t>受取延滞料</t>
        </is>
      </c>
      <c r="C20" s="90">
        <f>PL!C21</f>
        <v>170242</v>
      </c>
      <c r="D20" s="100">
        <f>IFERROR(PL!C21/PL!C$10,"")</f>
        <v>0.000144457848858268</v>
      </c>
      <c r="E20" s="90">
        <f>PL!E21</f>
        <v>147416</v>
      </c>
      <c r="F20" s="100">
        <f>IFERROR(PL!E21/PL!E$10,"")</f>
        <v>0.00012472298469744</v>
      </c>
      <c r="G20" s="90">
        <f>PL!G21</f>
        <v>96879</v>
      </c>
      <c r="H20" s="100">
        <f>IFERROR(PL!G21/PL!G$10,"")</f>
        <v>8.10097376674841e-05</v>
      </c>
    </row>
    <row r="21" ht="11.6" customHeight="1">
      <c r="B21" s="95" t="inlineStr">
        <is>
          <t>雑収入</t>
        </is>
      </c>
      <c r="C21" s="90">
        <f>PL!C23</f>
        <v>8141731</v>
      </c>
      <c r="D21" s="100">
        <f>IFERROR(PL!C23/PL!C$10,"")</f>
        <v>0.0069086180040335</v>
      </c>
      <c r="E21" s="90">
        <f>PL!E23</f>
        <v>8067387</v>
      </c>
      <c r="F21" s="100">
        <f>IFERROR(PL!E23/PL!E$10,"")</f>
        <v>0.00682550459481554</v>
      </c>
      <c r="G21" s="90">
        <f>PL!G23</f>
        <v>3669539</v>
      </c>
      <c r="H21" s="100">
        <f>IFERROR(PL!G23/PL!G$10,"")</f>
        <v>0.00306845024980235</v>
      </c>
    </row>
    <row r="22" ht="11.6" customHeight="1">
      <c r="B22" s="98" t="inlineStr">
        <is>
          <t>営業外収益計</t>
        </is>
      </c>
      <c r="C22" s="99">
        <f>PL!C24</f>
        <v>10628095</v>
      </c>
      <c r="D22" s="103">
        <f>IFERROR(PL!C24/PL!C$10,"")</f>
        <v>0.00901840756782292</v>
      </c>
      <c r="E22" s="99">
        <f>PL!E24</f>
        <v>10736890</v>
      </c>
      <c r="F22" s="103">
        <f>IFERROR(PL!E24/PL!E$10,"")</f>
        <v>0.00908406799240311</v>
      </c>
      <c r="G22" s="99">
        <f>PL!G24</f>
        <v>6577758</v>
      </c>
      <c r="H22" s="103">
        <f>IFERROR(PL!G24/PL!G$10,"")</f>
        <v>0.00550028850442506</v>
      </c>
    </row>
    <row r="23" ht="11.6" customHeight="1">
      <c r="B23" s="95" t="inlineStr">
        <is>
          <t>支払利息</t>
        </is>
      </c>
      <c r="C23" s="90">
        <f>PL!C25</f>
        <v>3962441</v>
      </c>
      <c r="D23" s="100">
        <f>IFERROR(PL!C25/PL!C$10,"")</f>
        <v>0.00336230602958026</v>
      </c>
      <c r="E23" s="90">
        <f>PL!E25</f>
        <v>4040547</v>
      </c>
      <c r="F23" s="100">
        <f>IFERROR(PL!E25/PL!E$10,"")</f>
        <v>0.0034185507790897</v>
      </c>
      <c r="G23" s="90">
        <f>PL!G25</f>
        <v>3895556</v>
      </c>
      <c r="H23" s="100">
        <f>IFERROR(PL!G25/PL!G$10,"")</f>
        <v>0.00325744454039569</v>
      </c>
    </row>
    <row r="24" ht="11.6" customHeight="1">
      <c r="B24" s="95" t="inlineStr">
        <is>
          <t>出荷奨励金</t>
        </is>
      </c>
      <c r="C24" s="90">
        <f>PL!C26</f>
        <v>105862</v>
      </c>
      <c r="D24" s="100">
        <f>IFERROR(PL!C26/PL!C$10,"")</f>
        <v>8.98285781172326e-05</v>
      </c>
      <c r="E24" s="90">
        <f>PL!E26</f>
        <v>92022</v>
      </c>
      <c r="F24" s="100">
        <f>IFERROR(PL!E26/PL!E$10,"")</f>
        <v>7.78562604997275e-05</v>
      </c>
      <c r="G24" s="90">
        <f>PL!G26</f>
        <v>94929</v>
      </c>
      <c r="H24" s="100">
        <f>IFERROR(PL!G26/PL!G$10,"")</f>
        <v>7.93791573719444e-05</v>
      </c>
    </row>
    <row r="25" ht="11.6" customHeight="1">
      <c r="B25" s="95" t="inlineStr">
        <is>
          <t>雑損失</t>
        </is>
      </c>
      <c r="C25" s="90">
        <f>PL!C27</f>
        <v>0</v>
      </c>
      <c r="D25" s="100">
        <f>IFERROR(PL!C27/PL!C$10,"")</f>
        <v>0</v>
      </c>
      <c r="E25" s="90">
        <f>PL!E27</f>
        <v>0</v>
      </c>
      <c r="F25" s="100">
        <f>IFERROR(PL!E27/PL!E$10,"")</f>
        <v>0</v>
      </c>
      <c r="G25" s="90">
        <f>PL!G27</f>
        <v>379401</v>
      </c>
      <c r="H25" s="100">
        <f>IFERROR(PL!G27/PL!G$10,"")</f>
        <v>0.000317253228055421</v>
      </c>
    </row>
    <row r="26" ht="11.6" customHeight="1">
      <c r="B26" s="98" t="inlineStr">
        <is>
          <t>営業外費用計</t>
        </is>
      </c>
      <c r="C26" s="99">
        <f>PL!C28</f>
        <v>4068303</v>
      </c>
      <c r="D26" s="103">
        <f>IFERROR(PL!C28/PL!C$10,"")</f>
        <v>0.00345213460769749</v>
      </c>
      <c r="E26" s="99">
        <f>PL!E28</f>
        <v>4132569</v>
      </c>
      <c r="F26" s="103">
        <f>IFERROR(PL!E28/PL!E$10,"")</f>
        <v>0.00349640703958943</v>
      </c>
      <c r="G26" s="99">
        <f>PL!G28</f>
        <v>4369886</v>
      </c>
      <c r="H26" s="103">
        <f>IFERROR(PL!G28/PL!G$10,"")</f>
        <v>0.00365407692582305</v>
      </c>
    </row>
    <row r="27" ht="11.6" customHeight="1">
      <c r="B27" s="96" t="inlineStr">
        <is>
          <t>経常利益</t>
        </is>
      </c>
      <c r="C27" s="97">
        <f>PL!C29</f>
        <v>11316540</v>
      </c>
      <c r="D27" s="102">
        <f>IFERROR(PL!C29/PL!C$10,"")</f>
        <v>0.00960258352767554</v>
      </c>
      <c r="E27" s="97">
        <f>PL!E29</f>
        <v>2181381</v>
      </c>
      <c r="F27" s="102">
        <f>IFERROR(PL!E29/PL!E$10,"")</f>
        <v>0.00184558222365474</v>
      </c>
      <c r="G27" s="97">
        <f>PL!G29</f>
        <v>8067784</v>
      </c>
      <c r="H27" s="102">
        <f>IFERROR(PL!G29/PL!G$10,"")</f>
        <v>0.00674624083029269</v>
      </c>
    </row>
    <row r="28" ht="11.6" customHeight="1">
      <c r="B28" s="95" t="inlineStr">
        <is>
          <t>固定資産売却益</t>
        </is>
      </c>
      <c r="C28" s="90">
        <f>PL!C30</f>
        <v>1711177</v>
      </c>
      <c r="D28" s="100">
        <f>IFERROR(PL!C30/PL!C$10,"")</f>
        <v>0.0014520091894817</v>
      </c>
      <c r="E28" s="90">
        <f>PL!E30</f>
        <v>1608918</v>
      </c>
      <c r="F28" s="100">
        <f>IFERROR(PL!E30/PL!E$10,"")</f>
        <v>0.00136124338669775</v>
      </c>
      <c r="G28" s="90">
        <f>PL!G30</f>
        <v>0</v>
      </c>
      <c r="H28" s="100">
        <f>IFERROR(PL!G30/PL!G$10,"")</f>
        <v>0</v>
      </c>
    </row>
    <row r="29" ht="11.6" customHeight="1">
      <c r="B29" s="95" t="inlineStr">
        <is>
          <t>貸倒引当金戻入</t>
        </is>
      </c>
      <c r="C29" s="90">
        <f>PL!C31</f>
        <v>176000</v>
      </c>
      <c r="D29" s="100">
        <f>IFERROR(PL!C31/PL!C$10,"")</f>
        <v>0.000149343765927651</v>
      </c>
      <c r="E29" s="90">
        <f>PL!E31</f>
        <v>237000</v>
      </c>
      <c r="F29" s="100">
        <f>IFERROR(PL!E31/PL!E$10,"")</f>
        <v>0.000200516547547711</v>
      </c>
      <c r="G29" s="90">
        <f>PL!G31</f>
        <v>234000</v>
      </c>
      <c r="H29" s="100">
        <f>IFERROR(PL!G31/PL!G$10,"")</f>
        <v>0.000195669635464768</v>
      </c>
    </row>
    <row r="30" ht="11.6" customHeight="1">
      <c r="B30" s="98" t="inlineStr">
        <is>
          <t>特別利益計</t>
        </is>
      </c>
      <c r="C30" s="99">
        <f>PL!C32</f>
        <v>1887177</v>
      </c>
      <c r="D30" s="103">
        <f>IFERROR(PL!C32/PL!C$10,"")</f>
        <v>0.00160135295540935</v>
      </c>
      <c r="E30" s="99">
        <f>PL!E32</f>
        <v>1845918</v>
      </c>
      <c r="F30" s="103">
        <f>IFERROR(PL!E32/PL!E$10,"")</f>
        <v>0.00156175993424546</v>
      </c>
      <c r="G30" s="99">
        <f>PL!G32</f>
        <v>234000</v>
      </c>
      <c r="H30" s="103">
        <f>IFERROR(PL!G32/PL!G$10,"")</f>
        <v>0.000195669635464768</v>
      </c>
    </row>
    <row r="31" ht="11.6" customHeight="1">
      <c r="B31" s="95" t="inlineStr">
        <is>
          <t>固定資産売却除却損</t>
        </is>
      </c>
      <c r="C31" s="90">
        <f>PL!C33</f>
        <v>201719</v>
      </c>
      <c r="D31" s="100">
        <f>IFERROR(PL!C33/PL!C$10,"")</f>
        <v>0.000171167472267953</v>
      </c>
      <c r="E31" s="90">
        <f>PL!E33</f>
        <v>0</v>
      </c>
      <c r="F31" s="100">
        <f>IFERROR(PL!E33/PL!E$10,"")</f>
        <v>0</v>
      </c>
      <c r="G31" s="90">
        <f>PL!G33</f>
        <v>1</v>
      </c>
      <c r="H31" s="100">
        <f>IFERROR(PL!G33/PL!G$10,"")</f>
        <v>8.3619502335371e-10</v>
      </c>
    </row>
    <row r="32" ht="11.6" customHeight="1">
      <c r="B32" s="95" t="inlineStr">
        <is>
          <t>貸倒引当金繰入</t>
        </is>
      </c>
      <c r="C32" s="90">
        <f>PL!C34</f>
        <v>237000</v>
      </c>
      <c r="D32" s="100">
        <f>IFERROR(PL!C34/PL!C$10,"")</f>
        <v>0.000201104957527575</v>
      </c>
      <c r="E32" s="90">
        <f>PL!E34</f>
        <v>234000</v>
      </c>
      <c r="F32" s="100">
        <f>IFERROR(PL!E34/PL!E$10,"")</f>
        <v>0.000197978363401537</v>
      </c>
      <c r="G32" s="90">
        <f>PL!G34</f>
        <v>203000</v>
      </c>
      <c r="H32" s="100">
        <f>IFERROR(PL!G34/PL!G$10,"")</f>
        <v>0.000169747589740803</v>
      </c>
    </row>
    <row r="33" ht="11.6" customHeight="1">
      <c r="B33" s="95" t="inlineStr">
        <is>
          <t>前期損益修正損</t>
        </is>
      </c>
      <c r="C33" s="90">
        <f>PL!C35</f>
        <v>0</v>
      </c>
      <c r="D33" s="100">
        <f>IFERROR(PL!C35/PL!C$10,"")</f>
        <v>0</v>
      </c>
      <c r="E33" s="90">
        <f>PL!E35</f>
        <v>0</v>
      </c>
      <c r="F33" s="100">
        <f>IFERROR(PL!E35/PL!E$10,"")</f>
        <v>0</v>
      </c>
      <c r="G33" s="90">
        <f>PL!G35</f>
        <v>20900138</v>
      </c>
      <c r="H33" s="100">
        <f>IFERROR(PL!G35/PL!G$10,"")</f>
        <v>0.0174765913830058</v>
      </c>
    </row>
    <row r="34" ht="11.6" customHeight="1">
      <c r="B34" s="98" t="inlineStr">
        <is>
          <t>特別損失計</t>
        </is>
      </c>
      <c r="C34" s="99">
        <f>PL!C36</f>
        <v>438719</v>
      </c>
      <c r="D34" s="103">
        <f>IFERROR(PL!C36/PL!C$10,"")</f>
        <v>0.000372272429795528</v>
      </c>
      <c r="E34" s="99">
        <f>PL!E36</f>
        <v>234000</v>
      </c>
      <c r="F34" s="103">
        <f>IFERROR(PL!E36/PL!E$10,"")</f>
        <v>0.000197978363401537</v>
      </c>
      <c r="G34" s="99">
        <f>PL!G36</f>
        <v>21103139</v>
      </c>
      <c r="H34" s="103">
        <f>IFERROR(PL!G36/PL!G$10,"")</f>
        <v>0.0176463398089416</v>
      </c>
    </row>
    <row r="35" ht="11.6" customHeight="1">
      <c r="B35" s="91" t="inlineStr">
        <is>
          <t>税引前当期純利益</t>
        </is>
      </c>
      <c r="C35" s="93">
        <f>PL!C37</f>
        <v>12764998</v>
      </c>
      <c r="D35" s="101">
        <f>IFERROR(PL!C37/PL!C$10,"")</f>
        <v>0.0108316640532894</v>
      </c>
      <c r="E35" s="93">
        <f>PL!E37</f>
        <v>3793299</v>
      </c>
      <c r="F35" s="101">
        <f>IFERROR(PL!E37/PL!E$10,"")</f>
        <v>0.00320936379449866</v>
      </c>
      <c r="G35" s="93">
        <f>PL!G37</f>
        <v>-12801355</v>
      </c>
      <c r="H35" s="101">
        <f>IFERROR(PL!G37/PL!G$10,"")</f>
        <v>-0.0107044293431841</v>
      </c>
    </row>
    <row r="36" ht="11.6" customHeight="1">
      <c r="B36" s="95" t="inlineStr">
        <is>
          <t>法人税等</t>
        </is>
      </c>
      <c r="C36" s="90">
        <f>PL!C38</f>
        <v>3658100</v>
      </c>
      <c r="D36" s="100">
        <f>IFERROR(PL!C38/PL!C$10,"")</f>
        <v>0.00310405926215874</v>
      </c>
      <c r="E36" s="90">
        <f>PL!E38</f>
        <v>864400</v>
      </c>
      <c r="F36" s="100">
        <f>IFERROR(PL!E38/PL!E$10,"")</f>
        <v>0.000731335458650806</v>
      </c>
      <c r="G36" s="90">
        <f>PL!G38</f>
        <v>2283300</v>
      </c>
      <c r="H36" s="100">
        <f>IFERROR(PL!G38/PL!G$10,"")</f>
        <v>0.00190928409682353</v>
      </c>
    </row>
    <row r="37" ht="11.6" customHeight="1">
      <c r="B37" s="96" t="inlineStr">
        <is>
          <t>当期純利益</t>
        </is>
      </c>
      <c r="C37" s="97">
        <f>PL!C39</f>
        <v>9106898</v>
      </c>
      <c r="D37" s="102">
        <f>IFERROR(PL!C39/PL!C$10,"")</f>
        <v>0.00772760479113062</v>
      </c>
      <c r="E37" s="97">
        <f>PL!E39</f>
        <v>2928899</v>
      </c>
      <c r="F37" s="102">
        <f>IFERROR(PL!E39/PL!E$10,"")</f>
        <v>0.00247802833584786</v>
      </c>
      <c r="G37" s="97">
        <f>PL!G39</f>
        <v>-15084655</v>
      </c>
      <c r="H37" s="102">
        <f>IFERROR(PL!G39/PL!G$10,"")</f>
        <v>-0.0126137134400077</v>
      </c>
    </row>
    <row r="39">
      <c r="B39" s="30" t="inlineStr">
        <is>
          <t>チェック：当期純利益（決算書）</t>
        </is>
      </c>
      <c r="C39" t="b">
        <f>EXACT(C37,9106898)</f>
        <v>1</v>
      </c>
      <c r="E39" t="b">
        <f>EXACT(E37,2928899)</f>
        <v>1</v>
      </c>
      <c r="G39" t="b">
        <f>EXACT(G37,-15084655)</f>
        <v>1</v>
      </c>
    </row>
    <row r="41">
      <c r="B41" s="47" t="inlineStr">
        <is>
          <t>※決算書では売上高を「商品売上高」1本で表示。受託販売は2019年10月以降、受託手数料のみの純額表示（個別注記表）。2026/3期の前期損益修正損20,900千円は過年度保険解約訂正額（非経常）。</t>
        </is>
      </c>
    </row>
  </sheetData>
  <mergeCells count="4">
    <mergeCell ref="G5:H5"/>
    <mergeCell ref="E5:F5"/>
    <mergeCell ref="B5:B6"/>
    <mergeCell ref="C5:D5"/>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36"/>
  <sheetViews>
    <sheetView showGridLines="0" workbookViewId="0">
      <selection activeCell="A1" sqref="A1"/>
    </sheetView>
  </sheetViews>
  <sheetFormatPr baseColWidth="8" defaultRowHeight="15"/>
  <cols>
    <col width="2" customWidth="1" min="1" max="1"/>
    <col width="27.4" customWidth="1" min="2" max="2"/>
    <col width="12.31" customWidth="1" min="3" max="3"/>
    <col width="8.609999999999999" customWidth="1" min="4" max="4"/>
    <col width="12.31" customWidth="1" min="5" max="5"/>
    <col width="8.609999999999999" customWidth="1" min="6" max="6"/>
    <col width="12.31" customWidth="1" min="7" max="7"/>
    <col width="8.609999999999999" customWidth="1" min="8" max="8"/>
  </cols>
  <sheetData>
    <row r="1">
      <c r="A1" s="1" t="inlineStr">
        <is>
          <t>販売費及び一般管理費（財務情報詳細）</t>
        </is>
      </c>
    </row>
    <row r="2">
      <c r="A2" s="25" t="inlineStr">
        <is>
          <t>■ 貼付範囲 B4:H34 → 企業概要書「販売費及び一般管理費」（範囲をコピーしてパワポに貼り付け。数字はここを直す）</t>
        </is>
      </c>
    </row>
    <row r="4">
      <c r="H4" s="85" t="inlineStr">
        <is>
          <t>(単位：千円)</t>
        </is>
      </c>
    </row>
    <row r="5" ht="12.6" customHeight="1">
      <c r="B5" s="86" t="inlineStr">
        <is>
          <t>科目</t>
        </is>
      </c>
      <c r="C5" s="86" t="inlineStr">
        <is>
          <t>2024年3月期</t>
        </is>
      </c>
      <c r="D5" s="29" t="n"/>
      <c r="E5" s="86" t="inlineStr">
        <is>
          <t>2025年3月期</t>
        </is>
      </c>
      <c r="F5" s="29" t="n"/>
      <c r="G5" s="86" t="inlineStr">
        <is>
          <t>2026年3月期</t>
        </is>
      </c>
      <c r="H5" s="29" t="n"/>
    </row>
    <row r="6" ht="12.6" customHeight="1">
      <c r="B6" s="53" t="n"/>
      <c r="C6" s="86" t="inlineStr">
        <is>
          <t>帳簿価額</t>
        </is>
      </c>
      <c r="D6" s="86" t="inlineStr">
        <is>
          <t>売上高比</t>
        </is>
      </c>
      <c r="E6" s="86" t="inlineStr">
        <is>
          <t>帳簿価額</t>
        </is>
      </c>
      <c r="F6" s="86" t="inlineStr">
        <is>
          <t>売上高比</t>
        </is>
      </c>
      <c r="G6" s="86" t="inlineStr">
        <is>
          <t>帳簿価額</t>
        </is>
      </c>
      <c r="H6" s="86" t="inlineStr">
        <is>
          <t>売上高比</t>
        </is>
      </c>
    </row>
    <row r="7" ht="11.6" customHeight="1">
      <c r="B7" s="95" t="inlineStr">
        <is>
          <t>役員報酬</t>
        </is>
      </c>
      <c r="C7" s="90">
        <f>SGA!C5</f>
        <v>22200000</v>
      </c>
      <c r="D7" s="100">
        <f>IFERROR(SGA!C5/PL!C$10,"")</f>
        <v>0.0188376795658741</v>
      </c>
      <c r="E7" s="90">
        <f>SGA!E5</f>
        <v>22200000</v>
      </c>
      <c r="F7" s="100">
        <f>IFERROR(SGA!E5/PL!E$10,"")</f>
        <v>0.0187825626816843</v>
      </c>
      <c r="G7" s="90">
        <f>SGA!G5</f>
        <v>15360000</v>
      </c>
      <c r="H7" s="100">
        <f>IFERROR(SGA!G5/PL!G$10,"")</f>
        <v>0.012843955558713</v>
      </c>
    </row>
    <row r="8" ht="11.6" customHeight="1">
      <c r="B8" s="95" t="inlineStr">
        <is>
          <t>給料手当</t>
        </is>
      </c>
      <c r="C8" s="90">
        <f>SGA!C6</f>
        <v>73148460</v>
      </c>
      <c r="D8" s="100">
        <f>IFERROR(SGA!C6/PL!C$10,"")</f>
        <v>0.0620696959557279</v>
      </c>
      <c r="E8" s="90">
        <f>SGA!E6</f>
        <v>74179162</v>
      </c>
      <c r="F8" s="100">
        <f>IFERROR(SGA!E6/PL!E$10,"")</f>
        <v>0.0627601243216132</v>
      </c>
      <c r="G8" s="90">
        <f>SGA!G6</f>
        <v>71673365</v>
      </c>
      <c r="H8" s="100">
        <f>IFERROR(SGA!G6/PL!G$10,"")</f>
        <v>0.059932911120014</v>
      </c>
    </row>
    <row r="9" ht="11.6" customHeight="1">
      <c r="B9" s="95" t="inlineStr">
        <is>
          <t>賞与</t>
        </is>
      </c>
      <c r="C9" s="90">
        <f>SGA!C7</f>
        <v>6002150</v>
      </c>
      <c r="D9" s="100">
        <f>IFERROR(SGA!C7/PL!C$10,"")</f>
        <v>0.00509308911740141</v>
      </c>
      <c r="E9" s="90">
        <f>SGA!E7</f>
        <v>5692500</v>
      </c>
      <c r="F9" s="100">
        <f>IFERROR(SGA!E7/PL!E$10,"")</f>
        <v>0.00481620441736431</v>
      </c>
      <c r="G9" s="90">
        <f>SGA!G7</f>
        <v>0</v>
      </c>
      <c r="H9" s="100">
        <f>IFERROR(SGA!G7/PL!G$10,"")</f>
        <v>0</v>
      </c>
    </row>
    <row r="10" ht="11.6" customHeight="1">
      <c r="B10" s="95" t="inlineStr">
        <is>
          <t>退職金共済掛金</t>
        </is>
      </c>
      <c r="C10" s="90">
        <f>SGA!C8</f>
        <v>3175000</v>
      </c>
      <c r="D10" s="100">
        <f>IFERROR(SGA!C8/PL!C$10,"")</f>
        <v>0.00269412759556983</v>
      </c>
      <c r="E10" s="90">
        <f>SGA!E8</f>
        <v>3166000</v>
      </c>
      <c r="F10" s="100">
        <f>IFERROR(SGA!E8/PL!E$10,"")</f>
        <v>0.00267863033559515</v>
      </c>
      <c r="G10" s="90">
        <f>SGA!G8</f>
        <v>3026000</v>
      </c>
      <c r="H10" s="100">
        <f>IFERROR(SGA!G8/PL!G$10,"")</f>
        <v>0.00253032614066833</v>
      </c>
    </row>
    <row r="11" ht="11.6" customHeight="1">
      <c r="B11" s="95" t="inlineStr">
        <is>
          <t>退職金</t>
        </is>
      </c>
      <c r="C11" s="90">
        <f>SGA!C9</f>
        <v>0</v>
      </c>
      <c r="D11" s="100">
        <f>IFERROR(SGA!C9/PL!C$10,"")</f>
        <v>0</v>
      </c>
      <c r="E11" s="90">
        <f>SGA!E9</f>
        <v>356400</v>
      </c>
      <c r="F11" s="100">
        <f>IFERROR(SGA!E9/PL!E$10,"")</f>
        <v>0.000301536276565418</v>
      </c>
      <c r="G11" s="90">
        <f>SGA!G9</f>
        <v>746960</v>
      </c>
      <c r="H11" s="100">
        <f>IFERROR(SGA!G9/PL!G$10,"")</f>
        <v>0.000624604234644288</v>
      </c>
    </row>
    <row r="12" ht="11.6" customHeight="1">
      <c r="B12" s="95" t="inlineStr">
        <is>
          <t>法定福利費</t>
        </is>
      </c>
      <c r="C12" s="90">
        <f>SGA!C10</f>
        <v>15154087</v>
      </c>
      <c r="D12" s="100">
        <f>IFERROR(SGA!C10/PL!C$10,"")</f>
        <v>0.0128589114873594</v>
      </c>
      <c r="E12" s="90">
        <f>SGA!E10</f>
        <v>14913183</v>
      </c>
      <c r="F12" s="100">
        <f>IFERROR(SGA!E10/PL!E$10,"")</f>
        <v>0.0126174682198616</v>
      </c>
      <c r="G12" s="90">
        <f>SGA!G10</f>
        <v>13295870</v>
      </c>
      <c r="H12" s="100">
        <f>IFERROR(SGA!G10/PL!G$10,"")</f>
        <v>0.0111179403251579</v>
      </c>
    </row>
    <row r="13" ht="11.6" customHeight="1">
      <c r="B13" s="95" t="inlineStr">
        <is>
          <t>福利厚生費</t>
        </is>
      </c>
      <c r="C13" s="90">
        <f>SGA!C11</f>
        <v>594849</v>
      </c>
      <c r="D13" s="100">
        <f>IFERROR(SGA!C11/PL!C$10,"")</f>
        <v>0.000504755623967597</v>
      </c>
      <c r="E13" s="90">
        <f>SGA!E11</f>
        <v>899852</v>
      </c>
      <c r="F13" s="100">
        <f>IFERROR(SGA!E11/PL!E$10,"")</f>
        <v>0.000761330026767521</v>
      </c>
      <c r="G13" s="90">
        <f>SGA!G11</f>
        <v>460243</v>
      </c>
      <c r="H13" s="100">
        <f>IFERROR(SGA!G11/PL!G$10,"")</f>
        <v>0.000384852906133382</v>
      </c>
    </row>
    <row r="14" ht="11.6" customHeight="1">
      <c r="B14" s="95" t="inlineStr">
        <is>
          <t>広告宣伝費</t>
        </is>
      </c>
      <c r="C14" s="90">
        <f>SGA!C12</f>
        <v>203020</v>
      </c>
      <c r="D14" s="100">
        <f>IFERROR(SGA!C12/PL!C$10,"")</f>
        <v>0.000172271428174043</v>
      </c>
      <c r="E14" s="90">
        <f>SGA!E12</f>
        <v>114444</v>
      </c>
      <c r="F14" s="100">
        <f>IFERROR(SGA!E12/PL!E$10,"")</f>
        <v>9.68266488082286e-05</v>
      </c>
      <c r="G14" s="90">
        <f>SGA!G12</f>
        <v>89300</v>
      </c>
      <c r="H14" s="100">
        <f>IFERROR(SGA!G12/PL!G$10,"")</f>
        <v>7.46722155854863e-05</v>
      </c>
    </row>
    <row r="15" ht="11.6" customHeight="1">
      <c r="B15" s="95" t="inlineStr">
        <is>
          <t>旅費交通費</t>
        </is>
      </c>
      <c r="C15" s="90">
        <f>SGA!C13</f>
        <v>44957</v>
      </c>
      <c r="D15" s="100">
        <f>IFERROR(SGA!C13/PL!C$10,"")</f>
        <v>3.81479982091442e-05</v>
      </c>
      <c r="E15" s="90">
        <f>SGA!E13</f>
        <v>212048</v>
      </c>
      <c r="F15" s="100">
        <f>IFERROR(SGA!E13/PL!E$10,"")</f>
        <v>0.000179405623942603</v>
      </c>
      <c r="G15" s="90">
        <f>SGA!G13</f>
        <v>78650</v>
      </c>
      <c r="H15" s="100">
        <f>IFERROR(SGA!G13/PL!G$10,"")</f>
        <v>6.57667385867693e-05</v>
      </c>
    </row>
    <row r="16" ht="11.6" customHeight="1">
      <c r="B16" s="95" t="inlineStr">
        <is>
          <t>通信費</t>
        </is>
      </c>
      <c r="C16" s="90">
        <f>SGA!C14</f>
        <v>1434812</v>
      </c>
      <c r="D16" s="100">
        <f>IFERROR(SGA!C14/PL!C$10,"")</f>
        <v>0.00121750129248968</v>
      </c>
      <c r="E16" s="90">
        <f>SGA!E14</f>
        <v>1143086</v>
      </c>
      <c r="F16" s="100">
        <f>IFERROR(SGA!E14/PL!E$10,"")</f>
        <v>0.00096712092097098</v>
      </c>
      <c r="G16" s="90">
        <f>SGA!G14</f>
        <v>1191701</v>
      </c>
      <c r="H16" s="100">
        <f>IFERROR(SGA!G14/PL!G$10,"")</f>
        <v>0.00099649444552564</v>
      </c>
    </row>
    <row r="17" ht="11.6" customHeight="1">
      <c r="B17" s="95" t="inlineStr">
        <is>
          <t>車両関連費</t>
        </is>
      </c>
      <c r="C17" s="90">
        <f>SGA!C15</f>
        <v>8475295</v>
      </c>
      <c r="D17" s="100">
        <f>IFERROR(SGA!C15/PL!C$10,"")</f>
        <v>0.00719166177640788</v>
      </c>
      <c r="E17" s="90">
        <f>SGA!E15</f>
        <v>10126052</v>
      </c>
      <c r="F17" s="100">
        <f>IFERROR(SGA!E15/PL!E$10,"")</f>
        <v>0.00856726154990966</v>
      </c>
      <c r="G17" s="90">
        <f>SGA!G15</f>
        <v>9861597</v>
      </c>
      <c r="H17" s="100">
        <f>IFERROR(SGA!G15/PL!G$10,"")</f>
        <v>0.00824621833371988</v>
      </c>
    </row>
    <row r="18" ht="11.6" customHeight="1">
      <c r="B18" s="95" t="inlineStr">
        <is>
          <t>運賃</t>
        </is>
      </c>
      <c r="C18" s="90">
        <f>SGA!C16</f>
        <v>27546757</v>
      </c>
      <c r="D18" s="100">
        <f>IFERROR(SGA!C16/PL!C$10,"")</f>
        <v>0.0233746388038288</v>
      </c>
      <c r="E18" s="90">
        <f>SGA!E16</f>
        <v>29493733</v>
      </c>
      <c r="F18" s="100">
        <f>IFERROR(SGA!E16/PL!E$10,"")</f>
        <v>0.0249535085040252</v>
      </c>
      <c r="G18" s="90">
        <f>SGA!G16</f>
        <v>28996599</v>
      </c>
      <c r="H18" s="100">
        <f>IFERROR(SGA!G16/PL!G$10,"")</f>
        <v>0.0242468117779832</v>
      </c>
    </row>
    <row r="19" ht="11.6" customHeight="1">
      <c r="B19" s="95" t="inlineStr">
        <is>
          <t>振込手数料負担金</t>
        </is>
      </c>
      <c r="C19" s="90">
        <f>SGA!C17</f>
        <v>122652</v>
      </c>
      <c r="D19" s="100">
        <f>IFERROR(SGA!C17/PL!C$10,"")</f>
        <v>0.000104075633969081</v>
      </c>
      <c r="E19" s="90">
        <f>SGA!E17</f>
        <v>207322</v>
      </c>
      <c r="F19" s="100">
        <f>IFERROR(SGA!E17/PL!E$10,"")</f>
        <v>0.000175407137850998</v>
      </c>
      <c r="G19" s="90">
        <f>SGA!G17</f>
        <v>215198</v>
      </c>
      <c r="H19" s="100">
        <f>IFERROR(SGA!G17/PL!G$10,"")</f>
        <v>0.000179947496635672</v>
      </c>
    </row>
    <row r="20" ht="11.6" customHeight="1">
      <c r="B20" s="95" t="inlineStr">
        <is>
          <t>委託手数料</t>
        </is>
      </c>
      <c r="C20" s="90">
        <f>SGA!C18</f>
        <v>3709319</v>
      </c>
      <c r="D20" s="100">
        <f>IFERROR(SGA!C18/PL!C$10,"")</f>
        <v>0.00314752084367606</v>
      </c>
      <c r="E20" s="90">
        <f>SGA!E18</f>
        <v>3538995</v>
      </c>
      <c r="F20" s="100">
        <f>IFERROR(SGA!E18/PL!E$10,"")</f>
        <v>0.00299420700079582</v>
      </c>
      <c r="G20" s="90">
        <f>SGA!G18</f>
        <v>4075300</v>
      </c>
      <c r="H20" s="100">
        <f>IFERROR(SGA!G18/PL!G$10,"")</f>
        <v>0.00340774557867338</v>
      </c>
    </row>
    <row r="21" ht="11.6" customHeight="1">
      <c r="B21" s="95" t="inlineStr">
        <is>
          <t>接待交際費</t>
        </is>
      </c>
      <c r="C21" s="90">
        <f>SGA!C19</f>
        <v>3474959</v>
      </c>
      <c r="D21" s="100">
        <f>IFERROR(SGA!C19/PL!C$10,"")</f>
        <v>0.0029486560426374</v>
      </c>
      <c r="E21" s="90">
        <f>SGA!E19</f>
        <v>2485921</v>
      </c>
      <c r="F21" s="100">
        <f>IFERROR(SGA!E19/PL!E$10,"")</f>
        <v>0.00210324175694663</v>
      </c>
      <c r="G21" s="90">
        <f>SGA!G19</f>
        <v>1580405</v>
      </c>
      <c r="H21" s="100">
        <f>IFERROR(SGA!G19/PL!G$10,"")</f>
        <v>0.00132152679588332</v>
      </c>
    </row>
    <row r="22" ht="11.6" customHeight="1">
      <c r="B22" s="95" t="inlineStr">
        <is>
          <t>水道光熱費</t>
        </is>
      </c>
      <c r="C22" s="90">
        <f>SGA!C20</f>
        <v>4423538</v>
      </c>
      <c r="D22" s="100">
        <f>IFERROR(SGA!C20/PL!C$10,"")</f>
        <v>0.00375356717979584</v>
      </c>
      <c r="E22" s="90">
        <f>SGA!E20</f>
        <v>4700697</v>
      </c>
      <c r="F22" s="100">
        <f>IFERROR(SGA!E20/PL!E$10,"")</f>
        <v>0.00397707820045519</v>
      </c>
      <c r="G22" s="90">
        <f>SGA!G20</f>
        <v>4684668</v>
      </c>
      <c r="H22" s="100">
        <f>IFERROR(SGA!G20/PL!G$10,"")</f>
        <v>0.00391729606766438</v>
      </c>
    </row>
    <row r="23" ht="11.6" customHeight="1">
      <c r="B23" s="95" t="inlineStr">
        <is>
          <t>消耗品費</t>
        </is>
      </c>
      <c r="C23" s="90">
        <f>SGA!C21</f>
        <v>35750</v>
      </c>
      <c r="D23" s="100">
        <f>IFERROR(SGA!C21/PL!C$10,"")</f>
        <v>3.0335452454054e-05</v>
      </c>
      <c r="E23" s="90">
        <f>SGA!E21</f>
        <v>0</v>
      </c>
      <c r="F23" s="100">
        <f>IFERROR(SGA!E21/PL!E$10,"")</f>
        <v>0</v>
      </c>
      <c r="G23" s="90">
        <f>SGA!G21</f>
        <v>95055</v>
      </c>
      <c r="H23" s="100">
        <f>IFERROR(SGA!G21/PL!G$10,"")</f>
        <v>7.94845179448869e-05</v>
      </c>
    </row>
    <row r="24" ht="11.6" customHeight="1">
      <c r="B24" s="95" t="inlineStr">
        <is>
          <t>租税公課</t>
        </is>
      </c>
      <c r="C24" s="90">
        <f>SGA!C22</f>
        <v>14464767</v>
      </c>
      <c r="D24" s="100">
        <f>IFERROR(SGA!C22/PL!C$10,"")</f>
        <v>0.0122739930513977</v>
      </c>
      <c r="E24" s="90">
        <f>SGA!E22</f>
        <v>12813800</v>
      </c>
      <c r="F24" s="100">
        <f>IFERROR(SGA!E22/PL!E$10,"")</f>
        <v>0.0108412613374129</v>
      </c>
      <c r="G24" s="90">
        <f>SGA!G22</f>
        <v>12176834</v>
      </c>
      <c r="H24" s="100">
        <f>IFERROR(SGA!G22/PL!G$10,"")</f>
        <v>0.0101822079910043</v>
      </c>
    </row>
    <row r="25" ht="11.6" customHeight="1">
      <c r="B25" s="95" t="inlineStr">
        <is>
          <t>支払手数料</t>
        </is>
      </c>
      <c r="C25" s="90">
        <f>SGA!C24</f>
        <v>1546474</v>
      </c>
      <c r="D25" s="100">
        <f>IFERROR(SGA!C24/PL!C$10,"")</f>
        <v>0.00131225142652953</v>
      </c>
      <c r="E25" s="90">
        <f>SGA!E24</f>
        <v>1527460</v>
      </c>
      <c r="F25" s="100">
        <f>IFERROR(SGA!E24/PL!E$10,"")</f>
        <v>0.00129232491863808</v>
      </c>
      <c r="G25" s="90">
        <f>SGA!G24</f>
        <v>1596627</v>
      </c>
      <c r="H25" s="100">
        <f>IFERROR(SGA!G24/PL!G$10,"")</f>
        <v>0.00133509155155216</v>
      </c>
    </row>
    <row r="26" ht="11.6" customHeight="1">
      <c r="B26" s="95" t="inlineStr">
        <is>
          <t>諸会費</t>
        </is>
      </c>
      <c r="C26" s="90">
        <f>SGA!C25</f>
        <v>181000</v>
      </c>
      <c r="D26" s="100">
        <f>IFERROR(SGA!C25/PL!C$10,"")</f>
        <v>0.000153586486550595</v>
      </c>
      <c r="E26" s="90">
        <f>SGA!E25</f>
        <v>141000</v>
      </c>
      <c r="F26" s="100">
        <f>IFERROR(SGA!E25/PL!E$10,"")</f>
        <v>0.000119294654870157</v>
      </c>
      <c r="G26" s="90">
        <f>SGA!G25</f>
        <v>138400</v>
      </c>
      <c r="H26" s="100">
        <f>IFERROR(SGA!G25/PL!G$10,"")</f>
        <v>0.000115729391232154</v>
      </c>
    </row>
    <row r="27" ht="11.6" customHeight="1">
      <c r="B27" s="95" t="inlineStr">
        <is>
          <t>寄付金</t>
        </is>
      </c>
      <c r="C27" s="90">
        <f>SGA!C26</f>
        <v>13000</v>
      </c>
      <c r="D27" s="100">
        <f>IFERROR(SGA!C26/PL!C$10,"")</f>
        <v>1.1031073619656e-05</v>
      </c>
      <c r="E27" s="90">
        <f>SGA!E26</f>
        <v>71000</v>
      </c>
      <c r="F27" s="100">
        <f>IFERROR(SGA!E26/PL!E$10,"")</f>
        <v>6.00703581261074e-05</v>
      </c>
      <c r="G27" s="90">
        <f>SGA!G26</f>
        <v>11000</v>
      </c>
      <c r="H27" s="100">
        <f>IFERROR(SGA!G26/PL!G$10,"")</f>
        <v>9.19814525689081e-06</v>
      </c>
    </row>
    <row r="28" ht="11.6" customHeight="1">
      <c r="B28" s="95" t="inlineStr">
        <is>
          <t>リース料</t>
        </is>
      </c>
      <c r="C28" s="90">
        <f>SGA!C27</f>
        <v>4711966</v>
      </c>
      <c r="D28" s="100">
        <f>IFERROR(SGA!C27/PL!C$10,"")</f>
        <v>0.00399831106456277</v>
      </c>
      <c r="E28" s="90">
        <f>SGA!E27</f>
        <v>6710821</v>
      </c>
      <c r="F28" s="100">
        <f>IFERROR(SGA!E27/PL!E$10,"")</f>
        <v>0.00567776649000285</v>
      </c>
      <c r="G28" s="90">
        <f>SGA!G27</f>
        <v>6227194</v>
      </c>
      <c r="H28" s="100">
        <f>IFERROR(SGA!G27/PL!G$10,"")</f>
        <v>0.00520714863225809</v>
      </c>
    </row>
    <row r="29" ht="11.6" customHeight="1">
      <c r="B29" s="95" t="inlineStr">
        <is>
          <t>支払保険料</t>
        </is>
      </c>
      <c r="C29" s="90">
        <f>SGA!C28</f>
        <v>2772322</v>
      </c>
      <c r="D29" s="100">
        <f>IFERROR(SGA!C28/PL!C$10,"")</f>
        <v>0.00235243754456861</v>
      </c>
      <c r="E29" s="90">
        <f>SGA!E28</f>
        <v>1431329</v>
      </c>
      <c r="F29" s="100">
        <f>IFERROR(SGA!E28/PL!E$10,"")</f>
        <v>0.00121099219191948</v>
      </c>
      <c r="G29" s="90">
        <f>SGA!G28</f>
        <v>1541660</v>
      </c>
      <c r="H29" s="100">
        <f>IFERROR(SGA!G28/PL!G$10,"")</f>
        <v>0.00128912841970348</v>
      </c>
    </row>
    <row r="30" ht="11.6" customHeight="1">
      <c r="B30" s="95" t="inlineStr">
        <is>
          <t>修繕費</t>
        </is>
      </c>
      <c r="C30" s="90">
        <f>SGA!C29</f>
        <v>1169740</v>
      </c>
      <c r="D30" s="100">
        <f>IFERROR(SGA!C29/PL!C$10,"")</f>
        <v>0.000992576004296647</v>
      </c>
      <c r="E30" s="90">
        <f>SGA!E29</f>
        <v>707846</v>
      </c>
      <c r="F30" s="100">
        <f>IFERROR(SGA!E29/PL!E$10,"")</f>
        <v>0.000598881165044121</v>
      </c>
      <c r="G30" s="90">
        <f>SGA!G29</f>
        <v>123750</v>
      </c>
      <c r="H30" s="100">
        <f>IFERROR(SGA!G29/PL!G$10,"")</f>
        <v>0.000103479134140022</v>
      </c>
    </row>
    <row r="31" ht="11.6" customHeight="1">
      <c r="B31" s="95" t="inlineStr">
        <is>
          <t>事務用消耗品費</t>
        </is>
      </c>
      <c r="C31" s="90">
        <f>SGA!C30</f>
        <v>2033078</v>
      </c>
      <c r="D31" s="100">
        <f>IFERROR(SGA!C30/PL!C$10,"")</f>
        <v>0.001725156391731</v>
      </c>
      <c r="E31" s="90">
        <f>SGA!E30</f>
        <v>1934919</v>
      </c>
      <c r="F31" s="100">
        <f>IFERROR(SGA!E30/PL!E$10,"")</f>
        <v>0.00163706024330999</v>
      </c>
      <c r="G31" s="90">
        <f>SGA!G30</f>
        <v>2335738</v>
      </c>
      <c r="H31" s="100">
        <f>IFERROR(SGA!G30/PL!G$10,"")</f>
        <v>0.00195313249145815</v>
      </c>
    </row>
    <row r="32" ht="11.6" customHeight="1">
      <c r="B32" s="95" t="inlineStr">
        <is>
          <t>減価償却費</t>
        </is>
      </c>
      <c r="C32" s="90">
        <f>SGA!C31</f>
        <v>13663684</v>
      </c>
      <c r="D32" s="100">
        <f>IFERROR(SGA!C31/PL!C$10,"")</f>
        <v>0.0115942387784397</v>
      </c>
      <c r="E32" s="90">
        <f>SGA!E31</f>
        <v>12557564</v>
      </c>
      <c r="F32" s="100">
        <f>IFERROR(SGA!E31/PL!E$10,"")</f>
        <v>0.0106244699531199</v>
      </c>
      <c r="G32" s="90">
        <f>SGA!G31</f>
        <v>8878970</v>
      </c>
      <c r="H32" s="100">
        <f>IFERROR(SGA!G31/PL!G$10,"")</f>
        <v>0.00742455052650689</v>
      </c>
    </row>
    <row r="33" ht="11.6" customHeight="1">
      <c r="B33" s="95" t="inlineStr">
        <is>
          <t>雑費</t>
        </is>
      </c>
      <c r="C33" s="90">
        <f>SGA!C32</f>
        <v>4521805</v>
      </c>
      <c r="D33" s="100">
        <f>IFERROR(SGA!C32/PL!C$10,"")</f>
        <v>0.00383695106528682</v>
      </c>
      <c r="E33" s="90">
        <f>SGA!E32</f>
        <v>4393320</v>
      </c>
      <c r="F33" s="100">
        <f>IFERROR(SGA!E32/PL!E$10,"")</f>
        <v>0.0037170183910224</v>
      </c>
      <c r="G33" s="90">
        <f>SGA!G32</f>
        <v>4689970</v>
      </c>
      <c r="H33" s="100">
        <f>IFERROR(SGA!G32/PL!G$10,"")</f>
        <v>0.0039217295736782</v>
      </c>
    </row>
    <row r="34" ht="11.6" customHeight="1">
      <c r="B34" s="96" t="inlineStr">
        <is>
          <t>販売費及び一般管理費 計</t>
        </is>
      </c>
      <c r="C34" s="97">
        <f>SGA!C33</f>
        <v>214823441</v>
      </c>
      <c r="D34" s="102">
        <f>IFERROR(SGA!C33/PL!C$10,"")</f>
        <v>0.182287168684525</v>
      </c>
      <c r="E34" s="97">
        <f>SGA!E33</f>
        <v>215718454</v>
      </c>
      <c r="F34" s="102">
        <f>IFERROR(SGA!E33/PL!E$10,"")</f>
        <v>0.182511053326623</v>
      </c>
      <c r="G34" s="97">
        <f>SGA!G33</f>
        <v>193151054</v>
      </c>
      <c r="H34" s="102">
        <f>IFERROR(SGA!G33/PL!G$10,"")</f>
        <v>0.161511950110324</v>
      </c>
    </row>
    <row r="36">
      <c r="B36" s="47" t="inlineStr">
        <is>
          <t>※消費税等は税込方式のため、納付消費税相当は租税公課に含まれる。2026/3期は賞与の計上なし（要確認）。</t>
        </is>
      </c>
    </row>
  </sheetData>
  <mergeCells count="4">
    <mergeCell ref="G5:H5"/>
    <mergeCell ref="E5:F5"/>
    <mergeCell ref="B5:B6"/>
    <mergeCell ref="C5:D5"/>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2" customWidth="1" min="1" max="1"/>
    <col width="26.03" customWidth="1" min="2" max="2"/>
    <col width="119.29" customWidth="1" min="3" max="3"/>
  </cols>
  <sheetData>
    <row r="1">
      <c r="A1" s="1" t="inlineStr">
        <is>
          <t>沿革</t>
        </is>
      </c>
    </row>
    <row r="2">
      <c r="A2" s="25" t="inlineStr">
        <is>
          <t>■ 貼付範囲 B4:C15 → 企業概要書「沿革」（範囲をコピーしてパワポに貼り付け。数字はここを直す）</t>
        </is>
      </c>
    </row>
    <row r="4" ht="20" customHeight="1">
      <c r="B4" s="33" t="inlineStr">
        <is>
          <t>年月</t>
        </is>
      </c>
      <c r="C4" s="33" t="inlineStr">
        <is>
          <t>主な出来事</t>
        </is>
      </c>
    </row>
    <row r="5" ht="27" customHeight="1">
      <c r="B5" s="27" t="inlineStr">
        <is>
          <t>1973年11月</t>
        </is>
      </c>
      <c r="C5" s="28" t="inlineStr">
        <is>
          <t>株式会社鶴岡中央青果を設立</t>
        </is>
      </c>
    </row>
    <row r="6" ht="27" customHeight="1">
      <c r="B6" s="27" t="inlineStr">
        <is>
          <t>1981〜82年</t>
        </is>
      </c>
      <c r="C6" s="28" t="inlineStr">
        <is>
          <t>現本社地（宝田一丁目）に事務所・市場・倉庫・パッケージ場（事務所兼倉庫）を建築</t>
        </is>
      </c>
    </row>
    <row r="7" ht="27" customHeight="1">
      <c r="B7" s="27" t="inlineStr">
        <is>
          <t>1984年11月</t>
        </is>
      </c>
      <c r="C7" s="28" t="inlineStr">
        <is>
          <t>住居表示の実施により本店所在地の表記が「鶴岡市宝田一丁目4番20号」となる</t>
        </is>
      </c>
    </row>
    <row r="8" ht="27" customHeight="1">
      <c r="B8" s="27" t="inlineStr">
        <is>
          <t>要確認</t>
        </is>
      </c>
      <c r="C8" s="28" t="inlineStr">
        <is>
          <t>地方卸売市場としての開設・認定（山形県資料に記載あり。年月は要確認）</t>
        </is>
      </c>
    </row>
    <row r="9" ht="27" customHeight="1">
      <c r="B9" s="27" t="inlineStr">
        <is>
          <t>2006年</t>
        </is>
      </c>
      <c r="C9" s="28" t="inlineStr">
        <is>
          <t>会社法施行に伴い取締役会設置会社・監査役設置会社の登記</t>
        </is>
      </c>
    </row>
    <row r="10" ht="27" customHeight="1">
      <c r="B10" s="27" t="inlineStr">
        <is>
          <t>2012年</t>
        </is>
      </c>
      <c r="C10" s="28" t="inlineStr">
        <is>
          <t>定款の目的を変更（現行：青果物の販売及び卸売、倉庫業ほか）。宝田一丁目5-1に倉庫（鉄骨造139㎡）を新築</t>
        </is>
      </c>
    </row>
    <row r="11" ht="27" customHeight="1">
      <c r="B11" s="27" t="inlineStr">
        <is>
          <t>2019年10月</t>
        </is>
      </c>
      <c r="C11" s="28" t="inlineStr">
        <is>
          <t>受託販売の会計表示を総額から純額（受託手数料のみ）へ変更</t>
        </is>
      </c>
    </row>
    <row r="12" ht="27" customHeight="1">
      <c r="B12" s="27" t="inlineStr">
        <is>
          <t>2025年5月</t>
        </is>
      </c>
      <c r="C12" s="28" t="inlineStr">
        <is>
          <t>資材倉庫の外壁・シャッターを改修</t>
        </is>
      </c>
    </row>
    <row r="13" ht="27" customHeight="1">
      <c r="B13" s="27" t="inlineStr">
        <is>
          <t>2026年1月</t>
        </is>
      </c>
      <c r="C13" s="28" t="inlineStr">
        <is>
          <t>鶴岡市内のもう1社の青果市場が撤退し、市内で唯一の青果市場となる</t>
        </is>
      </c>
    </row>
    <row r="14" ht="27" customHeight="1">
      <c r="B14" s="27" t="inlineStr">
        <is>
          <t>2026年5月</t>
        </is>
      </c>
      <c r="C14" s="28" t="inlineStr">
        <is>
          <t>役員改選（取締役3名重任、常務取締役退任）</t>
        </is>
      </c>
    </row>
    <row r="15" ht="27" customHeight="1">
      <c r="B15" s="27" t="inlineStr">
        <is>
          <t>時期要確認</t>
        </is>
      </c>
      <c r="C15" s="28" t="inlineStr">
        <is>
          <t>庄内町長沼の倉庫を老朽化により解体（跡地は駐車場として賃貸）</t>
        </is>
      </c>
    </row>
    <row r="17">
      <c r="B17" s="47" t="inlineStr">
        <is>
          <t>※出所：履歴事項全部証明書、固定資産税課税明細書、個別注記表、固定資産内訳書、山形県公表資料。創業の経緯・代表者の経歴は売主様へ確認中。</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2" customWidth="1" min="1" max="1"/>
    <col width="23.97" customWidth="1" min="2" max="2"/>
    <col width="121.34" customWidth="1" min="3" max="3"/>
  </cols>
  <sheetData>
    <row r="1">
      <c r="A1" s="1" t="inlineStr">
        <is>
          <t>その他補足情報</t>
        </is>
      </c>
    </row>
    <row r="2">
      <c r="A2" s="25" t="inlineStr">
        <is>
          <t>■ 貼付範囲 B4:C15 → 企業概要書「その他補足情報」（範囲をコピーしてパワポに貼り付け。数字はここを直す）</t>
        </is>
      </c>
    </row>
    <row r="4" ht="20" customHeight="1">
      <c r="B4" s="33" t="inlineStr">
        <is>
          <t>項目</t>
        </is>
      </c>
      <c r="C4" s="33" t="inlineStr">
        <is>
          <t>内容</t>
        </is>
      </c>
    </row>
    <row r="5" ht="36" customHeight="1">
      <c r="B5" s="27" t="inlineStr">
        <is>
          <t>許認可</t>
        </is>
      </c>
      <c r="C5" s="28" t="inlineStr">
        <is>
          <t>・地方卸売市場（卸売市場法）：山形県の地方卸売市場一覧に掲載（認定の時期・条件は要確認）
・倉庫業：定款目的に記載（登録の有無は要確認）</t>
        </is>
      </c>
    </row>
    <row r="6" ht="36" customHeight="1">
      <c r="B6" s="27" t="inlineStr">
        <is>
          <t>競合環境</t>
        </is>
      </c>
      <c r="C6" s="28" t="inlineStr">
        <is>
          <t>・鶴岡市内の青果市場は当社のみ（2026年1月に2社体制から1社に）
・車で10〜15分の三川町に公設市場があり集荷面で競合。山形市・秋田の市場も集荷に来ており、秋田へ直接出荷する農家もある</t>
        </is>
      </c>
    </row>
    <row r="7" ht="36" customHeight="1">
      <c r="B7" s="27" t="inlineStr">
        <is>
          <t>市場関係</t>
        </is>
      </c>
      <c r="C7" s="28" t="inlineStr">
        <is>
          <t>・保証金33,303千円は仕入先市場への仕入代金のデポジット（約10日分）。受領した完納奨励金の積立により増加。取引終了時に返金される
・預り保証金8,980千円は販売先（八百屋等）からの預り（1先あたり5〜30万円程度）</t>
        </is>
      </c>
    </row>
    <row r="8" ht="36" customHeight="1">
      <c r="B8" s="27" t="inlineStr">
        <is>
          <t>手数料・商慣習</t>
        </is>
      </c>
      <c r="C8" s="28" t="inlineStr">
        <is>
          <t>・受託販売手数料は8.5%（市場で一般的な水準。県への届出等で変更可能だが据置）
・完納奨励金：期限内に代金を支払った販売先へ対象売上の約3%を還元（売上割戻）。仕入先市場からも同様に受領（受取奨励金）</t>
        </is>
      </c>
    </row>
    <row r="9" ht="36" customHeight="1">
      <c r="B9" s="27" t="inlineStr">
        <is>
          <t>賞与・退職金</t>
        </is>
      </c>
      <c r="C9" s="28" t="inlineStr">
        <is>
          <t>・賞与規定はなく、業績に応じて支給
・退職金規程あり。中退共・オリックス生命で外部積立（会社の追加負担は基本的にないとの認識）</t>
        </is>
      </c>
    </row>
    <row r="10" ht="24" customHeight="1">
      <c r="B10" s="27" t="inlineStr">
        <is>
          <t>加入団体・出資先</t>
        </is>
      </c>
      <c r="C10" s="28" t="inlineStr">
        <is>
          <t>・山形県中小商工業協同組合、商工会議所、鶴岡信用金庫（出資金）</t>
        </is>
      </c>
    </row>
    <row r="11" ht="24" customHeight="1">
      <c r="B11" s="27" t="inlineStr">
        <is>
          <t>取引金融機関</t>
        </is>
      </c>
      <c r="C11" s="28" t="inlineStr">
        <is>
          <t>・鶴岡信用金庫、山形銀行、荘内銀行、日本政策金融公庫（借入残高は「財務ハイライト（B/S）」参照）</t>
        </is>
      </c>
    </row>
    <row r="12" ht="36" customHeight="1">
      <c r="B12" s="27" t="inlineStr">
        <is>
          <t>仕入先・物流</t>
        </is>
      </c>
      <c r="C12" s="28" t="inlineStr">
        <is>
          <t>・丸果庄内青果(株)、(株)庄果（公設庄内青果物地方卸売市場）、長井中央青果(株)、(株)マルト直治郎商店 ほか
・配送は自社対応（東京向け出荷・一部の地元スーパー向け配送のみ外部運送会社を利用）</t>
        </is>
      </c>
    </row>
    <row r="13" ht="24" customHeight="1">
      <c r="B13" s="27" t="inlineStr">
        <is>
          <t>営業時間・定休日</t>
        </is>
      </c>
      <c r="C13" s="28" t="inlineStr">
        <is>
          <t>・早朝5時から営業（終業時刻は要確認）／定休日は水・日・祝日</t>
        </is>
      </c>
    </row>
    <row r="14" ht="36" customHeight="1">
      <c r="B14" s="27" t="inlineStr">
        <is>
          <t>機関設計・株式</t>
        </is>
      </c>
      <c r="C14" s="28" t="inlineStr">
        <is>
          <t>・取締役会設置会社／監査役設置会社（監査の範囲を会計に限定）
・株式の譲渡制限あり（取締役会の承認）。発行済株式4,000株（株主8名）</t>
        </is>
      </c>
    </row>
    <row r="15" ht="24" customHeight="1">
      <c r="B15" s="27" t="inlineStr">
        <is>
          <t>Webサイト</t>
        </is>
      </c>
      <c r="C15" s="28" t="inlineStr">
        <is>
          <t>・http://www.turu-chu.co.jp/（だだちゃ豆・庄内柿等の特産品、安全への取組みを掲載。検索結果の要約であり本文は要確認）</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63"/>
  <sheetViews>
    <sheetView showGridLines="0" workbookViewId="0">
      <selection activeCell="A1" sqref="A1"/>
    </sheetView>
  </sheetViews>
  <sheetFormatPr baseColWidth="8" defaultRowHeight="15"/>
  <cols>
    <col width="2" customWidth="1" min="1" max="1"/>
    <col width="6" customWidth="1" min="2" max="2"/>
    <col width="12" customWidth="1" min="3" max="3"/>
    <col width="64" customWidth="1" min="4" max="4"/>
    <col width="8" customWidth="1" min="5" max="5"/>
    <col width="64" customWidth="1" min="6" max="6"/>
  </cols>
  <sheetData>
    <row r="1">
      <c r="A1" s="1" t="inlineStr">
        <is>
          <t>要確認事項・面談回答・Web調査メモ（ヒアリング項目／資料依頼の原本）</t>
        </is>
      </c>
    </row>
    <row r="2">
      <c r="A2" s="5" t="inlineStr">
        <is>
          <t>最終更新：2026年10月19日（第2回面談〔2026/10/16往訪・岡部社長〕のメモ・文字起こしを反映）。★＝面談で特に重要とした論点</t>
        </is>
      </c>
    </row>
    <row r="3" ht="30" customHeight="1">
      <c r="A3" s="6" t="inlineStr"/>
      <c r="B3" s="6" t="inlineStr">
        <is>
          <t>No.</t>
        </is>
      </c>
      <c r="C3" s="6" t="inlineStr">
        <is>
          <t>区分</t>
        </is>
      </c>
      <c r="D3" s="6" t="inlineStr">
        <is>
          <t>論点</t>
        </is>
      </c>
      <c r="E3" s="6" t="inlineStr">
        <is>
          <t>優先度</t>
        </is>
      </c>
      <c r="F3" s="6" t="inlineStr">
        <is>
          <t>状況（第2回面談の回答／残る確認事項）</t>
        </is>
      </c>
    </row>
    <row r="4">
      <c r="B4" s="104" t="n">
        <v>1</v>
      </c>
      <c r="C4" s="74" t="inlineStr">
        <is>
          <t>事業</t>
        </is>
      </c>
      <c r="D4" s="74" t="inlineStr">
        <is>
          <t>売上高の構成（買付販売／受託販売手数料／センター費／資材売上）の年度別内訳。決算書では「商品売上高」1本表示</t>
        </is>
      </c>
      <c r="E4" s="74" t="inlineStr">
        <is>
          <t>高</t>
        </is>
      </c>
      <c r="F4" s="20" t="inlineStr">
        <is>
          <t>一部回答：受託手数料は販売額の8.5%、センター費は主婦の店の配送額の約10%（1日約10万円）。年度別内訳は資料依頼</t>
        </is>
      </c>
    </row>
    <row r="5">
      <c r="B5" s="104" t="n">
        <v>2</v>
      </c>
      <c r="C5" s="74" t="inlineStr">
        <is>
          <t>事業</t>
        </is>
      </c>
      <c r="D5" s="74" t="inlineStr">
        <is>
          <t>市場の法的位置づけ（卸売市場法上の地方卸売市場の認定／開設者兼卸売業者）、認定日・条件、仲卸業者数・売買参加者数</t>
        </is>
      </c>
      <c r="E5" s="74" t="inlineStr">
        <is>
          <t>高</t>
        </is>
      </c>
      <c r="F5" s="20" t="inlineStr">
        <is>
          <t>一部回答：鶴岡市内の青果市場は当社のみ（2026年1月に2社→1社）。手数料は県への届出で変更可能。認定日・条件、仲卸・買参人数は要確認</t>
        </is>
      </c>
    </row>
    <row r="6">
      <c r="B6" s="104" t="n">
        <v>3</v>
      </c>
      <c r="C6" s="74" t="inlineStr">
        <is>
          <t>事業</t>
        </is>
      </c>
      <c r="D6" s="74" t="inlineStr">
        <is>
          <t>主要販売先別・仕入先（出荷者）別の年間取引高（内訳書は期末残高のみ）。(株)主婦の店への依存度</t>
        </is>
      </c>
      <c r="E6" s="74" t="inlineStr">
        <is>
          <t>高</t>
        </is>
      </c>
      <c r="F6" s="20" t="inlineStr">
        <is>
          <t>要確認（資料依頼）。生協へは鶴岡市内4店舗・酒田市内2店舗・物流拠点へ毎日納品。ゲームセンター景品向けの卸もあり</t>
        </is>
      </c>
    </row>
    <row r="7">
      <c r="B7" s="104" t="n">
        <v>4</v>
      </c>
      <c r="C7" s="74" t="inlineStr">
        <is>
          <t>事業</t>
        </is>
      </c>
      <c r="D7" s="74" t="inlineStr">
        <is>
          <t>「主婦センター費」「センター費」の内容、契約条件</t>
        </is>
      </c>
      <c r="E7" s="74" t="inlineStr">
        <is>
          <t>高</t>
        </is>
      </c>
      <c r="F7" s="20" t="inlineStr">
        <is>
          <t>回答済：主婦の店の仕入商品の配送を受託し、配送額の約10%をセンター費として受領（1日約10万円）。契約書の有無は要確認</t>
        </is>
      </c>
    </row>
    <row r="8">
      <c r="B8" s="104" t="n">
        <v>5</v>
      </c>
      <c r="C8" s="74" t="inlineStr">
        <is>
          <t>財務</t>
        </is>
      </c>
      <c r="D8" s="74" t="inlineStr">
        <is>
          <t>2025/3期の営業赤字（△4,423千円）の要因。売上総利益率は18.6%→17.9%→16.6%と低下</t>
        </is>
      </c>
      <c r="E8" s="74" t="inlineStr">
        <is>
          <t>高</t>
        </is>
      </c>
      <c r="F8" s="20" t="inlineStr">
        <is>
          <t>要確認。足元は人件費削減により利益体質が改善との回答</t>
        </is>
      </c>
    </row>
    <row r="9">
      <c r="B9" s="104" t="n">
        <v>6</v>
      </c>
      <c r="C9" s="74" t="inlineStr">
        <is>
          <t>財務</t>
        </is>
      </c>
      <c r="D9" s="74" t="inlineStr">
        <is>
          <t>2026/3期に賞与計上がない理由。今後の支給方針</t>
        </is>
      </c>
      <c r="E9" s="74" t="inlineStr">
        <is>
          <t>高</t>
        </is>
      </c>
      <c r="F9" s="20" t="inlineStr">
        <is>
          <t>回答済：賞与規定はなく、業績に応じて支給。年度別・人別の支給実績は要確認</t>
        </is>
      </c>
    </row>
    <row r="10">
      <c r="B10" s="104" t="n">
        <v>7</v>
      </c>
      <c r="C10" s="74" t="inlineStr">
        <is>
          <t>財務</t>
        </is>
      </c>
      <c r="D10" s="74" t="inlineStr">
        <is>
          <t>前期損益修正損20,900千円（過年度保険解約訂正額）の経緯。解約返戻金の受領有無</t>
        </is>
      </c>
      <c r="E10" s="74" t="inlineStr">
        <is>
          <t>高</t>
        </is>
      </c>
      <c r="F10" s="20" t="inlineStr">
        <is>
          <t>要確認</t>
        </is>
      </c>
    </row>
    <row r="11">
      <c r="B11" s="104" t="n">
        <v>8</v>
      </c>
      <c r="C11" s="74" t="inlineStr">
        <is>
          <t>財務</t>
        </is>
      </c>
      <c r="D11" s="74" t="inlineStr">
        <is>
          <t>役員報酬の減額（代表者10,560千円→4,320千円）の理由、常務取締役退任（2026/5）後の体制</t>
        </is>
      </c>
      <c r="E11" s="74" t="inlineStr">
        <is>
          <t>高</t>
        </is>
      </c>
      <c r="F11" s="20" t="inlineStr">
        <is>
          <t>一部回答：常務は考え方の相違により退職（業績への悪影響はないとの認識）。業務範囲は社長＝経営全般・販売、弟（63歳）＝買付・販売、配偶者＝関与なし。譲渡後は弟のみ残留、他役員は退任予定。減額理由は要確認</t>
        </is>
      </c>
    </row>
    <row r="12">
      <c r="B12" s="104" t="n">
        <v>9</v>
      </c>
      <c r="C12" s="74" t="inlineStr">
        <is>
          <t>財務</t>
        </is>
      </c>
      <c r="D12" s="74" t="inlineStr">
        <is>
          <t>借入金の金利・返済予定・担保・代表者保証。有利子負債361,058千円（2026/3末）</t>
        </is>
      </c>
      <c r="E12" s="74" t="inlineStr">
        <is>
          <t>高</t>
        </is>
      </c>
      <c r="F12" s="20" t="inlineStr">
        <is>
          <t>要確認</t>
        </is>
      </c>
    </row>
    <row r="13">
      <c r="B13" s="104" t="n">
        <v>10</v>
      </c>
      <c r="C13" s="74" t="inlineStr">
        <is>
          <t>財務</t>
        </is>
      </c>
      <c r="D13" s="74" t="inlineStr">
        <is>
          <t>保証金33,303千円（うち庄内青果物卸売精算(有)31,993千円）の性質・返還条件、預り保証金8,980千円の相手先</t>
        </is>
      </c>
      <c r="E13" s="74" t="inlineStr">
        <is>
          <t>中</t>
        </is>
      </c>
      <c r="F13" s="20" t="inlineStr">
        <is>
          <t>回答済：隣の市場（仕入先）への仕入代金のデポジット（約10日分）で取引終了時に返金。受領する完納奨励金を積み立てて増加したとの説明（受取奨励金の会計処理は要確認）。預り保証金は販売先（八百屋等）から1先5〜30万円程度</t>
        </is>
      </c>
    </row>
    <row r="14">
      <c r="B14" s="104" t="n">
        <v>11</v>
      </c>
      <c r="C14" s="74" t="inlineStr">
        <is>
          <t>財務</t>
        </is>
      </c>
      <c r="D14" s="74" t="inlineStr">
        <is>
          <t>投資有価証券の減少（2026/3末2,600千円→2026/7末1,600千円）。(株)庄果株式の処分有無</t>
        </is>
      </c>
      <c r="E14" s="74" t="inlineStr">
        <is>
          <t>中</t>
        </is>
      </c>
      <c r="F14" s="20" t="inlineStr">
        <is>
          <t>要確認</t>
        </is>
      </c>
    </row>
    <row r="15">
      <c r="B15" s="104" t="n">
        <v>12</v>
      </c>
      <c r="C15" s="74" t="inlineStr">
        <is>
          <t>財務</t>
        </is>
      </c>
      <c r="D15" s="74" t="inlineStr">
        <is>
          <t>租税公課12,177千円の内訳（税込経理による消費税納付額と推察）</t>
        </is>
      </c>
      <c r="E15" s="74" t="inlineStr">
        <is>
          <t>中</t>
        </is>
      </c>
      <c r="F15" s="20" t="inlineStr">
        <is>
          <t>要確認</t>
        </is>
      </c>
    </row>
    <row r="16">
      <c r="B16" s="104" t="n">
        <v>13</v>
      </c>
      <c r="C16" s="74" t="inlineStr">
        <is>
          <t>不動産</t>
        </is>
      </c>
      <c r="D16" s="74" t="inlineStr">
        <is>
          <t>土地の時価（簿価93,137千円／固定資産税評価額47,478千円）。建物の耐震性・修繕計画</t>
        </is>
      </c>
      <c r="E16" s="74" t="inlineStr">
        <is>
          <t>高</t>
        </is>
      </c>
      <c r="F16" s="20" t="inlineStr">
        <is>
          <t>★要確認：社長も土地・建物の時価修正が必要と認識。路線価・査定等で時価を確認する</t>
        </is>
      </c>
    </row>
    <row r="17">
      <c r="B17" s="104" t="n">
        <v>14</v>
      </c>
      <c r="C17" s="74" t="inlineStr">
        <is>
          <t>不動産</t>
        </is>
      </c>
      <c r="D17" s="74" t="inlineStr">
        <is>
          <t>庄内町長沼の倉庫敷地の利用状況（建物の有無）</t>
        </is>
      </c>
      <c r="E17" s="74" t="inlineStr">
        <is>
          <t>中</t>
        </is>
      </c>
      <c r="F17" s="20" t="inlineStr">
        <is>
          <t>回答済：倉庫は老朽化で解体済み、土地のみ保有。現在は建物を建てられない土地（代表者談）。近隣に月極駐車場として賃貸（8台分のうち2台程度利用、収入は僅少）。賃貸借契約は要確認</t>
        </is>
      </c>
    </row>
    <row r="18">
      <c r="B18" s="104" t="n">
        <v>15</v>
      </c>
      <c r="C18" s="74" t="inlineStr">
        <is>
          <t>人事</t>
        </is>
      </c>
      <c r="D18" s="74" t="inlineStr">
        <is>
          <t>従業員数の定義差（名簿24名／概況説明書30名／県資料40名）。セリ人・キーパーソン、後継体制</t>
        </is>
      </c>
      <c r="E18" s="74" t="inlineStr">
        <is>
          <t>高</t>
        </is>
      </c>
      <c r="F18" s="20" t="inlineStr">
        <is>
          <t>要確認</t>
        </is>
      </c>
    </row>
    <row r="19">
      <c r="B19" s="104" t="n">
        <v>16</v>
      </c>
      <c r="C19" s="74" t="inlineStr">
        <is>
          <t>人事</t>
        </is>
      </c>
      <c r="D19" s="74" t="inlineStr">
        <is>
          <t>就業規則・退職金規程（退職金共済加入のみか）・未払残業代の有無</t>
        </is>
      </c>
      <c r="E19" s="74" t="inlineStr">
        <is>
          <t>中</t>
        </is>
      </c>
      <c r="F19" s="20" t="inlineStr">
        <is>
          <t>一部回答：賞与規定なし、退職金規程あり。中退共・オリックス生命で外部積立し、退職時の会社の追加持出しは基本的にないとの認識。規程・積立契約の内容は共有予定（田垣内）</t>
        </is>
      </c>
    </row>
    <row r="20">
      <c r="B20" s="104" t="n">
        <v>17</v>
      </c>
      <c r="C20" s="74" t="inlineStr">
        <is>
          <t>Web</t>
        </is>
      </c>
      <c r="D20" s="74" t="inlineStr">
        <is>
          <t>会社HP（turu-chu.co.jp）で「だだちゃ豆」「庄内柿」「和梨・洋梨の特別栽培」等を紹介（検索結果の要約。本文未閲覧：要確認）</t>
        </is>
      </c>
      <c r="E20" s="74" t="inlineStr">
        <is>
          <t>中</t>
        </is>
      </c>
      <c r="F20" s="20" t="inlineStr">
        <is>
          <t>主な地元産品は庄内柿・和梨・さくらんぼ・メロン・柿・シャインマスカット等（面談）</t>
        </is>
      </c>
    </row>
    <row r="21">
      <c r="B21" s="104" t="n">
        <v>18</v>
      </c>
      <c r="C21" s="74" t="inlineStr">
        <is>
          <t>Web</t>
        </is>
      </c>
      <c r="D21" s="74" t="inlineStr">
        <is>
          <t>山形県「地方卸売市場の概要」に鶴岡中央青果（開設者兼卸売業者）が掲載。従業員40名・開設時期の記載あり（本文未閲覧：要確認）</t>
        </is>
      </c>
      <c r="E21" s="74" t="inlineStr">
        <is>
          <t>中</t>
        </is>
      </c>
      <c r="F21" s="20" t="inlineStr">
        <is>
          <t>要確認</t>
        </is>
      </c>
    </row>
    <row r="22">
      <c r="B22" s="104" t="n">
        <v>19</v>
      </c>
      <c r="C22" s="74" t="inlineStr">
        <is>
          <t>Web</t>
        </is>
      </c>
      <c r="D22" s="74" t="inlineStr">
        <is>
          <t>近隣には公設庄内青果物地方卸売市場（三川町、庄内広域行政組合開設）があり、仕入先の丸果庄内青果(株)・(株)庄果が入場</t>
        </is>
      </c>
      <c r="E22" s="74" t="inlineStr">
        <is>
          <t>中</t>
        </is>
      </c>
      <c r="F22" s="20" t="inlineStr">
        <is>
          <t>面談で確認：近隣三川町に公設市場。山形市の市場が鶴岡地区へ供給するケースもある</t>
        </is>
      </c>
    </row>
    <row r="23">
      <c r="B23" s="104" t="n">
        <v>20</v>
      </c>
      <c r="C23" s="74" t="inlineStr">
        <is>
          <t>譲渡条件</t>
        </is>
      </c>
      <c r="D23" s="74" t="inlineStr">
        <is>
          <t>スキーム、希望価格、役員の継続関与、従業員の雇用維持、譲渡理由</t>
        </is>
      </c>
      <c r="E23" s="74" t="inlineStr">
        <is>
          <t>高</t>
        </is>
      </c>
      <c r="F23" s="20" t="inlineStr">
        <is>
          <t>合意（10/16）：株式100%譲渡（全株譲渡可能）。譲渡理由は「後継者不在およびさらなる企業の発展」と記載。希望価格は最低1.1億円（上を目指す）。引継ぎは最大1年（状況により半年）。代表者は退任後、顧問として業務量・報酬とも半額（月額18万円）。従業員の雇用維持を最重視</t>
        </is>
      </c>
    </row>
    <row r="24">
      <c r="B24" s="104" t="n">
        <v>21</v>
      </c>
      <c r="C24" s="74" t="inlineStr">
        <is>
          <t>財務</t>
        </is>
      </c>
      <c r="D24" s="74" t="inlineStr">
        <is>
          <t>★2026年9月時点の試算表（代表者談：約2,000万円の利益。人件費削減で改善）</t>
        </is>
      </c>
      <c r="E24" s="74" t="inlineStr">
        <is>
          <t>高</t>
        </is>
      </c>
      <c r="F24" s="20" t="inlineStr">
        <is>
          <t>資料依頼：9月試算表（月次推移）。利益の段階（営業／経常）と人件費削減の内容を確認</t>
        </is>
      </c>
    </row>
    <row r="25">
      <c r="B25" s="104" t="n">
        <v>22</v>
      </c>
      <c r="C25" s="74" t="inlineStr">
        <is>
          <t>事業</t>
        </is>
      </c>
      <c r="D25" s="74" t="inlineStr">
        <is>
          <t>★過剰入荷分の販売先（豊洲市場・他県）の数量・販売単価・損益。過剰入荷時の販売先確保が経営課題</t>
        </is>
      </c>
      <c r="E25" s="74" t="inlineStr">
        <is>
          <t>高</t>
        </is>
      </c>
      <c r="F25" s="20" t="inlineStr">
        <is>
          <t>要確認：買手シナジー（余剰青果物の出口）の根拠になるため、品目別・月別の実績を依頼</t>
        </is>
      </c>
    </row>
    <row r="26">
      <c r="B26" s="104" t="n">
        <v>23</v>
      </c>
      <c r="C26" s="74" t="inlineStr">
        <is>
          <t>事業</t>
        </is>
      </c>
      <c r="D26" s="74" t="inlineStr">
        <is>
          <t>★仕入先開拓余地：山形・秋田の大型市場へ出荷している大規模農家。現状は農家への新規営業を行えていない</t>
        </is>
      </c>
      <c r="E26" s="74" t="inlineStr">
        <is>
          <t>中</t>
        </is>
      </c>
      <c r="F26" s="20" t="inlineStr">
        <is>
          <t>成長余地として概要書に記載。対象地域・農家数・想定数量は要確認</t>
        </is>
      </c>
    </row>
    <row r="27">
      <c r="B27" s="104" t="n">
        <v>24</v>
      </c>
      <c r="C27" s="74" t="inlineStr">
        <is>
          <t>事業</t>
        </is>
      </c>
      <c r="D27" s="74" t="inlineStr">
        <is>
          <t>入荷構成：持込30〜40%、残りは当社集荷。持込は原則全量受入れ（強み）</t>
        </is>
      </c>
      <c r="E27" s="74" t="inlineStr">
        <is>
          <t>中</t>
        </is>
      </c>
      <c r="F27" s="20" t="inlineStr">
        <is>
          <t>回答済。集荷ルート・集荷コスト（車両・人員）は要確認</t>
        </is>
      </c>
    </row>
    <row r="28">
      <c r="B28" s="104" t="n">
        <v>25</v>
      </c>
      <c r="C28" s="74" t="inlineStr">
        <is>
          <t>事業</t>
        </is>
      </c>
      <c r="D28" s="74" t="inlineStr">
        <is>
          <t>仕入価格の決め方：スーパーへの販売見積からの逆算／東京市場等の相場参照。取引単位は箱・袋（ピーマン等）</t>
        </is>
      </c>
      <c r="E28" s="74" t="inlineStr">
        <is>
          <t>低</t>
        </is>
      </c>
      <c r="F28" s="20" t="inlineStr">
        <is>
          <t>回答済</t>
        </is>
      </c>
    </row>
    <row r="29">
      <c r="B29" s="104" t="n">
        <v>26</v>
      </c>
      <c r="C29" s="74" t="inlineStr">
        <is>
          <t>事業</t>
        </is>
      </c>
      <c r="D29" s="74" t="inlineStr">
        <is>
          <t>在庫管理：野菜・果物に分け各2〜3名。廃棄を要する滞留在庫はなく帳簿は概ね実態どおり</t>
        </is>
      </c>
      <c r="E29" s="74" t="inlineStr">
        <is>
          <t>中</t>
        </is>
      </c>
      <c r="F29" s="20" t="inlineStr">
        <is>
          <t>回答済（評価書の棚卸資産は簿価評価で整合）</t>
        </is>
      </c>
    </row>
    <row r="30">
      <c r="B30" s="104" t="n">
        <v>27</v>
      </c>
      <c r="C30" s="74" t="inlineStr">
        <is>
          <t>事業</t>
        </is>
      </c>
      <c r="D30" s="74" t="inlineStr">
        <is>
          <t>繁忙期7〜12月・閑散期1〜5月。12月〜正月は関東の仲卸業者から仕入れることもある</t>
        </is>
      </c>
      <c r="E30" s="74" t="inlineStr">
        <is>
          <t>低</t>
        </is>
      </c>
      <c r="F30" s="20" t="inlineStr">
        <is>
          <t>回答済</t>
        </is>
      </c>
    </row>
    <row r="31">
      <c r="B31" s="104" t="n">
        <v>28</v>
      </c>
      <c r="C31" s="74" t="inlineStr">
        <is>
          <t>事業</t>
        </is>
      </c>
      <c r="D31" s="74" t="inlineStr">
        <is>
          <t>肥料販売はほぼ実施せず。資材販売は継続（仕入資材の約8割は自社利用）。物流は自社、東京向け・一部スーパーのみ外部運送</t>
        </is>
      </c>
      <c r="E31" s="74" t="inlineStr">
        <is>
          <t>低</t>
        </is>
      </c>
      <c r="F31" s="20" t="inlineStr">
        <is>
          <t>回答済。外部運送費の金額は要確認</t>
        </is>
      </c>
    </row>
    <row r="32">
      <c r="B32" s="104" t="n">
        <v>29</v>
      </c>
      <c r="C32" s="74" t="inlineStr">
        <is>
          <t>財務</t>
        </is>
      </c>
      <c r="D32" s="74" t="inlineStr">
        <is>
          <t>売上割戻＝完納奨励金（期限内に代金を支払った八百屋等へ支給）。受取奨励金（営業外）の内容</t>
        </is>
      </c>
      <c r="E32" s="74" t="inlineStr">
        <is>
          <t>中</t>
        </is>
      </c>
      <c r="F32" s="20" t="inlineStr">
        <is>
          <t>売上割戻は回答済。受取奨励金の内容は要確認</t>
        </is>
      </c>
    </row>
    <row r="33">
      <c r="B33" s="104" t="n">
        <v>30</v>
      </c>
      <c r="C33" s="74" t="inlineStr">
        <is>
          <t>評価</t>
        </is>
      </c>
      <c r="D33" s="74" t="inlineStr">
        <is>
          <t>代表者の顧問料（月額18万円程度＝年2,160千円）の正常収益力への反映</t>
        </is>
      </c>
      <c r="E33" s="74" t="inlineStr">
        <is>
          <t>中</t>
        </is>
      </c>
      <c r="F33" s="20" t="inlineStr">
        <is>
          <t>要検討：現行の修正PLは代表者・配偶者報酬を新体制の役員報酬8,000千円（仮定）に置換。顧問料を加味するかは買手の体制次第（評価書は未変更）</t>
        </is>
      </c>
    </row>
    <row r="34">
      <c r="B34" s="104" t="n">
        <v>31</v>
      </c>
      <c r="C34" s="74" t="inlineStr">
        <is>
          <t>評価</t>
        </is>
      </c>
      <c r="D34" s="74" t="inlineStr">
        <is>
          <t>★希望価格（最低1.1億円）と評価書の株式価値（年買法56,015〜57,407千円）の乖離</t>
        </is>
      </c>
      <c r="E34" s="74" t="inlineStr">
        <is>
          <t>高</t>
        </is>
      </c>
      <c r="F34" s="20" t="inlineStr">
        <is>
          <t>要検討：不動産の時価再評価（田垣内）、足元の利益改善（9月試算表）を反映した正常収益力の見直しで、乖離の説明材料を整理する</t>
        </is>
      </c>
    </row>
    <row r="35">
      <c r="B35" s="104" t="n">
        <v>32</v>
      </c>
      <c r="C35" s="74" t="inlineStr">
        <is>
          <t>財務</t>
        </is>
      </c>
      <c r="D35" s="74" t="inlineStr">
        <is>
          <t>完納奨励金の還元率（対象売上の約3%：代表者談）と売上割戻の計上額（2026/3期1,637千円＝売上高の0.14%）の整合</t>
        </is>
      </c>
      <c r="E35" s="74" t="inlineStr">
        <is>
          <t>中</t>
        </is>
      </c>
      <c r="F35" s="20" t="inlineStr">
        <is>
          <t>要確認：対象先・対象売上の範囲</t>
        </is>
      </c>
    </row>
    <row r="36">
      <c r="B36" s="104" t="n">
        <v>33</v>
      </c>
      <c r="C36" s="74" t="inlineStr">
        <is>
          <t>事業</t>
        </is>
      </c>
      <c r="D36" s="74" t="inlineStr">
        <is>
          <t>取扱構成は買付販売約7割・受託販売約2割・関連サービス等約1割（代表者の感覚値）</t>
        </is>
      </c>
      <c r="E36" s="74" t="inlineStr">
        <is>
          <t>中</t>
        </is>
      </c>
      <c r="F36" s="20" t="inlineStr">
        <is>
          <t>回答済。品目別・取扱形態別の取扱高資料で裏付け（資料依頼6項目に含む）</t>
        </is>
      </c>
    </row>
    <row r="37">
      <c r="B37" s="104" t="n">
        <v>34</v>
      </c>
      <c r="C37" s="74" t="inlineStr">
        <is>
          <t>事業</t>
        </is>
      </c>
      <c r="D37" s="74" t="inlineStr">
        <is>
          <t>配送先の店舗数が以前の12店舗から6店舗に減少したとの発言（どの取引先か文字起こしからは不明確）</t>
        </is>
      </c>
      <c r="E37" s="74" t="inlineStr">
        <is>
          <t>中</t>
        </is>
      </c>
      <c r="F37" s="20" t="inlineStr">
        <is>
          <t>要確認：取引先と売上への影響</t>
        </is>
      </c>
    </row>
    <row r="38">
      <c r="B38" s="104" t="n">
        <v>35</v>
      </c>
      <c r="C38" s="74" t="inlineStr">
        <is>
          <t>事業</t>
        </is>
      </c>
      <c r="D38" s="74" t="inlineStr">
        <is>
          <t>営業時間（5時からとの発言、概況説明書は6時）・定休日（水曜・祝日との発言、概況説明書は水・日・祝）</t>
        </is>
      </c>
      <c r="E38" s="74" t="inlineStr">
        <is>
          <t>低</t>
        </is>
      </c>
      <c r="F38" s="20" t="inlineStr">
        <is>
          <t>確定（10/19 田垣内）：営業時間は5時から、定休日は水・日・祝日で記載</t>
        </is>
      </c>
    </row>
    <row r="39">
      <c r="B39" s="104" t="n">
        <v>36</v>
      </c>
      <c r="C39" s="74" t="inlineStr">
        <is>
          <t>事業</t>
        </is>
      </c>
      <c r="D39" s="74" t="inlineStr">
        <is>
          <t>車両の保有形態（自社保有／リース）。リース料は年6,227千円</t>
        </is>
      </c>
      <c r="E39" s="74" t="inlineStr">
        <is>
          <t>中</t>
        </is>
      </c>
      <c r="F39" s="20" t="inlineStr">
        <is>
          <t>要確認（文字起こしでは不明瞭）</t>
        </is>
      </c>
    </row>
    <row r="40">
      <c r="B40" s="104" t="n">
        <v>37</v>
      </c>
      <c r="C40" s="74" t="inlineStr">
        <is>
          <t>人事</t>
        </is>
      </c>
      <c r="D40" s="74" t="inlineStr">
        <is>
          <t>2026年10月の最低賃金改定に伴う給与改定（11月支給分から反映）</t>
        </is>
      </c>
      <c r="E40" s="74" t="inlineStr">
        <is>
          <t>中</t>
        </is>
      </c>
      <c r="F40" s="20" t="inlineStr">
        <is>
          <t>要確認：改定額と人件費への影響（給与台帳で確認）</t>
        </is>
      </c>
    </row>
    <row r="41">
      <c r="B41" s="104" t="n">
        <v>38</v>
      </c>
      <c r="C41" s="74" t="inlineStr">
        <is>
          <t>事業</t>
        </is>
      </c>
      <c r="D41" s="74" t="inlineStr">
        <is>
          <t>相場は東北では東京の中央卸売市場が基準。価格条件次第で近隣市場へ出荷する農家もある</t>
        </is>
      </c>
      <c r="E41" s="74" t="inlineStr">
        <is>
          <t>低</t>
        </is>
      </c>
      <c r="F41" s="20" t="inlineStr">
        <is>
          <t>回答済（仕入・販売の仕組みページに反映）</t>
        </is>
      </c>
    </row>
    <row r="43">
      <c r="C43" s="18" t="inlineStr">
        <is>
          <t>Web出所：https://www.turu-chu.co.jp/ ／ https://www.pref.yamagata.jp/140031/sangyo/nourinsuisangyou/nogyo/business/oroshiurisijyou.html ／</t>
        </is>
      </c>
    </row>
    <row r="44">
      <c r="C44" s="18" t="inlineStr">
        <is>
          <t>https://www.pref.yamagata.jp/documents/26382/r7shijo_gaiyou.pdf ／ https://www.inetshonai.or.jp/~seika/main.html</t>
        </is>
      </c>
    </row>
    <row r="46">
      <c r="B46" s="105" t="inlineStr">
        <is>
          <t>■ プロセス関連（社内確認事項）</t>
        </is>
      </c>
    </row>
    <row r="47">
      <c r="B47" s="25" t="inlineStr">
        <is>
          <t>本項は社内確認事項であり、企業概要書・ノンネームシート等の買手候補への開示資料には記載しない。</t>
        </is>
      </c>
    </row>
    <row r="48" ht="30" customHeight="1">
      <c r="A48" s="6" t="inlineStr"/>
      <c r="B48" s="6" t="inlineStr">
        <is>
          <t>No.</t>
        </is>
      </c>
      <c r="C48" s="6" t="inlineStr">
        <is>
          <t>区分</t>
        </is>
      </c>
      <c r="D48" s="6" t="inlineStr">
        <is>
          <t>内容</t>
        </is>
      </c>
      <c r="E48" s="6" t="inlineStr"/>
      <c r="F48" s="6" t="inlineStr">
        <is>
          <t>対応</t>
        </is>
      </c>
    </row>
    <row r="49">
      <c r="B49" s="104" t="n">
        <v>1</v>
      </c>
      <c r="C49" s="74" t="inlineStr">
        <is>
          <t>面談運営</t>
        </is>
      </c>
      <c r="D49" s="74" t="inlineStr">
        <is>
          <t>社長はオンライン面談不可。今後は電話でのやり取りを基本とし、重要なタイミングで往訪する</t>
        </is>
      </c>
      <c r="F49" s="20" t="inlineStr">
        <is>
          <t>往訪日程は都度調整</t>
        </is>
      </c>
    </row>
    <row r="50">
      <c r="B50" s="104" t="n">
        <v>2</v>
      </c>
      <c r="C50" s="74" t="inlineStr">
        <is>
          <t>前回プロセス</t>
        </is>
      </c>
      <c r="D50" s="74" t="inlineStr">
        <is>
          <t>前回クロージング手前まで進んだ候補先はオーランドジャパン。トップ面談は同社とのみ実施</t>
        </is>
      </c>
      <c r="F50" s="20" t="inlineStr">
        <is>
          <t>既接触先として打診対象から除外</t>
        </is>
      </c>
    </row>
    <row r="51">
      <c r="B51" s="104" t="n">
        <v>3</v>
      </c>
      <c r="C51" s="74" t="inlineStr">
        <is>
          <t>テール条項</t>
        </is>
      </c>
      <c r="D51" s="74" t="inlineStr">
        <is>
          <t>各仲介会社とのテール条項は、トップ面談を実施した候補先を対象とする形で統一することで了承</t>
        </is>
      </c>
      <c r="F51" s="20" t="inlineStr">
        <is>
          <t>契約書面の文言を確認</t>
        </is>
      </c>
    </row>
    <row r="52">
      <c r="B52" s="104" t="n">
        <v>4</v>
      </c>
      <c r="C52" s="74" t="inlineStr">
        <is>
          <t>ロングリスト</t>
        </is>
      </c>
      <c r="D52" s="74" t="inlineStr">
        <is>
          <t>LLの18番までの候補先はNG。山形県本社の企業は原則NG。日東ベストはNC（ネームクリア）OK</t>
        </is>
      </c>
      <c r="F52" s="20" t="inlineStr">
        <is>
          <t>LLを修正し、NG先を除外</t>
        </is>
      </c>
    </row>
    <row r="53">
      <c r="B53" s="104" t="n">
        <v>5</v>
      </c>
      <c r="C53" s="74" t="inlineStr">
        <is>
          <t>ネームクリア方針</t>
        </is>
      </c>
      <c r="D53" s="74" t="inlineStr">
        <is>
          <t>既存取引先および山形県内企業を除けば、基本的に社名開示可能</t>
        </is>
      </c>
      <c r="F53" s="20" t="inlineStr">
        <is>
          <t>打診時の社名開示ルールとして運用</t>
        </is>
      </c>
    </row>
    <row r="54">
      <c r="B54" s="104" t="n">
        <v>6</v>
      </c>
      <c r="C54" s="74" t="inlineStr">
        <is>
          <t>ノンネーム</t>
        </is>
      </c>
      <c r="D54" s="74" t="inlineStr">
        <is>
          <t>NNの内容は問題なし（社長確認済み）</t>
        </is>
      </c>
      <c r="F54" s="20" t="inlineStr">
        <is>
          <t>現行版で打診開始可</t>
        </is>
      </c>
    </row>
    <row r="55">
      <c r="B55" s="104" t="n">
        <v>7</v>
      </c>
      <c r="C55" s="74" t="inlineStr">
        <is>
          <t>マッチング方針</t>
        </is>
      </c>
      <c r="D55" s="74" t="inlineStr">
        <is>
          <t>既接触先・NG先を除外したうえで、余剰商品（過剰入荷分）の販売チャネルを持つ企業を中心にマッチングを進める</t>
        </is>
      </c>
      <c r="F55" s="20" t="inlineStr">
        <is>
          <t>LLの優先順位付けに反映</t>
        </is>
      </c>
    </row>
    <row r="56">
      <c r="B56" s="104" t="n">
        <v>8</v>
      </c>
      <c r="C56" s="74" t="inlineStr">
        <is>
          <t>追加資料</t>
        </is>
      </c>
      <c r="D56" s="74" t="inlineStr">
        <is>
          <t>面談時に追加資料を依頼。丸印を付けた6項目（総勘定元帳Excel、給与台帳、品目別取扱高等）を回収し当社で集計。10月分以降の給与台帳も依頼</t>
        </is>
      </c>
      <c r="F56" s="20" t="inlineStr">
        <is>
          <t>菅原氏経由で回収</t>
        </is>
      </c>
    </row>
    <row r="57">
      <c r="B57" s="104" t="n">
        <v>9</v>
      </c>
      <c r="C57" s="74" t="inlineStr">
        <is>
          <t>面談記録</t>
        </is>
      </c>
      <c r="D57" s="74" t="inlineStr">
        <is>
          <t>2026/10/16往訪。Gemini議事録・文字起こしあり（話者識別が不正確のため、数値・固有名詞は原資料で要確認）</t>
        </is>
      </c>
      <c r="F57" s="20" t="inlineStr">
        <is>
          <t>—</t>
        </is>
      </c>
    </row>
    <row r="58">
      <c r="B58" s="104" t="n">
        <v>10</v>
      </c>
      <c r="C58" s="74" t="inlineStr">
        <is>
          <t>希望価格の根拠</t>
        </is>
      </c>
      <c r="D58" s="74" t="inlineStr">
        <is>
          <t>前回ディール時の金額をベースに進める。ミニマム1.1億円（前回最終は1.15億円との発言）、できる限り上を目指す</t>
        </is>
      </c>
      <c r="F58" s="20" t="inlineStr">
        <is>
          <t>買手向け資料には「1.1億円以上」のみ記載</t>
        </is>
      </c>
    </row>
    <row r="59">
      <c r="B59" s="104" t="n">
        <v>11</v>
      </c>
      <c r="C59" s="74" t="inlineStr">
        <is>
          <t>前回DD</t>
        </is>
      </c>
      <c r="D59" s="74" t="inlineStr">
        <is>
          <t>前回プロセスでDDを実施済み（棚卸資産の指摘はなかったとの回答）</t>
        </is>
      </c>
      <c r="F59" s="20" t="inlineStr">
        <is>
          <t>前回DDの指摘事項の有無を確認</t>
        </is>
      </c>
    </row>
    <row r="60">
      <c r="B60" s="104" t="n">
        <v>12</v>
      </c>
      <c r="C60" s="74" t="inlineStr">
        <is>
          <t>NG先（詳細）</t>
        </is>
      </c>
      <c r="D60" s="74" t="inlineStr">
        <is>
          <t>完全同業他社、取引実績のある企業（オイシックス、ロピア等）、山形県本社企業（LL18社＋36番）をNG</t>
        </is>
      </c>
      <c r="F60" s="20" t="inlineStr">
        <is>
          <t>LLから除外</t>
        </is>
      </c>
    </row>
    <row r="61">
      <c r="B61" s="104" t="n">
        <v>13</v>
      </c>
      <c r="C61" s="74" t="inlineStr">
        <is>
          <t>個別提案</t>
        </is>
      </c>
      <c r="D61" s="74" t="inlineStr">
        <is>
          <t>関心を示している小野田シーフーズ、サンホース（酒類卸）にはNDA締結後に概要書を提示</t>
        </is>
      </c>
      <c r="F61" s="20" t="inlineStr">
        <is>
          <t>NDA手配</t>
        </is>
      </c>
    </row>
    <row r="62">
      <c r="B62" s="104" t="n">
        <v>14</v>
      </c>
      <c r="C62" s="74" t="inlineStr">
        <is>
          <t>次回日程</t>
        </is>
      </c>
      <c r="D62" s="74" t="inlineStr">
        <is>
          <t>26日の週の候補日を池田氏に確認（現地見学を含む）</t>
        </is>
      </c>
      <c r="F62" s="20" t="inlineStr">
        <is>
          <t>田垣内が確認</t>
        </is>
      </c>
    </row>
    <row r="63">
      <c r="B63" s="104" t="n">
        <v>15</v>
      </c>
      <c r="C63" s="74" t="inlineStr">
        <is>
          <t>土地評価</t>
        </is>
      </c>
      <c r="D63" s="74" t="inlineStr">
        <is>
          <t>土地の再評価を当社で実施する（社長も購入時より価値が下がっているとの認識）</t>
        </is>
      </c>
      <c r="F63" s="20" t="inlineStr">
        <is>
          <t>田垣内が実施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2026-10-19T06:32:31Z</dcterms:created>
  <dcterms:modified xmlns:dcterms="http://purl.org/dc/terms/" xmlns:xsi="http://www.w3.org/2001/XMLSchema-instance" xsi:type="dcterms:W3CDTF">2026-10-19T06:32:31Z</dcterms:modified>
</cp:coreProperties>
</file>