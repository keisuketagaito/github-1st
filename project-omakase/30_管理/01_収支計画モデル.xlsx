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条件" sheetId="1" state="visible" r:id="rId1"/>
    <sheet xmlns:r="http://schemas.openxmlformats.org/officeDocument/2006/relationships" name="月次_保守" sheetId="2" state="visible" r:id="rId2"/>
    <sheet xmlns:r="http://schemas.openxmlformats.org/officeDocument/2006/relationships" name="月次_標準" sheetId="3" state="visible" r:id="rId3"/>
    <sheet xmlns:r="http://schemas.openxmlformats.org/officeDocument/2006/relationships" name="月次_強気" sheetId="4" state="visible" r:id="rId4"/>
    <sheet xmlns:r="http://schemas.openxmlformats.org/officeDocument/2006/relationships" name="年次サマリ" sheetId="5" state="visible" r:id="rId5"/>
    <sheet xmlns:r="http://schemas.openxmlformats.org/officeDocument/2006/relationships" name="KPI実績入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%"/>
    <numFmt numFmtId="166" formatCode="#,##0.0;(#,##0.0);-"/>
    <numFmt numFmtId="167" formatCode="0&quot;年目&quot;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color rgb="00C00000"/>
      <sz val="9"/>
    </font>
    <font>
      <name val="Arial"/>
      <i val="1"/>
      <color rgb="00C00000"/>
      <sz val="9"/>
    </font>
    <font>
      <name val="Arial"/>
      <b val="1"/>
      <color rgb="00C00000"/>
      <sz val="9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0" pivotButton="0" quotePrefix="0" xfId="0"/>
    <xf numFmtId="0" fontId="6" fillId="0" borderId="0" pivotButton="0" quotePrefix="0" xfId="0"/>
    <xf numFmtId="164" fontId="7" fillId="0" borderId="1" applyAlignment="1" pivotButton="0" quotePrefix="0" xfId="0">
      <alignment horizontal="right"/>
    </xf>
    <xf numFmtId="0" fontId="8" fillId="0" borderId="0" pivotButton="0" quotePrefix="0" xfId="0"/>
    <xf numFmtId="164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wrapText="1"/>
    </xf>
    <xf numFmtId="164" fontId="6" fillId="0" borderId="1" pivotButton="0" quotePrefix="0" xfId="0"/>
    <xf numFmtId="167" fontId="6" fillId="0" borderId="1" pivotButton="0" quotePrefix="0" xfId="0"/>
    <xf numFmtId="164" fontId="3" fillId="5" borderId="1" pivotButton="0" quotePrefix="0" xfId="0"/>
    <xf numFmtId="167" fontId="3" fillId="5" borderId="1" pivotButton="0" quotePrefix="0" xfId="0"/>
    <xf numFmtId="0" fontId="3" fillId="2" borderId="1" pivotButton="0" quotePrefix="0" xfId="0"/>
    <xf numFmtId="0" fontId="6" fillId="0" borderId="1" pivotButton="0" quotePrefix="0" xfId="0"/>
    <xf numFmtId="164" fontId="9" fillId="0" borderId="1" pivotButton="0" quotePrefix="0" xfId="0"/>
    <xf numFmtId="0" fontId="3" fillId="0" borderId="1" pivotButton="0" quotePrefix="0" xfId="0"/>
    <xf numFmtId="0" fontId="10" fillId="0" borderId="0" pivotButton="0" quotePrefix="0" xfId="0"/>
    <xf numFmtId="164" fontId="7" fillId="0" borderId="1" pivotButton="0" quotePrefix="0" xfId="0"/>
    <xf numFmtId="0" fontId="11" fillId="0" borderId="0" pivotButton="0" quotePrefix="0" xfId="0"/>
    <xf numFmtId="164" fontId="7" fillId="4" borderId="1" pivotButton="0" quotePrefix="0" xfId="0"/>
    <xf numFmtId="165" fontId="7" fillId="4" borderId="1" pivotButton="0" quotePrefix="0" xfId="0"/>
    <xf numFmtId="165" fontId="9" fillId="0" borderId="1" pivotButton="0" quotePrefix="0" xfId="0"/>
    <xf numFmtId="0" fontId="12" fillId="0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1" customWidth="1" min="5" max="5"/>
    <col width="44" customWidth="1" min="6" max="6"/>
  </cols>
  <sheetData>
    <row r="1">
      <c r="A1" s="1" t="inlineStr">
        <is>
          <t>海外向け 日本家庭料理メディア事業　収支計画モデル（36ヶ月・3シナリオ）</t>
        </is>
      </c>
    </row>
    <row r="2">
      <c r="A2" s="2" t="inlineStr">
        <is>
          <t>v2（2026年7月28日・家庭料理モデル）／ 通貨単位：円（$建て商品は為替レートで換算）</t>
        </is>
      </c>
    </row>
    <row r="4">
      <c r="A4" s="3" t="inlineStr">
        <is>
          <t>■ 凡例・使い方</t>
        </is>
      </c>
    </row>
    <row r="5">
      <c r="A5" s="4" t="inlineStr">
        <is>
          <t>青字のセル … 入力値。ここだけを編集してください（B〜D列のシナリオ別前提値）</t>
        </is>
      </c>
    </row>
    <row r="6">
      <c r="A6" s="4" t="inlineStr">
        <is>
          <t>黒字のセル … 数式。編集しないでください</t>
        </is>
      </c>
    </row>
    <row r="7">
      <c r="A7" s="4" t="inlineStr">
        <is>
          <t>緑字のセル … 他シートからの参照</t>
        </is>
      </c>
    </row>
    <row r="8">
      <c r="A8" s="4" t="inlineStr">
        <is>
          <t>黄色セル   … 特に感度の高い主要前提。まずここを自分の実感値に置き換えてください</t>
        </is>
      </c>
    </row>
    <row r="9">
      <c r="A9" s="4" t="inlineStr">
        <is>
          <t>月次_保守／月次_標準／月次_強気 の3シートが、それぞれB列／C列／D列の前提で自動計算されます</t>
        </is>
      </c>
    </row>
    <row r="10">
      <c r="A10" s="4" t="inlineStr">
        <is>
          <t>実績が出たら「KPI実績入力」シートに記入し、予実差を確認してください</t>
        </is>
      </c>
    </row>
    <row r="11">
      <c r="A11" s="4" t="inlineStr">
        <is>
          <t>本ファイルは開いた時点で全数式を自動再計算します（保存済みのキャッシュ値は持ちません）</t>
        </is>
      </c>
    </row>
    <row r="12">
      <c r="A12" s="4" t="inlineStr"/>
    </row>
    <row r="13">
      <c r="A13" s="4" t="inlineStr">
        <is>
          <t>【期間の定義】本モデルの1ヶ月目＝「投稿を開始した月」です。実行計画のDay 1〜30（在庫30本の</t>
        </is>
      </c>
    </row>
    <row r="14">
      <c r="A14" s="4" t="inlineStr">
        <is>
          <t>撮り溜め期間）はモデルの対象外のため、実際のカレンダー上はモデル+1ヶ月として読んでください。</t>
        </is>
      </c>
    </row>
    <row r="17">
      <c r="A17" s="5" t="inlineStr">
        <is>
          <t>項目</t>
        </is>
      </c>
      <c r="B17" s="5" t="inlineStr">
        <is>
          <t>保守</t>
        </is>
      </c>
      <c r="C17" s="5" t="inlineStr">
        <is>
          <t>標準</t>
        </is>
      </c>
      <c r="D17" s="5" t="inlineStr">
        <is>
          <t>強気</t>
        </is>
      </c>
      <c r="E17" s="5" t="inlineStr">
        <is>
          <t>単位</t>
        </is>
      </c>
      <c r="F17" s="5" t="inlineStr">
        <is>
          <t>備考・根拠</t>
        </is>
      </c>
    </row>
    <row r="18">
      <c r="A18" s="6" t="inlineStr">
        <is>
          <t>共通</t>
        </is>
      </c>
    </row>
    <row r="19">
      <c r="A19" s="7" t="inlineStr">
        <is>
          <t>為替レート</t>
        </is>
      </c>
      <c r="B19" s="8" t="n">
        <v>150</v>
      </c>
      <c r="C19" s="8" t="n">
        <v>150</v>
      </c>
      <c r="D19" s="8" t="n">
        <v>150</v>
      </c>
      <c r="E19" s="4" t="inlineStr">
        <is>
          <t>円/$</t>
        </is>
      </c>
      <c r="F19" s="9" t="inlineStr">
        <is>
          <t>2026年7月時点の概算。変動時はここを更新</t>
        </is>
      </c>
    </row>
    <row r="20">
      <c r="A20" s="6" t="inlineStr">
        <is>
          <t>① フォロワー（Instagram＋TikTok 合算）</t>
        </is>
      </c>
    </row>
    <row r="21">
      <c r="A21" s="7" t="inlineStr">
        <is>
          <t>月次純増数：1〜3ヶ月目</t>
        </is>
      </c>
      <c r="B21" s="8" t="n">
        <v>500</v>
      </c>
      <c r="C21" s="8" t="n">
        <v>1500</v>
      </c>
      <c r="D21" s="8" t="n">
        <v>3600</v>
      </c>
      <c r="E21" s="4" t="inlineStr">
        <is>
          <t>人/月</t>
        </is>
      </c>
      <c r="F21" s="9" t="inlineStr">
        <is>
          <t>在庫30本を投入した立ち上がり期</t>
        </is>
      </c>
    </row>
    <row r="22">
      <c r="A22" s="7" t="inlineStr">
        <is>
          <t>月次純増数：4〜6ヶ月目</t>
        </is>
      </c>
      <c r="B22" s="10" t="n">
        <v>800</v>
      </c>
      <c r="C22" s="10" t="n">
        <v>2600</v>
      </c>
      <c r="D22" s="10" t="n">
        <v>6200</v>
      </c>
      <c r="E22" s="4" t="inlineStr">
        <is>
          <t>人/月</t>
        </is>
      </c>
      <c r="F22" s="9" t="inlineStr">
        <is>
          <t>週5投稿が定着した状態</t>
        </is>
      </c>
    </row>
    <row r="23">
      <c r="A23" s="7" t="inlineStr">
        <is>
          <t>月次純増数：7〜12ヶ月目</t>
        </is>
      </c>
      <c r="B23" s="8" t="n">
        <v>1100</v>
      </c>
      <c r="C23" s="8" t="n">
        <v>3600</v>
      </c>
      <c r="D23" s="8" t="n">
        <v>8500</v>
      </c>
      <c r="E23" s="4" t="inlineStr">
        <is>
          <t>人/月</t>
        </is>
      </c>
      <c r="F23" s="9" t="inlineStr">
        <is>
          <t>型が固まり伸びる投稿が読める段階</t>
        </is>
      </c>
    </row>
    <row r="24">
      <c r="A24" s="7" t="inlineStr">
        <is>
          <t>月次純増数：13〜24ヶ月目</t>
        </is>
      </c>
      <c r="B24" s="8" t="n">
        <v>1500</v>
      </c>
      <c r="C24" s="8" t="n">
        <v>5200</v>
      </c>
      <c r="D24" s="8" t="n">
        <v>11500</v>
      </c>
      <c r="E24" s="4" t="inlineStr">
        <is>
          <t>人/月</t>
        </is>
      </c>
      <c r="F24" s="9" t="inlineStr">
        <is>
          <t>外注編集の投入で本数増</t>
        </is>
      </c>
    </row>
    <row r="25">
      <c r="A25" s="7" t="inlineStr">
        <is>
          <t>月次純増数：25〜36ヶ月目</t>
        </is>
      </c>
      <c r="B25" s="8" t="n">
        <v>1800</v>
      </c>
      <c r="C25" s="8" t="n">
        <v>6300</v>
      </c>
      <c r="D25" s="8" t="n">
        <v>13500</v>
      </c>
      <c r="E25" s="4" t="inlineStr">
        <is>
          <t>人/月</t>
        </is>
      </c>
      <c r="F25" s="9" t="inlineStr"/>
    </row>
    <row r="26">
      <c r="A26" s="6" t="inlineStr">
        <is>
          <t>② メールリスト（＝最重要資産）</t>
        </is>
      </c>
    </row>
    <row r="27">
      <c r="A27" s="7" t="inlineStr">
        <is>
          <t>フォロワー増分→リスト転換率</t>
        </is>
      </c>
      <c r="B27" s="11" t="n">
        <v>0.05</v>
      </c>
      <c r="C27" s="11" t="n">
        <v>0.08</v>
      </c>
      <c r="D27" s="11" t="n">
        <v>0.1</v>
      </c>
      <c r="E27" s="4" t="inlineStr">
        <is>
          <t>%</t>
        </is>
      </c>
      <c r="F27" s="9" t="inlineStr">
        <is>
          <t>リードマグネット経由。カルーセル比率で変動</t>
        </is>
      </c>
    </row>
    <row r="28">
      <c r="A28" s="7" t="inlineStr">
        <is>
          <t>広告経由のリスト獲得単価（CPL）</t>
        </is>
      </c>
      <c r="B28" s="8" t="n">
        <v>400</v>
      </c>
      <c r="C28" s="8" t="n">
        <v>250</v>
      </c>
      <c r="D28" s="8" t="n">
        <v>180</v>
      </c>
      <c r="E28" s="4" t="inlineStr">
        <is>
          <t>円/件</t>
        </is>
      </c>
      <c r="F28" s="9" t="inlineStr">
        <is>
          <t>400円超なら広告を停止する運用ルール</t>
        </is>
      </c>
    </row>
    <row r="29">
      <c r="A29" s="7" t="inlineStr">
        <is>
          <t>リスト月次解除率</t>
        </is>
      </c>
      <c r="B29" s="12" t="n">
        <v>0.015</v>
      </c>
      <c r="C29" s="12" t="n">
        <v>0.012</v>
      </c>
      <c r="D29" s="12" t="n">
        <v>0.01</v>
      </c>
      <c r="E29" s="4" t="inlineStr">
        <is>
          <t>%</t>
        </is>
      </c>
      <c r="F29" s="9" t="inlineStr">
        <is>
          <t>旅行後に解除されるため一般的な水準より高め</t>
        </is>
      </c>
    </row>
    <row r="30">
      <c r="A30" s="6" t="inlineStr">
        <is>
          <t>③ レシピデジタル商品</t>
        </is>
      </c>
    </row>
    <row r="31">
      <c r="A31" s="7" t="inlineStr">
        <is>
          <t>レシピ商品 価格（〜12ヶ月目）</t>
        </is>
      </c>
      <c r="B31" s="8" t="n">
        <v>24</v>
      </c>
      <c r="C31" s="8" t="n">
        <v>24</v>
      </c>
      <c r="D31" s="8" t="n">
        <v>24</v>
      </c>
      <c r="E31" s="4" t="inlineStr">
        <is>
          <t>$</t>
        </is>
      </c>
      <c r="F31" s="9" t="inlineStr">
        <is>
          <t>Weeknight Japanese（60レシピ＋食材置換表）</t>
        </is>
      </c>
    </row>
    <row r="32">
      <c r="A32" s="7" t="inlineStr">
        <is>
          <t>平均単価（13ヶ月目〜）</t>
        </is>
      </c>
      <c r="B32" s="8" t="n">
        <v>27</v>
      </c>
      <c r="C32" s="8" t="n">
        <v>32</v>
      </c>
      <c r="D32" s="8" t="n">
        <v>36</v>
      </c>
      <c r="E32" s="4" t="inlineStr">
        <is>
          <t>$</t>
        </is>
      </c>
      <c r="F32" s="9" t="inlineStr">
        <is>
          <t>バンドル$45と訪日商品$19の構成を反映</t>
        </is>
      </c>
    </row>
    <row r="33">
      <c r="A33" s="7" t="inlineStr">
        <is>
          <t>新規購読者の転換率</t>
        </is>
      </c>
      <c r="B33" s="11" t="n">
        <v>0.05</v>
      </c>
      <c r="C33" s="11" t="n">
        <v>0.1</v>
      </c>
      <c r="D33" s="11" t="n">
        <v>0.16</v>
      </c>
      <c r="E33" s="4" t="inlineStr">
        <is>
          <t>%</t>
        </is>
      </c>
      <c r="F33" s="9" t="inlineStr">
        <is>
          <t>レシピ観客にレシピ商品を売るため v1(8%)より高い</t>
        </is>
      </c>
    </row>
    <row r="34">
      <c r="A34" s="7" t="inlineStr">
        <is>
          <t>既存リストの月次残存転換率</t>
        </is>
      </c>
      <c r="B34" s="12" t="n">
        <v>0.002</v>
      </c>
      <c r="C34" s="12" t="n">
        <v>0.003</v>
      </c>
      <c r="D34" s="12" t="n">
        <v>0.005</v>
      </c>
      <c r="E34" s="4" t="inlineStr">
        <is>
          <t>%</t>
        </is>
      </c>
      <c r="F34" s="9" t="inlineStr">
        <is>
          <t>時間差での購入。単品商品は既存リストに1回しか売れない</t>
        </is>
      </c>
    </row>
    <row r="35">
      <c r="A35" s="7" t="inlineStr">
        <is>
          <t>ローンチ月の既存リスト転換率</t>
        </is>
      </c>
      <c r="B35" s="12" t="n">
        <v>0.022</v>
      </c>
      <c r="C35" s="12" t="n">
        <v>0.045</v>
      </c>
      <c r="D35" s="12" t="n">
        <v>0.08</v>
      </c>
      <c r="E35" s="4" t="inlineStr">
        <is>
          <t>%</t>
        </is>
      </c>
      <c r="F35" s="9" t="inlineStr">
        <is>
          <t>5日間シーケンス実施月のみ加算</t>
        </is>
      </c>
    </row>
    <row r="36">
      <c r="A36" s="7" t="inlineStr">
        <is>
          <t>返金率</t>
        </is>
      </c>
      <c r="B36" s="12" t="n">
        <v>0.06</v>
      </c>
      <c r="C36" s="12" t="n">
        <v>0.04</v>
      </c>
      <c r="D36" s="12" t="n">
        <v>0.02</v>
      </c>
      <c r="E36" s="4" t="inlineStr">
        <is>
          <t>%</t>
        </is>
      </c>
      <c r="F36" s="9" t="inlineStr">
        <is>
          <t>5%超は商品欠陥のサイン</t>
        </is>
      </c>
    </row>
    <row r="37">
      <c r="A37" s="7" t="inlineStr">
        <is>
          <t>販売開始月</t>
        </is>
      </c>
      <c r="B37" s="8" t="n">
        <v>5</v>
      </c>
      <c r="C37" s="8" t="n">
        <v>5</v>
      </c>
      <c r="D37" s="8" t="n">
        <v>5</v>
      </c>
      <c r="E37" s="4" t="inlineStr">
        <is>
          <t>ヶ月目</t>
        </is>
      </c>
      <c r="F37" s="9" t="inlineStr">
        <is>
          <t>リスト300件を満たしてから</t>
        </is>
      </c>
    </row>
    <row r="38">
      <c r="A38" s="6" t="inlineStr">
        <is>
          <t>④ アフィリエイト（食材・調理器具）</t>
        </is>
      </c>
    </row>
    <row r="39">
      <c r="A39" s="7" t="inlineStr">
        <is>
          <t>フォロワー1人あたり月間収益</t>
        </is>
      </c>
      <c r="B39" s="13" t="n">
        <v>1.5</v>
      </c>
      <c r="C39" s="13" t="n">
        <v>3</v>
      </c>
      <c r="D39" s="13" t="n">
        <v>5.5</v>
      </c>
      <c r="E39" s="4" t="inlineStr">
        <is>
          <t>円/人/月</t>
        </is>
      </c>
      <c r="F39" s="9" t="inlineStr">
        <is>
          <t>Amazon各国・日本食材EC・包丁等。季節性なし</t>
        </is>
      </c>
    </row>
    <row r="40">
      <c r="A40" s="6" t="inlineStr">
        <is>
          <t>⑤ 日本食ブランドのタイアップ</t>
        </is>
      </c>
    </row>
    <row r="41">
      <c r="A41" s="7" t="inlineStr">
        <is>
          <t>単価</t>
        </is>
      </c>
      <c r="B41" s="8" t="n">
        <v>100000</v>
      </c>
      <c r="C41" s="8" t="n">
        <v>200000</v>
      </c>
      <c r="D41" s="8" t="n">
        <v>350000</v>
      </c>
      <c r="E41" s="4" t="inlineStr">
        <is>
          <t>円/件</t>
        </is>
      </c>
      <c r="F41" s="9" t="inlineStr">
        <is>
          <t>アフィリ実売数を示せるかで単価が2〜3倍変わる</t>
        </is>
      </c>
    </row>
    <row r="42">
      <c r="A42" s="7" t="inlineStr">
        <is>
          <t>件数：10〜12ヶ月目</t>
        </is>
      </c>
      <c r="B42" s="14" t="n">
        <v>0.3</v>
      </c>
      <c r="C42" s="14" t="n">
        <v>0.5</v>
      </c>
      <c r="D42" s="14" t="n">
        <v>1</v>
      </c>
      <c r="E42" s="4" t="inlineStr">
        <is>
          <t>件/月</t>
        </is>
      </c>
      <c r="F42" s="9" t="inlineStr"/>
    </row>
    <row r="43">
      <c r="A43" s="7" t="inlineStr">
        <is>
          <t>件数：13〜18ヶ月目</t>
        </is>
      </c>
      <c r="B43" s="14" t="n">
        <v>0.5</v>
      </c>
      <c r="C43" s="14" t="n">
        <v>1</v>
      </c>
      <c r="D43" s="14" t="n">
        <v>2</v>
      </c>
      <c r="E43" s="4" t="inlineStr">
        <is>
          <t>件/月</t>
        </is>
      </c>
      <c r="F43" s="9" t="inlineStr"/>
    </row>
    <row r="44">
      <c r="A44" s="7" t="inlineStr">
        <is>
          <t>件数：19〜24ヶ月目</t>
        </is>
      </c>
      <c r="B44" s="14" t="n">
        <v>1</v>
      </c>
      <c r="C44" s="14" t="n">
        <v>1.5</v>
      </c>
      <c r="D44" s="14" t="n">
        <v>3</v>
      </c>
      <c r="E44" s="4" t="inlineStr">
        <is>
          <t>件/月</t>
        </is>
      </c>
      <c r="F44" s="9" t="inlineStr"/>
    </row>
    <row r="45">
      <c r="A45" s="7" t="inlineStr">
        <is>
          <t>件数：25〜36ヶ月目</t>
        </is>
      </c>
      <c r="B45" s="14" t="n">
        <v>1.5</v>
      </c>
      <c r="C45" s="14" t="n">
        <v>2.5</v>
      </c>
      <c r="D45" s="14" t="n">
        <v>4</v>
      </c>
      <c r="E45" s="4" t="inlineStr">
        <is>
          <t>件/月</t>
        </is>
      </c>
      <c r="F45" s="9" t="inlineStr"/>
    </row>
    <row r="46">
      <c r="A46" s="6" t="inlineStr">
        <is>
          <t>⑥ 訪日セグメント向け商品（15ヶ月目〜）</t>
        </is>
      </c>
    </row>
    <row r="47">
      <c r="A47" s="7" t="inlineStr">
        <is>
          <t>単価</t>
        </is>
      </c>
      <c r="B47" s="8" t="n">
        <v>19</v>
      </c>
      <c r="C47" s="8" t="n">
        <v>19</v>
      </c>
      <c r="D47" s="8" t="n">
        <v>19</v>
      </c>
      <c r="E47" s="4" t="inlineStr">
        <is>
          <t>$</t>
        </is>
      </c>
      <c r="F47" s="9" t="inlineStr">
        <is>
          <t>訪日予定層にのみ販売（15ヶ月目〜）</t>
        </is>
      </c>
    </row>
    <row r="48">
      <c r="A48" s="7" t="inlineStr">
        <is>
          <t>新規購読者×訪日比率×転換率</t>
        </is>
      </c>
      <c r="B48" s="11" t="n">
        <v>0.01</v>
      </c>
      <c r="C48" s="11" t="n">
        <v>0.025</v>
      </c>
      <c r="D48" s="11" t="n">
        <v>0.045</v>
      </c>
      <c r="E48" s="4" t="inlineStr">
        <is>
          <t>%</t>
        </is>
      </c>
      <c r="F48" s="9" t="inlineStr">
        <is>
          <t>3ヶ月目に訪日比率を実測して更新すること</t>
        </is>
      </c>
    </row>
    <row r="49">
      <c r="A49" s="6" t="inlineStr">
        <is>
          <t>⑦ 予約代行（20ヶ月目〜・任意）</t>
        </is>
      </c>
    </row>
    <row r="50">
      <c r="A50" s="7" t="inlineStr">
        <is>
          <t>月間粗利</t>
        </is>
      </c>
      <c r="B50" s="8" t="n">
        <v>0</v>
      </c>
      <c r="C50" s="8" t="n">
        <v>60000</v>
      </c>
      <c r="D50" s="8" t="n">
        <v>150000</v>
      </c>
      <c r="E50" s="4" t="inlineStr">
        <is>
          <t>円/月</t>
        </is>
      </c>
      <c r="F50" s="9" t="inlineStr">
        <is>
          <t>レストラン予約のみ＝旅行業登録不要。月10件上限</t>
        </is>
      </c>
    </row>
    <row r="51">
      <c r="A51" s="7" t="inlineStr">
        <is>
          <t>稼働係数：19〜24ヶ月目</t>
        </is>
      </c>
      <c r="B51" s="8" t="n">
        <v>0</v>
      </c>
      <c r="C51" s="8" t="n">
        <v>0</v>
      </c>
      <c r="D51" s="8" t="n">
        <v>1</v>
      </c>
      <c r="E51" s="4" t="inlineStr">
        <is>
          <t>係数</t>
        </is>
      </c>
      <c r="F51" s="9" t="inlineStr">
        <is>
          <t>訪日セグメントが育った場合のみ</t>
        </is>
      </c>
    </row>
    <row r="52">
      <c r="A52" s="7" t="inlineStr">
        <is>
          <t>稼働係数：25〜36ヶ月目</t>
        </is>
      </c>
      <c r="B52" s="8" t="n">
        <v>0</v>
      </c>
      <c r="C52" s="8" t="n">
        <v>1</v>
      </c>
      <c r="D52" s="8" t="n">
        <v>1</v>
      </c>
      <c r="E52" s="4" t="inlineStr">
        <is>
          <t>係数</t>
        </is>
      </c>
      <c r="F52" s="9" t="inlineStr"/>
    </row>
    <row r="53">
      <c r="A53" s="6" t="inlineStr">
        <is>
          <t>⑧ コスト</t>
        </is>
      </c>
    </row>
    <row r="54">
      <c r="A54" s="7" t="inlineStr">
        <is>
          <t>食材費：1〜6ヶ月目</t>
        </is>
      </c>
      <c r="B54" s="8" t="n">
        <v>18000</v>
      </c>
      <c r="C54" s="8" t="n">
        <v>25000</v>
      </c>
      <c r="D54" s="8" t="n">
        <v>32000</v>
      </c>
      <c r="E54" s="4" t="inlineStr">
        <is>
          <t>円/月</t>
        </is>
      </c>
      <c r="F54" s="9" t="inlineStr">
        <is>
          <t>週末まとめ撮り 3〜4品／週</t>
        </is>
      </c>
    </row>
    <row r="55">
      <c r="A55" s="7" t="inlineStr">
        <is>
          <t>食材費：7〜18ヶ月目</t>
        </is>
      </c>
      <c r="B55" s="8" t="n">
        <v>25000</v>
      </c>
      <c r="C55" s="8" t="n">
        <v>35000</v>
      </c>
      <c r="D55" s="8" t="n">
        <v>48000</v>
      </c>
      <c r="E55" s="4" t="inlineStr">
        <is>
          <t>円/月</t>
        </is>
      </c>
      <c r="F55" s="9" t="inlineStr">
        <is>
          <t>検証用の代替食材を含む</t>
        </is>
      </c>
    </row>
    <row r="56">
      <c r="A56" s="7" t="inlineStr">
        <is>
          <t>食材費：19〜36ヶ月目</t>
        </is>
      </c>
      <c r="B56" s="8" t="n">
        <v>32000</v>
      </c>
      <c r="C56" s="8" t="n">
        <v>45000</v>
      </c>
      <c r="D56" s="8" t="n">
        <v>65000</v>
      </c>
      <c r="E56" s="4" t="inlineStr">
        <is>
          <t>円/月</t>
        </is>
      </c>
      <c r="F56" s="9" t="inlineStr"/>
    </row>
    <row r="57">
      <c r="A57" s="7" t="inlineStr">
        <is>
          <t>英語ネイティブチェック：〜12ヶ月目</t>
        </is>
      </c>
      <c r="B57" s="8" t="n">
        <v>20000</v>
      </c>
      <c r="C57" s="8" t="n">
        <v>30000</v>
      </c>
      <c r="D57" s="8" t="n">
        <v>40000</v>
      </c>
      <c r="E57" s="4" t="inlineStr">
        <is>
          <t>円/月</t>
        </is>
      </c>
      <c r="F57" s="9" t="inlineStr">
        <is>
          <t>月次固定契約で単価を下げる</t>
        </is>
      </c>
    </row>
    <row r="58">
      <c r="A58" s="7" t="inlineStr">
        <is>
          <t>英語ネイティブチェック：13ヶ月目〜</t>
        </is>
      </c>
      <c r="B58" s="8" t="n">
        <v>35000</v>
      </c>
      <c r="C58" s="8" t="n">
        <v>50000</v>
      </c>
      <c r="D58" s="8" t="n">
        <v>70000</v>
      </c>
      <c r="E58" s="4" t="inlineStr">
        <is>
          <t>円/月</t>
        </is>
      </c>
      <c r="F58" s="9" t="inlineStr"/>
    </row>
    <row r="59">
      <c r="A59" s="7" t="inlineStr">
        <is>
          <t>ツール類（編集・分析・AI）</t>
        </is>
      </c>
      <c r="B59" s="8" t="n">
        <v>12000</v>
      </c>
      <c r="C59" s="8" t="n">
        <v>12000</v>
      </c>
      <c r="D59" s="8" t="n">
        <v>12000</v>
      </c>
      <c r="E59" s="4" t="inlineStr">
        <is>
          <t>円/月</t>
        </is>
      </c>
      <c r="F59" s="9" t="inlineStr">
        <is>
          <t>CapCut/Canva/分析ツール等</t>
        </is>
      </c>
    </row>
    <row r="60">
      <c r="A60" s="7" t="inlineStr">
        <is>
          <t>メール配信：7〜12ヶ月目</t>
        </is>
      </c>
      <c r="B60" s="8" t="n">
        <v>3000</v>
      </c>
      <c r="C60" s="8" t="n">
        <v>3000</v>
      </c>
      <c r="D60" s="8" t="n">
        <v>3000</v>
      </c>
      <c r="E60" s="4" t="inlineStr">
        <is>
          <t>円/月</t>
        </is>
      </c>
      <c r="F60" s="9" t="inlineStr">
        <is>
          <t>〜6ヶ月目は無料枠で足りる</t>
        </is>
      </c>
    </row>
    <row r="61">
      <c r="A61" s="7" t="inlineStr">
        <is>
          <t>メール配信：13〜24ヶ月目</t>
        </is>
      </c>
      <c r="B61" s="8" t="n">
        <v>8000</v>
      </c>
      <c r="C61" s="8" t="n">
        <v>8000</v>
      </c>
      <c r="D61" s="8" t="n">
        <v>8000</v>
      </c>
      <c r="E61" s="4" t="inlineStr">
        <is>
          <t>円/月</t>
        </is>
      </c>
      <c r="F61" s="9" t="inlineStr"/>
    </row>
    <row r="62">
      <c r="A62" s="7" t="inlineStr">
        <is>
          <t>メール配信：25〜36ヶ月目</t>
        </is>
      </c>
      <c r="B62" s="8" t="n">
        <v>15000</v>
      </c>
      <c r="C62" s="8" t="n">
        <v>15000</v>
      </c>
      <c r="D62" s="8" t="n">
        <v>15000</v>
      </c>
      <c r="E62" s="4" t="inlineStr">
        <is>
          <t>円/月</t>
        </is>
      </c>
      <c r="F62" s="9" t="inlineStr"/>
    </row>
    <row r="63">
      <c r="A63" s="7" t="inlineStr">
        <is>
          <t>広告費：5〜12ヶ月目</t>
        </is>
      </c>
      <c r="B63" s="8" t="n">
        <v>10000</v>
      </c>
      <c r="C63" s="8" t="n">
        <v>20000</v>
      </c>
      <c r="D63" s="8" t="n">
        <v>30000</v>
      </c>
      <c r="E63" s="4" t="inlineStr">
        <is>
          <t>円/月</t>
        </is>
      </c>
      <c r="F63" s="9" t="inlineStr">
        <is>
          <t>用途はLM登録のCPL計測のみ</t>
        </is>
      </c>
    </row>
    <row r="64">
      <c r="A64" s="7" t="inlineStr">
        <is>
          <t>広告費：13〜24ヶ月目</t>
        </is>
      </c>
      <c r="B64" s="8" t="n">
        <v>20000</v>
      </c>
      <c r="C64" s="8" t="n">
        <v>50000</v>
      </c>
      <c r="D64" s="8" t="n">
        <v>100000</v>
      </c>
      <c r="E64" s="4" t="inlineStr">
        <is>
          <t>円/月</t>
        </is>
      </c>
      <c r="F64" s="9" t="inlineStr">
        <is>
          <t>CPL200円未満なら増額</t>
        </is>
      </c>
    </row>
    <row r="65">
      <c r="A65" s="7" t="inlineStr">
        <is>
          <t>広告費：25〜36ヶ月目</t>
        </is>
      </c>
      <c r="B65" s="8" t="n">
        <v>30000</v>
      </c>
      <c r="C65" s="8" t="n">
        <v>100000</v>
      </c>
      <c r="D65" s="8" t="n">
        <v>200000</v>
      </c>
      <c r="E65" s="4" t="inlineStr">
        <is>
          <t>円/月</t>
        </is>
      </c>
      <c r="F65" s="9" t="inlineStr"/>
    </row>
    <row r="66">
      <c r="A66" s="7" t="inlineStr">
        <is>
          <t>外注編集：13〜18ヶ月目</t>
        </is>
      </c>
      <c r="B66" s="8" t="n">
        <v>0</v>
      </c>
      <c r="C66" s="8" t="n">
        <v>80000</v>
      </c>
      <c r="D66" s="8" t="n">
        <v>150000</v>
      </c>
      <c r="E66" s="4" t="inlineStr">
        <is>
          <t>円/月</t>
        </is>
      </c>
      <c r="F66" s="9" t="inlineStr">
        <is>
          <t>週15時間を超える前に外注へ</t>
        </is>
      </c>
    </row>
    <row r="67">
      <c r="A67" s="7" t="inlineStr">
        <is>
          <t>外注編集：19〜24ヶ月目</t>
        </is>
      </c>
      <c r="B67" s="8" t="n">
        <v>50000</v>
      </c>
      <c r="C67" s="8" t="n">
        <v>150000</v>
      </c>
      <c r="D67" s="8" t="n">
        <v>250000</v>
      </c>
      <c r="E67" s="4" t="inlineStr">
        <is>
          <t>円/月</t>
        </is>
      </c>
      <c r="F67" s="9" t="inlineStr">
        <is>
          <t>＋DM一次対応</t>
        </is>
      </c>
    </row>
    <row r="68">
      <c r="A68" s="7" t="inlineStr">
        <is>
          <t>外注編集：25〜36ヶ月目</t>
        </is>
      </c>
      <c r="B68" s="8" t="n">
        <v>100000</v>
      </c>
      <c r="C68" s="8" t="n">
        <v>250000</v>
      </c>
      <c r="D68" s="8" t="n">
        <v>400000</v>
      </c>
      <c r="E68" s="4" t="inlineStr">
        <is>
          <t>円/月</t>
        </is>
      </c>
      <c r="F68" s="9" t="inlineStr"/>
    </row>
    <row r="69">
      <c r="A69" s="7" t="inlineStr">
        <is>
          <t>決済手数料率</t>
        </is>
      </c>
      <c r="B69" s="12" t="n">
        <v>0.1</v>
      </c>
      <c r="C69" s="12" t="n">
        <v>0.1</v>
      </c>
      <c r="D69" s="12" t="n">
        <v>0.1</v>
      </c>
      <c r="E69" s="4" t="inlineStr">
        <is>
          <t>%</t>
        </is>
      </c>
      <c r="F69" s="9" t="inlineStr">
        <is>
          <t>Gumroad想定。Stripe移行で低下</t>
        </is>
      </c>
    </row>
    <row r="70">
      <c r="A70" s="7" t="inlineStr">
        <is>
          <t>初期投資（1ヶ月目のみ）</t>
        </is>
      </c>
      <c r="B70" s="8" t="n">
        <v>120000</v>
      </c>
      <c r="C70" s="8" t="n">
        <v>120000</v>
      </c>
      <c r="D70" s="8" t="n">
        <v>120000</v>
      </c>
      <c r="E70" s="4" t="inlineStr">
        <is>
          <t>円</t>
        </is>
      </c>
      <c r="F70" s="9" t="inlineStr">
        <is>
          <t>撮影機材7万＋調理器具3万＋LP2万</t>
        </is>
      </c>
    </row>
  </sheetData>
  <mergeCells count="9">
    <mergeCell ref="A38:F38"/>
    <mergeCell ref="A49:F49"/>
    <mergeCell ref="A46:F46"/>
    <mergeCell ref="A26:F26"/>
    <mergeCell ref="A40:F40"/>
    <mergeCell ref="A18:F18"/>
    <mergeCell ref="A20:F20"/>
    <mergeCell ref="A30:F30"/>
    <mergeCell ref="A53:F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保守シナリオ</t>
        </is>
      </c>
    </row>
    <row r="2">
      <c r="A2" s="2" t="inlineStr">
        <is>
          <t>前提条件シートのB列を参照。単位：円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レシピ商品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訪日商品</t>
        </is>
      </c>
      <c r="R4" s="15" t="inlineStr">
        <is>
          <t>予約代行</t>
        </is>
      </c>
      <c r="S4" s="15" t="inlineStr">
        <is>
          <t>売上合計</t>
        </is>
      </c>
      <c r="T4" s="15" t="inlineStr">
        <is>
          <t>食材費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IF($A5&lt;=3,前提条件!$B$21,IF($A5&lt;=6,前提条件!$B$22,IF($A5&lt;=12,前提条件!$B$23,IF($A5&lt;=24,前提条件!$B$24,前提条件!$B$25))))</f>
        <v/>
      </c>
      <c r="D5" s="16">
        <f>$C5</f>
        <v/>
      </c>
      <c r="E5" s="16">
        <f>ROUND($C5*前提条件!$B$27,0)</f>
        <v/>
      </c>
      <c r="F5" s="16">
        <f>IF($X5=0,0,ROUND($X5/前提条件!$B$28,0))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IF($A5&lt;前提条件!$B$37,0,ROUND($G5*前提条件!$B$33+0*前提条件!$B$34,0))</f>
        <v/>
      </c>
      <c r="K5" s="16">
        <f>IF(OR($A5=5,$A5=11,$A5=15,$A5=22,$A5=30),ROUND(0*前提条件!$B$35,0),0)</f>
        <v/>
      </c>
      <c r="L5" s="16">
        <f>$J5+$K5</f>
        <v/>
      </c>
      <c r="M5" s="16">
        <f>IF($A5&lt;=12,前提条件!$B$31,前提条件!$B$32)*前提条件!$B$19</f>
        <v/>
      </c>
      <c r="N5" s="16">
        <f>ROUND($L5*$M5*(1-前提条件!$B$36),0)</f>
        <v/>
      </c>
      <c r="O5" s="16">
        <f>ROUND($D5*前提条件!$B$39,0)</f>
        <v/>
      </c>
      <c r="P5" s="16">
        <f>ROUND(IF($A5&lt;10,0,IF($A5&lt;=12,前提条件!$B$42,IF($A5&lt;=18,前提条件!$B$43,IF($A5&lt;=24,前提条件!$B$44,前提条件!$B$45))))*前提条件!$B$41,0)</f>
        <v/>
      </c>
      <c r="Q5" s="16">
        <f>IF($A5&lt;15,0,ROUND($G5*前提条件!$B$48*前提条件!$B$47*前提条件!$B$19,0))</f>
        <v/>
      </c>
      <c r="R5" s="16">
        <f>IF($A5&lt;20,0,IF($A5&lt;=24,前提条件!$B$51,前提条件!$B$52)*前提条件!$B$50)</f>
        <v/>
      </c>
      <c r="S5" s="16">
        <f>SUM($N5:$R5)</f>
        <v/>
      </c>
      <c r="T5" s="16">
        <f>IF($A5&lt;=6,前提条件!$B$54,IF($A5&lt;=18,前提条件!$B$55,前提条件!$B$56))</f>
        <v/>
      </c>
      <c r="U5" s="16">
        <f>IF($A5&lt;=12,前提条件!$B$57,前提条件!$B$58)</f>
        <v/>
      </c>
      <c r="V5" s="16">
        <f>前提条件!$B$59</f>
        <v/>
      </c>
      <c r="W5" s="16">
        <f>IF($A5&lt;=6,0,IF($A5&lt;=12,前提条件!$B$60,IF($A5&lt;=24,前提条件!$B$61,前提条件!$B$62)))</f>
        <v/>
      </c>
      <c r="X5" s="16">
        <f>IF($A5&lt;5,0,IF($A5&lt;=12,前提条件!$B$63,IF($A5&lt;=24,前提条件!$B$64,前提条件!$B$65)))</f>
        <v/>
      </c>
      <c r="Y5" s="16">
        <f>IF($A5&lt;=12,0,IF($A5&lt;=18,前提条件!$B$66,IF($A5&lt;=24,前提条件!$B$67,前提条件!$B$68)))</f>
        <v/>
      </c>
      <c r="Z5" s="16">
        <f>ROUND(($N5+$Q5)*前提条件!$B$69,0)</f>
        <v/>
      </c>
      <c r="AA5" s="16">
        <f>IF($A5=1,前提条件!$B$70,0)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IF($A6&lt;=3,前提条件!$B$21,IF($A6&lt;=6,前提条件!$B$22,IF($A6&lt;=12,前提条件!$B$23,IF($A6&lt;=24,前提条件!$B$24,前提条件!$B$25))))</f>
        <v/>
      </c>
      <c r="D6" s="16">
        <f>$D5+$C6</f>
        <v/>
      </c>
      <c r="E6" s="16">
        <f>ROUND($C6*前提条件!$B$27,0)</f>
        <v/>
      </c>
      <c r="F6" s="16">
        <f>IF($X6=0,0,ROUND($X6/前提条件!$B$28,0))</f>
        <v/>
      </c>
      <c r="G6" s="16">
        <f>$E6+$F6</f>
        <v/>
      </c>
      <c r="H6" s="16">
        <f>ROUND($I5*前提条件!$B$29,0)</f>
        <v/>
      </c>
      <c r="I6" s="16">
        <f>$I5+$G6-$H6</f>
        <v/>
      </c>
      <c r="J6" s="16">
        <f>IF($A6&lt;前提条件!$B$37,0,ROUND($G6*前提条件!$B$33+$I5*前提条件!$B$34,0))</f>
        <v/>
      </c>
      <c r="K6" s="16">
        <f>IF(OR($A6=5,$A6=11,$A6=15,$A6=22,$A6=30),ROUND($I5*前提条件!$B$35,0),0)</f>
        <v/>
      </c>
      <c r="L6" s="16">
        <f>$J6+$K6</f>
        <v/>
      </c>
      <c r="M6" s="16">
        <f>IF($A6&lt;=12,前提条件!$B$31,前提条件!$B$32)*前提条件!$B$19</f>
        <v/>
      </c>
      <c r="N6" s="16">
        <f>ROUND($L6*$M6*(1-前提条件!$B$36),0)</f>
        <v/>
      </c>
      <c r="O6" s="16">
        <f>ROUND($D6*前提条件!$B$39,0)</f>
        <v/>
      </c>
      <c r="P6" s="16">
        <f>ROUND(IF($A6&lt;10,0,IF($A6&lt;=12,前提条件!$B$42,IF($A6&lt;=18,前提条件!$B$43,IF($A6&lt;=24,前提条件!$B$44,前提条件!$B$45))))*前提条件!$B$41,0)</f>
        <v/>
      </c>
      <c r="Q6" s="16">
        <f>IF($A6&lt;15,0,ROUND($G6*前提条件!$B$48*前提条件!$B$47*前提条件!$B$19,0))</f>
        <v/>
      </c>
      <c r="R6" s="16">
        <f>IF($A6&lt;20,0,IF($A6&lt;=24,前提条件!$B$51,前提条件!$B$52)*前提条件!$B$50)</f>
        <v/>
      </c>
      <c r="S6" s="16">
        <f>SUM($N6:$R6)</f>
        <v/>
      </c>
      <c r="T6" s="16">
        <f>IF($A6&lt;=6,前提条件!$B$54,IF($A6&lt;=18,前提条件!$B$55,前提条件!$B$56))</f>
        <v/>
      </c>
      <c r="U6" s="16">
        <f>IF($A6&lt;=12,前提条件!$B$57,前提条件!$B$58)</f>
        <v/>
      </c>
      <c r="V6" s="16">
        <f>前提条件!$B$59</f>
        <v/>
      </c>
      <c r="W6" s="16">
        <f>IF($A6&lt;=6,0,IF($A6&lt;=12,前提条件!$B$60,IF($A6&lt;=24,前提条件!$B$61,前提条件!$B$62)))</f>
        <v/>
      </c>
      <c r="X6" s="16">
        <f>IF($A6&lt;5,0,IF($A6&lt;=12,前提条件!$B$63,IF($A6&lt;=24,前提条件!$B$64,前提条件!$B$65)))</f>
        <v/>
      </c>
      <c r="Y6" s="16">
        <f>IF($A6&lt;=12,0,IF($A6&lt;=18,前提条件!$B$66,IF($A6&lt;=24,前提条件!$B$67,前提条件!$B$68)))</f>
        <v/>
      </c>
      <c r="Z6" s="16">
        <f>ROUND(($N6+$Q6)*前提条件!$B$69,0)</f>
        <v/>
      </c>
      <c r="AA6" s="16">
        <f>IF($A6=1,前提条件!$B$70,0)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IF($A7&lt;=3,前提条件!$B$21,IF($A7&lt;=6,前提条件!$B$22,IF($A7&lt;=12,前提条件!$B$23,IF($A7&lt;=24,前提条件!$B$24,前提条件!$B$25))))</f>
        <v/>
      </c>
      <c r="D7" s="16">
        <f>$D6+$C7</f>
        <v/>
      </c>
      <c r="E7" s="16">
        <f>ROUND($C7*前提条件!$B$27,0)</f>
        <v/>
      </c>
      <c r="F7" s="16">
        <f>IF($X7=0,0,ROUND($X7/前提条件!$B$28,0))</f>
        <v/>
      </c>
      <c r="G7" s="16">
        <f>$E7+$F7</f>
        <v/>
      </c>
      <c r="H7" s="16">
        <f>ROUND($I6*前提条件!$B$29,0)</f>
        <v/>
      </c>
      <c r="I7" s="16">
        <f>$I6+$G7-$H7</f>
        <v/>
      </c>
      <c r="J7" s="16">
        <f>IF($A7&lt;前提条件!$B$37,0,ROUND($G7*前提条件!$B$33+$I6*前提条件!$B$34,0))</f>
        <v/>
      </c>
      <c r="K7" s="16">
        <f>IF(OR($A7=5,$A7=11,$A7=15,$A7=22,$A7=30),ROUND($I6*前提条件!$B$35,0),0)</f>
        <v/>
      </c>
      <c r="L7" s="16">
        <f>$J7+$K7</f>
        <v/>
      </c>
      <c r="M7" s="16">
        <f>IF($A7&lt;=12,前提条件!$B$31,前提条件!$B$32)*前提条件!$B$19</f>
        <v/>
      </c>
      <c r="N7" s="16">
        <f>ROUND($L7*$M7*(1-前提条件!$B$36),0)</f>
        <v/>
      </c>
      <c r="O7" s="16">
        <f>ROUND($D7*前提条件!$B$39,0)</f>
        <v/>
      </c>
      <c r="P7" s="16">
        <f>ROUND(IF($A7&lt;10,0,IF($A7&lt;=12,前提条件!$B$42,IF($A7&lt;=18,前提条件!$B$43,IF($A7&lt;=24,前提条件!$B$44,前提条件!$B$45))))*前提条件!$B$41,0)</f>
        <v/>
      </c>
      <c r="Q7" s="16">
        <f>IF($A7&lt;15,0,ROUND($G7*前提条件!$B$48*前提条件!$B$47*前提条件!$B$19,0))</f>
        <v/>
      </c>
      <c r="R7" s="16">
        <f>IF($A7&lt;20,0,IF($A7&lt;=24,前提条件!$B$51,前提条件!$B$52)*前提条件!$B$50)</f>
        <v/>
      </c>
      <c r="S7" s="16">
        <f>SUM($N7:$R7)</f>
        <v/>
      </c>
      <c r="T7" s="16">
        <f>IF($A7&lt;=6,前提条件!$B$54,IF($A7&lt;=18,前提条件!$B$55,前提条件!$B$56))</f>
        <v/>
      </c>
      <c r="U7" s="16">
        <f>IF($A7&lt;=12,前提条件!$B$57,前提条件!$B$58)</f>
        <v/>
      </c>
      <c r="V7" s="16">
        <f>前提条件!$B$59</f>
        <v/>
      </c>
      <c r="W7" s="16">
        <f>IF($A7&lt;=6,0,IF($A7&lt;=12,前提条件!$B$60,IF($A7&lt;=24,前提条件!$B$61,前提条件!$B$62)))</f>
        <v/>
      </c>
      <c r="X7" s="16">
        <f>IF($A7&lt;5,0,IF($A7&lt;=12,前提条件!$B$63,IF($A7&lt;=24,前提条件!$B$64,前提条件!$B$65)))</f>
        <v/>
      </c>
      <c r="Y7" s="16">
        <f>IF($A7&lt;=12,0,IF($A7&lt;=18,前提条件!$B$66,IF($A7&lt;=24,前提条件!$B$67,前提条件!$B$68)))</f>
        <v/>
      </c>
      <c r="Z7" s="16">
        <f>ROUND(($N7+$Q7)*前提条件!$B$69,0)</f>
        <v/>
      </c>
      <c r="AA7" s="16">
        <f>IF($A7=1,前提条件!$B$70,0)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IF($A8&lt;=3,前提条件!$B$21,IF($A8&lt;=6,前提条件!$B$22,IF($A8&lt;=12,前提条件!$B$23,IF($A8&lt;=24,前提条件!$B$24,前提条件!$B$25))))</f>
        <v/>
      </c>
      <c r="D8" s="16">
        <f>$D7+$C8</f>
        <v/>
      </c>
      <c r="E8" s="16">
        <f>ROUND($C8*前提条件!$B$27,0)</f>
        <v/>
      </c>
      <c r="F8" s="16">
        <f>IF($X8=0,0,ROUND($X8/前提条件!$B$28,0))</f>
        <v/>
      </c>
      <c r="G8" s="16">
        <f>$E8+$F8</f>
        <v/>
      </c>
      <c r="H8" s="16">
        <f>ROUND($I7*前提条件!$B$29,0)</f>
        <v/>
      </c>
      <c r="I8" s="16">
        <f>$I7+$G8-$H8</f>
        <v/>
      </c>
      <c r="J8" s="16">
        <f>IF($A8&lt;前提条件!$B$37,0,ROUND($G8*前提条件!$B$33+$I7*前提条件!$B$34,0))</f>
        <v/>
      </c>
      <c r="K8" s="16">
        <f>IF(OR($A8=5,$A8=11,$A8=15,$A8=22,$A8=30),ROUND($I7*前提条件!$B$35,0),0)</f>
        <v/>
      </c>
      <c r="L8" s="16">
        <f>$J8+$K8</f>
        <v/>
      </c>
      <c r="M8" s="16">
        <f>IF($A8&lt;=12,前提条件!$B$31,前提条件!$B$32)*前提条件!$B$19</f>
        <v/>
      </c>
      <c r="N8" s="16">
        <f>ROUND($L8*$M8*(1-前提条件!$B$36),0)</f>
        <v/>
      </c>
      <c r="O8" s="16">
        <f>ROUND($D8*前提条件!$B$39,0)</f>
        <v/>
      </c>
      <c r="P8" s="16">
        <f>ROUND(IF($A8&lt;10,0,IF($A8&lt;=12,前提条件!$B$42,IF($A8&lt;=18,前提条件!$B$43,IF($A8&lt;=24,前提条件!$B$44,前提条件!$B$45))))*前提条件!$B$41,0)</f>
        <v/>
      </c>
      <c r="Q8" s="16">
        <f>IF($A8&lt;15,0,ROUND($G8*前提条件!$B$48*前提条件!$B$47*前提条件!$B$19,0))</f>
        <v/>
      </c>
      <c r="R8" s="16">
        <f>IF($A8&lt;20,0,IF($A8&lt;=24,前提条件!$B$51,前提条件!$B$52)*前提条件!$B$50)</f>
        <v/>
      </c>
      <c r="S8" s="16">
        <f>SUM($N8:$R8)</f>
        <v/>
      </c>
      <c r="T8" s="16">
        <f>IF($A8&lt;=6,前提条件!$B$54,IF($A8&lt;=18,前提条件!$B$55,前提条件!$B$56))</f>
        <v/>
      </c>
      <c r="U8" s="16">
        <f>IF($A8&lt;=12,前提条件!$B$57,前提条件!$B$58)</f>
        <v/>
      </c>
      <c r="V8" s="16">
        <f>前提条件!$B$59</f>
        <v/>
      </c>
      <c r="W8" s="16">
        <f>IF($A8&lt;=6,0,IF($A8&lt;=12,前提条件!$B$60,IF($A8&lt;=24,前提条件!$B$61,前提条件!$B$62)))</f>
        <v/>
      </c>
      <c r="X8" s="16">
        <f>IF($A8&lt;5,0,IF($A8&lt;=12,前提条件!$B$63,IF($A8&lt;=24,前提条件!$B$64,前提条件!$B$65)))</f>
        <v/>
      </c>
      <c r="Y8" s="16">
        <f>IF($A8&lt;=12,0,IF($A8&lt;=18,前提条件!$B$66,IF($A8&lt;=24,前提条件!$B$67,前提条件!$B$68)))</f>
        <v/>
      </c>
      <c r="Z8" s="16">
        <f>ROUND(($N8+$Q8)*前提条件!$B$69,0)</f>
        <v/>
      </c>
      <c r="AA8" s="16">
        <f>IF($A8=1,前提条件!$B$70,0)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IF($A9&lt;=3,前提条件!$B$21,IF($A9&lt;=6,前提条件!$B$22,IF($A9&lt;=12,前提条件!$B$23,IF($A9&lt;=24,前提条件!$B$24,前提条件!$B$25))))</f>
        <v/>
      </c>
      <c r="D9" s="16">
        <f>$D8+$C9</f>
        <v/>
      </c>
      <c r="E9" s="16">
        <f>ROUND($C9*前提条件!$B$27,0)</f>
        <v/>
      </c>
      <c r="F9" s="16">
        <f>IF($X9=0,0,ROUND($X9/前提条件!$B$28,0))</f>
        <v/>
      </c>
      <c r="G9" s="16">
        <f>$E9+$F9</f>
        <v/>
      </c>
      <c r="H9" s="16">
        <f>ROUND($I8*前提条件!$B$29,0)</f>
        <v/>
      </c>
      <c r="I9" s="16">
        <f>$I8+$G9-$H9</f>
        <v/>
      </c>
      <c r="J9" s="16">
        <f>IF($A9&lt;前提条件!$B$37,0,ROUND($G9*前提条件!$B$33+$I8*前提条件!$B$34,0))</f>
        <v/>
      </c>
      <c r="K9" s="16">
        <f>IF(OR($A9=5,$A9=11,$A9=15,$A9=22,$A9=30),ROUND($I8*前提条件!$B$35,0),0)</f>
        <v/>
      </c>
      <c r="L9" s="16">
        <f>$J9+$K9</f>
        <v/>
      </c>
      <c r="M9" s="16">
        <f>IF($A9&lt;=12,前提条件!$B$31,前提条件!$B$32)*前提条件!$B$19</f>
        <v/>
      </c>
      <c r="N9" s="16">
        <f>ROUND($L9*$M9*(1-前提条件!$B$36),0)</f>
        <v/>
      </c>
      <c r="O9" s="16">
        <f>ROUND($D9*前提条件!$B$39,0)</f>
        <v/>
      </c>
      <c r="P9" s="16">
        <f>ROUND(IF($A9&lt;10,0,IF($A9&lt;=12,前提条件!$B$42,IF($A9&lt;=18,前提条件!$B$43,IF($A9&lt;=24,前提条件!$B$44,前提条件!$B$45))))*前提条件!$B$41,0)</f>
        <v/>
      </c>
      <c r="Q9" s="16">
        <f>IF($A9&lt;15,0,ROUND($G9*前提条件!$B$48*前提条件!$B$47*前提条件!$B$19,0))</f>
        <v/>
      </c>
      <c r="R9" s="16">
        <f>IF($A9&lt;20,0,IF($A9&lt;=24,前提条件!$B$51,前提条件!$B$52)*前提条件!$B$50)</f>
        <v/>
      </c>
      <c r="S9" s="16">
        <f>SUM($N9:$R9)</f>
        <v/>
      </c>
      <c r="T9" s="16">
        <f>IF($A9&lt;=6,前提条件!$B$54,IF($A9&lt;=18,前提条件!$B$55,前提条件!$B$56))</f>
        <v/>
      </c>
      <c r="U9" s="16">
        <f>IF($A9&lt;=12,前提条件!$B$57,前提条件!$B$58)</f>
        <v/>
      </c>
      <c r="V9" s="16">
        <f>前提条件!$B$59</f>
        <v/>
      </c>
      <c r="W9" s="16">
        <f>IF($A9&lt;=6,0,IF($A9&lt;=12,前提条件!$B$60,IF($A9&lt;=24,前提条件!$B$61,前提条件!$B$62)))</f>
        <v/>
      </c>
      <c r="X9" s="16">
        <f>IF($A9&lt;5,0,IF($A9&lt;=12,前提条件!$B$63,IF($A9&lt;=24,前提条件!$B$64,前提条件!$B$65)))</f>
        <v/>
      </c>
      <c r="Y9" s="16">
        <f>IF($A9&lt;=12,0,IF($A9&lt;=18,前提条件!$B$66,IF($A9&lt;=24,前提条件!$B$67,前提条件!$B$68)))</f>
        <v/>
      </c>
      <c r="Z9" s="16">
        <f>ROUND(($N9+$Q9)*前提条件!$B$69,0)</f>
        <v/>
      </c>
      <c r="AA9" s="16">
        <f>IF($A9=1,前提条件!$B$70,0)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IF($A10&lt;=3,前提条件!$B$21,IF($A10&lt;=6,前提条件!$B$22,IF($A10&lt;=12,前提条件!$B$23,IF($A10&lt;=24,前提条件!$B$24,前提条件!$B$25))))</f>
        <v/>
      </c>
      <c r="D10" s="16">
        <f>$D9+$C10</f>
        <v/>
      </c>
      <c r="E10" s="16">
        <f>ROUND($C10*前提条件!$B$27,0)</f>
        <v/>
      </c>
      <c r="F10" s="16">
        <f>IF($X10=0,0,ROUND($X10/前提条件!$B$28,0))</f>
        <v/>
      </c>
      <c r="G10" s="16">
        <f>$E10+$F10</f>
        <v/>
      </c>
      <c r="H10" s="16">
        <f>ROUND($I9*前提条件!$B$29,0)</f>
        <v/>
      </c>
      <c r="I10" s="16">
        <f>$I9+$G10-$H10</f>
        <v/>
      </c>
      <c r="J10" s="16">
        <f>IF($A10&lt;前提条件!$B$37,0,ROUND($G10*前提条件!$B$33+$I9*前提条件!$B$34,0))</f>
        <v/>
      </c>
      <c r="K10" s="16">
        <f>IF(OR($A10=5,$A10=11,$A10=15,$A10=22,$A10=30),ROUND($I9*前提条件!$B$35,0),0)</f>
        <v/>
      </c>
      <c r="L10" s="16">
        <f>$J10+$K10</f>
        <v/>
      </c>
      <c r="M10" s="16">
        <f>IF($A10&lt;=12,前提条件!$B$31,前提条件!$B$32)*前提条件!$B$19</f>
        <v/>
      </c>
      <c r="N10" s="16">
        <f>ROUND($L10*$M10*(1-前提条件!$B$36),0)</f>
        <v/>
      </c>
      <c r="O10" s="16">
        <f>ROUND($D10*前提条件!$B$39,0)</f>
        <v/>
      </c>
      <c r="P10" s="16">
        <f>ROUND(IF($A10&lt;10,0,IF($A10&lt;=12,前提条件!$B$42,IF($A10&lt;=18,前提条件!$B$43,IF($A10&lt;=24,前提条件!$B$44,前提条件!$B$45))))*前提条件!$B$41,0)</f>
        <v/>
      </c>
      <c r="Q10" s="16">
        <f>IF($A10&lt;15,0,ROUND($G10*前提条件!$B$48*前提条件!$B$47*前提条件!$B$19,0))</f>
        <v/>
      </c>
      <c r="R10" s="16">
        <f>IF($A10&lt;20,0,IF($A10&lt;=24,前提条件!$B$51,前提条件!$B$52)*前提条件!$B$50)</f>
        <v/>
      </c>
      <c r="S10" s="16">
        <f>SUM($N10:$R10)</f>
        <v/>
      </c>
      <c r="T10" s="16">
        <f>IF($A10&lt;=6,前提条件!$B$54,IF($A10&lt;=18,前提条件!$B$55,前提条件!$B$56))</f>
        <v/>
      </c>
      <c r="U10" s="16">
        <f>IF($A10&lt;=12,前提条件!$B$57,前提条件!$B$58)</f>
        <v/>
      </c>
      <c r="V10" s="16">
        <f>前提条件!$B$59</f>
        <v/>
      </c>
      <c r="W10" s="16">
        <f>IF($A10&lt;=6,0,IF($A10&lt;=12,前提条件!$B$60,IF($A10&lt;=24,前提条件!$B$61,前提条件!$B$62)))</f>
        <v/>
      </c>
      <c r="X10" s="16">
        <f>IF($A10&lt;5,0,IF($A10&lt;=12,前提条件!$B$63,IF($A10&lt;=24,前提条件!$B$64,前提条件!$B$65)))</f>
        <v/>
      </c>
      <c r="Y10" s="16">
        <f>IF($A10&lt;=12,0,IF($A10&lt;=18,前提条件!$B$66,IF($A10&lt;=24,前提条件!$B$67,前提条件!$B$68)))</f>
        <v/>
      </c>
      <c r="Z10" s="16">
        <f>ROUND(($N10+$Q10)*前提条件!$B$69,0)</f>
        <v/>
      </c>
      <c r="AA10" s="16">
        <f>IF($A10=1,前提条件!$B$70,0)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IF($A11&lt;=3,前提条件!$B$21,IF($A11&lt;=6,前提条件!$B$22,IF($A11&lt;=12,前提条件!$B$23,IF($A11&lt;=24,前提条件!$B$24,前提条件!$B$25))))</f>
        <v/>
      </c>
      <c r="D11" s="16">
        <f>$D10+$C11</f>
        <v/>
      </c>
      <c r="E11" s="16">
        <f>ROUND($C11*前提条件!$B$27,0)</f>
        <v/>
      </c>
      <c r="F11" s="16">
        <f>IF($X11=0,0,ROUND($X11/前提条件!$B$28,0))</f>
        <v/>
      </c>
      <c r="G11" s="16">
        <f>$E11+$F11</f>
        <v/>
      </c>
      <c r="H11" s="16">
        <f>ROUND($I10*前提条件!$B$29,0)</f>
        <v/>
      </c>
      <c r="I11" s="16">
        <f>$I10+$G11-$H11</f>
        <v/>
      </c>
      <c r="J11" s="16">
        <f>IF($A11&lt;前提条件!$B$37,0,ROUND($G11*前提条件!$B$33+$I10*前提条件!$B$34,0))</f>
        <v/>
      </c>
      <c r="K11" s="16">
        <f>IF(OR($A11=5,$A11=11,$A11=15,$A11=22,$A11=30),ROUND($I10*前提条件!$B$35,0),0)</f>
        <v/>
      </c>
      <c r="L11" s="16">
        <f>$J11+$K11</f>
        <v/>
      </c>
      <c r="M11" s="16">
        <f>IF($A11&lt;=12,前提条件!$B$31,前提条件!$B$32)*前提条件!$B$19</f>
        <v/>
      </c>
      <c r="N11" s="16">
        <f>ROUND($L11*$M11*(1-前提条件!$B$36),0)</f>
        <v/>
      </c>
      <c r="O11" s="16">
        <f>ROUND($D11*前提条件!$B$39,0)</f>
        <v/>
      </c>
      <c r="P11" s="16">
        <f>ROUND(IF($A11&lt;10,0,IF($A11&lt;=12,前提条件!$B$42,IF($A11&lt;=18,前提条件!$B$43,IF($A11&lt;=24,前提条件!$B$44,前提条件!$B$45))))*前提条件!$B$41,0)</f>
        <v/>
      </c>
      <c r="Q11" s="16">
        <f>IF($A11&lt;15,0,ROUND($G11*前提条件!$B$48*前提条件!$B$47*前提条件!$B$19,0))</f>
        <v/>
      </c>
      <c r="R11" s="16">
        <f>IF($A11&lt;20,0,IF($A11&lt;=24,前提条件!$B$51,前提条件!$B$52)*前提条件!$B$50)</f>
        <v/>
      </c>
      <c r="S11" s="16">
        <f>SUM($N11:$R11)</f>
        <v/>
      </c>
      <c r="T11" s="16">
        <f>IF($A11&lt;=6,前提条件!$B$54,IF($A11&lt;=18,前提条件!$B$55,前提条件!$B$56))</f>
        <v/>
      </c>
      <c r="U11" s="16">
        <f>IF($A11&lt;=12,前提条件!$B$57,前提条件!$B$58)</f>
        <v/>
      </c>
      <c r="V11" s="16">
        <f>前提条件!$B$59</f>
        <v/>
      </c>
      <c r="W11" s="16">
        <f>IF($A11&lt;=6,0,IF($A11&lt;=12,前提条件!$B$60,IF($A11&lt;=24,前提条件!$B$61,前提条件!$B$62)))</f>
        <v/>
      </c>
      <c r="X11" s="16">
        <f>IF($A11&lt;5,0,IF($A11&lt;=12,前提条件!$B$63,IF($A11&lt;=24,前提条件!$B$64,前提条件!$B$65)))</f>
        <v/>
      </c>
      <c r="Y11" s="16">
        <f>IF($A11&lt;=12,0,IF($A11&lt;=18,前提条件!$B$66,IF($A11&lt;=24,前提条件!$B$67,前提条件!$B$68)))</f>
        <v/>
      </c>
      <c r="Z11" s="16">
        <f>ROUND(($N11+$Q11)*前提条件!$B$69,0)</f>
        <v/>
      </c>
      <c r="AA11" s="16">
        <f>IF($A11=1,前提条件!$B$70,0)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IF($A12&lt;=3,前提条件!$B$21,IF($A12&lt;=6,前提条件!$B$22,IF($A12&lt;=12,前提条件!$B$23,IF($A12&lt;=24,前提条件!$B$24,前提条件!$B$25))))</f>
        <v/>
      </c>
      <c r="D12" s="16">
        <f>$D11+$C12</f>
        <v/>
      </c>
      <c r="E12" s="16">
        <f>ROUND($C12*前提条件!$B$27,0)</f>
        <v/>
      </c>
      <c r="F12" s="16">
        <f>IF($X12=0,0,ROUND($X12/前提条件!$B$28,0))</f>
        <v/>
      </c>
      <c r="G12" s="16">
        <f>$E12+$F12</f>
        <v/>
      </c>
      <c r="H12" s="16">
        <f>ROUND($I11*前提条件!$B$29,0)</f>
        <v/>
      </c>
      <c r="I12" s="16">
        <f>$I11+$G12-$H12</f>
        <v/>
      </c>
      <c r="J12" s="16">
        <f>IF($A12&lt;前提条件!$B$37,0,ROUND($G12*前提条件!$B$33+$I11*前提条件!$B$34,0))</f>
        <v/>
      </c>
      <c r="K12" s="16">
        <f>IF(OR($A12=5,$A12=11,$A12=15,$A12=22,$A12=30),ROUND($I11*前提条件!$B$35,0),0)</f>
        <v/>
      </c>
      <c r="L12" s="16">
        <f>$J12+$K12</f>
        <v/>
      </c>
      <c r="M12" s="16">
        <f>IF($A12&lt;=12,前提条件!$B$31,前提条件!$B$32)*前提条件!$B$19</f>
        <v/>
      </c>
      <c r="N12" s="16">
        <f>ROUND($L12*$M12*(1-前提条件!$B$36),0)</f>
        <v/>
      </c>
      <c r="O12" s="16">
        <f>ROUND($D12*前提条件!$B$39,0)</f>
        <v/>
      </c>
      <c r="P12" s="16">
        <f>ROUND(IF($A12&lt;10,0,IF($A12&lt;=12,前提条件!$B$42,IF($A12&lt;=18,前提条件!$B$43,IF($A12&lt;=24,前提条件!$B$44,前提条件!$B$45))))*前提条件!$B$41,0)</f>
        <v/>
      </c>
      <c r="Q12" s="16">
        <f>IF($A12&lt;15,0,ROUND($G12*前提条件!$B$48*前提条件!$B$47*前提条件!$B$19,0))</f>
        <v/>
      </c>
      <c r="R12" s="16">
        <f>IF($A12&lt;20,0,IF($A12&lt;=24,前提条件!$B$51,前提条件!$B$52)*前提条件!$B$50)</f>
        <v/>
      </c>
      <c r="S12" s="16">
        <f>SUM($N12:$R12)</f>
        <v/>
      </c>
      <c r="T12" s="16">
        <f>IF($A12&lt;=6,前提条件!$B$54,IF($A12&lt;=18,前提条件!$B$55,前提条件!$B$56))</f>
        <v/>
      </c>
      <c r="U12" s="16">
        <f>IF($A12&lt;=12,前提条件!$B$57,前提条件!$B$58)</f>
        <v/>
      </c>
      <c r="V12" s="16">
        <f>前提条件!$B$59</f>
        <v/>
      </c>
      <c r="W12" s="16">
        <f>IF($A12&lt;=6,0,IF($A12&lt;=12,前提条件!$B$60,IF($A12&lt;=24,前提条件!$B$61,前提条件!$B$62)))</f>
        <v/>
      </c>
      <c r="X12" s="16">
        <f>IF($A12&lt;5,0,IF($A12&lt;=12,前提条件!$B$63,IF($A12&lt;=24,前提条件!$B$64,前提条件!$B$65)))</f>
        <v/>
      </c>
      <c r="Y12" s="16">
        <f>IF($A12&lt;=12,0,IF($A12&lt;=18,前提条件!$B$66,IF($A12&lt;=24,前提条件!$B$67,前提条件!$B$68)))</f>
        <v/>
      </c>
      <c r="Z12" s="16">
        <f>ROUND(($N12+$Q12)*前提条件!$B$69,0)</f>
        <v/>
      </c>
      <c r="AA12" s="16">
        <f>IF($A12=1,前提条件!$B$70,0)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IF($A13&lt;=3,前提条件!$B$21,IF($A13&lt;=6,前提条件!$B$22,IF($A13&lt;=12,前提条件!$B$23,IF($A13&lt;=24,前提条件!$B$24,前提条件!$B$25))))</f>
        <v/>
      </c>
      <c r="D13" s="16">
        <f>$D12+$C13</f>
        <v/>
      </c>
      <c r="E13" s="16">
        <f>ROUND($C13*前提条件!$B$27,0)</f>
        <v/>
      </c>
      <c r="F13" s="16">
        <f>IF($X13=0,0,ROUND($X13/前提条件!$B$28,0))</f>
        <v/>
      </c>
      <c r="G13" s="16">
        <f>$E13+$F13</f>
        <v/>
      </c>
      <c r="H13" s="16">
        <f>ROUND($I12*前提条件!$B$29,0)</f>
        <v/>
      </c>
      <c r="I13" s="16">
        <f>$I12+$G13-$H13</f>
        <v/>
      </c>
      <c r="J13" s="16">
        <f>IF($A13&lt;前提条件!$B$37,0,ROUND($G13*前提条件!$B$33+$I12*前提条件!$B$34,0))</f>
        <v/>
      </c>
      <c r="K13" s="16">
        <f>IF(OR($A13=5,$A13=11,$A13=15,$A13=22,$A13=30),ROUND($I12*前提条件!$B$35,0),0)</f>
        <v/>
      </c>
      <c r="L13" s="16">
        <f>$J13+$K13</f>
        <v/>
      </c>
      <c r="M13" s="16">
        <f>IF($A13&lt;=12,前提条件!$B$31,前提条件!$B$32)*前提条件!$B$19</f>
        <v/>
      </c>
      <c r="N13" s="16">
        <f>ROUND($L13*$M13*(1-前提条件!$B$36),0)</f>
        <v/>
      </c>
      <c r="O13" s="16">
        <f>ROUND($D13*前提条件!$B$39,0)</f>
        <v/>
      </c>
      <c r="P13" s="16">
        <f>ROUND(IF($A13&lt;10,0,IF($A13&lt;=12,前提条件!$B$42,IF($A13&lt;=18,前提条件!$B$43,IF($A13&lt;=24,前提条件!$B$44,前提条件!$B$45))))*前提条件!$B$41,0)</f>
        <v/>
      </c>
      <c r="Q13" s="16">
        <f>IF($A13&lt;15,0,ROUND($G13*前提条件!$B$48*前提条件!$B$47*前提条件!$B$19,0))</f>
        <v/>
      </c>
      <c r="R13" s="16">
        <f>IF($A13&lt;20,0,IF($A13&lt;=24,前提条件!$B$51,前提条件!$B$52)*前提条件!$B$50)</f>
        <v/>
      </c>
      <c r="S13" s="16">
        <f>SUM($N13:$R13)</f>
        <v/>
      </c>
      <c r="T13" s="16">
        <f>IF($A13&lt;=6,前提条件!$B$54,IF($A13&lt;=18,前提条件!$B$55,前提条件!$B$56))</f>
        <v/>
      </c>
      <c r="U13" s="16">
        <f>IF($A13&lt;=12,前提条件!$B$57,前提条件!$B$58)</f>
        <v/>
      </c>
      <c r="V13" s="16">
        <f>前提条件!$B$59</f>
        <v/>
      </c>
      <c r="W13" s="16">
        <f>IF($A13&lt;=6,0,IF($A13&lt;=12,前提条件!$B$60,IF($A13&lt;=24,前提条件!$B$61,前提条件!$B$62)))</f>
        <v/>
      </c>
      <c r="X13" s="16">
        <f>IF($A13&lt;5,0,IF($A13&lt;=12,前提条件!$B$63,IF($A13&lt;=24,前提条件!$B$64,前提条件!$B$65)))</f>
        <v/>
      </c>
      <c r="Y13" s="16">
        <f>IF($A13&lt;=12,0,IF($A13&lt;=18,前提条件!$B$66,IF($A13&lt;=24,前提条件!$B$67,前提条件!$B$68)))</f>
        <v/>
      </c>
      <c r="Z13" s="16">
        <f>ROUND(($N13+$Q13)*前提条件!$B$69,0)</f>
        <v/>
      </c>
      <c r="AA13" s="16">
        <f>IF($A13=1,前提条件!$B$70,0)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IF($A14&lt;=3,前提条件!$B$21,IF($A14&lt;=6,前提条件!$B$22,IF($A14&lt;=12,前提条件!$B$23,IF($A14&lt;=24,前提条件!$B$24,前提条件!$B$25))))</f>
        <v/>
      </c>
      <c r="D14" s="16">
        <f>$D13+$C14</f>
        <v/>
      </c>
      <c r="E14" s="16">
        <f>ROUND($C14*前提条件!$B$27,0)</f>
        <v/>
      </c>
      <c r="F14" s="16">
        <f>IF($X14=0,0,ROUND($X14/前提条件!$B$28,0))</f>
        <v/>
      </c>
      <c r="G14" s="16">
        <f>$E14+$F14</f>
        <v/>
      </c>
      <c r="H14" s="16">
        <f>ROUND($I13*前提条件!$B$29,0)</f>
        <v/>
      </c>
      <c r="I14" s="16">
        <f>$I13+$G14-$H14</f>
        <v/>
      </c>
      <c r="J14" s="16">
        <f>IF($A14&lt;前提条件!$B$37,0,ROUND($G14*前提条件!$B$33+$I13*前提条件!$B$34,0))</f>
        <v/>
      </c>
      <c r="K14" s="16">
        <f>IF(OR($A14=5,$A14=11,$A14=15,$A14=22,$A14=30),ROUND($I13*前提条件!$B$35,0),0)</f>
        <v/>
      </c>
      <c r="L14" s="16">
        <f>$J14+$K14</f>
        <v/>
      </c>
      <c r="M14" s="16">
        <f>IF($A14&lt;=12,前提条件!$B$31,前提条件!$B$32)*前提条件!$B$19</f>
        <v/>
      </c>
      <c r="N14" s="16">
        <f>ROUND($L14*$M14*(1-前提条件!$B$36),0)</f>
        <v/>
      </c>
      <c r="O14" s="16">
        <f>ROUND($D14*前提条件!$B$39,0)</f>
        <v/>
      </c>
      <c r="P14" s="16">
        <f>ROUND(IF($A14&lt;10,0,IF($A14&lt;=12,前提条件!$B$42,IF($A14&lt;=18,前提条件!$B$43,IF($A14&lt;=24,前提条件!$B$44,前提条件!$B$45))))*前提条件!$B$41,0)</f>
        <v/>
      </c>
      <c r="Q14" s="16">
        <f>IF($A14&lt;15,0,ROUND($G14*前提条件!$B$48*前提条件!$B$47*前提条件!$B$19,0))</f>
        <v/>
      </c>
      <c r="R14" s="16">
        <f>IF($A14&lt;20,0,IF($A14&lt;=24,前提条件!$B$51,前提条件!$B$52)*前提条件!$B$50)</f>
        <v/>
      </c>
      <c r="S14" s="16">
        <f>SUM($N14:$R14)</f>
        <v/>
      </c>
      <c r="T14" s="16">
        <f>IF($A14&lt;=6,前提条件!$B$54,IF($A14&lt;=18,前提条件!$B$55,前提条件!$B$56))</f>
        <v/>
      </c>
      <c r="U14" s="16">
        <f>IF($A14&lt;=12,前提条件!$B$57,前提条件!$B$58)</f>
        <v/>
      </c>
      <c r="V14" s="16">
        <f>前提条件!$B$59</f>
        <v/>
      </c>
      <c r="W14" s="16">
        <f>IF($A14&lt;=6,0,IF($A14&lt;=12,前提条件!$B$60,IF($A14&lt;=24,前提条件!$B$61,前提条件!$B$62)))</f>
        <v/>
      </c>
      <c r="X14" s="16">
        <f>IF($A14&lt;5,0,IF($A14&lt;=12,前提条件!$B$63,IF($A14&lt;=24,前提条件!$B$64,前提条件!$B$65)))</f>
        <v/>
      </c>
      <c r="Y14" s="16">
        <f>IF($A14&lt;=12,0,IF($A14&lt;=18,前提条件!$B$66,IF($A14&lt;=24,前提条件!$B$67,前提条件!$B$68)))</f>
        <v/>
      </c>
      <c r="Z14" s="16">
        <f>ROUND(($N14+$Q14)*前提条件!$B$69,0)</f>
        <v/>
      </c>
      <c r="AA14" s="16">
        <f>IF($A14=1,前提条件!$B$70,0)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IF($A15&lt;=3,前提条件!$B$21,IF($A15&lt;=6,前提条件!$B$22,IF($A15&lt;=12,前提条件!$B$23,IF($A15&lt;=24,前提条件!$B$24,前提条件!$B$25))))</f>
        <v/>
      </c>
      <c r="D15" s="16">
        <f>$D14+$C15</f>
        <v/>
      </c>
      <c r="E15" s="16">
        <f>ROUND($C15*前提条件!$B$27,0)</f>
        <v/>
      </c>
      <c r="F15" s="16">
        <f>IF($X15=0,0,ROUND($X15/前提条件!$B$28,0))</f>
        <v/>
      </c>
      <c r="G15" s="16">
        <f>$E15+$F15</f>
        <v/>
      </c>
      <c r="H15" s="16">
        <f>ROUND($I14*前提条件!$B$29,0)</f>
        <v/>
      </c>
      <c r="I15" s="16">
        <f>$I14+$G15-$H15</f>
        <v/>
      </c>
      <c r="J15" s="16">
        <f>IF($A15&lt;前提条件!$B$37,0,ROUND($G15*前提条件!$B$33+$I14*前提条件!$B$34,0))</f>
        <v/>
      </c>
      <c r="K15" s="16">
        <f>IF(OR($A15=5,$A15=11,$A15=15,$A15=22,$A15=30),ROUND($I14*前提条件!$B$35,0),0)</f>
        <v/>
      </c>
      <c r="L15" s="16">
        <f>$J15+$K15</f>
        <v/>
      </c>
      <c r="M15" s="16">
        <f>IF($A15&lt;=12,前提条件!$B$31,前提条件!$B$32)*前提条件!$B$19</f>
        <v/>
      </c>
      <c r="N15" s="16">
        <f>ROUND($L15*$M15*(1-前提条件!$B$36),0)</f>
        <v/>
      </c>
      <c r="O15" s="16">
        <f>ROUND($D15*前提条件!$B$39,0)</f>
        <v/>
      </c>
      <c r="P15" s="16">
        <f>ROUND(IF($A15&lt;10,0,IF($A15&lt;=12,前提条件!$B$42,IF($A15&lt;=18,前提条件!$B$43,IF($A15&lt;=24,前提条件!$B$44,前提条件!$B$45))))*前提条件!$B$41,0)</f>
        <v/>
      </c>
      <c r="Q15" s="16">
        <f>IF($A15&lt;15,0,ROUND($G15*前提条件!$B$48*前提条件!$B$47*前提条件!$B$19,0))</f>
        <v/>
      </c>
      <c r="R15" s="16">
        <f>IF($A15&lt;20,0,IF($A15&lt;=24,前提条件!$B$51,前提条件!$B$52)*前提条件!$B$50)</f>
        <v/>
      </c>
      <c r="S15" s="16">
        <f>SUM($N15:$R15)</f>
        <v/>
      </c>
      <c r="T15" s="16">
        <f>IF($A15&lt;=6,前提条件!$B$54,IF($A15&lt;=18,前提条件!$B$55,前提条件!$B$56))</f>
        <v/>
      </c>
      <c r="U15" s="16">
        <f>IF($A15&lt;=12,前提条件!$B$57,前提条件!$B$58)</f>
        <v/>
      </c>
      <c r="V15" s="16">
        <f>前提条件!$B$59</f>
        <v/>
      </c>
      <c r="W15" s="16">
        <f>IF($A15&lt;=6,0,IF($A15&lt;=12,前提条件!$B$60,IF($A15&lt;=24,前提条件!$B$61,前提条件!$B$62)))</f>
        <v/>
      </c>
      <c r="X15" s="16">
        <f>IF($A15&lt;5,0,IF($A15&lt;=12,前提条件!$B$63,IF($A15&lt;=24,前提条件!$B$64,前提条件!$B$65)))</f>
        <v/>
      </c>
      <c r="Y15" s="16">
        <f>IF($A15&lt;=12,0,IF($A15&lt;=18,前提条件!$B$66,IF($A15&lt;=24,前提条件!$B$67,前提条件!$B$68)))</f>
        <v/>
      </c>
      <c r="Z15" s="16">
        <f>ROUND(($N15+$Q15)*前提条件!$B$69,0)</f>
        <v/>
      </c>
      <c r="AA15" s="16">
        <f>IF($A15=1,前提条件!$B$70,0)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IF($A16&lt;=3,前提条件!$B$21,IF($A16&lt;=6,前提条件!$B$22,IF($A16&lt;=12,前提条件!$B$23,IF($A16&lt;=24,前提条件!$B$24,前提条件!$B$25))))</f>
        <v/>
      </c>
      <c r="D16" s="18">
        <f>$D15+$C16</f>
        <v/>
      </c>
      <c r="E16" s="18">
        <f>ROUND($C16*前提条件!$B$27,0)</f>
        <v/>
      </c>
      <c r="F16" s="18">
        <f>IF($X16=0,0,ROUND($X16/前提条件!$B$28,0))</f>
        <v/>
      </c>
      <c r="G16" s="18">
        <f>$E16+$F16</f>
        <v/>
      </c>
      <c r="H16" s="18">
        <f>ROUND($I15*前提条件!$B$29,0)</f>
        <v/>
      </c>
      <c r="I16" s="18">
        <f>$I15+$G16-$H16</f>
        <v/>
      </c>
      <c r="J16" s="18">
        <f>IF($A16&lt;前提条件!$B$37,0,ROUND($G16*前提条件!$B$33+$I15*前提条件!$B$34,0))</f>
        <v/>
      </c>
      <c r="K16" s="18">
        <f>IF(OR($A16=5,$A16=11,$A16=15,$A16=22,$A16=30),ROUND($I15*前提条件!$B$35,0),0)</f>
        <v/>
      </c>
      <c r="L16" s="18">
        <f>$J16+$K16</f>
        <v/>
      </c>
      <c r="M16" s="18">
        <f>IF($A16&lt;=12,前提条件!$B$31,前提条件!$B$32)*前提条件!$B$19</f>
        <v/>
      </c>
      <c r="N16" s="18">
        <f>ROUND($L16*$M16*(1-前提条件!$B$36),0)</f>
        <v/>
      </c>
      <c r="O16" s="18">
        <f>ROUND($D16*前提条件!$B$39,0)</f>
        <v/>
      </c>
      <c r="P16" s="18">
        <f>ROUND(IF($A16&lt;10,0,IF($A16&lt;=12,前提条件!$B$42,IF($A16&lt;=18,前提条件!$B$43,IF($A16&lt;=24,前提条件!$B$44,前提条件!$B$45))))*前提条件!$B$41,0)</f>
        <v/>
      </c>
      <c r="Q16" s="18">
        <f>IF($A16&lt;15,0,ROUND($G16*前提条件!$B$48*前提条件!$B$47*前提条件!$B$19,0))</f>
        <v/>
      </c>
      <c r="R16" s="18">
        <f>IF($A16&lt;20,0,IF($A16&lt;=24,前提条件!$B$51,前提条件!$B$52)*前提条件!$B$50)</f>
        <v/>
      </c>
      <c r="S16" s="18">
        <f>SUM($N16:$R16)</f>
        <v/>
      </c>
      <c r="T16" s="18">
        <f>IF($A16&lt;=6,前提条件!$B$54,IF($A16&lt;=18,前提条件!$B$55,前提条件!$B$56))</f>
        <v/>
      </c>
      <c r="U16" s="18">
        <f>IF($A16&lt;=12,前提条件!$B$57,前提条件!$B$58)</f>
        <v/>
      </c>
      <c r="V16" s="18">
        <f>前提条件!$B$59</f>
        <v/>
      </c>
      <c r="W16" s="18">
        <f>IF($A16&lt;=6,0,IF($A16&lt;=12,前提条件!$B$60,IF($A16&lt;=24,前提条件!$B$61,前提条件!$B$62)))</f>
        <v/>
      </c>
      <c r="X16" s="18">
        <f>IF($A16&lt;5,0,IF($A16&lt;=12,前提条件!$B$63,IF($A16&lt;=24,前提条件!$B$64,前提条件!$B$65)))</f>
        <v/>
      </c>
      <c r="Y16" s="18">
        <f>IF($A16&lt;=12,0,IF($A16&lt;=18,前提条件!$B$66,IF($A16&lt;=24,前提条件!$B$67,前提条件!$B$68)))</f>
        <v/>
      </c>
      <c r="Z16" s="18">
        <f>ROUND(($N16+$Q16)*前提条件!$B$69,0)</f>
        <v/>
      </c>
      <c r="AA16" s="18">
        <f>IF($A16=1,前提条件!$B$70,0)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IF($A17&lt;=3,前提条件!$B$21,IF($A17&lt;=6,前提条件!$B$22,IF($A17&lt;=12,前提条件!$B$23,IF($A17&lt;=24,前提条件!$B$24,前提条件!$B$25))))</f>
        <v/>
      </c>
      <c r="D17" s="16">
        <f>$D16+$C17</f>
        <v/>
      </c>
      <c r="E17" s="16">
        <f>ROUND($C17*前提条件!$B$27,0)</f>
        <v/>
      </c>
      <c r="F17" s="16">
        <f>IF($X17=0,0,ROUND($X17/前提条件!$B$28,0))</f>
        <v/>
      </c>
      <c r="G17" s="16">
        <f>$E17+$F17</f>
        <v/>
      </c>
      <c r="H17" s="16">
        <f>ROUND($I16*前提条件!$B$29,0)</f>
        <v/>
      </c>
      <c r="I17" s="16">
        <f>$I16+$G17-$H17</f>
        <v/>
      </c>
      <c r="J17" s="16">
        <f>IF($A17&lt;前提条件!$B$37,0,ROUND($G17*前提条件!$B$33+$I16*前提条件!$B$34,0))</f>
        <v/>
      </c>
      <c r="K17" s="16">
        <f>IF(OR($A17=5,$A17=11,$A17=15,$A17=22,$A17=30),ROUND($I16*前提条件!$B$35,0),0)</f>
        <v/>
      </c>
      <c r="L17" s="16">
        <f>$J17+$K17</f>
        <v/>
      </c>
      <c r="M17" s="16">
        <f>IF($A17&lt;=12,前提条件!$B$31,前提条件!$B$32)*前提条件!$B$19</f>
        <v/>
      </c>
      <c r="N17" s="16">
        <f>ROUND($L17*$M17*(1-前提条件!$B$36),0)</f>
        <v/>
      </c>
      <c r="O17" s="16">
        <f>ROUND($D17*前提条件!$B$39,0)</f>
        <v/>
      </c>
      <c r="P17" s="16">
        <f>ROUND(IF($A17&lt;10,0,IF($A17&lt;=12,前提条件!$B$42,IF($A17&lt;=18,前提条件!$B$43,IF($A17&lt;=24,前提条件!$B$44,前提条件!$B$45))))*前提条件!$B$41,0)</f>
        <v/>
      </c>
      <c r="Q17" s="16">
        <f>IF($A17&lt;15,0,ROUND($G17*前提条件!$B$48*前提条件!$B$47*前提条件!$B$19,0))</f>
        <v/>
      </c>
      <c r="R17" s="16">
        <f>IF($A17&lt;20,0,IF($A17&lt;=24,前提条件!$B$51,前提条件!$B$52)*前提条件!$B$50)</f>
        <v/>
      </c>
      <c r="S17" s="16">
        <f>SUM($N17:$R17)</f>
        <v/>
      </c>
      <c r="T17" s="16">
        <f>IF($A17&lt;=6,前提条件!$B$54,IF($A17&lt;=18,前提条件!$B$55,前提条件!$B$56))</f>
        <v/>
      </c>
      <c r="U17" s="16">
        <f>IF($A17&lt;=12,前提条件!$B$57,前提条件!$B$58)</f>
        <v/>
      </c>
      <c r="V17" s="16">
        <f>前提条件!$B$59</f>
        <v/>
      </c>
      <c r="W17" s="16">
        <f>IF($A17&lt;=6,0,IF($A17&lt;=12,前提条件!$B$60,IF($A17&lt;=24,前提条件!$B$61,前提条件!$B$62)))</f>
        <v/>
      </c>
      <c r="X17" s="16">
        <f>IF($A17&lt;5,0,IF($A17&lt;=12,前提条件!$B$63,IF($A17&lt;=24,前提条件!$B$64,前提条件!$B$65)))</f>
        <v/>
      </c>
      <c r="Y17" s="16">
        <f>IF($A17&lt;=12,0,IF($A17&lt;=18,前提条件!$B$66,IF($A17&lt;=24,前提条件!$B$67,前提条件!$B$68)))</f>
        <v/>
      </c>
      <c r="Z17" s="16">
        <f>ROUND(($N17+$Q17)*前提条件!$B$69,0)</f>
        <v/>
      </c>
      <c r="AA17" s="16">
        <f>IF($A17=1,前提条件!$B$70,0)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IF($A18&lt;=3,前提条件!$B$21,IF($A18&lt;=6,前提条件!$B$22,IF($A18&lt;=12,前提条件!$B$23,IF($A18&lt;=24,前提条件!$B$24,前提条件!$B$25))))</f>
        <v/>
      </c>
      <c r="D18" s="16">
        <f>$D17+$C18</f>
        <v/>
      </c>
      <c r="E18" s="16">
        <f>ROUND($C18*前提条件!$B$27,0)</f>
        <v/>
      </c>
      <c r="F18" s="16">
        <f>IF($X18=0,0,ROUND($X18/前提条件!$B$28,0))</f>
        <v/>
      </c>
      <c r="G18" s="16">
        <f>$E18+$F18</f>
        <v/>
      </c>
      <c r="H18" s="16">
        <f>ROUND($I17*前提条件!$B$29,0)</f>
        <v/>
      </c>
      <c r="I18" s="16">
        <f>$I17+$G18-$H18</f>
        <v/>
      </c>
      <c r="J18" s="16">
        <f>IF($A18&lt;前提条件!$B$37,0,ROUND($G18*前提条件!$B$33+$I17*前提条件!$B$34,0))</f>
        <v/>
      </c>
      <c r="K18" s="16">
        <f>IF(OR($A18=5,$A18=11,$A18=15,$A18=22,$A18=30),ROUND($I17*前提条件!$B$35,0),0)</f>
        <v/>
      </c>
      <c r="L18" s="16">
        <f>$J18+$K18</f>
        <v/>
      </c>
      <c r="M18" s="16">
        <f>IF($A18&lt;=12,前提条件!$B$31,前提条件!$B$32)*前提条件!$B$19</f>
        <v/>
      </c>
      <c r="N18" s="16">
        <f>ROUND($L18*$M18*(1-前提条件!$B$36),0)</f>
        <v/>
      </c>
      <c r="O18" s="16">
        <f>ROUND($D18*前提条件!$B$39,0)</f>
        <v/>
      </c>
      <c r="P18" s="16">
        <f>ROUND(IF($A18&lt;10,0,IF($A18&lt;=12,前提条件!$B$42,IF($A18&lt;=18,前提条件!$B$43,IF($A18&lt;=24,前提条件!$B$44,前提条件!$B$45))))*前提条件!$B$41,0)</f>
        <v/>
      </c>
      <c r="Q18" s="16">
        <f>IF($A18&lt;15,0,ROUND($G18*前提条件!$B$48*前提条件!$B$47*前提条件!$B$19,0))</f>
        <v/>
      </c>
      <c r="R18" s="16">
        <f>IF($A18&lt;20,0,IF($A18&lt;=24,前提条件!$B$51,前提条件!$B$52)*前提条件!$B$50)</f>
        <v/>
      </c>
      <c r="S18" s="16">
        <f>SUM($N18:$R18)</f>
        <v/>
      </c>
      <c r="T18" s="16">
        <f>IF($A18&lt;=6,前提条件!$B$54,IF($A18&lt;=18,前提条件!$B$55,前提条件!$B$56))</f>
        <v/>
      </c>
      <c r="U18" s="16">
        <f>IF($A18&lt;=12,前提条件!$B$57,前提条件!$B$58)</f>
        <v/>
      </c>
      <c r="V18" s="16">
        <f>前提条件!$B$59</f>
        <v/>
      </c>
      <c r="W18" s="16">
        <f>IF($A18&lt;=6,0,IF($A18&lt;=12,前提条件!$B$60,IF($A18&lt;=24,前提条件!$B$61,前提条件!$B$62)))</f>
        <v/>
      </c>
      <c r="X18" s="16">
        <f>IF($A18&lt;5,0,IF($A18&lt;=12,前提条件!$B$63,IF($A18&lt;=24,前提条件!$B$64,前提条件!$B$65)))</f>
        <v/>
      </c>
      <c r="Y18" s="16">
        <f>IF($A18&lt;=12,0,IF($A18&lt;=18,前提条件!$B$66,IF($A18&lt;=24,前提条件!$B$67,前提条件!$B$68)))</f>
        <v/>
      </c>
      <c r="Z18" s="16">
        <f>ROUND(($N18+$Q18)*前提条件!$B$69,0)</f>
        <v/>
      </c>
      <c r="AA18" s="16">
        <f>IF($A18=1,前提条件!$B$70,0)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IF($A19&lt;=3,前提条件!$B$21,IF($A19&lt;=6,前提条件!$B$22,IF($A19&lt;=12,前提条件!$B$23,IF($A19&lt;=24,前提条件!$B$24,前提条件!$B$25))))</f>
        <v/>
      </c>
      <c r="D19" s="16">
        <f>$D18+$C19</f>
        <v/>
      </c>
      <c r="E19" s="16">
        <f>ROUND($C19*前提条件!$B$27,0)</f>
        <v/>
      </c>
      <c r="F19" s="16">
        <f>IF($X19=0,0,ROUND($X19/前提条件!$B$28,0))</f>
        <v/>
      </c>
      <c r="G19" s="16">
        <f>$E19+$F19</f>
        <v/>
      </c>
      <c r="H19" s="16">
        <f>ROUND($I18*前提条件!$B$29,0)</f>
        <v/>
      </c>
      <c r="I19" s="16">
        <f>$I18+$G19-$H19</f>
        <v/>
      </c>
      <c r="J19" s="16">
        <f>IF($A19&lt;前提条件!$B$37,0,ROUND($G19*前提条件!$B$33+$I18*前提条件!$B$34,0))</f>
        <v/>
      </c>
      <c r="K19" s="16">
        <f>IF(OR($A19=5,$A19=11,$A19=15,$A19=22,$A19=30),ROUND($I18*前提条件!$B$35,0),0)</f>
        <v/>
      </c>
      <c r="L19" s="16">
        <f>$J19+$K19</f>
        <v/>
      </c>
      <c r="M19" s="16">
        <f>IF($A19&lt;=12,前提条件!$B$31,前提条件!$B$32)*前提条件!$B$19</f>
        <v/>
      </c>
      <c r="N19" s="16">
        <f>ROUND($L19*$M19*(1-前提条件!$B$36),0)</f>
        <v/>
      </c>
      <c r="O19" s="16">
        <f>ROUND($D19*前提条件!$B$39,0)</f>
        <v/>
      </c>
      <c r="P19" s="16">
        <f>ROUND(IF($A19&lt;10,0,IF($A19&lt;=12,前提条件!$B$42,IF($A19&lt;=18,前提条件!$B$43,IF($A19&lt;=24,前提条件!$B$44,前提条件!$B$45))))*前提条件!$B$41,0)</f>
        <v/>
      </c>
      <c r="Q19" s="16">
        <f>IF($A19&lt;15,0,ROUND($G19*前提条件!$B$48*前提条件!$B$47*前提条件!$B$19,0))</f>
        <v/>
      </c>
      <c r="R19" s="16">
        <f>IF($A19&lt;20,0,IF($A19&lt;=24,前提条件!$B$51,前提条件!$B$52)*前提条件!$B$50)</f>
        <v/>
      </c>
      <c r="S19" s="16">
        <f>SUM($N19:$R19)</f>
        <v/>
      </c>
      <c r="T19" s="16">
        <f>IF($A19&lt;=6,前提条件!$B$54,IF($A19&lt;=18,前提条件!$B$55,前提条件!$B$56))</f>
        <v/>
      </c>
      <c r="U19" s="16">
        <f>IF($A19&lt;=12,前提条件!$B$57,前提条件!$B$58)</f>
        <v/>
      </c>
      <c r="V19" s="16">
        <f>前提条件!$B$59</f>
        <v/>
      </c>
      <c r="W19" s="16">
        <f>IF($A19&lt;=6,0,IF($A19&lt;=12,前提条件!$B$60,IF($A19&lt;=24,前提条件!$B$61,前提条件!$B$62)))</f>
        <v/>
      </c>
      <c r="X19" s="16">
        <f>IF($A19&lt;5,0,IF($A19&lt;=12,前提条件!$B$63,IF($A19&lt;=24,前提条件!$B$64,前提条件!$B$65)))</f>
        <v/>
      </c>
      <c r="Y19" s="16">
        <f>IF($A19&lt;=12,0,IF($A19&lt;=18,前提条件!$B$66,IF($A19&lt;=24,前提条件!$B$67,前提条件!$B$68)))</f>
        <v/>
      </c>
      <c r="Z19" s="16">
        <f>ROUND(($N19+$Q19)*前提条件!$B$69,0)</f>
        <v/>
      </c>
      <c r="AA19" s="16">
        <f>IF($A19=1,前提条件!$B$70,0)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IF($A20&lt;=3,前提条件!$B$21,IF($A20&lt;=6,前提条件!$B$22,IF($A20&lt;=12,前提条件!$B$23,IF($A20&lt;=24,前提条件!$B$24,前提条件!$B$25))))</f>
        <v/>
      </c>
      <c r="D20" s="16">
        <f>$D19+$C20</f>
        <v/>
      </c>
      <c r="E20" s="16">
        <f>ROUND($C20*前提条件!$B$27,0)</f>
        <v/>
      </c>
      <c r="F20" s="16">
        <f>IF($X20=0,0,ROUND($X20/前提条件!$B$28,0))</f>
        <v/>
      </c>
      <c r="G20" s="16">
        <f>$E20+$F20</f>
        <v/>
      </c>
      <c r="H20" s="16">
        <f>ROUND($I19*前提条件!$B$29,0)</f>
        <v/>
      </c>
      <c r="I20" s="16">
        <f>$I19+$G20-$H20</f>
        <v/>
      </c>
      <c r="J20" s="16">
        <f>IF($A20&lt;前提条件!$B$37,0,ROUND($G20*前提条件!$B$33+$I19*前提条件!$B$34,0))</f>
        <v/>
      </c>
      <c r="K20" s="16">
        <f>IF(OR($A20=5,$A20=11,$A20=15,$A20=22,$A20=30),ROUND($I19*前提条件!$B$35,0),0)</f>
        <v/>
      </c>
      <c r="L20" s="16">
        <f>$J20+$K20</f>
        <v/>
      </c>
      <c r="M20" s="16">
        <f>IF($A20&lt;=12,前提条件!$B$31,前提条件!$B$32)*前提条件!$B$19</f>
        <v/>
      </c>
      <c r="N20" s="16">
        <f>ROUND($L20*$M20*(1-前提条件!$B$36),0)</f>
        <v/>
      </c>
      <c r="O20" s="16">
        <f>ROUND($D20*前提条件!$B$39,0)</f>
        <v/>
      </c>
      <c r="P20" s="16">
        <f>ROUND(IF($A20&lt;10,0,IF($A20&lt;=12,前提条件!$B$42,IF($A20&lt;=18,前提条件!$B$43,IF($A20&lt;=24,前提条件!$B$44,前提条件!$B$45))))*前提条件!$B$41,0)</f>
        <v/>
      </c>
      <c r="Q20" s="16">
        <f>IF($A20&lt;15,0,ROUND($G20*前提条件!$B$48*前提条件!$B$47*前提条件!$B$19,0))</f>
        <v/>
      </c>
      <c r="R20" s="16">
        <f>IF($A20&lt;20,0,IF($A20&lt;=24,前提条件!$B$51,前提条件!$B$52)*前提条件!$B$50)</f>
        <v/>
      </c>
      <c r="S20" s="16">
        <f>SUM($N20:$R20)</f>
        <v/>
      </c>
      <c r="T20" s="16">
        <f>IF($A20&lt;=6,前提条件!$B$54,IF($A20&lt;=18,前提条件!$B$55,前提条件!$B$56))</f>
        <v/>
      </c>
      <c r="U20" s="16">
        <f>IF($A20&lt;=12,前提条件!$B$57,前提条件!$B$58)</f>
        <v/>
      </c>
      <c r="V20" s="16">
        <f>前提条件!$B$59</f>
        <v/>
      </c>
      <c r="W20" s="16">
        <f>IF($A20&lt;=6,0,IF($A20&lt;=12,前提条件!$B$60,IF($A20&lt;=24,前提条件!$B$61,前提条件!$B$62)))</f>
        <v/>
      </c>
      <c r="X20" s="16">
        <f>IF($A20&lt;5,0,IF($A20&lt;=12,前提条件!$B$63,IF($A20&lt;=24,前提条件!$B$64,前提条件!$B$65)))</f>
        <v/>
      </c>
      <c r="Y20" s="16">
        <f>IF($A20&lt;=12,0,IF($A20&lt;=18,前提条件!$B$66,IF($A20&lt;=24,前提条件!$B$67,前提条件!$B$68)))</f>
        <v/>
      </c>
      <c r="Z20" s="16">
        <f>ROUND(($N20+$Q20)*前提条件!$B$69,0)</f>
        <v/>
      </c>
      <c r="AA20" s="16">
        <f>IF($A20=1,前提条件!$B$70,0)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IF($A21&lt;=3,前提条件!$B$21,IF($A21&lt;=6,前提条件!$B$22,IF($A21&lt;=12,前提条件!$B$23,IF($A21&lt;=24,前提条件!$B$24,前提条件!$B$25))))</f>
        <v/>
      </c>
      <c r="D21" s="16">
        <f>$D20+$C21</f>
        <v/>
      </c>
      <c r="E21" s="16">
        <f>ROUND($C21*前提条件!$B$27,0)</f>
        <v/>
      </c>
      <c r="F21" s="16">
        <f>IF($X21=0,0,ROUND($X21/前提条件!$B$28,0))</f>
        <v/>
      </c>
      <c r="G21" s="16">
        <f>$E21+$F21</f>
        <v/>
      </c>
      <c r="H21" s="16">
        <f>ROUND($I20*前提条件!$B$29,0)</f>
        <v/>
      </c>
      <c r="I21" s="16">
        <f>$I20+$G21-$H21</f>
        <v/>
      </c>
      <c r="J21" s="16">
        <f>IF($A21&lt;前提条件!$B$37,0,ROUND($G21*前提条件!$B$33+$I20*前提条件!$B$34,0))</f>
        <v/>
      </c>
      <c r="K21" s="16">
        <f>IF(OR($A21=5,$A21=11,$A21=15,$A21=22,$A21=30),ROUND($I20*前提条件!$B$35,0),0)</f>
        <v/>
      </c>
      <c r="L21" s="16">
        <f>$J21+$K21</f>
        <v/>
      </c>
      <c r="M21" s="16">
        <f>IF($A21&lt;=12,前提条件!$B$31,前提条件!$B$32)*前提条件!$B$19</f>
        <v/>
      </c>
      <c r="N21" s="16">
        <f>ROUND($L21*$M21*(1-前提条件!$B$36),0)</f>
        <v/>
      </c>
      <c r="O21" s="16">
        <f>ROUND($D21*前提条件!$B$39,0)</f>
        <v/>
      </c>
      <c r="P21" s="16">
        <f>ROUND(IF($A21&lt;10,0,IF($A21&lt;=12,前提条件!$B$42,IF($A21&lt;=18,前提条件!$B$43,IF($A21&lt;=24,前提条件!$B$44,前提条件!$B$45))))*前提条件!$B$41,0)</f>
        <v/>
      </c>
      <c r="Q21" s="16">
        <f>IF($A21&lt;15,0,ROUND($G21*前提条件!$B$48*前提条件!$B$47*前提条件!$B$19,0))</f>
        <v/>
      </c>
      <c r="R21" s="16">
        <f>IF($A21&lt;20,0,IF($A21&lt;=24,前提条件!$B$51,前提条件!$B$52)*前提条件!$B$50)</f>
        <v/>
      </c>
      <c r="S21" s="16">
        <f>SUM($N21:$R21)</f>
        <v/>
      </c>
      <c r="T21" s="16">
        <f>IF($A21&lt;=6,前提条件!$B$54,IF($A21&lt;=18,前提条件!$B$55,前提条件!$B$56))</f>
        <v/>
      </c>
      <c r="U21" s="16">
        <f>IF($A21&lt;=12,前提条件!$B$57,前提条件!$B$58)</f>
        <v/>
      </c>
      <c r="V21" s="16">
        <f>前提条件!$B$59</f>
        <v/>
      </c>
      <c r="W21" s="16">
        <f>IF($A21&lt;=6,0,IF($A21&lt;=12,前提条件!$B$60,IF($A21&lt;=24,前提条件!$B$61,前提条件!$B$62)))</f>
        <v/>
      </c>
      <c r="X21" s="16">
        <f>IF($A21&lt;5,0,IF($A21&lt;=12,前提条件!$B$63,IF($A21&lt;=24,前提条件!$B$64,前提条件!$B$65)))</f>
        <v/>
      </c>
      <c r="Y21" s="16">
        <f>IF($A21&lt;=12,0,IF($A21&lt;=18,前提条件!$B$66,IF($A21&lt;=24,前提条件!$B$67,前提条件!$B$68)))</f>
        <v/>
      </c>
      <c r="Z21" s="16">
        <f>ROUND(($N21+$Q21)*前提条件!$B$69,0)</f>
        <v/>
      </c>
      <c r="AA21" s="16">
        <f>IF($A21=1,前提条件!$B$70,0)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IF($A22&lt;=3,前提条件!$B$21,IF($A22&lt;=6,前提条件!$B$22,IF($A22&lt;=12,前提条件!$B$23,IF($A22&lt;=24,前提条件!$B$24,前提条件!$B$25))))</f>
        <v/>
      </c>
      <c r="D22" s="16">
        <f>$D21+$C22</f>
        <v/>
      </c>
      <c r="E22" s="16">
        <f>ROUND($C22*前提条件!$B$27,0)</f>
        <v/>
      </c>
      <c r="F22" s="16">
        <f>IF($X22=0,0,ROUND($X22/前提条件!$B$28,0))</f>
        <v/>
      </c>
      <c r="G22" s="16">
        <f>$E22+$F22</f>
        <v/>
      </c>
      <c r="H22" s="16">
        <f>ROUND($I21*前提条件!$B$29,0)</f>
        <v/>
      </c>
      <c r="I22" s="16">
        <f>$I21+$G22-$H22</f>
        <v/>
      </c>
      <c r="J22" s="16">
        <f>IF($A22&lt;前提条件!$B$37,0,ROUND($G22*前提条件!$B$33+$I21*前提条件!$B$34,0))</f>
        <v/>
      </c>
      <c r="K22" s="16">
        <f>IF(OR($A22=5,$A22=11,$A22=15,$A22=22,$A22=30),ROUND($I21*前提条件!$B$35,0),0)</f>
        <v/>
      </c>
      <c r="L22" s="16">
        <f>$J22+$K22</f>
        <v/>
      </c>
      <c r="M22" s="16">
        <f>IF($A22&lt;=12,前提条件!$B$31,前提条件!$B$32)*前提条件!$B$19</f>
        <v/>
      </c>
      <c r="N22" s="16">
        <f>ROUND($L22*$M22*(1-前提条件!$B$36),0)</f>
        <v/>
      </c>
      <c r="O22" s="16">
        <f>ROUND($D22*前提条件!$B$39,0)</f>
        <v/>
      </c>
      <c r="P22" s="16">
        <f>ROUND(IF($A22&lt;10,0,IF($A22&lt;=12,前提条件!$B$42,IF($A22&lt;=18,前提条件!$B$43,IF($A22&lt;=24,前提条件!$B$44,前提条件!$B$45))))*前提条件!$B$41,0)</f>
        <v/>
      </c>
      <c r="Q22" s="16">
        <f>IF($A22&lt;15,0,ROUND($G22*前提条件!$B$48*前提条件!$B$47*前提条件!$B$19,0))</f>
        <v/>
      </c>
      <c r="R22" s="16">
        <f>IF($A22&lt;20,0,IF($A22&lt;=24,前提条件!$B$51,前提条件!$B$52)*前提条件!$B$50)</f>
        <v/>
      </c>
      <c r="S22" s="16">
        <f>SUM($N22:$R22)</f>
        <v/>
      </c>
      <c r="T22" s="16">
        <f>IF($A22&lt;=6,前提条件!$B$54,IF($A22&lt;=18,前提条件!$B$55,前提条件!$B$56))</f>
        <v/>
      </c>
      <c r="U22" s="16">
        <f>IF($A22&lt;=12,前提条件!$B$57,前提条件!$B$58)</f>
        <v/>
      </c>
      <c r="V22" s="16">
        <f>前提条件!$B$59</f>
        <v/>
      </c>
      <c r="W22" s="16">
        <f>IF($A22&lt;=6,0,IF($A22&lt;=12,前提条件!$B$60,IF($A22&lt;=24,前提条件!$B$61,前提条件!$B$62)))</f>
        <v/>
      </c>
      <c r="X22" s="16">
        <f>IF($A22&lt;5,0,IF($A22&lt;=12,前提条件!$B$63,IF($A22&lt;=24,前提条件!$B$64,前提条件!$B$65)))</f>
        <v/>
      </c>
      <c r="Y22" s="16">
        <f>IF($A22&lt;=12,0,IF($A22&lt;=18,前提条件!$B$66,IF($A22&lt;=24,前提条件!$B$67,前提条件!$B$68)))</f>
        <v/>
      </c>
      <c r="Z22" s="16">
        <f>ROUND(($N22+$Q22)*前提条件!$B$69,0)</f>
        <v/>
      </c>
      <c r="AA22" s="16">
        <f>IF($A22=1,前提条件!$B$70,0)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IF($A23&lt;=3,前提条件!$B$21,IF($A23&lt;=6,前提条件!$B$22,IF($A23&lt;=12,前提条件!$B$23,IF($A23&lt;=24,前提条件!$B$24,前提条件!$B$25))))</f>
        <v/>
      </c>
      <c r="D23" s="16">
        <f>$D22+$C23</f>
        <v/>
      </c>
      <c r="E23" s="16">
        <f>ROUND($C23*前提条件!$B$27,0)</f>
        <v/>
      </c>
      <c r="F23" s="16">
        <f>IF($X23=0,0,ROUND($X23/前提条件!$B$28,0))</f>
        <v/>
      </c>
      <c r="G23" s="16">
        <f>$E23+$F23</f>
        <v/>
      </c>
      <c r="H23" s="16">
        <f>ROUND($I22*前提条件!$B$29,0)</f>
        <v/>
      </c>
      <c r="I23" s="16">
        <f>$I22+$G23-$H23</f>
        <v/>
      </c>
      <c r="J23" s="16">
        <f>IF($A23&lt;前提条件!$B$37,0,ROUND($G23*前提条件!$B$33+$I22*前提条件!$B$34,0))</f>
        <v/>
      </c>
      <c r="K23" s="16">
        <f>IF(OR($A23=5,$A23=11,$A23=15,$A23=22,$A23=30),ROUND($I22*前提条件!$B$35,0),0)</f>
        <v/>
      </c>
      <c r="L23" s="16">
        <f>$J23+$K23</f>
        <v/>
      </c>
      <c r="M23" s="16">
        <f>IF($A23&lt;=12,前提条件!$B$31,前提条件!$B$32)*前提条件!$B$19</f>
        <v/>
      </c>
      <c r="N23" s="16">
        <f>ROUND($L23*$M23*(1-前提条件!$B$36),0)</f>
        <v/>
      </c>
      <c r="O23" s="16">
        <f>ROUND($D23*前提条件!$B$39,0)</f>
        <v/>
      </c>
      <c r="P23" s="16">
        <f>ROUND(IF($A23&lt;10,0,IF($A23&lt;=12,前提条件!$B$42,IF($A23&lt;=18,前提条件!$B$43,IF($A23&lt;=24,前提条件!$B$44,前提条件!$B$45))))*前提条件!$B$41,0)</f>
        <v/>
      </c>
      <c r="Q23" s="16">
        <f>IF($A23&lt;15,0,ROUND($G23*前提条件!$B$48*前提条件!$B$47*前提条件!$B$19,0))</f>
        <v/>
      </c>
      <c r="R23" s="16">
        <f>IF($A23&lt;20,0,IF($A23&lt;=24,前提条件!$B$51,前提条件!$B$52)*前提条件!$B$50)</f>
        <v/>
      </c>
      <c r="S23" s="16">
        <f>SUM($N23:$R23)</f>
        <v/>
      </c>
      <c r="T23" s="16">
        <f>IF($A23&lt;=6,前提条件!$B$54,IF($A23&lt;=18,前提条件!$B$55,前提条件!$B$56))</f>
        <v/>
      </c>
      <c r="U23" s="16">
        <f>IF($A23&lt;=12,前提条件!$B$57,前提条件!$B$58)</f>
        <v/>
      </c>
      <c r="V23" s="16">
        <f>前提条件!$B$59</f>
        <v/>
      </c>
      <c r="W23" s="16">
        <f>IF($A23&lt;=6,0,IF($A23&lt;=12,前提条件!$B$60,IF($A23&lt;=24,前提条件!$B$61,前提条件!$B$62)))</f>
        <v/>
      </c>
      <c r="X23" s="16">
        <f>IF($A23&lt;5,0,IF($A23&lt;=12,前提条件!$B$63,IF($A23&lt;=24,前提条件!$B$64,前提条件!$B$65)))</f>
        <v/>
      </c>
      <c r="Y23" s="16">
        <f>IF($A23&lt;=12,0,IF($A23&lt;=18,前提条件!$B$66,IF($A23&lt;=24,前提条件!$B$67,前提条件!$B$68)))</f>
        <v/>
      </c>
      <c r="Z23" s="16">
        <f>ROUND(($N23+$Q23)*前提条件!$B$69,0)</f>
        <v/>
      </c>
      <c r="AA23" s="16">
        <f>IF($A23=1,前提条件!$B$70,0)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IF($A24&lt;=3,前提条件!$B$21,IF($A24&lt;=6,前提条件!$B$22,IF($A24&lt;=12,前提条件!$B$23,IF($A24&lt;=24,前提条件!$B$24,前提条件!$B$25))))</f>
        <v/>
      </c>
      <c r="D24" s="16">
        <f>$D23+$C24</f>
        <v/>
      </c>
      <c r="E24" s="16">
        <f>ROUND($C24*前提条件!$B$27,0)</f>
        <v/>
      </c>
      <c r="F24" s="16">
        <f>IF($X24=0,0,ROUND($X24/前提条件!$B$28,0))</f>
        <v/>
      </c>
      <c r="G24" s="16">
        <f>$E24+$F24</f>
        <v/>
      </c>
      <c r="H24" s="16">
        <f>ROUND($I23*前提条件!$B$29,0)</f>
        <v/>
      </c>
      <c r="I24" s="16">
        <f>$I23+$G24-$H24</f>
        <v/>
      </c>
      <c r="J24" s="16">
        <f>IF($A24&lt;前提条件!$B$37,0,ROUND($G24*前提条件!$B$33+$I23*前提条件!$B$34,0))</f>
        <v/>
      </c>
      <c r="K24" s="16">
        <f>IF(OR($A24=5,$A24=11,$A24=15,$A24=22,$A24=30),ROUND($I23*前提条件!$B$35,0),0)</f>
        <v/>
      </c>
      <c r="L24" s="16">
        <f>$J24+$K24</f>
        <v/>
      </c>
      <c r="M24" s="16">
        <f>IF($A24&lt;=12,前提条件!$B$31,前提条件!$B$32)*前提条件!$B$19</f>
        <v/>
      </c>
      <c r="N24" s="16">
        <f>ROUND($L24*$M24*(1-前提条件!$B$36),0)</f>
        <v/>
      </c>
      <c r="O24" s="16">
        <f>ROUND($D24*前提条件!$B$39,0)</f>
        <v/>
      </c>
      <c r="P24" s="16">
        <f>ROUND(IF($A24&lt;10,0,IF($A24&lt;=12,前提条件!$B$42,IF($A24&lt;=18,前提条件!$B$43,IF($A24&lt;=24,前提条件!$B$44,前提条件!$B$45))))*前提条件!$B$41,0)</f>
        <v/>
      </c>
      <c r="Q24" s="16">
        <f>IF($A24&lt;15,0,ROUND($G24*前提条件!$B$48*前提条件!$B$47*前提条件!$B$19,0))</f>
        <v/>
      </c>
      <c r="R24" s="16">
        <f>IF($A24&lt;20,0,IF($A24&lt;=24,前提条件!$B$51,前提条件!$B$52)*前提条件!$B$50)</f>
        <v/>
      </c>
      <c r="S24" s="16">
        <f>SUM($N24:$R24)</f>
        <v/>
      </c>
      <c r="T24" s="16">
        <f>IF($A24&lt;=6,前提条件!$B$54,IF($A24&lt;=18,前提条件!$B$55,前提条件!$B$56))</f>
        <v/>
      </c>
      <c r="U24" s="16">
        <f>IF($A24&lt;=12,前提条件!$B$57,前提条件!$B$58)</f>
        <v/>
      </c>
      <c r="V24" s="16">
        <f>前提条件!$B$59</f>
        <v/>
      </c>
      <c r="W24" s="16">
        <f>IF($A24&lt;=6,0,IF($A24&lt;=12,前提条件!$B$60,IF($A24&lt;=24,前提条件!$B$61,前提条件!$B$62)))</f>
        <v/>
      </c>
      <c r="X24" s="16">
        <f>IF($A24&lt;5,0,IF($A24&lt;=12,前提条件!$B$63,IF($A24&lt;=24,前提条件!$B$64,前提条件!$B$65)))</f>
        <v/>
      </c>
      <c r="Y24" s="16">
        <f>IF($A24&lt;=12,0,IF($A24&lt;=18,前提条件!$B$66,IF($A24&lt;=24,前提条件!$B$67,前提条件!$B$68)))</f>
        <v/>
      </c>
      <c r="Z24" s="16">
        <f>ROUND(($N24+$Q24)*前提条件!$B$69,0)</f>
        <v/>
      </c>
      <c r="AA24" s="16">
        <f>IF($A24=1,前提条件!$B$70,0)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IF($A25&lt;=3,前提条件!$B$21,IF($A25&lt;=6,前提条件!$B$22,IF($A25&lt;=12,前提条件!$B$23,IF($A25&lt;=24,前提条件!$B$24,前提条件!$B$25))))</f>
        <v/>
      </c>
      <c r="D25" s="16">
        <f>$D24+$C25</f>
        <v/>
      </c>
      <c r="E25" s="16">
        <f>ROUND($C25*前提条件!$B$27,0)</f>
        <v/>
      </c>
      <c r="F25" s="16">
        <f>IF($X25=0,0,ROUND($X25/前提条件!$B$28,0))</f>
        <v/>
      </c>
      <c r="G25" s="16">
        <f>$E25+$F25</f>
        <v/>
      </c>
      <c r="H25" s="16">
        <f>ROUND($I24*前提条件!$B$29,0)</f>
        <v/>
      </c>
      <c r="I25" s="16">
        <f>$I24+$G25-$H25</f>
        <v/>
      </c>
      <c r="J25" s="16">
        <f>IF($A25&lt;前提条件!$B$37,0,ROUND($G25*前提条件!$B$33+$I24*前提条件!$B$34,0))</f>
        <v/>
      </c>
      <c r="K25" s="16">
        <f>IF(OR($A25=5,$A25=11,$A25=15,$A25=22,$A25=30),ROUND($I24*前提条件!$B$35,0),0)</f>
        <v/>
      </c>
      <c r="L25" s="16">
        <f>$J25+$K25</f>
        <v/>
      </c>
      <c r="M25" s="16">
        <f>IF($A25&lt;=12,前提条件!$B$31,前提条件!$B$32)*前提条件!$B$19</f>
        <v/>
      </c>
      <c r="N25" s="16">
        <f>ROUND($L25*$M25*(1-前提条件!$B$36),0)</f>
        <v/>
      </c>
      <c r="O25" s="16">
        <f>ROUND($D25*前提条件!$B$39,0)</f>
        <v/>
      </c>
      <c r="P25" s="16">
        <f>ROUND(IF($A25&lt;10,0,IF($A25&lt;=12,前提条件!$B$42,IF($A25&lt;=18,前提条件!$B$43,IF($A25&lt;=24,前提条件!$B$44,前提条件!$B$45))))*前提条件!$B$41,0)</f>
        <v/>
      </c>
      <c r="Q25" s="16">
        <f>IF($A25&lt;15,0,ROUND($G25*前提条件!$B$48*前提条件!$B$47*前提条件!$B$19,0))</f>
        <v/>
      </c>
      <c r="R25" s="16">
        <f>IF($A25&lt;20,0,IF($A25&lt;=24,前提条件!$B$51,前提条件!$B$52)*前提条件!$B$50)</f>
        <v/>
      </c>
      <c r="S25" s="16">
        <f>SUM($N25:$R25)</f>
        <v/>
      </c>
      <c r="T25" s="16">
        <f>IF($A25&lt;=6,前提条件!$B$54,IF($A25&lt;=18,前提条件!$B$55,前提条件!$B$56))</f>
        <v/>
      </c>
      <c r="U25" s="16">
        <f>IF($A25&lt;=12,前提条件!$B$57,前提条件!$B$58)</f>
        <v/>
      </c>
      <c r="V25" s="16">
        <f>前提条件!$B$59</f>
        <v/>
      </c>
      <c r="W25" s="16">
        <f>IF($A25&lt;=6,0,IF($A25&lt;=12,前提条件!$B$60,IF($A25&lt;=24,前提条件!$B$61,前提条件!$B$62)))</f>
        <v/>
      </c>
      <c r="X25" s="16">
        <f>IF($A25&lt;5,0,IF($A25&lt;=12,前提条件!$B$63,IF($A25&lt;=24,前提条件!$B$64,前提条件!$B$65)))</f>
        <v/>
      </c>
      <c r="Y25" s="16">
        <f>IF($A25&lt;=12,0,IF($A25&lt;=18,前提条件!$B$66,IF($A25&lt;=24,前提条件!$B$67,前提条件!$B$68)))</f>
        <v/>
      </c>
      <c r="Z25" s="16">
        <f>ROUND(($N25+$Q25)*前提条件!$B$69,0)</f>
        <v/>
      </c>
      <c r="AA25" s="16">
        <f>IF($A25=1,前提条件!$B$70,0)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IF($A26&lt;=3,前提条件!$B$21,IF($A26&lt;=6,前提条件!$B$22,IF($A26&lt;=12,前提条件!$B$23,IF($A26&lt;=24,前提条件!$B$24,前提条件!$B$25))))</f>
        <v/>
      </c>
      <c r="D26" s="16">
        <f>$D25+$C26</f>
        <v/>
      </c>
      <c r="E26" s="16">
        <f>ROUND($C26*前提条件!$B$27,0)</f>
        <v/>
      </c>
      <c r="F26" s="16">
        <f>IF($X26=0,0,ROUND($X26/前提条件!$B$28,0))</f>
        <v/>
      </c>
      <c r="G26" s="16">
        <f>$E26+$F26</f>
        <v/>
      </c>
      <c r="H26" s="16">
        <f>ROUND($I25*前提条件!$B$29,0)</f>
        <v/>
      </c>
      <c r="I26" s="16">
        <f>$I25+$G26-$H26</f>
        <v/>
      </c>
      <c r="J26" s="16">
        <f>IF($A26&lt;前提条件!$B$37,0,ROUND($G26*前提条件!$B$33+$I25*前提条件!$B$34,0))</f>
        <v/>
      </c>
      <c r="K26" s="16">
        <f>IF(OR($A26=5,$A26=11,$A26=15,$A26=22,$A26=30),ROUND($I25*前提条件!$B$35,0),0)</f>
        <v/>
      </c>
      <c r="L26" s="16">
        <f>$J26+$K26</f>
        <v/>
      </c>
      <c r="M26" s="16">
        <f>IF($A26&lt;=12,前提条件!$B$31,前提条件!$B$32)*前提条件!$B$19</f>
        <v/>
      </c>
      <c r="N26" s="16">
        <f>ROUND($L26*$M26*(1-前提条件!$B$36),0)</f>
        <v/>
      </c>
      <c r="O26" s="16">
        <f>ROUND($D26*前提条件!$B$39,0)</f>
        <v/>
      </c>
      <c r="P26" s="16">
        <f>ROUND(IF($A26&lt;10,0,IF($A26&lt;=12,前提条件!$B$42,IF($A26&lt;=18,前提条件!$B$43,IF($A26&lt;=24,前提条件!$B$44,前提条件!$B$45))))*前提条件!$B$41,0)</f>
        <v/>
      </c>
      <c r="Q26" s="16">
        <f>IF($A26&lt;15,0,ROUND($G26*前提条件!$B$48*前提条件!$B$47*前提条件!$B$19,0))</f>
        <v/>
      </c>
      <c r="R26" s="16">
        <f>IF($A26&lt;20,0,IF($A26&lt;=24,前提条件!$B$51,前提条件!$B$52)*前提条件!$B$50)</f>
        <v/>
      </c>
      <c r="S26" s="16">
        <f>SUM($N26:$R26)</f>
        <v/>
      </c>
      <c r="T26" s="16">
        <f>IF($A26&lt;=6,前提条件!$B$54,IF($A26&lt;=18,前提条件!$B$55,前提条件!$B$56))</f>
        <v/>
      </c>
      <c r="U26" s="16">
        <f>IF($A26&lt;=12,前提条件!$B$57,前提条件!$B$58)</f>
        <v/>
      </c>
      <c r="V26" s="16">
        <f>前提条件!$B$59</f>
        <v/>
      </c>
      <c r="W26" s="16">
        <f>IF($A26&lt;=6,0,IF($A26&lt;=12,前提条件!$B$60,IF($A26&lt;=24,前提条件!$B$61,前提条件!$B$62)))</f>
        <v/>
      </c>
      <c r="X26" s="16">
        <f>IF($A26&lt;5,0,IF($A26&lt;=12,前提条件!$B$63,IF($A26&lt;=24,前提条件!$B$64,前提条件!$B$65)))</f>
        <v/>
      </c>
      <c r="Y26" s="16">
        <f>IF($A26&lt;=12,0,IF($A26&lt;=18,前提条件!$B$66,IF($A26&lt;=24,前提条件!$B$67,前提条件!$B$68)))</f>
        <v/>
      </c>
      <c r="Z26" s="16">
        <f>ROUND(($N26+$Q26)*前提条件!$B$69,0)</f>
        <v/>
      </c>
      <c r="AA26" s="16">
        <f>IF($A26=1,前提条件!$B$70,0)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IF($A27&lt;=3,前提条件!$B$21,IF($A27&lt;=6,前提条件!$B$22,IF($A27&lt;=12,前提条件!$B$23,IF($A27&lt;=24,前提条件!$B$24,前提条件!$B$25))))</f>
        <v/>
      </c>
      <c r="D27" s="16">
        <f>$D26+$C27</f>
        <v/>
      </c>
      <c r="E27" s="16">
        <f>ROUND($C27*前提条件!$B$27,0)</f>
        <v/>
      </c>
      <c r="F27" s="16">
        <f>IF($X27=0,0,ROUND($X27/前提条件!$B$28,0))</f>
        <v/>
      </c>
      <c r="G27" s="16">
        <f>$E27+$F27</f>
        <v/>
      </c>
      <c r="H27" s="16">
        <f>ROUND($I26*前提条件!$B$29,0)</f>
        <v/>
      </c>
      <c r="I27" s="16">
        <f>$I26+$G27-$H27</f>
        <v/>
      </c>
      <c r="J27" s="16">
        <f>IF($A27&lt;前提条件!$B$37,0,ROUND($G27*前提条件!$B$33+$I26*前提条件!$B$34,0))</f>
        <v/>
      </c>
      <c r="K27" s="16">
        <f>IF(OR($A27=5,$A27=11,$A27=15,$A27=22,$A27=30),ROUND($I26*前提条件!$B$35,0),0)</f>
        <v/>
      </c>
      <c r="L27" s="16">
        <f>$J27+$K27</f>
        <v/>
      </c>
      <c r="M27" s="16">
        <f>IF($A27&lt;=12,前提条件!$B$31,前提条件!$B$32)*前提条件!$B$19</f>
        <v/>
      </c>
      <c r="N27" s="16">
        <f>ROUND($L27*$M27*(1-前提条件!$B$36),0)</f>
        <v/>
      </c>
      <c r="O27" s="16">
        <f>ROUND($D27*前提条件!$B$39,0)</f>
        <v/>
      </c>
      <c r="P27" s="16">
        <f>ROUND(IF($A27&lt;10,0,IF($A27&lt;=12,前提条件!$B$42,IF($A27&lt;=18,前提条件!$B$43,IF($A27&lt;=24,前提条件!$B$44,前提条件!$B$45))))*前提条件!$B$41,0)</f>
        <v/>
      </c>
      <c r="Q27" s="16">
        <f>IF($A27&lt;15,0,ROUND($G27*前提条件!$B$48*前提条件!$B$47*前提条件!$B$19,0))</f>
        <v/>
      </c>
      <c r="R27" s="16">
        <f>IF($A27&lt;20,0,IF($A27&lt;=24,前提条件!$B$51,前提条件!$B$52)*前提条件!$B$50)</f>
        <v/>
      </c>
      <c r="S27" s="16">
        <f>SUM($N27:$R27)</f>
        <v/>
      </c>
      <c r="T27" s="16">
        <f>IF($A27&lt;=6,前提条件!$B$54,IF($A27&lt;=18,前提条件!$B$55,前提条件!$B$56))</f>
        <v/>
      </c>
      <c r="U27" s="16">
        <f>IF($A27&lt;=12,前提条件!$B$57,前提条件!$B$58)</f>
        <v/>
      </c>
      <c r="V27" s="16">
        <f>前提条件!$B$59</f>
        <v/>
      </c>
      <c r="W27" s="16">
        <f>IF($A27&lt;=6,0,IF($A27&lt;=12,前提条件!$B$60,IF($A27&lt;=24,前提条件!$B$61,前提条件!$B$62)))</f>
        <v/>
      </c>
      <c r="X27" s="16">
        <f>IF($A27&lt;5,0,IF($A27&lt;=12,前提条件!$B$63,IF($A27&lt;=24,前提条件!$B$64,前提条件!$B$65)))</f>
        <v/>
      </c>
      <c r="Y27" s="16">
        <f>IF($A27&lt;=12,0,IF($A27&lt;=18,前提条件!$B$66,IF($A27&lt;=24,前提条件!$B$67,前提条件!$B$68)))</f>
        <v/>
      </c>
      <c r="Z27" s="16">
        <f>ROUND(($N27+$Q27)*前提条件!$B$69,0)</f>
        <v/>
      </c>
      <c r="AA27" s="16">
        <f>IF($A27=1,前提条件!$B$70,0)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IF($A28&lt;=3,前提条件!$B$21,IF($A28&lt;=6,前提条件!$B$22,IF($A28&lt;=12,前提条件!$B$23,IF($A28&lt;=24,前提条件!$B$24,前提条件!$B$25))))</f>
        <v/>
      </c>
      <c r="D28" s="18">
        <f>$D27+$C28</f>
        <v/>
      </c>
      <c r="E28" s="18">
        <f>ROUND($C28*前提条件!$B$27,0)</f>
        <v/>
      </c>
      <c r="F28" s="18">
        <f>IF($X28=0,0,ROUND($X28/前提条件!$B$28,0))</f>
        <v/>
      </c>
      <c r="G28" s="18">
        <f>$E28+$F28</f>
        <v/>
      </c>
      <c r="H28" s="18">
        <f>ROUND($I27*前提条件!$B$29,0)</f>
        <v/>
      </c>
      <c r="I28" s="18">
        <f>$I27+$G28-$H28</f>
        <v/>
      </c>
      <c r="J28" s="18">
        <f>IF($A28&lt;前提条件!$B$37,0,ROUND($G28*前提条件!$B$33+$I27*前提条件!$B$34,0))</f>
        <v/>
      </c>
      <c r="K28" s="18">
        <f>IF(OR($A28=5,$A28=11,$A28=15,$A28=22,$A28=30),ROUND($I27*前提条件!$B$35,0),0)</f>
        <v/>
      </c>
      <c r="L28" s="18">
        <f>$J28+$K28</f>
        <v/>
      </c>
      <c r="M28" s="18">
        <f>IF($A28&lt;=12,前提条件!$B$31,前提条件!$B$32)*前提条件!$B$19</f>
        <v/>
      </c>
      <c r="N28" s="18">
        <f>ROUND($L28*$M28*(1-前提条件!$B$36),0)</f>
        <v/>
      </c>
      <c r="O28" s="18">
        <f>ROUND($D28*前提条件!$B$39,0)</f>
        <v/>
      </c>
      <c r="P28" s="18">
        <f>ROUND(IF($A28&lt;10,0,IF($A28&lt;=12,前提条件!$B$42,IF($A28&lt;=18,前提条件!$B$43,IF($A28&lt;=24,前提条件!$B$44,前提条件!$B$45))))*前提条件!$B$41,0)</f>
        <v/>
      </c>
      <c r="Q28" s="18">
        <f>IF($A28&lt;15,0,ROUND($G28*前提条件!$B$48*前提条件!$B$47*前提条件!$B$19,0))</f>
        <v/>
      </c>
      <c r="R28" s="18">
        <f>IF($A28&lt;20,0,IF($A28&lt;=24,前提条件!$B$51,前提条件!$B$52)*前提条件!$B$50)</f>
        <v/>
      </c>
      <c r="S28" s="18">
        <f>SUM($N28:$R28)</f>
        <v/>
      </c>
      <c r="T28" s="18">
        <f>IF($A28&lt;=6,前提条件!$B$54,IF($A28&lt;=18,前提条件!$B$55,前提条件!$B$56))</f>
        <v/>
      </c>
      <c r="U28" s="18">
        <f>IF($A28&lt;=12,前提条件!$B$57,前提条件!$B$58)</f>
        <v/>
      </c>
      <c r="V28" s="18">
        <f>前提条件!$B$59</f>
        <v/>
      </c>
      <c r="W28" s="18">
        <f>IF($A28&lt;=6,0,IF($A28&lt;=12,前提条件!$B$60,IF($A28&lt;=24,前提条件!$B$61,前提条件!$B$62)))</f>
        <v/>
      </c>
      <c r="X28" s="18">
        <f>IF($A28&lt;5,0,IF($A28&lt;=12,前提条件!$B$63,IF($A28&lt;=24,前提条件!$B$64,前提条件!$B$65)))</f>
        <v/>
      </c>
      <c r="Y28" s="18">
        <f>IF($A28&lt;=12,0,IF($A28&lt;=18,前提条件!$B$66,IF($A28&lt;=24,前提条件!$B$67,前提条件!$B$68)))</f>
        <v/>
      </c>
      <c r="Z28" s="18">
        <f>ROUND(($N28+$Q28)*前提条件!$B$69,0)</f>
        <v/>
      </c>
      <c r="AA28" s="18">
        <f>IF($A28=1,前提条件!$B$70,0)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IF($A29&lt;=3,前提条件!$B$21,IF($A29&lt;=6,前提条件!$B$22,IF($A29&lt;=12,前提条件!$B$23,IF($A29&lt;=24,前提条件!$B$24,前提条件!$B$25))))</f>
        <v/>
      </c>
      <c r="D29" s="16">
        <f>$D28+$C29</f>
        <v/>
      </c>
      <c r="E29" s="16">
        <f>ROUND($C29*前提条件!$B$27,0)</f>
        <v/>
      </c>
      <c r="F29" s="16">
        <f>IF($X29=0,0,ROUND($X29/前提条件!$B$28,0))</f>
        <v/>
      </c>
      <c r="G29" s="16">
        <f>$E29+$F29</f>
        <v/>
      </c>
      <c r="H29" s="16">
        <f>ROUND($I28*前提条件!$B$29,0)</f>
        <v/>
      </c>
      <c r="I29" s="16">
        <f>$I28+$G29-$H29</f>
        <v/>
      </c>
      <c r="J29" s="16">
        <f>IF($A29&lt;前提条件!$B$37,0,ROUND($G29*前提条件!$B$33+$I28*前提条件!$B$34,0))</f>
        <v/>
      </c>
      <c r="K29" s="16">
        <f>IF(OR($A29=5,$A29=11,$A29=15,$A29=22,$A29=30),ROUND($I28*前提条件!$B$35,0),0)</f>
        <v/>
      </c>
      <c r="L29" s="16">
        <f>$J29+$K29</f>
        <v/>
      </c>
      <c r="M29" s="16">
        <f>IF($A29&lt;=12,前提条件!$B$31,前提条件!$B$32)*前提条件!$B$19</f>
        <v/>
      </c>
      <c r="N29" s="16">
        <f>ROUND($L29*$M29*(1-前提条件!$B$36),0)</f>
        <v/>
      </c>
      <c r="O29" s="16">
        <f>ROUND($D29*前提条件!$B$39,0)</f>
        <v/>
      </c>
      <c r="P29" s="16">
        <f>ROUND(IF($A29&lt;10,0,IF($A29&lt;=12,前提条件!$B$42,IF($A29&lt;=18,前提条件!$B$43,IF($A29&lt;=24,前提条件!$B$44,前提条件!$B$45))))*前提条件!$B$41,0)</f>
        <v/>
      </c>
      <c r="Q29" s="16">
        <f>IF($A29&lt;15,0,ROUND($G29*前提条件!$B$48*前提条件!$B$47*前提条件!$B$19,0))</f>
        <v/>
      </c>
      <c r="R29" s="16">
        <f>IF($A29&lt;20,0,IF($A29&lt;=24,前提条件!$B$51,前提条件!$B$52)*前提条件!$B$50)</f>
        <v/>
      </c>
      <c r="S29" s="16">
        <f>SUM($N29:$R29)</f>
        <v/>
      </c>
      <c r="T29" s="16">
        <f>IF($A29&lt;=6,前提条件!$B$54,IF($A29&lt;=18,前提条件!$B$55,前提条件!$B$56))</f>
        <v/>
      </c>
      <c r="U29" s="16">
        <f>IF($A29&lt;=12,前提条件!$B$57,前提条件!$B$58)</f>
        <v/>
      </c>
      <c r="V29" s="16">
        <f>前提条件!$B$59</f>
        <v/>
      </c>
      <c r="W29" s="16">
        <f>IF($A29&lt;=6,0,IF($A29&lt;=12,前提条件!$B$60,IF($A29&lt;=24,前提条件!$B$61,前提条件!$B$62)))</f>
        <v/>
      </c>
      <c r="X29" s="16">
        <f>IF($A29&lt;5,0,IF($A29&lt;=12,前提条件!$B$63,IF($A29&lt;=24,前提条件!$B$64,前提条件!$B$65)))</f>
        <v/>
      </c>
      <c r="Y29" s="16">
        <f>IF($A29&lt;=12,0,IF($A29&lt;=18,前提条件!$B$66,IF($A29&lt;=24,前提条件!$B$67,前提条件!$B$68)))</f>
        <v/>
      </c>
      <c r="Z29" s="16">
        <f>ROUND(($N29+$Q29)*前提条件!$B$69,0)</f>
        <v/>
      </c>
      <c r="AA29" s="16">
        <f>IF($A29=1,前提条件!$B$70,0)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IF($A30&lt;=3,前提条件!$B$21,IF($A30&lt;=6,前提条件!$B$22,IF($A30&lt;=12,前提条件!$B$23,IF($A30&lt;=24,前提条件!$B$24,前提条件!$B$25))))</f>
        <v/>
      </c>
      <c r="D30" s="16">
        <f>$D29+$C30</f>
        <v/>
      </c>
      <c r="E30" s="16">
        <f>ROUND($C30*前提条件!$B$27,0)</f>
        <v/>
      </c>
      <c r="F30" s="16">
        <f>IF($X30=0,0,ROUND($X30/前提条件!$B$28,0))</f>
        <v/>
      </c>
      <c r="G30" s="16">
        <f>$E30+$F30</f>
        <v/>
      </c>
      <c r="H30" s="16">
        <f>ROUND($I29*前提条件!$B$29,0)</f>
        <v/>
      </c>
      <c r="I30" s="16">
        <f>$I29+$G30-$H30</f>
        <v/>
      </c>
      <c r="J30" s="16">
        <f>IF($A30&lt;前提条件!$B$37,0,ROUND($G30*前提条件!$B$33+$I29*前提条件!$B$34,0))</f>
        <v/>
      </c>
      <c r="K30" s="16">
        <f>IF(OR($A30=5,$A30=11,$A30=15,$A30=22,$A30=30),ROUND($I29*前提条件!$B$35,0),0)</f>
        <v/>
      </c>
      <c r="L30" s="16">
        <f>$J30+$K30</f>
        <v/>
      </c>
      <c r="M30" s="16">
        <f>IF($A30&lt;=12,前提条件!$B$31,前提条件!$B$32)*前提条件!$B$19</f>
        <v/>
      </c>
      <c r="N30" s="16">
        <f>ROUND($L30*$M30*(1-前提条件!$B$36),0)</f>
        <v/>
      </c>
      <c r="O30" s="16">
        <f>ROUND($D30*前提条件!$B$39,0)</f>
        <v/>
      </c>
      <c r="P30" s="16">
        <f>ROUND(IF($A30&lt;10,0,IF($A30&lt;=12,前提条件!$B$42,IF($A30&lt;=18,前提条件!$B$43,IF($A30&lt;=24,前提条件!$B$44,前提条件!$B$45))))*前提条件!$B$41,0)</f>
        <v/>
      </c>
      <c r="Q30" s="16">
        <f>IF($A30&lt;15,0,ROUND($G30*前提条件!$B$48*前提条件!$B$47*前提条件!$B$19,0))</f>
        <v/>
      </c>
      <c r="R30" s="16">
        <f>IF($A30&lt;20,0,IF($A30&lt;=24,前提条件!$B$51,前提条件!$B$52)*前提条件!$B$50)</f>
        <v/>
      </c>
      <c r="S30" s="16">
        <f>SUM($N30:$R30)</f>
        <v/>
      </c>
      <c r="T30" s="16">
        <f>IF($A30&lt;=6,前提条件!$B$54,IF($A30&lt;=18,前提条件!$B$55,前提条件!$B$56))</f>
        <v/>
      </c>
      <c r="U30" s="16">
        <f>IF($A30&lt;=12,前提条件!$B$57,前提条件!$B$58)</f>
        <v/>
      </c>
      <c r="V30" s="16">
        <f>前提条件!$B$59</f>
        <v/>
      </c>
      <c r="W30" s="16">
        <f>IF($A30&lt;=6,0,IF($A30&lt;=12,前提条件!$B$60,IF($A30&lt;=24,前提条件!$B$61,前提条件!$B$62)))</f>
        <v/>
      </c>
      <c r="X30" s="16">
        <f>IF($A30&lt;5,0,IF($A30&lt;=12,前提条件!$B$63,IF($A30&lt;=24,前提条件!$B$64,前提条件!$B$65)))</f>
        <v/>
      </c>
      <c r="Y30" s="16">
        <f>IF($A30&lt;=12,0,IF($A30&lt;=18,前提条件!$B$66,IF($A30&lt;=24,前提条件!$B$67,前提条件!$B$68)))</f>
        <v/>
      </c>
      <c r="Z30" s="16">
        <f>ROUND(($N30+$Q30)*前提条件!$B$69,0)</f>
        <v/>
      </c>
      <c r="AA30" s="16">
        <f>IF($A30=1,前提条件!$B$70,0)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IF($A31&lt;=3,前提条件!$B$21,IF($A31&lt;=6,前提条件!$B$22,IF($A31&lt;=12,前提条件!$B$23,IF($A31&lt;=24,前提条件!$B$24,前提条件!$B$25))))</f>
        <v/>
      </c>
      <c r="D31" s="16">
        <f>$D30+$C31</f>
        <v/>
      </c>
      <c r="E31" s="16">
        <f>ROUND($C31*前提条件!$B$27,0)</f>
        <v/>
      </c>
      <c r="F31" s="16">
        <f>IF($X31=0,0,ROUND($X31/前提条件!$B$28,0))</f>
        <v/>
      </c>
      <c r="G31" s="16">
        <f>$E31+$F31</f>
        <v/>
      </c>
      <c r="H31" s="16">
        <f>ROUND($I30*前提条件!$B$29,0)</f>
        <v/>
      </c>
      <c r="I31" s="16">
        <f>$I30+$G31-$H31</f>
        <v/>
      </c>
      <c r="J31" s="16">
        <f>IF($A31&lt;前提条件!$B$37,0,ROUND($G31*前提条件!$B$33+$I30*前提条件!$B$34,0))</f>
        <v/>
      </c>
      <c r="K31" s="16">
        <f>IF(OR($A31=5,$A31=11,$A31=15,$A31=22,$A31=30),ROUND($I30*前提条件!$B$35,0),0)</f>
        <v/>
      </c>
      <c r="L31" s="16">
        <f>$J31+$K31</f>
        <v/>
      </c>
      <c r="M31" s="16">
        <f>IF($A31&lt;=12,前提条件!$B$31,前提条件!$B$32)*前提条件!$B$19</f>
        <v/>
      </c>
      <c r="N31" s="16">
        <f>ROUND($L31*$M31*(1-前提条件!$B$36),0)</f>
        <v/>
      </c>
      <c r="O31" s="16">
        <f>ROUND($D31*前提条件!$B$39,0)</f>
        <v/>
      </c>
      <c r="P31" s="16">
        <f>ROUND(IF($A31&lt;10,0,IF($A31&lt;=12,前提条件!$B$42,IF($A31&lt;=18,前提条件!$B$43,IF($A31&lt;=24,前提条件!$B$44,前提条件!$B$45))))*前提条件!$B$41,0)</f>
        <v/>
      </c>
      <c r="Q31" s="16">
        <f>IF($A31&lt;15,0,ROUND($G31*前提条件!$B$48*前提条件!$B$47*前提条件!$B$19,0))</f>
        <v/>
      </c>
      <c r="R31" s="16">
        <f>IF($A31&lt;20,0,IF($A31&lt;=24,前提条件!$B$51,前提条件!$B$52)*前提条件!$B$50)</f>
        <v/>
      </c>
      <c r="S31" s="16">
        <f>SUM($N31:$R31)</f>
        <v/>
      </c>
      <c r="T31" s="16">
        <f>IF($A31&lt;=6,前提条件!$B$54,IF($A31&lt;=18,前提条件!$B$55,前提条件!$B$56))</f>
        <v/>
      </c>
      <c r="U31" s="16">
        <f>IF($A31&lt;=12,前提条件!$B$57,前提条件!$B$58)</f>
        <v/>
      </c>
      <c r="V31" s="16">
        <f>前提条件!$B$59</f>
        <v/>
      </c>
      <c r="W31" s="16">
        <f>IF($A31&lt;=6,0,IF($A31&lt;=12,前提条件!$B$60,IF($A31&lt;=24,前提条件!$B$61,前提条件!$B$62)))</f>
        <v/>
      </c>
      <c r="X31" s="16">
        <f>IF($A31&lt;5,0,IF($A31&lt;=12,前提条件!$B$63,IF($A31&lt;=24,前提条件!$B$64,前提条件!$B$65)))</f>
        <v/>
      </c>
      <c r="Y31" s="16">
        <f>IF($A31&lt;=12,0,IF($A31&lt;=18,前提条件!$B$66,IF($A31&lt;=24,前提条件!$B$67,前提条件!$B$68)))</f>
        <v/>
      </c>
      <c r="Z31" s="16">
        <f>ROUND(($N31+$Q31)*前提条件!$B$69,0)</f>
        <v/>
      </c>
      <c r="AA31" s="16">
        <f>IF($A31=1,前提条件!$B$70,0)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IF($A32&lt;=3,前提条件!$B$21,IF($A32&lt;=6,前提条件!$B$22,IF($A32&lt;=12,前提条件!$B$23,IF($A32&lt;=24,前提条件!$B$24,前提条件!$B$25))))</f>
        <v/>
      </c>
      <c r="D32" s="16">
        <f>$D31+$C32</f>
        <v/>
      </c>
      <c r="E32" s="16">
        <f>ROUND($C32*前提条件!$B$27,0)</f>
        <v/>
      </c>
      <c r="F32" s="16">
        <f>IF($X32=0,0,ROUND($X32/前提条件!$B$28,0))</f>
        <v/>
      </c>
      <c r="G32" s="16">
        <f>$E32+$F32</f>
        <v/>
      </c>
      <c r="H32" s="16">
        <f>ROUND($I31*前提条件!$B$29,0)</f>
        <v/>
      </c>
      <c r="I32" s="16">
        <f>$I31+$G32-$H32</f>
        <v/>
      </c>
      <c r="J32" s="16">
        <f>IF($A32&lt;前提条件!$B$37,0,ROUND($G32*前提条件!$B$33+$I31*前提条件!$B$34,0))</f>
        <v/>
      </c>
      <c r="K32" s="16">
        <f>IF(OR($A32=5,$A32=11,$A32=15,$A32=22,$A32=30),ROUND($I31*前提条件!$B$35,0),0)</f>
        <v/>
      </c>
      <c r="L32" s="16">
        <f>$J32+$K32</f>
        <v/>
      </c>
      <c r="M32" s="16">
        <f>IF($A32&lt;=12,前提条件!$B$31,前提条件!$B$32)*前提条件!$B$19</f>
        <v/>
      </c>
      <c r="N32" s="16">
        <f>ROUND($L32*$M32*(1-前提条件!$B$36),0)</f>
        <v/>
      </c>
      <c r="O32" s="16">
        <f>ROUND($D32*前提条件!$B$39,0)</f>
        <v/>
      </c>
      <c r="P32" s="16">
        <f>ROUND(IF($A32&lt;10,0,IF($A32&lt;=12,前提条件!$B$42,IF($A32&lt;=18,前提条件!$B$43,IF($A32&lt;=24,前提条件!$B$44,前提条件!$B$45))))*前提条件!$B$41,0)</f>
        <v/>
      </c>
      <c r="Q32" s="16">
        <f>IF($A32&lt;15,0,ROUND($G32*前提条件!$B$48*前提条件!$B$47*前提条件!$B$19,0))</f>
        <v/>
      </c>
      <c r="R32" s="16">
        <f>IF($A32&lt;20,0,IF($A32&lt;=24,前提条件!$B$51,前提条件!$B$52)*前提条件!$B$50)</f>
        <v/>
      </c>
      <c r="S32" s="16">
        <f>SUM($N32:$R32)</f>
        <v/>
      </c>
      <c r="T32" s="16">
        <f>IF($A32&lt;=6,前提条件!$B$54,IF($A32&lt;=18,前提条件!$B$55,前提条件!$B$56))</f>
        <v/>
      </c>
      <c r="U32" s="16">
        <f>IF($A32&lt;=12,前提条件!$B$57,前提条件!$B$58)</f>
        <v/>
      </c>
      <c r="V32" s="16">
        <f>前提条件!$B$59</f>
        <v/>
      </c>
      <c r="W32" s="16">
        <f>IF($A32&lt;=6,0,IF($A32&lt;=12,前提条件!$B$60,IF($A32&lt;=24,前提条件!$B$61,前提条件!$B$62)))</f>
        <v/>
      </c>
      <c r="X32" s="16">
        <f>IF($A32&lt;5,0,IF($A32&lt;=12,前提条件!$B$63,IF($A32&lt;=24,前提条件!$B$64,前提条件!$B$65)))</f>
        <v/>
      </c>
      <c r="Y32" s="16">
        <f>IF($A32&lt;=12,0,IF($A32&lt;=18,前提条件!$B$66,IF($A32&lt;=24,前提条件!$B$67,前提条件!$B$68)))</f>
        <v/>
      </c>
      <c r="Z32" s="16">
        <f>ROUND(($N32+$Q32)*前提条件!$B$69,0)</f>
        <v/>
      </c>
      <c r="AA32" s="16">
        <f>IF($A32=1,前提条件!$B$70,0)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IF($A33&lt;=3,前提条件!$B$21,IF($A33&lt;=6,前提条件!$B$22,IF($A33&lt;=12,前提条件!$B$23,IF($A33&lt;=24,前提条件!$B$24,前提条件!$B$25))))</f>
        <v/>
      </c>
      <c r="D33" s="16">
        <f>$D32+$C33</f>
        <v/>
      </c>
      <c r="E33" s="16">
        <f>ROUND($C33*前提条件!$B$27,0)</f>
        <v/>
      </c>
      <c r="F33" s="16">
        <f>IF($X33=0,0,ROUND($X33/前提条件!$B$28,0))</f>
        <v/>
      </c>
      <c r="G33" s="16">
        <f>$E33+$F33</f>
        <v/>
      </c>
      <c r="H33" s="16">
        <f>ROUND($I32*前提条件!$B$29,0)</f>
        <v/>
      </c>
      <c r="I33" s="16">
        <f>$I32+$G33-$H33</f>
        <v/>
      </c>
      <c r="J33" s="16">
        <f>IF($A33&lt;前提条件!$B$37,0,ROUND($G33*前提条件!$B$33+$I32*前提条件!$B$34,0))</f>
        <v/>
      </c>
      <c r="K33" s="16">
        <f>IF(OR($A33=5,$A33=11,$A33=15,$A33=22,$A33=30),ROUND($I32*前提条件!$B$35,0),0)</f>
        <v/>
      </c>
      <c r="L33" s="16">
        <f>$J33+$K33</f>
        <v/>
      </c>
      <c r="M33" s="16">
        <f>IF($A33&lt;=12,前提条件!$B$31,前提条件!$B$32)*前提条件!$B$19</f>
        <v/>
      </c>
      <c r="N33" s="16">
        <f>ROUND($L33*$M33*(1-前提条件!$B$36),0)</f>
        <v/>
      </c>
      <c r="O33" s="16">
        <f>ROUND($D33*前提条件!$B$39,0)</f>
        <v/>
      </c>
      <c r="P33" s="16">
        <f>ROUND(IF($A33&lt;10,0,IF($A33&lt;=12,前提条件!$B$42,IF($A33&lt;=18,前提条件!$B$43,IF($A33&lt;=24,前提条件!$B$44,前提条件!$B$45))))*前提条件!$B$41,0)</f>
        <v/>
      </c>
      <c r="Q33" s="16">
        <f>IF($A33&lt;15,0,ROUND($G33*前提条件!$B$48*前提条件!$B$47*前提条件!$B$19,0))</f>
        <v/>
      </c>
      <c r="R33" s="16">
        <f>IF($A33&lt;20,0,IF($A33&lt;=24,前提条件!$B$51,前提条件!$B$52)*前提条件!$B$50)</f>
        <v/>
      </c>
      <c r="S33" s="16">
        <f>SUM($N33:$R33)</f>
        <v/>
      </c>
      <c r="T33" s="16">
        <f>IF($A33&lt;=6,前提条件!$B$54,IF($A33&lt;=18,前提条件!$B$55,前提条件!$B$56))</f>
        <v/>
      </c>
      <c r="U33" s="16">
        <f>IF($A33&lt;=12,前提条件!$B$57,前提条件!$B$58)</f>
        <v/>
      </c>
      <c r="V33" s="16">
        <f>前提条件!$B$59</f>
        <v/>
      </c>
      <c r="W33" s="16">
        <f>IF($A33&lt;=6,0,IF($A33&lt;=12,前提条件!$B$60,IF($A33&lt;=24,前提条件!$B$61,前提条件!$B$62)))</f>
        <v/>
      </c>
      <c r="X33" s="16">
        <f>IF($A33&lt;5,0,IF($A33&lt;=12,前提条件!$B$63,IF($A33&lt;=24,前提条件!$B$64,前提条件!$B$65)))</f>
        <v/>
      </c>
      <c r="Y33" s="16">
        <f>IF($A33&lt;=12,0,IF($A33&lt;=18,前提条件!$B$66,IF($A33&lt;=24,前提条件!$B$67,前提条件!$B$68)))</f>
        <v/>
      </c>
      <c r="Z33" s="16">
        <f>ROUND(($N33+$Q33)*前提条件!$B$69,0)</f>
        <v/>
      </c>
      <c r="AA33" s="16">
        <f>IF($A33=1,前提条件!$B$70,0)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IF($A34&lt;=3,前提条件!$B$21,IF($A34&lt;=6,前提条件!$B$22,IF($A34&lt;=12,前提条件!$B$23,IF($A34&lt;=24,前提条件!$B$24,前提条件!$B$25))))</f>
        <v/>
      </c>
      <c r="D34" s="16">
        <f>$D33+$C34</f>
        <v/>
      </c>
      <c r="E34" s="16">
        <f>ROUND($C34*前提条件!$B$27,0)</f>
        <v/>
      </c>
      <c r="F34" s="16">
        <f>IF($X34=0,0,ROUND($X34/前提条件!$B$28,0))</f>
        <v/>
      </c>
      <c r="G34" s="16">
        <f>$E34+$F34</f>
        <v/>
      </c>
      <c r="H34" s="16">
        <f>ROUND($I33*前提条件!$B$29,0)</f>
        <v/>
      </c>
      <c r="I34" s="16">
        <f>$I33+$G34-$H34</f>
        <v/>
      </c>
      <c r="J34" s="16">
        <f>IF($A34&lt;前提条件!$B$37,0,ROUND($G34*前提条件!$B$33+$I33*前提条件!$B$34,0))</f>
        <v/>
      </c>
      <c r="K34" s="16">
        <f>IF(OR($A34=5,$A34=11,$A34=15,$A34=22,$A34=30),ROUND($I33*前提条件!$B$35,0),0)</f>
        <v/>
      </c>
      <c r="L34" s="16">
        <f>$J34+$K34</f>
        <v/>
      </c>
      <c r="M34" s="16">
        <f>IF($A34&lt;=12,前提条件!$B$31,前提条件!$B$32)*前提条件!$B$19</f>
        <v/>
      </c>
      <c r="N34" s="16">
        <f>ROUND($L34*$M34*(1-前提条件!$B$36),0)</f>
        <v/>
      </c>
      <c r="O34" s="16">
        <f>ROUND($D34*前提条件!$B$39,0)</f>
        <v/>
      </c>
      <c r="P34" s="16">
        <f>ROUND(IF($A34&lt;10,0,IF($A34&lt;=12,前提条件!$B$42,IF($A34&lt;=18,前提条件!$B$43,IF($A34&lt;=24,前提条件!$B$44,前提条件!$B$45))))*前提条件!$B$41,0)</f>
        <v/>
      </c>
      <c r="Q34" s="16">
        <f>IF($A34&lt;15,0,ROUND($G34*前提条件!$B$48*前提条件!$B$47*前提条件!$B$19,0))</f>
        <v/>
      </c>
      <c r="R34" s="16">
        <f>IF($A34&lt;20,0,IF($A34&lt;=24,前提条件!$B$51,前提条件!$B$52)*前提条件!$B$50)</f>
        <v/>
      </c>
      <c r="S34" s="16">
        <f>SUM($N34:$R34)</f>
        <v/>
      </c>
      <c r="T34" s="16">
        <f>IF($A34&lt;=6,前提条件!$B$54,IF($A34&lt;=18,前提条件!$B$55,前提条件!$B$56))</f>
        <v/>
      </c>
      <c r="U34" s="16">
        <f>IF($A34&lt;=12,前提条件!$B$57,前提条件!$B$58)</f>
        <v/>
      </c>
      <c r="V34" s="16">
        <f>前提条件!$B$59</f>
        <v/>
      </c>
      <c r="W34" s="16">
        <f>IF($A34&lt;=6,0,IF($A34&lt;=12,前提条件!$B$60,IF($A34&lt;=24,前提条件!$B$61,前提条件!$B$62)))</f>
        <v/>
      </c>
      <c r="X34" s="16">
        <f>IF($A34&lt;5,0,IF($A34&lt;=12,前提条件!$B$63,IF($A34&lt;=24,前提条件!$B$64,前提条件!$B$65)))</f>
        <v/>
      </c>
      <c r="Y34" s="16">
        <f>IF($A34&lt;=12,0,IF($A34&lt;=18,前提条件!$B$66,IF($A34&lt;=24,前提条件!$B$67,前提条件!$B$68)))</f>
        <v/>
      </c>
      <c r="Z34" s="16">
        <f>ROUND(($N34+$Q34)*前提条件!$B$69,0)</f>
        <v/>
      </c>
      <c r="AA34" s="16">
        <f>IF($A34=1,前提条件!$B$70,0)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IF($A35&lt;=3,前提条件!$B$21,IF($A35&lt;=6,前提条件!$B$22,IF($A35&lt;=12,前提条件!$B$23,IF($A35&lt;=24,前提条件!$B$24,前提条件!$B$25))))</f>
        <v/>
      </c>
      <c r="D35" s="16">
        <f>$D34+$C35</f>
        <v/>
      </c>
      <c r="E35" s="16">
        <f>ROUND($C35*前提条件!$B$27,0)</f>
        <v/>
      </c>
      <c r="F35" s="16">
        <f>IF($X35=0,0,ROUND($X35/前提条件!$B$28,0))</f>
        <v/>
      </c>
      <c r="G35" s="16">
        <f>$E35+$F35</f>
        <v/>
      </c>
      <c r="H35" s="16">
        <f>ROUND($I34*前提条件!$B$29,0)</f>
        <v/>
      </c>
      <c r="I35" s="16">
        <f>$I34+$G35-$H35</f>
        <v/>
      </c>
      <c r="J35" s="16">
        <f>IF($A35&lt;前提条件!$B$37,0,ROUND($G35*前提条件!$B$33+$I34*前提条件!$B$34,0))</f>
        <v/>
      </c>
      <c r="K35" s="16">
        <f>IF(OR($A35=5,$A35=11,$A35=15,$A35=22,$A35=30),ROUND($I34*前提条件!$B$35,0),0)</f>
        <v/>
      </c>
      <c r="L35" s="16">
        <f>$J35+$K35</f>
        <v/>
      </c>
      <c r="M35" s="16">
        <f>IF($A35&lt;=12,前提条件!$B$31,前提条件!$B$32)*前提条件!$B$19</f>
        <v/>
      </c>
      <c r="N35" s="16">
        <f>ROUND($L35*$M35*(1-前提条件!$B$36),0)</f>
        <v/>
      </c>
      <c r="O35" s="16">
        <f>ROUND($D35*前提条件!$B$39,0)</f>
        <v/>
      </c>
      <c r="P35" s="16">
        <f>ROUND(IF($A35&lt;10,0,IF($A35&lt;=12,前提条件!$B$42,IF($A35&lt;=18,前提条件!$B$43,IF($A35&lt;=24,前提条件!$B$44,前提条件!$B$45))))*前提条件!$B$41,0)</f>
        <v/>
      </c>
      <c r="Q35" s="16">
        <f>IF($A35&lt;15,0,ROUND($G35*前提条件!$B$48*前提条件!$B$47*前提条件!$B$19,0))</f>
        <v/>
      </c>
      <c r="R35" s="16">
        <f>IF($A35&lt;20,0,IF($A35&lt;=24,前提条件!$B$51,前提条件!$B$52)*前提条件!$B$50)</f>
        <v/>
      </c>
      <c r="S35" s="16">
        <f>SUM($N35:$R35)</f>
        <v/>
      </c>
      <c r="T35" s="16">
        <f>IF($A35&lt;=6,前提条件!$B$54,IF($A35&lt;=18,前提条件!$B$55,前提条件!$B$56))</f>
        <v/>
      </c>
      <c r="U35" s="16">
        <f>IF($A35&lt;=12,前提条件!$B$57,前提条件!$B$58)</f>
        <v/>
      </c>
      <c r="V35" s="16">
        <f>前提条件!$B$59</f>
        <v/>
      </c>
      <c r="W35" s="16">
        <f>IF($A35&lt;=6,0,IF($A35&lt;=12,前提条件!$B$60,IF($A35&lt;=24,前提条件!$B$61,前提条件!$B$62)))</f>
        <v/>
      </c>
      <c r="X35" s="16">
        <f>IF($A35&lt;5,0,IF($A35&lt;=12,前提条件!$B$63,IF($A35&lt;=24,前提条件!$B$64,前提条件!$B$65)))</f>
        <v/>
      </c>
      <c r="Y35" s="16">
        <f>IF($A35&lt;=12,0,IF($A35&lt;=18,前提条件!$B$66,IF($A35&lt;=24,前提条件!$B$67,前提条件!$B$68)))</f>
        <v/>
      </c>
      <c r="Z35" s="16">
        <f>ROUND(($N35+$Q35)*前提条件!$B$69,0)</f>
        <v/>
      </c>
      <c r="AA35" s="16">
        <f>IF($A35=1,前提条件!$B$70,0)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IF($A36&lt;=3,前提条件!$B$21,IF($A36&lt;=6,前提条件!$B$22,IF($A36&lt;=12,前提条件!$B$23,IF($A36&lt;=24,前提条件!$B$24,前提条件!$B$25))))</f>
        <v/>
      </c>
      <c r="D36" s="16">
        <f>$D35+$C36</f>
        <v/>
      </c>
      <c r="E36" s="16">
        <f>ROUND($C36*前提条件!$B$27,0)</f>
        <v/>
      </c>
      <c r="F36" s="16">
        <f>IF($X36=0,0,ROUND($X36/前提条件!$B$28,0))</f>
        <v/>
      </c>
      <c r="G36" s="16">
        <f>$E36+$F36</f>
        <v/>
      </c>
      <c r="H36" s="16">
        <f>ROUND($I35*前提条件!$B$29,0)</f>
        <v/>
      </c>
      <c r="I36" s="16">
        <f>$I35+$G36-$H36</f>
        <v/>
      </c>
      <c r="J36" s="16">
        <f>IF($A36&lt;前提条件!$B$37,0,ROUND($G36*前提条件!$B$33+$I35*前提条件!$B$34,0))</f>
        <v/>
      </c>
      <c r="K36" s="16">
        <f>IF(OR($A36=5,$A36=11,$A36=15,$A36=22,$A36=30),ROUND($I35*前提条件!$B$35,0),0)</f>
        <v/>
      </c>
      <c r="L36" s="16">
        <f>$J36+$K36</f>
        <v/>
      </c>
      <c r="M36" s="16">
        <f>IF($A36&lt;=12,前提条件!$B$31,前提条件!$B$32)*前提条件!$B$19</f>
        <v/>
      </c>
      <c r="N36" s="16">
        <f>ROUND($L36*$M36*(1-前提条件!$B$36),0)</f>
        <v/>
      </c>
      <c r="O36" s="16">
        <f>ROUND($D36*前提条件!$B$39,0)</f>
        <v/>
      </c>
      <c r="P36" s="16">
        <f>ROUND(IF($A36&lt;10,0,IF($A36&lt;=12,前提条件!$B$42,IF($A36&lt;=18,前提条件!$B$43,IF($A36&lt;=24,前提条件!$B$44,前提条件!$B$45))))*前提条件!$B$41,0)</f>
        <v/>
      </c>
      <c r="Q36" s="16">
        <f>IF($A36&lt;15,0,ROUND($G36*前提条件!$B$48*前提条件!$B$47*前提条件!$B$19,0))</f>
        <v/>
      </c>
      <c r="R36" s="16">
        <f>IF($A36&lt;20,0,IF($A36&lt;=24,前提条件!$B$51,前提条件!$B$52)*前提条件!$B$50)</f>
        <v/>
      </c>
      <c r="S36" s="16">
        <f>SUM($N36:$R36)</f>
        <v/>
      </c>
      <c r="T36" s="16">
        <f>IF($A36&lt;=6,前提条件!$B$54,IF($A36&lt;=18,前提条件!$B$55,前提条件!$B$56))</f>
        <v/>
      </c>
      <c r="U36" s="16">
        <f>IF($A36&lt;=12,前提条件!$B$57,前提条件!$B$58)</f>
        <v/>
      </c>
      <c r="V36" s="16">
        <f>前提条件!$B$59</f>
        <v/>
      </c>
      <c r="W36" s="16">
        <f>IF($A36&lt;=6,0,IF($A36&lt;=12,前提条件!$B$60,IF($A36&lt;=24,前提条件!$B$61,前提条件!$B$62)))</f>
        <v/>
      </c>
      <c r="X36" s="16">
        <f>IF($A36&lt;5,0,IF($A36&lt;=12,前提条件!$B$63,IF($A36&lt;=24,前提条件!$B$64,前提条件!$B$65)))</f>
        <v/>
      </c>
      <c r="Y36" s="16">
        <f>IF($A36&lt;=12,0,IF($A36&lt;=18,前提条件!$B$66,IF($A36&lt;=24,前提条件!$B$67,前提条件!$B$68)))</f>
        <v/>
      </c>
      <c r="Z36" s="16">
        <f>ROUND(($N36+$Q36)*前提条件!$B$69,0)</f>
        <v/>
      </c>
      <c r="AA36" s="16">
        <f>IF($A36=1,前提条件!$B$70,0)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IF($A37&lt;=3,前提条件!$B$21,IF($A37&lt;=6,前提条件!$B$22,IF($A37&lt;=12,前提条件!$B$23,IF($A37&lt;=24,前提条件!$B$24,前提条件!$B$25))))</f>
        <v/>
      </c>
      <c r="D37" s="16">
        <f>$D36+$C37</f>
        <v/>
      </c>
      <c r="E37" s="16">
        <f>ROUND($C37*前提条件!$B$27,0)</f>
        <v/>
      </c>
      <c r="F37" s="16">
        <f>IF($X37=0,0,ROUND($X37/前提条件!$B$28,0))</f>
        <v/>
      </c>
      <c r="G37" s="16">
        <f>$E37+$F37</f>
        <v/>
      </c>
      <c r="H37" s="16">
        <f>ROUND($I36*前提条件!$B$29,0)</f>
        <v/>
      </c>
      <c r="I37" s="16">
        <f>$I36+$G37-$H37</f>
        <v/>
      </c>
      <c r="J37" s="16">
        <f>IF($A37&lt;前提条件!$B$37,0,ROUND($G37*前提条件!$B$33+$I36*前提条件!$B$34,0))</f>
        <v/>
      </c>
      <c r="K37" s="16">
        <f>IF(OR($A37=5,$A37=11,$A37=15,$A37=22,$A37=30),ROUND($I36*前提条件!$B$35,0),0)</f>
        <v/>
      </c>
      <c r="L37" s="16">
        <f>$J37+$K37</f>
        <v/>
      </c>
      <c r="M37" s="16">
        <f>IF($A37&lt;=12,前提条件!$B$31,前提条件!$B$32)*前提条件!$B$19</f>
        <v/>
      </c>
      <c r="N37" s="16">
        <f>ROUND($L37*$M37*(1-前提条件!$B$36),0)</f>
        <v/>
      </c>
      <c r="O37" s="16">
        <f>ROUND($D37*前提条件!$B$39,0)</f>
        <v/>
      </c>
      <c r="P37" s="16">
        <f>ROUND(IF($A37&lt;10,0,IF($A37&lt;=12,前提条件!$B$42,IF($A37&lt;=18,前提条件!$B$43,IF($A37&lt;=24,前提条件!$B$44,前提条件!$B$45))))*前提条件!$B$41,0)</f>
        <v/>
      </c>
      <c r="Q37" s="16">
        <f>IF($A37&lt;15,0,ROUND($G37*前提条件!$B$48*前提条件!$B$47*前提条件!$B$19,0))</f>
        <v/>
      </c>
      <c r="R37" s="16">
        <f>IF($A37&lt;20,0,IF($A37&lt;=24,前提条件!$B$51,前提条件!$B$52)*前提条件!$B$50)</f>
        <v/>
      </c>
      <c r="S37" s="16">
        <f>SUM($N37:$R37)</f>
        <v/>
      </c>
      <c r="T37" s="16">
        <f>IF($A37&lt;=6,前提条件!$B$54,IF($A37&lt;=18,前提条件!$B$55,前提条件!$B$56))</f>
        <v/>
      </c>
      <c r="U37" s="16">
        <f>IF($A37&lt;=12,前提条件!$B$57,前提条件!$B$58)</f>
        <v/>
      </c>
      <c r="V37" s="16">
        <f>前提条件!$B$59</f>
        <v/>
      </c>
      <c r="W37" s="16">
        <f>IF($A37&lt;=6,0,IF($A37&lt;=12,前提条件!$B$60,IF($A37&lt;=24,前提条件!$B$61,前提条件!$B$62)))</f>
        <v/>
      </c>
      <c r="X37" s="16">
        <f>IF($A37&lt;5,0,IF($A37&lt;=12,前提条件!$B$63,IF($A37&lt;=24,前提条件!$B$64,前提条件!$B$65)))</f>
        <v/>
      </c>
      <c r="Y37" s="16">
        <f>IF($A37&lt;=12,0,IF($A37&lt;=18,前提条件!$B$66,IF($A37&lt;=24,前提条件!$B$67,前提条件!$B$68)))</f>
        <v/>
      </c>
      <c r="Z37" s="16">
        <f>ROUND(($N37+$Q37)*前提条件!$B$69,0)</f>
        <v/>
      </c>
      <c r="AA37" s="16">
        <f>IF($A37=1,前提条件!$B$70,0)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IF($A38&lt;=3,前提条件!$B$21,IF($A38&lt;=6,前提条件!$B$22,IF($A38&lt;=12,前提条件!$B$23,IF($A38&lt;=24,前提条件!$B$24,前提条件!$B$25))))</f>
        <v/>
      </c>
      <c r="D38" s="16">
        <f>$D37+$C38</f>
        <v/>
      </c>
      <c r="E38" s="16">
        <f>ROUND($C38*前提条件!$B$27,0)</f>
        <v/>
      </c>
      <c r="F38" s="16">
        <f>IF($X38=0,0,ROUND($X38/前提条件!$B$28,0))</f>
        <v/>
      </c>
      <c r="G38" s="16">
        <f>$E38+$F38</f>
        <v/>
      </c>
      <c r="H38" s="16">
        <f>ROUND($I37*前提条件!$B$29,0)</f>
        <v/>
      </c>
      <c r="I38" s="16">
        <f>$I37+$G38-$H38</f>
        <v/>
      </c>
      <c r="J38" s="16">
        <f>IF($A38&lt;前提条件!$B$37,0,ROUND($G38*前提条件!$B$33+$I37*前提条件!$B$34,0))</f>
        <v/>
      </c>
      <c r="K38" s="16">
        <f>IF(OR($A38=5,$A38=11,$A38=15,$A38=22,$A38=30),ROUND($I37*前提条件!$B$35,0),0)</f>
        <v/>
      </c>
      <c r="L38" s="16">
        <f>$J38+$K38</f>
        <v/>
      </c>
      <c r="M38" s="16">
        <f>IF($A38&lt;=12,前提条件!$B$31,前提条件!$B$32)*前提条件!$B$19</f>
        <v/>
      </c>
      <c r="N38" s="16">
        <f>ROUND($L38*$M38*(1-前提条件!$B$36),0)</f>
        <v/>
      </c>
      <c r="O38" s="16">
        <f>ROUND($D38*前提条件!$B$39,0)</f>
        <v/>
      </c>
      <c r="P38" s="16">
        <f>ROUND(IF($A38&lt;10,0,IF($A38&lt;=12,前提条件!$B$42,IF($A38&lt;=18,前提条件!$B$43,IF($A38&lt;=24,前提条件!$B$44,前提条件!$B$45))))*前提条件!$B$41,0)</f>
        <v/>
      </c>
      <c r="Q38" s="16">
        <f>IF($A38&lt;15,0,ROUND($G38*前提条件!$B$48*前提条件!$B$47*前提条件!$B$19,0))</f>
        <v/>
      </c>
      <c r="R38" s="16">
        <f>IF($A38&lt;20,0,IF($A38&lt;=24,前提条件!$B$51,前提条件!$B$52)*前提条件!$B$50)</f>
        <v/>
      </c>
      <c r="S38" s="16">
        <f>SUM($N38:$R38)</f>
        <v/>
      </c>
      <c r="T38" s="16">
        <f>IF($A38&lt;=6,前提条件!$B$54,IF($A38&lt;=18,前提条件!$B$55,前提条件!$B$56))</f>
        <v/>
      </c>
      <c r="U38" s="16">
        <f>IF($A38&lt;=12,前提条件!$B$57,前提条件!$B$58)</f>
        <v/>
      </c>
      <c r="V38" s="16">
        <f>前提条件!$B$59</f>
        <v/>
      </c>
      <c r="W38" s="16">
        <f>IF($A38&lt;=6,0,IF($A38&lt;=12,前提条件!$B$60,IF($A38&lt;=24,前提条件!$B$61,前提条件!$B$62)))</f>
        <v/>
      </c>
      <c r="X38" s="16">
        <f>IF($A38&lt;5,0,IF($A38&lt;=12,前提条件!$B$63,IF($A38&lt;=24,前提条件!$B$64,前提条件!$B$65)))</f>
        <v/>
      </c>
      <c r="Y38" s="16">
        <f>IF($A38&lt;=12,0,IF($A38&lt;=18,前提条件!$B$66,IF($A38&lt;=24,前提条件!$B$67,前提条件!$B$68)))</f>
        <v/>
      </c>
      <c r="Z38" s="16">
        <f>ROUND(($N38+$Q38)*前提条件!$B$69,0)</f>
        <v/>
      </c>
      <c r="AA38" s="16">
        <f>IF($A38=1,前提条件!$B$70,0)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IF($A39&lt;=3,前提条件!$B$21,IF($A39&lt;=6,前提条件!$B$22,IF($A39&lt;=12,前提条件!$B$23,IF($A39&lt;=24,前提条件!$B$24,前提条件!$B$25))))</f>
        <v/>
      </c>
      <c r="D39" s="16">
        <f>$D38+$C39</f>
        <v/>
      </c>
      <c r="E39" s="16">
        <f>ROUND($C39*前提条件!$B$27,0)</f>
        <v/>
      </c>
      <c r="F39" s="16">
        <f>IF($X39=0,0,ROUND($X39/前提条件!$B$28,0))</f>
        <v/>
      </c>
      <c r="G39" s="16">
        <f>$E39+$F39</f>
        <v/>
      </c>
      <c r="H39" s="16">
        <f>ROUND($I38*前提条件!$B$29,0)</f>
        <v/>
      </c>
      <c r="I39" s="16">
        <f>$I38+$G39-$H39</f>
        <v/>
      </c>
      <c r="J39" s="16">
        <f>IF($A39&lt;前提条件!$B$37,0,ROUND($G39*前提条件!$B$33+$I38*前提条件!$B$34,0))</f>
        <v/>
      </c>
      <c r="K39" s="16">
        <f>IF(OR($A39=5,$A39=11,$A39=15,$A39=22,$A39=30),ROUND($I38*前提条件!$B$35,0),0)</f>
        <v/>
      </c>
      <c r="L39" s="16">
        <f>$J39+$K39</f>
        <v/>
      </c>
      <c r="M39" s="16">
        <f>IF($A39&lt;=12,前提条件!$B$31,前提条件!$B$32)*前提条件!$B$19</f>
        <v/>
      </c>
      <c r="N39" s="16">
        <f>ROUND($L39*$M39*(1-前提条件!$B$36),0)</f>
        <v/>
      </c>
      <c r="O39" s="16">
        <f>ROUND($D39*前提条件!$B$39,0)</f>
        <v/>
      </c>
      <c r="P39" s="16">
        <f>ROUND(IF($A39&lt;10,0,IF($A39&lt;=12,前提条件!$B$42,IF($A39&lt;=18,前提条件!$B$43,IF($A39&lt;=24,前提条件!$B$44,前提条件!$B$45))))*前提条件!$B$41,0)</f>
        <v/>
      </c>
      <c r="Q39" s="16">
        <f>IF($A39&lt;15,0,ROUND($G39*前提条件!$B$48*前提条件!$B$47*前提条件!$B$19,0))</f>
        <v/>
      </c>
      <c r="R39" s="16">
        <f>IF($A39&lt;20,0,IF($A39&lt;=24,前提条件!$B$51,前提条件!$B$52)*前提条件!$B$50)</f>
        <v/>
      </c>
      <c r="S39" s="16">
        <f>SUM($N39:$R39)</f>
        <v/>
      </c>
      <c r="T39" s="16">
        <f>IF($A39&lt;=6,前提条件!$B$54,IF($A39&lt;=18,前提条件!$B$55,前提条件!$B$56))</f>
        <v/>
      </c>
      <c r="U39" s="16">
        <f>IF($A39&lt;=12,前提条件!$B$57,前提条件!$B$58)</f>
        <v/>
      </c>
      <c r="V39" s="16">
        <f>前提条件!$B$59</f>
        <v/>
      </c>
      <c r="W39" s="16">
        <f>IF($A39&lt;=6,0,IF($A39&lt;=12,前提条件!$B$60,IF($A39&lt;=24,前提条件!$B$61,前提条件!$B$62)))</f>
        <v/>
      </c>
      <c r="X39" s="16">
        <f>IF($A39&lt;5,0,IF($A39&lt;=12,前提条件!$B$63,IF($A39&lt;=24,前提条件!$B$64,前提条件!$B$65)))</f>
        <v/>
      </c>
      <c r="Y39" s="16">
        <f>IF($A39&lt;=12,0,IF($A39&lt;=18,前提条件!$B$66,IF($A39&lt;=24,前提条件!$B$67,前提条件!$B$68)))</f>
        <v/>
      </c>
      <c r="Z39" s="16">
        <f>ROUND(($N39+$Q39)*前提条件!$B$69,0)</f>
        <v/>
      </c>
      <c r="AA39" s="16">
        <f>IF($A39=1,前提条件!$B$70,0)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IF($A40&lt;=3,前提条件!$B$21,IF($A40&lt;=6,前提条件!$B$22,IF($A40&lt;=12,前提条件!$B$23,IF($A40&lt;=24,前提条件!$B$24,前提条件!$B$25))))</f>
        <v/>
      </c>
      <c r="D40" s="18">
        <f>$D39+$C40</f>
        <v/>
      </c>
      <c r="E40" s="18">
        <f>ROUND($C40*前提条件!$B$27,0)</f>
        <v/>
      </c>
      <c r="F40" s="18">
        <f>IF($X40=0,0,ROUND($X40/前提条件!$B$28,0))</f>
        <v/>
      </c>
      <c r="G40" s="18">
        <f>$E40+$F40</f>
        <v/>
      </c>
      <c r="H40" s="18">
        <f>ROUND($I39*前提条件!$B$29,0)</f>
        <v/>
      </c>
      <c r="I40" s="18">
        <f>$I39+$G40-$H40</f>
        <v/>
      </c>
      <c r="J40" s="18">
        <f>IF($A40&lt;前提条件!$B$37,0,ROUND($G40*前提条件!$B$33+$I39*前提条件!$B$34,0))</f>
        <v/>
      </c>
      <c r="K40" s="18">
        <f>IF(OR($A40=5,$A40=11,$A40=15,$A40=22,$A40=30),ROUND($I39*前提条件!$B$35,0),0)</f>
        <v/>
      </c>
      <c r="L40" s="18">
        <f>$J40+$K40</f>
        <v/>
      </c>
      <c r="M40" s="18">
        <f>IF($A40&lt;=12,前提条件!$B$31,前提条件!$B$32)*前提条件!$B$19</f>
        <v/>
      </c>
      <c r="N40" s="18">
        <f>ROUND($L40*$M40*(1-前提条件!$B$36),0)</f>
        <v/>
      </c>
      <c r="O40" s="18">
        <f>ROUND($D40*前提条件!$B$39,0)</f>
        <v/>
      </c>
      <c r="P40" s="18">
        <f>ROUND(IF($A40&lt;10,0,IF($A40&lt;=12,前提条件!$B$42,IF($A40&lt;=18,前提条件!$B$43,IF($A40&lt;=24,前提条件!$B$44,前提条件!$B$45))))*前提条件!$B$41,0)</f>
        <v/>
      </c>
      <c r="Q40" s="18">
        <f>IF($A40&lt;15,0,ROUND($G40*前提条件!$B$48*前提条件!$B$47*前提条件!$B$19,0))</f>
        <v/>
      </c>
      <c r="R40" s="18">
        <f>IF($A40&lt;20,0,IF($A40&lt;=24,前提条件!$B$51,前提条件!$B$52)*前提条件!$B$50)</f>
        <v/>
      </c>
      <c r="S40" s="18">
        <f>SUM($N40:$R40)</f>
        <v/>
      </c>
      <c r="T40" s="18">
        <f>IF($A40&lt;=6,前提条件!$B$54,IF($A40&lt;=18,前提条件!$B$55,前提条件!$B$56))</f>
        <v/>
      </c>
      <c r="U40" s="18">
        <f>IF($A40&lt;=12,前提条件!$B$57,前提条件!$B$58)</f>
        <v/>
      </c>
      <c r="V40" s="18">
        <f>前提条件!$B$59</f>
        <v/>
      </c>
      <c r="W40" s="18">
        <f>IF($A40&lt;=6,0,IF($A40&lt;=12,前提条件!$B$60,IF($A40&lt;=24,前提条件!$B$61,前提条件!$B$62)))</f>
        <v/>
      </c>
      <c r="X40" s="18">
        <f>IF($A40&lt;5,0,IF($A40&lt;=12,前提条件!$B$63,IF($A40&lt;=24,前提条件!$B$64,前提条件!$B$65)))</f>
        <v/>
      </c>
      <c r="Y40" s="18">
        <f>IF($A40&lt;=12,0,IF($A40&lt;=18,前提条件!$B$66,IF($A40&lt;=24,前提条件!$B$67,前提条件!$B$68)))</f>
        <v/>
      </c>
      <c r="Z40" s="18">
        <f>ROUND(($N40+$Q40)*前提条件!$B$69,0)</f>
        <v/>
      </c>
      <c r="AA40" s="18">
        <f>IF($A40=1,前提条件!$B$70,0)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標準シナリオ</t>
        </is>
      </c>
    </row>
    <row r="2">
      <c r="A2" s="2" t="inlineStr">
        <is>
          <t>前提条件シートのC列を参照。単位：円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レシピ商品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訪日商品</t>
        </is>
      </c>
      <c r="R4" s="15" t="inlineStr">
        <is>
          <t>予約代行</t>
        </is>
      </c>
      <c r="S4" s="15" t="inlineStr">
        <is>
          <t>売上合計</t>
        </is>
      </c>
      <c r="T4" s="15" t="inlineStr">
        <is>
          <t>食材費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IF($A5&lt;=3,前提条件!$C$21,IF($A5&lt;=6,前提条件!$C$22,IF($A5&lt;=12,前提条件!$C$23,IF($A5&lt;=24,前提条件!$C$24,前提条件!$C$25))))</f>
        <v/>
      </c>
      <c r="D5" s="16">
        <f>$C5</f>
        <v/>
      </c>
      <c r="E5" s="16">
        <f>ROUND($C5*前提条件!$C$27,0)</f>
        <v/>
      </c>
      <c r="F5" s="16">
        <f>IF($X5=0,0,ROUND($X5/前提条件!$C$28,0))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IF($A5&lt;前提条件!$C$37,0,ROUND($G5*前提条件!$C$33+0*前提条件!$C$34,0))</f>
        <v/>
      </c>
      <c r="K5" s="16">
        <f>IF(OR($A5=5,$A5=11,$A5=15,$A5=22,$A5=30),ROUND(0*前提条件!$C$35,0),0)</f>
        <v/>
      </c>
      <c r="L5" s="16">
        <f>$J5+$K5</f>
        <v/>
      </c>
      <c r="M5" s="16">
        <f>IF($A5&lt;=12,前提条件!$C$31,前提条件!$C$32)*前提条件!$C$19</f>
        <v/>
      </c>
      <c r="N5" s="16">
        <f>ROUND($L5*$M5*(1-前提条件!$C$36),0)</f>
        <v/>
      </c>
      <c r="O5" s="16">
        <f>ROUND($D5*前提条件!$C$39,0)</f>
        <v/>
      </c>
      <c r="P5" s="16">
        <f>ROUND(IF($A5&lt;10,0,IF($A5&lt;=12,前提条件!$C$42,IF($A5&lt;=18,前提条件!$C$43,IF($A5&lt;=24,前提条件!$C$44,前提条件!$C$45))))*前提条件!$C$41,0)</f>
        <v/>
      </c>
      <c r="Q5" s="16">
        <f>IF($A5&lt;15,0,ROUND($G5*前提条件!$C$48*前提条件!$C$47*前提条件!$C$19,0))</f>
        <v/>
      </c>
      <c r="R5" s="16">
        <f>IF($A5&lt;20,0,IF($A5&lt;=24,前提条件!$C$51,前提条件!$C$52)*前提条件!$C$50)</f>
        <v/>
      </c>
      <c r="S5" s="16">
        <f>SUM($N5:$R5)</f>
        <v/>
      </c>
      <c r="T5" s="16">
        <f>IF($A5&lt;=6,前提条件!$C$54,IF($A5&lt;=18,前提条件!$C$55,前提条件!$C$56))</f>
        <v/>
      </c>
      <c r="U5" s="16">
        <f>IF($A5&lt;=12,前提条件!$C$57,前提条件!$C$58)</f>
        <v/>
      </c>
      <c r="V5" s="16">
        <f>前提条件!$C$59</f>
        <v/>
      </c>
      <c r="W5" s="16">
        <f>IF($A5&lt;=6,0,IF($A5&lt;=12,前提条件!$C$60,IF($A5&lt;=24,前提条件!$C$61,前提条件!$C$62)))</f>
        <v/>
      </c>
      <c r="X5" s="16">
        <f>IF($A5&lt;5,0,IF($A5&lt;=12,前提条件!$C$63,IF($A5&lt;=24,前提条件!$C$64,前提条件!$C$65)))</f>
        <v/>
      </c>
      <c r="Y5" s="16">
        <f>IF($A5&lt;=12,0,IF($A5&lt;=18,前提条件!$C$66,IF($A5&lt;=24,前提条件!$C$67,前提条件!$C$68)))</f>
        <v/>
      </c>
      <c r="Z5" s="16">
        <f>ROUND(($N5+$Q5)*前提条件!$C$69,0)</f>
        <v/>
      </c>
      <c r="AA5" s="16">
        <f>IF($A5=1,前提条件!$C$70,0)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IF($A6&lt;=3,前提条件!$C$21,IF($A6&lt;=6,前提条件!$C$22,IF($A6&lt;=12,前提条件!$C$23,IF($A6&lt;=24,前提条件!$C$24,前提条件!$C$25))))</f>
        <v/>
      </c>
      <c r="D6" s="16">
        <f>$D5+$C6</f>
        <v/>
      </c>
      <c r="E6" s="16">
        <f>ROUND($C6*前提条件!$C$27,0)</f>
        <v/>
      </c>
      <c r="F6" s="16">
        <f>IF($X6=0,0,ROUND($X6/前提条件!$C$28,0))</f>
        <v/>
      </c>
      <c r="G6" s="16">
        <f>$E6+$F6</f>
        <v/>
      </c>
      <c r="H6" s="16">
        <f>ROUND($I5*前提条件!$C$29,0)</f>
        <v/>
      </c>
      <c r="I6" s="16">
        <f>$I5+$G6-$H6</f>
        <v/>
      </c>
      <c r="J6" s="16">
        <f>IF($A6&lt;前提条件!$C$37,0,ROUND($G6*前提条件!$C$33+$I5*前提条件!$C$34,0))</f>
        <v/>
      </c>
      <c r="K6" s="16">
        <f>IF(OR($A6=5,$A6=11,$A6=15,$A6=22,$A6=30),ROUND($I5*前提条件!$C$35,0),0)</f>
        <v/>
      </c>
      <c r="L6" s="16">
        <f>$J6+$K6</f>
        <v/>
      </c>
      <c r="M6" s="16">
        <f>IF($A6&lt;=12,前提条件!$C$31,前提条件!$C$32)*前提条件!$C$19</f>
        <v/>
      </c>
      <c r="N6" s="16">
        <f>ROUND($L6*$M6*(1-前提条件!$C$36),0)</f>
        <v/>
      </c>
      <c r="O6" s="16">
        <f>ROUND($D6*前提条件!$C$39,0)</f>
        <v/>
      </c>
      <c r="P6" s="16">
        <f>ROUND(IF($A6&lt;10,0,IF($A6&lt;=12,前提条件!$C$42,IF($A6&lt;=18,前提条件!$C$43,IF($A6&lt;=24,前提条件!$C$44,前提条件!$C$45))))*前提条件!$C$41,0)</f>
        <v/>
      </c>
      <c r="Q6" s="16">
        <f>IF($A6&lt;15,0,ROUND($G6*前提条件!$C$48*前提条件!$C$47*前提条件!$C$19,0))</f>
        <v/>
      </c>
      <c r="R6" s="16">
        <f>IF($A6&lt;20,0,IF($A6&lt;=24,前提条件!$C$51,前提条件!$C$52)*前提条件!$C$50)</f>
        <v/>
      </c>
      <c r="S6" s="16">
        <f>SUM($N6:$R6)</f>
        <v/>
      </c>
      <c r="T6" s="16">
        <f>IF($A6&lt;=6,前提条件!$C$54,IF($A6&lt;=18,前提条件!$C$55,前提条件!$C$56))</f>
        <v/>
      </c>
      <c r="U6" s="16">
        <f>IF($A6&lt;=12,前提条件!$C$57,前提条件!$C$58)</f>
        <v/>
      </c>
      <c r="V6" s="16">
        <f>前提条件!$C$59</f>
        <v/>
      </c>
      <c r="W6" s="16">
        <f>IF($A6&lt;=6,0,IF($A6&lt;=12,前提条件!$C$60,IF($A6&lt;=24,前提条件!$C$61,前提条件!$C$62)))</f>
        <v/>
      </c>
      <c r="X6" s="16">
        <f>IF($A6&lt;5,0,IF($A6&lt;=12,前提条件!$C$63,IF($A6&lt;=24,前提条件!$C$64,前提条件!$C$65)))</f>
        <v/>
      </c>
      <c r="Y6" s="16">
        <f>IF($A6&lt;=12,0,IF($A6&lt;=18,前提条件!$C$66,IF($A6&lt;=24,前提条件!$C$67,前提条件!$C$68)))</f>
        <v/>
      </c>
      <c r="Z6" s="16">
        <f>ROUND(($N6+$Q6)*前提条件!$C$69,0)</f>
        <v/>
      </c>
      <c r="AA6" s="16">
        <f>IF($A6=1,前提条件!$C$70,0)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IF($A7&lt;=3,前提条件!$C$21,IF($A7&lt;=6,前提条件!$C$22,IF($A7&lt;=12,前提条件!$C$23,IF($A7&lt;=24,前提条件!$C$24,前提条件!$C$25))))</f>
        <v/>
      </c>
      <c r="D7" s="16">
        <f>$D6+$C7</f>
        <v/>
      </c>
      <c r="E7" s="16">
        <f>ROUND($C7*前提条件!$C$27,0)</f>
        <v/>
      </c>
      <c r="F7" s="16">
        <f>IF($X7=0,0,ROUND($X7/前提条件!$C$28,0))</f>
        <v/>
      </c>
      <c r="G7" s="16">
        <f>$E7+$F7</f>
        <v/>
      </c>
      <c r="H7" s="16">
        <f>ROUND($I6*前提条件!$C$29,0)</f>
        <v/>
      </c>
      <c r="I7" s="16">
        <f>$I6+$G7-$H7</f>
        <v/>
      </c>
      <c r="J7" s="16">
        <f>IF($A7&lt;前提条件!$C$37,0,ROUND($G7*前提条件!$C$33+$I6*前提条件!$C$34,0))</f>
        <v/>
      </c>
      <c r="K7" s="16">
        <f>IF(OR($A7=5,$A7=11,$A7=15,$A7=22,$A7=30),ROUND($I6*前提条件!$C$35,0),0)</f>
        <v/>
      </c>
      <c r="L7" s="16">
        <f>$J7+$K7</f>
        <v/>
      </c>
      <c r="M7" s="16">
        <f>IF($A7&lt;=12,前提条件!$C$31,前提条件!$C$32)*前提条件!$C$19</f>
        <v/>
      </c>
      <c r="N7" s="16">
        <f>ROUND($L7*$M7*(1-前提条件!$C$36),0)</f>
        <v/>
      </c>
      <c r="O7" s="16">
        <f>ROUND($D7*前提条件!$C$39,0)</f>
        <v/>
      </c>
      <c r="P7" s="16">
        <f>ROUND(IF($A7&lt;10,0,IF($A7&lt;=12,前提条件!$C$42,IF($A7&lt;=18,前提条件!$C$43,IF($A7&lt;=24,前提条件!$C$44,前提条件!$C$45))))*前提条件!$C$41,0)</f>
        <v/>
      </c>
      <c r="Q7" s="16">
        <f>IF($A7&lt;15,0,ROUND($G7*前提条件!$C$48*前提条件!$C$47*前提条件!$C$19,0))</f>
        <v/>
      </c>
      <c r="R7" s="16">
        <f>IF($A7&lt;20,0,IF($A7&lt;=24,前提条件!$C$51,前提条件!$C$52)*前提条件!$C$50)</f>
        <v/>
      </c>
      <c r="S7" s="16">
        <f>SUM($N7:$R7)</f>
        <v/>
      </c>
      <c r="T7" s="16">
        <f>IF($A7&lt;=6,前提条件!$C$54,IF($A7&lt;=18,前提条件!$C$55,前提条件!$C$56))</f>
        <v/>
      </c>
      <c r="U7" s="16">
        <f>IF($A7&lt;=12,前提条件!$C$57,前提条件!$C$58)</f>
        <v/>
      </c>
      <c r="V7" s="16">
        <f>前提条件!$C$59</f>
        <v/>
      </c>
      <c r="W7" s="16">
        <f>IF($A7&lt;=6,0,IF($A7&lt;=12,前提条件!$C$60,IF($A7&lt;=24,前提条件!$C$61,前提条件!$C$62)))</f>
        <v/>
      </c>
      <c r="X7" s="16">
        <f>IF($A7&lt;5,0,IF($A7&lt;=12,前提条件!$C$63,IF($A7&lt;=24,前提条件!$C$64,前提条件!$C$65)))</f>
        <v/>
      </c>
      <c r="Y7" s="16">
        <f>IF($A7&lt;=12,0,IF($A7&lt;=18,前提条件!$C$66,IF($A7&lt;=24,前提条件!$C$67,前提条件!$C$68)))</f>
        <v/>
      </c>
      <c r="Z7" s="16">
        <f>ROUND(($N7+$Q7)*前提条件!$C$69,0)</f>
        <v/>
      </c>
      <c r="AA7" s="16">
        <f>IF($A7=1,前提条件!$C$70,0)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IF($A8&lt;=3,前提条件!$C$21,IF($A8&lt;=6,前提条件!$C$22,IF($A8&lt;=12,前提条件!$C$23,IF($A8&lt;=24,前提条件!$C$24,前提条件!$C$25))))</f>
        <v/>
      </c>
      <c r="D8" s="16">
        <f>$D7+$C8</f>
        <v/>
      </c>
      <c r="E8" s="16">
        <f>ROUND($C8*前提条件!$C$27,0)</f>
        <v/>
      </c>
      <c r="F8" s="16">
        <f>IF($X8=0,0,ROUND($X8/前提条件!$C$28,0))</f>
        <v/>
      </c>
      <c r="G8" s="16">
        <f>$E8+$F8</f>
        <v/>
      </c>
      <c r="H8" s="16">
        <f>ROUND($I7*前提条件!$C$29,0)</f>
        <v/>
      </c>
      <c r="I8" s="16">
        <f>$I7+$G8-$H8</f>
        <v/>
      </c>
      <c r="J8" s="16">
        <f>IF($A8&lt;前提条件!$C$37,0,ROUND($G8*前提条件!$C$33+$I7*前提条件!$C$34,0))</f>
        <v/>
      </c>
      <c r="K8" s="16">
        <f>IF(OR($A8=5,$A8=11,$A8=15,$A8=22,$A8=30),ROUND($I7*前提条件!$C$35,0),0)</f>
        <v/>
      </c>
      <c r="L8" s="16">
        <f>$J8+$K8</f>
        <v/>
      </c>
      <c r="M8" s="16">
        <f>IF($A8&lt;=12,前提条件!$C$31,前提条件!$C$32)*前提条件!$C$19</f>
        <v/>
      </c>
      <c r="N8" s="16">
        <f>ROUND($L8*$M8*(1-前提条件!$C$36),0)</f>
        <v/>
      </c>
      <c r="O8" s="16">
        <f>ROUND($D8*前提条件!$C$39,0)</f>
        <v/>
      </c>
      <c r="P8" s="16">
        <f>ROUND(IF($A8&lt;10,0,IF($A8&lt;=12,前提条件!$C$42,IF($A8&lt;=18,前提条件!$C$43,IF($A8&lt;=24,前提条件!$C$44,前提条件!$C$45))))*前提条件!$C$41,0)</f>
        <v/>
      </c>
      <c r="Q8" s="16">
        <f>IF($A8&lt;15,0,ROUND($G8*前提条件!$C$48*前提条件!$C$47*前提条件!$C$19,0))</f>
        <v/>
      </c>
      <c r="R8" s="16">
        <f>IF($A8&lt;20,0,IF($A8&lt;=24,前提条件!$C$51,前提条件!$C$52)*前提条件!$C$50)</f>
        <v/>
      </c>
      <c r="S8" s="16">
        <f>SUM($N8:$R8)</f>
        <v/>
      </c>
      <c r="T8" s="16">
        <f>IF($A8&lt;=6,前提条件!$C$54,IF($A8&lt;=18,前提条件!$C$55,前提条件!$C$56))</f>
        <v/>
      </c>
      <c r="U8" s="16">
        <f>IF($A8&lt;=12,前提条件!$C$57,前提条件!$C$58)</f>
        <v/>
      </c>
      <c r="V8" s="16">
        <f>前提条件!$C$59</f>
        <v/>
      </c>
      <c r="W8" s="16">
        <f>IF($A8&lt;=6,0,IF($A8&lt;=12,前提条件!$C$60,IF($A8&lt;=24,前提条件!$C$61,前提条件!$C$62)))</f>
        <v/>
      </c>
      <c r="X8" s="16">
        <f>IF($A8&lt;5,0,IF($A8&lt;=12,前提条件!$C$63,IF($A8&lt;=24,前提条件!$C$64,前提条件!$C$65)))</f>
        <v/>
      </c>
      <c r="Y8" s="16">
        <f>IF($A8&lt;=12,0,IF($A8&lt;=18,前提条件!$C$66,IF($A8&lt;=24,前提条件!$C$67,前提条件!$C$68)))</f>
        <v/>
      </c>
      <c r="Z8" s="16">
        <f>ROUND(($N8+$Q8)*前提条件!$C$69,0)</f>
        <v/>
      </c>
      <c r="AA8" s="16">
        <f>IF($A8=1,前提条件!$C$70,0)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IF($A9&lt;=3,前提条件!$C$21,IF($A9&lt;=6,前提条件!$C$22,IF($A9&lt;=12,前提条件!$C$23,IF($A9&lt;=24,前提条件!$C$24,前提条件!$C$25))))</f>
        <v/>
      </c>
      <c r="D9" s="16">
        <f>$D8+$C9</f>
        <v/>
      </c>
      <c r="E9" s="16">
        <f>ROUND($C9*前提条件!$C$27,0)</f>
        <v/>
      </c>
      <c r="F9" s="16">
        <f>IF($X9=0,0,ROUND($X9/前提条件!$C$28,0))</f>
        <v/>
      </c>
      <c r="G9" s="16">
        <f>$E9+$F9</f>
        <v/>
      </c>
      <c r="H9" s="16">
        <f>ROUND($I8*前提条件!$C$29,0)</f>
        <v/>
      </c>
      <c r="I9" s="16">
        <f>$I8+$G9-$H9</f>
        <v/>
      </c>
      <c r="J9" s="16">
        <f>IF($A9&lt;前提条件!$C$37,0,ROUND($G9*前提条件!$C$33+$I8*前提条件!$C$34,0))</f>
        <v/>
      </c>
      <c r="K9" s="16">
        <f>IF(OR($A9=5,$A9=11,$A9=15,$A9=22,$A9=30),ROUND($I8*前提条件!$C$35,0),0)</f>
        <v/>
      </c>
      <c r="L9" s="16">
        <f>$J9+$K9</f>
        <v/>
      </c>
      <c r="M9" s="16">
        <f>IF($A9&lt;=12,前提条件!$C$31,前提条件!$C$32)*前提条件!$C$19</f>
        <v/>
      </c>
      <c r="N9" s="16">
        <f>ROUND($L9*$M9*(1-前提条件!$C$36),0)</f>
        <v/>
      </c>
      <c r="O9" s="16">
        <f>ROUND($D9*前提条件!$C$39,0)</f>
        <v/>
      </c>
      <c r="P9" s="16">
        <f>ROUND(IF($A9&lt;10,0,IF($A9&lt;=12,前提条件!$C$42,IF($A9&lt;=18,前提条件!$C$43,IF($A9&lt;=24,前提条件!$C$44,前提条件!$C$45))))*前提条件!$C$41,0)</f>
        <v/>
      </c>
      <c r="Q9" s="16">
        <f>IF($A9&lt;15,0,ROUND($G9*前提条件!$C$48*前提条件!$C$47*前提条件!$C$19,0))</f>
        <v/>
      </c>
      <c r="R9" s="16">
        <f>IF($A9&lt;20,0,IF($A9&lt;=24,前提条件!$C$51,前提条件!$C$52)*前提条件!$C$50)</f>
        <v/>
      </c>
      <c r="S9" s="16">
        <f>SUM($N9:$R9)</f>
        <v/>
      </c>
      <c r="T9" s="16">
        <f>IF($A9&lt;=6,前提条件!$C$54,IF($A9&lt;=18,前提条件!$C$55,前提条件!$C$56))</f>
        <v/>
      </c>
      <c r="U9" s="16">
        <f>IF($A9&lt;=12,前提条件!$C$57,前提条件!$C$58)</f>
        <v/>
      </c>
      <c r="V9" s="16">
        <f>前提条件!$C$59</f>
        <v/>
      </c>
      <c r="W9" s="16">
        <f>IF($A9&lt;=6,0,IF($A9&lt;=12,前提条件!$C$60,IF($A9&lt;=24,前提条件!$C$61,前提条件!$C$62)))</f>
        <v/>
      </c>
      <c r="X9" s="16">
        <f>IF($A9&lt;5,0,IF($A9&lt;=12,前提条件!$C$63,IF($A9&lt;=24,前提条件!$C$64,前提条件!$C$65)))</f>
        <v/>
      </c>
      <c r="Y9" s="16">
        <f>IF($A9&lt;=12,0,IF($A9&lt;=18,前提条件!$C$66,IF($A9&lt;=24,前提条件!$C$67,前提条件!$C$68)))</f>
        <v/>
      </c>
      <c r="Z9" s="16">
        <f>ROUND(($N9+$Q9)*前提条件!$C$69,0)</f>
        <v/>
      </c>
      <c r="AA9" s="16">
        <f>IF($A9=1,前提条件!$C$70,0)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IF($A10&lt;=3,前提条件!$C$21,IF($A10&lt;=6,前提条件!$C$22,IF($A10&lt;=12,前提条件!$C$23,IF($A10&lt;=24,前提条件!$C$24,前提条件!$C$25))))</f>
        <v/>
      </c>
      <c r="D10" s="16">
        <f>$D9+$C10</f>
        <v/>
      </c>
      <c r="E10" s="16">
        <f>ROUND($C10*前提条件!$C$27,0)</f>
        <v/>
      </c>
      <c r="F10" s="16">
        <f>IF($X10=0,0,ROUND($X10/前提条件!$C$28,0))</f>
        <v/>
      </c>
      <c r="G10" s="16">
        <f>$E10+$F10</f>
        <v/>
      </c>
      <c r="H10" s="16">
        <f>ROUND($I9*前提条件!$C$29,0)</f>
        <v/>
      </c>
      <c r="I10" s="16">
        <f>$I9+$G10-$H10</f>
        <v/>
      </c>
      <c r="J10" s="16">
        <f>IF($A10&lt;前提条件!$C$37,0,ROUND($G10*前提条件!$C$33+$I9*前提条件!$C$34,0))</f>
        <v/>
      </c>
      <c r="K10" s="16">
        <f>IF(OR($A10=5,$A10=11,$A10=15,$A10=22,$A10=30),ROUND($I9*前提条件!$C$35,0),0)</f>
        <v/>
      </c>
      <c r="L10" s="16">
        <f>$J10+$K10</f>
        <v/>
      </c>
      <c r="M10" s="16">
        <f>IF($A10&lt;=12,前提条件!$C$31,前提条件!$C$32)*前提条件!$C$19</f>
        <v/>
      </c>
      <c r="N10" s="16">
        <f>ROUND($L10*$M10*(1-前提条件!$C$36),0)</f>
        <v/>
      </c>
      <c r="O10" s="16">
        <f>ROUND($D10*前提条件!$C$39,0)</f>
        <v/>
      </c>
      <c r="P10" s="16">
        <f>ROUND(IF($A10&lt;10,0,IF($A10&lt;=12,前提条件!$C$42,IF($A10&lt;=18,前提条件!$C$43,IF($A10&lt;=24,前提条件!$C$44,前提条件!$C$45))))*前提条件!$C$41,0)</f>
        <v/>
      </c>
      <c r="Q10" s="16">
        <f>IF($A10&lt;15,0,ROUND($G10*前提条件!$C$48*前提条件!$C$47*前提条件!$C$19,0))</f>
        <v/>
      </c>
      <c r="R10" s="16">
        <f>IF($A10&lt;20,0,IF($A10&lt;=24,前提条件!$C$51,前提条件!$C$52)*前提条件!$C$50)</f>
        <v/>
      </c>
      <c r="S10" s="16">
        <f>SUM($N10:$R10)</f>
        <v/>
      </c>
      <c r="T10" s="16">
        <f>IF($A10&lt;=6,前提条件!$C$54,IF($A10&lt;=18,前提条件!$C$55,前提条件!$C$56))</f>
        <v/>
      </c>
      <c r="U10" s="16">
        <f>IF($A10&lt;=12,前提条件!$C$57,前提条件!$C$58)</f>
        <v/>
      </c>
      <c r="V10" s="16">
        <f>前提条件!$C$59</f>
        <v/>
      </c>
      <c r="W10" s="16">
        <f>IF($A10&lt;=6,0,IF($A10&lt;=12,前提条件!$C$60,IF($A10&lt;=24,前提条件!$C$61,前提条件!$C$62)))</f>
        <v/>
      </c>
      <c r="X10" s="16">
        <f>IF($A10&lt;5,0,IF($A10&lt;=12,前提条件!$C$63,IF($A10&lt;=24,前提条件!$C$64,前提条件!$C$65)))</f>
        <v/>
      </c>
      <c r="Y10" s="16">
        <f>IF($A10&lt;=12,0,IF($A10&lt;=18,前提条件!$C$66,IF($A10&lt;=24,前提条件!$C$67,前提条件!$C$68)))</f>
        <v/>
      </c>
      <c r="Z10" s="16">
        <f>ROUND(($N10+$Q10)*前提条件!$C$69,0)</f>
        <v/>
      </c>
      <c r="AA10" s="16">
        <f>IF($A10=1,前提条件!$C$70,0)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IF($A11&lt;=3,前提条件!$C$21,IF($A11&lt;=6,前提条件!$C$22,IF($A11&lt;=12,前提条件!$C$23,IF($A11&lt;=24,前提条件!$C$24,前提条件!$C$25))))</f>
        <v/>
      </c>
      <c r="D11" s="16">
        <f>$D10+$C11</f>
        <v/>
      </c>
      <c r="E11" s="16">
        <f>ROUND($C11*前提条件!$C$27,0)</f>
        <v/>
      </c>
      <c r="F11" s="16">
        <f>IF($X11=0,0,ROUND($X11/前提条件!$C$28,0))</f>
        <v/>
      </c>
      <c r="G11" s="16">
        <f>$E11+$F11</f>
        <v/>
      </c>
      <c r="H11" s="16">
        <f>ROUND($I10*前提条件!$C$29,0)</f>
        <v/>
      </c>
      <c r="I11" s="16">
        <f>$I10+$G11-$H11</f>
        <v/>
      </c>
      <c r="J11" s="16">
        <f>IF($A11&lt;前提条件!$C$37,0,ROUND($G11*前提条件!$C$33+$I10*前提条件!$C$34,0))</f>
        <v/>
      </c>
      <c r="K11" s="16">
        <f>IF(OR($A11=5,$A11=11,$A11=15,$A11=22,$A11=30),ROUND($I10*前提条件!$C$35,0),0)</f>
        <v/>
      </c>
      <c r="L11" s="16">
        <f>$J11+$K11</f>
        <v/>
      </c>
      <c r="M11" s="16">
        <f>IF($A11&lt;=12,前提条件!$C$31,前提条件!$C$32)*前提条件!$C$19</f>
        <v/>
      </c>
      <c r="N11" s="16">
        <f>ROUND($L11*$M11*(1-前提条件!$C$36),0)</f>
        <v/>
      </c>
      <c r="O11" s="16">
        <f>ROUND($D11*前提条件!$C$39,0)</f>
        <v/>
      </c>
      <c r="P11" s="16">
        <f>ROUND(IF($A11&lt;10,0,IF($A11&lt;=12,前提条件!$C$42,IF($A11&lt;=18,前提条件!$C$43,IF($A11&lt;=24,前提条件!$C$44,前提条件!$C$45))))*前提条件!$C$41,0)</f>
        <v/>
      </c>
      <c r="Q11" s="16">
        <f>IF($A11&lt;15,0,ROUND($G11*前提条件!$C$48*前提条件!$C$47*前提条件!$C$19,0))</f>
        <v/>
      </c>
      <c r="R11" s="16">
        <f>IF($A11&lt;20,0,IF($A11&lt;=24,前提条件!$C$51,前提条件!$C$52)*前提条件!$C$50)</f>
        <v/>
      </c>
      <c r="S11" s="16">
        <f>SUM($N11:$R11)</f>
        <v/>
      </c>
      <c r="T11" s="16">
        <f>IF($A11&lt;=6,前提条件!$C$54,IF($A11&lt;=18,前提条件!$C$55,前提条件!$C$56))</f>
        <v/>
      </c>
      <c r="U11" s="16">
        <f>IF($A11&lt;=12,前提条件!$C$57,前提条件!$C$58)</f>
        <v/>
      </c>
      <c r="V11" s="16">
        <f>前提条件!$C$59</f>
        <v/>
      </c>
      <c r="W11" s="16">
        <f>IF($A11&lt;=6,0,IF($A11&lt;=12,前提条件!$C$60,IF($A11&lt;=24,前提条件!$C$61,前提条件!$C$62)))</f>
        <v/>
      </c>
      <c r="X11" s="16">
        <f>IF($A11&lt;5,0,IF($A11&lt;=12,前提条件!$C$63,IF($A11&lt;=24,前提条件!$C$64,前提条件!$C$65)))</f>
        <v/>
      </c>
      <c r="Y11" s="16">
        <f>IF($A11&lt;=12,0,IF($A11&lt;=18,前提条件!$C$66,IF($A11&lt;=24,前提条件!$C$67,前提条件!$C$68)))</f>
        <v/>
      </c>
      <c r="Z11" s="16">
        <f>ROUND(($N11+$Q11)*前提条件!$C$69,0)</f>
        <v/>
      </c>
      <c r="AA11" s="16">
        <f>IF($A11=1,前提条件!$C$70,0)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IF($A12&lt;=3,前提条件!$C$21,IF($A12&lt;=6,前提条件!$C$22,IF($A12&lt;=12,前提条件!$C$23,IF($A12&lt;=24,前提条件!$C$24,前提条件!$C$25))))</f>
        <v/>
      </c>
      <c r="D12" s="16">
        <f>$D11+$C12</f>
        <v/>
      </c>
      <c r="E12" s="16">
        <f>ROUND($C12*前提条件!$C$27,0)</f>
        <v/>
      </c>
      <c r="F12" s="16">
        <f>IF($X12=0,0,ROUND($X12/前提条件!$C$28,0))</f>
        <v/>
      </c>
      <c r="G12" s="16">
        <f>$E12+$F12</f>
        <v/>
      </c>
      <c r="H12" s="16">
        <f>ROUND($I11*前提条件!$C$29,0)</f>
        <v/>
      </c>
      <c r="I12" s="16">
        <f>$I11+$G12-$H12</f>
        <v/>
      </c>
      <c r="J12" s="16">
        <f>IF($A12&lt;前提条件!$C$37,0,ROUND($G12*前提条件!$C$33+$I11*前提条件!$C$34,0))</f>
        <v/>
      </c>
      <c r="K12" s="16">
        <f>IF(OR($A12=5,$A12=11,$A12=15,$A12=22,$A12=30),ROUND($I11*前提条件!$C$35,0),0)</f>
        <v/>
      </c>
      <c r="L12" s="16">
        <f>$J12+$K12</f>
        <v/>
      </c>
      <c r="M12" s="16">
        <f>IF($A12&lt;=12,前提条件!$C$31,前提条件!$C$32)*前提条件!$C$19</f>
        <v/>
      </c>
      <c r="N12" s="16">
        <f>ROUND($L12*$M12*(1-前提条件!$C$36),0)</f>
        <v/>
      </c>
      <c r="O12" s="16">
        <f>ROUND($D12*前提条件!$C$39,0)</f>
        <v/>
      </c>
      <c r="P12" s="16">
        <f>ROUND(IF($A12&lt;10,0,IF($A12&lt;=12,前提条件!$C$42,IF($A12&lt;=18,前提条件!$C$43,IF($A12&lt;=24,前提条件!$C$44,前提条件!$C$45))))*前提条件!$C$41,0)</f>
        <v/>
      </c>
      <c r="Q12" s="16">
        <f>IF($A12&lt;15,0,ROUND($G12*前提条件!$C$48*前提条件!$C$47*前提条件!$C$19,0))</f>
        <v/>
      </c>
      <c r="R12" s="16">
        <f>IF($A12&lt;20,0,IF($A12&lt;=24,前提条件!$C$51,前提条件!$C$52)*前提条件!$C$50)</f>
        <v/>
      </c>
      <c r="S12" s="16">
        <f>SUM($N12:$R12)</f>
        <v/>
      </c>
      <c r="T12" s="16">
        <f>IF($A12&lt;=6,前提条件!$C$54,IF($A12&lt;=18,前提条件!$C$55,前提条件!$C$56))</f>
        <v/>
      </c>
      <c r="U12" s="16">
        <f>IF($A12&lt;=12,前提条件!$C$57,前提条件!$C$58)</f>
        <v/>
      </c>
      <c r="V12" s="16">
        <f>前提条件!$C$59</f>
        <v/>
      </c>
      <c r="W12" s="16">
        <f>IF($A12&lt;=6,0,IF($A12&lt;=12,前提条件!$C$60,IF($A12&lt;=24,前提条件!$C$61,前提条件!$C$62)))</f>
        <v/>
      </c>
      <c r="X12" s="16">
        <f>IF($A12&lt;5,0,IF($A12&lt;=12,前提条件!$C$63,IF($A12&lt;=24,前提条件!$C$64,前提条件!$C$65)))</f>
        <v/>
      </c>
      <c r="Y12" s="16">
        <f>IF($A12&lt;=12,0,IF($A12&lt;=18,前提条件!$C$66,IF($A12&lt;=24,前提条件!$C$67,前提条件!$C$68)))</f>
        <v/>
      </c>
      <c r="Z12" s="16">
        <f>ROUND(($N12+$Q12)*前提条件!$C$69,0)</f>
        <v/>
      </c>
      <c r="AA12" s="16">
        <f>IF($A12=1,前提条件!$C$70,0)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IF($A13&lt;=3,前提条件!$C$21,IF($A13&lt;=6,前提条件!$C$22,IF($A13&lt;=12,前提条件!$C$23,IF($A13&lt;=24,前提条件!$C$24,前提条件!$C$25))))</f>
        <v/>
      </c>
      <c r="D13" s="16">
        <f>$D12+$C13</f>
        <v/>
      </c>
      <c r="E13" s="16">
        <f>ROUND($C13*前提条件!$C$27,0)</f>
        <v/>
      </c>
      <c r="F13" s="16">
        <f>IF($X13=0,0,ROUND($X13/前提条件!$C$28,0))</f>
        <v/>
      </c>
      <c r="G13" s="16">
        <f>$E13+$F13</f>
        <v/>
      </c>
      <c r="H13" s="16">
        <f>ROUND($I12*前提条件!$C$29,0)</f>
        <v/>
      </c>
      <c r="I13" s="16">
        <f>$I12+$G13-$H13</f>
        <v/>
      </c>
      <c r="J13" s="16">
        <f>IF($A13&lt;前提条件!$C$37,0,ROUND($G13*前提条件!$C$33+$I12*前提条件!$C$34,0))</f>
        <v/>
      </c>
      <c r="K13" s="16">
        <f>IF(OR($A13=5,$A13=11,$A13=15,$A13=22,$A13=30),ROUND($I12*前提条件!$C$35,0),0)</f>
        <v/>
      </c>
      <c r="L13" s="16">
        <f>$J13+$K13</f>
        <v/>
      </c>
      <c r="M13" s="16">
        <f>IF($A13&lt;=12,前提条件!$C$31,前提条件!$C$32)*前提条件!$C$19</f>
        <v/>
      </c>
      <c r="N13" s="16">
        <f>ROUND($L13*$M13*(1-前提条件!$C$36),0)</f>
        <v/>
      </c>
      <c r="O13" s="16">
        <f>ROUND($D13*前提条件!$C$39,0)</f>
        <v/>
      </c>
      <c r="P13" s="16">
        <f>ROUND(IF($A13&lt;10,0,IF($A13&lt;=12,前提条件!$C$42,IF($A13&lt;=18,前提条件!$C$43,IF($A13&lt;=24,前提条件!$C$44,前提条件!$C$45))))*前提条件!$C$41,0)</f>
        <v/>
      </c>
      <c r="Q13" s="16">
        <f>IF($A13&lt;15,0,ROUND($G13*前提条件!$C$48*前提条件!$C$47*前提条件!$C$19,0))</f>
        <v/>
      </c>
      <c r="R13" s="16">
        <f>IF($A13&lt;20,0,IF($A13&lt;=24,前提条件!$C$51,前提条件!$C$52)*前提条件!$C$50)</f>
        <v/>
      </c>
      <c r="S13" s="16">
        <f>SUM($N13:$R13)</f>
        <v/>
      </c>
      <c r="T13" s="16">
        <f>IF($A13&lt;=6,前提条件!$C$54,IF($A13&lt;=18,前提条件!$C$55,前提条件!$C$56))</f>
        <v/>
      </c>
      <c r="U13" s="16">
        <f>IF($A13&lt;=12,前提条件!$C$57,前提条件!$C$58)</f>
        <v/>
      </c>
      <c r="V13" s="16">
        <f>前提条件!$C$59</f>
        <v/>
      </c>
      <c r="W13" s="16">
        <f>IF($A13&lt;=6,0,IF($A13&lt;=12,前提条件!$C$60,IF($A13&lt;=24,前提条件!$C$61,前提条件!$C$62)))</f>
        <v/>
      </c>
      <c r="X13" s="16">
        <f>IF($A13&lt;5,0,IF($A13&lt;=12,前提条件!$C$63,IF($A13&lt;=24,前提条件!$C$64,前提条件!$C$65)))</f>
        <v/>
      </c>
      <c r="Y13" s="16">
        <f>IF($A13&lt;=12,0,IF($A13&lt;=18,前提条件!$C$66,IF($A13&lt;=24,前提条件!$C$67,前提条件!$C$68)))</f>
        <v/>
      </c>
      <c r="Z13" s="16">
        <f>ROUND(($N13+$Q13)*前提条件!$C$69,0)</f>
        <v/>
      </c>
      <c r="AA13" s="16">
        <f>IF($A13=1,前提条件!$C$70,0)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IF($A14&lt;=3,前提条件!$C$21,IF($A14&lt;=6,前提条件!$C$22,IF($A14&lt;=12,前提条件!$C$23,IF($A14&lt;=24,前提条件!$C$24,前提条件!$C$25))))</f>
        <v/>
      </c>
      <c r="D14" s="16">
        <f>$D13+$C14</f>
        <v/>
      </c>
      <c r="E14" s="16">
        <f>ROUND($C14*前提条件!$C$27,0)</f>
        <v/>
      </c>
      <c r="F14" s="16">
        <f>IF($X14=0,0,ROUND($X14/前提条件!$C$28,0))</f>
        <v/>
      </c>
      <c r="G14" s="16">
        <f>$E14+$F14</f>
        <v/>
      </c>
      <c r="H14" s="16">
        <f>ROUND($I13*前提条件!$C$29,0)</f>
        <v/>
      </c>
      <c r="I14" s="16">
        <f>$I13+$G14-$H14</f>
        <v/>
      </c>
      <c r="J14" s="16">
        <f>IF($A14&lt;前提条件!$C$37,0,ROUND($G14*前提条件!$C$33+$I13*前提条件!$C$34,0))</f>
        <v/>
      </c>
      <c r="K14" s="16">
        <f>IF(OR($A14=5,$A14=11,$A14=15,$A14=22,$A14=30),ROUND($I13*前提条件!$C$35,0),0)</f>
        <v/>
      </c>
      <c r="L14" s="16">
        <f>$J14+$K14</f>
        <v/>
      </c>
      <c r="M14" s="16">
        <f>IF($A14&lt;=12,前提条件!$C$31,前提条件!$C$32)*前提条件!$C$19</f>
        <v/>
      </c>
      <c r="N14" s="16">
        <f>ROUND($L14*$M14*(1-前提条件!$C$36),0)</f>
        <v/>
      </c>
      <c r="O14" s="16">
        <f>ROUND($D14*前提条件!$C$39,0)</f>
        <v/>
      </c>
      <c r="P14" s="16">
        <f>ROUND(IF($A14&lt;10,0,IF($A14&lt;=12,前提条件!$C$42,IF($A14&lt;=18,前提条件!$C$43,IF($A14&lt;=24,前提条件!$C$44,前提条件!$C$45))))*前提条件!$C$41,0)</f>
        <v/>
      </c>
      <c r="Q14" s="16">
        <f>IF($A14&lt;15,0,ROUND($G14*前提条件!$C$48*前提条件!$C$47*前提条件!$C$19,0))</f>
        <v/>
      </c>
      <c r="R14" s="16">
        <f>IF($A14&lt;20,0,IF($A14&lt;=24,前提条件!$C$51,前提条件!$C$52)*前提条件!$C$50)</f>
        <v/>
      </c>
      <c r="S14" s="16">
        <f>SUM($N14:$R14)</f>
        <v/>
      </c>
      <c r="T14" s="16">
        <f>IF($A14&lt;=6,前提条件!$C$54,IF($A14&lt;=18,前提条件!$C$55,前提条件!$C$56))</f>
        <v/>
      </c>
      <c r="U14" s="16">
        <f>IF($A14&lt;=12,前提条件!$C$57,前提条件!$C$58)</f>
        <v/>
      </c>
      <c r="V14" s="16">
        <f>前提条件!$C$59</f>
        <v/>
      </c>
      <c r="W14" s="16">
        <f>IF($A14&lt;=6,0,IF($A14&lt;=12,前提条件!$C$60,IF($A14&lt;=24,前提条件!$C$61,前提条件!$C$62)))</f>
        <v/>
      </c>
      <c r="X14" s="16">
        <f>IF($A14&lt;5,0,IF($A14&lt;=12,前提条件!$C$63,IF($A14&lt;=24,前提条件!$C$64,前提条件!$C$65)))</f>
        <v/>
      </c>
      <c r="Y14" s="16">
        <f>IF($A14&lt;=12,0,IF($A14&lt;=18,前提条件!$C$66,IF($A14&lt;=24,前提条件!$C$67,前提条件!$C$68)))</f>
        <v/>
      </c>
      <c r="Z14" s="16">
        <f>ROUND(($N14+$Q14)*前提条件!$C$69,0)</f>
        <v/>
      </c>
      <c r="AA14" s="16">
        <f>IF($A14=1,前提条件!$C$70,0)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IF($A15&lt;=3,前提条件!$C$21,IF($A15&lt;=6,前提条件!$C$22,IF($A15&lt;=12,前提条件!$C$23,IF($A15&lt;=24,前提条件!$C$24,前提条件!$C$25))))</f>
        <v/>
      </c>
      <c r="D15" s="16">
        <f>$D14+$C15</f>
        <v/>
      </c>
      <c r="E15" s="16">
        <f>ROUND($C15*前提条件!$C$27,0)</f>
        <v/>
      </c>
      <c r="F15" s="16">
        <f>IF($X15=0,0,ROUND($X15/前提条件!$C$28,0))</f>
        <v/>
      </c>
      <c r="G15" s="16">
        <f>$E15+$F15</f>
        <v/>
      </c>
      <c r="H15" s="16">
        <f>ROUND($I14*前提条件!$C$29,0)</f>
        <v/>
      </c>
      <c r="I15" s="16">
        <f>$I14+$G15-$H15</f>
        <v/>
      </c>
      <c r="J15" s="16">
        <f>IF($A15&lt;前提条件!$C$37,0,ROUND($G15*前提条件!$C$33+$I14*前提条件!$C$34,0))</f>
        <v/>
      </c>
      <c r="K15" s="16">
        <f>IF(OR($A15=5,$A15=11,$A15=15,$A15=22,$A15=30),ROUND($I14*前提条件!$C$35,0),0)</f>
        <v/>
      </c>
      <c r="L15" s="16">
        <f>$J15+$K15</f>
        <v/>
      </c>
      <c r="M15" s="16">
        <f>IF($A15&lt;=12,前提条件!$C$31,前提条件!$C$32)*前提条件!$C$19</f>
        <v/>
      </c>
      <c r="N15" s="16">
        <f>ROUND($L15*$M15*(1-前提条件!$C$36),0)</f>
        <v/>
      </c>
      <c r="O15" s="16">
        <f>ROUND($D15*前提条件!$C$39,0)</f>
        <v/>
      </c>
      <c r="P15" s="16">
        <f>ROUND(IF($A15&lt;10,0,IF($A15&lt;=12,前提条件!$C$42,IF($A15&lt;=18,前提条件!$C$43,IF($A15&lt;=24,前提条件!$C$44,前提条件!$C$45))))*前提条件!$C$41,0)</f>
        <v/>
      </c>
      <c r="Q15" s="16">
        <f>IF($A15&lt;15,0,ROUND($G15*前提条件!$C$48*前提条件!$C$47*前提条件!$C$19,0))</f>
        <v/>
      </c>
      <c r="R15" s="16">
        <f>IF($A15&lt;20,0,IF($A15&lt;=24,前提条件!$C$51,前提条件!$C$52)*前提条件!$C$50)</f>
        <v/>
      </c>
      <c r="S15" s="16">
        <f>SUM($N15:$R15)</f>
        <v/>
      </c>
      <c r="T15" s="16">
        <f>IF($A15&lt;=6,前提条件!$C$54,IF($A15&lt;=18,前提条件!$C$55,前提条件!$C$56))</f>
        <v/>
      </c>
      <c r="U15" s="16">
        <f>IF($A15&lt;=12,前提条件!$C$57,前提条件!$C$58)</f>
        <v/>
      </c>
      <c r="V15" s="16">
        <f>前提条件!$C$59</f>
        <v/>
      </c>
      <c r="W15" s="16">
        <f>IF($A15&lt;=6,0,IF($A15&lt;=12,前提条件!$C$60,IF($A15&lt;=24,前提条件!$C$61,前提条件!$C$62)))</f>
        <v/>
      </c>
      <c r="X15" s="16">
        <f>IF($A15&lt;5,0,IF($A15&lt;=12,前提条件!$C$63,IF($A15&lt;=24,前提条件!$C$64,前提条件!$C$65)))</f>
        <v/>
      </c>
      <c r="Y15" s="16">
        <f>IF($A15&lt;=12,0,IF($A15&lt;=18,前提条件!$C$66,IF($A15&lt;=24,前提条件!$C$67,前提条件!$C$68)))</f>
        <v/>
      </c>
      <c r="Z15" s="16">
        <f>ROUND(($N15+$Q15)*前提条件!$C$69,0)</f>
        <v/>
      </c>
      <c r="AA15" s="16">
        <f>IF($A15=1,前提条件!$C$70,0)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IF($A16&lt;=3,前提条件!$C$21,IF($A16&lt;=6,前提条件!$C$22,IF($A16&lt;=12,前提条件!$C$23,IF($A16&lt;=24,前提条件!$C$24,前提条件!$C$25))))</f>
        <v/>
      </c>
      <c r="D16" s="18">
        <f>$D15+$C16</f>
        <v/>
      </c>
      <c r="E16" s="18">
        <f>ROUND($C16*前提条件!$C$27,0)</f>
        <v/>
      </c>
      <c r="F16" s="18">
        <f>IF($X16=0,0,ROUND($X16/前提条件!$C$28,0))</f>
        <v/>
      </c>
      <c r="G16" s="18">
        <f>$E16+$F16</f>
        <v/>
      </c>
      <c r="H16" s="18">
        <f>ROUND($I15*前提条件!$C$29,0)</f>
        <v/>
      </c>
      <c r="I16" s="18">
        <f>$I15+$G16-$H16</f>
        <v/>
      </c>
      <c r="J16" s="18">
        <f>IF($A16&lt;前提条件!$C$37,0,ROUND($G16*前提条件!$C$33+$I15*前提条件!$C$34,0))</f>
        <v/>
      </c>
      <c r="K16" s="18">
        <f>IF(OR($A16=5,$A16=11,$A16=15,$A16=22,$A16=30),ROUND($I15*前提条件!$C$35,0),0)</f>
        <v/>
      </c>
      <c r="L16" s="18">
        <f>$J16+$K16</f>
        <v/>
      </c>
      <c r="M16" s="18">
        <f>IF($A16&lt;=12,前提条件!$C$31,前提条件!$C$32)*前提条件!$C$19</f>
        <v/>
      </c>
      <c r="N16" s="18">
        <f>ROUND($L16*$M16*(1-前提条件!$C$36),0)</f>
        <v/>
      </c>
      <c r="O16" s="18">
        <f>ROUND($D16*前提条件!$C$39,0)</f>
        <v/>
      </c>
      <c r="P16" s="18">
        <f>ROUND(IF($A16&lt;10,0,IF($A16&lt;=12,前提条件!$C$42,IF($A16&lt;=18,前提条件!$C$43,IF($A16&lt;=24,前提条件!$C$44,前提条件!$C$45))))*前提条件!$C$41,0)</f>
        <v/>
      </c>
      <c r="Q16" s="18">
        <f>IF($A16&lt;15,0,ROUND($G16*前提条件!$C$48*前提条件!$C$47*前提条件!$C$19,0))</f>
        <v/>
      </c>
      <c r="R16" s="18">
        <f>IF($A16&lt;20,0,IF($A16&lt;=24,前提条件!$C$51,前提条件!$C$52)*前提条件!$C$50)</f>
        <v/>
      </c>
      <c r="S16" s="18">
        <f>SUM($N16:$R16)</f>
        <v/>
      </c>
      <c r="T16" s="18">
        <f>IF($A16&lt;=6,前提条件!$C$54,IF($A16&lt;=18,前提条件!$C$55,前提条件!$C$56))</f>
        <v/>
      </c>
      <c r="U16" s="18">
        <f>IF($A16&lt;=12,前提条件!$C$57,前提条件!$C$58)</f>
        <v/>
      </c>
      <c r="V16" s="18">
        <f>前提条件!$C$59</f>
        <v/>
      </c>
      <c r="W16" s="18">
        <f>IF($A16&lt;=6,0,IF($A16&lt;=12,前提条件!$C$60,IF($A16&lt;=24,前提条件!$C$61,前提条件!$C$62)))</f>
        <v/>
      </c>
      <c r="X16" s="18">
        <f>IF($A16&lt;5,0,IF($A16&lt;=12,前提条件!$C$63,IF($A16&lt;=24,前提条件!$C$64,前提条件!$C$65)))</f>
        <v/>
      </c>
      <c r="Y16" s="18">
        <f>IF($A16&lt;=12,0,IF($A16&lt;=18,前提条件!$C$66,IF($A16&lt;=24,前提条件!$C$67,前提条件!$C$68)))</f>
        <v/>
      </c>
      <c r="Z16" s="18">
        <f>ROUND(($N16+$Q16)*前提条件!$C$69,0)</f>
        <v/>
      </c>
      <c r="AA16" s="18">
        <f>IF($A16=1,前提条件!$C$70,0)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IF($A17&lt;=3,前提条件!$C$21,IF($A17&lt;=6,前提条件!$C$22,IF($A17&lt;=12,前提条件!$C$23,IF($A17&lt;=24,前提条件!$C$24,前提条件!$C$25))))</f>
        <v/>
      </c>
      <c r="D17" s="16">
        <f>$D16+$C17</f>
        <v/>
      </c>
      <c r="E17" s="16">
        <f>ROUND($C17*前提条件!$C$27,0)</f>
        <v/>
      </c>
      <c r="F17" s="16">
        <f>IF($X17=0,0,ROUND($X17/前提条件!$C$28,0))</f>
        <v/>
      </c>
      <c r="G17" s="16">
        <f>$E17+$F17</f>
        <v/>
      </c>
      <c r="H17" s="16">
        <f>ROUND($I16*前提条件!$C$29,0)</f>
        <v/>
      </c>
      <c r="I17" s="16">
        <f>$I16+$G17-$H17</f>
        <v/>
      </c>
      <c r="J17" s="16">
        <f>IF($A17&lt;前提条件!$C$37,0,ROUND($G17*前提条件!$C$33+$I16*前提条件!$C$34,0))</f>
        <v/>
      </c>
      <c r="K17" s="16">
        <f>IF(OR($A17=5,$A17=11,$A17=15,$A17=22,$A17=30),ROUND($I16*前提条件!$C$35,0),0)</f>
        <v/>
      </c>
      <c r="L17" s="16">
        <f>$J17+$K17</f>
        <v/>
      </c>
      <c r="M17" s="16">
        <f>IF($A17&lt;=12,前提条件!$C$31,前提条件!$C$32)*前提条件!$C$19</f>
        <v/>
      </c>
      <c r="N17" s="16">
        <f>ROUND($L17*$M17*(1-前提条件!$C$36),0)</f>
        <v/>
      </c>
      <c r="O17" s="16">
        <f>ROUND($D17*前提条件!$C$39,0)</f>
        <v/>
      </c>
      <c r="P17" s="16">
        <f>ROUND(IF($A17&lt;10,0,IF($A17&lt;=12,前提条件!$C$42,IF($A17&lt;=18,前提条件!$C$43,IF($A17&lt;=24,前提条件!$C$44,前提条件!$C$45))))*前提条件!$C$41,0)</f>
        <v/>
      </c>
      <c r="Q17" s="16">
        <f>IF($A17&lt;15,0,ROUND($G17*前提条件!$C$48*前提条件!$C$47*前提条件!$C$19,0))</f>
        <v/>
      </c>
      <c r="R17" s="16">
        <f>IF($A17&lt;20,0,IF($A17&lt;=24,前提条件!$C$51,前提条件!$C$52)*前提条件!$C$50)</f>
        <v/>
      </c>
      <c r="S17" s="16">
        <f>SUM($N17:$R17)</f>
        <v/>
      </c>
      <c r="T17" s="16">
        <f>IF($A17&lt;=6,前提条件!$C$54,IF($A17&lt;=18,前提条件!$C$55,前提条件!$C$56))</f>
        <v/>
      </c>
      <c r="U17" s="16">
        <f>IF($A17&lt;=12,前提条件!$C$57,前提条件!$C$58)</f>
        <v/>
      </c>
      <c r="V17" s="16">
        <f>前提条件!$C$59</f>
        <v/>
      </c>
      <c r="W17" s="16">
        <f>IF($A17&lt;=6,0,IF($A17&lt;=12,前提条件!$C$60,IF($A17&lt;=24,前提条件!$C$61,前提条件!$C$62)))</f>
        <v/>
      </c>
      <c r="X17" s="16">
        <f>IF($A17&lt;5,0,IF($A17&lt;=12,前提条件!$C$63,IF($A17&lt;=24,前提条件!$C$64,前提条件!$C$65)))</f>
        <v/>
      </c>
      <c r="Y17" s="16">
        <f>IF($A17&lt;=12,0,IF($A17&lt;=18,前提条件!$C$66,IF($A17&lt;=24,前提条件!$C$67,前提条件!$C$68)))</f>
        <v/>
      </c>
      <c r="Z17" s="16">
        <f>ROUND(($N17+$Q17)*前提条件!$C$69,0)</f>
        <v/>
      </c>
      <c r="AA17" s="16">
        <f>IF($A17=1,前提条件!$C$70,0)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IF($A18&lt;=3,前提条件!$C$21,IF($A18&lt;=6,前提条件!$C$22,IF($A18&lt;=12,前提条件!$C$23,IF($A18&lt;=24,前提条件!$C$24,前提条件!$C$25))))</f>
        <v/>
      </c>
      <c r="D18" s="16">
        <f>$D17+$C18</f>
        <v/>
      </c>
      <c r="E18" s="16">
        <f>ROUND($C18*前提条件!$C$27,0)</f>
        <v/>
      </c>
      <c r="F18" s="16">
        <f>IF($X18=0,0,ROUND($X18/前提条件!$C$28,0))</f>
        <v/>
      </c>
      <c r="G18" s="16">
        <f>$E18+$F18</f>
        <v/>
      </c>
      <c r="H18" s="16">
        <f>ROUND($I17*前提条件!$C$29,0)</f>
        <v/>
      </c>
      <c r="I18" s="16">
        <f>$I17+$G18-$H18</f>
        <v/>
      </c>
      <c r="J18" s="16">
        <f>IF($A18&lt;前提条件!$C$37,0,ROUND($G18*前提条件!$C$33+$I17*前提条件!$C$34,0))</f>
        <v/>
      </c>
      <c r="K18" s="16">
        <f>IF(OR($A18=5,$A18=11,$A18=15,$A18=22,$A18=30),ROUND($I17*前提条件!$C$35,0),0)</f>
        <v/>
      </c>
      <c r="L18" s="16">
        <f>$J18+$K18</f>
        <v/>
      </c>
      <c r="M18" s="16">
        <f>IF($A18&lt;=12,前提条件!$C$31,前提条件!$C$32)*前提条件!$C$19</f>
        <v/>
      </c>
      <c r="N18" s="16">
        <f>ROUND($L18*$M18*(1-前提条件!$C$36),0)</f>
        <v/>
      </c>
      <c r="O18" s="16">
        <f>ROUND($D18*前提条件!$C$39,0)</f>
        <v/>
      </c>
      <c r="P18" s="16">
        <f>ROUND(IF($A18&lt;10,0,IF($A18&lt;=12,前提条件!$C$42,IF($A18&lt;=18,前提条件!$C$43,IF($A18&lt;=24,前提条件!$C$44,前提条件!$C$45))))*前提条件!$C$41,0)</f>
        <v/>
      </c>
      <c r="Q18" s="16">
        <f>IF($A18&lt;15,0,ROUND($G18*前提条件!$C$48*前提条件!$C$47*前提条件!$C$19,0))</f>
        <v/>
      </c>
      <c r="R18" s="16">
        <f>IF($A18&lt;20,0,IF($A18&lt;=24,前提条件!$C$51,前提条件!$C$52)*前提条件!$C$50)</f>
        <v/>
      </c>
      <c r="S18" s="16">
        <f>SUM($N18:$R18)</f>
        <v/>
      </c>
      <c r="T18" s="16">
        <f>IF($A18&lt;=6,前提条件!$C$54,IF($A18&lt;=18,前提条件!$C$55,前提条件!$C$56))</f>
        <v/>
      </c>
      <c r="U18" s="16">
        <f>IF($A18&lt;=12,前提条件!$C$57,前提条件!$C$58)</f>
        <v/>
      </c>
      <c r="V18" s="16">
        <f>前提条件!$C$59</f>
        <v/>
      </c>
      <c r="W18" s="16">
        <f>IF($A18&lt;=6,0,IF($A18&lt;=12,前提条件!$C$60,IF($A18&lt;=24,前提条件!$C$61,前提条件!$C$62)))</f>
        <v/>
      </c>
      <c r="X18" s="16">
        <f>IF($A18&lt;5,0,IF($A18&lt;=12,前提条件!$C$63,IF($A18&lt;=24,前提条件!$C$64,前提条件!$C$65)))</f>
        <v/>
      </c>
      <c r="Y18" s="16">
        <f>IF($A18&lt;=12,0,IF($A18&lt;=18,前提条件!$C$66,IF($A18&lt;=24,前提条件!$C$67,前提条件!$C$68)))</f>
        <v/>
      </c>
      <c r="Z18" s="16">
        <f>ROUND(($N18+$Q18)*前提条件!$C$69,0)</f>
        <v/>
      </c>
      <c r="AA18" s="16">
        <f>IF($A18=1,前提条件!$C$70,0)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IF($A19&lt;=3,前提条件!$C$21,IF($A19&lt;=6,前提条件!$C$22,IF($A19&lt;=12,前提条件!$C$23,IF($A19&lt;=24,前提条件!$C$24,前提条件!$C$25))))</f>
        <v/>
      </c>
      <c r="D19" s="16">
        <f>$D18+$C19</f>
        <v/>
      </c>
      <c r="E19" s="16">
        <f>ROUND($C19*前提条件!$C$27,0)</f>
        <v/>
      </c>
      <c r="F19" s="16">
        <f>IF($X19=0,0,ROUND($X19/前提条件!$C$28,0))</f>
        <v/>
      </c>
      <c r="G19" s="16">
        <f>$E19+$F19</f>
        <v/>
      </c>
      <c r="H19" s="16">
        <f>ROUND($I18*前提条件!$C$29,0)</f>
        <v/>
      </c>
      <c r="I19" s="16">
        <f>$I18+$G19-$H19</f>
        <v/>
      </c>
      <c r="J19" s="16">
        <f>IF($A19&lt;前提条件!$C$37,0,ROUND($G19*前提条件!$C$33+$I18*前提条件!$C$34,0))</f>
        <v/>
      </c>
      <c r="K19" s="16">
        <f>IF(OR($A19=5,$A19=11,$A19=15,$A19=22,$A19=30),ROUND($I18*前提条件!$C$35,0),0)</f>
        <v/>
      </c>
      <c r="L19" s="16">
        <f>$J19+$K19</f>
        <v/>
      </c>
      <c r="M19" s="16">
        <f>IF($A19&lt;=12,前提条件!$C$31,前提条件!$C$32)*前提条件!$C$19</f>
        <v/>
      </c>
      <c r="N19" s="16">
        <f>ROUND($L19*$M19*(1-前提条件!$C$36),0)</f>
        <v/>
      </c>
      <c r="O19" s="16">
        <f>ROUND($D19*前提条件!$C$39,0)</f>
        <v/>
      </c>
      <c r="P19" s="16">
        <f>ROUND(IF($A19&lt;10,0,IF($A19&lt;=12,前提条件!$C$42,IF($A19&lt;=18,前提条件!$C$43,IF($A19&lt;=24,前提条件!$C$44,前提条件!$C$45))))*前提条件!$C$41,0)</f>
        <v/>
      </c>
      <c r="Q19" s="16">
        <f>IF($A19&lt;15,0,ROUND($G19*前提条件!$C$48*前提条件!$C$47*前提条件!$C$19,0))</f>
        <v/>
      </c>
      <c r="R19" s="16">
        <f>IF($A19&lt;20,0,IF($A19&lt;=24,前提条件!$C$51,前提条件!$C$52)*前提条件!$C$50)</f>
        <v/>
      </c>
      <c r="S19" s="16">
        <f>SUM($N19:$R19)</f>
        <v/>
      </c>
      <c r="T19" s="16">
        <f>IF($A19&lt;=6,前提条件!$C$54,IF($A19&lt;=18,前提条件!$C$55,前提条件!$C$56))</f>
        <v/>
      </c>
      <c r="U19" s="16">
        <f>IF($A19&lt;=12,前提条件!$C$57,前提条件!$C$58)</f>
        <v/>
      </c>
      <c r="V19" s="16">
        <f>前提条件!$C$59</f>
        <v/>
      </c>
      <c r="W19" s="16">
        <f>IF($A19&lt;=6,0,IF($A19&lt;=12,前提条件!$C$60,IF($A19&lt;=24,前提条件!$C$61,前提条件!$C$62)))</f>
        <v/>
      </c>
      <c r="X19" s="16">
        <f>IF($A19&lt;5,0,IF($A19&lt;=12,前提条件!$C$63,IF($A19&lt;=24,前提条件!$C$64,前提条件!$C$65)))</f>
        <v/>
      </c>
      <c r="Y19" s="16">
        <f>IF($A19&lt;=12,0,IF($A19&lt;=18,前提条件!$C$66,IF($A19&lt;=24,前提条件!$C$67,前提条件!$C$68)))</f>
        <v/>
      </c>
      <c r="Z19" s="16">
        <f>ROUND(($N19+$Q19)*前提条件!$C$69,0)</f>
        <v/>
      </c>
      <c r="AA19" s="16">
        <f>IF($A19=1,前提条件!$C$70,0)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IF($A20&lt;=3,前提条件!$C$21,IF($A20&lt;=6,前提条件!$C$22,IF($A20&lt;=12,前提条件!$C$23,IF($A20&lt;=24,前提条件!$C$24,前提条件!$C$25))))</f>
        <v/>
      </c>
      <c r="D20" s="16">
        <f>$D19+$C20</f>
        <v/>
      </c>
      <c r="E20" s="16">
        <f>ROUND($C20*前提条件!$C$27,0)</f>
        <v/>
      </c>
      <c r="F20" s="16">
        <f>IF($X20=0,0,ROUND($X20/前提条件!$C$28,0))</f>
        <v/>
      </c>
      <c r="G20" s="16">
        <f>$E20+$F20</f>
        <v/>
      </c>
      <c r="H20" s="16">
        <f>ROUND($I19*前提条件!$C$29,0)</f>
        <v/>
      </c>
      <c r="I20" s="16">
        <f>$I19+$G20-$H20</f>
        <v/>
      </c>
      <c r="J20" s="16">
        <f>IF($A20&lt;前提条件!$C$37,0,ROUND($G20*前提条件!$C$33+$I19*前提条件!$C$34,0))</f>
        <v/>
      </c>
      <c r="K20" s="16">
        <f>IF(OR($A20=5,$A20=11,$A20=15,$A20=22,$A20=30),ROUND($I19*前提条件!$C$35,0),0)</f>
        <v/>
      </c>
      <c r="L20" s="16">
        <f>$J20+$K20</f>
        <v/>
      </c>
      <c r="M20" s="16">
        <f>IF($A20&lt;=12,前提条件!$C$31,前提条件!$C$32)*前提条件!$C$19</f>
        <v/>
      </c>
      <c r="N20" s="16">
        <f>ROUND($L20*$M20*(1-前提条件!$C$36),0)</f>
        <v/>
      </c>
      <c r="O20" s="16">
        <f>ROUND($D20*前提条件!$C$39,0)</f>
        <v/>
      </c>
      <c r="P20" s="16">
        <f>ROUND(IF($A20&lt;10,0,IF($A20&lt;=12,前提条件!$C$42,IF($A20&lt;=18,前提条件!$C$43,IF($A20&lt;=24,前提条件!$C$44,前提条件!$C$45))))*前提条件!$C$41,0)</f>
        <v/>
      </c>
      <c r="Q20" s="16">
        <f>IF($A20&lt;15,0,ROUND($G20*前提条件!$C$48*前提条件!$C$47*前提条件!$C$19,0))</f>
        <v/>
      </c>
      <c r="R20" s="16">
        <f>IF($A20&lt;20,0,IF($A20&lt;=24,前提条件!$C$51,前提条件!$C$52)*前提条件!$C$50)</f>
        <v/>
      </c>
      <c r="S20" s="16">
        <f>SUM($N20:$R20)</f>
        <v/>
      </c>
      <c r="T20" s="16">
        <f>IF($A20&lt;=6,前提条件!$C$54,IF($A20&lt;=18,前提条件!$C$55,前提条件!$C$56))</f>
        <v/>
      </c>
      <c r="U20" s="16">
        <f>IF($A20&lt;=12,前提条件!$C$57,前提条件!$C$58)</f>
        <v/>
      </c>
      <c r="V20" s="16">
        <f>前提条件!$C$59</f>
        <v/>
      </c>
      <c r="W20" s="16">
        <f>IF($A20&lt;=6,0,IF($A20&lt;=12,前提条件!$C$60,IF($A20&lt;=24,前提条件!$C$61,前提条件!$C$62)))</f>
        <v/>
      </c>
      <c r="X20" s="16">
        <f>IF($A20&lt;5,0,IF($A20&lt;=12,前提条件!$C$63,IF($A20&lt;=24,前提条件!$C$64,前提条件!$C$65)))</f>
        <v/>
      </c>
      <c r="Y20" s="16">
        <f>IF($A20&lt;=12,0,IF($A20&lt;=18,前提条件!$C$66,IF($A20&lt;=24,前提条件!$C$67,前提条件!$C$68)))</f>
        <v/>
      </c>
      <c r="Z20" s="16">
        <f>ROUND(($N20+$Q20)*前提条件!$C$69,0)</f>
        <v/>
      </c>
      <c r="AA20" s="16">
        <f>IF($A20=1,前提条件!$C$70,0)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IF($A21&lt;=3,前提条件!$C$21,IF($A21&lt;=6,前提条件!$C$22,IF($A21&lt;=12,前提条件!$C$23,IF($A21&lt;=24,前提条件!$C$24,前提条件!$C$25))))</f>
        <v/>
      </c>
      <c r="D21" s="16">
        <f>$D20+$C21</f>
        <v/>
      </c>
      <c r="E21" s="16">
        <f>ROUND($C21*前提条件!$C$27,0)</f>
        <v/>
      </c>
      <c r="F21" s="16">
        <f>IF($X21=0,0,ROUND($X21/前提条件!$C$28,0))</f>
        <v/>
      </c>
      <c r="G21" s="16">
        <f>$E21+$F21</f>
        <v/>
      </c>
      <c r="H21" s="16">
        <f>ROUND($I20*前提条件!$C$29,0)</f>
        <v/>
      </c>
      <c r="I21" s="16">
        <f>$I20+$G21-$H21</f>
        <v/>
      </c>
      <c r="J21" s="16">
        <f>IF($A21&lt;前提条件!$C$37,0,ROUND($G21*前提条件!$C$33+$I20*前提条件!$C$34,0))</f>
        <v/>
      </c>
      <c r="K21" s="16">
        <f>IF(OR($A21=5,$A21=11,$A21=15,$A21=22,$A21=30),ROUND($I20*前提条件!$C$35,0),0)</f>
        <v/>
      </c>
      <c r="L21" s="16">
        <f>$J21+$K21</f>
        <v/>
      </c>
      <c r="M21" s="16">
        <f>IF($A21&lt;=12,前提条件!$C$31,前提条件!$C$32)*前提条件!$C$19</f>
        <v/>
      </c>
      <c r="N21" s="16">
        <f>ROUND($L21*$M21*(1-前提条件!$C$36),0)</f>
        <v/>
      </c>
      <c r="O21" s="16">
        <f>ROUND($D21*前提条件!$C$39,0)</f>
        <v/>
      </c>
      <c r="P21" s="16">
        <f>ROUND(IF($A21&lt;10,0,IF($A21&lt;=12,前提条件!$C$42,IF($A21&lt;=18,前提条件!$C$43,IF($A21&lt;=24,前提条件!$C$44,前提条件!$C$45))))*前提条件!$C$41,0)</f>
        <v/>
      </c>
      <c r="Q21" s="16">
        <f>IF($A21&lt;15,0,ROUND($G21*前提条件!$C$48*前提条件!$C$47*前提条件!$C$19,0))</f>
        <v/>
      </c>
      <c r="R21" s="16">
        <f>IF($A21&lt;20,0,IF($A21&lt;=24,前提条件!$C$51,前提条件!$C$52)*前提条件!$C$50)</f>
        <v/>
      </c>
      <c r="S21" s="16">
        <f>SUM($N21:$R21)</f>
        <v/>
      </c>
      <c r="T21" s="16">
        <f>IF($A21&lt;=6,前提条件!$C$54,IF($A21&lt;=18,前提条件!$C$55,前提条件!$C$56))</f>
        <v/>
      </c>
      <c r="U21" s="16">
        <f>IF($A21&lt;=12,前提条件!$C$57,前提条件!$C$58)</f>
        <v/>
      </c>
      <c r="V21" s="16">
        <f>前提条件!$C$59</f>
        <v/>
      </c>
      <c r="W21" s="16">
        <f>IF($A21&lt;=6,0,IF($A21&lt;=12,前提条件!$C$60,IF($A21&lt;=24,前提条件!$C$61,前提条件!$C$62)))</f>
        <v/>
      </c>
      <c r="X21" s="16">
        <f>IF($A21&lt;5,0,IF($A21&lt;=12,前提条件!$C$63,IF($A21&lt;=24,前提条件!$C$64,前提条件!$C$65)))</f>
        <v/>
      </c>
      <c r="Y21" s="16">
        <f>IF($A21&lt;=12,0,IF($A21&lt;=18,前提条件!$C$66,IF($A21&lt;=24,前提条件!$C$67,前提条件!$C$68)))</f>
        <v/>
      </c>
      <c r="Z21" s="16">
        <f>ROUND(($N21+$Q21)*前提条件!$C$69,0)</f>
        <v/>
      </c>
      <c r="AA21" s="16">
        <f>IF($A21=1,前提条件!$C$70,0)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IF($A22&lt;=3,前提条件!$C$21,IF($A22&lt;=6,前提条件!$C$22,IF($A22&lt;=12,前提条件!$C$23,IF($A22&lt;=24,前提条件!$C$24,前提条件!$C$25))))</f>
        <v/>
      </c>
      <c r="D22" s="16">
        <f>$D21+$C22</f>
        <v/>
      </c>
      <c r="E22" s="16">
        <f>ROUND($C22*前提条件!$C$27,0)</f>
        <v/>
      </c>
      <c r="F22" s="16">
        <f>IF($X22=0,0,ROUND($X22/前提条件!$C$28,0))</f>
        <v/>
      </c>
      <c r="G22" s="16">
        <f>$E22+$F22</f>
        <v/>
      </c>
      <c r="H22" s="16">
        <f>ROUND($I21*前提条件!$C$29,0)</f>
        <v/>
      </c>
      <c r="I22" s="16">
        <f>$I21+$G22-$H22</f>
        <v/>
      </c>
      <c r="J22" s="16">
        <f>IF($A22&lt;前提条件!$C$37,0,ROUND($G22*前提条件!$C$33+$I21*前提条件!$C$34,0))</f>
        <v/>
      </c>
      <c r="K22" s="16">
        <f>IF(OR($A22=5,$A22=11,$A22=15,$A22=22,$A22=30),ROUND($I21*前提条件!$C$35,0),0)</f>
        <v/>
      </c>
      <c r="L22" s="16">
        <f>$J22+$K22</f>
        <v/>
      </c>
      <c r="M22" s="16">
        <f>IF($A22&lt;=12,前提条件!$C$31,前提条件!$C$32)*前提条件!$C$19</f>
        <v/>
      </c>
      <c r="N22" s="16">
        <f>ROUND($L22*$M22*(1-前提条件!$C$36),0)</f>
        <v/>
      </c>
      <c r="O22" s="16">
        <f>ROUND($D22*前提条件!$C$39,0)</f>
        <v/>
      </c>
      <c r="P22" s="16">
        <f>ROUND(IF($A22&lt;10,0,IF($A22&lt;=12,前提条件!$C$42,IF($A22&lt;=18,前提条件!$C$43,IF($A22&lt;=24,前提条件!$C$44,前提条件!$C$45))))*前提条件!$C$41,0)</f>
        <v/>
      </c>
      <c r="Q22" s="16">
        <f>IF($A22&lt;15,0,ROUND($G22*前提条件!$C$48*前提条件!$C$47*前提条件!$C$19,0))</f>
        <v/>
      </c>
      <c r="R22" s="16">
        <f>IF($A22&lt;20,0,IF($A22&lt;=24,前提条件!$C$51,前提条件!$C$52)*前提条件!$C$50)</f>
        <v/>
      </c>
      <c r="S22" s="16">
        <f>SUM($N22:$R22)</f>
        <v/>
      </c>
      <c r="T22" s="16">
        <f>IF($A22&lt;=6,前提条件!$C$54,IF($A22&lt;=18,前提条件!$C$55,前提条件!$C$56))</f>
        <v/>
      </c>
      <c r="U22" s="16">
        <f>IF($A22&lt;=12,前提条件!$C$57,前提条件!$C$58)</f>
        <v/>
      </c>
      <c r="V22" s="16">
        <f>前提条件!$C$59</f>
        <v/>
      </c>
      <c r="W22" s="16">
        <f>IF($A22&lt;=6,0,IF($A22&lt;=12,前提条件!$C$60,IF($A22&lt;=24,前提条件!$C$61,前提条件!$C$62)))</f>
        <v/>
      </c>
      <c r="X22" s="16">
        <f>IF($A22&lt;5,0,IF($A22&lt;=12,前提条件!$C$63,IF($A22&lt;=24,前提条件!$C$64,前提条件!$C$65)))</f>
        <v/>
      </c>
      <c r="Y22" s="16">
        <f>IF($A22&lt;=12,0,IF($A22&lt;=18,前提条件!$C$66,IF($A22&lt;=24,前提条件!$C$67,前提条件!$C$68)))</f>
        <v/>
      </c>
      <c r="Z22" s="16">
        <f>ROUND(($N22+$Q22)*前提条件!$C$69,0)</f>
        <v/>
      </c>
      <c r="AA22" s="16">
        <f>IF($A22=1,前提条件!$C$70,0)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IF($A23&lt;=3,前提条件!$C$21,IF($A23&lt;=6,前提条件!$C$22,IF($A23&lt;=12,前提条件!$C$23,IF($A23&lt;=24,前提条件!$C$24,前提条件!$C$25))))</f>
        <v/>
      </c>
      <c r="D23" s="16">
        <f>$D22+$C23</f>
        <v/>
      </c>
      <c r="E23" s="16">
        <f>ROUND($C23*前提条件!$C$27,0)</f>
        <v/>
      </c>
      <c r="F23" s="16">
        <f>IF($X23=0,0,ROUND($X23/前提条件!$C$28,0))</f>
        <v/>
      </c>
      <c r="G23" s="16">
        <f>$E23+$F23</f>
        <v/>
      </c>
      <c r="H23" s="16">
        <f>ROUND($I22*前提条件!$C$29,0)</f>
        <v/>
      </c>
      <c r="I23" s="16">
        <f>$I22+$G23-$H23</f>
        <v/>
      </c>
      <c r="J23" s="16">
        <f>IF($A23&lt;前提条件!$C$37,0,ROUND($G23*前提条件!$C$33+$I22*前提条件!$C$34,0))</f>
        <v/>
      </c>
      <c r="K23" s="16">
        <f>IF(OR($A23=5,$A23=11,$A23=15,$A23=22,$A23=30),ROUND($I22*前提条件!$C$35,0),0)</f>
        <v/>
      </c>
      <c r="L23" s="16">
        <f>$J23+$K23</f>
        <v/>
      </c>
      <c r="M23" s="16">
        <f>IF($A23&lt;=12,前提条件!$C$31,前提条件!$C$32)*前提条件!$C$19</f>
        <v/>
      </c>
      <c r="N23" s="16">
        <f>ROUND($L23*$M23*(1-前提条件!$C$36),0)</f>
        <v/>
      </c>
      <c r="O23" s="16">
        <f>ROUND($D23*前提条件!$C$39,0)</f>
        <v/>
      </c>
      <c r="P23" s="16">
        <f>ROUND(IF($A23&lt;10,0,IF($A23&lt;=12,前提条件!$C$42,IF($A23&lt;=18,前提条件!$C$43,IF($A23&lt;=24,前提条件!$C$44,前提条件!$C$45))))*前提条件!$C$41,0)</f>
        <v/>
      </c>
      <c r="Q23" s="16">
        <f>IF($A23&lt;15,0,ROUND($G23*前提条件!$C$48*前提条件!$C$47*前提条件!$C$19,0))</f>
        <v/>
      </c>
      <c r="R23" s="16">
        <f>IF($A23&lt;20,0,IF($A23&lt;=24,前提条件!$C$51,前提条件!$C$52)*前提条件!$C$50)</f>
        <v/>
      </c>
      <c r="S23" s="16">
        <f>SUM($N23:$R23)</f>
        <v/>
      </c>
      <c r="T23" s="16">
        <f>IF($A23&lt;=6,前提条件!$C$54,IF($A23&lt;=18,前提条件!$C$55,前提条件!$C$56))</f>
        <v/>
      </c>
      <c r="U23" s="16">
        <f>IF($A23&lt;=12,前提条件!$C$57,前提条件!$C$58)</f>
        <v/>
      </c>
      <c r="V23" s="16">
        <f>前提条件!$C$59</f>
        <v/>
      </c>
      <c r="W23" s="16">
        <f>IF($A23&lt;=6,0,IF($A23&lt;=12,前提条件!$C$60,IF($A23&lt;=24,前提条件!$C$61,前提条件!$C$62)))</f>
        <v/>
      </c>
      <c r="X23" s="16">
        <f>IF($A23&lt;5,0,IF($A23&lt;=12,前提条件!$C$63,IF($A23&lt;=24,前提条件!$C$64,前提条件!$C$65)))</f>
        <v/>
      </c>
      <c r="Y23" s="16">
        <f>IF($A23&lt;=12,0,IF($A23&lt;=18,前提条件!$C$66,IF($A23&lt;=24,前提条件!$C$67,前提条件!$C$68)))</f>
        <v/>
      </c>
      <c r="Z23" s="16">
        <f>ROUND(($N23+$Q23)*前提条件!$C$69,0)</f>
        <v/>
      </c>
      <c r="AA23" s="16">
        <f>IF($A23=1,前提条件!$C$70,0)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IF($A24&lt;=3,前提条件!$C$21,IF($A24&lt;=6,前提条件!$C$22,IF($A24&lt;=12,前提条件!$C$23,IF($A24&lt;=24,前提条件!$C$24,前提条件!$C$25))))</f>
        <v/>
      </c>
      <c r="D24" s="16">
        <f>$D23+$C24</f>
        <v/>
      </c>
      <c r="E24" s="16">
        <f>ROUND($C24*前提条件!$C$27,0)</f>
        <v/>
      </c>
      <c r="F24" s="16">
        <f>IF($X24=0,0,ROUND($X24/前提条件!$C$28,0))</f>
        <v/>
      </c>
      <c r="G24" s="16">
        <f>$E24+$F24</f>
        <v/>
      </c>
      <c r="H24" s="16">
        <f>ROUND($I23*前提条件!$C$29,0)</f>
        <v/>
      </c>
      <c r="I24" s="16">
        <f>$I23+$G24-$H24</f>
        <v/>
      </c>
      <c r="J24" s="16">
        <f>IF($A24&lt;前提条件!$C$37,0,ROUND($G24*前提条件!$C$33+$I23*前提条件!$C$34,0))</f>
        <v/>
      </c>
      <c r="K24" s="16">
        <f>IF(OR($A24=5,$A24=11,$A24=15,$A24=22,$A24=30),ROUND($I23*前提条件!$C$35,0),0)</f>
        <v/>
      </c>
      <c r="L24" s="16">
        <f>$J24+$K24</f>
        <v/>
      </c>
      <c r="M24" s="16">
        <f>IF($A24&lt;=12,前提条件!$C$31,前提条件!$C$32)*前提条件!$C$19</f>
        <v/>
      </c>
      <c r="N24" s="16">
        <f>ROUND($L24*$M24*(1-前提条件!$C$36),0)</f>
        <v/>
      </c>
      <c r="O24" s="16">
        <f>ROUND($D24*前提条件!$C$39,0)</f>
        <v/>
      </c>
      <c r="P24" s="16">
        <f>ROUND(IF($A24&lt;10,0,IF($A24&lt;=12,前提条件!$C$42,IF($A24&lt;=18,前提条件!$C$43,IF($A24&lt;=24,前提条件!$C$44,前提条件!$C$45))))*前提条件!$C$41,0)</f>
        <v/>
      </c>
      <c r="Q24" s="16">
        <f>IF($A24&lt;15,0,ROUND($G24*前提条件!$C$48*前提条件!$C$47*前提条件!$C$19,0))</f>
        <v/>
      </c>
      <c r="R24" s="16">
        <f>IF($A24&lt;20,0,IF($A24&lt;=24,前提条件!$C$51,前提条件!$C$52)*前提条件!$C$50)</f>
        <v/>
      </c>
      <c r="S24" s="16">
        <f>SUM($N24:$R24)</f>
        <v/>
      </c>
      <c r="T24" s="16">
        <f>IF($A24&lt;=6,前提条件!$C$54,IF($A24&lt;=18,前提条件!$C$55,前提条件!$C$56))</f>
        <v/>
      </c>
      <c r="U24" s="16">
        <f>IF($A24&lt;=12,前提条件!$C$57,前提条件!$C$58)</f>
        <v/>
      </c>
      <c r="V24" s="16">
        <f>前提条件!$C$59</f>
        <v/>
      </c>
      <c r="W24" s="16">
        <f>IF($A24&lt;=6,0,IF($A24&lt;=12,前提条件!$C$60,IF($A24&lt;=24,前提条件!$C$61,前提条件!$C$62)))</f>
        <v/>
      </c>
      <c r="X24" s="16">
        <f>IF($A24&lt;5,0,IF($A24&lt;=12,前提条件!$C$63,IF($A24&lt;=24,前提条件!$C$64,前提条件!$C$65)))</f>
        <v/>
      </c>
      <c r="Y24" s="16">
        <f>IF($A24&lt;=12,0,IF($A24&lt;=18,前提条件!$C$66,IF($A24&lt;=24,前提条件!$C$67,前提条件!$C$68)))</f>
        <v/>
      </c>
      <c r="Z24" s="16">
        <f>ROUND(($N24+$Q24)*前提条件!$C$69,0)</f>
        <v/>
      </c>
      <c r="AA24" s="16">
        <f>IF($A24=1,前提条件!$C$70,0)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IF($A25&lt;=3,前提条件!$C$21,IF($A25&lt;=6,前提条件!$C$22,IF($A25&lt;=12,前提条件!$C$23,IF($A25&lt;=24,前提条件!$C$24,前提条件!$C$25))))</f>
        <v/>
      </c>
      <c r="D25" s="16">
        <f>$D24+$C25</f>
        <v/>
      </c>
      <c r="E25" s="16">
        <f>ROUND($C25*前提条件!$C$27,0)</f>
        <v/>
      </c>
      <c r="F25" s="16">
        <f>IF($X25=0,0,ROUND($X25/前提条件!$C$28,0))</f>
        <v/>
      </c>
      <c r="G25" s="16">
        <f>$E25+$F25</f>
        <v/>
      </c>
      <c r="H25" s="16">
        <f>ROUND($I24*前提条件!$C$29,0)</f>
        <v/>
      </c>
      <c r="I25" s="16">
        <f>$I24+$G25-$H25</f>
        <v/>
      </c>
      <c r="J25" s="16">
        <f>IF($A25&lt;前提条件!$C$37,0,ROUND($G25*前提条件!$C$33+$I24*前提条件!$C$34,0))</f>
        <v/>
      </c>
      <c r="K25" s="16">
        <f>IF(OR($A25=5,$A25=11,$A25=15,$A25=22,$A25=30),ROUND($I24*前提条件!$C$35,0),0)</f>
        <v/>
      </c>
      <c r="L25" s="16">
        <f>$J25+$K25</f>
        <v/>
      </c>
      <c r="M25" s="16">
        <f>IF($A25&lt;=12,前提条件!$C$31,前提条件!$C$32)*前提条件!$C$19</f>
        <v/>
      </c>
      <c r="N25" s="16">
        <f>ROUND($L25*$M25*(1-前提条件!$C$36),0)</f>
        <v/>
      </c>
      <c r="O25" s="16">
        <f>ROUND($D25*前提条件!$C$39,0)</f>
        <v/>
      </c>
      <c r="P25" s="16">
        <f>ROUND(IF($A25&lt;10,0,IF($A25&lt;=12,前提条件!$C$42,IF($A25&lt;=18,前提条件!$C$43,IF($A25&lt;=24,前提条件!$C$44,前提条件!$C$45))))*前提条件!$C$41,0)</f>
        <v/>
      </c>
      <c r="Q25" s="16">
        <f>IF($A25&lt;15,0,ROUND($G25*前提条件!$C$48*前提条件!$C$47*前提条件!$C$19,0))</f>
        <v/>
      </c>
      <c r="R25" s="16">
        <f>IF($A25&lt;20,0,IF($A25&lt;=24,前提条件!$C$51,前提条件!$C$52)*前提条件!$C$50)</f>
        <v/>
      </c>
      <c r="S25" s="16">
        <f>SUM($N25:$R25)</f>
        <v/>
      </c>
      <c r="T25" s="16">
        <f>IF($A25&lt;=6,前提条件!$C$54,IF($A25&lt;=18,前提条件!$C$55,前提条件!$C$56))</f>
        <v/>
      </c>
      <c r="U25" s="16">
        <f>IF($A25&lt;=12,前提条件!$C$57,前提条件!$C$58)</f>
        <v/>
      </c>
      <c r="V25" s="16">
        <f>前提条件!$C$59</f>
        <v/>
      </c>
      <c r="W25" s="16">
        <f>IF($A25&lt;=6,0,IF($A25&lt;=12,前提条件!$C$60,IF($A25&lt;=24,前提条件!$C$61,前提条件!$C$62)))</f>
        <v/>
      </c>
      <c r="X25" s="16">
        <f>IF($A25&lt;5,0,IF($A25&lt;=12,前提条件!$C$63,IF($A25&lt;=24,前提条件!$C$64,前提条件!$C$65)))</f>
        <v/>
      </c>
      <c r="Y25" s="16">
        <f>IF($A25&lt;=12,0,IF($A25&lt;=18,前提条件!$C$66,IF($A25&lt;=24,前提条件!$C$67,前提条件!$C$68)))</f>
        <v/>
      </c>
      <c r="Z25" s="16">
        <f>ROUND(($N25+$Q25)*前提条件!$C$69,0)</f>
        <v/>
      </c>
      <c r="AA25" s="16">
        <f>IF($A25=1,前提条件!$C$70,0)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IF($A26&lt;=3,前提条件!$C$21,IF($A26&lt;=6,前提条件!$C$22,IF($A26&lt;=12,前提条件!$C$23,IF($A26&lt;=24,前提条件!$C$24,前提条件!$C$25))))</f>
        <v/>
      </c>
      <c r="D26" s="16">
        <f>$D25+$C26</f>
        <v/>
      </c>
      <c r="E26" s="16">
        <f>ROUND($C26*前提条件!$C$27,0)</f>
        <v/>
      </c>
      <c r="F26" s="16">
        <f>IF($X26=0,0,ROUND($X26/前提条件!$C$28,0))</f>
        <v/>
      </c>
      <c r="G26" s="16">
        <f>$E26+$F26</f>
        <v/>
      </c>
      <c r="H26" s="16">
        <f>ROUND($I25*前提条件!$C$29,0)</f>
        <v/>
      </c>
      <c r="I26" s="16">
        <f>$I25+$G26-$H26</f>
        <v/>
      </c>
      <c r="J26" s="16">
        <f>IF($A26&lt;前提条件!$C$37,0,ROUND($G26*前提条件!$C$33+$I25*前提条件!$C$34,0))</f>
        <v/>
      </c>
      <c r="K26" s="16">
        <f>IF(OR($A26=5,$A26=11,$A26=15,$A26=22,$A26=30),ROUND($I25*前提条件!$C$35,0),0)</f>
        <v/>
      </c>
      <c r="L26" s="16">
        <f>$J26+$K26</f>
        <v/>
      </c>
      <c r="M26" s="16">
        <f>IF($A26&lt;=12,前提条件!$C$31,前提条件!$C$32)*前提条件!$C$19</f>
        <v/>
      </c>
      <c r="N26" s="16">
        <f>ROUND($L26*$M26*(1-前提条件!$C$36),0)</f>
        <v/>
      </c>
      <c r="O26" s="16">
        <f>ROUND($D26*前提条件!$C$39,0)</f>
        <v/>
      </c>
      <c r="P26" s="16">
        <f>ROUND(IF($A26&lt;10,0,IF($A26&lt;=12,前提条件!$C$42,IF($A26&lt;=18,前提条件!$C$43,IF($A26&lt;=24,前提条件!$C$44,前提条件!$C$45))))*前提条件!$C$41,0)</f>
        <v/>
      </c>
      <c r="Q26" s="16">
        <f>IF($A26&lt;15,0,ROUND($G26*前提条件!$C$48*前提条件!$C$47*前提条件!$C$19,0))</f>
        <v/>
      </c>
      <c r="R26" s="16">
        <f>IF($A26&lt;20,0,IF($A26&lt;=24,前提条件!$C$51,前提条件!$C$52)*前提条件!$C$50)</f>
        <v/>
      </c>
      <c r="S26" s="16">
        <f>SUM($N26:$R26)</f>
        <v/>
      </c>
      <c r="T26" s="16">
        <f>IF($A26&lt;=6,前提条件!$C$54,IF($A26&lt;=18,前提条件!$C$55,前提条件!$C$56))</f>
        <v/>
      </c>
      <c r="U26" s="16">
        <f>IF($A26&lt;=12,前提条件!$C$57,前提条件!$C$58)</f>
        <v/>
      </c>
      <c r="V26" s="16">
        <f>前提条件!$C$59</f>
        <v/>
      </c>
      <c r="W26" s="16">
        <f>IF($A26&lt;=6,0,IF($A26&lt;=12,前提条件!$C$60,IF($A26&lt;=24,前提条件!$C$61,前提条件!$C$62)))</f>
        <v/>
      </c>
      <c r="X26" s="16">
        <f>IF($A26&lt;5,0,IF($A26&lt;=12,前提条件!$C$63,IF($A26&lt;=24,前提条件!$C$64,前提条件!$C$65)))</f>
        <v/>
      </c>
      <c r="Y26" s="16">
        <f>IF($A26&lt;=12,0,IF($A26&lt;=18,前提条件!$C$66,IF($A26&lt;=24,前提条件!$C$67,前提条件!$C$68)))</f>
        <v/>
      </c>
      <c r="Z26" s="16">
        <f>ROUND(($N26+$Q26)*前提条件!$C$69,0)</f>
        <v/>
      </c>
      <c r="AA26" s="16">
        <f>IF($A26=1,前提条件!$C$70,0)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IF($A27&lt;=3,前提条件!$C$21,IF($A27&lt;=6,前提条件!$C$22,IF($A27&lt;=12,前提条件!$C$23,IF($A27&lt;=24,前提条件!$C$24,前提条件!$C$25))))</f>
        <v/>
      </c>
      <c r="D27" s="16">
        <f>$D26+$C27</f>
        <v/>
      </c>
      <c r="E27" s="16">
        <f>ROUND($C27*前提条件!$C$27,0)</f>
        <v/>
      </c>
      <c r="F27" s="16">
        <f>IF($X27=0,0,ROUND($X27/前提条件!$C$28,0))</f>
        <v/>
      </c>
      <c r="G27" s="16">
        <f>$E27+$F27</f>
        <v/>
      </c>
      <c r="H27" s="16">
        <f>ROUND($I26*前提条件!$C$29,0)</f>
        <v/>
      </c>
      <c r="I27" s="16">
        <f>$I26+$G27-$H27</f>
        <v/>
      </c>
      <c r="J27" s="16">
        <f>IF($A27&lt;前提条件!$C$37,0,ROUND($G27*前提条件!$C$33+$I26*前提条件!$C$34,0))</f>
        <v/>
      </c>
      <c r="K27" s="16">
        <f>IF(OR($A27=5,$A27=11,$A27=15,$A27=22,$A27=30),ROUND($I26*前提条件!$C$35,0),0)</f>
        <v/>
      </c>
      <c r="L27" s="16">
        <f>$J27+$K27</f>
        <v/>
      </c>
      <c r="M27" s="16">
        <f>IF($A27&lt;=12,前提条件!$C$31,前提条件!$C$32)*前提条件!$C$19</f>
        <v/>
      </c>
      <c r="N27" s="16">
        <f>ROUND($L27*$M27*(1-前提条件!$C$36),0)</f>
        <v/>
      </c>
      <c r="O27" s="16">
        <f>ROUND($D27*前提条件!$C$39,0)</f>
        <v/>
      </c>
      <c r="P27" s="16">
        <f>ROUND(IF($A27&lt;10,0,IF($A27&lt;=12,前提条件!$C$42,IF($A27&lt;=18,前提条件!$C$43,IF($A27&lt;=24,前提条件!$C$44,前提条件!$C$45))))*前提条件!$C$41,0)</f>
        <v/>
      </c>
      <c r="Q27" s="16">
        <f>IF($A27&lt;15,0,ROUND($G27*前提条件!$C$48*前提条件!$C$47*前提条件!$C$19,0))</f>
        <v/>
      </c>
      <c r="R27" s="16">
        <f>IF($A27&lt;20,0,IF($A27&lt;=24,前提条件!$C$51,前提条件!$C$52)*前提条件!$C$50)</f>
        <v/>
      </c>
      <c r="S27" s="16">
        <f>SUM($N27:$R27)</f>
        <v/>
      </c>
      <c r="T27" s="16">
        <f>IF($A27&lt;=6,前提条件!$C$54,IF($A27&lt;=18,前提条件!$C$55,前提条件!$C$56))</f>
        <v/>
      </c>
      <c r="U27" s="16">
        <f>IF($A27&lt;=12,前提条件!$C$57,前提条件!$C$58)</f>
        <v/>
      </c>
      <c r="V27" s="16">
        <f>前提条件!$C$59</f>
        <v/>
      </c>
      <c r="W27" s="16">
        <f>IF($A27&lt;=6,0,IF($A27&lt;=12,前提条件!$C$60,IF($A27&lt;=24,前提条件!$C$61,前提条件!$C$62)))</f>
        <v/>
      </c>
      <c r="X27" s="16">
        <f>IF($A27&lt;5,0,IF($A27&lt;=12,前提条件!$C$63,IF($A27&lt;=24,前提条件!$C$64,前提条件!$C$65)))</f>
        <v/>
      </c>
      <c r="Y27" s="16">
        <f>IF($A27&lt;=12,0,IF($A27&lt;=18,前提条件!$C$66,IF($A27&lt;=24,前提条件!$C$67,前提条件!$C$68)))</f>
        <v/>
      </c>
      <c r="Z27" s="16">
        <f>ROUND(($N27+$Q27)*前提条件!$C$69,0)</f>
        <v/>
      </c>
      <c r="AA27" s="16">
        <f>IF($A27=1,前提条件!$C$70,0)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IF($A28&lt;=3,前提条件!$C$21,IF($A28&lt;=6,前提条件!$C$22,IF($A28&lt;=12,前提条件!$C$23,IF($A28&lt;=24,前提条件!$C$24,前提条件!$C$25))))</f>
        <v/>
      </c>
      <c r="D28" s="18">
        <f>$D27+$C28</f>
        <v/>
      </c>
      <c r="E28" s="18">
        <f>ROUND($C28*前提条件!$C$27,0)</f>
        <v/>
      </c>
      <c r="F28" s="18">
        <f>IF($X28=0,0,ROUND($X28/前提条件!$C$28,0))</f>
        <v/>
      </c>
      <c r="G28" s="18">
        <f>$E28+$F28</f>
        <v/>
      </c>
      <c r="H28" s="18">
        <f>ROUND($I27*前提条件!$C$29,0)</f>
        <v/>
      </c>
      <c r="I28" s="18">
        <f>$I27+$G28-$H28</f>
        <v/>
      </c>
      <c r="J28" s="18">
        <f>IF($A28&lt;前提条件!$C$37,0,ROUND($G28*前提条件!$C$33+$I27*前提条件!$C$34,0))</f>
        <v/>
      </c>
      <c r="K28" s="18">
        <f>IF(OR($A28=5,$A28=11,$A28=15,$A28=22,$A28=30),ROUND($I27*前提条件!$C$35,0),0)</f>
        <v/>
      </c>
      <c r="L28" s="18">
        <f>$J28+$K28</f>
        <v/>
      </c>
      <c r="M28" s="18">
        <f>IF($A28&lt;=12,前提条件!$C$31,前提条件!$C$32)*前提条件!$C$19</f>
        <v/>
      </c>
      <c r="N28" s="18">
        <f>ROUND($L28*$M28*(1-前提条件!$C$36),0)</f>
        <v/>
      </c>
      <c r="O28" s="18">
        <f>ROUND($D28*前提条件!$C$39,0)</f>
        <v/>
      </c>
      <c r="P28" s="18">
        <f>ROUND(IF($A28&lt;10,0,IF($A28&lt;=12,前提条件!$C$42,IF($A28&lt;=18,前提条件!$C$43,IF($A28&lt;=24,前提条件!$C$44,前提条件!$C$45))))*前提条件!$C$41,0)</f>
        <v/>
      </c>
      <c r="Q28" s="18">
        <f>IF($A28&lt;15,0,ROUND($G28*前提条件!$C$48*前提条件!$C$47*前提条件!$C$19,0))</f>
        <v/>
      </c>
      <c r="R28" s="18">
        <f>IF($A28&lt;20,0,IF($A28&lt;=24,前提条件!$C$51,前提条件!$C$52)*前提条件!$C$50)</f>
        <v/>
      </c>
      <c r="S28" s="18">
        <f>SUM($N28:$R28)</f>
        <v/>
      </c>
      <c r="T28" s="18">
        <f>IF($A28&lt;=6,前提条件!$C$54,IF($A28&lt;=18,前提条件!$C$55,前提条件!$C$56))</f>
        <v/>
      </c>
      <c r="U28" s="18">
        <f>IF($A28&lt;=12,前提条件!$C$57,前提条件!$C$58)</f>
        <v/>
      </c>
      <c r="V28" s="18">
        <f>前提条件!$C$59</f>
        <v/>
      </c>
      <c r="W28" s="18">
        <f>IF($A28&lt;=6,0,IF($A28&lt;=12,前提条件!$C$60,IF($A28&lt;=24,前提条件!$C$61,前提条件!$C$62)))</f>
        <v/>
      </c>
      <c r="X28" s="18">
        <f>IF($A28&lt;5,0,IF($A28&lt;=12,前提条件!$C$63,IF($A28&lt;=24,前提条件!$C$64,前提条件!$C$65)))</f>
        <v/>
      </c>
      <c r="Y28" s="18">
        <f>IF($A28&lt;=12,0,IF($A28&lt;=18,前提条件!$C$66,IF($A28&lt;=24,前提条件!$C$67,前提条件!$C$68)))</f>
        <v/>
      </c>
      <c r="Z28" s="18">
        <f>ROUND(($N28+$Q28)*前提条件!$C$69,0)</f>
        <v/>
      </c>
      <c r="AA28" s="18">
        <f>IF($A28=1,前提条件!$C$70,0)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IF($A29&lt;=3,前提条件!$C$21,IF($A29&lt;=6,前提条件!$C$22,IF($A29&lt;=12,前提条件!$C$23,IF($A29&lt;=24,前提条件!$C$24,前提条件!$C$25))))</f>
        <v/>
      </c>
      <c r="D29" s="16">
        <f>$D28+$C29</f>
        <v/>
      </c>
      <c r="E29" s="16">
        <f>ROUND($C29*前提条件!$C$27,0)</f>
        <v/>
      </c>
      <c r="F29" s="16">
        <f>IF($X29=0,0,ROUND($X29/前提条件!$C$28,0))</f>
        <v/>
      </c>
      <c r="G29" s="16">
        <f>$E29+$F29</f>
        <v/>
      </c>
      <c r="H29" s="16">
        <f>ROUND($I28*前提条件!$C$29,0)</f>
        <v/>
      </c>
      <c r="I29" s="16">
        <f>$I28+$G29-$H29</f>
        <v/>
      </c>
      <c r="J29" s="16">
        <f>IF($A29&lt;前提条件!$C$37,0,ROUND($G29*前提条件!$C$33+$I28*前提条件!$C$34,0))</f>
        <v/>
      </c>
      <c r="K29" s="16">
        <f>IF(OR($A29=5,$A29=11,$A29=15,$A29=22,$A29=30),ROUND($I28*前提条件!$C$35,0),0)</f>
        <v/>
      </c>
      <c r="L29" s="16">
        <f>$J29+$K29</f>
        <v/>
      </c>
      <c r="M29" s="16">
        <f>IF($A29&lt;=12,前提条件!$C$31,前提条件!$C$32)*前提条件!$C$19</f>
        <v/>
      </c>
      <c r="N29" s="16">
        <f>ROUND($L29*$M29*(1-前提条件!$C$36),0)</f>
        <v/>
      </c>
      <c r="O29" s="16">
        <f>ROUND($D29*前提条件!$C$39,0)</f>
        <v/>
      </c>
      <c r="P29" s="16">
        <f>ROUND(IF($A29&lt;10,0,IF($A29&lt;=12,前提条件!$C$42,IF($A29&lt;=18,前提条件!$C$43,IF($A29&lt;=24,前提条件!$C$44,前提条件!$C$45))))*前提条件!$C$41,0)</f>
        <v/>
      </c>
      <c r="Q29" s="16">
        <f>IF($A29&lt;15,0,ROUND($G29*前提条件!$C$48*前提条件!$C$47*前提条件!$C$19,0))</f>
        <v/>
      </c>
      <c r="R29" s="16">
        <f>IF($A29&lt;20,0,IF($A29&lt;=24,前提条件!$C$51,前提条件!$C$52)*前提条件!$C$50)</f>
        <v/>
      </c>
      <c r="S29" s="16">
        <f>SUM($N29:$R29)</f>
        <v/>
      </c>
      <c r="T29" s="16">
        <f>IF($A29&lt;=6,前提条件!$C$54,IF($A29&lt;=18,前提条件!$C$55,前提条件!$C$56))</f>
        <v/>
      </c>
      <c r="U29" s="16">
        <f>IF($A29&lt;=12,前提条件!$C$57,前提条件!$C$58)</f>
        <v/>
      </c>
      <c r="V29" s="16">
        <f>前提条件!$C$59</f>
        <v/>
      </c>
      <c r="W29" s="16">
        <f>IF($A29&lt;=6,0,IF($A29&lt;=12,前提条件!$C$60,IF($A29&lt;=24,前提条件!$C$61,前提条件!$C$62)))</f>
        <v/>
      </c>
      <c r="X29" s="16">
        <f>IF($A29&lt;5,0,IF($A29&lt;=12,前提条件!$C$63,IF($A29&lt;=24,前提条件!$C$64,前提条件!$C$65)))</f>
        <v/>
      </c>
      <c r="Y29" s="16">
        <f>IF($A29&lt;=12,0,IF($A29&lt;=18,前提条件!$C$66,IF($A29&lt;=24,前提条件!$C$67,前提条件!$C$68)))</f>
        <v/>
      </c>
      <c r="Z29" s="16">
        <f>ROUND(($N29+$Q29)*前提条件!$C$69,0)</f>
        <v/>
      </c>
      <c r="AA29" s="16">
        <f>IF($A29=1,前提条件!$C$70,0)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IF($A30&lt;=3,前提条件!$C$21,IF($A30&lt;=6,前提条件!$C$22,IF($A30&lt;=12,前提条件!$C$23,IF($A30&lt;=24,前提条件!$C$24,前提条件!$C$25))))</f>
        <v/>
      </c>
      <c r="D30" s="16">
        <f>$D29+$C30</f>
        <v/>
      </c>
      <c r="E30" s="16">
        <f>ROUND($C30*前提条件!$C$27,0)</f>
        <v/>
      </c>
      <c r="F30" s="16">
        <f>IF($X30=0,0,ROUND($X30/前提条件!$C$28,0))</f>
        <v/>
      </c>
      <c r="G30" s="16">
        <f>$E30+$F30</f>
        <v/>
      </c>
      <c r="H30" s="16">
        <f>ROUND($I29*前提条件!$C$29,0)</f>
        <v/>
      </c>
      <c r="I30" s="16">
        <f>$I29+$G30-$H30</f>
        <v/>
      </c>
      <c r="J30" s="16">
        <f>IF($A30&lt;前提条件!$C$37,0,ROUND($G30*前提条件!$C$33+$I29*前提条件!$C$34,0))</f>
        <v/>
      </c>
      <c r="K30" s="16">
        <f>IF(OR($A30=5,$A30=11,$A30=15,$A30=22,$A30=30),ROUND($I29*前提条件!$C$35,0),0)</f>
        <v/>
      </c>
      <c r="L30" s="16">
        <f>$J30+$K30</f>
        <v/>
      </c>
      <c r="M30" s="16">
        <f>IF($A30&lt;=12,前提条件!$C$31,前提条件!$C$32)*前提条件!$C$19</f>
        <v/>
      </c>
      <c r="N30" s="16">
        <f>ROUND($L30*$M30*(1-前提条件!$C$36),0)</f>
        <v/>
      </c>
      <c r="O30" s="16">
        <f>ROUND($D30*前提条件!$C$39,0)</f>
        <v/>
      </c>
      <c r="P30" s="16">
        <f>ROUND(IF($A30&lt;10,0,IF($A30&lt;=12,前提条件!$C$42,IF($A30&lt;=18,前提条件!$C$43,IF($A30&lt;=24,前提条件!$C$44,前提条件!$C$45))))*前提条件!$C$41,0)</f>
        <v/>
      </c>
      <c r="Q30" s="16">
        <f>IF($A30&lt;15,0,ROUND($G30*前提条件!$C$48*前提条件!$C$47*前提条件!$C$19,0))</f>
        <v/>
      </c>
      <c r="R30" s="16">
        <f>IF($A30&lt;20,0,IF($A30&lt;=24,前提条件!$C$51,前提条件!$C$52)*前提条件!$C$50)</f>
        <v/>
      </c>
      <c r="S30" s="16">
        <f>SUM($N30:$R30)</f>
        <v/>
      </c>
      <c r="T30" s="16">
        <f>IF($A30&lt;=6,前提条件!$C$54,IF($A30&lt;=18,前提条件!$C$55,前提条件!$C$56))</f>
        <v/>
      </c>
      <c r="U30" s="16">
        <f>IF($A30&lt;=12,前提条件!$C$57,前提条件!$C$58)</f>
        <v/>
      </c>
      <c r="V30" s="16">
        <f>前提条件!$C$59</f>
        <v/>
      </c>
      <c r="W30" s="16">
        <f>IF($A30&lt;=6,0,IF($A30&lt;=12,前提条件!$C$60,IF($A30&lt;=24,前提条件!$C$61,前提条件!$C$62)))</f>
        <v/>
      </c>
      <c r="X30" s="16">
        <f>IF($A30&lt;5,0,IF($A30&lt;=12,前提条件!$C$63,IF($A30&lt;=24,前提条件!$C$64,前提条件!$C$65)))</f>
        <v/>
      </c>
      <c r="Y30" s="16">
        <f>IF($A30&lt;=12,0,IF($A30&lt;=18,前提条件!$C$66,IF($A30&lt;=24,前提条件!$C$67,前提条件!$C$68)))</f>
        <v/>
      </c>
      <c r="Z30" s="16">
        <f>ROUND(($N30+$Q30)*前提条件!$C$69,0)</f>
        <v/>
      </c>
      <c r="AA30" s="16">
        <f>IF($A30=1,前提条件!$C$70,0)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IF($A31&lt;=3,前提条件!$C$21,IF($A31&lt;=6,前提条件!$C$22,IF($A31&lt;=12,前提条件!$C$23,IF($A31&lt;=24,前提条件!$C$24,前提条件!$C$25))))</f>
        <v/>
      </c>
      <c r="D31" s="16">
        <f>$D30+$C31</f>
        <v/>
      </c>
      <c r="E31" s="16">
        <f>ROUND($C31*前提条件!$C$27,0)</f>
        <v/>
      </c>
      <c r="F31" s="16">
        <f>IF($X31=0,0,ROUND($X31/前提条件!$C$28,0))</f>
        <v/>
      </c>
      <c r="G31" s="16">
        <f>$E31+$F31</f>
        <v/>
      </c>
      <c r="H31" s="16">
        <f>ROUND($I30*前提条件!$C$29,0)</f>
        <v/>
      </c>
      <c r="I31" s="16">
        <f>$I30+$G31-$H31</f>
        <v/>
      </c>
      <c r="J31" s="16">
        <f>IF($A31&lt;前提条件!$C$37,0,ROUND($G31*前提条件!$C$33+$I30*前提条件!$C$34,0))</f>
        <v/>
      </c>
      <c r="K31" s="16">
        <f>IF(OR($A31=5,$A31=11,$A31=15,$A31=22,$A31=30),ROUND($I30*前提条件!$C$35,0),0)</f>
        <v/>
      </c>
      <c r="L31" s="16">
        <f>$J31+$K31</f>
        <v/>
      </c>
      <c r="M31" s="16">
        <f>IF($A31&lt;=12,前提条件!$C$31,前提条件!$C$32)*前提条件!$C$19</f>
        <v/>
      </c>
      <c r="N31" s="16">
        <f>ROUND($L31*$M31*(1-前提条件!$C$36),0)</f>
        <v/>
      </c>
      <c r="O31" s="16">
        <f>ROUND($D31*前提条件!$C$39,0)</f>
        <v/>
      </c>
      <c r="P31" s="16">
        <f>ROUND(IF($A31&lt;10,0,IF($A31&lt;=12,前提条件!$C$42,IF($A31&lt;=18,前提条件!$C$43,IF($A31&lt;=24,前提条件!$C$44,前提条件!$C$45))))*前提条件!$C$41,0)</f>
        <v/>
      </c>
      <c r="Q31" s="16">
        <f>IF($A31&lt;15,0,ROUND($G31*前提条件!$C$48*前提条件!$C$47*前提条件!$C$19,0))</f>
        <v/>
      </c>
      <c r="R31" s="16">
        <f>IF($A31&lt;20,0,IF($A31&lt;=24,前提条件!$C$51,前提条件!$C$52)*前提条件!$C$50)</f>
        <v/>
      </c>
      <c r="S31" s="16">
        <f>SUM($N31:$R31)</f>
        <v/>
      </c>
      <c r="T31" s="16">
        <f>IF($A31&lt;=6,前提条件!$C$54,IF($A31&lt;=18,前提条件!$C$55,前提条件!$C$56))</f>
        <v/>
      </c>
      <c r="U31" s="16">
        <f>IF($A31&lt;=12,前提条件!$C$57,前提条件!$C$58)</f>
        <v/>
      </c>
      <c r="V31" s="16">
        <f>前提条件!$C$59</f>
        <v/>
      </c>
      <c r="W31" s="16">
        <f>IF($A31&lt;=6,0,IF($A31&lt;=12,前提条件!$C$60,IF($A31&lt;=24,前提条件!$C$61,前提条件!$C$62)))</f>
        <v/>
      </c>
      <c r="X31" s="16">
        <f>IF($A31&lt;5,0,IF($A31&lt;=12,前提条件!$C$63,IF($A31&lt;=24,前提条件!$C$64,前提条件!$C$65)))</f>
        <v/>
      </c>
      <c r="Y31" s="16">
        <f>IF($A31&lt;=12,0,IF($A31&lt;=18,前提条件!$C$66,IF($A31&lt;=24,前提条件!$C$67,前提条件!$C$68)))</f>
        <v/>
      </c>
      <c r="Z31" s="16">
        <f>ROUND(($N31+$Q31)*前提条件!$C$69,0)</f>
        <v/>
      </c>
      <c r="AA31" s="16">
        <f>IF($A31=1,前提条件!$C$70,0)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IF($A32&lt;=3,前提条件!$C$21,IF($A32&lt;=6,前提条件!$C$22,IF($A32&lt;=12,前提条件!$C$23,IF($A32&lt;=24,前提条件!$C$24,前提条件!$C$25))))</f>
        <v/>
      </c>
      <c r="D32" s="16">
        <f>$D31+$C32</f>
        <v/>
      </c>
      <c r="E32" s="16">
        <f>ROUND($C32*前提条件!$C$27,0)</f>
        <v/>
      </c>
      <c r="F32" s="16">
        <f>IF($X32=0,0,ROUND($X32/前提条件!$C$28,0))</f>
        <v/>
      </c>
      <c r="G32" s="16">
        <f>$E32+$F32</f>
        <v/>
      </c>
      <c r="H32" s="16">
        <f>ROUND($I31*前提条件!$C$29,0)</f>
        <v/>
      </c>
      <c r="I32" s="16">
        <f>$I31+$G32-$H32</f>
        <v/>
      </c>
      <c r="J32" s="16">
        <f>IF($A32&lt;前提条件!$C$37,0,ROUND($G32*前提条件!$C$33+$I31*前提条件!$C$34,0))</f>
        <v/>
      </c>
      <c r="K32" s="16">
        <f>IF(OR($A32=5,$A32=11,$A32=15,$A32=22,$A32=30),ROUND($I31*前提条件!$C$35,0),0)</f>
        <v/>
      </c>
      <c r="L32" s="16">
        <f>$J32+$K32</f>
        <v/>
      </c>
      <c r="M32" s="16">
        <f>IF($A32&lt;=12,前提条件!$C$31,前提条件!$C$32)*前提条件!$C$19</f>
        <v/>
      </c>
      <c r="N32" s="16">
        <f>ROUND($L32*$M32*(1-前提条件!$C$36),0)</f>
        <v/>
      </c>
      <c r="O32" s="16">
        <f>ROUND($D32*前提条件!$C$39,0)</f>
        <v/>
      </c>
      <c r="P32" s="16">
        <f>ROUND(IF($A32&lt;10,0,IF($A32&lt;=12,前提条件!$C$42,IF($A32&lt;=18,前提条件!$C$43,IF($A32&lt;=24,前提条件!$C$44,前提条件!$C$45))))*前提条件!$C$41,0)</f>
        <v/>
      </c>
      <c r="Q32" s="16">
        <f>IF($A32&lt;15,0,ROUND($G32*前提条件!$C$48*前提条件!$C$47*前提条件!$C$19,0))</f>
        <v/>
      </c>
      <c r="R32" s="16">
        <f>IF($A32&lt;20,0,IF($A32&lt;=24,前提条件!$C$51,前提条件!$C$52)*前提条件!$C$50)</f>
        <v/>
      </c>
      <c r="S32" s="16">
        <f>SUM($N32:$R32)</f>
        <v/>
      </c>
      <c r="T32" s="16">
        <f>IF($A32&lt;=6,前提条件!$C$54,IF($A32&lt;=18,前提条件!$C$55,前提条件!$C$56))</f>
        <v/>
      </c>
      <c r="U32" s="16">
        <f>IF($A32&lt;=12,前提条件!$C$57,前提条件!$C$58)</f>
        <v/>
      </c>
      <c r="V32" s="16">
        <f>前提条件!$C$59</f>
        <v/>
      </c>
      <c r="W32" s="16">
        <f>IF($A32&lt;=6,0,IF($A32&lt;=12,前提条件!$C$60,IF($A32&lt;=24,前提条件!$C$61,前提条件!$C$62)))</f>
        <v/>
      </c>
      <c r="X32" s="16">
        <f>IF($A32&lt;5,0,IF($A32&lt;=12,前提条件!$C$63,IF($A32&lt;=24,前提条件!$C$64,前提条件!$C$65)))</f>
        <v/>
      </c>
      <c r="Y32" s="16">
        <f>IF($A32&lt;=12,0,IF($A32&lt;=18,前提条件!$C$66,IF($A32&lt;=24,前提条件!$C$67,前提条件!$C$68)))</f>
        <v/>
      </c>
      <c r="Z32" s="16">
        <f>ROUND(($N32+$Q32)*前提条件!$C$69,0)</f>
        <v/>
      </c>
      <c r="AA32" s="16">
        <f>IF($A32=1,前提条件!$C$70,0)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IF($A33&lt;=3,前提条件!$C$21,IF($A33&lt;=6,前提条件!$C$22,IF($A33&lt;=12,前提条件!$C$23,IF($A33&lt;=24,前提条件!$C$24,前提条件!$C$25))))</f>
        <v/>
      </c>
      <c r="D33" s="16">
        <f>$D32+$C33</f>
        <v/>
      </c>
      <c r="E33" s="16">
        <f>ROUND($C33*前提条件!$C$27,0)</f>
        <v/>
      </c>
      <c r="F33" s="16">
        <f>IF($X33=0,0,ROUND($X33/前提条件!$C$28,0))</f>
        <v/>
      </c>
      <c r="G33" s="16">
        <f>$E33+$F33</f>
        <v/>
      </c>
      <c r="H33" s="16">
        <f>ROUND($I32*前提条件!$C$29,0)</f>
        <v/>
      </c>
      <c r="I33" s="16">
        <f>$I32+$G33-$H33</f>
        <v/>
      </c>
      <c r="J33" s="16">
        <f>IF($A33&lt;前提条件!$C$37,0,ROUND($G33*前提条件!$C$33+$I32*前提条件!$C$34,0))</f>
        <v/>
      </c>
      <c r="K33" s="16">
        <f>IF(OR($A33=5,$A33=11,$A33=15,$A33=22,$A33=30),ROUND($I32*前提条件!$C$35,0),0)</f>
        <v/>
      </c>
      <c r="L33" s="16">
        <f>$J33+$K33</f>
        <v/>
      </c>
      <c r="M33" s="16">
        <f>IF($A33&lt;=12,前提条件!$C$31,前提条件!$C$32)*前提条件!$C$19</f>
        <v/>
      </c>
      <c r="N33" s="16">
        <f>ROUND($L33*$M33*(1-前提条件!$C$36),0)</f>
        <v/>
      </c>
      <c r="O33" s="16">
        <f>ROUND($D33*前提条件!$C$39,0)</f>
        <v/>
      </c>
      <c r="P33" s="16">
        <f>ROUND(IF($A33&lt;10,0,IF($A33&lt;=12,前提条件!$C$42,IF($A33&lt;=18,前提条件!$C$43,IF($A33&lt;=24,前提条件!$C$44,前提条件!$C$45))))*前提条件!$C$41,0)</f>
        <v/>
      </c>
      <c r="Q33" s="16">
        <f>IF($A33&lt;15,0,ROUND($G33*前提条件!$C$48*前提条件!$C$47*前提条件!$C$19,0))</f>
        <v/>
      </c>
      <c r="R33" s="16">
        <f>IF($A33&lt;20,0,IF($A33&lt;=24,前提条件!$C$51,前提条件!$C$52)*前提条件!$C$50)</f>
        <v/>
      </c>
      <c r="S33" s="16">
        <f>SUM($N33:$R33)</f>
        <v/>
      </c>
      <c r="T33" s="16">
        <f>IF($A33&lt;=6,前提条件!$C$54,IF($A33&lt;=18,前提条件!$C$55,前提条件!$C$56))</f>
        <v/>
      </c>
      <c r="U33" s="16">
        <f>IF($A33&lt;=12,前提条件!$C$57,前提条件!$C$58)</f>
        <v/>
      </c>
      <c r="V33" s="16">
        <f>前提条件!$C$59</f>
        <v/>
      </c>
      <c r="W33" s="16">
        <f>IF($A33&lt;=6,0,IF($A33&lt;=12,前提条件!$C$60,IF($A33&lt;=24,前提条件!$C$61,前提条件!$C$62)))</f>
        <v/>
      </c>
      <c r="X33" s="16">
        <f>IF($A33&lt;5,0,IF($A33&lt;=12,前提条件!$C$63,IF($A33&lt;=24,前提条件!$C$64,前提条件!$C$65)))</f>
        <v/>
      </c>
      <c r="Y33" s="16">
        <f>IF($A33&lt;=12,0,IF($A33&lt;=18,前提条件!$C$66,IF($A33&lt;=24,前提条件!$C$67,前提条件!$C$68)))</f>
        <v/>
      </c>
      <c r="Z33" s="16">
        <f>ROUND(($N33+$Q33)*前提条件!$C$69,0)</f>
        <v/>
      </c>
      <c r="AA33" s="16">
        <f>IF($A33=1,前提条件!$C$70,0)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IF($A34&lt;=3,前提条件!$C$21,IF($A34&lt;=6,前提条件!$C$22,IF($A34&lt;=12,前提条件!$C$23,IF($A34&lt;=24,前提条件!$C$24,前提条件!$C$25))))</f>
        <v/>
      </c>
      <c r="D34" s="16">
        <f>$D33+$C34</f>
        <v/>
      </c>
      <c r="E34" s="16">
        <f>ROUND($C34*前提条件!$C$27,0)</f>
        <v/>
      </c>
      <c r="F34" s="16">
        <f>IF($X34=0,0,ROUND($X34/前提条件!$C$28,0))</f>
        <v/>
      </c>
      <c r="G34" s="16">
        <f>$E34+$F34</f>
        <v/>
      </c>
      <c r="H34" s="16">
        <f>ROUND($I33*前提条件!$C$29,0)</f>
        <v/>
      </c>
      <c r="I34" s="16">
        <f>$I33+$G34-$H34</f>
        <v/>
      </c>
      <c r="J34" s="16">
        <f>IF($A34&lt;前提条件!$C$37,0,ROUND($G34*前提条件!$C$33+$I33*前提条件!$C$34,0))</f>
        <v/>
      </c>
      <c r="K34" s="16">
        <f>IF(OR($A34=5,$A34=11,$A34=15,$A34=22,$A34=30),ROUND($I33*前提条件!$C$35,0),0)</f>
        <v/>
      </c>
      <c r="L34" s="16">
        <f>$J34+$K34</f>
        <v/>
      </c>
      <c r="M34" s="16">
        <f>IF($A34&lt;=12,前提条件!$C$31,前提条件!$C$32)*前提条件!$C$19</f>
        <v/>
      </c>
      <c r="N34" s="16">
        <f>ROUND($L34*$M34*(1-前提条件!$C$36),0)</f>
        <v/>
      </c>
      <c r="O34" s="16">
        <f>ROUND($D34*前提条件!$C$39,0)</f>
        <v/>
      </c>
      <c r="P34" s="16">
        <f>ROUND(IF($A34&lt;10,0,IF($A34&lt;=12,前提条件!$C$42,IF($A34&lt;=18,前提条件!$C$43,IF($A34&lt;=24,前提条件!$C$44,前提条件!$C$45))))*前提条件!$C$41,0)</f>
        <v/>
      </c>
      <c r="Q34" s="16">
        <f>IF($A34&lt;15,0,ROUND($G34*前提条件!$C$48*前提条件!$C$47*前提条件!$C$19,0))</f>
        <v/>
      </c>
      <c r="R34" s="16">
        <f>IF($A34&lt;20,0,IF($A34&lt;=24,前提条件!$C$51,前提条件!$C$52)*前提条件!$C$50)</f>
        <v/>
      </c>
      <c r="S34" s="16">
        <f>SUM($N34:$R34)</f>
        <v/>
      </c>
      <c r="T34" s="16">
        <f>IF($A34&lt;=6,前提条件!$C$54,IF($A34&lt;=18,前提条件!$C$55,前提条件!$C$56))</f>
        <v/>
      </c>
      <c r="U34" s="16">
        <f>IF($A34&lt;=12,前提条件!$C$57,前提条件!$C$58)</f>
        <v/>
      </c>
      <c r="V34" s="16">
        <f>前提条件!$C$59</f>
        <v/>
      </c>
      <c r="W34" s="16">
        <f>IF($A34&lt;=6,0,IF($A34&lt;=12,前提条件!$C$60,IF($A34&lt;=24,前提条件!$C$61,前提条件!$C$62)))</f>
        <v/>
      </c>
      <c r="X34" s="16">
        <f>IF($A34&lt;5,0,IF($A34&lt;=12,前提条件!$C$63,IF($A34&lt;=24,前提条件!$C$64,前提条件!$C$65)))</f>
        <v/>
      </c>
      <c r="Y34" s="16">
        <f>IF($A34&lt;=12,0,IF($A34&lt;=18,前提条件!$C$66,IF($A34&lt;=24,前提条件!$C$67,前提条件!$C$68)))</f>
        <v/>
      </c>
      <c r="Z34" s="16">
        <f>ROUND(($N34+$Q34)*前提条件!$C$69,0)</f>
        <v/>
      </c>
      <c r="AA34" s="16">
        <f>IF($A34=1,前提条件!$C$70,0)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IF($A35&lt;=3,前提条件!$C$21,IF($A35&lt;=6,前提条件!$C$22,IF($A35&lt;=12,前提条件!$C$23,IF($A35&lt;=24,前提条件!$C$24,前提条件!$C$25))))</f>
        <v/>
      </c>
      <c r="D35" s="16">
        <f>$D34+$C35</f>
        <v/>
      </c>
      <c r="E35" s="16">
        <f>ROUND($C35*前提条件!$C$27,0)</f>
        <v/>
      </c>
      <c r="F35" s="16">
        <f>IF($X35=0,0,ROUND($X35/前提条件!$C$28,0))</f>
        <v/>
      </c>
      <c r="G35" s="16">
        <f>$E35+$F35</f>
        <v/>
      </c>
      <c r="H35" s="16">
        <f>ROUND($I34*前提条件!$C$29,0)</f>
        <v/>
      </c>
      <c r="I35" s="16">
        <f>$I34+$G35-$H35</f>
        <v/>
      </c>
      <c r="J35" s="16">
        <f>IF($A35&lt;前提条件!$C$37,0,ROUND($G35*前提条件!$C$33+$I34*前提条件!$C$34,0))</f>
        <v/>
      </c>
      <c r="K35" s="16">
        <f>IF(OR($A35=5,$A35=11,$A35=15,$A35=22,$A35=30),ROUND($I34*前提条件!$C$35,0),0)</f>
        <v/>
      </c>
      <c r="L35" s="16">
        <f>$J35+$K35</f>
        <v/>
      </c>
      <c r="M35" s="16">
        <f>IF($A35&lt;=12,前提条件!$C$31,前提条件!$C$32)*前提条件!$C$19</f>
        <v/>
      </c>
      <c r="N35" s="16">
        <f>ROUND($L35*$M35*(1-前提条件!$C$36),0)</f>
        <v/>
      </c>
      <c r="O35" s="16">
        <f>ROUND($D35*前提条件!$C$39,0)</f>
        <v/>
      </c>
      <c r="P35" s="16">
        <f>ROUND(IF($A35&lt;10,0,IF($A35&lt;=12,前提条件!$C$42,IF($A35&lt;=18,前提条件!$C$43,IF($A35&lt;=24,前提条件!$C$44,前提条件!$C$45))))*前提条件!$C$41,0)</f>
        <v/>
      </c>
      <c r="Q35" s="16">
        <f>IF($A35&lt;15,0,ROUND($G35*前提条件!$C$48*前提条件!$C$47*前提条件!$C$19,0))</f>
        <v/>
      </c>
      <c r="R35" s="16">
        <f>IF($A35&lt;20,0,IF($A35&lt;=24,前提条件!$C$51,前提条件!$C$52)*前提条件!$C$50)</f>
        <v/>
      </c>
      <c r="S35" s="16">
        <f>SUM($N35:$R35)</f>
        <v/>
      </c>
      <c r="T35" s="16">
        <f>IF($A35&lt;=6,前提条件!$C$54,IF($A35&lt;=18,前提条件!$C$55,前提条件!$C$56))</f>
        <v/>
      </c>
      <c r="U35" s="16">
        <f>IF($A35&lt;=12,前提条件!$C$57,前提条件!$C$58)</f>
        <v/>
      </c>
      <c r="V35" s="16">
        <f>前提条件!$C$59</f>
        <v/>
      </c>
      <c r="W35" s="16">
        <f>IF($A35&lt;=6,0,IF($A35&lt;=12,前提条件!$C$60,IF($A35&lt;=24,前提条件!$C$61,前提条件!$C$62)))</f>
        <v/>
      </c>
      <c r="X35" s="16">
        <f>IF($A35&lt;5,0,IF($A35&lt;=12,前提条件!$C$63,IF($A35&lt;=24,前提条件!$C$64,前提条件!$C$65)))</f>
        <v/>
      </c>
      <c r="Y35" s="16">
        <f>IF($A35&lt;=12,0,IF($A35&lt;=18,前提条件!$C$66,IF($A35&lt;=24,前提条件!$C$67,前提条件!$C$68)))</f>
        <v/>
      </c>
      <c r="Z35" s="16">
        <f>ROUND(($N35+$Q35)*前提条件!$C$69,0)</f>
        <v/>
      </c>
      <c r="AA35" s="16">
        <f>IF($A35=1,前提条件!$C$70,0)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IF($A36&lt;=3,前提条件!$C$21,IF($A36&lt;=6,前提条件!$C$22,IF($A36&lt;=12,前提条件!$C$23,IF($A36&lt;=24,前提条件!$C$24,前提条件!$C$25))))</f>
        <v/>
      </c>
      <c r="D36" s="16">
        <f>$D35+$C36</f>
        <v/>
      </c>
      <c r="E36" s="16">
        <f>ROUND($C36*前提条件!$C$27,0)</f>
        <v/>
      </c>
      <c r="F36" s="16">
        <f>IF($X36=0,0,ROUND($X36/前提条件!$C$28,0))</f>
        <v/>
      </c>
      <c r="G36" s="16">
        <f>$E36+$F36</f>
        <v/>
      </c>
      <c r="H36" s="16">
        <f>ROUND($I35*前提条件!$C$29,0)</f>
        <v/>
      </c>
      <c r="I36" s="16">
        <f>$I35+$G36-$H36</f>
        <v/>
      </c>
      <c r="J36" s="16">
        <f>IF($A36&lt;前提条件!$C$37,0,ROUND($G36*前提条件!$C$33+$I35*前提条件!$C$34,0))</f>
        <v/>
      </c>
      <c r="K36" s="16">
        <f>IF(OR($A36=5,$A36=11,$A36=15,$A36=22,$A36=30),ROUND($I35*前提条件!$C$35,0),0)</f>
        <v/>
      </c>
      <c r="L36" s="16">
        <f>$J36+$K36</f>
        <v/>
      </c>
      <c r="M36" s="16">
        <f>IF($A36&lt;=12,前提条件!$C$31,前提条件!$C$32)*前提条件!$C$19</f>
        <v/>
      </c>
      <c r="N36" s="16">
        <f>ROUND($L36*$M36*(1-前提条件!$C$36),0)</f>
        <v/>
      </c>
      <c r="O36" s="16">
        <f>ROUND($D36*前提条件!$C$39,0)</f>
        <v/>
      </c>
      <c r="P36" s="16">
        <f>ROUND(IF($A36&lt;10,0,IF($A36&lt;=12,前提条件!$C$42,IF($A36&lt;=18,前提条件!$C$43,IF($A36&lt;=24,前提条件!$C$44,前提条件!$C$45))))*前提条件!$C$41,0)</f>
        <v/>
      </c>
      <c r="Q36" s="16">
        <f>IF($A36&lt;15,0,ROUND($G36*前提条件!$C$48*前提条件!$C$47*前提条件!$C$19,0))</f>
        <v/>
      </c>
      <c r="R36" s="16">
        <f>IF($A36&lt;20,0,IF($A36&lt;=24,前提条件!$C$51,前提条件!$C$52)*前提条件!$C$50)</f>
        <v/>
      </c>
      <c r="S36" s="16">
        <f>SUM($N36:$R36)</f>
        <v/>
      </c>
      <c r="T36" s="16">
        <f>IF($A36&lt;=6,前提条件!$C$54,IF($A36&lt;=18,前提条件!$C$55,前提条件!$C$56))</f>
        <v/>
      </c>
      <c r="U36" s="16">
        <f>IF($A36&lt;=12,前提条件!$C$57,前提条件!$C$58)</f>
        <v/>
      </c>
      <c r="V36" s="16">
        <f>前提条件!$C$59</f>
        <v/>
      </c>
      <c r="W36" s="16">
        <f>IF($A36&lt;=6,0,IF($A36&lt;=12,前提条件!$C$60,IF($A36&lt;=24,前提条件!$C$61,前提条件!$C$62)))</f>
        <v/>
      </c>
      <c r="X36" s="16">
        <f>IF($A36&lt;5,0,IF($A36&lt;=12,前提条件!$C$63,IF($A36&lt;=24,前提条件!$C$64,前提条件!$C$65)))</f>
        <v/>
      </c>
      <c r="Y36" s="16">
        <f>IF($A36&lt;=12,0,IF($A36&lt;=18,前提条件!$C$66,IF($A36&lt;=24,前提条件!$C$67,前提条件!$C$68)))</f>
        <v/>
      </c>
      <c r="Z36" s="16">
        <f>ROUND(($N36+$Q36)*前提条件!$C$69,0)</f>
        <v/>
      </c>
      <c r="AA36" s="16">
        <f>IF($A36=1,前提条件!$C$70,0)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IF($A37&lt;=3,前提条件!$C$21,IF($A37&lt;=6,前提条件!$C$22,IF($A37&lt;=12,前提条件!$C$23,IF($A37&lt;=24,前提条件!$C$24,前提条件!$C$25))))</f>
        <v/>
      </c>
      <c r="D37" s="16">
        <f>$D36+$C37</f>
        <v/>
      </c>
      <c r="E37" s="16">
        <f>ROUND($C37*前提条件!$C$27,0)</f>
        <v/>
      </c>
      <c r="F37" s="16">
        <f>IF($X37=0,0,ROUND($X37/前提条件!$C$28,0))</f>
        <v/>
      </c>
      <c r="G37" s="16">
        <f>$E37+$F37</f>
        <v/>
      </c>
      <c r="H37" s="16">
        <f>ROUND($I36*前提条件!$C$29,0)</f>
        <v/>
      </c>
      <c r="I37" s="16">
        <f>$I36+$G37-$H37</f>
        <v/>
      </c>
      <c r="J37" s="16">
        <f>IF($A37&lt;前提条件!$C$37,0,ROUND($G37*前提条件!$C$33+$I36*前提条件!$C$34,0))</f>
        <v/>
      </c>
      <c r="K37" s="16">
        <f>IF(OR($A37=5,$A37=11,$A37=15,$A37=22,$A37=30),ROUND($I36*前提条件!$C$35,0),0)</f>
        <v/>
      </c>
      <c r="L37" s="16">
        <f>$J37+$K37</f>
        <v/>
      </c>
      <c r="M37" s="16">
        <f>IF($A37&lt;=12,前提条件!$C$31,前提条件!$C$32)*前提条件!$C$19</f>
        <v/>
      </c>
      <c r="N37" s="16">
        <f>ROUND($L37*$M37*(1-前提条件!$C$36),0)</f>
        <v/>
      </c>
      <c r="O37" s="16">
        <f>ROUND($D37*前提条件!$C$39,0)</f>
        <v/>
      </c>
      <c r="P37" s="16">
        <f>ROUND(IF($A37&lt;10,0,IF($A37&lt;=12,前提条件!$C$42,IF($A37&lt;=18,前提条件!$C$43,IF($A37&lt;=24,前提条件!$C$44,前提条件!$C$45))))*前提条件!$C$41,0)</f>
        <v/>
      </c>
      <c r="Q37" s="16">
        <f>IF($A37&lt;15,0,ROUND($G37*前提条件!$C$48*前提条件!$C$47*前提条件!$C$19,0))</f>
        <v/>
      </c>
      <c r="R37" s="16">
        <f>IF($A37&lt;20,0,IF($A37&lt;=24,前提条件!$C$51,前提条件!$C$52)*前提条件!$C$50)</f>
        <v/>
      </c>
      <c r="S37" s="16">
        <f>SUM($N37:$R37)</f>
        <v/>
      </c>
      <c r="T37" s="16">
        <f>IF($A37&lt;=6,前提条件!$C$54,IF($A37&lt;=18,前提条件!$C$55,前提条件!$C$56))</f>
        <v/>
      </c>
      <c r="U37" s="16">
        <f>IF($A37&lt;=12,前提条件!$C$57,前提条件!$C$58)</f>
        <v/>
      </c>
      <c r="V37" s="16">
        <f>前提条件!$C$59</f>
        <v/>
      </c>
      <c r="W37" s="16">
        <f>IF($A37&lt;=6,0,IF($A37&lt;=12,前提条件!$C$60,IF($A37&lt;=24,前提条件!$C$61,前提条件!$C$62)))</f>
        <v/>
      </c>
      <c r="X37" s="16">
        <f>IF($A37&lt;5,0,IF($A37&lt;=12,前提条件!$C$63,IF($A37&lt;=24,前提条件!$C$64,前提条件!$C$65)))</f>
        <v/>
      </c>
      <c r="Y37" s="16">
        <f>IF($A37&lt;=12,0,IF($A37&lt;=18,前提条件!$C$66,IF($A37&lt;=24,前提条件!$C$67,前提条件!$C$68)))</f>
        <v/>
      </c>
      <c r="Z37" s="16">
        <f>ROUND(($N37+$Q37)*前提条件!$C$69,0)</f>
        <v/>
      </c>
      <c r="AA37" s="16">
        <f>IF($A37=1,前提条件!$C$70,0)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IF($A38&lt;=3,前提条件!$C$21,IF($A38&lt;=6,前提条件!$C$22,IF($A38&lt;=12,前提条件!$C$23,IF($A38&lt;=24,前提条件!$C$24,前提条件!$C$25))))</f>
        <v/>
      </c>
      <c r="D38" s="16">
        <f>$D37+$C38</f>
        <v/>
      </c>
      <c r="E38" s="16">
        <f>ROUND($C38*前提条件!$C$27,0)</f>
        <v/>
      </c>
      <c r="F38" s="16">
        <f>IF($X38=0,0,ROUND($X38/前提条件!$C$28,0))</f>
        <v/>
      </c>
      <c r="G38" s="16">
        <f>$E38+$F38</f>
        <v/>
      </c>
      <c r="H38" s="16">
        <f>ROUND($I37*前提条件!$C$29,0)</f>
        <v/>
      </c>
      <c r="I38" s="16">
        <f>$I37+$G38-$H38</f>
        <v/>
      </c>
      <c r="J38" s="16">
        <f>IF($A38&lt;前提条件!$C$37,0,ROUND($G38*前提条件!$C$33+$I37*前提条件!$C$34,0))</f>
        <v/>
      </c>
      <c r="K38" s="16">
        <f>IF(OR($A38=5,$A38=11,$A38=15,$A38=22,$A38=30),ROUND($I37*前提条件!$C$35,0),0)</f>
        <v/>
      </c>
      <c r="L38" s="16">
        <f>$J38+$K38</f>
        <v/>
      </c>
      <c r="M38" s="16">
        <f>IF($A38&lt;=12,前提条件!$C$31,前提条件!$C$32)*前提条件!$C$19</f>
        <v/>
      </c>
      <c r="N38" s="16">
        <f>ROUND($L38*$M38*(1-前提条件!$C$36),0)</f>
        <v/>
      </c>
      <c r="O38" s="16">
        <f>ROUND($D38*前提条件!$C$39,0)</f>
        <v/>
      </c>
      <c r="P38" s="16">
        <f>ROUND(IF($A38&lt;10,0,IF($A38&lt;=12,前提条件!$C$42,IF($A38&lt;=18,前提条件!$C$43,IF($A38&lt;=24,前提条件!$C$44,前提条件!$C$45))))*前提条件!$C$41,0)</f>
        <v/>
      </c>
      <c r="Q38" s="16">
        <f>IF($A38&lt;15,0,ROUND($G38*前提条件!$C$48*前提条件!$C$47*前提条件!$C$19,0))</f>
        <v/>
      </c>
      <c r="R38" s="16">
        <f>IF($A38&lt;20,0,IF($A38&lt;=24,前提条件!$C$51,前提条件!$C$52)*前提条件!$C$50)</f>
        <v/>
      </c>
      <c r="S38" s="16">
        <f>SUM($N38:$R38)</f>
        <v/>
      </c>
      <c r="T38" s="16">
        <f>IF($A38&lt;=6,前提条件!$C$54,IF($A38&lt;=18,前提条件!$C$55,前提条件!$C$56))</f>
        <v/>
      </c>
      <c r="U38" s="16">
        <f>IF($A38&lt;=12,前提条件!$C$57,前提条件!$C$58)</f>
        <v/>
      </c>
      <c r="V38" s="16">
        <f>前提条件!$C$59</f>
        <v/>
      </c>
      <c r="W38" s="16">
        <f>IF($A38&lt;=6,0,IF($A38&lt;=12,前提条件!$C$60,IF($A38&lt;=24,前提条件!$C$61,前提条件!$C$62)))</f>
        <v/>
      </c>
      <c r="X38" s="16">
        <f>IF($A38&lt;5,0,IF($A38&lt;=12,前提条件!$C$63,IF($A38&lt;=24,前提条件!$C$64,前提条件!$C$65)))</f>
        <v/>
      </c>
      <c r="Y38" s="16">
        <f>IF($A38&lt;=12,0,IF($A38&lt;=18,前提条件!$C$66,IF($A38&lt;=24,前提条件!$C$67,前提条件!$C$68)))</f>
        <v/>
      </c>
      <c r="Z38" s="16">
        <f>ROUND(($N38+$Q38)*前提条件!$C$69,0)</f>
        <v/>
      </c>
      <c r="AA38" s="16">
        <f>IF($A38=1,前提条件!$C$70,0)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IF($A39&lt;=3,前提条件!$C$21,IF($A39&lt;=6,前提条件!$C$22,IF($A39&lt;=12,前提条件!$C$23,IF($A39&lt;=24,前提条件!$C$24,前提条件!$C$25))))</f>
        <v/>
      </c>
      <c r="D39" s="16">
        <f>$D38+$C39</f>
        <v/>
      </c>
      <c r="E39" s="16">
        <f>ROUND($C39*前提条件!$C$27,0)</f>
        <v/>
      </c>
      <c r="F39" s="16">
        <f>IF($X39=0,0,ROUND($X39/前提条件!$C$28,0))</f>
        <v/>
      </c>
      <c r="G39" s="16">
        <f>$E39+$F39</f>
        <v/>
      </c>
      <c r="H39" s="16">
        <f>ROUND($I38*前提条件!$C$29,0)</f>
        <v/>
      </c>
      <c r="I39" s="16">
        <f>$I38+$G39-$H39</f>
        <v/>
      </c>
      <c r="J39" s="16">
        <f>IF($A39&lt;前提条件!$C$37,0,ROUND($G39*前提条件!$C$33+$I38*前提条件!$C$34,0))</f>
        <v/>
      </c>
      <c r="K39" s="16">
        <f>IF(OR($A39=5,$A39=11,$A39=15,$A39=22,$A39=30),ROUND($I38*前提条件!$C$35,0),0)</f>
        <v/>
      </c>
      <c r="L39" s="16">
        <f>$J39+$K39</f>
        <v/>
      </c>
      <c r="M39" s="16">
        <f>IF($A39&lt;=12,前提条件!$C$31,前提条件!$C$32)*前提条件!$C$19</f>
        <v/>
      </c>
      <c r="N39" s="16">
        <f>ROUND($L39*$M39*(1-前提条件!$C$36),0)</f>
        <v/>
      </c>
      <c r="O39" s="16">
        <f>ROUND($D39*前提条件!$C$39,0)</f>
        <v/>
      </c>
      <c r="P39" s="16">
        <f>ROUND(IF($A39&lt;10,0,IF($A39&lt;=12,前提条件!$C$42,IF($A39&lt;=18,前提条件!$C$43,IF($A39&lt;=24,前提条件!$C$44,前提条件!$C$45))))*前提条件!$C$41,0)</f>
        <v/>
      </c>
      <c r="Q39" s="16">
        <f>IF($A39&lt;15,0,ROUND($G39*前提条件!$C$48*前提条件!$C$47*前提条件!$C$19,0))</f>
        <v/>
      </c>
      <c r="R39" s="16">
        <f>IF($A39&lt;20,0,IF($A39&lt;=24,前提条件!$C$51,前提条件!$C$52)*前提条件!$C$50)</f>
        <v/>
      </c>
      <c r="S39" s="16">
        <f>SUM($N39:$R39)</f>
        <v/>
      </c>
      <c r="T39" s="16">
        <f>IF($A39&lt;=6,前提条件!$C$54,IF($A39&lt;=18,前提条件!$C$55,前提条件!$C$56))</f>
        <v/>
      </c>
      <c r="U39" s="16">
        <f>IF($A39&lt;=12,前提条件!$C$57,前提条件!$C$58)</f>
        <v/>
      </c>
      <c r="V39" s="16">
        <f>前提条件!$C$59</f>
        <v/>
      </c>
      <c r="W39" s="16">
        <f>IF($A39&lt;=6,0,IF($A39&lt;=12,前提条件!$C$60,IF($A39&lt;=24,前提条件!$C$61,前提条件!$C$62)))</f>
        <v/>
      </c>
      <c r="X39" s="16">
        <f>IF($A39&lt;5,0,IF($A39&lt;=12,前提条件!$C$63,IF($A39&lt;=24,前提条件!$C$64,前提条件!$C$65)))</f>
        <v/>
      </c>
      <c r="Y39" s="16">
        <f>IF($A39&lt;=12,0,IF($A39&lt;=18,前提条件!$C$66,IF($A39&lt;=24,前提条件!$C$67,前提条件!$C$68)))</f>
        <v/>
      </c>
      <c r="Z39" s="16">
        <f>ROUND(($N39+$Q39)*前提条件!$C$69,0)</f>
        <v/>
      </c>
      <c r="AA39" s="16">
        <f>IF($A39=1,前提条件!$C$70,0)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IF($A40&lt;=3,前提条件!$C$21,IF($A40&lt;=6,前提条件!$C$22,IF($A40&lt;=12,前提条件!$C$23,IF($A40&lt;=24,前提条件!$C$24,前提条件!$C$25))))</f>
        <v/>
      </c>
      <c r="D40" s="18">
        <f>$D39+$C40</f>
        <v/>
      </c>
      <c r="E40" s="18">
        <f>ROUND($C40*前提条件!$C$27,0)</f>
        <v/>
      </c>
      <c r="F40" s="18">
        <f>IF($X40=0,0,ROUND($X40/前提条件!$C$28,0))</f>
        <v/>
      </c>
      <c r="G40" s="18">
        <f>$E40+$F40</f>
        <v/>
      </c>
      <c r="H40" s="18">
        <f>ROUND($I39*前提条件!$C$29,0)</f>
        <v/>
      </c>
      <c r="I40" s="18">
        <f>$I39+$G40-$H40</f>
        <v/>
      </c>
      <c r="J40" s="18">
        <f>IF($A40&lt;前提条件!$C$37,0,ROUND($G40*前提条件!$C$33+$I39*前提条件!$C$34,0))</f>
        <v/>
      </c>
      <c r="K40" s="18">
        <f>IF(OR($A40=5,$A40=11,$A40=15,$A40=22,$A40=30),ROUND($I39*前提条件!$C$35,0),0)</f>
        <v/>
      </c>
      <c r="L40" s="18">
        <f>$J40+$K40</f>
        <v/>
      </c>
      <c r="M40" s="18">
        <f>IF($A40&lt;=12,前提条件!$C$31,前提条件!$C$32)*前提条件!$C$19</f>
        <v/>
      </c>
      <c r="N40" s="18">
        <f>ROUND($L40*$M40*(1-前提条件!$C$36),0)</f>
        <v/>
      </c>
      <c r="O40" s="18">
        <f>ROUND($D40*前提条件!$C$39,0)</f>
        <v/>
      </c>
      <c r="P40" s="18">
        <f>ROUND(IF($A40&lt;10,0,IF($A40&lt;=12,前提条件!$C$42,IF($A40&lt;=18,前提条件!$C$43,IF($A40&lt;=24,前提条件!$C$44,前提条件!$C$45))))*前提条件!$C$41,0)</f>
        <v/>
      </c>
      <c r="Q40" s="18">
        <f>IF($A40&lt;15,0,ROUND($G40*前提条件!$C$48*前提条件!$C$47*前提条件!$C$19,0))</f>
        <v/>
      </c>
      <c r="R40" s="18">
        <f>IF($A40&lt;20,0,IF($A40&lt;=24,前提条件!$C$51,前提条件!$C$52)*前提条件!$C$50)</f>
        <v/>
      </c>
      <c r="S40" s="18">
        <f>SUM($N40:$R40)</f>
        <v/>
      </c>
      <c r="T40" s="18">
        <f>IF($A40&lt;=6,前提条件!$C$54,IF($A40&lt;=18,前提条件!$C$55,前提条件!$C$56))</f>
        <v/>
      </c>
      <c r="U40" s="18">
        <f>IF($A40&lt;=12,前提条件!$C$57,前提条件!$C$58)</f>
        <v/>
      </c>
      <c r="V40" s="18">
        <f>前提条件!$C$59</f>
        <v/>
      </c>
      <c r="W40" s="18">
        <f>IF($A40&lt;=6,0,IF($A40&lt;=12,前提条件!$C$60,IF($A40&lt;=24,前提条件!$C$61,前提条件!$C$62)))</f>
        <v/>
      </c>
      <c r="X40" s="18">
        <f>IF($A40&lt;5,0,IF($A40&lt;=12,前提条件!$C$63,IF($A40&lt;=24,前提条件!$C$64,前提条件!$C$65)))</f>
        <v/>
      </c>
      <c r="Y40" s="18">
        <f>IF($A40&lt;=12,0,IF($A40&lt;=18,前提条件!$C$66,IF($A40&lt;=24,前提条件!$C$67,前提条件!$C$68)))</f>
        <v/>
      </c>
      <c r="Z40" s="18">
        <f>ROUND(($N40+$Q40)*前提条件!$C$69,0)</f>
        <v/>
      </c>
      <c r="AA40" s="18">
        <f>IF($A40=1,前提条件!$C$70,0)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強気シナリオ</t>
        </is>
      </c>
    </row>
    <row r="2">
      <c r="A2" s="2" t="inlineStr">
        <is>
          <t>前提条件シートのD列を参照。単位：円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レシピ商品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訪日商品</t>
        </is>
      </c>
      <c r="R4" s="15" t="inlineStr">
        <is>
          <t>予約代行</t>
        </is>
      </c>
      <c r="S4" s="15" t="inlineStr">
        <is>
          <t>売上合計</t>
        </is>
      </c>
      <c r="T4" s="15" t="inlineStr">
        <is>
          <t>食材費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IF($A5&lt;=3,前提条件!$D$21,IF($A5&lt;=6,前提条件!$D$22,IF($A5&lt;=12,前提条件!$D$23,IF($A5&lt;=24,前提条件!$D$24,前提条件!$D$25))))</f>
        <v/>
      </c>
      <c r="D5" s="16">
        <f>$C5</f>
        <v/>
      </c>
      <c r="E5" s="16">
        <f>ROUND($C5*前提条件!$D$27,0)</f>
        <v/>
      </c>
      <c r="F5" s="16">
        <f>IF($X5=0,0,ROUND($X5/前提条件!$D$28,0))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IF($A5&lt;前提条件!$D$37,0,ROUND($G5*前提条件!$D$33+0*前提条件!$D$34,0))</f>
        <v/>
      </c>
      <c r="K5" s="16">
        <f>IF(OR($A5=5,$A5=11,$A5=15,$A5=22,$A5=30),ROUND(0*前提条件!$D$35,0),0)</f>
        <v/>
      </c>
      <c r="L5" s="16">
        <f>$J5+$K5</f>
        <v/>
      </c>
      <c r="M5" s="16">
        <f>IF($A5&lt;=12,前提条件!$D$31,前提条件!$D$32)*前提条件!$D$19</f>
        <v/>
      </c>
      <c r="N5" s="16">
        <f>ROUND($L5*$M5*(1-前提条件!$D$36),0)</f>
        <v/>
      </c>
      <c r="O5" s="16">
        <f>ROUND($D5*前提条件!$D$39,0)</f>
        <v/>
      </c>
      <c r="P5" s="16">
        <f>ROUND(IF($A5&lt;10,0,IF($A5&lt;=12,前提条件!$D$42,IF($A5&lt;=18,前提条件!$D$43,IF($A5&lt;=24,前提条件!$D$44,前提条件!$D$45))))*前提条件!$D$41,0)</f>
        <v/>
      </c>
      <c r="Q5" s="16">
        <f>IF($A5&lt;15,0,ROUND($G5*前提条件!$D$48*前提条件!$D$47*前提条件!$D$19,0))</f>
        <v/>
      </c>
      <c r="R5" s="16">
        <f>IF($A5&lt;20,0,IF($A5&lt;=24,前提条件!$D$51,前提条件!$D$52)*前提条件!$D$50)</f>
        <v/>
      </c>
      <c r="S5" s="16">
        <f>SUM($N5:$R5)</f>
        <v/>
      </c>
      <c r="T5" s="16">
        <f>IF($A5&lt;=6,前提条件!$D$54,IF($A5&lt;=18,前提条件!$D$55,前提条件!$D$56))</f>
        <v/>
      </c>
      <c r="U5" s="16">
        <f>IF($A5&lt;=12,前提条件!$D$57,前提条件!$D$58)</f>
        <v/>
      </c>
      <c r="V5" s="16">
        <f>前提条件!$D$59</f>
        <v/>
      </c>
      <c r="W5" s="16">
        <f>IF($A5&lt;=6,0,IF($A5&lt;=12,前提条件!$D$60,IF($A5&lt;=24,前提条件!$D$61,前提条件!$D$62)))</f>
        <v/>
      </c>
      <c r="X5" s="16">
        <f>IF($A5&lt;5,0,IF($A5&lt;=12,前提条件!$D$63,IF($A5&lt;=24,前提条件!$D$64,前提条件!$D$65)))</f>
        <v/>
      </c>
      <c r="Y5" s="16">
        <f>IF($A5&lt;=12,0,IF($A5&lt;=18,前提条件!$D$66,IF($A5&lt;=24,前提条件!$D$67,前提条件!$D$68)))</f>
        <v/>
      </c>
      <c r="Z5" s="16">
        <f>ROUND(($N5+$Q5)*前提条件!$D$69,0)</f>
        <v/>
      </c>
      <c r="AA5" s="16">
        <f>IF($A5=1,前提条件!$D$70,0)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IF($A6&lt;=3,前提条件!$D$21,IF($A6&lt;=6,前提条件!$D$22,IF($A6&lt;=12,前提条件!$D$23,IF($A6&lt;=24,前提条件!$D$24,前提条件!$D$25))))</f>
        <v/>
      </c>
      <c r="D6" s="16">
        <f>$D5+$C6</f>
        <v/>
      </c>
      <c r="E6" s="16">
        <f>ROUND($C6*前提条件!$D$27,0)</f>
        <v/>
      </c>
      <c r="F6" s="16">
        <f>IF($X6=0,0,ROUND($X6/前提条件!$D$28,0))</f>
        <v/>
      </c>
      <c r="G6" s="16">
        <f>$E6+$F6</f>
        <v/>
      </c>
      <c r="H6" s="16">
        <f>ROUND($I5*前提条件!$D$29,0)</f>
        <v/>
      </c>
      <c r="I6" s="16">
        <f>$I5+$G6-$H6</f>
        <v/>
      </c>
      <c r="J6" s="16">
        <f>IF($A6&lt;前提条件!$D$37,0,ROUND($G6*前提条件!$D$33+$I5*前提条件!$D$34,0))</f>
        <v/>
      </c>
      <c r="K6" s="16">
        <f>IF(OR($A6=5,$A6=11,$A6=15,$A6=22,$A6=30),ROUND($I5*前提条件!$D$35,0),0)</f>
        <v/>
      </c>
      <c r="L6" s="16">
        <f>$J6+$K6</f>
        <v/>
      </c>
      <c r="M6" s="16">
        <f>IF($A6&lt;=12,前提条件!$D$31,前提条件!$D$32)*前提条件!$D$19</f>
        <v/>
      </c>
      <c r="N6" s="16">
        <f>ROUND($L6*$M6*(1-前提条件!$D$36),0)</f>
        <v/>
      </c>
      <c r="O6" s="16">
        <f>ROUND($D6*前提条件!$D$39,0)</f>
        <v/>
      </c>
      <c r="P6" s="16">
        <f>ROUND(IF($A6&lt;10,0,IF($A6&lt;=12,前提条件!$D$42,IF($A6&lt;=18,前提条件!$D$43,IF($A6&lt;=24,前提条件!$D$44,前提条件!$D$45))))*前提条件!$D$41,0)</f>
        <v/>
      </c>
      <c r="Q6" s="16">
        <f>IF($A6&lt;15,0,ROUND($G6*前提条件!$D$48*前提条件!$D$47*前提条件!$D$19,0))</f>
        <v/>
      </c>
      <c r="R6" s="16">
        <f>IF($A6&lt;20,0,IF($A6&lt;=24,前提条件!$D$51,前提条件!$D$52)*前提条件!$D$50)</f>
        <v/>
      </c>
      <c r="S6" s="16">
        <f>SUM($N6:$R6)</f>
        <v/>
      </c>
      <c r="T6" s="16">
        <f>IF($A6&lt;=6,前提条件!$D$54,IF($A6&lt;=18,前提条件!$D$55,前提条件!$D$56))</f>
        <v/>
      </c>
      <c r="U6" s="16">
        <f>IF($A6&lt;=12,前提条件!$D$57,前提条件!$D$58)</f>
        <v/>
      </c>
      <c r="V6" s="16">
        <f>前提条件!$D$59</f>
        <v/>
      </c>
      <c r="W6" s="16">
        <f>IF($A6&lt;=6,0,IF($A6&lt;=12,前提条件!$D$60,IF($A6&lt;=24,前提条件!$D$61,前提条件!$D$62)))</f>
        <v/>
      </c>
      <c r="X6" s="16">
        <f>IF($A6&lt;5,0,IF($A6&lt;=12,前提条件!$D$63,IF($A6&lt;=24,前提条件!$D$64,前提条件!$D$65)))</f>
        <v/>
      </c>
      <c r="Y6" s="16">
        <f>IF($A6&lt;=12,0,IF($A6&lt;=18,前提条件!$D$66,IF($A6&lt;=24,前提条件!$D$67,前提条件!$D$68)))</f>
        <v/>
      </c>
      <c r="Z6" s="16">
        <f>ROUND(($N6+$Q6)*前提条件!$D$69,0)</f>
        <v/>
      </c>
      <c r="AA6" s="16">
        <f>IF($A6=1,前提条件!$D$70,0)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IF($A7&lt;=3,前提条件!$D$21,IF($A7&lt;=6,前提条件!$D$22,IF($A7&lt;=12,前提条件!$D$23,IF($A7&lt;=24,前提条件!$D$24,前提条件!$D$25))))</f>
        <v/>
      </c>
      <c r="D7" s="16">
        <f>$D6+$C7</f>
        <v/>
      </c>
      <c r="E7" s="16">
        <f>ROUND($C7*前提条件!$D$27,0)</f>
        <v/>
      </c>
      <c r="F7" s="16">
        <f>IF($X7=0,0,ROUND($X7/前提条件!$D$28,0))</f>
        <v/>
      </c>
      <c r="G7" s="16">
        <f>$E7+$F7</f>
        <v/>
      </c>
      <c r="H7" s="16">
        <f>ROUND($I6*前提条件!$D$29,0)</f>
        <v/>
      </c>
      <c r="I7" s="16">
        <f>$I6+$G7-$H7</f>
        <v/>
      </c>
      <c r="J7" s="16">
        <f>IF($A7&lt;前提条件!$D$37,0,ROUND($G7*前提条件!$D$33+$I6*前提条件!$D$34,0))</f>
        <v/>
      </c>
      <c r="K7" s="16">
        <f>IF(OR($A7=5,$A7=11,$A7=15,$A7=22,$A7=30),ROUND($I6*前提条件!$D$35,0),0)</f>
        <v/>
      </c>
      <c r="L7" s="16">
        <f>$J7+$K7</f>
        <v/>
      </c>
      <c r="M7" s="16">
        <f>IF($A7&lt;=12,前提条件!$D$31,前提条件!$D$32)*前提条件!$D$19</f>
        <v/>
      </c>
      <c r="N7" s="16">
        <f>ROUND($L7*$M7*(1-前提条件!$D$36),0)</f>
        <v/>
      </c>
      <c r="O7" s="16">
        <f>ROUND($D7*前提条件!$D$39,0)</f>
        <v/>
      </c>
      <c r="P7" s="16">
        <f>ROUND(IF($A7&lt;10,0,IF($A7&lt;=12,前提条件!$D$42,IF($A7&lt;=18,前提条件!$D$43,IF($A7&lt;=24,前提条件!$D$44,前提条件!$D$45))))*前提条件!$D$41,0)</f>
        <v/>
      </c>
      <c r="Q7" s="16">
        <f>IF($A7&lt;15,0,ROUND($G7*前提条件!$D$48*前提条件!$D$47*前提条件!$D$19,0))</f>
        <v/>
      </c>
      <c r="R7" s="16">
        <f>IF($A7&lt;20,0,IF($A7&lt;=24,前提条件!$D$51,前提条件!$D$52)*前提条件!$D$50)</f>
        <v/>
      </c>
      <c r="S7" s="16">
        <f>SUM($N7:$R7)</f>
        <v/>
      </c>
      <c r="T7" s="16">
        <f>IF($A7&lt;=6,前提条件!$D$54,IF($A7&lt;=18,前提条件!$D$55,前提条件!$D$56))</f>
        <v/>
      </c>
      <c r="U7" s="16">
        <f>IF($A7&lt;=12,前提条件!$D$57,前提条件!$D$58)</f>
        <v/>
      </c>
      <c r="V7" s="16">
        <f>前提条件!$D$59</f>
        <v/>
      </c>
      <c r="W7" s="16">
        <f>IF($A7&lt;=6,0,IF($A7&lt;=12,前提条件!$D$60,IF($A7&lt;=24,前提条件!$D$61,前提条件!$D$62)))</f>
        <v/>
      </c>
      <c r="X7" s="16">
        <f>IF($A7&lt;5,0,IF($A7&lt;=12,前提条件!$D$63,IF($A7&lt;=24,前提条件!$D$64,前提条件!$D$65)))</f>
        <v/>
      </c>
      <c r="Y7" s="16">
        <f>IF($A7&lt;=12,0,IF($A7&lt;=18,前提条件!$D$66,IF($A7&lt;=24,前提条件!$D$67,前提条件!$D$68)))</f>
        <v/>
      </c>
      <c r="Z7" s="16">
        <f>ROUND(($N7+$Q7)*前提条件!$D$69,0)</f>
        <v/>
      </c>
      <c r="AA7" s="16">
        <f>IF($A7=1,前提条件!$D$70,0)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IF($A8&lt;=3,前提条件!$D$21,IF($A8&lt;=6,前提条件!$D$22,IF($A8&lt;=12,前提条件!$D$23,IF($A8&lt;=24,前提条件!$D$24,前提条件!$D$25))))</f>
        <v/>
      </c>
      <c r="D8" s="16">
        <f>$D7+$C8</f>
        <v/>
      </c>
      <c r="E8" s="16">
        <f>ROUND($C8*前提条件!$D$27,0)</f>
        <v/>
      </c>
      <c r="F8" s="16">
        <f>IF($X8=0,0,ROUND($X8/前提条件!$D$28,0))</f>
        <v/>
      </c>
      <c r="G8" s="16">
        <f>$E8+$F8</f>
        <v/>
      </c>
      <c r="H8" s="16">
        <f>ROUND($I7*前提条件!$D$29,0)</f>
        <v/>
      </c>
      <c r="I8" s="16">
        <f>$I7+$G8-$H8</f>
        <v/>
      </c>
      <c r="J8" s="16">
        <f>IF($A8&lt;前提条件!$D$37,0,ROUND($G8*前提条件!$D$33+$I7*前提条件!$D$34,0))</f>
        <v/>
      </c>
      <c r="K8" s="16">
        <f>IF(OR($A8=5,$A8=11,$A8=15,$A8=22,$A8=30),ROUND($I7*前提条件!$D$35,0),0)</f>
        <v/>
      </c>
      <c r="L8" s="16">
        <f>$J8+$K8</f>
        <v/>
      </c>
      <c r="M8" s="16">
        <f>IF($A8&lt;=12,前提条件!$D$31,前提条件!$D$32)*前提条件!$D$19</f>
        <v/>
      </c>
      <c r="N8" s="16">
        <f>ROUND($L8*$M8*(1-前提条件!$D$36),0)</f>
        <v/>
      </c>
      <c r="O8" s="16">
        <f>ROUND($D8*前提条件!$D$39,0)</f>
        <v/>
      </c>
      <c r="P8" s="16">
        <f>ROUND(IF($A8&lt;10,0,IF($A8&lt;=12,前提条件!$D$42,IF($A8&lt;=18,前提条件!$D$43,IF($A8&lt;=24,前提条件!$D$44,前提条件!$D$45))))*前提条件!$D$41,0)</f>
        <v/>
      </c>
      <c r="Q8" s="16">
        <f>IF($A8&lt;15,0,ROUND($G8*前提条件!$D$48*前提条件!$D$47*前提条件!$D$19,0))</f>
        <v/>
      </c>
      <c r="R8" s="16">
        <f>IF($A8&lt;20,0,IF($A8&lt;=24,前提条件!$D$51,前提条件!$D$52)*前提条件!$D$50)</f>
        <v/>
      </c>
      <c r="S8" s="16">
        <f>SUM($N8:$R8)</f>
        <v/>
      </c>
      <c r="T8" s="16">
        <f>IF($A8&lt;=6,前提条件!$D$54,IF($A8&lt;=18,前提条件!$D$55,前提条件!$D$56))</f>
        <v/>
      </c>
      <c r="U8" s="16">
        <f>IF($A8&lt;=12,前提条件!$D$57,前提条件!$D$58)</f>
        <v/>
      </c>
      <c r="V8" s="16">
        <f>前提条件!$D$59</f>
        <v/>
      </c>
      <c r="W8" s="16">
        <f>IF($A8&lt;=6,0,IF($A8&lt;=12,前提条件!$D$60,IF($A8&lt;=24,前提条件!$D$61,前提条件!$D$62)))</f>
        <v/>
      </c>
      <c r="X8" s="16">
        <f>IF($A8&lt;5,0,IF($A8&lt;=12,前提条件!$D$63,IF($A8&lt;=24,前提条件!$D$64,前提条件!$D$65)))</f>
        <v/>
      </c>
      <c r="Y8" s="16">
        <f>IF($A8&lt;=12,0,IF($A8&lt;=18,前提条件!$D$66,IF($A8&lt;=24,前提条件!$D$67,前提条件!$D$68)))</f>
        <v/>
      </c>
      <c r="Z8" s="16">
        <f>ROUND(($N8+$Q8)*前提条件!$D$69,0)</f>
        <v/>
      </c>
      <c r="AA8" s="16">
        <f>IF($A8=1,前提条件!$D$70,0)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IF($A9&lt;=3,前提条件!$D$21,IF($A9&lt;=6,前提条件!$D$22,IF($A9&lt;=12,前提条件!$D$23,IF($A9&lt;=24,前提条件!$D$24,前提条件!$D$25))))</f>
        <v/>
      </c>
      <c r="D9" s="16">
        <f>$D8+$C9</f>
        <v/>
      </c>
      <c r="E9" s="16">
        <f>ROUND($C9*前提条件!$D$27,0)</f>
        <v/>
      </c>
      <c r="F9" s="16">
        <f>IF($X9=0,0,ROUND($X9/前提条件!$D$28,0))</f>
        <v/>
      </c>
      <c r="G9" s="16">
        <f>$E9+$F9</f>
        <v/>
      </c>
      <c r="H9" s="16">
        <f>ROUND($I8*前提条件!$D$29,0)</f>
        <v/>
      </c>
      <c r="I9" s="16">
        <f>$I8+$G9-$H9</f>
        <v/>
      </c>
      <c r="J9" s="16">
        <f>IF($A9&lt;前提条件!$D$37,0,ROUND($G9*前提条件!$D$33+$I8*前提条件!$D$34,0))</f>
        <v/>
      </c>
      <c r="K9" s="16">
        <f>IF(OR($A9=5,$A9=11,$A9=15,$A9=22,$A9=30),ROUND($I8*前提条件!$D$35,0),0)</f>
        <v/>
      </c>
      <c r="L9" s="16">
        <f>$J9+$K9</f>
        <v/>
      </c>
      <c r="M9" s="16">
        <f>IF($A9&lt;=12,前提条件!$D$31,前提条件!$D$32)*前提条件!$D$19</f>
        <v/>
      </c>
      <c r="N9" s="16">
        <f>ROUND($L9*$M9*(1-前提条件!$D$36),0)</f>
        <v/>
      </c>
      <c r="O9" s="16">
        <f>ROUND($D9*前提条件!$D$39,0)</f>
        <v/>
      </c>
      <c r="P9" s="16">
        <f>ROUND(IF($A9&lt;10,0,IF($A9&lt;=12,前提条件!$D$42,IF($A9&lt;=18,前提条件!$D$43,IF($A9&lt;=24,前提条件!$D$44,前提条件!$D$45))))*前提条件!$D$41,0)</f>
        <v/>
      </c>
      <c r="Q9" s="16">
        <f>IF($A9&lt;15,0,ROUND($G9*前提条件!$D$48*前提条件!$D$47*前提条件!$D$19,0))</f>
        <v/>
      </c>
      <c r="R9" s="16">
        <f>IF($A9&lt;20,0,IF($A9&lt;=24,前提条件!$D$51,前提条件!$D$52)*前提条件!$D$50)</f>
        <v/>
      </c>
      <c r="S9" s="16">
        <f>SUM($N9:$R9)</f>
        <v/>
      </c>
      <c r="T9" s="16">
        <f>IF($A9&lt;=6,前提条件!$D$54,IF($A9&lt;=18,前提条件!$D$55,前提条件!$D$56))</f>
        <v/>
      </c>
      <c r="U9" s="16">
        <f>IF($A9&lt;=12,前提条件!$D$57,前提条件!$D$58)</f>
        <v/>
      </c>
      <c r="V9" s="16">
        <f>前提条件!$D$59</f>
        <v/>
      </c>
      <c r="W9" s="16">
        <f>IF($A9&lt;=6,0,IF($A9&lt;=12,前提条件!$D$60,IF($A9&lt;=24,前提条件!$D$61,前提条件!$D$62)))</f>
        <v/>
      </c>
      <c r="X9" s="16">
        <f>IF($A9&lt;5,0,IF($A9&lt;=12,前提条件!$D$63,IF($A9&lt;=24,前提条件!$D$64,前提条件!$D$65)))</f>
        <v/>
      </c>
      <c r="Y9" s="16">
        <f>IF($A9&lt;=12,0,IF($A9&lt;=18,前提条件!$D$66,IF($A9&lt;=24,前提条件!$D$67,前提条件!$D$68)))</f>
        <v/>
      </c>
      <c r="Z9" s="16">
        <f>ROUND(($N9+$Q9)*前提条件!$D$69,0)</f>
        <v/>
      </c>
      <c r="AA9" s="16">
        <f>IF($A9=1,前提条件!$D$70,0)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IF($A10&lt;=3,前提条件!$D$21,IF($A10&lt;=6,前提条件!$D$22,IF($A10&lt;=12,前提条件!$D$23,IF($A10&lt;=24,前提条件!$D$24,前提条件!$D$25))))</f>
        <v/>
      </c>
      <c r="D10" s="16">
        <f>$D9+$C10</f>
        <v/>
      </c>
      <c r="E10" s="16">
        <f>ROUND($C10*前提条件!$D$27,0)</f>
        <v/>
      </c>
      <c r="F10" s="16">
        <f>IF($X10=0,0,ROUND($X10/前提条件!$D$28,0))</f>
        <v/>
      </c>
      <c r="G10" s="16">
        <f>$E10+$F10</f>
        <v/>
      </c>
      <c r="H10" s="16">
        <f>ROUND($I9*前提条件!$D$29,0)</f>
        <v/>
      </c>
      <c r="I10" s="16">
        <f>$I9+$G10-$H10</f>
        <v/>
      </c>
      <c r="J10" s="16">
        <f>IF($A10&lt;前提条件!$D$37,0,ROUND($G10*前提条件!$D$33+$I9*前提条件!$D$34,0))</f>
        <v/>
      </c>
      <c r="K10" s="16">
        <f>IF(OR($A10=5,$A10=11,$A10=15,$A10=22,$A10=30),ROUND($I9*前提条件!$D$35,0),0)</f>
        <v/>
      </c>
      <c r="L10" s="16">
        <f>$J10+$K10</f>
        <v/>
      </c>
      <c r="M10" s="16">
        <f>IF($A10&lt;=12,前提条件!$D$31,前提条件!$D$32)*前提条件!$D$19</f>
        <v/>
      </c>
      <c r="N10" s="16">
        <f>ROUND($L10*$M10*(1-前提条件!$D$36),0)</f>
        <v/>
      </c>
      <c r="O10" s="16">
        <f>ROUND($D10*前提条件!$D$39,0)</f>
        <v/>
      </c>
      <c r="P10" s="16">
        <f>ROUND(IF($A10&lt;10,0,IF($A10&lt;=12,前提条件!$D$42,IF($A10&lt;=18,前提条件!$D$43,IF($A10&lt;=24,前提条件!$D$44,前提条件!$D$45))))*前提条件!$D$41,0)</f>
        <v/>
      </c>
      <c r="Q10" s="16">
        <f>IF($A10&lt;15,0,ROUND($G10*前提条件!$D$48*前提条件!$D$47*前提条件!$D$19,0))</f>
        <v/>
      </c>
      <c r="R10" s="16">
        <f>IF($A10&lt;20,0,IF($A10&lt;=24,前提条件!$D$51,前提条件!$D$52)*前提条件!$D$50)</f>
        <v/>
      </c>
      <c r="S10" s="16">
        <f>SUM($N10:$R10)</f>
        <v/>
      </c>
      <c r="T10" s="16">
        <f>IF($A10&lt;=6,前提条件!$D$54,IF($A10&lt;=18,前提条件!$D$55,前提条件!$D$56))</f>
        <v/>
      </c>
      <c r="U10" s="16">
        <f>IF($A10&lt;=12,前提条件!$D$57,前提条件!$D$58)</f>
        <v/>
      </c>
      <c r="V10" s="16">
        <f>前提条件!$D$59</f>
        <v/>
      </c>
      <c r="W10" s="16">
        <f>IF($A10&lt;=6,0,IF($A10&lt;=12,前提条件!$D$60,IF($A10&lt;=24,前提条件!$D$61,前提条件!$D$62)))</f>
        <v/>
      </c>
      <c r="X10" s="16">
        <f>IF($A10&lt;5,0,IF($A10&lt;=12,前提条件!$D$63,IF($A10&lt;=24,前提条件!$D$64,前提条件!$D$65)))</f>
        <v/>
      </c>
      <c r="Y10" s="16">
        <f>IF($A10&lt;=12,0,IF($A10&lt;=18,前提条件!$D$66,IF($A10&lt;=24,前提条件!$D$67,前提条件!$D$68)))</f>
        <v/>
      </c>
      <c r="Z10" s="16">
        <f>ROUND(($N10+$Q10)*前提条件!$D$69,0)</f>
        <v/>
      </c>
      <c r="AA10" s="16">
        <f>IF($A10=1,前提条件!$D$70,0)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IF($A11&lt;=3,前提条件!$D$21,IF($A11&lt;=6,前提条件!$D$22,IF($A11&lt;=12,前提条件!$D$23,IF($A11&lt;=24,前提条件!$D$24,前提条件!$D$25))))</f>
        <v/>
      </c>
      <c r="D11" s="16">
        <f>$D10+$C11</f>
        <v/>
      </c>
      <c r="E11" s="16">
        <f>ROUND($C11*前提条件!$D$27,0)</f>
        <v/>
      </c>
      <c r="F11" s="16">
        <f>IF($X11=0,0,ROUND($X11/前提条件!$D$28,0))</f>
        <v/>
      </c>
      <c r="G11" s="16">
        <f>$E11+$F11</f>
        <v/>
      </c>
      <c r="H11" s="16">
        <f>ROUND($I10*前提条件!$D$29,0)</f>
        <v/>
      </c>
      <c r="I11" s="16">
        <f>$I10+$G11-$H11</f>
        <v/>
      </c>
      <c r="J11" s="16">
        <f>IF($A11&lt;前提条件!$D$37,0,ROUND($G11*前提条件!$D$33+$I10*前提条件!$D$34,0))</f>
        <v/>
      </c>
      <c r="K11" s="16">
        <f>IF(OR($A11=5,$A11=11,$A11=15,$A11=22,$A11=30),ROUND($I10*前提条件!$D$35,0),0)</f>
        <v/>
      </c>
      <c r="L11" s="16">
        <f>$J11+$K11</f>
        <v/>
      </c>
      <c r="M11" s="16">
        <f>IF($A11&lt;=12,前提条件!$D$31,前提条件!$D$32)*前提条件!$D$19</f>
        <v/>
      </c>
      <c r="N11" s="16">
        <f>ROUND($L11*$M11*(1-前提条件!$D$36),0)</f>
        <v/>
      </c>
      <c r="O11" s="16">
        <f>ROUND($D11*前提条件!$D$39,0)</f>
        <v/>
      </c>
      <c r="P11" s="16">
        <f>ROUND(IF($A11&lt;10,0,IF($A11&lt;=12,前提条件!$D$42,IF($A11&lt;=18,前提条件!$D$43,IF($A11&lt;=24,前提条件!$D$44,前提条件!$D$45))))*前提条件!$D$41,0)</f>
        <v/>
      </c>
      <c r="Q11" s="16">
        <f>IF($A11&lt;15,0,ROUND($G11*前提条件!$D$48*前提条件!$D$47*前提条件!$D$19,0))</f>
        <v/>
      </c>
      <c r="R11" s="16">
        <f>IF($A11&lt;20,0,IF($A11&lt;=24,前提条件!$D$51,前提条件!$D$52)*前提条件!$D$50)</f>
        <v/>
      </c>
      <c r="S11" s="16">
        <f>SUM($N11:$R11)</f>
        <v/>
      </c>
      <c r="T11" s="16">
        <f>IF($A11&lt;=6,前提条件!$D$54,IF($A11&lt;=18,前提条件!$D$55,前提条件!$D$56))</f>
        <v/>
      </c>
      <c r="U11" s="16">
        <f>IF($A11&lt;=12,前提条件!$D$57,前提条件!$D$58)</f>
        <v/>
      </c>
      <c r="V11" s="16">
        <f>前提条件!$D$59</f>
        <v/>
      </c>
      <c r="W11" s="16">
        <f>IF($A11&lt;=6,0,IF($A11&lt;=12,前提条件!$D$60,IF($A11&lt;=24,前提条件!$D$61,前提条件!$D$62)))</f>
        <v/>
      </c>
      <c r="X11" s="16">
        <f>IF($A11&lt;5,0,IF($A11&lt;=12,前提条件!$D$63,IF($A11&lt;=24,前提条件!$D$64,前提条件!$D$65)))</f>
        <v/>
      </c>
      <c r="Y11" s="16">
        <f>IF($A11&lt;=12,0,IF($A11&lt;=18,前提条件!$D$66,IF($A11&lt;=24,前提条件!$D$67,前提条件!$D$68)))</f>
        <v/>
      </c>
      <c r="Z11" s="16">
        <f>ROUND(($N11+$Q11)*前提条件!$D$69,0)</f>
        <v/>
      </c>
      <c r="AA11" s="16">
        <f>IF($A11=1,前提条件!$D$70,0)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IF($A12&lt;=3,前提条件!$D$21,IF($A12&lt;=6,前提条件!$D$22,IF($A12&lt;=12,前提条件!$D$23,IF($A12&lt;=24,前提条件!$D$24,前提条件!$D$25))))</f>
        <v/>
      </c>
      <c r="D12" s="16">
        <f>$D11+$C12</f>
        <v/>
      </c>
      <c r="E12" s="16">
        <f>ROUND($C12*前提条件!$D$27,0)</f>
        <v/>
      </c>
      <c r="F12" s="16">
        <f>IF($X12=0,0,ROUND($X12/前提条件!$D$28,0))</f>
        <v/>
      </c>
      <c r="G12" s="16">
        <f>$E12+$F12</f>
        <v/>
      </c>
      <c r="H12" s="16">
        <f>ROUND($I11*前提条件!$D$29,0)</f>
        <v/>
      </c>
      <c r="I12" s="16">
        <f>$I11+$G12-$H12</f>
        <v/>
      </c>
      <c r="J12" s="16">
        <f>IF($A12&lt;前提条件!$D$37,0,ROUND($G12*前提条件!$D$33+$I11*前提条件!$D$34,0))</f>
        <v/>
      </c>
      <c r="K12" s="16">
        <f>IF(OR($A12=5,$A12=11,$A12=15,$A12=22,$A12=30),ROUND($I11*前提条件!$D$35,0),0)</f>
        <v/>
      </c>
      <c r="L12" s="16">
        <f>$J12+$K12</f>
        <v/>
      </c>
      <c r="M12" s="16">
        <f>IF($A12&lt;=12,前提条件!$D$31,前提条件!$D$32)*前提条件!$D$19</f>
        <v/>
      </c>
      <c r="N12" s="16">
        <f>ROUND($L12*$M12*(1-前提条件!$D$36),0)</f>
        <v/>
      </c>
      <c r="O12" s="16">
        <f>ROUND($D12*前提条件!$D$39,0)</f>
        <v/>
      </c>
      <c r="P12" s="16">
        <f>ROUND(IF($A12&lt;10,0,IF($A12&lt;=12,前提条件!$D$42,IF($A12&lt;=18,前提条件!$D$43,IF($A12&lt;=24,前提条件!$D$44,前提条件!$D$45))))*前提条件!$D$41,0)</f>
        <v/>
      </c>
      <c r="Q12" s="16">
        <f>IF($A12&lt;15,0,ROUND($G12*前提条件!$D$48*前提条件!$D$47*前提条件!$D$19,0))</f>
        <v/>
      </c>
      <c r="R12" s="16">
        <f>IF($A12&lt;20,0,IF($A12&lt;=24,前提条件!$D$51,前提条件!$D$52)*前提条件!$D$50)</f>
        <v/>
      </c>
      <c r="S12" s="16">
        <f>SUM($N12:$R12)</f>
        <v/>
      </c>
      <c r="T12" s="16">
        <f>IF($A12&lt;=6,前提条件!$D$54,IF($A12&lt;=18,前提条件!$D$55,前提条件!$D$56))</f>
        <v/>
      </c>
      <c r="U12" s="16">
        <f>IF($A12&lt;=12,前提条件!$D$57,前提条件!$D$58)</f>
        <v/>
      </c>
      <c r="V12" s="16">
        <f>前提条件!$D$59</f>
        <v/>
      </c>
      <c r="W12" s="16">
        <f>IF($A12&lt;=6,0,IF($A12&lt;=12,前提条件!$D$60,IF($A12&lt;=24,前提条件!$D$61,前提条件!$D$62)))</f>
        <v/>
      </c>
      <c r="X12" s="16">
        <f>IF($A12&lt;5,0,IF($A12&lt;=12,前提条件!$D$63,IF($A12&lt;=24,前提条件!$D$64,前提条件!$D$65)))</f>
        <v/>
      </c>
      <c r="Y12" s="16">
        <f>IF($A12&lt;=12,0,IF($A12&lt;=18,前提条件!$D$66,IF($A12&lt;=24,前提条件!$D$67,前提条件!$D$68)))</f>
        <v/>
      </c>
      <c r="Z12" s="16">
        <f>ROUND(($N12+$Q12)*前提条件!$D$69,0)</f>
        <v/>
      </c>
      <c r="AA12" s="16">
        <f>IF($A12=1,前提条件!$D$70,0)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IF($A13&lt;=3,前提条件!$D$21,IF($A13&lt;=6,前提条件!$D$22,IF($A13&lt;=12,前提条件!$D$23,IF($A13&lt;=24,前提条件!$D$24,前提条件!$D$25))))</f>
        <v/>
      </c>
      <c r="D13" s="16">
        <f>$D12+$C13</f>
        <v/>
      </c>
      <c r="E13" s="16">
        <f>ROUND($C13*前提条件!$D$27,0)</f>
        <v/>
      </c>
      <c r="F13" s="16">
        <f>IF($X13=0,0,ROUND($X13/前提条件!$D$28,0))</f>
        <v/>
      </c>
      <c r="G13" s="16">
        <f>$E13+$F13</f>
        <v/>
      </c>
      <c r="H13" s="16">
        <f>ROUND($I12*前提条件!$D$29,0)</f>
        <v/>
      </c>
      <c r="I13" s="16">
        <f>$I12+$G13-$H13</f>
        <v/>
      </c>
      <c r="J13" s="16">
        <f>IF($A13&lt;前提条件!$D$37,0,ROUND($G13*前提条件!$D$33+$I12*前提条件!$D$34,0))</f>
        <v/>
      </c>
      <c r="K13" s="16">
        <f>IF(OR($A13=5,$A13=11,$A13=15,$A13=22,$A13=30),ROUND($I12*前提条件!$D$35,0),0)</f>
        <v/>
      </c>
      <c r="L13" s="16">
        <f>$J13+$K13</f>
        <v/>
      </c>
      <c r="M13" s="16">
        <f>IF($A13&lt;=12,前提条件!$D$31,前提条件!$D$32)*前提条件!$D$19</f>
        <v/>
      </c>
      <c r="N13" s="16">
        <f>ROUND($L13*$M13*(1-前提条件!$D$36),0)</f>
        <v/>
      </c>
      <c r="O13" s="16">
        <f>ROUND($D13*前提条件!$D$39,0)</f>
        <v/>
      </c>
      <c r="P13" s="16">
        <f>ROUND(IF($A13&lt;10,0,IF($A13&lt;=12,前提条件!$D$42,IF($A13&lt;=18,前提条件!$D$43,IF($A13&lt;=24,前提条件!$D$44,前提条件!$D$45))))*前提条件!$D$41,0)</f>
        <v/>
      </c>
      <c r="Q13" s="16">
        <f>IF($A13&lt;15,0,ROUND($G13*前提条件!$D$48*前提条件!$D$47*前提条件!$D$19,0))</f>
        <v/>
      </c>
      <c r="R13" s="16">
        <f>IF($A13&lt;20,0,IF($A13&lt;=24,前提条件!$D$51,前提条件!$D$52)*前提条件!$D$50)</f>
        <v/>
      </c>
      <c r="S13" s="16">
        <f>SUM($N13:$R13)</f>
        <v/>
      </c>
      <c r="T13" s="16">
        <f>IF($A13&lt;=6,前提条件!$D$54,IF($A13&lt;=18,前提条件!$D$55,前提条件!$D$56))</f>
        <v/>
      </c>
      <c r="U13" s="16">
        <f>IF($A13&lt;=12,前提条件!$D$57,前提条件!$D$58)</f>
        <v/>
      </c>
      <c r="V13" s="16">
        <f>前提条件!$D$59</f>
        <v/>
      </c>
      <c r="W13" s="16">
        <f>IF($A13&lt;=6,0,IF($A13&lt;=12,前提条件!$D$60,IF($A13&lt;=24,前提条件!$D$61,前提条件!$D$62)))</f>
        <v/>
      </c>
      <c r="X13" s="16">
        <f>IF($A13&lt;5,0,IF($A13&lt;=12,前提条件!$D$63,IF($A13&lt;=24,前提条件!$D$64,前提条件!$D$65)))</f>
        <v/>
      </c>
      <c r="Y13" s="16">
        <f>IF($A13&lt;=12,0,IF($A13&lt;=18,前提条件!$D$66,IF($A13&lt;=24,前提条件!$D$67,前提条件!$D$68)))</f>
        <v/>
      </c>
      <c r="Z13" s="16">
        <f>ROUND(($N13+$Q13)*前提条件!$D$69,0)</f>
        <v/>
      </c>
      <c r="AA13" s="16">
        <f>IF($A13=1,前提条件!$D$70,0)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IF($A14&lt;=3,前提条件!$D$21,IF($A14&lt;=6,前提条件!$D$22,IF($A14&lt;=12,前提条件!$D$23,IF($A14&lt;=24,前提条件!$D$24,前提条件!$D$25))))</f>
        <v/>
      </c>
      <c r="D14" s="16">
        <f>$D13+$C14</f>
        <v/>
      </c>
      <c r="E14" s="16">
        <f>ROUND($C14*前提条件!$D$27,0)</f>
        <v/>
      </c>
      <c r="F14" s="16">
        <f>IF($X14=0,0,ROUND($X14/前提条件!$D$28,0))</f>
        <v/>
      </c>
      <c r="G14" s="16">
        <f>$E14+$F14</f>
        <v/>
      </c>
      <c r="H14" s="16">
        <f>ROUND($I13*前提条件!$D$29,0)</f>
        <v/>
      </c>
      <c r="I14" s="16">
        <f>$I13+$G14-$H14</f>
        <v/>
      </c>
      <c r="J14" s="16">
        <f>IF($A14&lt;前提条件!$D$37,0,ROUND($G14*前提条件!$D$33+$I13*前提条件!$D$34,0))</f>
        <v/>
      </c>
      <c r="K14" s="16">
        <f>IF(OR($A14=5,$A14=11,$A14=15,$A14=22,$A14=30),ROUND($I13*前提条件!$D$35,0),0)</f>
        <v/>
      </c>
      <c r="L14" s="16">
        <f>$J14+$K14</f>
        <v/>
      </c>
      <c r="M14" s="16">
        <f>IF($A14&lt;=12,前提条件!$D$31,前提条件!$D$32)*前提条件!$D$19</f>
        <v/>
      </c>
      <c r="N14" s="16">
        <f>ROUND($L14*$M14*(1-前提条件!$D$36),0)</f>
        <v/>
      </c>
      <c r="O14" s="16">
        <f>ROUND($D14*前提条件!$D$39,0)</f>
        <v/>
      </c>
      <c r="P14" s="16">
        <f>ROUND(IF($A14&lt;10,0,IF($A14&lt;=12,前提条件!$D$42,IF($A14&lt;=18,前提条件!$D$43,IF($A14&lt;=24,前提条件!$D$44,前提条件!$D$45))))*前提条件!$D$41,0)</f>
        <v/>
      </c>
      <c r="Q14" s="16">
        <f>IF($A14&lt;15,0,ROUND($G14*前提条件!$D$48*前提条件!$D$47*前提条件!$D$19,0))</f>
        <v/>
      </c>
      <c r="R14" s="16">
        <f>IF($A14&lt;20,0,IF($A14&lt;=24,前提条件!$D$51,前提条件!$D$52)*前提条件!$D$50)</f>
        <v/>
      </c>
      <c r="S14" s="16">
        <f>SUM($N14:$R14)</f>
        <v/>
      </c>
      <c r="T14" s="16">
        <f>IF($A14&lt;=6,前提条件!$D$54,IF($A14&lt;=18,前提条件!$D$55,前提条件!$D$56))</f>
        <v/>
      </c>
      <c r="U14" s="16">
        <f>IF($A14&lt;=12,前提条件!$D$57,前提条件!$D$58)</f>
        <v/>
      </c>
      <c r="V14" s="16">
        <f>前提条件!$D$59</f>
        <v/>
      </c>
      <c r="W14" s="16">
        <f>IF($A14&lt;=6,0,IF($A14&lt;=12,前提条件!$D$60,IF($A14&lt;=24,前提条件!$D$61,前提条件!$D$62)))</f>
        <v/>
      </c>
      <c r="X14" s="16">
        <f>IF($A14&lt;5,0,IF($A14&lt;=12,前提条件!$D$63,IF($A14&lt;=24,前提条件!$D$64,前提条件!$D$65)))</f>
        <v/>
      </c>
      <c r="Y14" s="16">
        <f>IF($A14&lt;=12,0,IF($A14&lt;=18,前提条件!$D$66,IF($A14&lt;=24,前提条件!$D$67,前提条件!$D$68)))</f>
        <v/>
      </c>
      <c r="Z14" s="16">
        <f>ROUND(($N14+$Q14)*前提条件!$D$69,0)</f>
        <v/>
      </c>
      <c r="AA14" s="16">
        <f>IF($A14=1,前提条件!$D$70,0)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IF($A15&lt;=3,前提条件!$D$21,IF($A15&lt;=6,前提条件!$D$22,IF($A15&lt;=12,前提条件!$D$23,IF($A15&lt;=24,前提条件!$D$24,前提条件!$D$25))))</f>
        <v/>
      </c>
      <c r="D15" s="16">
        <f>$D14+$C15</f>
        <v/>
      </c>
      <c r="E15" s="16">
        <f>ROUND($C15*前提条件!$D$27,0)</f>
        <v/>
      </c>
      <c r="F15" s="16">
        <f>IF($X15=0,0,ROUND($X15/前提条件!$D$28,0))</f>
        <v/>
      </c>
      <c r="G15" s="16">
        <f>$E15+$F15</f>
        <v/>
      </c>
      <c r="H15" s="16">
        <f>ROUND($I14*前提条件!$D$29,0)</f>
        <v/>
      </c>
      <c r="I15" s="16">
        <f>$I14+$G15-$H15</f>
        <v/>
      </c>
      <c r="J15" s="16">
        <f>IF($A15&lt;前提条件!$D$37,0,ROUND($G15*前提条件!$D$33+$I14*前提条件!$D$34,0))</f>
        <v/>
      </c>
      <c r="K15" s="16">
        <f>IF(OR($A15=5,$A15=11,$A15=15,$A15=22,$A15=30),ROUND($I14*前提条件!$D$35,0),0)</f>
        <v/>
      </c>
      <c r="L15" s="16">
        <f>$J15+$K15</f>
        <v/>
      </c>
      <c r="M15" s="16">
        <f>IF($A15&lt;=12,前提条件!$D$31,前提条件!$D$32)*前提条件!$D$19</f>
        <v/>
      </c>
      <c r="N15" s="16">
        <f>ROUND($L15*$M15*(1-前提条件!$D$36),0)</f>
        <v/>
      </c>
      <c r="O15" s="16">
        <f>ROUND($D15*前提条件!$D$39,0)</f>
        <v/>
      </c>
      <c r="P15" s="16">
        <f>ROUND(IF($A15&lt;10,0,IF($A15&lt;=12,前提条件!$D$42,IF($A15&lt;=18,前提条件!$D$43,IF($A15&lt;=24,前提条件!$D$44,前提条件!$D$45))))*前提条件!$D$41,0)</f>
        <v/>
      </c>
      <c r="Q15" s="16">
        <f>IF($A15&lt;15,0,ROUND($G15*前提条件!$D$48*前提条件!$D$47*前提条件!$D$19,0))</f>
        <v/>
      </c>
      <c r="R15" s="16">
        <f>IF($A15&lt;20,0,IF($A15&lt;=24,前提条件!$D$51,前提条件!$D$52)*前提条件!$D$50)</f>
        <v/>
      </c>
      <c r="S15" s="16">
        <f>SUM($N15:$R15)</f>
        <v/>
      </c>
      <c r="T15" s="16">
        <f>IF($A15&lt;=6,前提条件!$D$54,IF($A15&lt;=18,前提条件!$D$55,前提条件!$D$56))</f>
        <v/>
      </c>
      <c r="U15" s="16">
        <f>IF($A15&lt;=12,前提条件!$D$57,前提条件!$D$58)</f>
        <v/>
      </c>
      <c r="V15" s="16">
        <f>前提条件!$D$59</f>
        <v/>
      </c>
      <c r="W15" s="16">
        <f>IF($A15&lt;=6,0,IF($A15&lt;=12,前提条件!$D$60,IF($A15&lt;=24,前提条件!$D$61,前提条件!$D$62)))</f>
        <v/>
      </c>
      <c r="X15" s="16">
        <f>IF($A15&lt;5,0,IF($A15&lt;=12,前提条件!$D$63,IF($A15&lt;=24,前提条件!$D$64,前提条件!$D$65)))</f>
        <v/>
      </c>
      <c r="Y15" s="16">
        <f>IF($A15&lt;=12,0,IF($A15&lt;=18,前提条件!$D$66,IF($A15&lt;=24,前提条件!$D$67,前提条件!$D$68)))</f>
        <v/>
      </c>
      <c r="Z15" s="16">
        <f>ROUND(($N15+$Q15)*前提条件!$D$69,0)</f>
        <v/>
      </c>
      <c r="AA15" s="16">
        <f>IF($A15=1,前提条件!$D$70,0)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IF($A16&lt;=3,前提条件!$D$21,IF($A16&lt;=6,前提条件!$D$22,IF($A16&lt;=12,前提条件!$D$23,IF($A16&lt;=24,前提条件!$D$24,前提条件!$D$25))))</f>
        <v/>
      </c>
      <c r="D16" s="18">
        <f>$D15+$C16</f>
        <v/>
      </c>
      <c r="E16" s="18">
        <f>ROUND($C16*前提条件!$D$27,0)</f>
        <v/>
      </c>
      <c r="F16" s="18">
        <f>IF($X16=0,0,ROUND($X16/前提条件!$D$28,0))</f>
        <v/>
      </c>
      <c r="G16" s="18">
        <f>$E16+$F16</f>
        <v/>
      </c>
      <c r="H16" s="18">
        <f>ROUND($I15*前提条件!$D$29,0)</f>
        <v/>
      </c>
      <c r="I16" s="18">
        <f>$I15+$G16-$H16</f>
        <v/>
      </c>
      <c r="J16" s="18">
        <f>IF($A16&lt;前提条件!$D$37,0,ROUND($G16*前提条件!$D$33+$I15*前提条件!$D$34,0))</f>
        <v/>
      </c>
      <c r="K16" s="18">
        <f>IF(OR($A16=5,$A16=11,$A16=15,$A16=22,$A16=30),ROUND($I15*前提条件!$D$35,0),0)</f>
        <v/>
      </c>
      <c r="L16" s="18">
        <f>$J16+$K16</f>
        <v/>
      </c>
      <c r="M16" s="18">
        <f>IF($A16&lt;=12,前提条件!$D$31,前提条件!$D$32)*前提条件!$D$19</f>
        <v/>
      </c>
      <c r="N16" s="18">
        <f>ROUND($L16*$M16*(1-前提条件!$D$36),0)</f>
        <v/>
      </c>
      <c r="O16" s="18">
        <f>ROUND($D16*前提条件!$D$39,0)</f>
        <v/>
      </c>
      <c r="P16" s="18">
        <f>ROUND(IF($A16&lt;10,0,IF($A16&lt;=12,前提条件!$D$42,IF($A16&lt;=18,前提条件!$D$43,IF($A16&lt;=24,前提条件!$D$44,前提条件!$D$45))))*前提条件!$D$41,0)</f>
        <v/>
      </c>
      <c r="Q16" s="18">
        <f>IF($A16&lt;15,0,ROUND($G16*前提条件!$D$48*前提条件!$D$47*前提条件!$D$19,0))</f>
        <v/>
      </c>
      <c r="R16" s="18">
        <f>IF($A16&lt;20,0,IF($A16&lt;=24,前提条件!$D$51,前提条件!$D$52)*前提条件!$D$50)</f>
        <v/>
      </c>
      <c r="S16" s="18">
        <f>SUM($N16:$R16)</f>
        <v/>
      </c>
      <c r="T16" s="18">
        <f>IF($A16&lt;=6,前提条件!$D$54,IF($A16&lt;=18,前提条件!$D$55,前提条件!$D$56))</f>
        <v/>
      </c>
      <c r="U16" s="18">
        <f>IF($A16&lt;=12,前提条件!$D$57,前提条件!$D$58)</f>
        <v/>
      </c>
      <c r="V16" s="18">
        <f>前提条件!$D$59</f>
        <v/>
      </c>
      <c r="W16" s="18">
        <f>IF($A16&lt;=6,0,IF($A16&lt;=12,前提条件!$D$60,IF($A16&lt;=24,前提条件!$D$61,前提条件!$D$62)))</f>
        <v/>
      </c>
      <c r="X16" s="18">
        <f>IF($A16&lt;5,0,IF($A16&lt;=12,前提条件!$D$63,IF($A16&lt;=24,前提条件!$D$64,前提条件!$D$65)))</f>
        <v/>
      </c>
      <c r="Y16" s="18">
        <f>IF($A16&lt;=12,0,IF($A16&lt;=18,前提条件!$D$66,IF($A16&lt;=24,前提条件!$D$67,前提条件!$D$68)))</f>
        <v/>
      </c>
      <c r="Z16" s="18">
        <f>ROUND(($N16+$Q16)*前提条件!$D$69,0)</f>
        <v/>
      </c>
      <c r="AA16" s="18">
        <f>IF($A16=1,前提条件!$D$70,0)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IF($A17&lt;=3,前提条件!$D$21,IF($A17&lt;=6,前提条件!$D$22,IF($A17&lt;=12,前提条件!$D$23,IF($A17&lt;=24,前提条件!$D$24,前提条件!$D$25))))</f>
        <v/>
      </c>
      <c r="D17" s="16">
        <f>$D16+$C17</f>
        <v/>
      </c>
      <c r="E17" s="16">
        <f>ROUND($C17*前提条件!$D$27,0)</f>
        <v/>
      </c>
      <c r="F17" s="16">
        <f>IF($X17=0,0,ROUND($X17/前提条件!$D$28,0))</f>
        <v/>
      </c>
      <c r="G17" s="16">
        <f>$E17+$F17</f>
        <v/>
      </c>
      <c r="H17" s="16">
        <f>ROUND($I16*前提条件!$D$29,0)</f>
        <v/>
      </c>
      <c r="I17" s="16">
        <f>$I16+$G17-$H17</f>
        <v/>
      </c>
      <c r="J17" s="16">
        <f>IF($A17&lt;前提条件!$D$37,0,ROUND($G17*前提条件!$D$33+$I16*前提条件!$D$34,0))</f>
        <v/>
      </c>
      <c r="K17" s="16">
        <f>IF(OR($A17=5,$A17=11,$A17=15,$A17=22,$A17=30),ROUND($I16*前提条件!$D$35,0),0)</f>
        <v/>
      </c>
      <c r="L17" s="16">
        <f>$J17+$K17</f>
        <v/>
      </c>
      <c r="M17" s="16">
        <f>IF($A17&lt;=12,前提条件!$D$31,前提条件!$D$32)*前提条件!$D$19</f>
        <v/>
      </c>
      <c r="N17" s="16">
        <f>ROUND($L17*$M17*(1-前提条件!$D$36),0)</f>
        <v/>
      </c>
      <c r="O17" s="16">
        <f>ROUND($D17*前提条件!$D$39,0)</f>
        <v/>
      </c>
      <c r="P17" s="16">
        <f>ROUND(IF($A17&lt;10,0,IF($A17&lt;=12,前提条件!$D$42,IF($A17&lt;=18,前提条件!$D$43,IF($A17&lt;=24,前提条件!$D$44,前提条件!$D$45))))*前提条件!$D$41,0)</f>
        <v/>
      </c>
      <c r="Q17" s="16">
        <f>IF($A17&lt;15,0,ROUND($G17*前提条件!$D$48*前提条件!$D$47*前提条件!$D$19,0))</f>
        <v/>
      </c>
      <c r="R17" s="16">
        <f>IF($A17&lt;20,0,IF($A17&lt;=24,前提条件!$D$51,前提条件!$D$52)*前提条件!$D$50)</f>
        <v/>
      </c>
      <c r="S17" s="16">
        <f>SUM($N17:$R17)</f>
        <v/>
      </c>
      <c r="T17" s="16">
        <f>IF($A17&lt;=6,前提条件!$D$54,IF($A17&lt;=18,前提条件!$D$55,前提条件!$D$56))</f>
        <v/>
      </c>
      <c r="U17" s="16">
        <f>IF($A17&lt;=12,前提条件!$D$57,前提条件!$D$58)</f>
        <v/>
      </c>
      <c r="V17" s="16">
        <f>前提条件!$D$59</f>
        <v/>
      </c>
      <c r="W17" s="16">
        <f>IF($A17&lt;=6,0,IF($A17&lt;=12,前提条件!$D$60,IF($A17&lt;=24,前提条件!$D$61,前提条件!$D$62)))</f>
        <v/>
      </c>
      <c r="X17" s="16">
        <f>IF($A17&lt;5,0,IF($A17&lt;=12,前提条件!$D$63,IF($A17&lt;=24,前提条件!$D$64,前提条件!$D$65)))</f>
        <v/>
      </c>
      <c r="Y17" s="16">
        <f>IF($A17&lt;=12,0,IF($A17&lt;=18,前提条件!$D$66,IF($A17&lt;=24,前提条件!$D$67,前提条件!$D$68)))</f>
        <v/>
      </c>
      <c r="Z17" s="16">
        <f>ROUND(($N17+$Q17)*前提条件!$D$69,0)</f>
        <v/>
      </c>
      <c r="AA17" s="16">
        <f>IF($A17=1,前提条件!$D$70,0)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IF($A18&lt;=3,前提条件!$D$21,IF($A18&lt;=6,前提条件!$D$22,IF($A18&lt;=12,前提条件!$D$23,IF($A18&lt;=24,前提条件!$D$24,前提条件!$D$25))))</f>
        <v/>
      </c>
      <c r="D18" s="16">
        <f>$D17+$C18</f>
        <v/>
      </c>
      <c r="E18" s="16">
        <f>ROUND($C18*前提条件!$D$27,0)</f>
        <v/>
      </c>
      <c r="F18" s="16">
        <f>IF($X18=0,0,ROUND($X18/前提条件!$D$28,0))</f>
        <v/>
      </c>
      <c r="G18" s="16">
        <f>$E18+$F18</f>
        <v/>
      </c>
      <c r="H18" s="16">
        <f>ROUND($I17*前提条件!$D$29,0)</f>
        <v/>
      </c>
      <c r="I18" s="16">
        <f>$I17+$G18-$H18</f>
        <v/>
      </c>
      <c r="J18" s="16">
        <f>IF($A18&lt;前提条件!$D$37,0,ROUND($G18*前提条件!$D$33+$I17*前提条件!$D$34,0))</f>
        <v/>
      </c>
      <c r="K18" s="16">
        <f>IF(OR($A18=5,$A18=11,$A18=15,$A18=22,$A18=30),ROUND($I17*前提条件!$D$35,0),0)</f>
        <v/>
      </c>
      <c r="L18" s="16">
        <f>$J18+$K18</f>
        <v/>
      </c>
      <c r="M18" s="16">
        <f>IF($A18&lt;=12,前提条件!$D$31,前提条件!$D$32)*前提条件!$D$19</f>
        <v/>
      </c>
      <c r="N18" s="16">
        <f>ROUND($L18*$M18*(1-前提条件!$D$36),0)</f>
        <v/>
      </c>
      <c r="O18" s="16">
        <f>ROUND($D18*前提条件!$D$39,0)</f>
        <v/>
      </c>
      <c r="P18" s="16">
        <f>ROUND(IF($A18&lt;10,0,IF($A18&lt;=12,前提条件!$D$42,IF($A18&lt;=18,前提条件!$D$43,IF($A18&lt;=24,前提条件!$D$44,前提条件!$D$45))))*前提条件!$D$41,0)</f>
        <v/>
      </c>
      <c r="Q18" s="16">
        <f>IF($A18&lt;15,0,ROUND($G18*前提条件!$D$48*前提条件!$D$47*前提条件!$D$19,0))</f>
        <v/>
      </c>
      <c r="R18" s="16">
        <f>IF($A18&lt;20,0,IF($A18&lt;=24,前提条件!$D$51,前提条件!$D$52)*前提条件!$D$50)</f>
        <v/>
      </c>
      <c r="S18" s="16">
        <f>SUM($N18:$R18)</f>
        <v/>
      </c>
      <c r="T18" s="16">
        <f>IF($A18&lt;=6,前提条件!$D$54,IF($A18&lt;=18,前提条件!$D$55,前提条件!$D$56))</f>
        <v/>
      </c>
      <c r="U18" s="16">
        <f>IF($A18&lt;=12,前提条件!$D$57,前提条件!$D$58)</f>
        <v/>
      </c>
      <c r="V18" s="16">
        <f>前提条件!$D$59</f>
        <v/>
      </c>
      <c r="W18" s="16">
        <f>IF($A18&lt;=6,0,IF($A18&lt;=12,前提条件!$D$60,IF($A18&lt;=24,前提条件!$D$61,前提条件!$D$62)))</f>
        <v/>
      </c>
      <c r="X18" s="16">
        <f>IF($A18&lt;5,0,IF($A18&lt;=12,前提条件!$D$63,IF($A18&lt;=24,前提条件!$D$64,前提条件!$D$65)))</f>
        <v/>
      </c>
      <c r="Y18" s="16">
        <f>IF($A18&lt;=12,0,IF($A18&lt;=18,前提条件!$D$66,IF($A18&lt;=24,前提条件!$D$67,前提条件!$D$68)))</f>
        <v/>
      </c>
      <c r="Z18" s="16">
        <f>ROUND(($N18+$Q18)*前提条件!$D$69,0)</f>
        <v/>
      </c>
      <c r="AA18" s="16">
        <f>IF($A18=1,前提条件!$D$70,0)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IF($A19&lt;=3,前提条件!$D$21,IF($A19&lt;=6,前提条件!$D$22,IF($A19&lt;=12,前提条件!$D$23,IF($A19&lt;=24,前提条件!$D$24,前提条件!$D$25))))</f>
        <v/>
      </c>
      <c r="D19" s="16">
        <f>$D18+$C19</f>
        <v/>
      </c>
      <c r="E19" s="16">
        <f>ROUND($C19*前提条件!$D$27,0)</f>
        <v/>
      </c>
      <c r="F19" s="16">
        <f>IF($X19=0,0,ROUND($X19/前提条件!$D$28,0))</f>
        <v/>
      </c>
      <c r="G19" s="16">
        <f>$E19+$F19</f>
        <v/>
      </c>
      <c r="H19" s="16">
        <f>ROUND($I18*前提条件!$D$29,0)</f>
        <v/>
      </c>
      <c r="I19" s="16">
        <f>$I18+$G19-$H19</f>
        <v/>
      </c>
      <c r="J19" s="16">
        <f>IF($A19&lt;前提条件!$D$37,0,ROUND($G19*前提条件!$D$33+$I18*前提条件!$D$34,0))</f>
        <v/>
      </c>
      <c r="K19" s="16">
        <f>IF(OR($A19=5,$A19=11,$A19=15,$A19=22,$A19=30),ROUND($I18*前提条件!$D$35,0),0)</f>
        <v/>
      </c>
      <c r="L19" s="16">
        <f>$J19+$K19</f>
        <v/>
      </c>
      <c r="M19" s="16">
        <f>IF($A19&lt;=12,前提条件!$D$31,前提条件!$D$32)*前提条件!$D$19</f>
        <v/>
      </c>
      <c r="N19" s="16">
        <f>ROUND($L19*$M19*(1-前提条件!$D$36),0)</f>
        <v/>
      </c>
      <c r="O19" s="16">
        <f>ROUND($D19*前提条件!$D$39,0)</f>
        <v/>
      </c>
      <c r="P19" s="16">
        <f>ROUND(IF($A19&lt;10,0,IF($A19&lt;=12,前提条件!$D$42,IF($A19&lt;=18,前提条件!$D$43,IF($A19&lt;=24,前提条件!$D$44,前提条件!$D$45))))*前提条件!$D$41,0)</f>
        <v/>
      </c>
      <c r="Q19" s="16">
        <f>IF($A19&lt;15,0,ROUND($G19*前提条件!$D$48*前提条件!$D$47*前提条件!$D$19,0))</f>
        <v/>
      </c>
      <c r="R19" s="16">
        <f>IF($A19&lt;20,0,IF($A19&lt;=24,前提条件!$D$51,前提条件!$D$52)*前提条件!$D$50)</f>
        <v/>
      </c>
      <c r="S19" s="16">
        <f>SUM($N19:$R19)</f>
        <v/>
      </c>
      <c r="T19" s="16">
        <f>IF($A19&lt;=6,前提条件!$D$54,IF($A19&lt;=18,前提条件!$D$55,前提条件!$D$56))</f>
        <v/>
      </c>
      <c r="U19" s="16">
        <f>IF($A19&lt;=12,前提条件!$D$57,前提条件!$D$58)</f>
        <v/>
      </c>
      <c r="V19" s="16">
        <f>前提条件!$D$59</f>
        <v/>
      </c>
      <c r="W19" s="16">
        <f>IF($A19&lt;=6,0,IF($A19&lt;=12,前提条件!$D$60,IF($A19&lt;=24,前提条件!$D$61,前提条件!$D$62)))</f>
        <v/>
      </c>
      <c r="X19" s="16">
        <f>IF($A19&lt;5,0,IF($A19&lt;=12,前提条件!$D$63,IF($A19&lt;=24,前提条件!$D$64,前提条件!$D$65)))</f>
        <v/>
      </c>
      <c r="Y19" s="16">
        <f>IF($A19&lt;=12,0,IF($A19&lt;=18,前提条件!$D$66,IF($A19&lt;=24,前提条件!$D$67,前提条件!$D$68)))</f>
        <v/>
      </c>
      <c r="Z19" s="16">
        <f>ROUND(($N19+$Q19)*前提条件!$D$69,0)</f>
        <v/>
      </c>
      <c r="AA19" s="16">
        <f>IF($A19=1,前提条件!$D$70,0)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IF($A20&lt;=3,前提条件!$D$21,IF($A20&lt;=6,前提条件!$D$22,IF($A20&lt;=12,前提条件!$D$23,IF($A20&lt;=24,前提条件!$D$24,前提条件!$D$25))))</f>
        <v/>
      </c>
      <c r="D20" s="16">
        <f>$D19+$C20</f>
        <v/>
      </c>
      <c r="E20" s="16">
        <f>ROUND($C20*前提条件!$D$27,0)</f>
        <v/>
      </c>
      <c r="F20" s="16">
        <f>IF($X20=0,0,ROUND($X20/前提条件!$D$28,0))</f>
        <v/>
      </c>
      <c r="G20" s="16">
        <f>$E20+$F20</f>
        <v/>
      </c>
      <c r="H20" s="16">
        <f>ROUND($I19*前提条件!$D$29,0)</f>
        <v/>
      </c>
      <c r="I20" s="16">
        <f>$I19+$G20-$H20</f>
        <v/>
      </c>
      <c r="J20" s="16">
        <f>IF($A20&lt;前提条件!$D$37,0,ROUND($G20*前提条件!$D$33+$I19*前提条件!$D$34,0))</f>
        <v/>
      </c>
      <c r="K20" s="16">
        <f>IF(OR($A20=5,$A20=11,$A20=15,$A20=22,$A20=30),ROUND($I19*前提条件!$D$35,0),0)</f>
        <v/>
      </c>
      <c r="L20" s="16">
        <f>$J20+$K20</f>
        <v/>
      </c>
      <c r="M20" s="16">
        <f>IF($A20&lt;=12,前提条件!$D$31,前提条件!$D$32)*前提条件!$D$19</f>
        <v/>
      </c>
      <c r="N20" s="16">
        <f>ROUND($L20*$M20*(1-前提条件!$D$36),0)</f>
        <v/>
      </c>
      <c r="O20" s="16">
        <f>ROUND($D20*前提条件!$D$39,0)</f>
        <v/>
      </c>
      <c r="P20" s="16">
        <f>ROUND(IF($A20&lt;10,0,IF($A20&lt;=12,前提条件!$D$42,IF($A20&lt;=18,前提条件!$D$43,IF($A20&lt;=24,前提条件!$D$44,前提条件!$D$45))))*前提条件!$D$41,0)</f>
        <v/>
      </c>
      <c r="Q20" s="16">
        <f>IF($A20&lt;15,0,ROUND($G20*前提条件!$D$48*前提条件!$D$47*前提条件!$D$19,0))</f>
        <v/>
      </c>
      <c r="R20" s="16">
        <f>IF($A20&lt;20,0,IF($A20&lt;=24,前提条件!$D$51,前提条件!$D$52)*前提条件!$D$50)</f>
        <v/>
      </c>
      <c r="S20" s="16">
        <f>SUM($N20:$R20)</f>
        <v/>
      </c>
      <c r="T20" s="16">
        <f>IF($A20&lt;=6,前提条件!$D$54,IF($A20&lt;=18,前提条件!$D$55,前提条件!$D$56))</f>
        <v/>
      </c>
      <c r="U20" s="16">
        <f>IF($A20&lt;=12,前提条件!$D$57,前提条件!$D$58)</f>
        <v/>
      </c>
      <c r="V20" s="16">
        <f>前提条件!$D$59</f>
        <v/>
      </c>
      <c r="W20" s="16">
        <f>IF($A20&lt;=6,0,IF($A20&lt;=12,前提条件!$D$60,IF($A20&lt;=24,前提条件!$D$61,前提条件!$D$62)))</f>
        <v/>
      </c>
      <c r="X20" s="16">
        <f>IF($A20&lt;5,0,IF($A20&lt;=12,前提条件!$D$63,IF($A20&lt;=24,前提条件!$D$64,前提条件!$D$65)))</f>
        <v/>
      </c>
      <c r="Y20" s="16">
        <f>IF($A20&lt;=12,0,IF($A20&lt;=18,前提条件!$D$66,IF($A20&lt;=24,前提条件!$D$67,前提条件!$D$68)))</f>
        <v/>
      </c>
      <c r="Z20" s="16">
        <f>ROUND(($N20+$Q20)*前提条件!$D$69,0)</f>
        <v/>
      </c>
      <c r="AA20" s="16">
        <f>IF($A20=1,前提条件!$D$70,0)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IF($A21&lt;=3,前提条件!$D$21,IF($A21&lt;=6,前提条件!$D$22,IF($A21&lt;=12,前提条件!$D$23,IF($A21&lt;=24,前提条件!$D$24,前提条件!$D$25))))</f>
        <v/>
      </c>
      <c r="D21" s="16">
        <f>$D20+$C21</f>
        <v/>
      </c>
      <c r="E21" s="16">
        <f>ROUND($C21*前提条件!$D$27,0)</f>
        <v/>
      </c>
      <c r="F21" s="16">
        <f>IF($X21=0,0,ROUND($X21/前提条件!$D$28,0))</f>
        <v/>
      </c>
      <c r="G21" s="16">
        <f>$E21+$F21</f>
        <v/>
      </c>
      <c r="H21" s="16">
        <f>ROUND($I20*前提条件!$D$29,0)</f>
        <v/>
      </c>
      <c r="I21" s="16">
        <f>$I20+$G21-$H21</f>
        <v/>
      </c>
      <c r="J21" s="16">
        <f>IF($A21&lt;前提条件!$D$37,0,ROUND($G21*前提条件!$D$33+$I20*前提条件!$D$34,0))</f>
        <v/>
      </c>
      <c r="K21" s="16">
        <f>IF(OR($A21=5,$A21=11,$A21=15,$A21=22,$A21=30),ROUND($I20*前提条件!$D$35,0),0)</f>
        <v/>
      </c>
      <c r="L21" s="16">
        <f>$J21+$K21</f>
        <v/>
      </c>
      <c r="M21" s="16">
        <f>IF($A21&lt;=12,前提条件!$D$31,前提条件!$D$32)*前提条件!$D$19</f>
        <v/>
      </c>
      <c r="N21" s="16">
        <f>ROUND($L21*$M21*(1-前提条件!$D$36),0)</f>
        <v/>
      </c>
      <c r="O21" s="16">
        <f>ROUND($D21*前提条件!$D$39,0)</f>
        <v/>
      </c>
      <c r="P21" s="16">
        <f>ROUND(IF($A21&lt;10,0,IF($A21&lt;=12,前提条件!$D$42,IF($A21&lt;=18,前提条件!$D$43,IF($A21&lt;=24,前提条件!$D$44,前提条件!$D$45))))*前提条件!$D$41,0)</f>
        <v/>
      </c>
      <c r="Q21" s="16">
        <f>IF($A21&lt;15,0,ROUND($G21*前提条件!$D$48*前提条件!$D$47*前提条件!$D$19,0))</f>
        <v/>
      </c>
      <c r="R21" s="16">
        <f>IF($A21&lt;20,0,IF($A21&lt;=24,前提条件!$D$51,前提条件!$D$52)*前提条件!$D$50)</f>
        <v/>
      </c>
      <c r="S21" s="16">
        <f>SUM($N21:$R21)</f>
        <v/>
      </c>
      <c r="T21" s="16">
        <f>IF($A21&lt;=6,前提条件!$D$54,IF($A21&lt;=18,前提条件!$D$55,前提条件!$D$56))</f>
        <v/>
      </c>
      <c r="U21" s="16">
        <f>IF($A21&lt;=12,前提条件!$D$57,前提条件!$D$58)</f>
        <v/>
      </c>
      <c r="V21" s="16">
        <f>前提条件!$D$59</f>
        <v/>
      </c>
      <c r="W21" s="16">
        <f>IF($A21&lt;=6,0,IF($A21&lt;=12,前提条件!$D$60,IF($A21&lt;=24,前提条件!$D$61,前提条件!$D$62)))</f>
        <v/>
      </c>
      <c r="X21" s="16">
        <f>IF($A21&lt;5,0,IF($A21&lt;=12,前提条件!$D$63,IF($A21&lt;=24,前提条件!$D$64,前提条件!$D$65)))</f>
        <v/>
      </c>
      <c r="Y21" s="16">
        <f>IF($A21&lt;=12,0,IF($A21&lt;=18,前提条件!$D$66,IF($A21&lt;=24,前提条件!$D$67,前提条件!$D$68)))</f>
        <v/>
      </c>
      <c r="Z21" s="16">
        <f>ROUND(($N21+$Q21)*前提条件!$D$69,0)</f>
        <v/>
      </c>
      <c r="AA21" s="16">
        <f>IF($A21=1,前提条件!$D$70,0)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IF($A22&lt;=3,前提条件!$D$21,IF($A22&lt;=6,前提条件!$D$22,IF($A22&lt;=12,前提条件!$D$23,IF($A22&lt;=24,前提条件!$D$24,前提条件!$D$25))))</f>
        <v/>
      </c>
      <c r="D22" s="16">
        <f>$D21+$C22</f>
        <v/>
      </c>
      <c r="E22" s="16">
        <f>ROUND($C22*前提条件!$D$27,0)</f>
        <v/>
      </c>
      <c r="F22" s="16">
        <f>IF($X22=0,0,ROUND($X22/前提条件!$D$28,0))</f>
        <v/>
      </c>
      <c r="G22" s="16">
        <f>$E22+$F22</f>
        <v/>
      </c>
      <c r="H22" s="16">
        <f>ROUND($I21*前提条件!$D$29,0)</f>
        <v/>
      </c>
      <c r="I22" s="16">
        <f>$I21+$G22-$H22</f>
        <v/>
      </c>
      <c r="J22" s="16">
        <f>IF($A22&lt;前提条件!$D$37,0,ROUND($G22*前提条件!$D$33+$I21*前提条件!$D$34,0))</f>
        <v/>
      </c>
      <c r="K22" s="16">
        <f>IF(OR($A22=5,$A22=11,$A22=15,$A22=22,$A22=30),ROUND($I21*前提条件!$D$35,0),0)</f>
        <v/>
      </c>
      <c r="L22" s="16">
        <f>$J22+$K22</f>
        <v/>
      </c>
      <c r="M22" s="16">
        <f>IF($A22&lt;=12,前提条件!$D$31,前提条件!$D$32)*前提条件!$D$19</f>
        <v/>
      </c>
      <c r="N22" s="16">
        <f>ROUND($L22*$M22*(1-前提条件!$D$36),0)</f>
        <v/>
      </c>
      <c r="O22" s="16">
        <f>ROUND($D22*前提条件!$D$39,0)</f>
        <v/>
      </c>
      <c r="P22" s="16">
        <f>ROUND(IF($A22&lt;10,0,IF($A22&lt;=12,前提条件!$D$42,IF($A22&lt;=18,前提条件!$D$43,IF($A22&lt;=24,前提条件!$D$44,前提条件!$D$45))))*前提条件!$D$41,0)</f>
        <v/>
      </c>
      <c r="Q22" s="16">
        <f>IF($A22&lt;15,0,ROUND($G22*前提条件!$D$48*前提条件!$D$47*前提条件!$D$19,0))</f>
        <v/>
      </c>
      <c r="R22" s="16">
        <f>IF($A22&lt;20,0,IF($A22&lt;=24,前提条件!$D$51,前提条件!$D$52)*前提条件!$D$50)</f>
        <v/>
      </c>
      <c r="S22" s="16">
        <f>SUM($N22:$R22)</f>
        <v/>
      </c>
      <c r="T22" s="16">
        <f>IF($A22&lt;=6,前提条件!$D$54,IF($A22&lt;=18,前提条件!$D$55,前提条件!$D$56))</f>
        <v/>
      </c>
      <c r="U22" s="16">
        <f>IF($A22&lt;=12,前提条件!$D$57,前提条件!$D$58)</f>
        <v/>
      </c>
      <c r="V22" s="16">
        <f>前提条件!$D$59</f>
        <v/>
      </c>
      <c r="W22" s="16">
        <f>IF($A22&lt;=6,0,IF($A22&lt;=12,前提条件!$D$60,IF($A22&lt;=24,前提条件!$D$61,前提条件!$D$62)))</f>
        <v/>
      </c>
      <c r="X22" s="16">
        <f>IF($A22&lt;5,0,IF($A22&lt;=12,前提条件!$D$63,IF($A22&lt;=24,前提条件!$D$64,前提条件!$D$65)))</f>
        <v/>
      </c>
      <c r="Y22" s="16">
        <f>IF($A22&lt;=12,0,IF($A22&lt;=18,前提条件!$D$66,IF($A22&lt;=24,前提条件!$D$67,前提条件!$D$68)))</f>
        <v/>
      </c>
      <c r="Z22" s="16">
        <f>ROUND(($N22+$Q22)*前提条件!$D$69,0)</f>
        <v/>
      </c>
      <c r="AA22" s="16">
        <f>IF($A22=1,前提条件!$D$70,0)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IF($A23&lt;=3,前提条件!$D$21,IF($A23&lt;=6,前提条件!$D$22,IF($A23&lt;=12,前提条件!$D$23,IF($A23&lt;=24,前提条件!$D$24,前提条件!$D$25))))</f>
        <v/>
      </c>
      <c r="D23" s="16">
        <f>$D22+$C23</f>
        <v/>
      </c>
      <c r="E23" s="16">
        <f>ROUND($C23*前提条件!$D$27,0)</f>
        <v/>
      </c>
      <c r="F23" s="16">
        <f>IF($X23=0,0,ROUND($X23/前提条件!$D$28,0))</f>
        <v/>
      </c>
      <c r="G23" s="16">
        <f>$E23+$F23</f>
        <v/>
      </c>
      <c r="H23" s="16">
        <f>ROUND($I22*前提条件!$D$29,0)</f>
        <v/>
      </c>
      <c r="I23" s="16">
        <f>$I22+$G23-$H23</f>
        <v/>
      </c>
      <c r="J23" s="16">
        <f>IF($A23&lt;前提条件!$D$37,0,ROUND($G23*前提条件!$D$33+$I22*前提条件!$D$34,0))</f>
        <v/>
      </c>
      <c r="K23" s="16">
        <f>IF(OR($A23=5,$A23=11,$A23=15,$A23=22,$A23=30),ROUND($I22*前提条件!$D$35,0),0)</f>
        <v/>
      </c>
      <c r="L23" s="16">
        <f>$J23+$K23</f>
        <v/>
      </c>
      <c r="M23" s="16">
        <f>IF($A23&lt;=12,前提条件!$D$31,前提条件!$D$32)*前提条件!$D$19</f>
        <v/>
      </c>
      <c r="N23" s="16">
        <f>ROUND($L23*$M23*(1-前提条件!$D$36),0)</f>
        <v/>
      </c>
      <c r="O23" s="16">
        <f>ROUND($D23*前提条件!$D$39,0)</f>
        <v/>
      </c>
      <c r="P23" s="16">
        <f>ROUND(IF($A23&lt;10,0,IF($A23&lt;=12,前提条件!$D$42,IF($A23&lt;=18,前提条件!$D$43,IF($A23&lt;=24,前提条件!$D$44,前提条件!$D$45))))*前提条件!$D$41,0)</f>
        <v/>
      </c>
      <c r="Q23" s="16">
        <f>IF($A23&lt;15,0,ROUND($G23*前提条件!$D$48*前提条件!$D$47*前提条件!$D$19,0))</f>
        <v/>
      </c>
      <c r="R23" s="16">
        <f>IF($A23&lt;20,0,IF($A23&lt;=24,前提条件!$D$51,前提条件!$D$52)*前提条件!$D$50)</f>
        <v/>
      </c>
      <c r="S23" s="16">
        <f>SUM($N23:$R23)</f>
        <v/>
      </c>
      <c r="T23" s="16">
        <f>IF($A23&lt;=6,前提条件!$D$54,IF($A23&lt;=18,前提条件!$D$55,前提条件!$D$56))</f>
        <v/>
      </c>
      <c r="U23" s="16">
        <f>IF($A23&lt;=12,前提条件!$D$57,前提条件!$D$58)</f>
        <v/>
      </c>
      <c r="V23" s="16">
        <f>前提条件!$D$59</f>
        <v/>
      </c>
      <c r="W23" s="16">
        <f>IF($A23&lt;=6,0,IF($A23&lt;=12,前提条件!$D$60,IF($A23&lt;=24,前提条件!$D$61,前提条件!$D$62)))</f>
        <v/>
      </c>
      <c r="X23" s="16">
        <f>IF($A23&lt;5,0,IF($A23&lt;=12,前提条件!$D$63,IF($A23&lt;=24,前提条件!$D$64,前提条件!$D$65)))</f>
        <v/>
      </c>
      <c r="Y23" s="16">
        <f>IF($A23&lt;=12,0,IF($A23&lt;=18,前提条件!$D$66,IF($A23&lt;=24,前提条件!$D$67,前提条件!$D$68)))</f>
        <v/>
      </c>
      <c r="Z23" s="16">
        <f>ROUND(($N23+$Q23)*前提条件!$D$69,0)</f>
        <v/>
      </c>
      <c r="AA23" s="16">
        <f>IF($A23=1,前提条件!$D$70,0)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IF($A24&lt;=3,前提条件!$D$21,IF($A24&lt;=6,前提条件!$D$22,IF($A24&lt;=12,前提条件!$D$23,IF($A24&lt;=24,前提条件!$D$24,前提条件!$D$25))))</f>
        <v/>
      </c>
      <c r="D24" s="16">
        <f>$D23+$C24</f>
        <v/>
      </c>
      <c r="E24" s="16">
        <f>ROUND($C24*前提条件!$D$27,0)</f>
        <v/>
      </c>
      <c r="F24" s="16">
        <f>IF($X24=0,0,ROUND($X24/前提条件!$D$28,0))</f>
        <v/>
      </c>
      <c r="G24" s="16">
        <f>$E24+$F24</f>
        <v/>
      </c>
      <c r="H24" s="16">
        <f>ROUND($I23*前提条件!$D$29,0)</f>
        <v/>
      </c>
      <c r="I24" s="16">
        <f>$I23+$G24-$H24</f>
        <v/>
      </c>
      <c r="J24" s="16">
        <f>IF($A24&lt;前提条件!$D$37,0,ROUND($G24*前提条件!$D$33+$I23*前提条件!$D$34,0))</f>
        <v/>
      </c>
      <c r="K24" s="16">
        <f>IF(OR($A24=5,$A24=11,$A24=15,$A24=22,$A24=30),ROUND($I23*前提条件!$D$35,0),0)</f>
        <v/>
      </c>
      <c r="L24" s="16">
        <f>$J24+$K24</f>
        <v/>
      </c>
      <c r="M24" s="16">
        <f>IF($A24&lt;=12,前提条件!$D$31,前提条件!$D$32)*前提条件!$D$19</f>
        <v/>
      </c>
      <c r="N24" s="16">
        <f>ROUND($L24*$M24*(1-前提条件!$D$36),0)</f>
        <v/>
      </c>
      <c r="O24" s="16">
        <f>ROUND($D24*前提条件!$D$39,0)</f>
        <v/>
      </c>
      <c r="P24" s="16">
        <f>ROUND(IF($A24&lt;10,0,IF($A24&lt;=12,前提条件!$D$42,IF($A24&lt;=18,前提条件!$D$43,IF($A24&lt;=24,前提条件!$D$44,前提条件!$D$45))))*前提条件!$D$41,0)</f>
        <v/>
      </c>
      <c r="Q24" s="16">
        <f>IF($A24&lt;15,0,ROUND($G24*前提条件!$D$48*前提条件!$D$47*前提条件!$D$19,0))</f>
        <v/>
      </c>
      <c r="R24" s="16">
        <f>IF($A24&lt;20,0,IF($A24&lt;=24,前提条件!$D$51,前提条件!$D$52)*前提条件!$D$50)</f>
        <v/>
      </c>
      <c r="S24" s="16">
        <f>SUM($N24:$R24)</f>
        <v/>
      </c>
      <c r="T24" s="16">
        <f>IF($A24&lt;=6,前提条件!$D$54,IF($A24&lt;=18,前提条件!$D$55,前提条件!$D$56))</f>
        <v/>
      </c>
      <c r="U24" s="16">
        <f>IF($A24&lt;=12,前提条件!$D$57,前提条件!$D$58)</f>
        <v/>
      </c>
      <c r="V24" s="16">
        <f>前提条件!$D$59</f>
        <v/>
      </c>
      <c r="W24" s="16">
        <f>IF($A24&lt;=6,0,IF($A24&lt;=12,前提条件!$D$60,IF($A24&lt;=24,前提条件!$D$61,前提条件!$D$62)))</f>
        <v/>
      </c>
      <c r="X24" s="16">
        <f>IF($A24&lt;5,0,IF($A24&lt;=12,前提条件!$D$63,IF($A24&lt;=24,前提条件!$D$64,前提条件!$D$65)))</f>
        <v/>
      </c>
      <c r="Y24" s="16">
        <f>IF($A24&lt;=12,0,IF($A24&lt;=18,前提条件!$D$66,IF($A24&lt;=24,前提条件!$D$67,前提条件!$D$68)))</f>
        <v/>
      </c>
      <c r="Z24" s="16">
        <f>ROUND(($N24+$Q24)*前提条件!$D$69,0)</f>
        <v/>
      </c>
      <c r="AA24" s="16">
        <f>IF($A24=1,前提条件!$D$70,0)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IF($A25&lt;=3,前提条件!$D$21,IF($A25&lt;=6,前提条件!$D$22,IF($A25&lt;=12,前提条件!$D$23,IF($A25&lt;=24,前提条件!$D$24,前提条件!$D$25))))</f>
        <v/>
      </c>
      <c r="D25" s="16">
        <f>$D24+$C25</f>
        <v/>
      </c>
      <c r="E25" s="16">
        <f>ROUND($C25*前提条件!$D$27,0)</f>
        <v/>
      </c>
      <c r="F25" s="16">
        <f>IF($X25=0,0,ROUND($X25/前提条件!$D$28,0))</f>
        <v/>
      </c>
      <c r="G25" s="16">
        <f>$E25+$F25</f>
        <v/>
      </c>
      <c r="H25" s="16">
        <f>ROUND($I24*前提条件!$D$29,0)</f>
        <v/>
      </c>
      <c r="I25" s="16">
        <f>$I24+$G25-$H25</f>
        <v/>
      </c>
      <c r="J25" s="16">
        <f>IF($A25&lt;前提条件!$D$37,0,ROUND($G25*前提条件!$D$33+$I24*前提条件!$D$34,0))</f>
        <v/>
      </c>
      <c r="K25" s="16">
        <f>IF(OR($A25=5,$A25=11,$A25=15,$A25=22,$A25=30),ROUND($I24*前提条件!$D$35,0),0)</f>
        <v/>
      </c>
      <c r="L25" s="16">
        <f>$J25+$K25</f>
        <v/>
      </c>
      <c r="M25" s="16">
        <f>IF($A25&lt;=12,前提条件!$D$31,前提条件!$D$32)*前提条件!$D$19</f>
        <v/>
      </c>
      <c r="N25" s="16">
        <f>ROUND($L25*$M25*(1-前提条件!$D$36),0)</f>
        <v/>
      </c>
      <c r="O25" s="16">
        <f>ROUND($D25*前提条件!$D$39,0)</f>
        <v/>
      </c>
      <c r="P25" s="16">
        <f>ROUND(IF($A25&lt;10,0,IF($A25&lt;=12,前提条件!$D$42,IF($A25&lt;=18,前提条件!$D$43,IF($A25&lt;=24,前提条件!$D$44,前提条件!$D$45))))*前提条件!$D$41,0)</f>
        <v/>
      </c>
      <c r="Q25" s="16">
        <f>IF($A25&lt;15,0,ROUND($G25*前提条件!$D$48*前提条件!$D$47*前提条件!$D$19,0))</f>
        <v/>
      </c>
      <c r="R25" s="16">
        <f>IF($A25&lt;20,0,IF($A25&lt;=24,前提条件!$D$51,前提条件!$D$52)*前提条件!$D$50)</f>
        <v/>
      </c>
      <c r="S25" s="16">
        <f>SUM($N25:$R25)</f>
        <v/>
      </c>
      <c r="T25" s="16">
        <f>IF($A25&lt;=6,前提条件!$D$54,IF($A25&lt;=18,前提条件!$D$55,前提条件!$D$56))</f>
        <v/>
      </c>
      <c r="U25" s="16">
        <f>IF($A25&lt;=12,前提条件!$D$57,前提条件!$D$58)</f>
        <v/>
      </c>
      <c r="V25" s="16">
        <f>前提条件!$D$59</f>
        <v/>
      </c>
      <c r="W25" s="16">
        <f>IF($A25&lt;=6,0,IF($A25&lt;=12,前提条件!$D$60,IF($A25&lt;=24,前提条件!$D$61,前提条件!$D$62)))</f>
        <v/>
      </c>
      <c r="X25" s="16">
        <f>IF($A25&lt;5,0,IF($A25&lt;=12,前提条件!$D$63,IF($A25&lt;=24,前提条件!$D$64,前提条件!$D$65)))</f>
        <v/>
      </c>
      <c r="Y25" s="16">
        <f>IF($A25&lt;=12,0,IF($A25&lt;=18,前提条件!$D$66,IF($A25&lt;=24,前提条件!$D$67,前提条件!$D$68)))</f>
        <v/>
      </c>
      <c r="Z25" s="16">
        <f>ROUND(($N25+$Q25)*前提条件!$D$69,0)</f>
        <v/>
      </c>
      <c r="AA25" s="16">
        <f>IF($A25=1,前提条件!$D$70,0)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IF($A26&lt;=3,前提条件!$D$21,IF($A26&lt;=6,前提条件!$D$22,IF($A26&lt;=12,前提条件!$D$23,IF($A26&lt;=24,前提条件!$D$24,前提条件!$D$25))))</f>
        <v/>
      </c>
      <c r="D26" s="16">
        <f>$D25+$C26</f>
        <v/>
      </c>
      <c r="E26" s="16">
        <f>ROUND($C26*前提条件!$D$27,0)</f>
        <v/>
      </c>
      <c r="F26" s="16">
        <f>IF($X26=0,0,ROUND($X26/前提条件!$D$28,0))</f>
        <v/>
      </c>
      <c r="G26" s="16">
        <f>$E26+$F26</f>
        <v/>
      </c>
      <c r="H26" s="16">
        <f>ROUND($I25*前提条件!$D$29,0)</f>
        <v/>
      </c>
      <c r="I26" s="16">
        <f>$I25+$G26-$H26</f>
        <v/>
      </c>
      <c r="J26" s="16">
        <f>IF($A26&lt;前提条件!$D$37,0,ROUND($G26*前提条件!$D$33+$I25*前提条件!$D$34,0))</f>
        <v/>
      </c>
      <c r="K26" s="16">
        <f>IF(OR($A26=5,$A26=11,$A26=15,$A26=22,$A26=30),ROUND($I25*前提条件!$D$35,0),0)</f>
        <v/>
      </c>
      <c r="L26" s="16">
        <f>$J26+$K26</f>
        <v/>
      </c>
      <c r="M26" s="16">
        <f>IF($A26&lt;=12,前提条件!$D$31,前提条件!$D$32)*前提条件!$D$19</f>
        <v/>
      </c>
      <c r="N26" s="16">
        <f>ROUND($L26*$M26*(1-前提条件!$D$36),0)</f>
        <v/>
      </c>
      <c r="O26" s="16">
        <f>ROUND($D26*前提条件!$D$39,0)</f>
        <v/>
      </c>
      <c r="P26" s="16">
        <f>ROUND(IF($A26&lt;10,0,IF($A26&lt;=12,前提条件!$D$42,IF($A26&lt;=18,前提条件!$D$43,IF($A26&lt;=24,前提条件!$D$44,前提条件!$D$45))))*前提条件!$D$41,0)</f>
        <v/>
      </c>
      <c r="Q26" s="16">
        <f>IF($A26&lt;15,0,ROUND($G26*前提条件!$D$48*前提条件!$D$47*前提条件!$D$19,0))</f>
        <v/>
      </c>
      <c r="R26" s="16">
        <f>IF($A26&lt;20,0,IF($A26&lt;=24,前提条件!$D$51,前提条件!$D$52)*前提条件!$D$50)</f>
        <v/>
      </c>
      <c r="S26" s="16">
        <f>SUM($N26:$R26)</f>
        <v/>
      </c>
      <c r="T26" s="16">
        <f>IF($A26&lt;=6,前提条件!$D$54,IF($A26&lt;=18,前提条件!$D$55,前提条件!$D$56))</f>
        <v/>
      </c>
      <c r="U26" s="16">
        <f>IF($A26&lt;=12,前提条件!$D$57,前提条件!$D$58)</f>
        <v/>
      </c>
      <c r="V26" s="16">
        <f>前提条件!$D$59</f>
        <v/>
      </c>
      <c r="W26" s="16">
        <f>IF($A26&lt;=6,0,IF($A26&lt;=12,前提条件!$D$60,IF($A26&lt;=24,前提条件!$D$61,前提条件!$D$62)))</f>
        <v/>
      </c>
      <c r="X26" s="16">
        <f>IF($A26&lt;5,0,IF($A26&lt;=12,前提条件!$D$63,IF($A26&lt;=24,前提条件!$D$64,前提条件!$D$65)))</f>
        <v/>
      </c>
      <c r="Y26" s="16">
        <f>IF($A26&lt;=12,0,IF($A26&lt;=18,前提条件!$D$66,IF($A26&lt;=24,前提条件!$D$67,前提条件!$D$68)))</f>
        <v/>
      </c>
      <c r="Z26" s="16">
        <f>ROUND(($N26+$Q26)*前提条件!$D$69,0)</f>
        <v/>
      </c>
      <c r="AA26" s="16">
        <f>IF($A26=1,前提条件!$D$70,0)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IF($A27&lt;=3,前提条件!$D$21,IF($A27&lt;=6,前提条件!$D$22,IF($A27&lt;=12,前提条件!$D$23,IF($A27&lt;=24,前提条件!$D$24,前提条件!$D$25))))</f>
        <v/>
      </c>
      <c r="D27" s="16">
        <f>$D26+$C27</f>
        <v/>
      </c>
      <c r="E27" s="16">
        <f>ROUND($C27*前提条件!$D$27,0)</f>
        <v/>
      </c>
      <c r="F27" s="16">
        <f>IF($X27=0,0,ROUND($X27/前提条件!$D$28,0))</f>
        <v/>
      </c>
      <c r="G27" s="16">
        <f>$E27+$F27</f>
        <v/>
      </c>
      <c r="H27" s="16">
        <f>ROUND($I26*前提条件!$D$29,0)</f>
        <v/>
      </c>
      <c r="I27" s="16">
        <f>$I26+$G27-$H27</f>
        <v/>
      </c>
      <c r="J27" s="16">
        <f>IF($A27&lt;前提条件!$D$37,0,ROUND($G27*前提条件!$D$33+$I26*前提条件!$D$34,0))</f>
        <v/>
      </c>
      <c r="K27" s="16">
        <f>IF(OR($A27=5,$A27=11,$A27=15,$A27=22,$A27=30),ROUND($I26*前提条件!$D$35,0),0)</f>
        <v/>
      </c>
      <c r="L27" s="16">
        <f>$J27+$K27</f>
        <v/>
      </c>
      <c r="M27" s="16">
        <f>IF($A27&lt;=12,前提条件!$D$31,前提条件!$D$32)*前提条件!$D$19</f>
        <v/>
      </c>
      <c r="N27" s="16">
        <f>ROUND($L27*$M27*(1-前提条件!$D$36),0)</f>
        <v/>
      </c>
      <c r="O27" s="16">
        <f>ROUND($D27*前提条件!$D$39,0)</f>
        <v/>
      </c>
      <c r="P27" s="16">
        <f>ROUND(IF($A27&lt;10,0,IF($A27&lt;=12,前提条件!$D$42,IF($A27&lt;=18,前提条件!$D$43,IF($A27&lt;=24,前提条件!$D$44,前提条件!$D$45))))*前提条件!$D$41,0)</f>
        <v/>
      </c>
      <c r="Q27" s="16">
        <f>IF($A27&lt;15,0,ROUND($G27*前提条件!$D$48*前提条件!$D$47*前提条件!$D$19,0))</f>
        <v/>
      </c>
      <c r="R27" s="16">
        <f>IF($A27&lt;20,0,IF($A27&lt;=24,前提条件!$D$51,前提条件!$D$52)*前提条件!$D$50)</f>
        <v/>
      </c>
      <c r="S27" s="16">
        <f>SUM($N27:$R27)</f>
        <v/>
      </c>
      <c r="T27" s="16">
        <f>IF($A27&lt;=6,前提条件!$D$54,IF($A27&lt;=18,前提条件!$D$55,前提条件!$D$56))</f>
        <v/>
      </c>
      <c r="U27" s="16">
        <f>IF($A27&lt;=12,前提条件!$D$57,前提条件!$D$58)</f>
        <v/>
      </c>
      <c r="V27" s="16">
        <f>前提条件!$D$59</f>
        <v/>
      </c>
      <c r="W27" s="16">
        <f>IF($A27&lt;=6,0,IF($A27&lt;=12,前提条件!$D$60,IF($A27&lt;=24,前提条件!$D$61,前提条件!$D$62)))</f>
        <v/>
      </c>
      <c r="X27" s="16">
        <f>IF($A27&lt;5,0,IF($A27&lt;=12,前提条件!$D$63,IF($A27&lt;=24,前提条件!$D$64,前提条件!$D$65)))</f>
        <v/>
      </c>
      <c r="Y27" s="16">
        <f>IF($A27&lt;=12,0,IF($A27&lt;=18,前提条件!$D$66,IF($A27&lt;=24,前提条件!$D$67,前提条件!$D$68)))</f>
        <v/>
      </c>
      <c r="Z27" s="16">
        <f>ROUND(($N27+$Q27)*前提条件!$D$69,0)</f>
        <v/>
      </c>
      <c r="AA27" s="16">
        <f>IF($A27=1,前提条件!$D$70,0)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IF($A28&lt;=3,前提条件!$D$21,IF($A28&lt;=6,前提条件!$D$22,IF($A28&lt;=12,前提条件!$D$23,IF($A28&lt;=24,前提条件!$D$24,前提条件!$D$25))))</f>
        <v/>
      </c>
      <c r="D28" s="18">
        <f>$D27+$C28</f>
        <v/>
      </c>
      <c r="E28" s="18">
        <f>ROUND($C28*前提条件!$D$27,0)</f>
        <v/>
      </c>
      <c r="F28" s="18">
        <f>IF($X28=0,0,ROUND($X28/前提条件!$D$28,0))</f>
        <v/>
      </c>
      <c r="G28" s="18">
        <f>$E28+$F28</f>
        <v/>
      </c>
      <c r="H28" s="18">
        <f>ROUND($I27*前提条件!$D$29,0)</f>
        <v/>
      </c>
      <c r="I28" s="18">
        <f>$I27+$G28-$H28</f>
        <v/>
      </c>
      <c r="J28" s="18">
        <f>IF($A28&lt;前提条件!$D$37,0,ROUND($G28*前提条件!$D$33+$I27*前提条件!$D$34,0))</f>
        <v/>
      </c>
      <c r="K28" s="18">
        <f>IF(OR($A28=5,$A28=11,$A28=15,$A28=22,$A28=30),ROUND($I27*前提条件!$D$35,0),0)</f>
        <v/>
      </c>
      <c r="L28" s="18">
        <f>$J28+$K28</f>
        <v/>
      </c>
      <c r="M28" s="18">
        <f>IF($A28&lt;=12,前提条件!$D$31,前提条件!$D$32)*前提条件!$D$19</f>
        <v/>
      </c>
      <c r="N28" s="18">
        <f>ROUND($L28*$M28*(1-前提条件!$D$36),0)</f>
        <v/>
      </c>
      <c r="O28" s="18">
        <f>ROUND($D28*前提条件!$D$39,0)</f>
        <v/>
      </c>
      <c r="P28" s="18">
        <f>ROUND(IF($A28&lt;10,0,IF($A28&lt;=12,前提条件!$D$42,IF($A28&lt;=18,前提条件!$D$43,IF($A28&lt;=24,前提条件!$D$44,前提条件!$D$45))))*前提条件!$D$41,0)</f>
        <v/>
      </c>
      <c r="Q28" s="18">
        <f>IF($A28&lt;15,0,ROUND($G28*前提条件!$D$48*前提条件!$D$47*前提条件!$D$19,0))</f>
        <v/>
      </c>
      <c r="R28" s="18">
        <f>IF($A28&lt;20,0,IF($A28&lt;=24,前提条件!$D$51,前提条件!$D$52)*前提条件!$D$50)</f>
        <v/>
      </c>
      <c r="S28" s="18">
        <f>SUM($N28:$R28)</f>
        <v/>
      </c>
      <c r="T28" s="18">
        <f>IF($A28&lt;=6,前提条件!$D$54,IF($A28&lt;=18,前提条件!$D$55,前提条件!$D$56))</f>
        <v/>
      </c>
      <c r="U28" s="18">
        <f>IF($A28&lt;=12,前提条件!$D$57,前提条件!$D$58)</f>
        <v/>
      </c>
      <c r="V28" s="18">
        <f>前提条件!$D$59</f>
        <v/>
      </c>
      <c r="W28" s="18">
        <f>IF($A28&lt;=6,0,IF($A28&lt;=12,前提条件!$D$60,IF($A28&lt;=24,前提条件!$D$61,前提条件!$D$62)))</f>
        <v/>
      </c>
      <c r="X28" s="18">
        <f>IF($A28&lt;5,0,IF($A28&lt;=12,前提条件!$D$63,IF($A28&lt;=24,前提条件!$D$64,前提条件!$D$65)))</f>
        <v/>
      </c>
      <c r="Y28" s="18">
        <f>IF($A28&lt;=12,0,IF($A28&lt;=18,前提条件!$D$66,IF($A28&lt;=24,前提条件!$D$67,前提条件!$D$68)))</f>
        <v/>
      </c>
      <c r="Z28" s="18">
        <f>ROUND(($N28+$Q28)*前提条件!$D$69,0)</f>
        <v/>
      </c>
      <c r="AA28" s="18">
        <f>IF($A28=1,前提条件!$D$70,0)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IF($A29&lt;=3,前提条件!$D$21,IF($A29&lt;=6,前提条件!$D$22,IF($A29&lt;=12,前提条件!$D$23,IF($A29&lt;=24,前提条件!$D$24,前提条件!$D$25))))</f>
        <v/>
      </c>
      <c r="D29" s="16">
        <f>$D28+$C29</f>
        <v/>
      </c>
      <c r="E29" s="16">
        <f>ROUND($C29*前提条件!$D$27,0)</f>
        <v/>
      </c>
      <c r="F29" s="16">
        <f>IF($X29=0,0,ROUND($X29/前提条件!$D$28,0))</f>
        <v/>
      </c>
      <c r="G29" s="16">
        <f>$E29+$F29</f>
        <v/>
      </c>
      <c r="H29" s="16">
        <f>ROUND($I28*前提条件!$D$29,0)</f>
        <v/>
      </c>
      <c r="I29" s="16">
        <f>$I28+$G29-$H29</f>
        <v/>
      </c>
      <c r="J29" s="16">
        <f>IF($A29&lt;前提条件!$D$37,0,ROUND($G29*前提条件!$D$33+$I28*前提条件!$D$34,0))</f>
        <v/>
      </c>
      <c r="K29" s="16">
        <f>IF(OR($A29=5,$A29=11,$A29=15,$A29=22,$A29=30),ROUND($I28*前提条件!$D$35,0),0)</f>
        <v/>
      </c>
      <c r="L29" s="16">
        <f>$J29+$K29</f>
        <v/>
      </c>
      <c r="M29" s="16">
        <f>IF($A29&lt;=12,前提条件!$D$31,前提条件!$D$32)*前提条件!$D$19</f>
        <v/>
      </c>
      <c r="N29" s="16">
        <f>ROUND($L29*$M29*(1-前提条件!$D$36),0)</f>
        <v/>
      </c>
      <c r="O29" s="16">
        <f>ROUND($D29*前提条件!$D$39,0)</f>
        <v/>
      </c>
      <c r="P29" s="16">
        <f>ROUND(IF($A29&lt;10,0,IF($A29&lt;=12,前提条件!$D$42,IF($A29&lt;=18,前提条件!$D$43,IF($A29&lt;=24,前提条件!$D$44,前提条件!$D$45))))*前提条件!$D$41,0)</f>
        <v/>
      </c>
      <c r="Q29" s="16">
        <f>IF($A29&lt;15,0,ROUND($G29*前提条件!$D$48*前提条件!$D$47*前提条件!$D$19,0))</f>
        <v/>
      </c>
      <c r="R29" s="16">
        <f>IF($A29&lt;20,0,IF($A29&lt;=24,前提条件!$D$51,前提条件!$D$52)*前提条件!$D$50)</f>
        <v/>
      </c>
      <c r="S29" s="16">
        <f>SUM($N29:$R29)</f>
        <v/>
      </c>
      <c r="T29" s="16">
        <f>IF($A29&lt;=6,前提条件!$D$54,IF($A29&lt;=18,前提条件!$D$55,前提条件!$D$56))</f>
        <v/>
      </c>
      <c r="U29" s="16">
        <f>IF($A29&lt;=12,前提条件!$D$57,前提条件!$D$58)</f>
        <v/>
      </c>
      <c r="V29" s="16">
        <f>前提条件!$D$59</f>
        <v/>
      </c>
      <c r="W29" s="16">
        <f>IF($A29&lt;=6,0,IF($A29&lt;=12,前提条件!$D$60,IF($A29&lt;=24,前提条件!$D$61,前提条件!$D$62)))</f>
        <v/>
      </c>
      <c r="X29" s="16">
        <f>IF($A29&lt;5,0,IF($A29&lt;=12,前提条件!$D$63,IF($A29&lt;=24,前提条件!$D$64,前提条件!$D$65)))</f>
        <v/>
      </c>
      <c r="Y29" s="16">
        <f>IF($A29&lt;=12,0,IF($A29&lt;=18,前提条件!$D$66,IF($A29&lt;=24,前提条件!$D$67,前提条件!$D$68)))</f>
        <v/>
      </c>
      <c r="Z29" s="16">
        <f>ROUND(($N29+$Q29)*前提条件!$D$69,0)</f>
        <v/>
      </c>
      <c r="AA29" s="16">
        <f>IF($A29=1,前提条件!$D$70,0)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IF($A30&lt;=3,前提条件!$D$21,IF($A30&lt;=6,前提条件!$D$22,IF($A30&lt;=12,前提条件!$D$23,IF($A30&lt;=24,前提条件!$D$24,前提条件!$D$25))))</f>
        <v/>
      </c>
      <c r="D30" s="16">
        <f>$D29+$C30</f>
        <v/>
      </c>
      <c r="E30" s="16">
        <f>ROUND($C30*前提条件!$D$27,0)</f>
        <v/>
      </c>
      <c r="F30" s="16">
        <f>IF($X30=0,0,ROUND($X30/前提条件!$D$28,0))</f>
        <v/>
      </c>
      <c r="G30" s="16">
        <f>$E30+$F30</f>
        <v/>
      </c>
      <c r="H30" s="16">
        <f>ROUND($I29*前提条件!$D$29,0)</f>
        <v/>
      </c>
      <c r="I30" s="16">
        <f>$I29+$G30-$H30</f>
        <v/>
      </c>
      <c r="J30" s="16">
        <f>IF($A30&lt;前提条件!$D$37,0,ROUND($G30*前提条件!$D$33+$I29*前提条件!$D$34,0))</f>
        <v/>
      </c>
      <c r="K30" s="16">
        <f>IF(OR($A30=5,$A30=11,$A30=15,$A30=22,$A30=30),ROUND($I29*前提条件!$D$35,0),0)</f>
        <v/>
      </c>
      <c r="L30" s="16">
        <f>$J30+$K30</f>
        <v/>
      </c>
      <c r="M30" s="16">
        <f>IF($A30&lt;=12,前提条件!$D$31,前提条件!$D$32)*前提条件!$D$19</f>
        <v/>
      </c>
      <c r="N30" s="16">
        <f>ROUND($L30*$M30*(1-前提条件!$D$36),0)</f>
        <v/>
      </c>
      <c r="O30" s="16">
        <f>ROUND($D30*前提条件!$D$39,0)</f>
        <v/>
      </c>
      <c r="P30" s="16">
        <f>ROUND(IF($A30&lt;10,0,IF($A30&lt;=12,前提条件!$D$42,IF($A30&lt;=18,前提条件!$D$43,IF($A30&lt;=24,前提条件!$D$44,前提条件!$D$45))))*前提条件!$D$41,0)</f>
        <v/>
      </c>
      <c r="Q30" s="16">
        <f>IF($A30&lt;15,0,ROUND($G30*前提条件!$D$48*前提条件!$D$47*前提条件!$D$19,0))</f>
        <v/>
      </c>
      <c r="R30" s="16">
        <f>IF($A30&lt;20,0,IF($A30&lt;=24,前提条件!$D$51,前提条件!$D$52)*前提条件!$D$50)</f>
        <v/>
      </c>
      <c r="S30" s="16">
        <f>SUM($N30:$R30)</f>
        <v/>
      </c>
      <c r="T30" s="16">
        <f>IF($A30&lt;=6,前提条件!$D$54,IF($A30&lt;=18,前提条件!$D$55,前提条件!$D$56))</f>
        <v/>
      </c>
      <c r="U30" s="16">
        <f>IF($A30&lt;=12,前提条件!$D$57,前提条件!$D$58)</f>
        <v/>
      </c>
      <c r="V30" s="16">
        <f>前提条件!$D$59</f>
        <v/>
      </c>
      <c r="W30" s="16">
        <f>IF($A30&lt;=6,0,IF($A30&lt;=12,前提条件!$D$60,IF($A30&lt;=24,前提条件!$D$61,前提条件!$D$62)))</f>
        <v/>
      </c>
      <c r="X30" s="16">
        <f>IF($A30&lt;5,0,IF($A30&lt;=12,前提条件!$D$63,IF($A30&lt;=24,前提条件!$D$64,前提条件!$D$65)))</f>
        <v/>
      </c>
      <c r="Y30" s="16">
        <f>IF($A30&lt;=12,0,IF($A30&lt;=18,前提条件!$D$66,IF($A30&lt;=24,前提条件!$D$67,前提条件!$D$68)))</f>
        <v/>
      </c>
      <c r="Z30" s="16">
        <f>ROUND(($N30+$Q30)*前提条件!$D$69,0)</f>
        <v/>
      </c>
      <c r="AA30" s="16">
        <f>IF($A30=1,前提条件!$D$70,0)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IF($A31&lt;=3,前提条件!$D$21,IF($A31&lt;=6,前提条件!$D$22,IF($A31&lt;=12,前提条件!$D$23,IF($A31&lt;=24,前提条件!$D$24,前提条件!$D$25))))</f>
        <v/>
      </c>
      <c r="D31" s="16">
        <f>$D30+$C31</f>
        <v/>
      </c>
      <c r="E31" s="16">
        <f>ROUND($C31*前提条件!$D$27,0)</f>
        <v/>
      </c>
      <c r="F31" s="16">
        <f>IF($X31=0,0,ROUND($X31/前提条件!$D$28,0))</f>
        <v/>
      </c>
      <c r="G31" s="16">
        <f>$E31+$F31</f>
        <v/>
      </c>
      <c r="H31" s="16">
        <f>ROUND($I30*前提条件!$D$29,0)</f>
        <v/>
      </c>
      <c r="I31" s="16">
        <f>$I30+$G31-$H31</f>
        <v/>
      </c>
      <c r="J31" s="16">
        <f>IF($A31&lt;前提条件!$D$37,0,ROUND($G31*前提条件!$D$33+$I30*前提条件!$D$34,0))</f>
        <v/>
      </c>
      <c r="K31" s="16">
        <f>IF(OR($A31=5,$A31=11,$A31=15,$A31=22,$A31=30),ROUND($I30*前提条件!$D$35,0),0)</f>
        <v/>
      </c>
      <c r="L31" s="16">
        <f>$J31+$K31</f>
        <v/>
      </c>
      <c r="M31" s="16">
        <f>IF($A31&lt;=12,前提条件!$D$31,前提条件!$D$32)*前提条件!$D$19</f>
        <v/>
      </c>
      <c r="N31" s="16">
        <f>ROUND($L31*$M31*(1-前提条件!$D$36),0)</f>
        <v/>
      </c>
      <c r="O31" s="16">
        <f>ROUND($D31*前提条件!$D$39,0)</f>
        <v/>
      </c>
      <c r="P31" s="16">
        <f>ROUND(IF($A31&lt;10,0,IF($A31&lt;=12,前提条件!$D$42,IF($A31&lt;=18,前提条件!$D$43,IF($A31&lt;=24,前提条件!$D$44,前提条件!$D$45))))*前提条件!$D$41,0)</f>
        <v/>
      </c>
      <c r="Q31" s="16">
        <f>IF($A31&lt;15,0,ROUND($G31*前提条件!$D$48*前提条件!$D$47*前提条件!$D$19,0))</f>
        <v/>
      </c>
      <c r="R31" s="16">
        <f>IF($A31&lt;20,0,IF($A31&lt;=24,前提条件!$D$51,前提条件!$D$52)*前提条件!$D$50)</f>
        <v/>
      </c>
      <c r="S31" s="16">
        <f>SUM($N31:$R31)</f>
        <v/>
      </c>
      <c r="T31" s="16">
        <f>IF($A31&lt;=6,前提条件!$D$54,IF($A31&lt;=18,前提条件!$D$55,前提条件!$D$56))</f>
        <v/>
      </c>
      <c r="U31" s="16">
        <f>IF($A31&lt;=12,前提条件!$D$57,前提条件!$D$58)</f>
        <v/>
      </c>
      <c r="V31" s="16">
        <f>前提条件!$D$59</f>
        <v/>
      </c>
      <c r="W31" s="16">
        <f>IF($A31&lt;=6,0,IF($A31&lt;=12,前提条件!$D$60,IF($A31&lt;=24,前提条件!$D$61,前提条件!$D$62)))</f>
        <v/>
      </c>
      <c r="X31" s="16">
        <f>IF($A31&lt;5,0,IF($A31&lt;=12,前提条件!$D$63,IF($A31&lt;=24,前提条件!$D$64,前提条件!$D$65)))</f>
        <v/>
      </c>
      <c r="Y31" s="16">
        <f>IF($A31&lt;=12,0,IF($A31&lt;=18,前提条件!$D$66,IF($A31&lt;=24,前提条件!$D$67,前提条件!$D$68)))</f>
        <v/>
      </c>
      <c r="Z31" s="16">
        <f>ROUND(($N31+$Q31)*前提条件!$D$69,0)</f>
        <v/>
      </c>
      <c r="AA31" s="16">
        <f>IF($A31=1,前提条件!$D$70,0)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IF($A32&lt;=3,前提条件!$D$21,IF($A32&lt;=6,前提条件!$D$22,IF($A32&lt;=12,前提条件!$D$23,IF($A32&lt;=24,前提条件!$D$24,前提条件!$D$25))))</f>
        <v/>
      </c>
      <c r="D32" s="16">
        <f>$D31+$C32</f>
        <v/>
      </c>
      <c r="E32" s="16">
        <f>ROUND($C32*前提条件!$D$27,0)</f>
        <v/>
      </c>
      <c r="F32" s="16">
        <f>IF($X32=0,0,ROUND($X32/前提条件!$D$28,0))</f>
        <v/>
      </c>
      <c r="G32" s="16">
        <f>$E32+$F32</f>
        <v/>
      </c>
      <c r="H32" s="16">
        <f>ROUND($I31*前提条件!$D$29,0)</f>
        <v/>
      </c>
      <c r="I32" s="16">
        <f>$I31+$G32-$H32</f>
        <v/>
      </c>
      <c r="J32" s="16">
        <f>IF($A32&lt;前提条件!$D$37,0,ROUND($G32*前提条件!$D$33+$I31*前提条件!$D$34,0))</f>
        <v/>
      </c>
      <c r="K32" s="16">
        <f>IF(OR($A32=5,$A32=11,$A32=15,$A32=22,$A32=30),ROUND($I31*前提条件!$D$35,0),0)</f>
        <v/>
      </c>
      <c r="L32" s="16">
        <f>$J32+$K32</f>
        <v/>
      </c>
      <c r="M32" s="16">
        <f>IF($A32&lt;=12,前提条件!$D$31,前提条件!$D$32)*前提条件!$D$19</f>
        <v/>
      </c>
      <c r="N32" s="16">
        <f>ROUND($L32*$M32*(1-前提条件!$D$36),0)</f>
        <v/>
      </c>
      <c r="O32" s="16">
        <f>ROUND($D32*前提条件!$D$39,0)</f>
        <v/>
      </c>
      <c r="P32" s="16">
        <f>ROUND(IF($A32&lt;10,0,IF($A32&lt;=12,前提条件!$D$42,IF($A32&lt;=18,前提条件!$D$43,IF($A32&lt;=24,前提条件!$D$44,前提条件!$D$45))))*前提条件!$D$41,0)</f>
        <v/>
      </c>
      <c r="Q32" s="16">
        <f>IF($A32&lt;15,0,ROUND($G32*前提条件!$D$48*前提条件!$D$47*前提条件!$D$19,0))</f>
        <v/>
      </c>
      <c r="R32" s="16">
        <f>IF($A32&lt;20,0,IF($A32&lt;=24,前提条件!$D$51,前提条件!$D$52)*前提条件!$D$50)</f>
        <v/>
      </c>
      <c r="S32" s="16">
        <f>SUM($N32:$R32)</f>
        <v/>
      </c>
      <c r="T32" s="16">
        <f>IF($A32&lt;=6,前提条件!$D$54,IF($A32&lt;=18,前提条件!$D$55,前提条件!$D$56))</f>
        <v/>
      </c>
      <c r="U32" s="16">
        <f>IF($A32&lt;=12,前提条件!$D$57,前提条件!$D$58)</f>
        <v/>
      </c>
      <c r="V32" s="16">
        <f>前提条件!$D$59</f>
        <v/>
      </c>
      <c r="W32" s="16">
        <f>IF($A32&lt;=6,0,IF($A32&lt;=12,前提条件!$D$60,IF($A32&lt;=24,前提条件!$D$61,前提条件!$D$62)))</f>
        <v/>
      </c>
      <c r="X32" s="16">
        <f>IF($A32&lt;5,0,IF($A32&lt;=12,前提条件!$D$63,IF($A32&lt;=24,前提条件!$D$64,前提条件!$D$65)))</f>
        <v/>
      </c>
      <c r="Y32" s="16">
        <f>IF($A32&lt;=12,0,IF($A32&lt;=18,前提条件!$D$66,IF($A32&lt;=24,前提条件!$D$67,前提条件!$D$68)))</f>
        <v/>
      </c>
      <c r="Z32" s="16">
        <f>ROUND(($N32+$Q32)*前提条件!$D$69,0)</f>
        <v/>
      </c>
      <c r="AA32" s="16">
        <f>IF($A32=1,前提条件!$D$70,0)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IF($A33&lt;=3,前提条件!$D$21,IF($A33&lt;=6,前提条件!$D$22,IF($A33&lt;=12,前提条件!$D$23,IF($A33&lt;=24,前提条件!$D$24,前提条件!$D$25))))</f>
        <v/>
      </c>
      <c r="D33" s="16">
        <f>$D32+$C33</f>
        <v/>
      </c>
      <c r="E33" s="16">
        <f>ROUND($C33*前提条件!$D$27,0)</f>
        <v/>
      </c>
      <c r="F33" s="16">
        <f>IF($X33=0,0,ROUND($X33/前提条件!$D$28,0))</f>
        <v/>
      </c>
      <c r="G33" s="16">
        <f>$E33+$F33</f>
        <v/>
      </c>
      <c r="H33" s="16">
        <f>ROUND($I32*前提条件!$D$29,0)</f>
        <v/>
      </c>
      <c r="I33" s="16">
        <f>$I32+$G33-$H33</f>
        <v/>
      </c>
      <c r="J33" s="16">
        <f>IF($A33&lt;前提条件!$D$37,0,ROUND($G33*前提条件!$D$33+$I32*前提条件!$D$34,0))</f>
        <v/>
      </c>
      <c r="K33" s="16">
        <f>IF(OR($A33=5,$A33=11,$A33=15,$A33=22,$A33=30),ROUND($I32*前提条件!$D$35,0),0)</f>
        <v/>
      </c>
      <c r="L33" s="16">
        <f>$J33+$K33</f>
        <v/>
      </c>
      <c r="M33" s="16">
        <f>IF($A33&lt;=12,前提条件!$D$31,前提条件!$D$32)*前提条件!$D$19</f>
        <v/>
      </c>
      <c r="N33" s="16">
        <f>ROUND($L33*$M33*(1-前提条件!$D$36),0)</f>
        <v/>
      </c>
      <c r="O33" s="16">
        <f>ROUND($D33*前提条件!$D$39,0)</f>
        <v/>
      </c>
      <c r="P33" s="16">
        <f>ROUND(IF($A33&lt;10,0,IF($A33&lt;=12,前提条件!$D$42,IF($A33&lt;=18,前提条件!$D$43,IF($A33&lt;=24,前提条件!$D$44,前提条件!$D$45))))*前提条件!$D$41,0)</f>
        <v/>
      </c>
      <c r="Q33" s="16">
        <f>IF($A33&lt;15,0,ROUND($G33*前提条件!$D$48*前提条件!$D$47*前提条件!$D$19,0))</f>
        <v/>
      </c>
      <c r="R33" s="16">
        <f>IF($A33&lt;20,0,IF($A33&lt;=24,前提条件!$D$51,前提条件!$D$52)*前提条件!$D$50)</f>
        <v/>
      </c>
      <c r="S33" s="16">
        <f>SUM($N33:$R33)</f>
        <v/>
      </c>
      <c r="T33" s="16">
        <f>IF($A33&lt;=6,前提条件!$D$54,IF($A33&lt;=18,前提条件!$D$55,前提条件!$D$56))</f>
        <v/>
      </c>
      <c r="U33" s="16">
        <f>IF($A33&lt;=12,前提条件!$D$57,前提条件!$D$58)</f>
        <v/>
      </c>
      <c r="V33" s="16">
        <f>前提条件!$D$59</f>
        <v/>
      </c>
      <c r="W33" s="16">
        <f>IF($A33&lt;=6,0,IF($A33&lt;=12,前提条件!$D$60,IF($A33&lt;=24,前提条件!$D$61,前提条件!$D$62)))</f>
        <v/>
      </c>
      <c r="X33" s="16">
        <f>IF($A33&lt;5,0,IF($A33&lt;=12,前提条件!$D$63,IF($A33&lt;=24,前提条件!$D$64,前提条件!$D$65)))</f>
        <v/>
      </c>
      <c r="Y33" s="16">
        <f>IF($A33&lt;=12,0,IF($A33&lt;=18,前提条件!$D$66,IF($A33&lt;=24,前提条件!$D$67,前提条件!$D$68)))</f>
        <v/>
      </c>
      <c r="Z33" s="16">
        <f>ROUND(($N33+$Q33)*前提条件!$D$69,0)</f>
        <v/>
      </c>
      <c r="AA33" s="16">
        <f>IF($A33=1,前提条件!$D$70,0)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IF($A34&lt;=3,前提条件!$D$21,IF($A34&lt;=6,前提条件!$D$22,IF($A34&lt;=12,前提条件!$D$23,IF($A34&lt;=24,前提条件!$D$24,前提条件!$D$25))))</f>
        <v/>
      </c>
      <c r="D34" s="16">
        <f>$D33+$C34</f>
        <v/>
      </c>
      <c r="E34" s="16">
        <f>ROUND($C34*前提条件!$D$27,0)</f>
        <v/>
      </c>
      <c r="F34" s="16">
        <f>IF($X34=0,0,ROUND($X34/前提条件!$D$28,0))</f>
        <v/>
      </c>
      <c r="G34" s="16">
        <f>$E34+$F34</f>
        <v/>
      </c>
      <c r="H34" s="16">
        <f>ROUND($I33*前提条件!$D$29,0)</f>
        <v/>
      </c>
      <c r="I34" s="16">
        <f>$I33+$G34-$H34</f>
        <v/>
      </c>
      <c r="J34" s="16">
        <f>IF($A34&lt;前提条件!$D$37,0,ROUND($G34*前提条件!$D$33+$I33*前提条件!$D$34,0))</f>
        <v/>
      </c>
      <c r="K34" s="16">
        <f>IF(OR($A34=5,$A34=11,$A34=15,$A34=22,$A34=30),ROUND($I33*前提条件!$D$35,0),0)</f>
        <v/>
      </c>
      <c r="L34" s="16">
        <f>$J34+$K34</f>
        <v/>
      </c>
      <c r="M34" s="16">
        <f>IF($A34&lt;=12,前提条件!$D$31,前提条件!$D$32)*前提条件!$D$19</f>
        <v/>
      </c>
      <c r="N34" s="16">
        <f>ROUND($L34*$M34*(1-前提条件!$D$36),0)</f>
        <v/>
      </c>
      <c r="O34" s="16">
        <f>ROUND($D34*前提条件!$D$39,0)</f>
        <v/>
      </c>
      <c r="P34" s="16">
        <f>ROUND(IF($A34&lt;10,0,IF($A34&lt;=12,前提条件!$D$42,IF($A34&lt;=18,前提条件!$D$43,IF($A34&lt;=24,前提条件!$D$44,前提条件!$D$45))))*前提条件!$D$41,0)</f>
        <v/>
      </c>
      <c r="Q34" s="16">
        <f>IF($A34&lt;15,0,ROUND($G34*前提条件!$D$48*前提条件!$D$47*前提条件!$D$19,0))</f>
        <v/>
      </c>
      <c r="R34" s="16">
        <f>IF($A34&lt;20,0,IF($A34&lt;=24,前提条件!$D$51,前提条件!$D$52)*前提条件!$D$50)</f>
        <v/>
      </c>
      <c r="S34" s="16">
        <f>SUM($N34:$R34)</f>
        <v/>
      </c>
      <c r="T34" s="16">
        <f>IF($A34&lt;=6,前提条件!$D$54,IF($A34&lt;=18,前提条件!$D$55,前提条件!$D$56))</f>
        <v/>
      </c>
      <c r="U34" s="16">
        <f>IF($A34&lt;=12,前提条件!$D$57,前提条件!$D$58)</f>
        <v/>
      </c>
      <c r="V34" s="16">
        <f>前提条件!$D$59</f>
        <v/>
      </c>
      <c r="W34" s="16">
        <f>IF($A34&lt;=6,0,IF($A34&lt;=12,前提条件!$D$60,IF($A34&lt;=24,前提条件!$D$61,前提条件!$D$62)))</f>
        <v/>
      </c>
      <c r="X34" s="16">
        <f>IF($A34&lt;5,0,IF($A34&lt;=12,前提条件!$D$63,IF($A34&lt;=24,前提条件!$D$64,前提条件!$D$65)))</f>
        <v/>
      </c>
      <c r="Y34" s="16">
        <f>IF($A34&lt;=12,0,IF($A34&lt;=18,前提条件!$D$66,IF($A34&lt;=24,前提条件!$D$67,前提条件!$D$68)))</f>
        <v/>
      </c>
      <c r="Z34" s="16">
        <f>ROUND(($N34+$Q34)*前提条件!$D$69,0)</f>
        <v/>
      </c>
      <c r="AA34" s="16">
        <f>IF($A34=1,前提条件!$D$70,0)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IF($A35&lt;=3,前提条件!$D$21,IF($A35&lt;=6,前提条件!$D$22,IF($A35&lt;=12,前提条件!$D$23,IF($A35&lt;=24,前提条件!$D$24,前提条件!$D$25))))</f>
        <v/>
      </c>
      <c r="D35" s="16">
        <f>$D34+$C35</f>
        <v/>
      </c>
      <c r="E35" s="16">
        <f>ROUND($C35*前提条件!$D$27,0)</f>
        <v/>
      </c>
      <c r="F35" s="16">
        <f>IF($X35=0,0,ROUND($X35/前提条件!$D$28,0))</f>
        <v/>
      </c>
      <c r="G35" s="16">
        <f>$E35+$F35</f>
        <v/>
      </c>
      <c r="H35" s="16">
        <f>ROUND($I34*前提条件!$D$29,0)</f>
        <v/>
      </c>
      <c r="I35" s="16">
        <f>$I34+$G35-$H35</f>
        <v/>
      </c>
      <c r="J35" s="16">
        <f>IF($A35&lt;前提条件!$D$37,0,ROUND($G35*前提条件!$D$33+$I34*前提条件!$D$34,0))</f>
        <v/>
      </c>
      <c r="K35" s="16">
        <f>IF(OR($A35=5,$A35=11,$A35=15,$A35=22,$A35=30),ROUND($I34*前提条件!$D$35,0),0)</f>
        <v/>
      </c>
      <c r="L35" s="16">
        <f>$J35+$K35</f>
        <v/>
      </c>
      <c r="M35" s="16">
        <f>IF($A35&lt;=12,前提条件!$D$31,前提条件!$D$32)*前提条件!$D$19</f>
        <v/>
      </c>
      <c r="N35" s="16">
        <f>ROUND($L35*$M35*(1-前提条件!$D$36),0)</f>
        <v/>
      </c>
      <c r="O35" s="16">
        <f>ROUND($D35*前提条件!$D$39,0)</f>
        <v/>
      </c>
      <c r="P35" s="16">
        <f>ROUND(IF($A35&lt;10,0,IF($A35&lt;=12,前提条件!$D$42,IF($A35&lt;=18,前提条件!$D$43,IF($A35&lt;=24,前提条件!$D$44,前提条件!$D$45))))*前提条件!$D$41,0)</f>
        <v/>
      </c>
      <c r="Q35" s="16">
        <f>IF($A35&lt;15,0,ROUND($G35*前提条件!$D$48*前提条件!$D$47*前提条件!$D$19,0))</f>
        <v/>
      </c>
      <c r="R35" s="16">
        <f>IF($A35&lt;20,0,IF($A35&lt;=24,前提条件!$D$51,前提条件!$D$52)*前提条件!$D$50)</f>
        <v/>
      </c>
      <c r="S35" s="16">
        <f>SUM($N35:$R35)</f>
        <v/>
      </c>
      <c r="T35" s="16">
        <f>IF($A35&lt;=6,前提条件!$D$54,IF($A35&lt;=18,前提条件!$D$55,前提条件!$D$56))</f>
        <v/>
      </c>
      <c r="U35" s="16">
        <f>IF($A35&lt;=12,前提条件!$D$57,前提条件!$D$58)</f>
        <v/>
      </c>
      <c r="V35" s="16">
        <f>前提条件!$D$59</f>
        <v/>
      </c>
      <c r="W35" s="16">
        <f>IF($A35&lt;=6,0,IF($A35&lt;=12,前提条件!$D$60,IF($A35&lt;=24,前提条件!$D$61,前提条件!$D$62)))</f>
        <v/>
      </c>
      <c r="X35" s="16">
        <f>IF($A35&lt;5,0,IF($A35&lt;=12,前提条件!$D$63,IF($A35&lt;=24,前提条件!$D$64,前提条件!$D$65)))</f>
        <v/>
      </c>
      <c r="Y35" s="16">
        <f>IF($A35&lt;=12,0,IF($A35&lt;=18,前提条件!$D$66,IF($A35&lt;=24,前提条件!$D$67,前提条件!$D$68)))</f>
        <v/>
      </c>
      <c r="Z35" s="16">
        <f>ROUND(($N35+$Q35)*前提条件!$D$69,0)</f>
        <v/>
      </c>
      <c r="AA35" s="16">
        <f>IF($A35=1,前提条件!$D$70,0)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IF($A36&lt;=3,前提条件!$D$21,IF($A36&lt;=6,前提条件!$D$22,IF($A36&lt;=12,前提条件!$D$23,IF($A36&lt;=24,前提条件!$D$24,前提条件!$D$25))))</f>
        <v/>
      </c>
      <c r="D36" s="16">
        <f>$D35+$C36</f>
        <v/>
      </c>
      <c r="E36" s="16">
        <f>ROUND($C36*前提条件!$D$27,0)</f>
        <v/>
      </c>
      <c r="F36" s="16">
        <f>IF($X36=0,0,ROUND($X36/前提条件!$D$28,0))</f>
        <v/>
      </c>
      <c r="G36" s="16">
        <f>$E36+$F36</f>
        <v/>
      </c>
      <c r="H36" s="16">
        <f>ROUND($I35*前提条件!$D$29,0)</f>
        <v/>
      </c>
      <c r="I36" s="16">
        <f>$I35+$G36-$H36</f>
        <v/>
      </c>
      <c r="J36" s="16">
        <f>IF($A36&lt;前提条件!$D$37,0,ROUND($G36*前提条件!$D$33+$I35*前提条件!$D$34,0))</f>
        <v/>
      </c>
      <c r="K36" s="16">
        <f>IF(OR($A36=5,$A36=11,$A36=15,$A36=22,$A36=30),ROUND($I35*前提条件!$D$35,0),0)</f>
        <v/>
      </c>
      <c r="L36" s="16">
        <f>$J36+$K36</f>
        <v/>
      </c>
      <c r="M36" s="16">
        <f>IF($A36&lt;=12,前提条件!$D$31,前提条件!$D$32)*前提条件!$D$19</f>
        <v/>
      </c>
      <c r="N36" s="16">
        <f>ROUND($L36*$M36*(1-前提条件!$D$36),0)</f>
        <v/>
      </c>
      <c r="O36" s="16">
        <f>ROUND($D36*前提条件!$D$39,0)</f>
        <v/>
      </c>
      <c r="P36" s="16">
        <f>ROUND(IF($A36&lt;10,0,IF($A36&lt;=12,前提条件!$D$42,IF($A36&lt;=18,前提条件!$D$43,IF($A36&lt;=24,前提条件!$D$44,前提条件!$D$45))))*前提条件!$D$41,0)</f>
        <v/>
      </c>
      <c r="Q36" s="16">
        <f>IF($A36&lt;15,0,ROUND($G36*前提条件!$D$48*前提条件!$D$47*前提条件!$D$19,0))</f>
        <v/>
      </c>
      <c r="R36" s="16">
        <f>IF($A36&lt;20,0,IF($A36&lt;=24,前提条件!$D$51,前提条件!$D$52)*前提条件!$D$50)</f>
        <v/>
      </c>
      <c r="S36" s="16">
        <f>SUM($N36:$R36)</f>
        <v/>
      </c>
      <c r="T36" s="16">
        <f>IF($A36&lt;=6,前提条件!$D$54,IF($A36&lt;=18,前提条件!$D$55,前提条件!$D$56))</f>
        <v/>
      </c>
      <c r="U36" s="16">
        <f>IF($A36&lt;=12,前提条件!$D$57,前提条件!$D$58)</f>
        <v/>
      </c>
      <c r="V36" s="16">
        <f>前提条件!$D$59</f>
        <v/>
      </c>
      <c r="W36" s="16">
        <f>IF($A36&lt;=6,0,IF($A36&lt;=12,前提条件!$D$60,IF($A36&lt;=24,前提条件!$D$61,前提条件!$D$62)))</f>
        <v/>
      </c>
      <c r="X36" s="16">
        <f>IF($A36&lt;5,0,IF($A36&lt;=12,前提条件!$D$63,IF($A36&lt;=24,前提条件!$D$64,前提条件!$D$65)))</f>
        <v/>
      </c>
      <c r="Y36" s="16">
        <f>IF($A36&lt;=12,0,IF($A36&lt;=18,前提条件!$D$66,IF($A36&lt;=24,前提条件!$D$67,前提条件!$D$68)))</f>
        <v/>
      </c>
      <c r="Z36" s="16">
        <f>ROUND(($N36+$Q36)*前提条件!$D$69,0)</f>
        <v/>
      </c>
      <c r="AA36" s="16">
        <f>IF($A36=1,前提条件!$D$70,0)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IF($A37&lt;=3,前提条件!$D$21,IF($A37&lt;=6,前提条件!$D$22,IF($A37&lt;=12,前提条件!$D$23,IF($A37&lt;=24,前提条件!$D$24,前提条件!$D$25))))</f>
        <v/>
      </c>
      <c r="D37" s="16">
        <f>$D36+$C37</f>
        <v/>
      </c>
      <c r="E37" s="16">
        <f>ROUND($C37*前提条件!$D$27,0)</f>
        <v/>
      </c>
      <c r="F37" s="16">
        <f>IF($X37=0,0,ROUND($X37/前提条件!$D$28,0))</f>
        <v/>
      </c>
      <c r="G37" s="16">
        <f>$E37+$F37</f>
        <v/>
      </c>
      <c r="H37" s="16">
        <f>ROUND($I36*前提条件!$D$29,0)</f>
        <v/>
      </c>
      <c r="I37" s="16">
        <f>$I36+$G37-$H37</f>
        <v/>
      </c>
      <c r="J37" s="16">
        <f>IF($A37&lt;前提条件!$D$37,0,ROUND($G37*前提条件!$D$33+$I36*前提条件!$D$34,0))</f>
        <v/>
      </c>
      <c r="K37" s="16">
        <f>IF(OR($A37=5,$A37=11,$A37=15,$A37=22,$A37=30),ROUND($I36*前提条件!$D$35,0),0)</f>
        <v/>
      </c>
      <c r="L37" s="16">
        <f>$J37+$K37</f>
        <v/>
      </c>
      <c r="M37" s="16">
        <f>IF($A37&lt;=12,前提条件!$D$31,前提条件!$D$32)*前提条件!$D$19</f>
        <v/>
      </c>
      <c r="N37" s="16">
        <f>ROUND($L37*$M37*(1-前提条件!$D$36),0)</f>
        <v/>
      </c>
      <c r="O37" s="16">
        <f>ROUND($D37*前提条件!$D$39,0)</f>
        <v/>
      </c>
      <c r="P37" s="16">
        <f>ROUND(IF($A37&lt;10,0,IF($A37&lt;=12,前提条件!$D$42,IF($A37&lt;=18,前提条件!$D$43,IF($A37&lt;=24,前提条件!$D$44,前提条件!$D$45))))*前提条件!$D$41,0)</f>
        <v/>
      </c>
      <c r="Q37" s="16">
        <f>IF($A37&lt;15,0,ROUND($G37*前提条件!$D$48*前提条件!$D$47*前提条件!$D$19,0))</f>
        <v/>
      </c>
      <c r="R37" s="16">
        <f>IF($A37&lt;20,0,IF($A37&lt;=24,前提条件!$D$51,前提条件!$D$52)*前提条件!$D$50)</f>
        <v/>
      </c>
      <c r="S37" s="16">
        <f>SUM($N37:$R37)</f>
        <v/>
      </c>
      <c r="T37" s="16">
        <f>IF($A37&lt;=6,前提条件!$D$54,IF($A37&lt;=18,前提条件!$D$55,前提条件!$D$56))</f>
        <v/>
      </c>
      <c r="U37" s="16">
        <f>IF($A37&lt;=12,前提条件!$D$57,前提条件!$D$58)</f>
        <v/>
      </c>
      <c r="V37" s="16">
        <f>前提条件!$D$59</f>
        <v/>
      </c>
      <c r="W37" s="16">
        <f>IF($A37&lt;=6,0,IF($A37&lt;=12,前提条件!$D$60,IF($A37&lt;=24,前提条件!$D$61,前提条件!$D$62)))</f>
        <v/>
      </c>
      <c r="X37" s="16">
        <f>IF($A37&lt;5,0,IF($A37&lt;=12,前提条件!$D$63,IF($A37&lt;=24,前提条件!$D$64,前提条件!$D$65)))</f>
        <v/>
      </c>
      <c r="Y37" s="16">
        <f>IF($A37&lt;=12,0,IF($A37&lt;=18,前提条件!$D$66,IF($A37&lt;=24,前提条件!$D$67,前提条件!$D$68)))</f>
        <v/>
      </c>
      <c r="Z37" s="16">
        <f>ROUND(($N37+$Q37)*前提条件!$D$69,0)</f>
        <v/>
      </c>
      <c r="AA37" s="16">
        <f>IF($A37=1,前提条件!$D$70,0)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IF($A38&lt;=3,前提条件!$D$21,IF($A38&lt;=6,前提条件!$D$22,IF($A38&lt;=12,前提条件!$D$23,IF($A38&lt;=24,前提条件!$D$24,前提条件!$D$25))))</f>
        <v/>
      </c>
      <c r="D38" s="16">
        <f>$D37+$C38</f>
        <v/>
      </c>
      <c r="E38" s="16">
        <f>ROUND($C38*前提条件!$D$27,0)</f>
        <v/>
      </c>
      <c r="F38" s="16">
        <f>IF($X38=0,0,ROUND($X38/前提条件!$D$28,0))</f>
        <v/>
      </c>
      <c r="G38" s="16">
        <f>$E38+$F38</f>
        <v/>
      </c>
      <c r="H38" s="16">
        <f>ROUND($I37*前提条件!$D$29,0)</f>
        <v/>
      </c>
      <c r="I38" s="16">
        <f>$I37+$G38-$H38</f>
        <v/>
      </c>
      <c r="J38" s="16">
        <f>IF($A38&lt;前提条件!$D$37,0,ROUND($G38*前提条件!$D$33+$I37*前提条件!$D$34,0))</f>
        <v/>
      </c>
      <c r="K38" s="16">
        <f>IF(OR($A38=5,$A38=11,$A38=15,$A38=22,$A38=30),ROUND($I37*前提条件!$D$35,0),0)</f>
        <v/>
      </c>
      <c r="L38" s="16">
        <f>$J38+$K38</f>
        <v/>
      </c>
      <c r="M38" s="16">
        <f>IF($A38&lt;=12,前提条件!$D$31,前提条件!$D$32)*前提条件!$D$19</f>
        <v/>
      </c>
      <c r="N38" s="16">
        <f>ROUND($L38*$M38*(1-前提条件!$D$36),0)</f>
        <v/>
      </c>
      <c r="O38" s="16">
        <f>ROUND($D38*前提条件!$D$39,0)</f>
        <v/>
      </c>
      <c r="P38" s="16">
        <f>ROUND(IF($A38&lt;10,0,IF($A38&lt;=12,前提条件!$D$42,IF($A38&lt;=18,前提条件!$D$43,IF($A38&lt;=24,前提条件!$D$44,前提条件!$D$45))))*前提条件!$D$41,0)</f>
        <v/>
      </c>
      <c r="Q38" s="16">
        <f>IF($A38&lt;15,0,ROUND($G38*前提条件!$D$48*前提条件!$D$47*前提条件!$D$19,0))</f>
        <v/>
      </c>
      <c r="R38" s="16">
        <f>IF($A38&lt;20,0,IF($A38&lt;=24,前提条件!$D$51,前提条件!$D$52)*前提条件!$D$50)</f>
        <v/>
      </c>
      <c r="S38" s="16">
        <f>SUM($N38:$R38)</f>
        <v/>
      </c>
      <c r="T38" s="16">
        <f>IF($A38&lt;=6,前提条件!$D$54,IF($A38&lt;=18,前提条件!$D$55,前提条件!$D$56))</f>
        <v/>
      </c>
      <c r="U38" s="16">
        <f>IF($A38&lt;=12,前提条件!$D$57,前提条件!$D$58)</f>
        <v/>
      </c>
      <c r="V38" s="16">
        <f>前提条件!$D$59</f>
        <v/>
      </c>
      <c r="W38" s="16">
        <f>IF($A38&lt;=6,0,IF($A38&lt;=12,前提条件!$D$60,IF($A38&lt;=24,前提条件!$D$61,前提条件!$D$62)))</f>
        <v/>
      </c>
      <c r="X38" s="16">
        <f>IF($A38&lt;5,0,IF($A38&lt;=12,前提条件!$D$63,IF($A38&lt;=24,前提条件!$D$64,前提条件!$D$65)))</f>
        <v/>
      </c>
      <c r="Y38" s="16">
        <f>IF($A38&lt;=12,0,IF($A38&lt;=18,前提条件!$D$66,IF($A38&lt;=24,前提条件!$D$67,前提条件!$D$68)))</f>
        <v/>
      </c>
      <c r="Z38" s="16">
        <f>ROUND(($N38+$Q38)*前提条件!$D$69,0)</f>
        <v/>
      </c>
      <c r="AA38" s="16">
        <f>IF($A38=1,前提条件!$D$70,0)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IF($A39&lt;=3,前提条件!$D$21,IF($A39&lt;=6,前提条件!$D$22,IF($A39&lt;=12,前提条件!$D$23,IF($A39&lt;=24,前提条件!$D$24,前提条件!$D$25))))</f>
        <v/>
      </c>
      <c r="D39" s="16">
        <f>$D38+$C39</f>
        <v/>
      </c>
      <c r="E39" s="16">
        <f>ROUND($C39*前提条件!$D$27,0)</f>
        <v/>
      </c>
      <c r="F39" s="16">
        <f>IF($X39=0,0,ROUND($X39/前提条件!$D$28,0))</f>
        <v/>
      </c>
      <c r="G39" s="16">
        <f>$E39+$F39</f>
        <v/>
      </c>
      <c r="H39" s="16">
        <f>ROUND($I38*前提条件!$D$29,0)</f>
        <v/>
      </c>
      <c r="I39" s="16">
        <f>$I38+$G39-$H39</f>
        <v/>
      </c>
      <c r="J39" s="16">
        <f>IF($A39&lt;前提条件!$D$37,0,ROUND($G39*前提条件!$D$33+$I38*前提条件!$D$34,0))</f>
        <v/>
      </c>
      <c r="K39" s="16">
        <f>IF(OR($A39=5,$A39=11,$A39=15,$A39=22,$A39=30),ROUND($I38*前提条件!$D$35,0),0)</f>
        <v/>
      </c>
      <c r="L39" s="16">
        <f>$J39+$K39</f>
        <v/>
      </c>
      <c r="M39" s="16">
        <f>IF($A39&lt;=12,前提条件!$D$31,前提条件!$D$32)*前提条件!$D$19</f>
        <v/>
      </c>
      <c r="N39" s="16">
        <f>ROUND($L39*$M39*(1-前提条件!$D$36),0)</f>
        <v/>
      </c>
      <c r="O39" s="16">
        <f>ROUND($D39*前提条件!$D$39,0)</f>
        <v/>
      </c>
      <c r="P39" s="16">
        <f>ROUND(IF($A39&lt;10,0,IF($A39&lt;=12,前提条件!$D$42,IF($A39&lt;=18,前提条件!$D$43,IF($A39&lt;=24,前提条件!$D$44,前提条件!$D$45))))*前提条件!$D$41,0)</f>
        <v/>
      </c>
      <c r="Q39" s="16">
        <f>IF($A39&lt;15,0,ROUND($G39*前提条件!$D$48*前提条件!$D$47*前提条件!$D$19,0))</f>
        <v/>
      </c>
      <c r="R39" s="16">
        <f>IF($A39&lt;20,0,IF($A39&lt;=24,前提条件!$D$51,前提条件!$D$52)*前提条件!$D$50)</f>
        <v/>
      </c>
      <c r="S39" s="16">
        <f>SUM($N39:$R39)</f>
        <v/>
      </c>
      <c r="T39" s="16">
        <f>IF($A39&lt;=6,前提条件!$D$54,IF($A39&lt;=18,前提条件!$D$55,前提条件!$D$56))</f>
        <v/>
      </c>
      <c r="U39" s="16">
        <f>IF($A39&lt;=12,前提条件!$D$57,前提条件!$D$58)</f>
        <v/>
      </c>
      <c r="V39" s="16">
        <f>前提条件!$D$59</f>
        <v/>
      </c>
      <c r="W39" s="16">
        <f>IF($A39&lt;=6,0,IF($A39&lt;=12,前提条件!$D$60,IF($A39&lt;=24,前提条件!$D$61,前提条件!$D$62)))</f>
        <v/>
      </c>
      <c r="X39" s="16">
        <f>IF($A39&lt;5,0,IF($A39&lt;=12,前提条件!$D$63,IF($A39&lt;=24,前提条件!$D$64,前提条件!$D$65)))</f>
        <v/>
      </c>
      <c r="Y39" s="16">
        <f>IF($A39&lt;=12,0,IF($A39&lt;=18,前提条件!$D$66,IF($A39&lt;=24,前提条件!$D$67,前提条件!$D$68)))</f>
        <v/>
      </c>
      <c r="Z39" s="16">
        <f>ROUND(($N39+$Q39)*前提条件!$D$69,0)</f>
        <v/>
      </c>
      <c r="AA39" s="16">
        <f>IF($A39=1,前提条件!$D$70,0)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IF($A40&lt;=3,前提条件!$D$21,IF($A40&lt;=6,前提条件!$D$22,IF($A40&lt;=12,前提条件!$D$23,IF($A40&lt;=24,前提条件!$D$24,前提条件!$D$25))))</f>
        <v/>
      </c>
      <c r="D40" s="18">
        <f>$D39+$C40</f>
        <v/>
      </c>
      <c r="E40" s="18">
        <f>ROUND($C40*前提条件!$D$27,0)</f>
        <v/>
      </c>
      <c r="F40" s="18">
        <f>IF($X40=0,0,ROUND($X40/前提条件!$D$28,0))</f>
        <v/>
      </c>
      <c r="G40" s="18">
        <f>$E40+$F40</f>
        <v/>
      </c>
      <c r="H40" s="18">
        <f>ROUND($I39*前提条件!$D$29,0)</f>
        <v/>
      </c>
      <c r="I40" s="18">
        <f>$I39+$G40-$H40</f>
        <v/>
      </c>
      <c r="J40" s="18">
        <f>IF($A40&lt;前提条件!$D$37,0,ROUND($G40*前提条件!$D$33+$I39*前提条件!$D$34,0))</f>
        <v/>
      </c>
      <c r="K40" s="18">
        <f>IF(OR($A40=5,$A40=11,$A40=15,$A40=22,$A40=30),ROUND($I39*前提条件!$D$35,0),0)</f>
        <v/>
      </c>
      <c r="L40" s="18">
        <f>$J40+$K40</f>
        <v/>
      </c>
      <c r="M40" s="18">
        <f>IF($A40&lt;=12,前提条件!$D$31,前提条件!$D$32)*前提条件!$D$19</f>
        <v/>
      </c>
      <c r="N40" s="18">
        <f>ROUND($L40*$M40*(1-前提条件!$D$36),0)</f>
        <v/>
      </c>
      <c r="O40" s="18">
        <f>ROUND($D40*前提条件!$D$39,0)</f>
        <v/>
      </c>
      <c r="P40" s="18">
        <f>ROUND(IF($A40&lt;10,0,IF($A40&lt;=12,前提条件!$D$42,IF($A40&lt;=18,前提条件!$D$43,IF($A40&lt;=24,前提条件!$D$44,前提条件!$D$45))))*前提条件!$D$41,0)</f>
        <v/>
      </c>
      <c r="Q40" s="18">
        <f>IF($A40&lt;15,0,ROUND($G40*前提条件!$D$48*前提条件!$D$47*前提条件!$D$19,0))</f>
        <v/>
      </c>
      <c r="R40" s="18">
        <f>IF($A40&lt;20,0,IF($A40&lt;=24,前提条件!$D$51,前提条件!$D$52)*前提条件!$D$50)</f>
        <v/>
      </c>
      <c r="S40" s="18">
        <f>SUM($N40:$R40)</f>
        <v/>
      </c>
      <c r="T40" s="18">
        <f>IF($A40&lt;=6,前提条件!$D$54,IF($A40&lt;=18,前提条件!$D$55,前提条件!$D$56))</f>
        <v/>
      </c>
      <c r="U40" s="18">
        <f>IF($A40&lt;=12,前提条件!$D$57,前提条件!$D$58)</f>
        <v/>
      </c>
      <c r="V40" s="18">
        <f>前提条件!$D$59</f>
        <v/>
      </c>
      <c r="W40" s="18">
        <f>IF($A40&lt;=6,0,IF($A40&lt;=12,前提条件!$D$60,IF($A40&lt;=24,前提条件!$D$61,前提条件!$D$62)))</f>
        <v/>
      </c>
      <c r="X40" s="18">
        <f>IF($A40&lt;5,0,IF($A40&lt;=12,前提条件!$D$63,IF($A40&lt;=24,前提条件!$D$64,前提条件!$D$65)))</f>
        <v/>
      </c>
      <c r="Y40" s="18">
        <f>IF($A40&lt;=12,0,IF($A40&lt;=18,前提条件!$D$66,IF($A40&lt;=24,前提条件!$D$67,前提条件!$D$68)))</f>
        <v/>
      </c>
      <c r="Z40" s="18">
        <f>ROUND(($N40+$Q40)*前提条件!$D$69,0)</f>
        <v/>
      </c>
      <c r="AA40" s="18">
        <f>IF($A40=1,前提条件!$D$70,0)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年次サマリ（3シナリオ比較）</t>
        </is>
      </c>
    </row>
    <row r="2">
      <c r="A2" s="2" t="inlineStr">
        <is>
          <t>月次シートからの集計。単位：円</t>
        </is>
      </c>
    </row>
    <row r="4" ht="30" customHeight="1">
      <c r="A4" s="20" t="inlineStr">
        <is>
          <t>指標</t>
        </is>
      </c>
      <c r="B4" s="15" t="inlineStr">
        <is>
          <t>保守／1年目</t>
        </is>
      </c>
      <c r="C4" s="15" t="inlineStr">
        <is>
          <t>保守／2年目</t>
        </is>
      </c>
      <c r="D4" s="15" t="inlineStr">
        <is>
          <t>保守／3年目</t>
        </is>
      </c>
      <c r="E4" s="15" t="inlineStr">
        <is>
          <t>標準／1年目</t>
        </is>
      </c>
      <c r="F4" s="15" t="inlineStr">
        <is>
          <t>標準／2年目</t>
        </is>
      </c>
      <c r="G4" s="15" t="inlineStr">
        <is>
          <t>標準／3年目</t>
        </is>
      </c>
      <c r="H4" s="15" t="inlineStr">
        <is>
          <t>強気／1年目</t>
        </is>
      </c>
      <c r="I4" s="15" t="inlineStr">
        <is>
          <t>強気／2年目</t>
        </is>
      </c>
      <c r="J4" s="15" t="inlineStr">
        <is>
          <t>強気／3年目</t>
        </is>
      </c>
    </row>
    <row r="5">
      <c r="A5" s="21" t="inlineStr">
        <is>
          <t>売上：レシピ商品</t>
        </is>
      </c>
      <c r="B5" s="22">
        <f>SUM('月次_保守'!$N5:$N16)</f>
        <v/>
      </c>
      <c r="C5" s="22">
        <f>SUM('月次_保守'!$N17:$N28)</f>
        <v/>
      </c>
      <c r="D5" s="22">
        <f>SUM('月次_保守'!$N29:$N40)</f>
        <v/>
      </c>
      <c r="E5" s="22">
        <f>SUM('月次_標準'!$N5:$N16)</f>
        <v/>
      </c>
      <c r="F5" s="22">
        <f>SUM('月次_標準'!$N17:$N28)</f>
        <v/>
      </c>
      <c r="G5" s="22">
        <f>SUM('月次_標準'!$N29:$N40)</f>
        <v/>
      </c>
      <c r="H5" s="22">
        <f>SUM('月次_強気'!$N5:$N16)</f>
        <v/>
      </c>
      <c r="I5" s="22">
        <f>SUM('月次_強気'!$N17:$N28)</f>
        <v/>
      </c>
      <c r="J5" s="22">
        <f>SUM('月次_強気'!$N29:$N40)</f>
        <v/>
      </c>
    </row>
    <row r="6">
      <c r="A6" s="21" t="inlineStr">
        <is>
          <t>売上：アフィリエイト</t>
        </is>
      </c>
      <c r="B6" s="22">
        <f>SUM('月次_保守'!$O5:$O16)</f>
        <v/>
      </c>
      <c r="C6" s="22">
        <f>SUM('月次_保守'!$O17:$O28)</f>
        <v/>
      </c>
      <c r="D6" s="22">
        <f>SUM('月次_保守'!$O29:$O40)</f>
        <v/>
      </c>
      <c r="E6" s="22">
        <f>SUM('月次_標準'!$O5:$O16)</f>
        <v/>
      </c>
      <c r="F6" s="22">
        <f>SUM('月次_標準'!$O17:$O28)</f>
        <v/>
      </c>
      <c r="G6" s="22">
        <f>SUM('月次_標準'!$O29:$O40)</f>
        <v/>
      </c>
      <c r="H6" s="22">
        <f>SUM('月次_強気'!$O5:$O16)</f>
        <v/>
      </c>
      <c r="I6" s="22">
        <f>SUM('月次_強気'!$O17:$O28)</f>
        <v/>
      </c>
      <c r="J6" s="22">
        <f>SUM('月次_強気'!$O29:$O40)</f>
        <v/>
      </c>
    </row>
    <row r="7">
      <c r="A7" s="21" t="inlineStr">
        <is>
          <t>売上：タイアップ</t>
        </is>
      </c>
      <c r="B7" s="22">
        <f>SUM('月次_保守'!$P5:$P16)</f>
        <v/>
      </c>
      <c r="C7" s="22">
        <f>SUM('月次_保守'!$P17:$P28)</f>
        <v/>
      </c>
      <c r="D7" s="22">
        <f>SUM('月次_保守'!$P29:$P40)</f>
        <v/>
      </c>
      <c r="E7" s="22">
        <f>SUM('月次_標準'!$P5:$P16)</f>
        <v/>
      </c>
      <c r="F7" s="22">
        <f>SUM('月次_標準'!$P17:$P28)</f>
        <v/>
      </c>
      <c r="G7" s="22">
        <f>SUM('月次_標準'!$P29:$P40)</f>
        <v/>
      </c>
      <c r="H7" s="22">
        <f>SUM('月次_強気'!$P5:$P16)</f>
        <v/>
      </c>
      <c r="I7" s="22">
        <f>SUM('月次_強気'!$P17:$P28)</f>
        <v/>
      </c>
      <c r="J7" s="22">
        <f>SUM('月次_強気'!$P29:$P40)</f>
        <v/>
      </c>
    </row>
    <row r="8">
      <c r="A8" s="21" t="inlineStr">
        <is>
          <t>売上：訪日商品</t>
        </is>
      </c>
      <c r="B8" s="22">
        <f>SUM('月次_保守'!$Q5:$Q16)</f>
        <v/>
      </c>
      <c r="C8" s="22">
        <f>SUM('月次_保守'!$Q17:$Q28)</f>
        <v/>
      </c>
      <c r="D8" s="22">
        <f>SUM('月次_保守'!$Q29:$Q40)</f>
        <v/>
      </c>
      <c r="E8" s="22">
        <f>SUM('月次_標準'!$Q5:$Q16)</f>
        <v/>
      </c>
      <c r="F8" s="22">
        <f>SUM('月次_標準'!$Q17:$Q28)</f>
        <v/>
      </c>
      <c r="G8" s="22">
        <f>SUM('月次_標準'!$Q29:$Q40)</f>
        <v/>
      </c>
      <c r="H8" s="22">
        <f>SUM('月次_強気'!$Q5:$Q16)</f>
        <v/>
      </c>
      <c r="I8" s="22">
        <f>SUM('月次_強気'!$Q17:$Q28)</f>
        <v/>
      </c>
      <c r="J8" s="22">
        <f>SUM('月次_強気'!$Q29:$Q40)</f>
        <v/>
      </c>
    </row>
    <row r="9">
      <c r="A9" s="21" t="inlineStr">
        <is>
          <t>売上：予約代行</t>
        </is>
      </c>
      <c r="B9" s="22">
        <f>SUM('月次_保守'!$R5:$R16)</f>
        <v/>
      </c>
      <c r="C9" s="22">
        <f>SUM('月次_保守'!$R17:$R28)</f>
        <v/>
      </c>
      <c r="D9" s="22">
        <f>SUM('月次_保守'!$R29:$R40)</f>
        <v/>
      </c>
      <c r="E9" s="22">
        <f>SUM('月次_標準'!$R5:$R16)</f>
        <v/>
      </c>
      <c r="F9" s="22">
        <f>SUM('月次_標準'!$R17:$R28)</f>
        <v/>
      </c>
      <c r="G9" s="22">
        <f>SUM('月次_標準'!$R29:$R40)</f>
        <v/>
      </c>
      <c r="H9" s="22">
        <f>SUM('月次_強気'!$R5:$R16)</f>
        <v/>
      </c>
      <c r="I9" s="22">
        <f>SUM('月次_強気'!$R17:$R28)</f>
        <v/>
      </c>
      <c r="J9" s="22">
        <f>SUM('月次_強気'!$R29:$R40)</f>
        <v/>
      </c>
    </row>
    <row r="10">
      <c r="A10" s="23" t="inlineStr">
        <is>
          <t>売上合計</t>
        </is>
      </c>
      <c r="B10" s="22">
        <f>SUM('月次_保守'!$S5:$S16)</f>
        <v/>
      </c>
      <c r="C10" s="22">
        <f>SUM('月次_保守'!$S17:$S28)</f>
        <v/>
      </c>
      <c r="D10" s="22">
        <f>SUM('月次_保守'!$S29:$S40)</f>
        <v/>
      </c>
      <c r="E10" s="22">
        <f>SUM('月次_標準'!$S5:$S16)</f>
        <v/>
      </c>
      <c r="F10" s="22">
        <f>SUM('月次_標準'!$S17:$S28)</f>
        <v/>
      </c>
      <c r="G10" s="22">
        <f>SUM('月次_標準'!$S29:$S40)</f>
        <v/>
      </c>
      <c r="H10" s="22">
        <f>SUM('月次_強気'!$S5:$S16)</f>
        <v/>
      </c>
      <c r="I10" s="22">
        <f>SUM('月次_強気'!$S17:$S28)</f>
        <v/>
      </c>
      <c r="J10" s="22">
        <f>SUM('月次_強気'!$S29:$S40)</f>
        <v/>
      </c>
    </row>
    <row r="11">
      <c r="A11" s="23" t="inlineStr">
        <is>
          <t>コスト合計</t>
        </is>
      </c>
      <c r="B11" s="22">
        <f>SUM('月次_保守'!$AB5:$AB16)</f>
        <v/>
      </c>
      <c r="C11" s="22">
        <f>SUM('月次_保守'!$AB17:$AB28)</f>
        <v/>
      </c>
      <c r="D11" s="22">
        <f>SUM('月次_保守'!$AB29:$AB40)</f>
        <v/>
      </c>
      <c r="E11" s="22">
        <f>SUM('月次_標準'!$AB5:$AB16)</f>
        <v/>
      </c>
      <c r="F11" s="22">
        <f>SUM('月次_標準'!$AB17:$AB28)</f>
        <v/>
      </c>
      <c r="G11" s="22">
        <f>SUM('月次_標準'!$AB29:$AB40)</f>
        <v/>
      </c>
      <c r="H11" s="22">
        <f>SUM('月次_強気'!$AB5:$AB16)</f>
        <v/>
      </c>
      <c r="I11" s="22">
        <f>SUM('月次_強気'!$AB17:$AB28)</f>
        <v/>
      </c>
      <c r="J11" s="22">
        <f>SUM('月次_強気'!$AB29:$AB40)</f>
        <v/>
      </c>
    </row>
    <row r="12">
      <c r="A12" s="23" t="inlineStr">
        <is>
          <t>営業利益</t>
        </is>
      </c>
      <c r="B12" s="22">
        <f>SUM('月次_保守'!$AC5:$AC16)</f>
        <v/>
      </c>
      <c r="C12" s="22">
        <f>SUM('月次_保守'!$AC17:$AC28)</f>
        <v/>
      </c>
      <c r="D12" s="22">
        <f>SUM('月次_保守'!$AC29:$AC40)</f>
        <v/>
      </c>
      <c r="E12" s="22">
        <f>SUM('月次_標準'!$AC5:$AC16)</f>
        <v/>
      </c>
      <c r="F12" s="22">
        <f>SUM('月次_標準'!$AC17:$AC28)</f>
        <v/>
      </c>
      <c r="G12" s="22">
        <f>SUM('月次_標準'!$AC29:$AC40)</f>
        <v/>
      </c>
      <c r="H12" s="22">
        <f>SUM('月次_強気'!$AC5:$AC16)</f>
        <v/>
      </c>
      <c r="I12" s="22">
        <f>SUM('月次_強気'!$AC17:$AC28)</f>
        <v/>
      </c>
      <c r="J12" s="22">
        <f>SUM('月次_強気'!$AC29:$AC40)</f>
        <v/>
      </c>
    </row>
    <row r="13">
      <c r="A13" s="23" t="inlineStr">
        <is>
          <t>累積営業利益（期末）</t>
        </is>
      </c>
      <c r="B13" s="22">
        <f>'月次_保守'!$AD16</f>
        <v/>
      </c>
      <c r="C13" s="22">
        <f>'月次_保守'!$AD28</f>
        <v/>
      </c>
      <c r="D13" s="22">
        <f>'月次_保守'!$AD40</f>
        <v/>
      </c>
      <c r="E13" s="22">
        <f>'月次_標準'!$AD16</f>
        <v/>
      </c>
      <c r="F13" s="22">
        <f>'月次_標準'!$AD28</f>
        <v/>
      </c>
      <c r="G13" s="22">
        <f>'月次_標準'!$AD40</f>
        <v/>
      </c>
      <c r="H13" s="22">
        <f>'月次_強気'!$AD16</f>
        <v/>
      </c>
      <c r="I13" s="22">
        <f>'月次_強気'!$AD28</f>
        <v/>
      </c>
      <c r="J13" s="22">
        <f>'月次_強気'!$AD40</f>
        <v/>
      </c>
    </row>
    <row r="14">
      <c r="A14" s="21" t="inlineStr">
        <is>
          <t>期末フォロワー</t>
        </is>
      </c>
      <c r="B14" s="22">
        <f>'月次_保守'!$D16</f>
        <v/>
      </c>
      <c r="C14" s="22">
        <f>'月次_保守'!$D28</f>
        <v/>
      </c>
      <c r="D14" s="22">
        <f>'月次_保守'!$D40</f>
        <v/>
      </c>
      <c r="E14" s="22">
        <f>'月次_標準'!$D16</f>
        <v/>
      </c>
      <c r="F14" s="22">
        <f>'月次_標準'!$D28</f>
        <v/>
      </c>
      <c r="G14" s="22">
        <f>'月次_標準'!$D40</f>
        <v/>
      </c>
      <c r="H14" s="22">
        <f>'月次_強気'!$D16</f>
        <v/>
      </c>
      <c r="I14" s="22">
        <f>'月次_強気'!$D28</f>
        <v/>
      </c>
      <c r="J14" s="22">
        <f>'月次_強気'!$D40</f>
        <v/>
      </c>
    </row>
    <row r="15">
      <c r="A15" s="21" t="inlineStr">
        <is>
          <t>期末メールリスト</t>
        </is>
      </c>
      <c r="B15" s="22">
        <f>'月次_保守'!$I16</f>
        <v/>
      </c>
      <c r="C15" s="22">
        <f>'月次_保守'!$I28</f>
        <v/>
      </c>
      <c r="D15" s="22">
        <f>'月次_保守'!$I40</f>
        <v/>
      </c>
      <c r="E15" s="22">
        <f>'月次_標準'!$I16</f>
        <v/>
      </c>
      <c r="F15" s="22">
        <f>'月次_標準'!$I28</f>
        <v/>
      </c>
      <c r="G15" s="22">
        <f>'月次_標準'!$I40</f>
        <v/>
      </c>
      <c r="H15" s="22">
        <f>'月次_強気'!$I16</f>
        <v/>
      </c>
      <c r="I15" s="22">
        <f>'月次_強気'!$I28</f>
        <v/>
      </c>
      <c r="J15" s="22">
        <f>'月次_強気'!$I40</f>
        <v/>
      </c>
    </row>
    <row r="16">
      <c r="A16" s="21" t="inlineStr">
        <is>
          <t>年間商品販売数</t>
        </is>
      </c>
      <c r="B16" s="22">
        <f>SUM('月次_保守'!$L5:$L16)</f>
        <v/>
      </c>
      <c r="C16" s="22">
        <f>SUM('月次_保守'!$L17:$L28)</f>
        <v/>
      </c>
      <c r="D16" s="22">
        <f>SUM('月次_保守'!$L29:$L40)</f>
        <v/>
      </c>
      <c r="E16" s="22">
        <f>SUM('月次_標準'!$L5:$L16)</f>
        <v/>
      </c>
      <c r="F16" s="22">
        <f>SUM('月次_標準'!$L17:$L28)</f>
        <v/>
      </c>
      <c r="G16" s="22">
        <f>SUM('月次_標準'!$L29:$L40)</f>
        <v/>
      </c>
      <c r="H16" s="22">
        <f>SUM('月次_強気'!$L5:$L16)</f>
        <v/>
      </c>
      <c r="I16" s="22">
        <f>SUM('月次_強気'!$L17:$L28)</f>
        <v/>
      </c>
      <c r="J16" s="22">
        <f>SUM('月次_強気'!$L29:$L40)</f>
        <v/>
      </c>
    </row>
    <row r="19">
      <c r="A19" s="3" t="inlineStr">
        <is>
          <t>■ 読み方</t>
        </is>
      </c>
    </row>
    <row r="20">
      <c r="A20" s="4" t="inlineStr">
        <is>
          <t>・月次黒字化の時期は、各月次シートの「営業利益」列が初めて正の値になる月で確認できる（標準シナリオで6〜7ヶ月目）。</t>
        </is>
      </c>
    </row>
    <row r="21">
      <c r="A21" s="4" t="inlineStr">
        <is>
          <t>・累積黒字化は「累積営業利益」列が正に転じる月（標準シナリオで11〜13ヶ月目）。ここが必要自己資金のピーク。</t>
        </is>
      </c>
    </row>
    <row r="22">
      <c r="A22" s="4" t="inlineStr">
        <is>
          <t>・最も感度が高いのは「新規購読者の転換率」と「フォロワー1人あたりアフィリエイト収益」。前提条件シートの黄色セルを動かして確認すること。</t>
        </is>
      </c>
    </row>
    <row r="23">
      <c r="A23" s="4" t="inlineStr">
        <is>
          <t>・訪日セグメント比率は3ヶ月目に実測し、⑥の転換率に反映すること。10%未満なら⑥⑦を計画から外す。</t>
        </is>
      </c>
    </row>
    <row r="24">
      <c r="A24" s="4" t="inlineStr">
        <is>
          <t>・売上構成比が「ガイド販売のみ」に偏っている場合、事業は脆い。24ヶ月目時点で4層に分散していることを確認する。</t>
        </is>
      </c>
    </row>
    <row r="27">
      <c r="A27" s="3" t="inlineStr">
        <is>
          <t>■ 検算値（独立実装による再計算結果・標準シナリオ）</t>
        </is>
      </c>
    </row>
    <row r="28">
      <c r="A28" s="24" t="inlineStr">
        <is>
          <t>上の表の「標準」列がこの値と一致すれば数式は正しく組まれています。前提条件を編集すると当然ずれます。</t>
        </is>
      </c>
    </row>
    <row r="29">
      <c r="A29" s="20" t="inlineStr"/>
      <c r="B29" s="20" t="inlineStr">
        <is>
          <t>1年目</t>
        </is>
      </c>
      <c r="C29" s="20" t="inlineStr">
        <is>
          <t>2年目</t>
        </is>
      </c>
      <c r="D29" s="20" t="inlineStr">
        <is>
          <t>3年目</t>
        </is>
      </c>
    </row>
    <row r="30">
      <c r="A30" s="21" t="inlineStr">
        <is>
          <t>年間売上</t>
        </is>
      </c>
      <c r="B30" s="25" t="n">
        <v>2431524</v>
      </c>
      <c r="C30" s="25" t="n">
        <v>12903300</v>
      </c>
      <c r="D30" s="25" t="n">
        <v>22534656</v>
      </c>
    </row>
    <row r="31">
      <c r="A31" s="21" t="inlineStr">
        <is>
          <t>年間営業利益</t>
        </is>
      </c>
      <c r="B31" s="25" t="n">
        <v>1112621</v>
      </c>
      <c r="C31" s="25" t="n">
        <v>8856691</v>
      </c>
      <c r="D31" s="25" t="n">
        <v>15783291</v>
      </c>
    </row>
    <row r="32">
      <c r="A32" s="21" t="inlineStr">
        <is>
          <t>期末フォロワー</t>
        </is>
      </c>
      <c r="B32" s="25" t="n">
        <v>33900</v>
      </c>
      <c r="C32" s="25" t="n">
        <v>96300</v>
      </c>
      <c r="D32" s="25" t="n">
        <v>171900</v>
      </c>
    </row>
    <row r="33">
      <c r="A33" s="21" t="inlineStr">
        <is>
          <t>期末メールリスト</t>
        </is>
      </c>
      <c r="B33" s="25" t="n">
        <v>3184</v>
      </c>
      <c r="C33" s="25" t="n">
        <v>9678</v>
      </c>
      <c r="D33" s="25" t="n">
        <v>18533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KPI 実績入力シート（月次レビュー用）</t>
        </is>
      </c>
    </row>
    <row r="2">
      <c r="A2" s="2" t="inlineStr">
        <is>
          <t>黄色のセルに実績を記入してください。それ以外は計算式です。</t>
        </is>
      </c>
    </row>
    <row r="3">
      <c r="A3" s="26" t="inlineStr">
        <is>
          <t>先行指標は「メールリスト純増」と「平均保存率」。売上は遅行指標のため、月次の意思決定はこの2つで行う。</t>
        </is>
      </c>
    </row>
    <row r="5" ht="38" customHeight="1">
      <c r="A5" s="15" t="inlineStr">
        <is>
          <t>月</t>
        </is>
      </c>
      <c r="B5" s="15" t="inlineStr">
        <is>
          <t>メールリスト
累計(実績)</t>
        </is>
      </c>
      <c r="C5" s="15" t="inlineStr">
        <is>
          <t>リスト純増
(自動計算)</t>
        </is>
      </c>
      <c r="D5" s="15" t="inlineStr">
        <is>
          <t>LM登録率
(%)</t>
        </is>
      </c>
      <c r="E5" s="15" t="inlineStr">
        <is>
          <t>フォロワー
累計(実績)</t>
        </is>
      </c>
      <c r="F5" s="15" t="inlineStr">
        <is>
          <t>平均保存率
(%)</t>
        </is>
      </c>
      <c r="G5" s="15" t="inlineStr">
        <is>
          <t>ガイド販売数</t>
        </is>
      </c>
      <c r="H5" s="15" t="inlineStr">
        <is>
          <t>返金率(%)</t>
        </is>
      </c>
      <c r="I5" s="15" t="inlineStr">
        <is>
          <t>アフィリ収益
(円)</t>
        </is>
      </c>
      <c r="J5" s="15" t="inlineStr">
        <is>
          <t>投下時間
(h/週)</t>
        </is>
      </c>
      <c r="K5" s="15" t="inlineStr">
        <is>
          <t>訪問店舗
累計</t>
        </is>
      </c>
      <c r="L5" s="15" t="inlineStr">
        <is>
          <t>計画比(リスト)
※標準シナリオ</t>
        </is>
      </c>
    </row>
    <row r="6">
      <c r="A6" s="21" t="n">
        <v>1</v>
      </c>
      <c r="B6" s="27" t="n"/>
      <c r="C6" s="16">
        <f>$B6</f>
        <v/>
      </c>
      <c r="D6" s="28" t="n"/>
      <c r="E6" s="27" t="n"/>
      <c r="F6" s="28" t="n"/>
      <c r="G6" s="27" t="n"/>
      <c r="H6" s="28" t="n"/>
      <c r="I6" s="27" t="n"/>
      <c r="J6" s="27" t="n"/>
      <c r="K6" s="27" t="n"/>
      <c r="L6" s="29">
        <f>IF($B6="","",IFERROR($B6/'月次_標準'!$I5,""))</f>
        <v/>
      </c>
    </row>
    <row r="7">
      <c r="A7" s="21" t="n">
        <v>2</v>
      </c>
      <c r="B7" s="27" t="n"/>
      <c r="C7" s="16">
        <f>IF($B7="","",$B7-$B6)</f>
        <v/>
      </c>
      <c r="D7" s="28" t="n"/>
      <c r="E7" s="27" t="n"/>
      <c r="F7" s="28" t="n"/>
      <c r="G7" s="27" t="n"/>
      <c r="H7" s="28" t="n"/>
      <c r="I7" s="27" t="n"/>
      <c r="J7" s="27" t="n"/>
      <c r="K7" s="27" t="n"/>
      <c r="L7" s="29">
        <f>IF($B7="","",IFERROR($B7/'月次_標準'!$I6,""))</f>
        <v/>
      </c>
    </row>
    <row r="8">
      <c r="A8" s="21" t="n">
        <v>3</v>
      </c>
      <c r="B8" s="27" t="n"/>
      <c r="C8" s="16">
        <f>IF($B8="","",$B8-$B7)</f>
        <v/>
      </c>
      <c r="D8" s="28" t="n"/>
      <c r="E8" s="27" t="n"/>
      <c r="F8" s="28" t="n"/>
      <c r="G8" s="27" t="n"/>
      <c r="H8" s="28" t="n"/>
      <c r="I8" s="27" t="n"/>
      <c r="J8" s="27" t="n"/>
      <c r="K8" s="27" t="n"/>
      <c r="L8" s="29">
        <f>IF($B8="","",IFERROR($B8/'月次_標準'!$I7,""))</f>
        <v/>
      </c>
    </row>
    <row r="9">
      <c r="A9" s="21" t="n">
        <v>4</v>
      </c>
      <c r="B9" s="27" t="n"/>
      <c r="C9" s="16">
        <f>IF($B9="","",$B9-$B8)</f>
        <v/>
      </c>
      <c r="D9" s="28" t="n"/>
      <c r="E9" s="27" t="n"/>
      <c r="F9" s="28" t="n"/>
      <c r="G9" s="27" t="n"/>
      <c r="H9" s="28" t="n"/>
      <c r="I9" s="27" t="n"/>
      <c r="J9" s="27" t="n"/>
      <c r="K9" s="27" t="n"/>
      <c r="L9" s="29">
        <f>IF($B9="","",IFERROR($B9/'月次_標準'!$I8,""))</f>
        <v/>
      </c>
    </row>
    <row r="10">
      <c r="A10" s="21" t="n">
        <v>5</v>
      </c>
      <c r="B10" s="27" t="n"/>
      <c r="C10" s="16">
        <f>IF($B10="","",$B10-$B9)</f>
        <v/>
      </c>
      <c r="D10" s="28" t="n"/>
      <c r="E10" s="27" t="n"/>
      <c r="F10" s="28" t="n"/>
      <c r="G10" s="27" t="n"/>
      <c r="H10" s="28" t="n"/>
      <c r="I10" s="27" t="n"/>
      <c r="J10" s="27" t="n"/>
      <c r="K10" s="27" t="n"/>
      <c r="L10" s="29">
        <f>IF($B10="","",IFERROR($B10/'月次_標準'!$I9,""))</f>
        <v/>
      </c>
    </row>
    <row r="11">
      <c r="A11" s="21" t="n">
        <v>6</v>
      </c>
      <c r="B11" s="27" t="n"/>
      <c r="C11" s="16">
        <f>IF($B11="","",$B11-$B10)</f>
        <v/>
      </c>
      <c r="D11" s="28" t="n"/>
      <c r="E11" s="27" t="n"/>
      <c r="F11" s="28" t="n"/>
      <c r="G11" s="27" t="n"/>
      <c r="H11" s="28" t="n"/>
      <c r="I11" s="27" t="n"/>
      <c r="J11" s="27" t="n"/>
      <c r="K11" s="27" t="n"/>
      <c r="L11" s="29">
        <f>IF($B11="","",IFERROR($B11/'月次_標準'!$I10,""))</f>
        <v/>
      </c>
    </row>
    <row r="12">
      <c r="A12" s="21" t="n">
        <v>7</v>
      </c>
      <c r="B12" s="27" t="n"/>
      <c r="C12" s="16">
        <f>IF($B12="","",$B12-$B11)</f>
        <v/>
      </c>
      <c r="D12" s="28" t="n"/>
      <c r="E12" s="27" t="n"/>
      <c r="F12" s="28" t="n"/>
      <c r="G12" s="27" t="n"/>
      <c r="H12" s="28" t="n"/>
      <c r="I12" s="27" t="n"/>
      <c r="J12" s="27" t="n"/>
      <c r="K12" s="27" t="n"/>
      <c r="L12" s="29">
        <f>IF($B12="","",IFERROR($B12/'月次_標準'!$I11,""))</f>
        <v/>
      </c>
    </row>
    <row r="13">
      <c r="A13" s="21" t="n">
        <v>8</v>
      </c>
      <c r="B13" s="27" t="n"/>
      <c r="C13" s="16">
        <f>IF($B13="","",$B13-$B12)</f>
        <v/>
      </c>
      <c r="D13" s="28" t="n"/>
      <c r="E13" s="27" t="n"/>
      <c r="F13" s="28" t="n"/>
      <c r="G13" s="27" t="n"/>
      <c r="H13" s="28" t="n"/>
      <c r="I13" s="27" t="n"/>
      <c r="J13" s="27" t="n"/>
      <c r="K13" s="27" t="n"/>
      <c r="L13" s="29">
        <f>IF($B13="","",IFERROR($B13/'月次_標準'!$I12,""))</f>
        <v/>
      </c>
    </row>
    <row r="14">
      <c r="A14" s="21" t="n">
        <v>9</v>
      </c>
      <c r="B14" s="27" t="n"/>
      <c r="C14" s="16">
        <f>IF($B14="","",$B14-$B13)</f>
        <v/>
      </c>
      <c r="D14" s="28" t="n"/>
      <c r="E14" s="27" t="n"/>
      <c r="F14" s="28" t="n"/>
      <c r="G14" s="27" t="n"/>
      <c r="H14" s="28" t="n"/>
      <c r="I14" s="27" t="n"/>
      <c r="J14" s="27" t="n"/>
      <c r="K14" s="27" t="n"/>
      <c r="L14" s="29">
        <f>IF($B14="","",IFERROR($B14/'月次_標準'!$I13,""))</f>
        <v/>
      </c>
    </row>
    <row r="15">
      <c r="A15" s="21" t="n">
        <v>10</v>
      </c>
      <c r="B15" s="27" t="n"/>
      <c r="C15" s="16">
        <f>IF($B15="","",$B15-$B14)</f>
        <v/>
      </c>
      <c r="D15" s="28" t="n"/>
      <c r="E15" s="27" t="n"/>
      <c r="F15" s="28" t="n"/>
      <c r="G15" s="27" t="n"/>
      <c r="H15" s="28" t="n"/>
      <c r="I15" s="27" t="n"/>
      <c r="J15" s="27" t="n"/>
      <c r="K15" s="27" t="n"/>
      <c r="L15" s="29">
        <f>IF($B15="","",IFERROR($B15/'月次_標準'!$I14,""))</f>
        <v/>
      </c>
    </row>
    <row r="16">
      <c r="A16" s="21" t="n">
        <v>11</v>
      </c>
      <c r="B16" s="27" t="n"/>
      <c r="C16" s="16">
        <f>IF($B16="","",$B16-$B15)</f>
        <v/>
      </c>
      <c r="D16" s="28" t="n"/>
      <c r="E16" s="27" t="n"/>
      <c r="F16" s="28" t="n"/>
      <c r="G16" s="27" t="n"/>
      <c r="H16" s="28" t="n"/>
      <c r="I16" s="27" t="n"/>
      <c r="J16" s="27" t="n"/>
      <c r="K16" s="27" t="n"/>
      <c r="L16" s="29">
        <f>IF($B16="","",IFERROR($B16/'月次_標準'!$I15,""))</f>
        <v/>
      </c>
    </row>
    <row r="17">
      <c r="A17" s="21" t="n">
        <v>12</v>
      </c>
      <c r="B17" s="27" t="n"/>
      <c r="C17" s="16">
        <f>IF($B17="","",$B17-$B16)</f>
        <v/>
      </c>
      <c r="D17" s="28" t="n"/>
      <c r="E17" s="27" t="n"/>
      <c r="F17" s="28" t="n"/>
      <c r="G17" s="27" t="n"/>
      <c r="H17" s="28" t="n"/>
      <c r="I17" s="27" t="n"/>
      <c r="J17" s="27" t="n"/>
      <c r="K17" s="27" t="n"/>
      <c r="L17" s="29">
        <f>IF($B17="","",IFERROR($B17/'月次_標準'!$I16,""))</f>
        <v/>
      </c>
    </row>
    <row r="18">
      <c r="A18" s="21" t="n">
        <v>13</v>
      </c>
      <c r="B18" s="27" t="n"/>
      <c r="C18" s="16">
        <f>IF($B18="","",$B18-$B17)</f>
        <v/>
      </c>
      <c r="D18" s="28" t="n"/>
      <c r="E18" s="27" t="n"/>
      <c r="F18" s="28" t="n"/>
      <c r="G18" s="27" t="n"/>
      <c r="H18" s="28" t="n"/>
      <c r="I18" s="27" t="n"/>
      <c r="J18" s="27" t="n"/>
      <c r="K18" s="27" t="n"/>
      <c r="L18" s="29">
        <f>IF($B18="","",IFERROR($B18/'月次_標準'!$I17,""))</f>
        <v/>
      </c>
    </row>
    <row r="19">
      <c r="A19" s="21" t="n">
        <v>14</v>
      </c>
      <c r="B19" s="27" t="n"/>
      <c r="C19" s="16">
        <f>IF($B19="","",$B19-$B18)</f>
        <v/>
      </c>
      <c r="D19" s="28" t="n"/>
      <c r="E19" s="27" t="n"/>
      <c r="F19" s="28" t="n"/>
      <c r="G19" s="27" t="n"/>
      <c r="H19" s="28" t="n"/>
      <c r="I19" s="27" t="n"/>
      <c r="J19" s="27" t="n"/>
      <c r="K19" s="27" t="n"/>
      <c r="L19" s="29">
        <f>IF($B19="","",IFERROR($B19/'月次_標準'!$I18,""))</f>
        <v/>
      </c>
    </row>
    <row r="20">
      <c r="A20" s="21" t="n">
        <v>15</v>
      </c>
      <c r="B20" s="27" t="n"/>
      <c r="C20" s="16">
        <f>IF($B20="","",$B20-$B19)</f>
        <v/>
      </c>
      <c r="D20" s="28" t="n"/>
      <c r="E20" s="27" t="n"/>
      <c r="F20" s="28" t="n"/>
      <c r="G20" s="27" t="n"/>
      <c r="H20" s="28" t="n"/>
      <c r="I20" s="27" t="n"/>
      <c r="J20" s="27" t="n"/>
      <c r="K20" s="27" t="n"/>
      <c r="L20" s="29">
        <f>IF($B20="","",IFERROR($B20/'月次_標準'!$I19,""))</f>
        <v/>
      </c>
    </row>
    <row r="21">
      <c r="A21" s="21" t="n">
        <v>16</v>
      </c>
      <c r="B21" s="27" t="n"/>
      <c r="C21" s="16">
        <f>IF($B21="","",$B21-$B20)</f>
        <v/>
      </c>
      <c r="D21" s="28" t="n"/>
      <c r="E21" s="27" t="n"/>
      <c r="F21" s="28" t="n"/>
      <c r="G21" s="27" t="n"/>
      <c r="H21" s="28" t="n"/>
      <c r="I21" s="27" t="n"/>
      <c r="J21" s="27" t="n"/>
      <c r="K21" s="27" t="n"/>
      <c r="L21" s="29">
        <f>IF($B21="","",IFERROR($B21/'月次_標準'!$I20,""))</f>
        <v/>
      </c>
    </row>
    <row r="22">
      <c r="A22" s="21" t="n">
        <v>17</v>
      </c>
      <c r="B22" s="27" t="n"/>
      <c r="C22" s="16">
        <f>IF($B22="","",$B22-$B21)</f>
        <v/>
      </c>
      <c r="D22" s="28" t="n"/>
      <c r="E22" s="27" t="n"/>
      <c r="F22" s="28" t="n"/>
      <c r="G22" s="27" t="n"/>
      <c r="H22" s="28" t="n"/>
      <c r="I22" s="27" t="n"/>
      <c r="J22" s="27" t="n"/>
      <c r="K22" s="27" t="n"/>
      <c r="L22" s="29">
        <f>IF($B22="","",IFERROR($B22/'月次_標準'!$I21,""))</f>
        <v/>
      </c>
    </row>
    <row r="23">
      <c r="A23" s="21" t="n">
        <v>18</v>
      </c>
      <c r="B23" s="27" t="n"/>
      <c r="C23" s="16">
        <f>IF($B23="","",$B23-$B22)</f>
        <v/>
      </c>
      <c r="D23" s="28" t="n"/>
      <c r="E23" s="27" t="n"/>
      <c r="F23" s="28" t="n"/>
      <c r="G23" s="27" t="n"/>
      <c r="H23" s="28" t="n"/>
      <c r="I23" s="27" t="n"/>
      <c r="J23" s="27" t="n"/>
      <c r="K23" s="27" t="n"/>
      <c r="L23" s="29">
        <f>IF($B23="","",IFERROR($B23/'月次_標準'!$I22,""))</f>
        <v/>
      </c>
    </row>
    <row r="24">
      <c r="A24" s="21" t="n">
        <v>19</v>
      </c>
      <c r="B24" s="27" t="n"/>
      <c r="C24" s="16">
        <f>IF($B24="","",$B24-$B23)</f>
        <v/>
      </c>
      <c r="D24" s="28" t="n"/>
      <c r="E24" s="27" t="n"/>
      <c r="F24" s="28" t="n"/>
      <c r="G24" s="27" t="n"/>
      <c r="H24" s="28" t="n"/>
      <c r="I24" s="27" t="n"/>
      <c r="J24" s="27" t="n"/>
      <c r="K24" s="27" t="n"/>
      <c r="L24" s="29">
        <f>IF($B24="","",IFERROR($B24/'月次_標準'!$I23,""))</f>
        <v/>
      </c>
    </row>
    <row r="25">
      <c r="A25" s="21" t="n">
        <v>20</v>
      </c>
      <c r="B25" s="27" t="n"/>
      <c r="C25" s="16">
        <f>IF($B25="","",$B25-$B24)</f>
        <v/>
      </c>
      <c r="D25" s="28" t="n"/>
      <c r="E25" s="27" t="n"/>
      <c r="F25" s="28" t="n"/>
      <c r="G25" s="27" t="n"/>
      <c r="H25" s="28" t="n"/>
      <c r="I25" s="27" t="n"/>
      <c r="J25" s="27" t="n"/>
      <c r="K25" s="27" t="n"/>
      <c r="L25" s="29">
        <f>IF($B25="","",IFERROR($B25/'月次_標準'!$I24,""))</f>
        <v/>
      </c>
    </row>
    <row r="26">
      <c r="A26" s="21" t="n">
        <v>21</v>
      </c>
      <c r="B26" s="27" t="n"/>
      <c r="C26" s="16">
        <f>IF($B26="","",$B26-$B25)</f>
        <v/>
      </c>
      <c r="D26" s="28" t="n"/>
      <c r="E26" s="27" t="n"/>
      <c r="F26" s="28" t="n"/>
      <c r="G26" s="27" t="n"/>
      <c r="H26" s="28" t="n"/>
      <c r="I26" s="27" t="n"/>
      <c r="J26" s="27" t="n"/>
      <c r="K26" s="27" t="n"/>
      <c r="L26" s="29">
        <f>IF($B26="","",IFERROR($B26/'月次_標準'!$I25,""))</f>
        <v/>
      </c>
    </row>
    <row r="27">
      <c r="A27" s="21" t="n">
        <v>22</v>
      </c>
      <c r="B27" s="27" t="n"/>
      <c r="C27" s="16">
        <f>IF($B27="","",$B27-$B26)</f>
        <v/>
      </c>
      <c r="D27" s="28" t="n"/>
      <c r="E27" s="27" t="n"/>
      <c r="F27" s="28" t="n"/>
      <c r="G27" s="27" t="n"/>
      <c r="H27" s="28" t="n"/>
      <c r="I27" s="27" t="n"/>
      <c r="J27" s="27" t="n"/>
      <c r="K27" s="27" t="n"/>
      <c r="L27" s="29">
        <f>IF($B27="","",IFERROR($B27/'月次_標準'!$I26,""))</f>
        <v/>
      </c>
    </row>
    <row r="28">
      <c r="A28" s="21" t="n">
        <v>23</v>
      </c>
      <c r="B28" s="27" t="n"/>
      <c r="C28" s="16">
        <f>IF($B28="","",$B28-$B27)</f>
        <v/>
      </c>
      <c r="D28" s="28" t="n"/>
      <c r="E28" s="27" t="n"/>
      <c r="F28" s="28" t="n"/>
      <c r="G28" s="27" t="n"/>
      <c r="H28" s="28" t="n"/>
      <c r="I28" s="27" t="n"/>
      <c r="J28" s="27" t="n"/>
      <c r="K28" s="27" t="n"/>
      <c r="L28" s="29">
        <f>IF($B28="","",IFERROR($B28/'月次_標準'!$I27,""))</f>
        <v/>
      </c>
    </row>
    <row r="29">
      <c r="A29" s="21" t="n">
        <v>24</v>
      </c>
      <c r="B29" s="27" t="n"/>
      <c r="C29" s="16">
        <f>IF($B29="","",$B29-$B28)</f>
        <v/>
      </c>
      <c r="D29" s="28" t="n"/>
      <c r="E29" s="27" t="n"/>
      <c r="F29" s="28" t="n"/>
      <c r="G29" s="27" t="n"/>
      <c r="H29" s="28" t="n"/>
      <c r="I29" s="27" t="n"/>
      <c r="J29" s="27" t="n"/>
      <c r="K29" s="27" t="n"/>
      <c r="L29" s="29">
        <f>IF($B29="","",IFERROR($B29/'月次_標準'!$I28,""))</f>
        <v/>
      </c>
    </row>
    <row r="30">
      <c r="A30" s="21" t="n">
        <v>25</v>
      </c>
      <c r="B30" s="27" t="n"/>
      <c r="C30" s="16">
        <f>IF($B30="","",$B30-$B29)</f>
        <v/>
      </c>
      <c r="D30" s="28" t="n"/>
      <c r="E30" s="27" t="n"/>
      <c r="F30" s="28" t="n"/>
      <c r="G30" s="27" t="n"/>
      <c r="H30" s="28" t="n"/>
      <c r="I30" s="27" t="n"/>
      <c r="J30" s="27" t="n"/>
      <c r="K30" s="27" t="n"/>
      <c r="L30" s="29">
        <f>IF($B30="","",IFERROR($B30/'月次_標準'!$I29,""))</f>
        <v/>
      </c>
    </row>
    <row r="31">
      <c r="A31" s="21" t="n">
        <v>26</v>
      </c>
      <c r="B31" s="27" t="n"/>
      <c r="C31" s="16">
        <f>IF($B31="","",$B31-$B30)</f>
        <v/>
      </c>
      <c r="D31" s="28" t="n"/>
      <c r="E31" s="27" t="n"/>
      <c r="F31" s="28" t="n"/>
      <c r="G31" s="27" t="n"/>
      <c r="H31" s="28" t="n"/>
      <c r="I31" s="27" t="n"/>
      <c r="J31" s="27" t="n"/>
      <c r="K31" s="27" t="n"/>
      <c r="L31" s="29">
        <f>IF($B31="","",IFERROR($B31/'月次_標準'!$I30,""))</f>
        <v/>
      </c>
    </row>
    <row r="32">
      <c r="A32" s="21" t="n">
        <v>27</v>
      </c>
      <c r="B32" s="27" t="n"/>
      <c r="C32" s="16">
        <f>IF($B32="","",$B32-$B31)</f>
        <v/>
      </c>
      <c r="D32" s="28" t="n"/>
      <c r="E32" s="27" t="n"/>
      <c r="F32" s="28" t="n"/>
      <c r="G32" s="27" t="n"/>
      <c r="H32" s="28" t="n"/>
      <c r="I32" s="27" t="n"/>
      <c r="J32" s="27" t="n"/>
      <c r="K32" s="27" t="n"/>
      <c r="L32" s="29">
        <f>IF($B32="","",IFERROR($B32/'月次_標準'!$I31,""))</f>
        <v/>
      </c>
    </row>
    <row r="33">
      <c r="A33" s="21" t="n">
        <v>28</v>
      </c>
      <c r="B33" s="27" t="n"/>
      <c r="C33" s="16">
        <f>IF($B33="","",$B33-$B32)</f>
        <v/>
      </c>
      <c r="D33" s="28" t="n"/>
      <c r="E33" s="27" t="n"/>
      <c r="F33" s="28" t="n"/>
      <c r="G33" s="27" t="n"/>
      <c r="H33" s="28" t="n"/>
      <c r="I33" s="27" t="n"/>
      <c r="J33" s="27" t="n"/>
      <c r="K33" s="27" t="n"/>
      <c r="L33" s="29">
        <f>IF($B33="","",IFERROR($B33/'月次_標準'!$I32,""))</f>
        <v/>
      </c>
    </row>
    <row r="34">
      <c r="A34" s="21" t="n">
        <v>29</v>
      </c>
      <c r="B34" s="27" t="n"/>
      <c r="C34" s="16">
        <f>IF($B34="","",$B34-$B33)</f>
        <v/>
      </c>
      <c r="D34" s="28" t="n"/>
      <c r="E34" s="27" t="n"/>
      <c r="F34" s="28" t="n"/>
      <c r="G34" s="27" t="n"/>
      <c r="H34" s="28" t="n"/>
      <c r="I34" s="27" t="n"/>
      <c r="J34" s="27" t="n"/>
      <c r="K34" s="27" t="n"/>
      <c r="L34" s="29">
        <f>IF($B34="","",IFERROR($B34/'月次_標準'!$I33,""))</f>
        <v/>
      </c>
    </row>
    <row r="35">
      <c r="A35" s="21" t="n">
        <v>30</v>
      </c>
      <c r="B35" s="27" t="n"/>
      <c r="C35" s="16">
        <f>IF($B35="","",$B35-$B34)</f>
        <v/>
      </c>
      <c r="D35" s="28" t="n"/>
      <c r="E35" s="27" t="n"/>
      <c r="F35" s="28" t="n"/>
      <c r="G35" s="27" t="n"/>
      <c r="H35" s="28" t="n"/>
      <c r="I35" s="27" t="n"/>
      <c r="J35" s="27" t="n"/>
      <c r="K35" s="27" t="n"/>
      <c r="L35" s="29">
        <f>IF($B35="","",IFERROR($B35/'月次_標準'!$I34,""))</f>
        <v/>
      </c>
    </row>
    <row r="36">
      <c r="A36" s="21" t="n">
        <v>31</v>
      </c>
      <c r="B36" s="27" t="n"/>
      <c r="C36" s="16">
        <f>IF($B36="","",$B36-$B35)</f>
        <v/>
      </c>
      <c r="D36" s="28" t="n"/>
      <c r="E36" s="27" t="n"/>
      <c r="F36" s="28" t="n"/>
      <c r="G36" s="27" t="n"/>
      <c r="H36" s="28" t="n"/>
      <c r="I36" s="27" t="n"/>
      <c r="J36" s="27" t="n"/>
      <c r="K36" s="27" t="n"/>
      <c r="L36" s="29">
        <f>IF($B36="","",IFERROR($B36/'月次_標準'!$I35,""))</f>
        <v/>
      </c>
    </row>
    <row r="37">
      <c r="A37" s="21" t="n">
        <v>32</v>
      </c>
      <c r="B37" s="27" t="n"/>
      <c r="C37" s="16">
        <f>IF($B37="","",$B37-$B36)</f>
        <v/>
      </c>
      <c r="D37" s="28" t="n"/>
      <c r="E37" s="27" t="n"/>
      <c r="F37" s="28" t="n"/>
      <c r="G37" s="27" t="n"/>
      <c r="H37" s="28" t="n"/>
      <c r="I37" s="27" t="n"/>
      <c r="J37" s="27" t="n"/>
      <c r="K37" s="27" t="n"/>
      <c r="L37" s="29">
        <f>IF($B37="","",IFERROR($B37/'月次_標準'!$I36,""))</f>
        <v/>
      </c>
    </row>
    <row r="38">
      <c r="A38" s="21" t="n">
        <v>33</v>
      </c>
      <c r="B38" s="27" t="n"/>
      <c r="C38" s="16">
        <f>IF($B38="","",$B38-$B37)</f>
        <v/>
      </c>
      <c r="D38" s="28" t="n"/>
      <c r="E38" s="27" t="n"/>
      <c r="F38" s="28" t="n"/>
      <c r="G38" s="27" t="n"/>
      <c r="H38" s="28" t="n"/>
      <c r="I38" s="27" t="n"/>
      <c r="J38" s="27" t="n"/>
      <c r="K38" s="27" t="n"/>
      <c r="L38" s="29">
        <f>IF($B38="","",IFERROR($B38/'月次_標準'!$I37,""))</f>
        <v/>
      </c>
    </row>
    <row r="39">
      <c r="A39" s="21" t="n">
        <v>34</v>
      </c>
      <c r="B39" s="27" t="n"/>
      <c r="C39" s="16">
        <f>IF($B39="","",$B39-$B38)</f>
        <v/>
      </c>
      <c r="D39" s="28" t="n"/>
      <c r="E39" s="27" t="n"/>
      <c r="F39" s="28" t="n"/>
      <c r="G39" s="27" t="n"/>
      <c r="H39" s="28" t="n"/>
      <c r="I39" s="27" t="n"/>
      <c r="J39" s="27" t="n"/>
      <c r="K39" s="27" t="n"/>
      <c r="L39" s="29">
        <f>IF($B39="","",IFERROR($B39/'月次_標準'!$I38,""))</f>
        <v/>
      </c>
    </row>
    <row r="40">
      <c r="A40" s="21" t="n">
        <v>35</v>
      </c>
      <c r="B40" s="27" t="n"/>
      <c r="C40" s="16">
        <f>IF($B40="","",$B40-$B39)</f>
        <v/>
      </c>
      <c r="D40" s="28" t="n"/>
      <c r="E40" s="27" t="n"/>
      <c r="F40" s="28" t="n"/>
      <c r="G40" s="27" t="n"/>
      <c r="H40" s="28" t="n"/>
      <c r="I40" s="27" t="n"/>
      <c r="J40" s="27" t="n"/>
      <c r="K40" s="27" t="n"/>
      <c r="L40" s="29">
        <f>IF($B40="","",IFERROR($B40/'月次_標準'!$I39,""))</f>
        <v/>
      </c>
    </row>
    <row r="41">
      <c r="A41" s="21" t="n">
        <v>36</v>
      </c>
      <c r="B41" s="27" t="n"/>
      <c r="C41" s="16">
        <f>IF($B41="","",$B41-$B40)</f>
        <v/>
      </c>
      <c r="D41" s="28" t="n"/>
      <c r="E41" s="27" t="n"/>
      <c r="F41" s="28" t="n"/>
      <c r="G41" s="27" t="n"/>
      <c r="H41" s="28" t="n"/>
      <c r="I41" s="27" t="n"/>
      <c r="J41" s="27" t="n"/>
      <c r="K41" s="27" t="n"/>
      <c r="L41" s="29">
        <f>IF($B41="","",IFERROR($B41/'月次_標準'!$I40,""))</f>
        <v/>
      </c>
    </row>
    <row r="44">
      <c r="A44" s="30" t="inlineStr">
        <is>
          <t>記入例（この行は参考。実際の入力は上の表へ）</t>
        </is>
      </c>
    </row>
    <row r="45">
      <c r="A45" s="31" t="n">
        <v>3</v>
      </c>
      <c r="B45" s="31" t="n">
        <v>312</v>
      </c>
      <c r="D45" s="32" t="n">
        <v>0.16</v>
      </c>
      <c r="E45" s="31" t="n">
        <v>4680</v>
      </c>
      <c r="F45" s="32" t="n">
        <v>0.034</v>
      </c>
      <c r="G45" s="31" t="n">
        <v>0</v>
      </c>
      <c r="H45" s="32" t="n">
        <v>0</v>
      </c>
      <c r="I45" s="31" t="n">
        <v>9800</v>
      </c>
      <c r="J45" s="31" t="n">
        <v>14</v>
      </c>
      <c r="K45" s="3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2026-07-30T23:41:06Z</dcterms:created>
  <dcterms:modified xmlns:dcterms="http://purl.org/dc/terms/" xmlns:xsi="http://www.w3.org/2001/XMLSchema-instance" xsi:type="dcterms:W3CDTF">2026-07-30T23:41:06Z</dcterms:modified>
</cp:coreProperties>
</file>