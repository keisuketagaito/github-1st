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週次実績" sheetId="2" state="visible" r:id="rId2"/>
    <sheet name="月次サマリ" sheetId="3" state="visible" r:id="rId3"/>
    <sheet name="ゲート判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-"/>
    <numFmt numFmtId="165" formatCode="#,##0.0;(#,##0.0);-"/>
    <numFmt numFmtId="166" formatCode="0.0%"/>
    <numFmt numFmtId="167" formatCode="yyyy-mm-dd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9"/>
    </font>
    <font>
      <name val="Arial"/>
      <b val="1"/>
      <sz val="10"/>
    </font>
    <font>
      <name val="Arial"/>
      <i val="1"/>
      <sz val="9"/>
    </font>
    <font>
      <name val="Arial"/>
      <color rgb="00C00000"/>
      <sz val="9"/>
    </font>
    <font>
      <name val="Arial"/>
      <sz val="10"/>
    </font>
    <font>
      <name val="Arial"/>
      <color rgb="000000FF"/>
      <sz val="10"/>
    </font>
    <font>
      <name val="Arial"/>
      <b val="1"/>
      <color rgb="00C00000"/>
      <sz val="9"/>
    </font>
    <font>
      <name val="Arial"/>
      <i val="1"/>
      <color rgb="00808080"/>
      <sz val="9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wrapText="1"/>
    </xf>
    <xf numFmtId="0" fontId="6" fillId="0" borderId="1" pivotButton="0" quotePrefix="0" xfId="0"/>
    <xf numFmtId="167" fontId="7" fillId="3" borderId="1" pivotButton="0" quotePrefix="0" xfId="0"/>
    <xf numFmtId="164" fontId="6" fillId="0" borderId="1" pivotButton="0" quotePrefix="0" xfId="0"/>
    <xf numFmtId="164" fontId="7" fillId="3" borderId="1" pivotButton="0" quotePrefix="0" xfId="0"/>
    <xf numFmtId="165" fontId="6" fillId="0" borderId="1" pivotButton="0" quotePrefix="0" xfId="0"/>
    <xf numFmtId="166" fontId="6" fillId="0" borderId="1" pivotButton="0" quotePrefix="0" xfId="0"/>
    <xf numFmtId="165" fontId="7" fillId="3" borderId="1" pivotButton="0" quotePrefix="0" xfId="0"/>
    <xf numFmtId="0" fontId="6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0" fontId="8" fillId="0" borderId="0" pivotButton="0" quotePrefix="0" xfId="0"/>
    <xf numFmtId="0" fontId="9" fillId="0" borderId="0" pivotButton="0" quotePrefix="0" xfId="0"/>
    <xf numFmtId="167" fontId="9" fillId="0" borderId="0" pivotButton="0" quotePrefix="0" xfId="0"/>
    <xf numFmtId="164" fontId="9" fillId="0" borderId="0" pivotButton="0" quotePrefix="0" xfId="0"/>
    <xf numFmtId="165" fontId="9" fillId="0" borderId="0" pivotButton="0" quotePrefix="0" xfId="0"/>
    <xf numFmtId="164" fontId="10" fillId="0" borderId="1" pivotButton="0" quotePrefix="0" xfId="0"/>
    <xf numFmtId="166" fontId="10" fillId="0" borderId="1" pivotButton="0" quotePrefix="0" xfId="0"/>
    <xf numFmtId="165" fontId="10" fillId="0" borderId="1" pivotButton="0" quotePrefix="0" xfId="0"/>
    <xf numFmtId="164" fontId="7" fillId="0" borderId="1" pivotButton="0" quotePrefix="0" xfId="0"/>
    <xf numFmtId="0" fontId="3" fillId="2" borderId="1" applyAlignment="1" pivotButton="0" quotePrefix="0" xfId="0">
      <alignment horizontal="center"/>
    </xf>
    <xf numFmtId="0" fontId="3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164" fontId="7" fillId="0" borderId="1" applyAlignment="1" pivotButton="0" quotePrefix="0" xfId="0">
      <alignment vertical="top"/>
    </xf>
    <xf numFmtId="164" fontId="1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KPIダッシュボード　使い方</t>
        </is>
      </c>
    </row>
    <row r="3">
      <c r="A3" s="2" t="inlineStr"/>
    </row>
    <row r="4">
      <c r="A4" s="3" t="inlineStr">
        <is>
          <t>■ 入力するのは「週次実績」シートの黄色セルだけです。それ以外はすべて数式です。</t>
        </is>
      </c>
    </row>
    <row r="5">
      <c r="A5" s="2" t="inlineStr"/>
    </row>
    <row r="6">
      <c r="A6" s="3" t="inlineStr">
        <is>
          <t>【毎週日曜夜・10分】</t>
        </is>
      </c>
    </row>
    <row r="7">
      <c r="A7" s="2" t="inlineStr">
        <is>
          <t xml:space="preserve">  1. 週次実績シートの黄色セルに、その週の数値を入れる</t>
        </is>
      </c>
    </row>
    <row r="8">
      <c r="A8" s="2" t="inlineStr">
        <is>
          <t xml:space="preserve">  2. 自動計算される「4週移動平均」と「計画比」を見る</t>
        </is>
      </c>
    </row>
    <row r="9">
      <c r="A9" s="2" t="inlineStr">
        <is>
          <t xml:space="preserve">  3. 判定欄（自動）で 🔴 が出た指標について、来週の打ち手を決める</t>
        </is>
      </c>
    </row>
    <row r="10">
      <c r="A10" s="2" t="inlineStr"/>
    </row>
    <row r="11">
      <c r="A11" s="3" t="inlineStr">
        <is>
          <t>【毎月末・30分】</t>
        </is>
      </c>
    </row>
    <row r="12">
      <c r="A12" s="2" t="inlineStr">
        <is>
          <t xml:space="preserve">  4. 月次サマリシートで7指標と収益構成比を確認する</t>
        </is>
      </c>
    </row>
    <row r="13">
      <c r="A13" s="2" t="inlineStr">
        <is>
          <t xml:space="preserve">  5. ゲート判定シートで、意思決定ゲートの通過状況を確認する</t>
        </is>
      </c>
    </row>
    <row r="14">
      <c r="A14" s="2" t="inlineStr"/>
    </row>
    <row r="15">
      <c r="A15" s="3" t="inlineStr">
        <is>
          <t>■ 最重要の2指標（先行指標）</t>
        </is>
      </c>
    </row>
    <row r="16">
      <c r="A16" s="2" t="inlineStr">
        <is>
          <t xml:space="preserve">  ・メールリスト純増数 … 事業の心臓。ここが止まったら全部止まる</t>
        </is>
      </c>
    </row>
    <row r="17">
      <c r="A17" s="2" t="inlineStr">
        <is>
          <t xml:space="preserve">  ・平均保存率        … 「役に立つ」の代理指標。いいね率より重要</t>
        </is>
      </c>
    </row>
    <row r="18">
      <c r="A18" s="2" t="inlineStr">
        <is>
          <t xml:space="preserve">  週次の意思決定は、この2つだけで行ってください。</t>
        </is>
      </c>
    </row>
    <row r="19">
      <c r="A19" s="2" t="inlineStr">
        <is>
          <t xml:space="preserve">  売上とフォロワー数は遅行指標です。週次で見て一喜一憂しないこと。</t>
        </is>
      </c>
    </row>
    <row r="20">
      <c r="A20" s="2" t="inlineStr"/>
    </row>
    <row r="21">
      <c r="A21" s="3" t="inlineStr">
        <is>
          <t>■ 投下時間は必ず実測してください。</t>
        </is>
      </c>
    </row>
    <row r="22">
      <c r="A22" s="2" t="inlineStr">
        <is>
          <t xml:space="preserve">  体感で書くと必ず過小に見積もります。週15時間の超過は最も危険な兆候で、</t>
        </is>
      </c>
    </row>
    <row r="23">
      <c r="A23" s="2" t="inlineStr">
        <is>
          <t xml:space="preserve">  放置すると6ヶ月目に必ず活動が止まります。</t>
        </is>
      </c>
    </row>
    <row r="24">
      <c r="A24" s="2" t="inlineStr"/>
    </row>
    <row r="25">
      <c r="A25" s="3" t="inlineStr">
        <is>
          <t>■ 計画比は 01_収支計画モデル.xlsx の標準シナリオを月次で4等分した値との比較です。</t>
        </is>
      </c>
    </row>
    <row r="26">
      <c r="A26" s="2" t="inlineStr">
        <is>
          <t xml:space="preserve">  計画比80%未満が2ヶ月続いたら、計画ではなく前提を疑ってください。</t>
        </is>
      </c>
    </row>
    <row r="27">
      <c r="A27" s="2" t="inlineStr"/>
    </row>
    <row r="28">
      <c r="A28" s="3" t="inlineStr">
        <is>
          <t>■ 本ファイルは開いた時点で全数式を自動再計算します。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1" customWidth="1" min="6" max="6"/>
    <col width="8" customWidth="1" min="7" max="7"/>
    <col width="12" customWidth="1" min="8" max="8"/>
    <col width="11" customWidth="1" min="9" max="9"/>
    <col width="10" customWidth="1" min="10" max="10"/>
    <col width="11" customWidth="1" min="11" max="11"/>
    <col width="10" customWidth="1" min="12" max="12"/>
    <col width="9" customWidth="1" min="13" max="13"/>
    <col width="11" customWidth="1" min="14" max="14"/>
    <col width="9" customWidth="1" min="15" max="15"/>
    <col width="11" customWidth="1" min="16" max="16"/>
    <col width="11" customWidth="1" min="17" max="17"/>
    <col width="10" customWidth="1" min="18" max="18"/>
    <col width="8" customWidth="1" min="19" max="19"/>
    <col width="10" customWidth="1" min="20" max="20"/>
    <col width="9" customWidth="1" min="21" max="21"/>
    <col width="9" customWidth="1" min="22" max="22"/>
    <col width="11" customWidth="1" min="23" max="23"/>
    <col width="11" customWidth="1" min="24" max="24"/>
    <col width="12" customWidth="1" min="25" max="25"/>
    <col width="11" customWidth="1" min="26" max="26"/>
    <col width="11" customWidth="1" min="27" max="27"/>
    <col width="10" customWidth="1" min="28" max="28"/>
    <col width="9" customWidth="1" min="29" max="29"/>
  </cols>
  <sheetData>
    <row r="1">
      <c r="A1" s="1" t="inlineStr">
        <is>
          <t>週次実績（入力シート）</t>
        </is>
      </c>
    </row>
    <row r="2">
      <c r="A2" s="4" t="inlineStr">
        <is>
          <t>黄色セルのみ入力。青字＝入力値／黒字＝数式／緑字＝他シート参照。</t>
        </is>
      </c>
    </row>
    <row r="3">
      <c r="A3" s="5" t="inlineStr">
        <is>
          <t>判定は4週移動平均に対して行われます（単週のブレで判断しないため）。1〜3週目は判定が出ません。</t>
        </is>
      </c>
    </row>
    <row r="5" ht="32" customHeight="1">
      <c r="A5" s="6" t="inlineStr">
        <is>
          <t>週</t>
        </is>
      </c>
      <c r="B5" s="6" t="inlineStr">
        <is>
          <t>週末日付</t>
        </is>
      </c>
      <c r="C5" s="6" t="inlineStr">
        <is>
          <t>経過月</t>
        </is>
      </c>
      <c r="D5" s="6" t="inlineStr">
        <is>
          <t>ﾒｰﾙﾘｽﾄ累計</t>
        </is>
      </c>
      <c r="E5" s="6" t="inlineStr">
        <is>
          <t>ﾘｽﾄ純増</t>
        </is>
      </c>
      <c r="F5" s="6" t="inlineStr">
        <is>
          <t>ﾘｽﾄ純増
4週平均</t>
        </is>
      </c>
      <c r="G5" s="6" t="inlineStr">
        <is>
          <t>判定
ﾘｽﾄ</t>
        </is>
      </c>
      <c r="H5" s="6" t="inlineStr">
        <is>
          <t>ﾌｫﾛﾜｰ累計</t>
        </is>
      </c>
      <c r="I5" s="6" t="inlineStr">
        <is>
          <t>ﾌｫﾛﾜｰ純増</t>
        </is>
      </c>
      <c r="J5" s="6" t="inlineStr">
        <is>
          <t>投稿本数</t>
        </is>
      </c>
      <c r="K5" s="6" t="inlineStr">
        <is>
          <t>ﾘｰﾁ</t>
        </is>
      </c>
      <c r="L5" s="6" t="inlineStr">
        <is>
          <t>保存数</t>
        </is>
      </c>
      <c r="M5" s="6" t="inlineStr">
        <is>
          <t>保存率</t>
        </is>
      </c>
      <c r="N5" s="6" t="inlineStr">
        <is>
          <t>保存率
4週平均</t>
        </is>
      </c>
      <c r="O5" s="6" t="inlineStr">
        <is>
          <t>判定
保存率</t>
        </is>
      </c>
      <c r="P5" s="6" t="inlineStr">
        <is>
          <t>ﾌﾟﾛﾌｨｰﾙ
訪問</t>
        </is>
      </c>
      <c r="Q5" s="6" t="inlineStr">
        <is>
          <t>LM登録数</t>
        </is>
      </c>
      <c r="R5" s="6" t="inlineStr">
        <is>
          <t>LM登録率</t>
        </is>
      </c>
      <c r="S5" s="6" t="inlineStr">
        <is>
          <t>判定
LM</t>
        </is>
      </c>
      <c r="T5" s="6" t="inlineStr">
        <is>
          <t>ガイド
販売数</t>
        </is>
      </c>
      <c r="U5" s="6" t="inlineStr">
        <is>
          <t>返金数</t>
        </is>
      </c>
      <c r="V5" s="6" t="inlineStr">
        <is>
          <t>返金率</t>
        </is>
      </c>
      <c r="W5" s="6" t="inlineStr">
        <is>
          <t>ｱﾌｨﾘ収益</t>
        </is>
      </c>
      <c r="X5" s="6" t="inlineStr">
        <is>
          <t>その他収益</t>
        </is>
      </c>
      <c r="Y5" s="6" t="inlineStr">
        <is>
          <t>週次売上</t>
        </is>
      </c>
      <c r="Z5" s="6" t="inlineStr">
        <is>
          <t>訪問店舗
(今週)</t>
        </is>
      </c>
      <c r="AA5" s="6" t="inlineStr">
        <is>
          <t>訪問店舗
累計</t>
        </is>
      </c>
      <c r="AB5" s="6" t="inlineStr">
        <is>
          <t>投下時間</t>
        </is>
      </c>
      <c r="AC5" s="6" t="inlineStr">
        <is>
          <t>判定
時間</t>
        </is>
      </c>
    </row>
    <row r="6">
      <c r="A6" s="7" t="n">
        <v>1</v>
      </c>
      <c r="B6" s="8" t="n"/>
      <c r="C6" s="9">
        <f>ROUNDUP($A6/4.345,0)</f>
        <v/>
      </c>
      <c r="D6" s="10" t="n"/>
      <c r="E6" s="9">
        <f>$D6</f>
        <v/>
      </c>
      <c r="F6" s="11" t="inlineStr"/>
      <c r="G6" s="7" t="inlineStr"/>
      <c r="H6" s="10" t="n"/>
      <c r="I6" s="9">
        <f>$H6</f>
        <v/>
      </c>
      <c r="J6" s="10" t="n"/>
      <c r="K6" s="10" t="n"/>
      <c r="L6" s="10" t="n"/>
      <c r="M6" s="12">
        <f>IF(OR($K6="",$K6=0),"",$L6/$K6)</f>
        <v/>
      </c>
      <c r="N6" s="12" t="inlineStr"/>
      <c r="O6" s="7">
        <f>IF($N6="","",IF($N6&gt;=0.03,"OK","要対策"))</f>
        <v/>
      </c>
      <c r="P6" s="10" t="n"/>
      <c r="Q6" s="10" t="n"/>
      <c r="R6" s="12">
        <f>IF(OR($P6="",$P6=0),"",$Q6/$P6)</f>
        <v/>
      </c>
      <c r="S6" s="7">
        <f>IF($R6="","",IF($R6&gt;=0.15,"OK","要対策"))</f>
        <v/>
      </c>
      <c r="T6" s="10" t="n"/>
      <c r="U6" s="10" t="n"/>
      <c r="V6" s="12">
        <f>IF(OR($T6="",$T6=0),"",$U6/$T6)</f>
        <v/>
      </c>
      <c r="W6" s="10" t="n"/>
      <c r="X6" s="10" t="n"/>
      <c r="Y6" s="9">
        <f>IF(COUNT($W6:$X6)=0,"",SUM($W6:$X6))</f>
        <v/>
      </c>
      <c r="Z6" s="10" t="n"/>
      <c r="AA6" s="9">
        <f>$Z6</f>
        <v/>
      </c>
      <c r="AB6" s="13" t="n"/>
      <c r="AC6" s="7">
        <f>IF($AB6="","",IF($AB6&lt;=15,"OK","超過"))</f>
        <v/>
      </c>
    </row>
    <row r="7">
      <c r="A7" s="7" t="n">
        <v>2</v>
      </c>
      <c r="B7" s="8" t="n"/>
      <c r="C7" s="9">
        <f>ROUNDUP($A7/4.345,0)</f>
        <v/>
      </c>
      <c r="D7" s="10" t="n"/>
      <c r="E7" s="9">
        <f>IF($D7="","",$D7-$D6)</f>
        <v/>
      </c>
      <c r="F7" s="11" t="inlineStr"/>
      <c r="G7" s="7" t="inlineStr"/>
      <c r="H7" s="10" t="n"/>
      <c r="I7" s="9">
        <f>IF($H7="","",$H7-$H6)</f>
        <v/>
      </c>
      <c r="J7" s="10" t="n"/>
      <c r="K7" s="10" t="n"/>
      <c r="L7" s="10" t="n"/>
      <c r="M7" s="12">
        <f>IF(OR($K7="",$K7=0),"",$L7/$K7)</f>
        <v/>
      </c>
      <c r="N7" s="12" t="inlineStr"/>
      <c r="O7" s="7">
        <f>IF($N7="","",IF($N7&gt;=0.03,"OK","要対策"))</f>
        <v/>
      </c>
      <c r="P7" s="10" t="n"/>
      <c r="Q7" s="10" t="n"/>
      <c r="R7" s="12">
        <f>IF(OR($P7="",$P7=0),"",$Q7/$P7)</f>
        <v/>
      </c>
      <c r="S7" s="7">
        <f>IF($R7="","",IF($R7&gt;=0.15,"OK","要対策"))</f>
        <v/>
      </c>
      <c r="T7" s="10" t="n"/>
      <c r="U7" s="10" t="n"/>
      <c r="V7" s="12">
        <f>IF(OR($T7="",$T7=0),"",$U7/$T7)</f>
        <v/>
      </c>
      <c r="W7" s="10" t="n"/>
      <c r="X7" s="10" t="n"/>
      <c r="Y7" s="9">
        <f>IF(COUNT($W7:$X7)=0,"",SUM($W7:$X7))</f>
        <v/>
      </c>
      <c r="Z7" s="10" t="n"/>
      <c r="AA7" s="9">
        <f>IF($Z7="",$AA6,$AA6+$Z7)</f>
        <v/>
      </c>
      <c r="AB7" s="13" t="n"/>
      <c r="AC7" s="7">
        <f>IF($AB7="","",IF($AB7&lt;=15,"OK","超過"))</f>
        <v/>
      </c>
    </row>
    <row r="8">
      <c r="A8" s="7" t="n">
        <v>3</v>
      </c>
      <c r="B8" s="8" t="n"/>
      <c r="C8" s="9">
        <f>ROUNDUP($A8/4.345,0)</f>
        <v/>
      </c>
      <c r="D8" s="10" t="n"/>
      <c r="E8" s="9">
        <f>IF($D8="","",$D8-$D7)</f>
        <v/>
      </c>
      <c r="F8" s="11" t="inlineStr"/>
      <c r="G8" s="7" t="inlineStr"/>
      <c r="H8" s="10" t="n"/>
      <c r="I8" s="9">
        <f>IF($H8="","",$H8-$H7)</f>
        <v/>
      </c>
      <c r="J8" s="10" t="n"/>
      <c r="K8" s="10" t="n"/>
      <c r="L8" s="10" t="n"/>
      <c r="M8" s="12">
        <f>IF(OR($K8="",$K8=0),"",$L8/$K8)</f>
        <v/>
      </c>
      <c r="N8" s="12" t="inlineStr"/>
      <c r="O8" s="7">
        <f>IF($N8="","",IF($N8&gt;=0.03,"OK","要対策"))</f>
        <v/>
      </c>
      <c r="P8" s="10" t="n"/>
      <c r="Q8" s="10" t="n"/>
      <c r="R8" s="12">
        <f>IF(OR($P8="",$P8=0),"",$Q8/$P8)</f>
        <v/>
      </c>
      <c r="S8" s="7">
        <f>IF($R8="","",IF($R8&gt;=0.15,"OK","要対策"))</f>
        <v/>
      </c>
      <c r="T8" s="10" t="n"/>
      <c r="U8" s="10" t="n"/>
      <c r="V8" s="12">
        <f>IF(OR($T8="",$T8=0),"",$U8/$T8)</f>
        <v/>
      </c>
      <c r="W8" s="10" t="n"/>
      <c r="X8" s="10" t="n"/>
      <c r="Y8" s="9">
        <f>IF(COUNT($W8:$X8)=0,"",SUM($W8:$X8))</f>
        <v/>
      </c>
      <c r="Z8" s="10" t="n"/>
      <c r="AA8" s="9">
        <f>IF($Z8="",$AA7,$AA7+$Z8)</f>
        <v/>
      </c>
      <c r="AB8" s="13" t="n"/>
      <c r="AC8" s="7">
        <f>IF($AB8="","",IF($AB8&lt;=15,"OK","超過"))</f>
        <v/>
      </c>
    </row>
    <row r="9">
      <c r="A9" s="7" t="n">
        <v>4</v>
      </c>
      <c r="B9" s="8" t="n"/>
      <c r="C9" s="9">
        <f>ROUNDUP($A9/4.345,0)</f>
        <v/>
      </c>
      <c r="D9" s="10" t="n"/>
      <c r="E9" s="9">
        <f>IF($D9="","",$D9-$D8)</f>
        <v/>
      </c>
      <c r="F9" s="11">
        <f>IF(COUNT($E6:$E9)&lt;4,"",AVERAGE($E6:$E9))</f>
        <v/>
      </c>
      <c r="G9" s="7" t="inlineStr"/>
      <c r="H9" s="10" t="n"/>
      <c r="I9" s="9">
        <f>IF($H9="","",$H9-$H8)</f>
        <v/>
      </c>
      <c r="J9" s="10" t="n"/>
      <c r="K9" s="10" t="n"/>
      <c r="L9" s="10" t="n"/>
      <c r="M9" s="12">
        <f>IF(OR($K9="",$K9=0),"",$L9/$K9)</f>
        <v/>
      </c>
      <c r="N9" s="12">
        <f>IF(COUNT($M6:$M9)&lt;4,"",AVERAGE($M6:$M9))</f>
        <v/>
      </c>
      <c r="O9" s="7">
        <f>IF($N9="","",IF($N9&gt;=0.03,"OK","要対策"))</f>
        <v/>
      </c>
      <c r="P9" s="10" t="n"/>
      <c r="Q9" s="10" t="n"/>
      <c r="R9" s="12">
        <f>IF(OR($P9="",$P9=0),"",$Q9/$P9)</f>
        <v/>
      </c>
      <c r="S9" s="7">
        <f>IF($R9="","",IF($R9&gt;=0.15,"OK","要対策"))</f>
        <v/>
      </c>
      <c r="T9" s="10" t="n"/>
      <c r="U9" s="10" t="n"/>
      <c r="V9" s="12">
        <f>IF(OR($T9="",$T9=0),"",$U9/$T9)</f>
        <v/>
      </c>
      <c r="W9" s="10" t="n"/>
      <c r="X9" s="10" t="n"/>
      <c r="Y9" s="9">
        <f>IF(COUNT($W9:$X9)=0,"",SUM($W9:$X9))</f>
        <v/>
      </c>
      <c r="Z9" s="10" t="n"/>
      <c r="AA9" s="9">
        <f>IF($Z9="",$AA8,$AA8+$Z9)</f>
        <v/>
      </c>
      <c r="AB9" s="13" t="n"/>
      <c r="AC9" s="7">
        <f>IF($AB9="","",IF($AB9&lt;=15,"OK","超過"))</f>
        <v/>
      </c>
    </row>
    <row r="10">
      <c r="A10" s="7" t="n">
        <v>5</v>
      </c>
      <c r="B10" s="8" t="n"/>
      <c r="C10" s="9">
        <f>ROUNDUP($A10/4.345,0)</f>
        <v/>
      </c>
      <c r="D10" s="10" t="n"/>
      <c r="E10" s="9">
        <f>IF($D10="","",$D10-$D9)</f>
        <v/>
      </c>
      <c r="F10" s="11">
        <f>IF(COUNT($E7:$E10)&lt;4,"",AVERAGE($E7:$E10))</f>
        <v/>
      </c>
      <c r="G10" s="7">
        <f>IF($F10="","",IF($F10&gt;=$F9,"OK","要対策"))</f>
        <v/>
      </c>
      <c r="H10" s="10" t="n"/>
      <c r="I10" s="9">
        <f>IF($H10="","",$H10-$H9)</f>
        <v/>
      </c>
      <c r="J10" s="10" t="n"/>
      <c r="K10" s="10" t="n"/>
      <c r="L10" s="10" t="n"/>
      <c r="M10" s="12">
        <f>IF(OR($K10="",$K10=0),"",$L10/$K10)</f>
        <v/>
      </c>
      <c r="N10" s="12">
        <f>IF(COUNT($M7:$M10)&lt;4,"",AVERAGE($M7:$M10))</f>
        <v/>
      </c>
      <c r="O10" s="7">
        <f>IF($N10="","",IF($N10&gt;=0.03,"OK","要対策"))</f>
        <v/>
      </c>
      <c r="P10" s="10" t="n"/>
      <c r="Q10" s="10" t="n"/>
      <c r="R10" s="12">
        <f>IF(OR($P10="",$P10=0),"",$Q10/$P10)</f>
        <v/>
      </c>
      <c r="S10" s="7">
        <f>IF($R10="","",IF($R10&gt;=0.15,"OK","要対策"))</f>
        <v/>
      </c>
      <c r="T10" s="10" t="n"/>
      <c r="U10" s="10" t="n"/>
      <c r="V10" s="12">
        <f>IF(OR($T10="",$T10=0),"",$U10/$T10)</f>
        <v/>
      </c>
      <c r="W10" s="10" t="n"/>
      <c r="X10" s="10" t="n"/>
      <c r="Y10" s="9">
        <f>IF(COUNT($W10:$X10)=0,"",SUM($W10:$X10))</f>
        <v/>
      </c>
      <c r="Z10" s="10" t="n"/>
      <c r="AA10" s="9">
        <f>IF($Z10="",$AA9,$AA9+$Z10)</f>
        <v/>
      </c>
      <c r="AB10" s="13" t="n"/>
      <c r="AC10" s="7">
        <f>IF($AB10="","",IF($AB10&lt;=15,"OK","超過"))</f>
        <v/>
      </c>
    </row>
    <row r="11">
      <c r="A11" s="7" t="n">
        <v>6</v>
      </c>
      <c r="B11" s="8" t="n"/>
      <c r="C11" s="9">
        <f>ROUNDUP($A11/4.345,0)</f>
        <v/>
      </c>
      <c r="D11" s="10" t="n"/>
      <c r="E11" s="9">
        <f>IF($D11="","",$D11-$D10)</f>
        <v/>
      </c>
      <c r="F11" s="11">
        <f>IF(COUNT($E8:$E11)&lt;4,"",AVERAGE($E8:$E11))</f>
        <v/>
      </c>
      <c r="G11" s="7">
        <f>IF($F11="","",IF($F11&gt;=$F10,"OK","要対策"))</f>
        <v/>
      </c>
      <c r="H11" s="10" t="n"/>
      <c r="I11" s="9">
        <f>IF($H11="","",$H11-$H10)</f>
        <v/>
      </c>
      <c r="J11" s="10" t="n"/>
      <c r="K11" s="10" t="n"/>
      <c r="L11" s="10" t="n"/>
      <c r="M11" s="12">
        <f>IF(OR($K11="",$K11=0),"",$L11/$K11)</f>
        <v/>
      </c>
      <c r="N11" s="12">
        <f>IF(COUNT($M8:$M11)&lt;4,"",AVERAGE($M8:$M11))</f>
        <v/>
      </c>
      <c r="O11" s="7">
        <f>IF($N11="","",IF($N11&gt;=0.03,"OK","要対策"))</f>
        <v/>
      </c>
      <c r="P11" s="10" t="n"/>
      <c r="Q11" s="10" t="n"/>
      <c r="R11" s="12">
        <f>IF(OR($P11="",$P11=0),"",$Q11/$P11)</f>
        <v/>
      </c>
      <c r="S11" s="7">
        <f>IF($R11="","",IF($R11&gt;=0.15,"OK","要対策"))</f>
        <v/>
      </c>
      <c r="T11" s="10" t="n"/>
      <c r="U11" s="10" t="n"/>
      <c r="V11" s="12">
        <f>IF(OR($T11="",$T11=0),"",$U11/$T11)</f>
        <v/>
      </c>
      <c r="W11" s="10" t="n"/>
      <c r="X11" s="10" t="n"/>
      <c r="Y11" s="9">
        <f>IF(COUNT($W11:$X11)=0,"",SUM($W11:$X11))</f>
        <v/>
      </c>
      <c r="Z11" s="10" t="n"/>
      <c r="AA11" s="9">
        <f>IF($Z11="",$AA10,$AA10+$Z11)</f>
        <v/>
      </c>
      <c r="AB11" s="13" t="n"/>
      <c r="AC11" s="7">
        <f>IF($AB11="","",IF($AB11&lt;=15,"OK","超過"))</f>
        <v/>
      </c>
    </row>
    <row r="12">
      <c r="A12" s="7" t="n">
        <v>7</v>
      </c>
      <c r="B12" s="8" t="n"/>
      <c r="C12" s="9">
        <f>ROUNDUP($A12/4.345,0)</f>
        <v/>
      </c>
      <c r="D12" s="10" t="n"/>
      <c r="E12" s="9">
        <f>IF($D12="","",$D12-$D11)</f>
        <v/>
      </c>
      <c r="F12" s="11">
        <f>IF(COUNT($E9:$E12)&lt;4,"",AVERAGE($E9:$E12))</f>
        <v/>
      </c>
      <c r="G12" s="7">
        <f>IF($F12="","",IF($F12&gt;=$F11,"OK","要対策"))</f>
        <v/>
      </c>
      <c r="H12" s="10" t="n"/>
      <c r="I12" s="9">
        <f>IF($H12="","",$H12-$H11)</f>
        <v/>
      </c>
      <c r="J12" s="10" t="n"/>
      <c r="K12" s="10" t="n"/>
      <c r="L12" s="10" t="n"/>
      <c r="M12" s="12">
        <f>IF(OR($K12="",$K12=0),"",$L12/$K12)</f>
        <v/>
      </c>
      <c r="N12" s="12">
        <f>IF(COUNT($M9:$M12)&lt;4,"",AVERAGE($M9:$M12))</f>
        <v/>
      </c>
      <c r="O12" s="7">
        <f>IF($N12="","",IF($N12&gt;=0.03,"OK","要対策"))</f>
        <v/>
      </c>
      <c r="P12" s="10" t="n"/>
      <c r="Q12" s="10" t="n"/>
      <c r="R12" s="12">
        <f>IF(OR($P12="",$P12=0),"",$Q12/$P12)</f>
        <v/>
      </c>
      <c r="S12" s="7">
        <f>IF($R12="","",IF($R12&gt;=0.15,"OK","要対策"))</f>
        <v/>
      </c>
      <c r="T12" s="10" t="n"/>
      <c r="U12" s="10" t="n"/>
      <c r="V12" s="12">
        <f>IF(OR($T12="",$T12=0),"",$U12/$T12)</f>
        <v/>
      </c>
      <c r="W12" s="10" t="n"/>
      <c r="X12" s="10" t="n"/>
      <c r="Y12" s="9">
        <f>IF(COUNT($W12:$X12)=0,"",SUM($W12:$X12))</f>
        <v/>
      </c>
      <c r="Z12" s="10" t="n"/>
      <c r="AA12" s="9">
        <f>IF($Z12="",$AA11,$AA11+$Z12)</f>
        <v/>
      </c>
      <c r="AB12" s="13" t="n"/>
      <c r="AC12" s="7">
        <f>IF($AB12="","",IF($AB12&lt;=15,"OK","超過"))</f>
        <v/>
      </c>
    </row>
    <row r="13">
      <c r="A13" s="7" t="n">
        <v>8</v>
      </c>
      <c r="B13" s="8" t="n"/>
      <c r="C13" s="9">
        <f>ROUNDUP($A13/4.345,0)</f>
        <v/>
      </c>
      <c r="D13" s="10" t="n"/>
      <c r="E13" s="9">
        <f>IF($D13="","",$D13-$D12)</f>
        <v/>
      </c>
      <c r="F13" s="11">
        <f>IF(COUNT($E10:$E13)&lt;4,"",AVERAGE($E10:$E13))</f>
        <v/>
      </c>
      <c r="G13" s="7">
        <f>IF($F13="","",IF($F13&gt;=$F12,"OK","要対策"))</f>
        <v/>
      </c>
      <c r="H13" s="10" t="n"/>
      <c r="I13" s="9">
        <f>IF($H13="","",$H13-$H12)</f>
        <v/>
      </c>
      <c r="J13" s="10" t="n"/>
      <c r="K13" s="10" t="n"/>
      <c r="L13" s="10" t="n"/>
      <c r="M13" s="12">
        <f>IF(OR($K13="",$K13=0),"",$L13/$K13)</f>
        <v/>
      </c>
      <c r="N13" s="12">
        <f>IF(COUNT($M10:$M13)&lt;4,"",AVERAGE($M10:$M13))</f>
        <v/>
      </c>
      <c r="O13" s="7">
        <f>IF($N13="","",IF($N13&gt;=0.03,"OK","要対策"))</f>
        <v/>
      </c>
      <c r="P13" s="10" t="n"/>
      <c r="Q13" s="10" t="n"/>
      <c r="R13" s="12">
        <f>IF(OR($P13="",$P13=0),"",$Q13/$P13)</f>
        <v/>
      </c>
      <c r="S13" s="7">
        <f>IF($R13="","",IF($R13&gt;=0.15,"OK","要対策"))</f>
        <v/>
      </c>
      <c r="T13" s="10" t="n"/>
      <c r="U13" s="10" t="n"/>
      <c r="V13" s="12">
        <f>IF(OR($T13="",$T13=0),"",$U13/$T13)</f>
        <v/>
      </c>
      <c r="W13" s="10" t="n"/>
      <c r="X13" s="10" t="n"/>
      <c r="Y13" s="9">
        <f>IF(COUNT($W13:$X13)=0,"",SUM($W13:$X13))</f>
        <v/>
      </c>
      <c r="Z13" s="10" t="n"/>
      <c r="AA13" s="9">
        <f>IF($Z13="",$AA12,$AA12+$Z13)</f>
        <v/>
      </c>
      <c r="AB13" s="13" t="n"/>
      <c r="AC13" s="7">
        <f>IF($AB13="","",IF($AB13&lt;=15,"OK","超過"))</f>
        <v/>
      </c>
    </row>
    <row r="14">
      <c r="A14" s="7" t="n">
        <v>9</v>
      </c>
      <c r="B14" s="8" t="n"/>
      <c r="C14" s="9">
        <f>ROUNDUP($A14/4.345,0)</f>
        <v/>
      </c>
      <c r="D14" s="10" t="n"/>
      <c r="E14" s="9">
        <f>IF($D14="","",$D14-$D13)</f>
        <v/>
      </c>
      <c r="F14" s="11">
        <f>IF(COUNT($E11:$E14)&lt;4,"",AVERAGE($E11:$E14))</f>
        <v/>
      </c>
      <c r="G14" s="7">
        <f>IF($F14="","",IF($F14&gt;=$F13,"OK","要対策"))</f>
        <v/>
      </c>
      <c r="H14" s="10" t="n"/>
      <c r="I14" s="9">
        <f>IF($H14="","",$H14-$H13)</f>
        <v/>
      </c>
      <c r="J14" s="10" t="n"/>
      <c r="K14" s="10" t="n"/>
      <c r="L14" s="10" t="n"/>
      <c r="M14" s="12">
        <f>IF(OR($K14="",$K14=0),"",$L14/$K14)</f>
        <v/>
      </c>
      <c r="N14" s="12">
        <f>IF(COUNT($M11:$M14)&lt;4,"",AVERAGE($M11:$M14))</f>
        <v/>
      </c>
      <c r="O14" s="7">
        <f>IF($N14="","",IF($N14&gt;=0.03,"OK","要対策"))</f>
        <v/>
      </c>
      <c r="P14" s="10" t="n"/>
      <c r="Q14" s="10" t="n"/>
      <c r="R14" s="12">
        <f>IF(OR($P14="",$P14=0),"",$Q14/$P14)</f>
        <v/>
      </c>
      <c r="S14" s="7">
        <f>IF($R14="","",IF($R14&gt;=0.15,"OK","要対策"))</f>
        <v/>
      </c>
      <c r="T14" s="10" t="n"/>
      <c r="U14" s="10" t="n"/>
      <c r="V14" s="12">
        <f>IF(OR($T14="",$T14=0),"",$U14/$T14)</f>
        <v/>
      </c>
      <c r="W14" s="10" t="n"/>
      <c r="X14" s="10" t="n"/>
      <c r="Y14" s="9">
        <f>IF(COUNT($W14:$X14)=0,"",SUM($W14:$X14))</f>
        <v/>
      </c>
      <c r="Z14" s="10" t="n"/>
      <c r="AA14" s="9">
        <f>IF($Z14="",$AA13,$AA13+$Z14)</f>
        <v/>
      </c>
      <c r="AB14" s="13" t="n"/>
      <c r="AC14" s="7">
        <f>IF($AB14="","",IF($AB14&lt;=15,"OK","超過"))</f>
        <v/>
      </c>
    </row>
    <row r="15">
      <c r="A15" s="7" t="n">
        <v>10</v>
      </c>
      <c r="B15" s="8" t="n"/>
      <c r="C15" s="9">
        <f>ROUNDUP($A15/4.345,0)</f>
        <v/>
      </c>
      <c r="D15" s="10" t="n"/>
      <c r="E15" s="9">
        <f>IF($D15="","",$D15-$D14)</f>
        <v/>
      </c>
      <c r="F15" s="11">
        <f>IF(COUNT($E12:$E15)&lt;4,"",AVERAGE($E12:$E15))</f>
        <v/>
      </c>
      <c r="G15" s="7">
        <f>IF($F15="","",IF($F15&gt;=$F14,"OK","要対策"))</f>
        <v/>
      </c>
      <c r="H15" s="10" t="n"/>
      <c r="I15" s="9">
        <f>IF($H15="","",$H15-$H14)</f>
        <v/>
      </c>
      <c r="J15" s="10" t="n"/>
      <c r="K15" s="10" t="n"/>
      <c r="L15" s="10" t="n"/>
      <c r="M15" s="12">
        <f>IF(OR($K15="",$K15=0),"",$L15/$K15)</f>
        <v/>
      </c>
      <c r="N15" s="12">
        <f>IF(COUNT($M12:$M15)&lt;4,"",AVERAGE($M12:$M15))</f>
        <v/>
      </c>
      <c r="O15" s="7">
        <f>IF($N15="","",IF($N15&gt;=0.03,"OK","要対策"))</f>
        <v/>
      </c>
      <c r="P15" s="10" t="n"/>
      <c r="Q15" s="10" t="n"/>
      <c r="R15" s="12">
        <f>IF(OR($P15="",$P15=0),"",$Q15/$P15)</f>
        <v/>
      </c>
      <c r="S15" s="7">
        <f>IF($R15="","",IF($R15&gt;=0.15,"OK","要対策"))</f>
        <v/>
      </c>
      <c r="T15" s="10" t="n"/>
      <c r="U15" s="10" t="n"/>
      <c r="V15" s="12">
        <f>IF(OR($T15="",$T15=0),"",$U15/$T15)</f>
        <v/>
      </c>
      <c r="W15" s="10" t="n"/>
      <c r="X15" s="10" t="n"/>
      <c r="Y15" s="9">
        <f>IF(COUNT($W15:$X15)=0,"",SUM($W15:$X15))</f>
        <v/>
      </c>
      <c r="Z15" s="10" t="n"/>
      <c r="AA15" s="9">
        <f>IF($Z15="",$AA14,$AA14+$Z15)</f>
        <v/>
      </c>
      <c r="AB15" s="13" t="n"/>
      <c r="AC15" s="7">
        <f>IF($AB15="","",IF($AB15&lt;=15,"OK","超過"))</f>
        <v/>
      </c>
    </row>
    <row r="16">
      <c r="A16" s="7" t="n">
        <v>11</v>
      </c>
      <c r="B16" s="8" t="n"/>
      <c r="C16" s="9">
        <f>ROUNDUP($A16/4.345,0)</f>
        <v/>
      </c>
      <c r="D16" s="10" t="n"/>
      <c r="E16" s="9">
        <f>IF($D16="","",$D16-$D15)</f>
        <v/>
      </c>
      <c r="F16" s="11">
        <f>IF(COUNT($E13:$E16)&lt;4,"",AVERAGE($E13:$E16))</f>
        <v/>
      </c>
      <c r="G16" s="7">
        <f>IF($F16="","",IF($F16&gt;=$F15,"OK","要対策"))</f>
        <v/>
      </c>
      <c r="H16" s="10" t="n"/>
      <c r="I16" s="9">
        <f>IF($H16="","",$H16-$H15)</f>
        <v/>
      </c>
      <c r="J16" s="10" t="n"/>
      <c r="K16" s="10" t="n"/>
      <c r="L16" s="10" t="n"/>
      <c r="M16" s="12">
        <f>IF(OR($K16="",$K16=0),"",$L16/$K16)</f>
        <v/>
      </c>
      <c r="N16" s="12">
        <f>IF(COUNT($M13:$M16)&lt;4,"",AVERAGE($M13:$M16))</f>
        <v/>
      </c>
      <c r="O16" s="7">
        <f>IF($N16="","",IF($N16&gt;=0.03,"OK","要対策"))</f>
        <v/>
      </c>
      <c r="P16" s="10" t="n"/>
      <c r="Q16" s="10" t="n"/>
      <c r="R16" s="12">
        <f>IF(OR($P16="",$P16=0),"",$Q16/$P16)</f>
        <v/>
      </c>
      <c r="S16" s="7">
        <f>IF($R16="","",IF($R16&gt;=0.15,"OK","要対策"))</f>
        <v/>
      </c>
      <c r="T16" s="10" t="n"/>
      <c r="U16" s="10" t="n"/>
      <c r="V16" s="12">
        <f>IF(OR($T16="",$T16=0),"",$U16/$T16)</f>
        <v/>
      </c>
      <c r="W16" s="10" t="n"/>
      <c r="X16" s="10" t="n"/>
      <c r="Y16" s="9">
        <f>IF(COUNT($W16:$X16)=0,"",SUM($W16:$X16))</f>
        <v/>
      </c>
      <c r="Z16" s="10" t="n"/>
      <c r="AA16" s="9">
        <f>IF($Z16="",$AA15,$AA15+$Z16)</f>
        <v/>
      </c>
      <c r="AB16" s="13" t="n"/>
      <c r="AC16" s="7">
        <f>IF($AB16="","",IF($AB16&lt;=15,"OK","超過"))</f>
        <v/>
      </c>
    </row>
    <row r="17">
      <c r="A17" s="7" t="n">
        <v>12</v>
      </c>
      <c r="B17" s="8" t="n"/>
      <c r="C17" s="9">
        <f>ROUNDUP($A17/4.345,0)</f>
        <v/>
      </c>
      <c r="D17" s="10" t="n"/>
      <c r="E17" s="9">
        <f>IF($D17="","",$D17-$D16)</f>
        <v/>
      </c>
      <c r="F17" s="11">
        <f>IF(COUNT($E14:$E17)&lt;4,"",AVERAGE($E14:$E17))</f>
        <v/>
      </c>
      <c r="G17" s="7">
        <f>IF($F17="","",IF($F17&gt;=$F16,"OK","要対策"))</f>
        <v/>
      </c>
      <c r="H17" s="10" t="n"/>
      <c r="I17" s="9">
        <f>IF($H17="","",$H17-$H16)</f>
        <v/>
      </c>
      <c r="J17" s="10" t="n"/>
      <c r="K17" s="10" t="n"/>
      <c r="L17" s="10" t="n"/>
      <c r="M17" s="12">
        <f>IF(OR($K17="",$K17=0),"",$L17/$K17)</f>
        <v/>
      </c>
      <c r="N17" s="12">
        <f>IF(COUNT($M14:$M17)&lt;4,"",AVERAGE($M14:$M17))</f>
        <v/>
      </c>
      <c r="O17" s="7">
        <f>IF($N17="","",IF($N17&gt;=0.03,"OK","要対策"))</f>
        <v/>
      </c>
      <c r="P17" s="10" t="n"/>
      <c r="Q17" s="10" t="n"/>
      <c r="R17" s="12">
        <f>IF(OR($P17="",$P17=0),"",$Q17/$P17)</f>
        <v/>
      </c>
      <c r="S17" s="7">
        <f>IF($R17="","",IF($R17&gt;=0.15,"OK","要対策"))</f>
        <v/>
      </c>
      <c r="T17" s="10" t="n"/>
      <c r="U17" s="10" t="n"/>
      <c r="V17" s="12">
        <f>IF(OR($T17="",$T17=0),"",$U17/$T17)</f>
        <v/>
      </c>
      <c r="W17" s="10" t="n"/>
      <c r="X17" s="10" t="n"/>
      <c r="Y17" s="9">
        <f>IF(COUNT($W17:$X17)=0,"",SUM($W17:$X17))</f>
        <v/>
      </c>
      <c r="Z17" s="10" t="n"/>
      <c r="AA17" s="9">
        <f>IF($Z17="",$AA16,$AA16+$Z17)</f>
        <v/>
      </c>
      <c r="AB17" s="13" t="n"/>
      <c r="AC17" s="7">
        <f>IF($AB17="","",IF($AB17&lt;=15,"OK","超過"))</f>
        <v/>
      </c>
    </row>
    <row r="18">
      <c r="A18" s="14" t="n">
        <v>13</v>
      </c>
      <c r="B18" s="8" t="n"/>
      <c r="C18" s="15">
        <f>ROUNDUP($A18/4.345,0)</f>
        <v/>
      </c>
      <c r="D18" s="10" t="n"/>
      <c r="E18" s="15">
        <f>IF($D18="","",$D18-$D17)</f>
        <v/>
      </c>
      <c r="F18" s="16">
        <f>IF(COUNT($E15:$E18)&lt;4,"",AVERAGE($E15:$E18))</f>
        <v/>
      </c>
      <c r="G18" s="14">
        <f>IF($F18="","",IF($F18&gt;=$F17,"OK","要対策"))</f>
        <v/>
      </c>
      <c r="H18" s="10" t="n"/>
      <c r="I18" s="15">
        <f>IF($H18="","",$H18-$H17)</f>
        <v/>
      </c>
      <c r="J18" s="10" t="n"/>
      <c r="K18" s="10" t="n"/>
      <c r="L18" s="10" t="n"/>
      <c r="M18" s="17">
        <f>IF(OR($K18="",$K18=0),"",$L18/$K18)</f>
        <v/>
      </c>
      <c r="N18" s="17">
        <f>IF(COUNT($M15:$M18)&lt;4,"",AVERAGE($M15:$M18))</f>
        <v/>
      </c>
      <c r="O18" s="14">
        <f>IF($N18="","",IF($N18&gt;=0.03,"OK","要対策"))</f>
        <v/>
      </c>
      <c r="P18" s="10" t="n"/>
      <c r="Q18" s="10" t="n"/>
      <c r="R18" s="17">
        <f>IF(OR($P18="",$P18=0),"",$Q18/$P18)</f>
        <v/>
      </c>
      <c r="S18" s="14">
        <f>IF($R18="","",IF($R18&gt;=0.15,"OK","要対策"))</f>
        <v/>
      </c>
      <c r="T18" s="10" t="n"/>
      <c r="U18" s="10" t="n"/>
      <c r="V18" s="17">
        <f>IF(OR($T18="",$T18=0),"",$U18/$T18)</f>
        <v/>
      </c>
      <c r="W18" s="10" t="n"/>
      <c r="X18" s="10" t="n"/>
      <c r="Y18" s="15">
        <f>IF(COUNT($W18:$X18)=0,"",SUM($W18:$X18))</f>
        <v/>
      </c>
      <c r="Z18" s="10" t="n"/>
      <c r="AA18" s="15">
        <f>IF($Z18="",$AA17,$AA17+$Z18)</f>
        <v/>
      </c>
      <c r="AB18" s="13" t="n"/>
      <c r="AC18" s="14">
        <f>IF($AB18="","",IF($AB18&lt;=15,"OK","超過"))</f>
        <v/>
      </c>
    </row>
    <row r="19">
      <c r="A19" s="7" t="n">
        <v>14</v>
      </c>
      <c r="B19" s="8" t="n"/>
      <c r="C19" s="9">
        <f>ROUNDUP($A19/4.345,0)</f>
        <v/>
      </c>
      <c r="D19" s="10" t="n"/>
      <c r="E19" s="9">
        <f>IF($D19="","",$D19-$D18)</f>
        <v/>
      </c>
      <c r="F19" s="11">
        <f>IF(COUNT($E16:$E19)&lt;4,"",AVERAGE($E16:$E19))</f>
        <v/>
      </c>
      <c r="G19" s="7">
        <f>IF($F19="","",IF($F19&gt;=$F18,"OK","要対策"))</f>
        <v/>
      </c>
      <c r="H19" s="10" t="n"/>
      <c r="I19" s="9">
        <f>IF($H19="","",$H19-$H18)</f>
        <v/>
      </c>
      <c r="J19" s="10" t="n"/>
      <c r="K19" s="10" t="n"/>
      <c r="L19" s="10" t="n"/>
      <c r="M19" s="12">
        <f>IF(OR($K19="",$K19=0),"",$L19/$K19)</f>
        <v/>
      </c>
      <c r="N19" s="12">
        <f>IF(COUNT($M16:$M19)&lt;4,"",AVERAGE($M16:$M19))</f>
        <v/>
      </c>
      <c r="O19" s="7">
        <f>IF($N19="","",IF($N19&gt;=0.03,"OK","要対策"))</f>
        <v/>
      </c>
      <c r="P19" s="10" t="n"/>
      <c r="Q19" s="10" t="n"/>
      <c r="R19" s="12">
        <f>IF(OR($P19="",$P19=0),"",$Q19/$P19)</f>
        <v/>
      </c>
      <c r="S19" s="7">
        <f>IF($R19="","",IF($R19&gt;=0.15,"OK","要対策"))</f>
        <v/>
      </c>
      <c r="T19" s="10" t="n"/>
      <c r="U19" s="10" t="n"/>
      <c r="V19" s="12">
        <f>IF(OR($T19="",$T19=0),"",$U19/$T19)</f>
        <v/>
      </c>
      <c r="W19" s="10" t="n"/>
      <c r="X19" s="10" t="n"/>
      <c r="Y19" s="9">
        <f>IF(COUNT($W19:$X19)=0,"",SUM($W19:$X19))</f>
        <v/>
      </c>
      <c r="Z19" s="10" t="n"/>
      <c r="AA19" s="9">
        <f>IF($Z19="",$AA18,$AA18+$Z19)</f>
        <v/>
      </c>
      <c r="AB19" s="13" t="n"/>
      <c r="AC19" s="7">
        <f>IF($AB19="","",IF($AB19&lt;=15,"OK","超過"))</f>
        <v/>
      </c>
    </row>
    <row r="20">
      <c r="A20" s="7" t="n">
        <v>15</v>
      </c>
      <c r="B20" s="8" t="n"/>
      <c r="C20" s="9">
        <f>ROUNDUP($A20/4.345,0)</f>
        <v/>
      </c>
      <c r="D20" s="10" t="n"/>
      <c r="E20" s="9">
        <f>IF($D20="","",$D20-$D19)</f>
        <v/>
      </c>
      <c r="F20" s="11">
        <f>IF(COUNT($E17:$E20)&lt;4,"",AVERAGE($E17:$E20))</f>
        <v/>
      </c>
      <c r="G20" s="7">
        <f>IF($F20="","",IF($F20&gt;=$F19,"OK","要対策"))</f>
        <v/>
      </c>
      <c r="H20" s="10" t="n"/>
      <c r="I20" s="9">
        <f>IF($H20="","",$H20-$H19)</f>
        <v/>
      </c>
      <c r="J20" s="10" t="n"/>
      <c r="K20" s="10" t="n"/>
      <c r="L20" s="10" t="n"/>
      <c r="M20" s="12">
        <f>IF(OR($K20="",$K20=0),"",$L20/$K20)</f>
        <v/>
      </c>
      <c r="N20" s="12">
        <f>IF(COUNT($M17:$M20)&lt;4,"",AVERAGE($M17:$M20))</f>
        <v/>
      </c>
      <c r="O20" s="7">
        <f>IF($N20="","",IF($N20&gt;=0.03,"OK","要対策"))</f>
        <v/>
      </c>
      <c r="P20" s="10" t="n"/>
      <c r="Q20" s="10" t="n"/>
      <c r="R20" s="12">
        <f>IF(OR($P20="",$P20=0),"",$Q20/$P20)</f>
        <v/>
      </c>
      <c r="S20" s="7">
        <f>IF($R20="","",IF($R20&gt;=0.15,"OK","要対策"))</f>
        <v/>
      </c>
      <c r="T20" s="10" t="n"/>
      <c r="U20" s="10" t="n"/>
      <c r="V20" s="12">
        <f>IF(OR($T20="",$T20=0),"",$U20/$T20)</f>
        <v/>
      </c>
      <c r="W20" s="10" t="n"/>
      <c r="X20" s="10" t="n"/>
      <c r="Y20" s="9">
        <f>IF(COUNT($W20:$X20)=0,"",SUM($W20:$X20))</f>
        <v/>
      </c>
      <c r="Z20" s="10" t="n"/>
      <c r="AA20" s="9">
        <f>IF($Z20="",$AA19,$AA19+$Z20)</f>
        <v/>
      </c>
      <c r="AB20" s="13" t="n"/>
      <c r="AC20" s="7">
        <f>IF($AB20="","",IF($AB20&lt;=15,"OK","超過"))</f>
        <v/>
      </c>
    </row>
    <row r="21">
      <c r="A21" s="7" t="n">
        <v>16</v>
      </c>
      <c r="B21" s="8" t="n"/>
      <c r="C21" s="9">
        <f>ROUNDUP($A21/4.345,0)</f>
        <v/>
      </c>
      <c r="D21" s="10" t="n"/>
      <c r="E21" s="9">
        <f>IF($D21="","",$D21-$D20)</f>
        <v/>
      </c>
      <c r="F21" s="11">
        <f>IF(COUNT($E18:$E21)&lt;4,"",AVERAGE($E18:$E21))</f>
        <v/>
      </c>
      <c r="G21" s="7">
        <f>IF($F21="","",IF($F21&gt;=$F20,"OK","要対策"))</f>
        <v/>
      </c>
      <c r="H21" s="10" t="n"/>
      <c r="I21" s="9">
        <f>IF($H21="","",$H21-$H20)</f>
        <v/>
      </c>
      <c r="J21" s="10" t="n"/>
      <c r="K21" s="10" t="n"/>
      <c r="L21" s="10" t="n"/>
      <c r="M21" s="12">
        <f>IF(OR($K21="",$K21=0),"",$L21/$K21)</f>
        <v/>
      </c>
      <c r="N21" s="12">
        <f>IF(COUNT($M18:$M21)&lt;4,"",AVERAGE($M18:$M21))</f>
        <v/>
      </c>
      <c r="O21" s="7">
        <f>IF($N21="","",IF($N21&gt;=0.03,"OK","要対策"))</f>
        <v/>
      </c>
      <c r="P21" s="10" t="n"/>
      <c r="Q21" s="10" t="n"/>
      <c r="R21" s="12">
        <f>IF(OR($P21="",$P21=0),"",$Q21/$P21)</f>
        <v/>
      </c>
      <c r="S21" s="7">
        <f>IF($R21="","",IF($R21&gt;=0.15,"OK","要対策"))</f>
        <v/>
      </c>
      <c r="T21" s="10" t="n"/>
      <c r="U21" s="10" t="n"/>
      <c r="V21" s="12">
        <f>IF(OR($T21="",$T21=0),"",$U21/$T21)</f>
        <v/>
      </c>
      <c r="W21" s="10" t="n"/>
      <c r="X21" s="10" t="n"/>
      <c r="Y21" s="9">
        <f>IF(COUNT($W21:$X21)=0,"",SUM($W21:$X21))</f>
        <v/>
      </c>
      <c r="Z21" s="10" t="n"/>
      <c r="AA21" s="9">
        <f>IF($Z21="",$AA20,$AA20+$Z21)</f>
        <v/>
      </c>
      <c r="AB21" s="13" t="n"/>
      <c r="AC21" s="7">
        <f>IF($AB21="","",IF($AB21&lt;=15,"OK","超過"))</f>
        <v/>
      </c>
    </row>
    <row r="22">
      <c r="A22" s="7" t="n">
        <v>17</v>
      </c>
      <c r="B22" s="8" t="n"/>
      <c r="C22" s="9">
        <f>ROUNDUP($A22/4.345,0)</f>
        <v/>
      </c>
      <c r="D22" s="10" t="n"/>
      <c r="E22" s="9">
        <f>IF($D22="","",$D22-$D21)</f>
        <v/>
      </c>
      <c r="F22" s="11">
        <f>IF(COUNT($E19:$E22)&lt;4,"",AVERAGE($E19:$E22))</f>
        <v/>
      </c>
      <c r="G22" s="7">
        <f>IF($F22="","",IF($F22&gt;=$F21,"OK","要対策"))</f>
        <v/>
      </c>
      <c r="H22" s="10" t="n"/>
      <c r="I22" s="9">
        <f>IF($H22="","",$H22-$H21)</f>
        <v/>
      </c>
      <c r="J22" s="10" t="n"/>
      <c r="K22" s="10" t="n"/>
      <c r="L22" s="10" t="n"/>
      <c r="M22" s="12">
        <f>IF(OR($K22="",$K22=0),"",$L22/$K22)</f>
        <v/>
      </c>
      <c r="N22" s="12">
        <f>IF(COUNT($M19:$M22)&lt;4,"",AVERAGE($M19:$M22))</f>
        <v/>
      </c>
      <c r="O22" s="7">
        <f>IF($N22="","",IF($N22&gt;=0.03,"OK","要対策"))</f>
        <v/>
      </c>
      <c r="P22" s="10" t="n"/>
      <c r="Q22" s="10" t="n"/>
      <c r="R22" s="12">
        <f>IF(OR($P22="",$P22=0),"",$Q22/$P22)</f>
        <v/>
      </c>
      <c r="S22" s="7">
        <f>IF($R22="","",IF($R22&gt;=0.15,"OK","要対策"))</f>
        <v/>
      </c>
      <c r="T22" s="10" t="n"/>
      <c r="U22" s="10" t="n"/>
      <c r="V22" s="12">
        <f>IF(OR($T22="",$T22=0),"",$U22/$T22)</f>
        <v/>
      </c>
      <c r="W22" s="10" t="n"/>
      <c r="X22" s="10" t="n"/>
      <c r="Y22" s="9">
        <f>IF(COUNT($W22:$X22)=0,"",SUM($W22:$X22))</f>
        <v/>
      </c>
      <c r="Z22" s="10" t="n"/>
      <c r="AA22" s="9">
        <f>IF($Z22="",$AA21,$AA21+$Z22)</f>
        <v/>
      </c>
      <c r="AB22" s="13" t="n"/>
      <c r="AC22" s="7">
        <f>IF($AB22="","",IF($AB22&lt;=15,"OK","超過"))</f>
        <v/>
      </c>
    </row>
    <row r="23">
      <c r="A23" s="7" t="n">
        <v>18</v>
      </c>
      <c r="B23" s="8" t="n"/>
      <c r="C23" s="9">
        <f>ROUNDUP($A23/4.345,0)</f>
        <v/>
      </c>
      <c r="D23" s="10" t="n"/>
      <c r="E23" s="9">
        <f>IF($D23="","",$D23-$D22)</f>
        <v/>
      </c>
      <c r="F23" s="11">
        <f>IF(COUNT($E20:$E23)&lt;4,"",AVERAGE($E20:$E23))</f>
        <v/>
      </c>
      <c r="G23" s="7">
        <f>IF($F23="","",IF($F23&gt;=$F22,"OK","要対策"))</f>
        <v/>
      </c>
      <c r="H23" s="10" t="n"/>
      <c r="I23" s="9">
        <f>IF($H23="","",$H23-$H22)</f>
        <v/>
      </c>
      <c r="J23" s="10" t="n"/>
      <c r="K23" s="10" t="n"/>
      <c r="L23" s="10" t="n"/>
      <c r="M23" s="12">
        <f>IF(OR($K23="",$K23=0),"",$L23/$K23)</f>
        <v/>
      </c>
      <c r="N23" s="12">
        <f>IF(COUNT($M20:$M23)&lt;4,"",AVERAGE($M20:$M23))</f>
        <v/>
      </c>
      <c r="O23" s="7">
        <f>IF($N23="","",IF($N23&gt;=0.03,"OK","要対策"))</f>
        <v/>
      </c>
      <c r="P23" s="10" t="n"/>
      <c r="Q23" s="10" t="n"/>
      <c r="R23" s="12">
        <f>IF(OR($P23="",$P23=0),"",$Q23/$P23)</f>
        <v/>
      </c>
      <c r="S23" s="7">
        <f>IF($R23="","",IF($R23&gt;=0.15,"OK","要対策"))</f>
        <v/>
      </c>
      <c r="T23" s="10" t="n"/>
      <c r="U23" s="10" t="n"/>
      <c r="V23" s="12">
        <f>IF(OR($T23="",$T23=0),"",$U23/$T23)</f>
        <v/>
      </c>
      <c r="W23" s="10" t="n"/>
      <c r="X23" s="10" t="n"/>
      <c r="Y23" s="9">
        <f>IF(COUNT($W23:$X23)=0,"",SUM($W23:$X23))</f>
        <v/>
      </c>
      <c r="Z23" s="10" t="n"/>
      <c r="AA23" s="9">
        <f>IF($Z23="",$AA22,$AA22+$Z23)</f>
        <v/>
      </c>
      <c r="AB23" s="13" t="n"/>
      <c r="AC23" s="7">
        <f>IF($AB23="","",IF($AB23&lt;=15,"OK","超過"))</f>
        <v/>
      </c>
    </row>
    <row r="24">
      <c r="A24" s="7" t="n">
        <v>19</v>
      </c>
      <c r="B24" s="8" t="n"/>
      <c r="C24" s="9">
        <f>ROUNDUP($A24/4.345,0)</f>
        <v/>
      </c>
      <c r="D24" s="10" t="n"/>
      <c r="E24" s="9">
        <f>IF($D24="","",$D24-$D23)</f>
        <v/>
      </c>
      <c r="F24" s="11">
        <f>IF(COUNT($E21:$E24)&lt;4,"",AVERAGE($E21:$E24))</f>
        <v/>
      </c>
      <c r="G24" s="7">
        <f>IF($F24="","",IF($F24&gt;=$F23,"OK","要対策"))</f>
        <v/>
      </c>
      <c r="H24" s="10" t="n"/>
      <c r="I24" s="9">
        <f>IF($H24="","",$H24-$H23)</f>
        <v/>
      </c>
      <c r="J24" s="10" t="n"/>
      <c r="K24" s="10" t="n"/>
      <c r="L24" s="10" t="n"/>
      <c r="M24" s="12">
        <f>IF(OR($K24="",$K24=0),"",$L24/$K24)</f>
        <v/>
      </c>
      <c r="N24" s="12">
        <f>IF(COUNT($M21:$M24)&lt;4,"",AVERAGE($M21:$M24))</f>
        <v/>
      </c>
      <c r="O24" s="7">
        <f>IF($N24="","",IF($N24&gt;=0.03,"OK","要対策"))</f>
        <v/>
      </c>
      <c r="P24" s="10" t="n"/>
      <c r="Q24" s="10" t="n"/>
      <c r="R24" s="12">
        <f>IF(OR($P24="",$P24=0),"",$Q24/$P24)</f>
        <v/>
      </c>
      <c r="S24" s="7">
        <f>IF($R24="","",IF($R24&gt;=0.15,"OK","要対策"))</f>
        <v/>
      </c>
      <c r="T24" s="10" t="n"/>
      <c r="U24" s="10" t="n"/>
      <c r="V24" s="12">
        <f>IF(OR($T24="",$T24=0),"",$U24/$T24)</f>
        <v/>
      </c>
      <c r="W24" s="10" t="n"/>
      <c r="X24" s="10" t="n"/>
      <c r="Y24" s="9">
        <f>IF(COUNT($W24:$X24)=0,"",SUM($W24:$X24))</f>
        <v/>
      </c>
      <c r="Z24" s="10" t="n"/>
      <c r="AA24" s="9">
        <f>IF($Z24="",$AA23,$AA23+$Z24)</f>
        <v/>
      </c>
      <c r="AB24" s="13" t="n"/>
      <c r="AC24" s="7">
        <f>IF($AB24="","",IF($AB24&lt;=15,"OK","超過"))</f>
        <v/>
      </c>
    </row>
    <row r="25">
      <c r="A25" s="7" t="n">
        <v>20</v>
      </c>
      <c r="B25" s="8" t="n"/>
      <c r="C25" s="9">
        <f>ROUNDUP($A25/4.345,0)</f>
        <v/>
      </c>
      <c r="D25" s="10" t="n"/>
      <c r="E25" s="9">
        <f>IF($D25="","",$D25-$D24)</f>
        <v/>
      </c>
      <c r="F25" s="11">
        <f>IF(COUNT($E22:$E25)&lt;4,"",AVERAGE($E22:$E25))</f>
        <v/>
      </c>
      <c r="G25" s="7">
        <f>IF($F25="","",IF($F25&gt;=$F24,"OK","要対策"))</f>
        <v/>
      </c>
      <c r="H25" s="10" t="n"/>
      <c r="I25" s="9">
        <f>IF($H25="","",$H25-$H24)</f>
        <v/>
      </c>
      <c r="J25" s="10" t="n"/>
      <c r="K25" s="10" t="n"/>
      <c r="L25" s="10" t="n"/>
      <c r="M25" s="12">
        <f>IF(OR($K25="",$K25=0),"",$L25/$K25)</f>
        <v/>
      </c>
      <c r="N25" s="12">
        <f>IF(COUNT($M22:$M25)&lt;4,"",AVERAGE($M22:$M25))</f>
        <v/>
      </c>
      <c r="O25" s="7">
        <f>IF($N25="","",IF($N25&gt;=0.03,"OK","要対策"))</f>
        <v/>
      </c>
      <c r="P25" s="10" t="n"/>
      <c r="Q25" s="10" t="n"/>
      <c r="R25" s="12">
        <f>IF(OR($P25="",$P25=0),"",$Q25/$P25)</f>
        <v/>
      </c>
      <c r="S25" s="7">
        <f>IF($R25="","",IF($R25&gt;=0.15,"OK","要対策"))</f>
        <v/>
      </c>
      <c r="T25" s="10" t="n"/>
      <c r="U25" s="10" t="n"/>
      <c r="V25" s="12">
        <f>IF(OR($T25="",$T25=0),"",$U25/$T25)</f>
        <v/>
      </c>
      <c r="W25" s="10" t="n"/>
      <c r="X25" s="10" t="n"/>
      <c r="Y25" s="9">
        <f>IF(COUNT($W25:$X25)=0,"",SUM($W25:$X25))</f>
        <v/>
      </c>
      <c r="Z25" s="10" t="n"/>
      <c r="AA25" s="9">
        <f>IF($Z25="",$AA24,$AA24+$Z25)</f>
        <v/>
      </c>
      <c r="AB25" s="13" t="n"/>
      <c r="AC25" s="7">
        <f>IF($AB25="","",IF($AB25&lt;=15,"OK","超過"))</f>
        <v/>
      </c>
    </row>
    <row r="26">
      <c r="A26" s="7" t="n">
        <v>21</v>
      </c>
      <c r="B26" s="8" t="n"/>
      <c r="C26" s="9">
        <f>ROUNDUP($A26/4.345,0)</f>
        <v/>
      </c>
      <c r="D26" s="10" t="n"/>
      <c r="E26" s="9">
        <f>IF($D26="","",$D26-$D25)</f>
        <v/>
      </c>
      <c r="F26" s="11">
        <f>IF(COUNT($E23:$E26)&lt;4,"",AVERAGE($E23:$E26))</f>
        <v/>
      </c>
      <c r="G26" s="7">
        <f>IF($F26="","",IF($F26&gt;=$F25,"OK","要対策"))</f>
        <v/>
      </c>
      <c r="H26" s="10" t="n"/>
      <c r="I26" s="9">
        <f>IF($H26="","",$H26-$H25)</f>
        <v/>
      </c>
      <c r="J26" s="10" t="n"/>
      <c r="K26" s="10" t="n"/>
      <c r="L26" s="10" t="n"/>
      <c r="M26" s="12">
        <f>IF(OR($K26="",$K26=0),"",$L26/$K26)</f>
        <v/>
      </c>
      <c r="N26" s="12">
        <f>IF(COUNT($M23:$M26)&lt;4,"",AVERAGE($M23:$M26))</f>
        <v/>
      </c>
      <c r="O26" s="7">
        <f>IF($N26="","",IF($N26&gt;=0.03,"OK","要対策"))</f>
        <v/>
      </c>
      <c r="P26" s="10" t="n"/>
      <c r="Q26" s="10" t="n"/>
      <c r="R26" s="12">
        <f>IF(OR($P26="",$P26=0),"",$Q26/$P26)</f>
        <v/>
      </c>
      <c r="S26" s="7">
        <f>IF($R26="","",IF($R26&gt;=0.15,"OK","要対策"))</f>
        <v/>
      </c>
      <c r="T26" s="10" t="n"/>
      <c r="U26" s="10" t="n"/>
      <c r="V26" s="12">
        <f>IF(OR($T26="",$T26=0),"",$U26/$T26)</f>
        <v/>
      </c>
      <c r="W26" s="10" t="n"/>
      <c r="X26" s="10" t="n"/>
      <c r="Y26" s="9">
        <f>IF(COUNT($W26:$X26)=0,"",SUM($W26:$X26))</f>
        <v/>
      </c>
      <c r="Z26" s="10" t="n"/>
      <c r="AA26" s="9">
        <f>IF($Z26="",$AA25,$AA25+$Z26)</f>
        <v/>
      </c>
      <c r="AB26" s="13" t="n"/>
      <c r="AC26" s="7">
        <f>IF($AB26="","",IF($AB26&lt;=15,"OK","超過"))</f>
        <v/>
      </c>
    </row>
    <row r="27">
      <c r="A27" s="7" t="n">
        <v>22</v>
      </c>
      <c r="B27" s="8" t="n"/>
      <c r="C27" s="9">
        <f>ROUNDUP($A27/4.345,0)</f>
        <v/>
      </c>
      <c r="D27" s="10" t="n"/>
      <c r="E27" s="9">
        <f>IF($D27="","",$D27-$D26)</f>
        <v/>
      </c>
      <c r="F27" s="11">
        <f>IF(COUNT($E24:$E27)&lt;4,"",AVERAGE($E24:$E27))</f>
        <v/>
      </c>
      <c r="G27" s="7">
        <f>IF($F27="","",IF($F27&gt;=$F26,"OK","要対策"))</f>
        <v/>
      </c>
      <c r="H27" s="10" t="n"/>
      <c r="I27" s="9">
        <f>IF($H27="","",$H27-$H26)</f>
        <v/>
      </c>
      <c r="J27" s="10" t="n"/>
      <c r="K27" s="10" t="n"/>
      <c r="L27" s="10" t="n"/>
      <c r="M27" s="12">
        <f>IF(OR($K27="",$K27=0),"",$L27/$K27)</f>
        <v/>
      </c>
      <c r="N27" s="12">
        <f>IF(COUNT($M24:$M27)&lt;4,"",AVERAGE($M24:$M27))</f>
        <v/>
      </c>
      <c r="O27" s="7">
        <f>IF($N27="","",IF($N27&gt;=0.03,"OK","要対策"))</f>
        <v/>
      </c>
      <c r="P27" s="10" t="n"/>
      <c r="Q27" s="10" t="n"/>
      <c r="R27" s="12">
        <f>IF(OR($P27="",$P27=0),"",$Q27/$P27)</f>
        <v/>
      </c>
      <c r="S27" s="7">
        <f>IF($R27="","",IF($R27&gt;=0.15,"OK","要対策"))</f>
        <v/>
      </c>
      <c r="T27" s="10" t="n"/>
      <c r="U27" s="10" t="n"/>
      <c r="V27" s="12">
        <f>IF(OR($T27="",$T27=0),"",$U27/$T27)</f>
        <v/>
      </c>
      <c r="W27" s="10" t="n"/>
      <c r="X27" s="10" t="n"/>
      <c r="Y27" s="9">
        <f>IF(COUNT($W27:$X27)=0,"",SUM($W27:$X27))</f>
        <v/>
      </c>
      <c r="Z27" s="10" t="n"/>
      <c r="AA27" s="9">
        <f>IF($Z27="",$AA26,$AA26+$Z27)</f>
        <v/>
      </c>
      <c r="AB27" s="13" t="n"/>
      <c r="AC27" s="7">
        <f>IF($AB27="","",IF($AB27&lt;=15,"OK","超過"))</f>
        <v/>
      </c>
    </row>
    <row r="28">
      <c r="A28" s="7" t="n">
        <v>23</v>
      </c>
      <c r="B28" s="8" t="n"/>
      <c r="C28" s="9">
        <f>ROUNDUP($A28/4.345,0)</f>
        <v/>
      </c>
      <c r="D28" s="10" t="n"/>
      <c r="E28" s="9">
        <f>IF($D28="","",$D28-$D27)</f>
        <v/>
      </c>
      <c r="F28" s="11">
        <f>IF(COUNT($E25:$E28)&lt;4,"",AVERAGE($E25:$E28))</f>
        <v/>
      </c>
      <c r="G28" s="7">
        <f>IF($F28="","",IF($F28&gt;=$F27,"OK","要対策"))</f>
        <v/>
      </c>
      <c r="H28" s="10" t="n"/>
      <c r="I28" s="9">
        <f>IF($H28="","",$H28-$H27)</f>
        <v/>
      </c>
      <c r="J28" s="10" t="n"/>
      <c r="K28" s="10" t="n"/>
      <c r="L28" s="10" t="n"/>
      <c r="M28" s="12">
        <f>IF(OR($K28="",$K28=0),"",$L28/$K28)</f>
        <v/>
      </c>
      <c r="N28" s="12">
        <f>IF(COUNT($M25:$M28)&lt;4,"",AVERAGE($M25:$M28))</f>
        <v/>
      </c>
      <c r="O28" s="7">
        <f>IF($N28="","",IF($N28&gt;=0.03,"OK","要対策"))</f>
        <v/>
      </c>
      <c r="P28" s="10" t="n"/>
      <c r="Q28" s="10" t="n"/>
      <c r="R28" s="12">
        <f>IF(OR($P28="",$P28=0),"",$Q28/$P28)</f>
        <v/>
      </c>
      <c r="S28" s="7">
        <f>IF($R28="","",IF($R28&gt;=0.15,"OK","要対策"))</f>
        <v/>
      </c>
      <c r="T28" s="10" t="n"/>
      <c r="U28" s="10" t="n"/>
      <c r="V28" s="12">
        <f>IF(OR($T28="",$T28=0),"",$U28/$T28)</f>
        <v/>
      </c>
      <c r="W28" s="10" t="n"/>
      <c r="X28" s="10" t="n"/>
      <c r="Y28" s="9">
        <f>IF(COUNT($W28:$X28)=0,"",SUM($W28:$X28))</f>
        <v/>
      </c>
      <c r="Z28" s="10" t="n"/>
      <c r="AA28" s="9">
        <f>IF($Z28="",$AA27,$AA27+$Z28)</f>
        <v/>
      </c>
      <c r="AB28" s="13" t="n"/>
      <c r="AC28" s="7">
        <f>IF($AB28="","",IF($AB28&lt;=15,"OK","超過"))</f>
        <v/>
      </c>
    </row>
    <row r="29">
      <c r="A29" s="7" t="n">
        <v>24</v>
      </c>
      <c r="B29" s="8" t="n"/>
      <c r="C29" s="9">
        <f>ROUNDUP($A29/4.345,0)</f>
        <v/>
      </c>
      <c r="D29" s="10" t="n"/>
      <c r="E29" s="9">
        <f>IF($D29="","",$D29-$D28)</f>
        <v/>
      </c>
      <c r="F29" s="11">
        <f>IF(COUNT($E26:$E29)&lt;4,"",AVERAGE($E26:$E29))</f>
        <v/>
      </c>
      <c r="G29" s="7">
        <f>IF($F29="","",IF($F29&gt;=$F28,"OK","要対策"))</f>
        <v/>
      </c>
      <c r="H29" s="10" t="n"/>
      <c r="I29" s="9">
        <f>IF($H29="","",$H29-$H28)</f>
        <v/>
      </c>
      <c r="J29" s="10" t="n"/>
      <c r="K29" s="10" t="n"/>
      <c r="L29" s="10" t="n"/>
      <c r="M29" s="12">
        <f>IF(OR($K29="",$K29=0),"",$L29/$K29)</f>
        <v/>
      </c>
      <c r="N29" s="12">
        <f>IF(COUNT($M26:$M29)&lt;4,"",AVERAGE($M26:$M29))</f>
        <v/>
      </c>
      <c r="O29" s="7">
        <f>IF($N29="","",IF($N29&gt;=0.03,"OK","要対策"))</f>
        <v/>
      </c>
      <c r="P29" s="10" t="n"/>
      <c r="Q29" s="10" t="n"/>
      <c r="R29" s="12">
        <f>IF(OR($P29="",$P29=0),"",$Q29/$P29)</f>
        <v/>
      </c>
      <c r="S29" s="7">
        <f>IF($R29="","",IF($R29&gt;=0.15,"OK","要対策"))</f>
        <v/>
      </c>
      <c r="T29" s="10" t="n"/>
      <c r="U29" s="10" t="n"/>
      <c r="V29" s="12">
        <f>IF(OR($T29="",$T29=0),"",$U29/$T29)</f>
        <v/>
      </c>
      <c r="W29" s="10" t="n"/>
      <c r="X29" s="10" t="n"/>
      <c r="Y29" s="9">
        <f>IF(COUNT($W29:$X29)=0,"",SUM($W29:$X29))</f>
        <v/>
      </c>
      <c r="Z29" s="10" t="n"/>
      <c r="AA29" s="9">
        <f>IF($Z29="",$AA28,$AA28+$Z29)</f>
        <v/>
      </c>
      <c r="AB29" s="13" t="n"/>
      <c r="AC29" s="7">
        <f>IF($AB29="","",IF($AB29&lt;=15,"OK","超過"))</f>
        <v/>
      </c>
    </row>
    <row r="30">
      <c r="A30" s="7" t="n">
        <v>25</v>
      </c>
      <c r="B30" s="8" t="n"/>
      <c r="C30" s="9">
        <f>ROUNDUP($A30/4.345,0)</f>
        <v/>
      </c>
      <c r="D30" s="10" t="n"/>
      <c r="E30" s="9">
        <f>IF($D30="","",$D30-$D29)</f>
        <v/>
      </c>
      <c r="F30" s="11">
        <f>IF(COUNT($E27:$E30)&lt;4,"",AVERAGE($E27:$E30))</f>
        <v/>
      </c>
      <c r="G30" s="7">
        <f>IF($F30="","",IF($F30&gt;=$F29,"OK","要対策"))</f>
        <v/>
      </c>
      <c r="H30" s="10" t="n"/>
      <c r="I30" s="9">
        <f>IF($H30="","",$H30-$H29)</f>
        <v/>
      </c>
      <c r="J30" s="10" t="n"/>
      <c r="K30" s="10" t="n"/>
      <c r="L30" s="10" t="n"/>
      <c r="M30" s="12">
        <f>IF(OR($K30="",$K30=0),"",$L30/$K30)</f>
        <v/>
      </c>
      <c r="N30" s="12">
        <f>IF(COUNT($M27:$M30)&lt;4,"",AVERAGE($M27:$M30))</f>
        <v/>
      </c>
      <c r="O30" s="7">
        <f>IF($N30="","",IF($N30&gt;=0.03,"OK","要対策"))</f>
        <v/>
      </c>
      <c r="P30" s="10" t="n"/>
      <c r="Q30" s="10" t="n"/>
      <c r="R30" s="12">
        <f>IF(OR($P30="",$P30=0),"",$Q30/$P30)</f>
        <v/>
      </c>
      <c r="S30" s="7">
        <f>IF($R30="","",IF($R30&gt;=0.15,"OK","要対策"))</f>
        <v/>
      </c>
      <c r="T30" s="10" t="n"/>
      <c r="U30" s="10" t="n"/>
      <c r="V30" s="12">
        <f>IF(OR($T30="",$T30=0),"",$U30/$T30)</f>
        <v/>
      </c>
      <c r="W30" s="10" t="n"/>
      <c r="X30" s="10" t="n"/>
      <c r="Y30" s="9">
        <f>IF(COUNT($W30:$X30)=0,"",SUM($W30:$X30))</f>
        <v/>
      </c>
      <c r="Z30" s="10" t="n"/>
      <c r="AA30" s="9">
        <f>IF($Z30="",$AA29,$AA29+$Z30)</f>
        <v/>
      </c>
      <c r="AB30" s="13" t="n"/>
      <c r="AC30" s="7">
        <f>IF($AB30="","",IF($AB30&lt;=15,"OK","超過"))</f>
        <v/>
      </c>
    </row>
    <row r="31">
      <c r="A31" s="14" t="n">
        <v>26</v>
      </c>
      <c r="B31" s="8" t="n"/>
      <c r="C31" s="15">
        <f>ROUNDUP($A31/4.345,0)</f>
        <v/>
      </c>
      <c r="D31" s="10" t="n"/>
      <c r="E31" s="15">
        <f>IF($D31="","",$D31-$D30)</f>
        <v/>
      </c>
      <c r="F31" s="16">
        <f>IF(COUNT($E28:$E31)&lt;4,"",AVERAGE($E28:$E31))</f>
        <v/>
      </c>
      <c r="G31" s="14">
        <f>IF($F31="","",IF($F31&gt;=$F30,"OK","要対策"))</f>
        <v/>
      </c>
      <c r="H31" s="10" t="n"/>
      <c r="I31" s="15">
        <f>IF($H31="","",$H31-$H30)</f>
        <v/>
      </c>
      <c r="J31" s="10" t="n"/>
      <c r="K31" s="10" t="n"/>
      <c r="L31" s="10" t="n"/>
      <c r="M31" s="17">
        <f>IF(OR($K31="",$K31=0),"",$L31/$K31)</f>
        <v/>
      </c>
      <c r="N31" s="17">
        <f>IF(COUNT($M28:$M31)&lt;4,"",AVERAGE($M28:$M31))</f>
        <v/>
      </c>
      <c r="O31" s="14">
        <f>IF($N31="","",IF($N31&gt;=0.03,"OK","要対策"))</f>
        <v/>
      </c>
      <c r="P31" s="10" t="n"/>
      <c r="Q31" s="10" t="n"/>
      <c r="R31" s="17">
        <f>IF(OR($P31="",$P31=0),"",$Q31/$P31)</f>
        <v/>
      </c>
      <c r="S31" s="14">
        <f>IF($R31="","",IF($R31&gt;=0.15,"OK","要対策"))</f>
        <v/>
      </c>
      <c r="T31" s="10" t="n"/>
      <c r="U31" s="10" t="n"/>
      <c r="V31" s="17">
        <f>IF(OR($T31="",$T31=0),"",$U31/$T31)</f>
        <v/>
      </c>
      <c r="W31" s="10" t="n"/>
      <c r="X31" s="10" t="n"/>
      <c r="Y31" s="15">
        <f>IF(COUNT($W31:$X31)=0,"",SUM($W31:$X31))</f>
        <v/>
      </c>
      <c r="Z31" s="10" t="n"/>
      <c r="AA31" s="15">
        <f>IF($Z31="",$AA30,$AA30+$Z31)</f>
        <v/>
      </c>
      <c r="AB31" s="13" t="n"/>
      <c r="AC31" s="14">
        <f>IF($AB31="","",IF($AB31&lt;=15,"OK","超過"))</f>
        <v/>
      </c>
    </row>
    <row r="32">
      <c r="A32" s="7" t="n">
        <v>27</v>
      </c>
      <c r="B32" s="8" t="n"/>
      <c r="C32" s="9">
        <f>ROUNDUP($A32/4.345,0)</f>
        <v/>
      </c>
      <c r="D32" s="10" t="n"/>
      <c r="E32" s="9">
        <f>IF($D32="","",$D32-$D31)</f>
        <v/>
      </c>
      <c r="F32" s="11">
        <f>IF(COUNT($E29:$E32)&lt;4,"",AVERAGE($E29:$E32))</f>
        <v/>
      </c>
      <c r="G32" s="7">
        <f>IF($F32="","",IF($F32&gt;=$F31,"OK","要対策"))</f>
        <v/>
      </c>
      <c r="H32" s="10" t="n"/>
      <c r="I32" s="9">
        <f>IF($H32="","",$H32-$H31)</f>
        <v/>
      </c>
      <c r="J32" s="10" t="n"/>
      <c r="K32" s="10" t="n"/>
      <c r="L32" s="10" t="n"/>
      <c r="M32" s="12">
        <f>IF(OR($K32="",$K32=0),"",$L32/$K32)</f>
        <v/>
      </c>
      <c r="N32" s="12">
        <f>IF(COUNT($M29:$M32)&lt;4,"",AVERAGE($M29:$M32))</f>
        <v/>
      </c>
      <c r="O32" s="7">
        <f>IF($N32="","",IF($N32&gt;=0.03,"OK","要対策"))</f>
        <v/>
      </c>
      <c r="P32" s="10" t="n"/>
      <c r="Q32" s="10" t="n"/>
      <c r="R32" s="12">
        <f>IF(OR($P32="",$P32=0),"",$Q32/$P32)</f>
        <v/>
      </c>
      <c r="S32" s="7">
        <f>IF($R32="","",IF($R32&gt;=0.15,"OK","要対策"))</f>
        <v/>
      </c>
      <c r="T32" s="10" t="n"/>
      <c r="U32" s="10" t="n"/>
      <c r="V32" s="12">
        <f>IF(OR($T32="",$T32=0),"",$U32/$T32)</f>
        <v/>
      </c>
      <c r="W32" s="10" t="n"/>
      <c r="X32" s="10" t="n"/>
      <c r="Y32" s="9">
        <f>IF(COUNT($W32:$X32)=0,"",SUM($W32:$X32))</f>
        <v/>
      </c>
      <c r="Z32" s="10" t="n"/>
      <c r="AA32" s="9">
        <f>IF($Z32="",$AA31,$AA31+$Z32)</f>
        <v/>
      </c>
      <c r="AB32" s="13" t="n"/>
      <c r="AC32" s="7">
        <f>IF($AB32="","",IF($AB32&lt;=15,"OK","超過"))</f>
        <v/>
      </c>
    </row>
    <row r="33">
      <c r="A33" s="7" t="n">
        <v>28</v>
      </c>
      <c r="B33" s="8" t="n"/>
      <c r="C33" s="9">
        <f>ROUNDUP($A33/4.345,0)</f>
        <v/>
      </c>
      <c r="D33" s="10" t="n"/>
      <c r="E33" s="9">
        <f>IF($D33="","",$D33-$D32)</f>
        <v/>
      </c>
      <c r="F33" s="11">
        <f>IF(COUNT($E30:$E33)&lt;4,"",AVERAGE($E30:$E33))</f>
        <v/>
      </c>
      <c r="G33" s="7">
        <f>IF($F33="","",IF($F33&gt;=$F32,"OK","要対策"))</f>
        <v/>
      </c>
      <c r="H33" s="10" t="n"/>
      <c r="I33" s="9">
        <f>IF($H33="","",$H33-$H32)</f>
        <v/>
      </c>
      <c r="J33" s="10" t="n"/>
      <c r="K33" s="10" t="n"/>
      <c r="L33" s="10" t="n"/>
      <c r="M33" s="12">
        <f>IF(OR($K33="",$K33=0),"",$L33/$K33)</f>
        <v/>
      </c>
      <c r="N33" s="12">
        <f>IF(COUNT($M30:$M33)&lt;4,"",AVERAGE($M30:$M33))</f>
        <v/>
      </c>
      <c r="O33" s="7">
        <f>IF($N33="","",IF($N33&gt;=0.03,"OK","要対策"))</f>
        <v/>
      </c>
      <c r="P33" s="10" t="n"/>
      <c r="Q33" s="10" t="n"/>
      <c r="R33" s="12">
        <f>IF(OR($P33="",$P33=0),"",$Q33/$P33)</f>
        <v/>
      </c>
      <c r="S33" s="7">
        <f>IF($R33="","",IF($R33&gt;=0.15,"OK","要対策"))</f>
        <v/>
      </c>
      <c r="T33" s="10" t="n"/>
      <c r="U33" s="10" t="n"/>
      <c r="V33" s="12">
        <f>IF(OR($T33="",$T33=0),"",$U33/$T33)</f>
        <v/>
      </c>
      <c r="W33" s="10" t="n"/>
      <c r="X33" s="10" t="n"/>
      <c r="Y33" s="9">
        <f>IF(COUNT($W33:$X33)=0,"",SUM($W33:$X33))</f>
        <v/>
      </c>
      <c r="Z33" s="10" t="n"/>
      <c r="AA33" s="9">
        <f>IF($Z33="",$AA32,$AA32+$Z33)</f>
        <v/>
      </c>
      <c r="AB33" s="13" t="n"/>
      <c r="AC33" s="7">
        <f>IF($AB33="","",IF($AB33&lt;=15,"OK","超過"))</f>
        <v/>
      </c>
    </row>
    <row r="34">
      <c r="A34" s="7" t="n">
        <v>29</v>
      </c>
      <c r="B34" s="8" t="n"/>
      <c r="C34" s="9">
        <f>ROUNDUP($A34/4.345,0)</f>
        <v/>
      </c>
      <c r="D34" s="10" t="n"/>
      <c r="E34" s="9">
        <f>IF($D34="","",$D34-$D33)</f>
        <v/>
      </c>
      <c r="F34" s="11">
        <f>IF(COUNT($E31:$E34)&lt;4,"",AVERAGE($E31:$E34))</f>
        <v/>
      </c>
      <c r="G34" s="7">
        <f>IF($F34="","",IF($F34&gt;=$F33,"OK","要対策"))</f>
        <v/>
      </c>
      <c r="H34" s="10" t="n"/>
      <c r="I34" s="9">
        <f>IF($H34="","",$H34-$H33)</f>
        <v/>
      </c>
      <c r="J34" s="10" t="n"/>
      <c r="K34" s="10" t="n"/>
      <c r="L34" s="10" t="n"/>
      <c r="M34" s="12">
        <f>IF(OR($K34="",$K34=0),"",$L34/$K34)</f>
        <v/>
      </c>
      <c r="N34" s="12">
        <f>IF(COUNT($M31:$M34)&lt;4,"",AVERAGE($M31:$M34))</f>
        <v/>
      </c>
      <c r="O34" s="7">
        <f>IF($N34="","",IF($N34&gt;=0.03,"OK","要対策"))</f>
        <v/>
      </c>
      <c r="P34" s="10" t="n"/>
      <c r="Q34" s="10" t="n"/>
      <c r="R34" s="12">
        <f>IF(OR($P34="",$P34=0),"",$Q34/$P34)</f>
        <v/>
      </c>
      <c r="S34" s="7">
        <f>IF($R34="","",IF($R34&gt;=0.15,"OK","要対策"))</f>
        <v/>
      </c>
      <c r="T34" s="10" t="n"/>
      <c r="U34" s="10" t="n"/>
      <c r="V34" s="12">
        <f>IF(OR($T34="",$T34=0),"",$U34/$T34)</f>
        <v/>
      </c>
      <c r="W34" s="10" t="n"/>
      <c r="X34" s="10" t="n"/>
      <c r="Y34" s="9">
        <f>IF(COUNT($W34:$X34)=0,"",SUM($W34:$X34))</f>
        <v/>
      </c>
      <c r="Z34" s="10" t="n"/>
      <c r="AA34" s="9">
        <f>IF($Z34="",$AA33,$AA33+$Z34)</f>
        <v/>
      </c>
      <c r="AB34" s="13" t="n"/>
      <c r="AC34" s="7">
        <f>IF($AB34="","",IF($AB34&lt;=15,"OK","超過"))</f>
        <v/>
      </c>
    </row>
    <row r="35">
      <c r="A35" s="7" t="n">
        <v>30</v>
      </c>
      <c r="B35" s="8" t="n"/>
      <c r="C35" s="9">
        <f>ROUNDUP($A35/4.345,0)</f>
        <v/>
      </c>
      <c r="D35" s="10" t="n"/>
      <c r="E35" s="9">
        <f>IF($D35="","",$D35-$D34)</f>
        <v/>
      </c>
      <c r="F35" s="11">
        <f>IF(COUNT($E32:$E35)&lt;4,"",AVERAGE($E32:$E35))</f>
        <v/>
      </c>
      <c r="G35" s="7">
        <f>IF($F35="","",IF($F35&gt;=$F34,"OK","要対策"))</f>
        <v/>
      </c>
      <c r="H35" s="10" t="n"/>
      <c r="I35" s="9">
        <f>IF($H35="","",$H35-$H34)</f>
        <v/>
      </c>
      <c r="J35" s="10" t="n"/>
      <c r="K35" s="10" t="n"/>
      <c r="L35" s="10" t="n"/>
      <c r="M35" s="12">
        <f>IF(OR($K35="",$K35=0),"",$L35/$K35)</f>
        <v/>
      </c>
      <c r="N35" s="12">
        <f>IF(COUNT($M32:$M35)&lt;4,"",AVERAGE($M32:$M35))</f>
        <v/>
      </c>
      <c r="O35" s="7">
        <f>IF($N35="","",IF($N35&gt;=0.03,"OK","要対策"))</f>
        <v/>
      </c>
      <c r="P35" s="10" t="n"/>
      <c r="Q35" s="10" t="n"/>
      <c r="R35" s="12">
        <f>IF(OR($P35="",$P35=0),"",$Q35/$P35)</f>
        <v/>
      </c>
      <c r="S35" s="7">
        <f>IF($R35="","",IF($R35&gt;=0.15,"OK","要対策"))</f>
        <v/>
      </c>
      <c r="T35" s="10" t="n"/>
      <c r="U35" s="10" t="n"/>
      <c r="V35" s="12">
        <f>IF(OR($T35="",$T35=0),"",$U35/$T35)</f>
        <v/>
      </c>
      <c r="W35" s="10" t="n"/>
      <c r="X35" s="10" t="n"/>
      <c r="Y35" s="9">
        <f>IF(COUNT($W35:$X35)=0,"",SUM($W35:$X35))</f>
        <v/>
      </c>
      <c r="Z35" s="10" t="n"/>
      <c r="AA35" s="9">
        <f>IF($Z35="",$AA34,$AA34+$Z35)</f>
        <v/>
      </c>
      <c r="AB35" s="13" t="n"/>
      <c r="AC35" s="7">
        <f>IF($AB35="","",IF($AB35&lt;=15,"OK","超過"))</f>
        <v/>
      </c>
    </row>
    <row r="36">
      <c r="A36" s="7" t="n">
        <v>31</v>
      </c>
      <c r="B36" s="8" t="n"/>
      <c r="C36" s="9">
        <f>ROUNDUP($A36/4.345,0)</f>
        <v/>
      </c>
      <c r="D36" s="10" t="n"/>
      <c r="E36" s="9">
        <f>IF($D36="","",$D36-$D35)</f>
        <v/>
      </c>
      <c r="F36" s="11">
        <f>IF(COUNT($E33:$E36)&lt;4,"",AVERAGE($E33:$E36))</f>
        <v/>
      </c>
      <c r="G36" s="7">
        <f>IF($F36="","",IF($F36&gt;=$F35,"OK","要対策"))</f>
        <v/>
      </c>
      <c r="H36" s="10" t="n"/>
      <c r="I36" s="9">
        <f>IF($H36="","",$H36-$H35)</f>
        <v/>
      </c>
      <c r="J36" s="10" t="n"/>
      <c r="K36" s="10" t="n"/>
      <c r="L36" s="10" t="n"/>
      <c r="M36" s="12">
        <f>IF(OR($K36="",$K36=0),"",$L36/$K36)</f>
        <v/>
      </c>
      <c r="N36" s="12">
        <f>IF(COUNT($M33:$M36)&lt;4,"",AVERAGE($M33:$M36))</f>
        <v/>
      </c>
      <c r="O36" s="7">
        <f>IF($N36="","",IF($N36&gt;=0.03,"OK","要対策"))</f>
        <v/>
      </c>
      <c r="P36" s="10" t="n"/>
      <c r="Q36" s="10" t="n"/>
      <c r="R36" s="12">
        <f>IF(OR($P36="",$P36=0),"",$Q36/$P36)</f>
        <v/>
      </c>
      <c r="S36" s="7">
        <f>IF($R36="","",IF($R36&gt;=0.15,"OK","要対策"))</f>
        <v/>
      </c>
      <c r="T36" s="10" t="n"/>
      <c r="U36" s="10" t="n"/>
      <c r="V36" s="12">
        <f>IF(OR($T36="",$T36=0),"",$U36/$T36)</f>
        <v/>
      </c>
      <c r="W36" s="10" t="n"/>
      <c r="X36" s="10" t="n"/>
      <c r="Y36" s="9">
        <f>IF(COUNT($W36:$X36)=0,"",SUM($W36:$X36))</f>
        <v/>
      </c>
      <c r="Z36" s="10" t="n"/>
      <c r="AA36" s="9">
        <f>IF($Z36="",$AA35,$AA35+$Z36)</f>
        <v/>
      </c>
      <c r="AB36" s="13" t="n"/>
      <c r="AC36" s="7">
        <f>IF($AB36="","",IF($AB36&lt;=15,"OK","超過"))</f>
        <v/>
      </c>
    </row>
    <row r="37">
      <c r="A37" s="7" t="n">
        <v>32</v>
      </c>
      <c r="B37" s="8" t="n"/>
      <c r="C37" s="9">
        <f>ROUNDUP($A37/4.345,0)</f>
        <v/>
      </c>
      <c r="D37" s="10" t="n"/>
      <c r="E37" s="9">
        <f>IF($D37="","",$D37-$D36)</f>
        <v/>
      </c>
      <c r="F37" s="11">
        <f>IF(COUNT($E34:$E37)&lt;4,"",AVERAGE($E34:$E37))</f>
        <v/>
      </c>
      <c r="G37" s="7">
        <f>IF($F37="","",IF($F37&gt;=$F36,"OK","要対策"))</f>
        <v/>
      </c>
      <c r="H37" s="10" t="n"/>
      <c r="I37" s="9">
        <f>IF($H37="","",$H37-$H36)</f>
        <v/>
      </c>
      <c r="J37" s="10" t="n"/>
      <c r="K37" s="10" t="n"/>
      <c r="L37" s="10" t="n"/>
      <c r="M37" s="12">
        <f>IF(OR($K37="",$K37=0),"",$L37/$K37)</f>
        <v/>
      </c>
      <c r="N37" s="12">
        <f>IF(COUNT($M34:$M37)&lt;4,"",AVERAGE($M34:$M37))</f>
        <v/>
      </c>
      <c r="O37" s="7">
        <f>IF($N37="","",IF($N37&gt;=0.03,"OK","要対策"))</f>
        <v/>
      </c>
      <c r="P37" s="10" t="n"/>
      <c r="Q37" s="10" t="n"/>
      <c r="R37" s="12">
        <f>IF(OR($P37="",$P37=0),"",$Q37/$P37)</f>
        <v/>
      </c>
      <c r="S37" s="7">
        <f>IF($R37="","",IF($R37&gt;=0.15,"OK","要対策"))</f>
        <v/>
      </c>
      <c r="T37" s="10" t="n"/>
      <c r="U37" s="10" t="n"/>
      <c r="V37" s="12">
        <f>IF(OR($T37="",$T37=0),"",$U37/$T37)</f>
        <v/>
      </c>
      <c r="W37" s="10" t="n"/>
      <c r="X37" s="10" t="n"/>
      <c r="Y37" s="9">
        <f>IF(COUNT($W37:$X37)=0,"",SUM($W37:$X37))</f>
        <v/>
      </c>
      <c r="Z37" s="10" t="n"/>
      <c r="AA37" s="9">
        <f>IF($Z37="",$AA36,$AA36+$Z37)</f>
        <v/>
      </c>
      <c r="AB37" s="13" t="n"/>
      <c r="AC37" s="7">
        <f>IF($AB37="","",IF($AB37&lt;=15,"OK","超過"))</f>
        <v/>
      </c>
    </row>
    <row r="38">
      <c r="A38" s="7" t="n">
        <v>33</v>
      </c>
      <c r="B38" s="8" t="n"/>
      <c r="C38" s="9">
        <f>ROUNDUP($A38/4.345,0)</f>
        <v/>
      </c>
      <c r="D38" s="10" t="n"/>
      <c r="E38" s="9">
        <f>IF($D38="","",$D38-$D37)</f>
        <v/>
      </c>
      <c r="F38" s="11">
        <f>IF(COUNT($E35:$E38)&lt;4,"",AVERAGE($E35:$E38))</f>
        <v/>
      </c>
      <c r="G38" s="7">
        <f>IF($F38="","",IF($F38&gt;=$F37,"OK","要対策"))</f>
        <v/>
      </c>
      <c r="H38" s="10" t="n"/>
      <c r="I38" s="9">
        <f>IF($H38="","",$H38-$H37)</f>
        <v/>
      </c>
      <c r="J38" s="10" t="n"/>
      <c r="K38" s="10" t="n"/>
      <c r="L38" s="10" t="n"/>
      <c r="M38" s="12">
        <f>IF(OR($K38="",$K38=0),"",$L38/$K38)</f>
        <v/>
      </c>
      <c r="N38" s="12">
        <f>IF(COUNT($M35:$M38)&lt;4,"",AVERAGE($M35:$M38))</f>
        <v/>
      </c>
      <c r="O38" s="7">
        <f>IF($N38="","",IF($N38&gt;=0.03,"OK","要対策"))</f>
        <v/>
      </c>
      <c r="P38" s="10" t="n"/>
      <c r="Q38" s="10" t="n"/>
      <c r="R38" s="12">
        <f>IF(OR($P38="",$P38=0),"",$Q38/$P38)</f>
        <v/>
      </c>
      <c r="S38" s="7">
        <f>IF($R38="","",IF($R38&gt;=0.15,"OK","要対策"))</f>
        <v/>
      </c>
      <c r="T38" s="10" t="n"/>
      <c r="U38" s="10" t="n"/>
      <c r="V38" s="12">
        <f>IF(OR($T38="",$T38=0),"",$U38/$T38)</f>
        <v/>
      </c>
      <c r="W38" s="10" t="n"/>
      <c r="X38" s="10" t="n"/>
      <c r="Y38" s="9">
        <f>IF(COUNT($W38:$X38)=0,"",SUM($W38:$X38))</f>
        <v/>
      </c>
      <c r="Z38" s="10" t="n"/>
      <c r="AA38" s="9">
        <f>IF($Z38="",$AA37,$AA37+$Z38)</f>
        <v/>
      </c>
      <c r="AB38" s="13" t="n"/>
      <c r="AC38" s="7">
        <f>IF($AB38="","",IF($AB38&lt;=15,"OK","超過"))</f>
        <v/>
      </c>
    </row>
    <row r="39">
      <c r="A39" s="7" t="n">
        <v>34</v>
      </c>
      <c r="B39" s="8" t="n"/>
      <c r="C39" s="9">
        <f>ROUNDUP($A39/4.345,0)</f>
        <v/>
      </c>
      <c r="D39" s="10" t="n"/>
      <c r="E39" s="9">
        <f>IF($D39="","",$D39-$D38)</f>
        <v/>
      </c>
      <c r="F39" s="11">
        <f>IF(COUNT($E36:$E39)&lt;4,"",AVERAGE($E36:$E39))</f>
        <v/>
      </c>
      <c r="G39" s="7">
        <f>IF($F39="","",IF($F39&gt;=$F38,"OK","要対策"))</f>
        <v/>
      </c>
      <c r="H39" s="10" t="n"/>
      <c r="I39" s="9">
        <f>IF($H39="","",$H39-$H38)</f>
        <v/>
      </c>
      <c r="J39" s="10" t="n"/>
      <c r="K39" s="10" t="n"/>
      <c r="L39" s="10" t="n"/>
      <c r="M39" s="12">
        <f>IF(OR($K39="",$K39=0),"",$L39/$K39)</f>
        <v/>
      </c>
      <c r="N39" s="12">
        <f>IF(COUNT($M36:$M39)&lt;4,"",AVERAGE($M36:$M39))</f>
        <v/>
      </c>
      <c r="O39" s="7">
        <f>IF($N39="","",IF($N39&gt;=0.03,"OK","要対策"))</f>
        <v/>
      </c>
      <c r="P39" s="10" t="n"/>
      <c r="Q39" s="10" t="n"/>
      <c r="R39" s="12">
        <f>IF(OR($P39="",$P39=0),"",$Q39/$P39)</f>
        <v/>
      </c>
      <c r="S39" s="7">
        <f>IF($R39="","",IF($R39&gt;=0.15,"OK","要対策"))</f>
        <v/>
      </c>
      <c r="T39" s="10" t="n"/>
      <c r="U39" s="10" t="n"/>
      <c r="V39" s="12">
        <f>IF(OR($T39="",$T39=0),"",$U39/$T39)</f>
        <v/>
      </c>
      <c r="W39" s="10" t="n"/>
      <c r="X39" s="10" t="n"/>
      <c r="Y39" s="9">
        <f>IF(COUNT($W39:$X39)=0,"",SUM($W39:$X39))</f>
        <v/>
      </c>
      <c r="Z39" s="10" t="n"/>
      <c r="AA39" s="9">
        <f>IF($Z39="",$AA38,$AA38+$Z39)</f>
        <v/>
      </c>
      <c r="AB39" s="13" t="n"/>
      <c r="AC39" s="7">
        <f>IF($AB39="","",IF($AB39&lt;=15,"OK","超過"))</f>
        <v/>
      </c>
    </row>
    <row r="40">
      <c r="A40" s="7" t="n">
        <v>35</v>
      </c>
      <c r="B40" s="8" t="n"/>
      <c r="C40" s="9">
        <f>ROUNDUP($A40/4.345,0)</f>
        <v/>
      </c>
      <c r="D40" s="10" t="n"/>
      <c r="E40" s="9">
        <f>IF($D40="","",$D40-$D39)</f>
        <v/>
      </c>
      <c r="F40" s="11">
        <f>IF(COUNT($E37:$E40)&lt;4,"",AVERAGE($E37:$E40))</f>
        <v/>
      </c>
      <c r="G40" s="7">
        <f>IF($F40="","",IF($F40&gt;=$F39,"OK","要対策"))</f>
        <v/>
      </c>
      <c r="H40" s="10" t="n"/>
      <c r="I40" s="9">
        <f>IF($H40="","",$H40-$H39)</f>
        <v/>
      </c>
      <c r="J40" s="10" t="n"/>
      <c r="K40" s="10" t="n"/>
      <c r="L40" s="10" t="n"/>
      <c r="M40" s="12">
        <f>IF(OR($K40="",$K40=0),"",$L40/$K40)</f>
        <v/>
      </c>
      <c r="N40" s="12">
        <f>IF(COUNT($M37:$M40)&lt;4,"",AVERAGE($M37:$M40))</f>
        <v/>
      </c>
      <c r="O40" s="7">
        <f>IF($N40="","",IF($N40&gt;=0.03,"OK","要対策"))</f>
        <v/>
      </c>
      <c r="P40" s="10" t="n"/>
      <c r="Q40" s="10" t="n"/>
      <c r="R40" s="12">
        <f>IF(OR($P40="",$P40=0),"",$Q40/$P40)</f>
        <v/>
      </c>
      <c r="S40" s="7">
        <f>IF($R40="","",IF($R40&gt;=0.15,"OK","要対策"))</f>
        <v/>
      </c>
      <c r="T40" s="10" t="n"/>
      <c r="U40" s="10" t="n"/>
      <c r="V40" s="12">
        <f>IF(OR($T40="",$T40=0),"",$U40/$T40)</f>
        <v/>
      </c>
      <c r="W40" s="10" t="n"/>
      <c r="X40" s="10" t="n"/>
      <c r="Y40" s="9">
        <f>IF(COUNT($W40:$X40)=0,"",SUM($W40:$X40))</f>
        <v/>
      </c>
      <c r="Z40" s="10" t="n"/>
      <c r="AA40" s="9">
        <f>IF($Z40="",$AA39,$AA39+$Z40)</f>
        <v/>
      </c>
      <c r="AB40" s="13" t="n"/>
      <c r="AC40" s="7">
        <f>IF($AB40="","",IF($AB40&lt;=15,"OK","超過"))</f>
        <v/>
      </c>
    </row>
    <row r="41">
      <c r="A41" s="7" t="n">
        <v>36</v>
      </c>
      <c r="B41" s="8" t="n"/>
      <c r="C41" s="9">
        <f>ROUNDUP($A41/4.345,0)</f>
        <v/>
      </c>
      <c r="D41" s="10" t="n"/>
      <c r="E41" s="9">
        <f>IF($D41="","",$D41-$D40)</f>
        <v/>
      </c>
      <c r="F41" s="11">
        <f>IF(COUNT($E38:$E41)&lt;4,"",AVERAGE($E38:$E41))</f>
        <v/>
      </c>
      <c r="G41" s="7">
        <f>IF($F41="","",IF($F41&gt;=$F40,"OK","要対策"))</f>
        <v/>
      </c>
      <c r="H41" s="10" t="n"/>
      <c r="I41" s="9">
        <f>IF($H41="","",$H41-$H40)</f>
        <v/>
      </c>
      <c r="J41" s="10" t="n"/>
      <c r="K41" s="10" t="n"/>
      <c r="L41" s="10" t="n"/>
      <c r="M41" s="12">
        <f>IF(OR($K41="",$K41=0),"",$L41/$K41)</f>
        <v/>
      </c>
      <c r="N41" s="12">
        <f>IF(COUNT($M38:$M41)&lt;4,"",AVERAGE($M38:$M41))</f>
        <v/>
      </c>
      <c r="O41" s="7">
        <f>IF($N41="","",IF($N41&gt;=0.03,"OK","要対策"))</f>
        <v/>
      </c>
      <c r="P41" s="10" t="n"/>
      <c r="Q41" s="10" t="n"/>
      <c r="R41" s="12">
        <f>IF(OR($P41="",$P41=0),"",$Q41/$P41)</f>
        <v/>
      </c>
      <c r="S41" s="7">
        <f>IF($R41="","",IF($R41&gt;=0.15,"OK","要対策"))</f>
        <v/>
      </c>
      <c r="T41" s="10" t="n"/>
      <c r="U41" s="10" t="n"/>
      <c r="V41" s="12">
        <f>IF(OR($T41="",$T41=0),"",$U41/$T41)</f>
        <v/>
      </c>
      <c r="W41" s="10" t="n"/>
      <c r="X41" s="10" t="n"/>
      <c r="Y41" s="9">
        <f>IF(COUNT($W41:$X41)=0,"",SUM($W41:$X41))</f>
        <v/>
      </c>
      <c r="Z41" s="10" t="n"/>
      <c r="AA41" s="9">
        <f>IF($Z41="",$AA40,$AA40+$Z41)</f>
        <v/>
      </c>
      <c r="AB41" s="13" t="n"/>
      <c r="AC41" s="7">
        <f>IF($AB41="","",IF($AB41&lt;=15,"OK","超過"))</f>
        <v/>
      </c>
    </row>
    <row r="42">
      <c r="A42" s="7" t="n">
        <v>37</v>
      </c>
      <c r="B42" s="8" t="n"/>
      <c r="C42" s="9">
        <f>ROUNDUP($A42/4.345,0)</f>
        <v/>
      </c>
      <c r="D42" s="10" t="n"/>
      <c r="E42" s="9">
        <f>IF($D42="","",$D42-$D41)</f>
        <v/>
      </c>
      <c r="F42" s="11">
        <f>IF(COUNT($E39:$E42)&lt;4,"",AVERAGE($E39:$E42))</f>
        <v/>
      </c>
      <c r="G42" s="7">
        <f>IF($F42="","",IF($F42&gt;=$F41,"OK","要対策"))</f>
        <v/>
      </c>
      <c r="H42" s="10" t="n"/>
      <c r="I42" s="9">
        <f>IF($H42="","",$H42-$H41)</f>
        <v/>
      </c>
      <c r="J42" s="10" t="n"/>
      <c r="K42" s="10" t="n"/>
      <c r="L42" s="10" t="n"/>
      <c r="M42" s="12">
        <f>IF(OR($K42="",$K42=0),"",$L42/$K42)</f>
        <v/>
      </c>
      <c r="N42" s="12">
        <f>IF(COUNT($M39:$M42)&lt;4,"",AVERAGE($M39:$M42))</f>
        <v/>
      </c>
      <c r="O42" s="7">
        <f>IF($N42="","",IF($N42&gt;=0.03,"OK","要対策"))</f>
        <v/>
      </c>
      <c r="P42" s="10" t="n"/>
      <c r="Q42" s="10" t="n"/>
      <c r="R42" s="12">
        <f>IF(OR($P42="",$P42=0),"",$Q42/$P42)</f>
        <v/>
      </c>
      <c r="S42" s="7">
        <f>IF($R42="","",IF($R42&gt;=0.15,"OK","要対策"))</f>
        <v/>
      </c>
      <c r="T42" s="10" t="n"/>
      <c r="U42" s="10" t="n"/>
      <c r="V42" s="12">
        <f>IF(OR($T42="",$T42=0),"",$U42/$T42)</f>
        <v/>
      </c>
      <c r="W42" s="10" t="n"/>
      <c r="X42" s="10" t="n"/>
      <c r="Y42" s="9">
        <f>IF(COUNT($W42:$X42)=0,"",SUM($W42:$X42))</f>
        <v/>
      </c>
      <c r="Z42" s="10" t="n"/>
      <c r="AA42" s="9">
        <f>IF($Z42="",$AA41,$AA41+$Z42)</f>
        <v/>
      </c>
      <c r="AB42" s="13" t="n"/>
      <c r="AC42" s="7">
        <f>IF($AB42="","",IF($AB42&lt;=15,"OK","超過"))</f>
        <v/>
      </c>
    </row>
    <row r="43">
      <c r="A43" s="7" t="n">
        <v>38</v>
      </c>
      <c r="B43" s="8" t="n"/>
      <c r="C43" s="9">
        <f>ROUNDUP($A43/4.345,0)</f>
        <v/>
      </c>
      <c r="D43" s="10" t="n"/>
      <c r="E43" s="9">
        <f>IF($D43="","",$D43-$D42)</f>
        <v/>
      </c>
      <c r="F43" s="11">
        <f>IF(COUNT($E40:$E43)&lt;4,"",AVERAGE($E40:$E43))</f>
        <v/>
      </c>
      <c r="G43" s="7">
        <f>IF($F43="","",IF($F43&gt;=$F42,"OK","要対策"))</f>
        <v/>
      </c>
      <c r="H43" s="10" t="n"/>
      <c r="I43" s="9">
        <f>IF($H43="","",$H43-$H42)</f>
        <v/>
      </c>
      <c r="J43" s="10" t="n"/>
      <c r="K43" s="10" t="n"/>
      <c r="L43" s="10" t="n"/>
      <c r="M43" s="12">
        <f>IF(OR($K43="",$K43=0),"",$L43/$K43)</f>
        <v/>
      </c>
      <c r="N43" s="12">
        <f>IF(COUNT($M40:$M43)&lt;4,"",AVERAGE($M40:$M43))</f>
        <v/>
      </c>
      <c r="O43" s="7">
        <f>IF($N43="","",IF($N43&gt;=0.03,"OK","要対策"))</f>
        <v/>
      </c>
      <c r="P43" s="10" t="n"/>
      <c r="Q43" s="10" t="n"/>
      <c r="R43" s="12">
        <f>IF(OR($P43="",$P43=0),"",$Q43/$P43)</f>
        <v/>
      </c>
      <c r="S43" s="7">
        <f>IF($R43="","",IF($R43&gt;=0.15,"OK","要対策"))</f>
        <v/>
      </c>
      <c r="T43" s="10" t="n"/>
      <c r="U43" s="10" t="n"/>
      <c r="V43" s="12">
        <f>IF(OR($T43="",$T43=0),"",$U43/$T43)</f>
        <v/>
      </c>
      <c r="W43" s="10" t="n"/>
      <c r="X43" s="10" t="n"/>
      <c r="Y43" s="9">
        <f>IF(COUNT($W43:$X43)=0,"",SUM($W43:$X43))</f>
        <v/>
      </c>
      <c r="Z43" s="10" t="n"/>
      <c r="AA43" s="9">
        <f>IF($Z43="",$AA42,$AA42+$Z43)</f>
        <v/>
      </c>
      <c r="AB43" s="13" t="n"/>
      <c r="AC43" s="7">
        <f>IF($AB43="","",IF($AB43&lt;=15,"OK","超過"))</f>
        <v/>
      </c>
    </row>
    <row r="44">
      <c r="A44" s="14" t="n">
        <v>39</v>
      </c>
      <c r="B44" s="8" t="n"/>
      <c r="C44" s="15">
        <f>ROUNDUP($A44/4.345,0)</f>
        <v/>
      </c>
      <c r="D44" s="10" t="n"/>
      <c r="E44" s="15">
        <f>IF($D44="","",$D44-$D43)</f>
        <v/>
      </c>
      <c r="F44" s="16">
        <f>IF(COUNT($E41:$E44)&lt;4,"",AVERAGE($E41:$E44))</f>
        <v/>
      </c>
      <c r="G44" s="14">
        <f>IF($F44="","",IF($F44&gt;=$F43,"OK","要対策"))</f>
        <v/>
      </c>
      <c r="H44" s="10" t="n"/>
      <c r="I44" s="15">
        <f>IF($H44="","",$H44-$H43)</f>
        <v/>
      </c>
      <c r="J44" s="10" t="n"/>
      <c r="K44" s="10" t="n"/>
      <c r="L44" s="10" t="n"/>
      <c r="M44" s="17">
        <f>IF(OR($K44="",$K44=0),"",$L44/$K44)</f>
        <v/>
      </c>
      <c r="N44" s="17">
        <f>IF(COUNT($M41:$M44)&lt;4,"",AVERAGE($M41:$M44))</f>
        <v/>
      </c>
      <c r="O44" s="14">
        <f>IF($N44="","",IF($N44&gt;=0.03,"OK","要対策"))</f>
        <v/>
      </c>
      <c r="P44" s="10" t="n"/>
      <c r="Q44" s="10" t="n"/>
      <c r="R44" s="17">
        <f>IF(OR($P44="",$P44=0),"",$Q44/$P44)</f>
        <v/>
      </c>
      <c r="S44" s="14">
        <f>IF($R44="","",IF($R44&gt;=0.15,"OK","要対策"))</f>
        <v/>
      </c>
      <c r="T44" s="10" t="n"/>
      <c r="U44" s="10" t="n"/>
      <c r="V44" s="17">
        <f>IF(OR($T44="",$T44=0),"",$U44/$T44)</f>
        <v/>
      </c>
      <c r="W44" s="10" t="n"/>
      <c r="X44" s="10" t="n"/>
      <c r="Y44" s="15">
        <f>IF(COUNT($W44:$X44)=0,"",SUM($W44:$X44))</f>
        <v/>
      </c>
      <c r="Z44" s="10" t="n"/>
      <c r="AA44" s="15">
        <f>IF($Z44="",$AA43,$AA43+$Z44)</f>
        <v/>
      </c>
      <c r="AB44" s="13" t="n"/>
      <c r="AC44" s="14">
        <f>IF($AB44="","",IF($AB44&lt;=15,"OK","超過"))</f>
        <v/>
      </c>
    </row>
    <row r="45">
      <c r="A45" s="7" t="n">
        <v>40</v>
      </c>
      <c r="B45" s="8" t="n"/>
      <c r="C45" s="9">
        <f>ROUNDUP($A45/4.345,0)</f>
        <v/>
      </c>
      <c r="D45" s="10" t="n"/>
      <c r="E45" s="9">
        <f>IF($D45="","",$D45-$D44)</f>
        <v/>
      </c>
      <c r="F45" s="11">
        <f>IF(COUNT($E42:$E45)&lt;4,"",AVERAGE($E42:$E45))</f>
        <v/>
      </c>
      <c r="G45" s="7">
        <f>IF($F45="","",IF($F45&gt;=$F44,"OK","要対策"))</f>
        <v/>
      </c>
      <c r="H45" s="10" t="n"/>
      <c r="I45" s="9">
        <f>IF($H45="","",$H45-$H44)</f>
        <v/>
      </c>
      <c r="J45" s="10" t="n"/>
      <c r="K45" s="10" t="n"/>
      <c r="L45" s="10" t="n"/>
      <c r="M45" s="12">
        <f>IF(OR($K45="",$K45=0),"",$L45/$K45)</f>
        <v/>
      </c>
      <c r="N45" s="12">
        <f>IF(COUNT($M42:$M45)&lt;4,"",AVERAGE($M42:$M45))</f>
        <v/>
      </c>
      <c r="O45" s="7">
        <f>IF($N45="","",IF($N45&gt;=0.03,"OK","要対策"))</f>
        <v/>
      </c>
      <c r="P45" s="10" t="n"/>
      <c r="Q45" s="10" t="n"/>
      <c r="R45" s="12">
        <f>IF(OR($P45="",$P45=0),"",$Q45/$P45)</f>
        <v/>
      </c>
      <c r="S45" s="7">
        <f>IF($R45="","",IF($R45&gt;=0.15,"OK","要対策"))</f>
        <v/>
      </c>
      <c r="T45" s="10" t="n"/>
      <c r="U45" s="10" t="n"/>
      <c r="V45" s="12">
        <f>IF(OR($T45="",$T45=0),"",$U45/$T45)</f>
        <v/>
      </c>
      <c r="W45" s="10" t="n"/>
      <c r="X45" s="10" t="n"/>
      <c r="Y45" s="9">
        <f>IF(COUNT($W45:$X45)=0,"",SUM($W45:$X45))</f>
        <v/>
      </c>
      <c r="Z45" s="10" t="n"/>
      <c r="AA45" s="9">
        <f>IF($Z45="",$AA44,$AA44+$Z45)</f>
        <v/>
      </c>
      <c r="AB45" s="13" t="n"/>
      <c r="AC45" s="7">
        <f>IF($AB45="","",IF($AB45&lt;=15,"OK","超過"))</f>
        <v/>
      </c>
    </row>
    <row r="46">
      <c r="A46" s="7" t="n">
        <v>41</v>
      </c>
      <c r="B46" s="8" t="n"/>
      <c r="C46" s="9">
        <f>ROUNDUP($A46/4.345,0)</f>
        <v/>
      </c>
      <c r="D46" s="10" t="n"/>
      <c r="E46" s="9">
        <f>IF($D46="","",$D46-$D45)</f>
        <v/>
      </c>
      <c r="F46" s="11">
        <f>IF(COUNT($E43:$E46)&lt;4,"",AVERAGE($E43:$E46))</f>
        <v/>
      </c>
      <c r="G46" s="7">
        <f>IF($F46="","",IF($F46&gt;=$F45,"OK","要対策"))</f>
        <v/>
      </c>
      <c r="H46" s="10" t="n"/>
      <c r="I46" s="9">
        <f>IF($H46="","",$H46-$H45)</f>
        <v/>
      </c>
      <c r="J46" s="10" t="n"/>
      <c r="K46" s="10" t="n"/>
      <c r="L46" s="10" t="n"/>
      <c r="M46" s="12">
        <f>IF(OR($K46="",$K46=0),"",$L46/$K46)</f>
        <v/>
      </c>
      <c r="N46" s="12">
        <f>IF(COUNT($M43:$M46)&lt;4,"",AVERAGE($M43:$M46))</f>
        <v/>
      </c>
      <c r="O46" s="7">
        <f>IF($N46="","",IF($N46&gt;=0.03,"OK","要対策"))</f>
        <v/>
      </c>
      <c r="P46" s="10" t="n"/>
      <c r="Q46" s="10" t="n"/>
      <c r="R46" s="12">
        <f>IF(OR($P46="",$P46=0),"",$Q46/$P46)</f>
        <v/>
      </c>
      <c r="S46" s="7">
        <f>IF($R46="","",IF($R46&gt;=0.15,"OK","要対策"))</f>
        <v/>
      </c>
      <c r="T46" s="10" t="n"/>
      <c r="U46" s="10" t="n"/>
      <c r="V46" s="12">
        <f>IF(OR($T46="",$T46=0),"",$U46/$T46)</f>
        <v/>
      </c>
      <c r="W46" s="10" t="n"/>
      <c r="X46" s="10" t="n"/>
      <c r="Y46" s="9">
        <f>IF(COUNT($W46:$X46)=0,"",SUM($W46:$X46))</f>
        <v/>
      </c>
      <c r="Z46" s="10" t="n"/>
      <c r="AA46" s="9">
        <f>IF($Z46="",$AA45,$AA45+$Z46)</f>
        <v/>
      </c>
      <c r="AB46" s="13" t="n"/>
      <c r="AC46" s="7">
        <f>IF($AB46="","",IF($AB46&lt;=15,"OK","超過"))</f>
        <v/>
      </c>
    </row>
    <row r="47">
      <c r="A47" s="7" t="n">
        <v>42</v>
      </c>
      <c r="B47" s="8" t="n"/>
      <c r="C47" s="9">
        <f>ROUNDUP($A47/4.345,0)</f>
        <v/>
      </c>
      <c r="D47" s="10" t="n"/>
      <c r="E47" s="9">
        <f>IF($D47="","",$D47-$D46)</f>
        <v/>
      </c>
      <c r="F47" s="11">
        <f>IF(COUNT($E44:$E47)&lt;4,"",AVERAGE($E44:$E47))</f>
        <v/>
      </c>
      <c r="G47" s="7">
        <f>IF($F47="","",IF($F47&gt;=$F46,"OK","要対策"))</f>
        <v/>
      </c>
      <c r="H47" s="10" t="n"/>
      <c r="I47" s="9">
        <f>IF($H47="","",$H47-$H46)</f>
        <v/>
      </c>
      <c r="J47" s="10" t="n"/>
      <c r="K47" s="10" t="n"/>
      <c r="L47" s="10" t="n"/>
      <c r="M47" s="12">
        <f>IF(OR($K47="",$K47=0),"",$L47/$K47)</f>
        <v/>
      </c>
      <c r="N47" s="12">
        <f>IF(COUNT($M44:$M47)&lt;4,"",AVERAGE($M44:$M47))</f>
        <v/>
      </c>
      <c r="O47" s="7">
        <f>IF($N47="","",IF($N47&gt;=0.03,"OK","要対策"))</f>
        <v/>
      </c>
      <c r="P47" s="10" t="n"/>
      <c r="Q47" s="10" t="n"/>
      <c r="R47" s="12">
        <f>IF(OR($P47="",$P47=0),"",$Q47/$P47)</f>
        <v/>
      </c>
      <c r="S47" s="7">
        <f>IF($R47="","",IF($R47&gt;=0.15,"OK","要対策"))</f>
        <v/>
      </c>
      <c r="T47" s="10" t="n"/>
      <c r="U47" s="10" t="n"/>
      <c r="V47" s="12">
        <f>IF(OR($T47="",$T47=0),"",$U47/$T47)</f>
        <v/>
      </c>
      <c r="W47" s="10" t="n"/>
      <c r="X47" s="10" t="n"/>
      <c r="Y47" s="9">
        <f>IF(COUNT($W47:$X47)=0,"",SUM($W47:$X47))</f>
        <v/>
      </c>
      <c r="Z47" s="10" t="n"/>
      <c r="AA47" s="9">
        <f>IF($Z47="",$AA46,$AA46+$Z47)</f>
        <v/>
      </c>
      <c r="AB47" s="13" t="n"/>
      <c r="AC47" s="7">
        <f>IF($AB47="","",IF($AB47&lt;=15,"OK","超過"))</f>
        <v/>
      </c>
    </row>
    <row r="48">
      <c r="A48" s="7" t="n">
        <v>43</v>
      </c>
      <c r="B48" s="8" t="n"/>
      <c r="C48" s="9">
        <f>ROUNDUP($A48/4.345,0)</f>
        <v/>
      </c>
      <c r="D48" s="10" t="n"/>
      <c r="E48" s="9">
        <f>IF($D48="","",$D48-$D47)</f>
        <v/>
      </c>
      <c r="F48" s="11">
        <f>IF(COUNT($E45:$E48)&lt;4,"",AVERAGE($E45:$E48))</f>
        <v/>
      </c>
      <c r="G48" s="7">
        <f>IF($F48="","",IF($F48&gt;=$F47,"OK","要対策"))</f>
        <v/>
      </c>
      <c r="H48" s="10" t="n"/>
      <c r="I48" s="9">
        <f>IF($H48="","",$H48-$H47)</f>
        <v/>
      </c>
      <c r="J48" s="10" t="n"/>
      <c r="K48" s="10" t="n"/>
      <c r="L48" s="10" t="n"/>
      <c r="M48" s="12">
        <f>IF(OR($K48="",$K48=0),"",$L48/$K48)</f>
        <v/>
      </c>
      <c r="N48" s="12">
        <f>IF(COUNT($M45:$M48)&lt;4,"",AVERAGE($M45:$M48))</f>
        <v/>
      </c>
      <c r="O48" s="7">
        <f>IF($N48="","",IF($N48&gt;=0.03,"OK","要対策"))</f>
        <v/>
      </c>
      <c r="P48" s="10" t="n"/>
      <c r="Q48" s="10" t="n"/>
      <c r="R48" s="12">
        <f>IF(OR($P48="",$P48=0),"",$Q48/$P48)</f>
        <v/>
      </c>
      <c r="S48" s="7">
        <f>IF($R48="","",IF($R48&gt;=0.15,"OK","要対策"))</f>
        <v/>
      </c>
      <c r="T48" s="10" t="n"/>
      <c r="U48" s="10" t="n"/>
      <c r="V48" s="12">
        <f>IF(OR($T48="",$T48=0),"",$U48/$T48)</f>
        <v/>
      </c>
      <c r="W48" s="10" t="n"/>
      <c r="X48" s="10" t="n"/>
      <c r="Y48" s="9">
        <f>IF(COUNT($W48:$X48)=0,"",SUM($W48:$X48))</f>
        <v/>
      </c>
      <c r="Z48" s="10" t="n"/>
      <c r="AA48" s="9">
        <f>IF($Z48="",$AA47,$AA47+$Z48)</f>
        <v/>
      </c>
      <c r="AB48" s="13" t="n"/>
      <c r="AC48" s="7">
        <f>IF($AB48="","",IF($AB48&lt;=15,"OK","超過"))</f>
        <v/>
      </c>
    </row>
    <row r="49">
      <c r="A49" s="7" t="n">
        <v>44</v>
      </c>
      <c r="B49" s="8" t="n"/>
      <c r="C49" s="9">
        <f>ROUNDUP($A49/4.345,0)</f>
        <v/>
      </c>
      <c r="D49" s="10" t="n"/>
      <c r="E49" s="9">
        <f>IF($D49="","",$D49-$D48)</f>
        <v/>
      </c>
      <c r="F49" s="11">
        <f>IF(COUNT($E46:$E49)&lt;4,"",AVERAGE($E46:$E49))</f>
        <v/>
      </c>
      <c r="G49" s="7">
        <f>IF($F49="","",IF($F49&gt;=$F48,"OK","要対策"))</f>
        <v/>
      </c>
      <c r="H49" s="10" t="n"/>
      <c r="I49" s="9">
        <f>IF($H49="","",$H49-$H48)</f>
        <v/>
      </c>
      <c r="J49" s="10" t="n"/>
      <c r="K49" s="10" t="n"/>
      <c r="L49" s="10" t="n"/>
      <c r="M49" s="12">
        <f>IF(OR($K49="",$K49=0),"",$L49/$K49)</f>
        <v/>
      </c>
      <c r="N49" s="12">
        <f>IF(COUNT($M46:$M49)&lt;4,"",AVERAGE($M46:$M49))</f>
        <v/>
      </c>
      <c r="O49" s="7">
        <f>IF($N49="","",IF($N49&gt;=0.03,"OK","要対策"))</f>
        <v/>
      </c>
      <c r="P49" s="10" t="n"/>
      <c r="Q49" s="10" t="n"/>
      <c r="R49" s="12">
        <f>IF(OR($P49="",$P49=0),"",$Q49/$P49)</f>
        <v/>
      </c>
      <c r="S49" s="7">
        <f>IF($R49="","",IF($R49&gt;=0.15,"OK","要対策"))</f>
        <v/>
      </c>
      <c r="T49" s="10" t="n"/>
      <c r="U49" s="10" t="n"/>
      <c r="V49" s="12">
        <f>IF(OR($T49="",$T49=0),"",$U49/$T49)</f>
        <v/>
      </c>
      <c r="W49" s="10" t="n"/>
      <c r="X49" s="10" t="n"/>
      <c r="Y49" s="9">
        <f>IF(COUNT($W49:$X49)=0,"",SUM($W49:$X49))</f>
        <v/>
      </c>
      <c r="Z49" s="10" t="n"/>
      <c r="AA49" s="9">
        <f>IF($Z49="",$AA48,$AA48+$Z49)</f>
        <v/>
      </c>
      <c r="AB49" s="13" t="n"/>
      <c r="AC49" s="7">
        <f>IF($AB49="","",IF($AB49&lt;=15,"OK","超過"))</f>
        <v/>
      </c>
    </row>
    <row r="50">
      <c r="A50" s="7" t="n">
        <v>45</v>
      </c>
      <c r="B50" s="8" t="n"/>
      <c r="C50" s="9">
        <f>ROUNDUP($A50/4.345,0)</f>
        <v/>
      </c>
      <c r="D50" s="10" t="n"/>
      <c r="E50" s="9">
        <f>IF($D50="","",$D50-$D49)</f>
        <v/>
      </c>
      <c r="F50" s="11">
        <f>IF(COUNT($E47:$E50)&lt;4,"",AVERAGE($E47:$E50))</f>
        <v/>
      </c>
      <c r="G50" s="7">
        <f>IF($F50="","",IF($F50&gt;=$F49,"OK","要対策"))</f>
        <v/>
      </c>
      <c r="H50" s="10" t="n"/>
      <c r="I50" s="9">
        <f>IF($H50="","",$H50-$H49)</f>
        <v/>
      </c>
      <c r="J50" s="10" t="n"/>
      <c r="K50" s="10" t="n"/>
      <c r="L50" s="10" t="n"/>
      <c r="M50" s="12">
        <f>IF(OR($K50="",$K50=0),"",$L50/$K50)</f>
        <v/>
      </c>
      <c r="N50" s="12">
        <f>IF(COUNT($M47:$M50)&lt;4,"",AVERAGE($M47:$M50))</f>
        <v/>
      </c>
      <c r="O50" s="7">
        <f>IF($N50="","",IF($N50&gt;=0.03,"OK","要対策"))</f>
        <v/>
      </c>
      <c r="P50" s="10" t="n"/>
      <c r="Q50" s="10" t="n"/>
      <c r="R50" s="12">
        <f>IF(OR($P50="",$P50=0),"",$Q50/$P50)</f>
        <v/>
      </c>
      <c r="S50" s="7">
        <f>IF($R50="","",IF($R50&gt;=0.15,"OK","要対策"))</f>
        <v/>
      </c>
      <c r="T50" s="10" t="n"/>
      <c r="U50" s="10" t="n"/>
      <c r="V50" s="12">
        <f>IF(OR($T50="",$T50=0),"",$U50/$T50)</f>
        <v/>
      </c>
      <c r="W50" s="10" t="n"/>
      <c r="X50" s="10" t="n"/>
      <c r="Y50" s="9">
        <f>IF(COUNT($W50:$X50)=0,"",SUM($W50:$X50))</f>
        <v/>
      </c>
      <c r="Z50" s="10" t="n"/>
      <c r="AA50" s="9">
        <f>IF($Z50="",$AA49,$AA49+$Z50)</f>
        <v/>
      </c>
      <c r="AB50" s="13" t="n"/>
      <c r="AC50" s="7">
        <f>IF($AB50="","",IF($AB50&lt;=15,"OK","超過"))</f>
        <v/>
      </c>
    </row>
    <row r="51">
      <c r="A51" s="7" t="n">
        <v>46</v>
      </c>
      <c r="B51" s="8" t="n"/>
      <c r="C51" s="9">
        <f>ROUNDUP($A51/4.345,0)</f>
        <v/>
      </c>
      <c r="D51" s="10" t="n"/>
      <c r="E51" s="9">
        <f>IF($D51="","",$D51-$D50)</f>
        <v/>
      </c>
      <c r="F51" s="11">
        <f>IF(COUNT($E48:$E51)&lt;4,"",AVERAGE($E48:$E51))</f>
        <v/>
      </c>
      <c r="G51" s="7">
        <f>IF($F51="","",IF($F51&gt;=$F50,"OK","要対策"))</f>
        <v/>
      </c>
      <c r="H51" s="10" t="n"/>
      <c r="I51" s="9">
        <f>IF($H51="","",$H51-$H50)</f>
        <v/>
      </c>
      <c r="J51" s="10" t="n"/>
      <c r="K51" s="10" t="n"/>
      <c r="L51" s="10" t="n"/>
      <c r="M51" s="12">
        <f>IF(OR($K51="",$K51=0),"",$L51/$K51)</f>
        <v/>
      </c>
      <c r="N51" s="12">
        <f>IF(COUNT($M48:$M51)&lt;4,"",AVERAGE($M48:$M51))</f>
        <v/>
      </c>
      <c r="O51" s="7">
        <f>IF($N51="","",IF($N51&gt;=0.03,"OK","要対策"))</f>
        <v/>
      </c>
      <c r="P51" s="10" t="n"/>
      <c r="Q51" s="10" t="n"/>
      <c r="R51" s="12">
        <f>IF(OR($P51="",$P51=0),"",$Q51/$P51)</f>
        <v/>
      </c>
      <c r="S51" s="7">
        <f>IF($R51="","",IF($R51&gt;=0.15,"OK","要対策"))</f>
        <v/>
      </c>
      <c r="T51" s="10" t="n"/>
      <c r="U51" s="10" t="n"/>
      <c r="V51" s="12">
        <f>IF(OR($T51="",$T51=0),"",$U51/$T51)</f>
        <v/>
      </c>
      <c r="W51" s="10" t="n"/>
      <c r="X51" s="10" t="n"/>
      <c r="Y51" s="9">
        <f>IF(COUNT($W51:$X51)=0,"",SUM($W51:$X51))</f>
        <v/>
      </c>
      <c r="Z51" s="10" t="n"/>
      <c r="AA51" s="9">
        <f>IF($Z51="",$AA50,$AA50+$Z51)</f>
        <v/>
      </c>
      <c r="AB51" s="13" t="n"/>
      <c r="AC51" s="7">
        <f>IF($AB51="","",IF($AB51&lt;=15,"OK","超過"))</f>
        <v/>
      </c>
    </row>
    <row r="52">
      <c r="A52" s="7" t="n">
        <v>47</v>
      </c>
      <c r="B52" s="8" t="n"/>
      <c r="C52" s="9">
        <f>ROUNDUP($A52/4.345,0)</f>
        <v/>
      </c>
      <c r="D52" s="10" t="n"/>
      <c r="E52" s="9">
        <f>IF($D52="","",$D52-$D51)</f>
        <v/>
      </c>
      <c r="F52" s="11">
        <f>IF(COUNT($E49:$E52)&lt;4,"",AVERAGE($E49:$E52))</f>
        <v/>
      </c>
      <c r="G52" s="7">
        <f>IF($F52="","",IF($F52&gt;=$F51,"OK","要対策"))</f>
        <v/>
      </c>
      <c r="H52" s="10" t="n"/>
      <c r="I52" s="9">
        <f>IF($H52="","",$H52-$H51)</f>
        <v/>
      </c>
      <c r="J52" s="10" t="n"/>
      <c r="K52" s="10" t="n"/>
      <c r="L52" s="10" t="n"/>
      <c r="M52" s="12">
        <f>IF(OR($K52="",$K52=0),"",$L52/$K52)</f>
        <v/>
      </c>
      <c r="N52" s="12">
        <f>IF(COUNT($M49:$M52)&lt;4,"",AVERAGE($M49:$M52))</f>
        <v/>
      </c>
      <c r="O52" s="7">
        <f>IF($N52="","",IF($N52&gt;=0.03,"OK","要対策"))</f>
        <v/>
      </c>
      <c r="P52" s="10" t="n"/>
      <c r="Q52" s="10" t="n"/>
      <c r="R52" s="12">
        <f>IF(OR($P52="",$P52=0),"",$Q52/$P52)</f>
        <v/>
      </c>
      <c r="S52" s="7">
        <f>IF($R52="","",IF($R52&gt;=0.15,"OK","要対策"))</f>
        <v/>
      </c>
      <c r="T52" s="10" t="n"/>
      <c r="U52" s="10" t="n"/>
      <c r="V52" s="12">
        <f>IF(OR($T52="",$T52=0),"",$U52/$T52)</f>
        <v/>
      </c>
      <c r="W52" s="10" t="n"/>
      <c r="X52" s="10" t="n"/>
      <c r="Y52" s="9">
        <f>IF(COUNT($W52:$X52)=0,"",SUM($W52:$X52))</f>
        <v/>
      </c>
      <c r="Z52" s="10" t="n"/>
      <c r="AA52" s="9">
        <f>IF($Z52="",$AA51,$AA51+$Z52)</f>
        <v/>
      </c>
      <c r="AB52" s="13" t="n"/>
      <c r="AC52" s="7">
        <f>IF($AB52="","",IF($AB52&lt;=15,"OK","超過"))</f>
        <v/>
      </c>
    </row>
    <row r="53">
      <c r="A53" s="7" t="n">
        <v>48</v>
      </c>
      <c r="B53" s="8" t="n"/>
      <c r="C53" s="9">
        <f>ROUNDUP($A53/4.345,0)</f>
        <v/>
      </c>
      <c r="D53" s="10" t="n"/>
      <c r="E53" s="9">
        <f>IF($D53="","",$D53-$D52)</f>
        <v/>
      </c>
      <c r="F53" s="11">
        <f>IF(COUNT($E50:$E53)&lt;4,"",AVERAGE($E50:$E53))</f>
        <v/>
      </c>
      <c r="G53" s="7">
        <f>IF($F53="","",IF($F53&gt;=$F52,"OK","要対策"))</f>
        <v/>
      </c>
      <c r="H53" s="10" t="n"/>
      <c r="I53" s="9">
        <f>IF($H53="","",$H53-$H52)</f>
        <v/>
      </c>
      <c r="J53" s="10" t="n"/>
      <c r="K53" s="10" t="n"/>
      <c r="L53" s="10" t="n"/>
      <c r="M53" s="12">
        <f>IF(OR($K53="",$K53=0),"",$L53/$K53)</f>
        <v/>
      </c>
      <c r="N53" s="12">
        <f>IF(COUNT($M50:$M53)&lt;4,"",AVERAGE($M50:$M53))</f>
        <v/>
      </c>
      <c r="O53" s="7">
        <f>IF($N53="","",IF($N53&gt;=0.03,"OK","要対策"))</f>
        <v/>
      </c>
      <c r="P53" s="10" t="n"/>
      <c r="Q53" s="10" t="n"/>
      <c r="R53" s="12">
        <f>IF(OR($P53="",$P53=0),"",$Q53/$P53)</f>
        <v/>
      </c>
      <c r="S53" s="7">
        <f>IF($R53="","",IF($R53&gt;=0.15,"OK","要対策"))</f>
        <v/>
      </c>
      <c r="T53" s="10" t="n"/>
      <c r="U53" s="10" t="n"/>
      <c r="V53" s="12">
        <f>IF(OR($T53="",$T53=0),"",$U53/$T53)</f>
        <v/>
      </c>
      <c r="W53" s="10" t="n"/>
      <c r="X53" s="10" t="n"/>
      <c r="Y53" s="9">
        <f>IF(COUNT($W53:$X53)=0,"",SUM($W53:$X53))</f>
        <v/>
      </c>
      <c r="Z53" s="10" t="n"/>
      <c r="AA53" s="9">
        <f>IF($Z53="",$AA52,$AA52+$Z53)</f>
        <v/>
      </c>
      <c r="AB53" s="13" t="n"/>
      <c r="AC53" s="7">
        <f>IF($AB53="","",IF($AB53&lt;=15,"OK","超過"))</f>
        <v/>
      </c>
    </row>
    <row r="54">
      <c r="A54" s="7" t="n">
        <v>49</v>
      </c>
      <c r="B54" s="8" t="n"/>
      <c r="C54" s="9">
        <f>ROUNDUP($A54/4.345,0)</f>
        <v/>
      </c>
      <c r="D54" s="10" t="n"/>
      <c r="E54" s="9">
        <f>IF($D54="","",$D54-$D53)</f>
        <v/>
      </c>
      <c r="F54" s="11">
        <f>IF(COUNT($E51:$E54)&lt;4,"",AVERAGE($E51:$E54))</f>
        <v/>
      </c>
      <c r="G54" s="7">
        <f>IF($F54="","",IF($F54&gt;=$F53,"OK","要対策"))</f>
        <v/>
      </c>
      <c r="H54" s="10" t="n"/>
      <c r="I54" s="9">
        <f>IF($H54="","",$H54-$H53)</f>
        <v/>
      </c>
      <c r="J54" s="10" t="n"/>
      <c r="K54" s="10" t="n"/>
      <c r="L54" s="10" t="n"/>
      <c r="M54" s="12">
        <f>IF(OR($K54="",$K54=0),"",$L54/$K54)</f>
        <v/>
      </c>
      <c r="N54" s="12">
        <f>IF(COUNT($M51:$M54)&lt;4,"",AVERAGE($M51:$M54))</f>
        <v/>
      </c>
      <c r="O54" s="7">
        <f>IF($N54="","",IF($N54&gt;=0.03,"OK","要対策"))</f>
        <v/>
      </c>
      <c r="P54" s="10" t="n"/>
      <c r="Q54" s="10" t="n"/>
      <c r="R54" s="12">
        <f>IF(OR($P54="",$P54=0),"",$Q54/$P54)</f>
        <v/>
      </c>
      <c r="S54" s="7">
        <f>IF($R54="","",IF($R54&gt;=0.15,"OK","要対策"))</f>
        <v/>
      </c>
      <c r="T54" s="10" t="n"/>
      <c r="U54" s="10" t="n"/>
      <c r="V54" s="12">
        <f>IF(OR($T54="",$T54=0),"",$U54/$T54)</f>
        <v/>
      </c>
      <c r="W54" s="10" t="n"/>
      <c r="X54" s="10" t="n"/>
      <c r="Y54" s="9">
        <f>IF(COUNT($W54:$X54)=0,"",SUM($W54:$X54))</f>
        <v/>
      </c>
      <c r="Z54" s="10" t="n"/>
      <c r="AA54" s="9">
        <f>IF($Z54="",$AA53,$AA53+$Z54)</f>
        <v/>
      </c>
      <c r="AB54" s="13" t="n"/>
      <c r="AC54" s="7">
        <f>IF($AB54="","",IF($AB54&lt;=15,"OK","超過"))</f>
        <v/>
      </c>
    </row>
    <row r="55">
      <c r="A55" s="7" t="n">
        <v>50</v>
      </c>
      <c r="B55" s="8" t="n"/>
      <c r="C55" s="9">
        <f>ROUNDUP($A55/4.345,0)</f>
        <v/>
      </c>
      <c r="D55" s="10" t="n"/>
      <c r="E55" s="9">
        <f>IF($D55="","",$D55-$D54)</f>
        <v/>
      </c>
      <c r="F55" s="11">
        <f>IF(COUNT($E52:$E55)&lt;4,"",AVERAGE($E52:$E55))</f>
        <v/>
      </c>
      <c r="G55" s="7">
        <f>IF($F55="","",IF($F55&gt;=$F54,"OK","要対策"))</f>
        <v/>
      </c>
      <c r="H55" s="10" t="n"/>
      <c r="I55" s="9">
        <f>IF($H55="","",$H55-$H54)</f>
        <v/>
      </c>
      <c r="J55" s="10" t="n"/>
      <c r="K55" s="10" t="n"/>
      <c r="L55" s="10" t="n"/>
      <c r="M55" s="12">
        <f>IF(OR($K55="",$K55=0),"",$L55/$K55)</f>
        <v/>
      </c>
      <c r="N55" s="12">
        <f>IF(COUNT($M52:$M55)&lt;4,"",AVERAGE($M52:$M55))</f>
        <v/>
      </c>
      <c r="O55" s="7">
        <f>IF($N55="","",IF($N55&gt;=0.03,"OK","要対策"))</f>
        <v/>
      </c>
      <c r="P55" s="10" t="n"/>
      <c r="Q55" s="10" t="n"/>
      <c r="R55" s="12">
        <f>IF(OR($P55="",$P55=0),"",$Q55/$P55)</f>
        <v/>
      </c>
      <c r="S55" s="7">
        <f>IF($R55="","",IF($R55&gt;=0.15,"OK","要対策"))</f>
        <v/>
      </c>
      <c r="T55" s="10" t="n"/>
      <c r="U55" s="10" t="n"/>
      <c r="V55" s="12">
        <f>IF(OR($T55="",$T55=0),"",$U55/$T55)</f>
        <v/>
      </c>
      <c r="W55" s="10" t="n"/>
      <c r="X55" s="10" t="n"/>
      <c r="Y55" s="9">
        <f>IF(COUNT($W55:$X55)=0,"",SUM($W55:$X55))</f>
        <v/>
      </c>
      <c r="Z55" s="10" t="n"/>
      <c r="AA55" s="9">
        <f>IF($Z55="",$AA54,$AA54+$Z55)</f>
        <v/>
      </c>
      <c r="AB55" s="13" t="n"/>
      <c r="AC55" s="7">
        <f>IF($AB55="","",IF($AB55&lt;=15,"OK","超過"))</f>
        <v/>
      </c>
    </row>
    <row r="56">
      <c r="A56" s="7" t="n">
        <v>51</v>
      </c>
      <c r="B56" s="8" t="n"/>
      <c r="C56" s="9">
        <f>ROUNDUP($A56/4.345,0)</f>
        <v/>
      </c>
      <c r="D56" s="10" t="n"/>
      <c r="E56" s="9">
        <f>IF($D56="","",$D56-$D55)</f>
        <v/>
      </c>
      <c r="F56" s="11">
        <f>IF(COUNT($E53:$E56)&lt;4,"",AVERAGE($E53:$E56))</f>
        <v/>
      </c>
      <c r="G56" s="7">
        <f>IF($F56="","",IF($F56&gt;=$F55,"OK","要対策"))</f>
        <v/>
      </c>
      <c r="H56" s="10" t="n"/>
      <c r="I56" s="9">
        <f>IF($H56="","",$H56-$H55)</f>
        <v/>
      </c>
      <c r="J56" s="10" t="n"/>
      <c r="K56" s="10" t="n"/>
      <c r="L56" s="10" t="n"/>
      <c r="M56" s="12">
        <f>IF(OR($K56="",$K56=0),"",$L56/$K56)</f>
        <v/>
      </c>
      <c r="N56" s="12">
        <f>IF(COUNT($M53:$M56)&lt;4,"",AVERAGE($M53:$M56))</f>
        <v/>
      </c>
      <c r="O56" s="7">
        <f>IF($N56="","",IF($N56&gt;=0.03,"OK","要対策"))</f>
        <v/>
      </c>
      <c r="P56" s="10" t="n"/>
      <c r="Q56" s="10" t="n"/>
      <c r="R56" s="12">
        <f>IF(OR($P56="",$P56=0),"",$Q56/$P56)</f>
        <v/>
      </c>
      <c r="S56" s="7">
        <f>IF($R56="","",IF($R56&gt;=0.15,"OK","要対策"))</f>
        <v/>
      </c>
      <c r="T56" s="10" t="n"/>
      <c r="U56" s="10" t="n"/>
      <c r="V56" s="12">
        <f>IF(OR($T56="",$T56=0),"",$U56/$T56)</f>
        <v/>
      </c>
      <c r="W56" s="10" t="n"/>
      <c r="X56" s="10" t="n"/>
      <c r="Y56" s="9">
        <f>IF(COUNT($W56:$X56)=0,"",SUM($W56:$X56))</f>
        <v/>
      </c>
      <c r="Z56" s="10" t="n"/>
      <c r="AA56" s="9">
        <f>IF($Z56="",$AA55,$AA55+$Z56)</f>
        <v/>
      </c>
      <c r="AB56" s="13" t="n"/>
      <c r="AC56" s="7">
        <f>IF($AB56="","",IF($AB56&lt;=15,"OK","超過"))</f>
        <v/>
      </c>
    </row>
    <row r="57">
      <c r="A57" s="14" t="n">
        <v>52</v>
      </c>
      <c r="B57" s="8" t="n"/>
      <c r="C57" s="15">
        <f>ROUNDUP($A57/4.345,0)</f>
        <v/>
      </c>
      <c r="D57" s="10" t="n"/>
      <c r="E57" s="15">
        <f>IF($D57="","",$D57-$D56)</f>
        <v/>
      </c>
      <c r="F57" s="16">
        <f>IF(COUNT($E54:$E57)&lt;4,"",AVERAGE($E54:$E57))</f>
        <v/>
      </c>
      <c r="G57" s="14">
        <f>IF($F57="","",IF($F57&gt;=$F56,"OK","要対策"))</f>
        <v/>
      </c>
      <c r="H57" s="10" t="n"/>
      <c r="I57" s="15">
        <f>IF($H57="","",$H57-$H56)</f>
        <v/>
      </c>
      <c r="J57" s="10" t="n"/>
      <c r="K57" s="10" t="n"/>
      <c r="L57" s="10" t="n"/>
      <c r="M57" s="17">
        <f>IF(OR($K57="",$K57=0),"",$L57/$K57)</f>
        <v/>
      </c>
      <c r="N57" s="17">
        <f>IF(COUNT($M54:$M57)&lt;4,"",AVERAGE($M54:$M57))</f>
        <v/>
      </c>
      <c r="O57" s="14">
        <f>IF($N57="","",IF($N57&gt;=0.03,"OK","要対策"))</f>
        <v/>
      </c>
      <c r="P57" s="10" t="n"/>
      <c r="Q57" s="10" t="n"/>
      <c r="R57" s="17">
        <f>IF(OR($P57="",$P57=0),"",$Q57/$P57)</f>
        <v/>
      </c>
      <c r="S57" s="14">
        <f>IF($R57="","",IF($R57&gt;=0.15,"OK","要対策"))</f>
        <v/>
      </c>
      <c r="T57" s="10" t="n"/>
      <c r="U57" s="10" t="n"/>
      <c r="V57" s="17">
        <f>IF(OR($T57="",$T57=0),"",$U57/$T57)</f>
        <v/>
      </c>
      <c r="W57" s="10" t="n"/>
      <c r="X57" s="10" t="n"/>
      <c r="Y57" s="15">
        <f>IF(COUNT($W57:$X57)=0,"",SUM($W57:$X57))</f>
        <v/>
      </c>
      <c r="Z57" s="10" t="n"/>
      <c r="AA57" s="15">
        <f>IF($Z57="",$AA56,$AA56+$Z57)</f>
        <v/>
      </c>
      <c r="AB57" s="13" t="n"/>
      <c r="AC57" s="14">
        <f>IF($AB57="","",IF($AB57&lt;=15,"OK","超過"))</f>
        <v/>
      </c>
    </row>
    <row r="58">
      <c r="A58" s="7" t="n">
        <v>53</v>
      </c>
      <c r="B58" s="8" t="n"/>
      <c r="C58" s="9">
        <f>ROUNDUP($A58/4.345,0)</f>
        <v/>
      </c>
      <c r="D58" s="10" t="n"/>
      <c r="E58" s="9">
        <f>IF($D58="","",$D58-$D57)</f>
        <v/>
      </c>
      <c r="F58" s="11">
        <f>IF(COUNT($E55:$E58)&lt;4,"",AVERAGE($E55:$E58))</f>
        <v/>
      </c>
      <c r="G58" s="7">
        <f>IF($F58="","",IF($F58&gt;=$F57,"OK","要対策"))</f>
        <v/>
      </c>
      <c r="H58" s="10" t="n"/>
      <c r="I58" s="9">
        <f>IF($H58="","",$H58-$H57)</f>
        <v/>
      </c>
      <c r="J58" s="10" t="n"/>
      <c r="K58" s="10" t="n"/>
      <c r="L58" s="10" t="n"/>
      <c r="M58" s="12">
        <f>IF(OR($K58="",$K58=0),"",$L58/$K58)</f>
        <v/>
      </c>
      <c r="N58" s="12">
        <f>IF(COUNT($M55:$M58)&lt;4,"",AVERAGE($M55:$M58))</f>
        <v/>
      </c>
      <c r="O58" s="7">
        <f>IF($N58="","",IF($N58&gt;=0.03,"OK","要対策"))</f>
        <v/>
      </c>
      <c r="P58" s="10" t="n"/>
      <c r="Q58" s="10" t="n"/>
      <c r="R58" s="12">
        <f>IF(OR($P58="",$P58=0),"",$Q58/$P58)</f>
        <v/>
      </c>
      <c r="S58" s="7">
        <f>IF($R58="","",IF($R58&gt;=0.15,"OK","要対策"))</f>
        <v/>
      </c>
      <c r="T58" s="10" t="n"/>
      <c r="U58" s="10" t="n"/>
      <c r="V58" s="12">
        <f>IF(OR($T58="",$T58=0),"",$U58/$T58)</f>
        <v/>
      </c>
      <c r="W58" s="10" t="n"/>
      <c r="X58" s="10" t="n"/>
      <c r="Y58" s="9">
        <f>IF(COUNT($W58:$X58)=0,"",SUM($W58:$X58))</f>
        <v/>
      </c>
      <c r="Z58" s="10" t="n"/>
      <c r="AA58" s="9">
        <f>IF($Z58="",$AA57,$AA57+$Z58)</f>
        <v/>
      </c>
      <c r="AB58" s="13" t="n"/>
      <c r="AC58" s="7">
        <f>IF($AB58="","",IF($AB58&lt;=15,"OK","超過"))</f>
        <v/>
      </c>
    </row>
    <row r="59">
      <c r="A59" s="7" t="n">
        <v>54</v>
      </c>
      <c r="B59" s="8" t="n"/>
      <c r="C59" s="9">
        <f>ROUNDUP($A59/4.345,0)</f>
        <v/>
      </c>
      <c r="D59" s="10" t="n"/>
      <c r="E59" s="9">
        <f>IF($D59="","",$D59-$D58)</f>
        <v/>
      </c>
      <c r="F59" s="11">
        <f>IF(COUNT($E56:$E59)&lt;4,"",AVERAGE($E56:$E59))</f>
        <v/>
      </c>
      <c r="G59" s="7">
        <f>IF($F59="","",IF($F59&gt;=$F58,"OK","要対策"))</f>
        <v/>
      </c>
      <c r="H59" s="10" t="n"/>
      <c r="I59" s="9">
        <f>IF($H59="","",$H59-$H58)</f>
        <v/>
      </c>
      <c r="J59" s="10" t="n"/>
      <c r="K59" s="10" t="n"/>
      <c r="L59" s="10" t="n"/>
      <c r="M59" s="12">
        <f>IF(OR($K59="",$K59=0),"",$L59/$K59)</f>
        <v/>
      </c>
      <c r="N59" s="12">
        <f>IF(COUNT($M56:$M59)&lt;4,"",AVERAGE($M56:$M59))</f>
        <v/>
      </c>
      <c r="O59" s="7">
        <f>IF($N59="","",IF($N59&gt;=0.03,"OK","要対策"))</f>
        <v/>
      </c>
      <c r="P59" s="10" t="n"/>
      <c r="Q59" s="10" t="n"/>
      <c r="R59" s="12">
        <f>IF(OR($P59="",$P59=0),"",$Q59/$P59)</f>
        <v/>
      </c>
      <c r="S59" s="7">
        <f>IF($R59="","",IF($R59&gt;=0.15,"OK","要対策"))</f>
        <v/>
      </c>
      <c r="T59" s="10" t="n"/>
      <c r="U59" s="10" t="n"/>
      <c r="V59" s="12">
        <f>IF(OR($T59="",$T59=0),"",$U59/$T59)</f>
        <v/>
      </c>
      <c r="W59" s="10" t="n"/>
      <c r="X59" s="10" t="n"/>
      <c r="Y59" s="9">
        <f>IF(COUNT($W59:$X59)=0,"",SUM($W59:$X59))</f>
        <v/>
      </c>
      <c r="Z59" s="10" t="n"/>
      <c r="AA59" s="9">
        <f>IF($Z59="",$AA58,$AA58+$Z59)</f>
        <v/>
      </c>
      <c r="AB59" s="13" t="n"/>
      <c r="AC59" s="7">
        <f>IF($AB59="","",IF($AB59&lt;=15,"OK","超過"))</f>
        <v/>
      </c>
    </row>
    <row r="60">
      <c r="A60" s="7" t="n">
        <v>55</v>
      </c>
      <c r="B60" s="8" t="n"/>
      <c r="C60" s="9">
        <f>ROUNDUP($A60/4.345,0)</f>
        <v/>
      </c>
      <c r="D60" s="10" t="n"/>
      <c r="E60" s="9">
        <f>IF($D60="","",$D60-$D59)</f>
        <v/>
      </c>
      <c r="F60" s="11">
        <f>IF(COUNT($E57:$E60)&lt;4,"",AVERAGE($E57:$E60))</f>
        <v/>
      </c>
      <c r="G60" s="7">
        <f>IF($F60="","",IF($F60&gt;=$F59,"OK","要対策"))</f>
        <v/>
      </c>
      <c r="H60" s="10" t="n"/>
      <c r="I60" s="9">
        <f>IF($H60="","",$H60-$H59)</f>
        <v/>
      </c>
      <c r="J60" s="10" t="n"/>
      <c r="K60" s="10" t="n"/>
      <c r="L60" s="10" t="n"/>
      <c r="M60" s="12">
        <f>IF(OR($K60="",$K60=0),"",$L60/$K60)</f>
        <v/>
      </c>
      <c r="N60" s="12">
        <f>IF(COUNT($M57:$M60)&lt;4,"",AVERAGE($M57:$M60))</f>
        <v/>
      </c>
      <c r="O60" s="7">
        <f>IF($N60="","",IF($N60&gt;=0.03,"OK","要対策"))</f>
        <v/>
      </c>
      <c r="P60" s="10" t="n"/>
      <c r="Q60" s="10" t="n"/>
      <c r="R60" s="12">
        <f>IF(OR($P60="",$P60=0),"",$Q60/$P60)</f>
        <v/>
      </c>
      <c r="S60" s="7">
        <f>IF($R60="","",IF($R60&gt;=0.15,"OK","要対策"))</f>
        <v/>
      </c>
      <c r="T60" s="10" t="n"/>
      <c r="U60" s="10" t="n"/>
      <c r="V60" s="12">
        <f>IF(OR($T60="",$T60=0),"",$U60/$T60)</f>
        <v/>
      </c>
      <c r="W60" s="10" t="n"/>
      <c r="X60" s="10" t="n"/>
      <c r="Y60" s="9">
        <f>IF(COUNT($W60:$X60)=0,"",SUM($W60:$X60))</f>
        <v/>
      </c>
      <c r="Z60" s="10" t="n"/>
      <c r="AA60" s="9">
        <f>IF($Z60="",$AA59,$AA59+$Z60)</f>
        <v/>
      </c>
      <c r="AB60" s="13" t="n"/>
      <c r="AC60" s="7">
        <f>IF($AB60="","",IF($AB60&lt;=15,"OK","超過"))</f>
        <v/>
      </c>
    </row>
    <row r="61">
      <c r="A61" s="7" t="n">
        <v>56</v>
      </c>
      <c r="B61" s="8" t="n"/>
      <c r="C61" s="9">
        <f>ROUNDUP($A61/4.345,0)</f>
        <v/>
      </c>
      <c r="D61" s="10" t="n"/>
      <c r="E61" s="9">
        <f>IF($D61="","",$D61-$D60)</f>
        <v/>
      </c>
      <c r="F61" s="11">
        <f>IF(COUNT($E58:$E61)&lt;4,"",AVERAGE($E58:$E61))</f>
        <v/>
      </c>
      <c r="G61" s="7">
        <f>IF($F61="","",IF($F61&gt;=$F60,"OK","要対策"))</f>
        <v/>
      </c>
      <c r="H61" s="10" t="n"/>
      <c r="I61" s="9">
        <f>IF($H61="","",$H61-$H60)</f>
        <v/>
      </c>
      <c r="J61" s="10" t="n"/>
      <c r="K61" s="10" t="n"/>
      <c r="L61" s="10" t="n"/>
      <c r="M61" s="12">
        <f>IF(OR($K61="",$K61=0),"",$L61/$K61)</f>
        <v/>
      </c>
      <c r="N61" s="12">
        <f>IF(COUNT($M58:$M61)&lt;4,"",AVERAGE($M58:$M61))</f>
        <v/>
      </c>
      <c r="O61" s="7">
        <f>IF($N61="","",IF($N61&gt;=0.03,"OK","要対策"))</f>
        <v/>
      </c>
      <c r="P61" s="10" t="n"/>
      <c r="Q61" s="10" t="n"/>
      <c r="R61" s="12">
        <f>IF(OR($P61="",$P61=0),"",$Q61/$P61)</f>
        <v/>
      </c>
      <c r="S61" s="7">
        <f>IF($R61="","",IF($R61&gt;=0.15,"OK","要対策"))</f>
        <v/>
      </c>
      <c r="T61" s="10" t="n"/>
      <c r="U61" s="10" t="n"/>
      <c r="V61" s="12">
        <f>IF(OR($T61="",$T61=0),"",$U61/$T61)</f>
        <v/>
      </c>
      <c r="W61" s="10" t="n"/>
      <c r="X61" s="10" t="n"/>
      <c r="Y61" s="9">
        <f>IF(COUNT($W61:$X61)=0,"",SUM($W61:$X61))</f>
        <v/>
      </c>
      <c r="Z61" s="10" t="n"/>
      <c r="AA61" s="9">
        <f>IF($Z61="",$AA60,$AA60+$Z61)</f>
        <v/>
      </c>
      <c r="AB61" s="13" t="n"/>
      <c r="AC61" s="7">
        <f>IF($AB61="","",IF($AB61&lt;=15,"OK","超過"))</f>
        <v/>
      </c>
    </row>
    <row r="62">
      <c r="A62" s="7" t="n">
        <v>57</v>
      </c>
      <c r="B62" s="8" t="n"/>
      <c r="C62" s="9">
        <f>ROUNDUP($A62/4.345,0)</f>
        <v/>
      </c>
      <c r="D62" s="10" t="n"/>
      <c r="E62" s="9">
        <f>IF($D62="","",$D62-$D61)</f>
        <v/>
      </c>
      <c r="F62" s="11">
        <f>IF(COUNT($E59:$E62)&lt;4,"",AVERAGE($E59:$E62))</f>
        <v/>
      </c>
      <c r="G62" s="7">
        <f>IF($F62="","",IF($F62&gt;=$F61,"OK","要対策"))</f>
        <v/>
      </c>
      <c r="H62" s="10" t="n"/>
      <c r="I62" s="9">
        <f>IF($H62="","",$H62-$H61)</f>
        <v/>
      </c>
      <c r="J62" s="10" t="n"/>
      <c r="K62" s="10" t="n"/>
      <c r="L62" s="10" t="n"/>
      <c r="M62" s="12">
        <f>IF(OR($K62="",$K62=0),"",$L62/$K62)</f>
        <v/>
      </c>
      <c r="N62" s="12">
        <f>IF(COUNT($M59:$M62)&lt;4,"",AVERAGE($M59:$M62))</f>
        <v/>
      </c>
      <c r="O62" s="7">
        <f>IF($N62="","",IF($N62&gt;=0.03,"OK","要対策"))</f>
        <v/>
      </c>
      <c r="P62" s="10" t="n"/>
      <c r="Q62" s="10" t="n"/>
      <c r="R62" s="12">
        <f>IF(OR($P62="",$P62=0),"",$Q62/$P62)</f>
        <v/>
      </c>
      <c r="S62" s="7">
        <f>IF($R62="","",IF($R62&gt;=0.15,"OK","要対策"))</f>
        <v/>
      </c>
      <c r="T62" s="10" t="n"/>
      <c r="U62" s="10" t="n"/>
      <c r="V62" s="12">
        <f>IF(OR($T62="",$T62=0),"",$U62/$T62)</f>
        <v/>
      </c>
      <c r="W62" s="10" t="n"/>
      <c r="X62" s="10" t="n"/>
      <c r="Y62" s="9">
        <f>IF(COUNT($W62:$X62)=0,"",SUM($W62:$X62))</f>
        <v/>
      </c>
      <c r="Z62" s="10" t="n"/>
      <c r="AA62" s="9">
        <f>IF($Z62="",$AA61,$AA61+$Z62)</f>
        <v/>
      </c>
      <c r="AB62" s="13" t="n"/>
      <c r="AC62" s="7">
        <f>IF($AB62="","",IF($AB62&lt;=15,"OK","超過"))</f>
        <v/>
      </c>
    </row>
    <row r="63">
      <c r="A63" s="7" t="n">
        <v>58</v>
      </c>
      <c r="B63" s="8" t="n"/>
      <c r="C63" s="9">
        <f>ROUNDUP($A63/4.345,0)</f>
        <v/>
      </c>
      <c r="D63" s="10" t="n"/>
      <c r="E63" s="9">
        <f>IF($D63="","",$D63-$D62)</f>
        <v/>
      </c>
      <c r="F63" s="11">
        <f>IF(COUNT($E60:$E63)&lt;4,"",AVERAGE($E60:$E63))</f>
        <v/>
      </c>
      <c r="G63" s="7">
        <f>IF($F63="","",IF($F63&gt;=$F62,"OK","要対策"))</f>
        <v/>
      </c>
      <c r="H63" s="10" t="n"/>
      <c r="I63" s="9">
        <f>IF($H63="","",$H63-$H62)</f>
        <v/>
      </c>
      <c r="J63" s="10" t="n"/>
      <c r="K63" s="10" t="n"/>
      <c r="L63" s="10" t="n"/>
      <c r="M63" s="12">
        <f>IF(OR($K63="",$K63=0),"",$L63/$K63)</f>
        <v/>
      </c>
      <c r="N63" s="12">
        <f>IF(COUNT($M60:$M63)&lt;4,"",AVERAGE($M60:$M63))</f>
        <v/>
      </c>
      <c r="O63" s="7">
        <f>IF($N63="","",IF($N63&gt;=0.03,"OK","要対策"))</f>
        <v/>
      </c>
      <c r="P63" s="10" t="n"/>
      <c r="Q63" s="10" t="n"/>
      <c r="R63" s="12">
        <f>IF(OR($P63="",$P63=0),"",$Q63/$P63)</f>
        <v/>
      </c>
      <c r="S63" s="7">
        <f>IF($R63="","",IF($R63&gt;=0.15,"OK","要対策"))</f>
        <v/>
      </c>
      <c r="T63" s="10" t="n"/>
      <c r="U63" s="10" t="n"/>
      <c r="V63" s="12">
        <f>IF(OR($T63="",$T63=0),"",$U63/$T63)</f>
        <v/>
      </c>
      <c r="W63" s="10" t="n"/>
      <c r="X63" s="10" t="n"/>
      <c r="Y63" s="9">
        <f>IF(COUNT($W63:$X63)=0,"",SUM($W63:$X63))</f>
        <v/>
      </c>
      <c r="Z63" s="10" t="n"/>
      <c r="AA63" s="9">
        <f>IF($Z63="",$AA62,$AA62+$Z63)</f>
        <v/>
      </c>
      <c r="AB63" s="13" t="n"/>
      <c r="AC63" s="7">
        <f>IF($AB63="","",IF($AB63&lt;=15,"OK","超過"))</f>
        <v/>
      </c>
    </row>
    <row r="64">
      <c r="A64" s="7" t="n">
        <v>59</v>
      </c>
      <c r="B64" s="8" t="n"/>
      <c r="C64" s="9">
        <f>ROUNDUP($A64/4.345,0)</f>
        <v/>
      </c>
      <c r="D64" s="10" t="n"/>
      <c r="E64" s="9">
        <f>IF($D64="","",$D64-$D63)</f>
        <v/>
      </c>
      <c r="F64" s="11">
        <f>IF(COUNT($E61:$E64)&lt;4,"",AVERAGE($E61:$E64))</f>
        <v/>
      </c>
      <c r="G64" s="7">
        <f>IF($F64="","",IF($F64&gt;=$F63,"OK","要対策"))</f>
        <v/>
      </c>
      <c r="H64" s="10" t="n"/>
      <c r="I64" s="9">
        <f>IF($H64="","",$H64-$H63)</f>
        <v/>
      </c>
      <c r="J64" s="10" t="n"/>
      <c r="K64" s="10" t="n"/>
      <c r="L64" s="10" t="n"/>
      <c r="M64" s="12">
        <f>IF(OR($K64="",$K64=0),"",$L64/$K64)</f>
        <v/>
      </c>
      <c r="N64" s="12">
        <f>IF(COUNT($M61:$M64)&lt;4,"",AVERAGE($M61:$M64))</f>
        <v/>
      </c>
      <c r="O64" s="7">
        <f>IF($N64="","",IF($N64&gt;=0.03,"OK","要対策"))</f>
        <v/>
      </c>
      <c r="P64" s="10" t="n"/>
      <c r="Q64" s="10" t="n"/>
      <c r="R64" s="12">
        <f>IF(OR($P64="",$P64=0),"",$Q64/$P64)</f>
        <v/>
      </c>
      <c r="S64" s="7">
        <f>IF($R64="","",IF($R64&gt;=0.15,"OK","要対策"))</f>
        <v/>
      </c>
      <c r="T64" s="10" t="n"/>
      <c r="U64" s="10" t="n"/>
      <c r="V64" s="12">
        <f>IF(OR($T64="",$T64=0),"",$U64/$T64)</f>
        <v/>
      </c>
      <c r="W64" s="10" t="n"/>
      <c r="X64" s="10" t="n"/>
      <c r="Y64" s="9">
        <f>IF(COUNT($W64:$X64)=0,"",SUM($W64:$X64))</f>
        <v/>
      </c>
      <c r="Z64" s="10" t="n"/>
      <c r="AA64" s="9">
        <f>IF($Z64="",$AA63,$AA63+$Z64)</f>
        <v/>
      </c>
      <c r="AB64" s="13" t="n"/>
      <c r="AC64" s="7">
        <f>IF($AB64="","",IF($AB64&lt;=15,"OK","超過"))</f>
        <v/>
      </c>
    </row>
    <row r="65">
      <c r="A65" s="7" t="n">
        <v>60</v>
      </c>
      <c r="B65" s="8" t="n"/>
      <c r="C65" s="9">
        <f>ROUNDUP($A65/4.345,0)</f>
        <v/>
      </c>
      <c r="D65" s="10" t="n"/>
      <c r="E65" s="9">
        <f>IF($D65="","",$D65-$D64)</f>
        <v/>
      </c>
      <c r="F65" s="11">
        <f>IF(COUNT($E62:$E65)&lt;4,"",AVERAGE($E62:$E65))</f>
        <v/>
      </c>
      <c r="G65" s="7">
        <f>IF($F65="","",IF($F65&gt;=$F64,"OK","要対策"))</f>
        <v/>
      </c>
      <c r="H65" s="10" t="n"/>
      <c r="I65" s="9">
        <f>IF($H65="","",$H65-$H64)</f>
        <v/>
      </c>
      <c r="J65" s="10" t="n"/>
      <c r="K65" s="10" t="n"/>
      <c r="L65" s="10" t="n"/>
      <c r="M65" s="12">
        <f>IF(OR($K65="",$K65=0),"",$L65/$K65)</f>
        <v/>
      </c>
      <c r="N65" s="12">
        <f>IF(COUNT($M62:$M65)&lt;4,"",AVERAGE($M62:$M65))</f>
        <v/>
      </c>
      <c r="O65" s="7">
        <f>IF($N65="","",IF($N65&gt;=0.03,"OK","要対策"))</f>
        <v/>
      </c>
      <c r="P65" s="10" t="n"/>
      <c r="Q65" s="10" t="n"/>
      <c r="R65" s="12">
        <f>IF(OR($P65="",$P65=0),"",$Q65/$P65)</f>
        <v/>
      </c>
      <c r="S65" s="7">
        <f>IF($R65="","",IF($R65&gt;=0.15,"OK","要対策"))</f>
        <v/>
      </c>
      <c r="T65" s="10" t="n"/>
      <c r="U65" s="10" t="n"/>
      <c r="V65" s="12">
        <f>IF(OR($T65="",$T65=0),"",$U65/$T65)</f>
        <v/>
      </c>
      <c r="W65" s="10" t="n"/>
      <c r="X65" s="10" t="n"/>
      <c r="Y65" s="9">
        <f>IF(COUNT($W65:$X65)=0,"",SUM($W65:$X65))</f>
        <v/>
      </c>
      <c r="Z65" s="10" t="n"/>
      <c r="AA65" s="9">
        <f>IF($Z65="",$AA64,$AA64+$Z65)</f>
        <v/>
      </c>
      <c r="AB65" s="13" t="n"/>
      <c r="AC65" s="7">
        <f>IF($AB65="","",IF($AB65&lt;=15,"OK","超過"))</f>
        <v/>
      </c>
    </row>
    <row r="66">
      <c r="A66" s="7" t="n">
        <v>61</v>
      </c>
      <c r="B66" s="8" t="n"/>
      <c r="C66" s="9">
        <f>ROUNDUP($A66/4.345,0)</f>
        <v/>
      </c>
      <c r="D66" s="10" t="n"/>
      <c r="E66" s="9">
        <f>IF($D66="","",$D66-$D65)</f>
        <v/>
      </c>
      <c r="F66" s="11">
        <f>IF(COUNT($E63:$E66)&lt;4,"",AVERAGE($E63:$E66))</f>
        <v/>
      </c>
      <c r="G66" s="7">
        <f>IF($F66="","",IF($F66&gt;=$F65,"OK","要対策"))</f>
        <v/>
      </c>
      <c r="H66" s="10" t="n"/>
      <c r="I66" s="9">
        <f>IF($H66="","",$H66-$H65)</f>
        <v/>
      </c>
      <c r="J66" s="10" t="n"/>
      <c r="K66" s="10" t="n"/>
      <c r="L66" s="10" t="n"/>
      <c r="M66" s="12">
        <f>IF(OR($K66="",$K66=0),"",$L66/$K66)</f>
        <v/>
      </c>
      <c r="N66" s="12">
        <f>IF(COUNT($M63:$M66)&lt;4,"",AVERAGE($M63:$M66))</f>
        <v/>
      </c>
      <c r="O66" s="7">
        <f>IF($N66="","",IF($N66&gt;=0.03,"OK","要対策"))</f>
        <v/>
      </c>
      <c r="P66" s="10" t="n"/>
      <c r="Q66" s="10" t="n"/>
      <c r="R66" s="12">
        <f>IF(OR($P66="",$P66=0),"",$Q66/$P66)</f>
        <v/>
      </c>
      <c r="S66" s="7">
        <f>IF($R66="","",IF($R66&gt;=0.15,"OK","要対策"))</f>
        <v/>
      </c>
      <c r="T66" s="10" t="n"/>
      <c r="U66" s="10" t="n"/>
      <c r="V66" s="12">
        <f>IF(OR($T66="",$T66=0),"",$U66/$T66)</f>
        <v/>
      </c>
      <c r="W66" s="10" t="n"/>
      <c r="X66" s="10" t="n"/>
      <c r="Y66" s="9">
        <f>IF(COUNT($W66:$X66)=0,"",SUM($W66:$X66))</f>
        <v/>
      </c>
      <c r="Z66" s="10" t="n"/>
      <c r="AA66" s="9">
        <f>IF($Z66="",$AA65,$AA65+$Z66)</f>
        <v/>
      </c>
      <c r="AB66" s="13" t="n"/>
      <c r="AC66" s="7">
        <f>IF($AB66="","",IF($AB66&lt;=15,"OK","超過"))</f>
        <v/>
      </c>
    </row>
    <row r="67">
      <c r="A67" s="7" t="n">
        <v>62</v>
      </c>
      <c r="B67" s="8" t="n"/>
      <c r="C67" s="9">
        <f>ROUNDUP($A67/4.345,0)</f>
        <v/>
      </c>
      <c r="D67" s="10" t="n"/>
      <c r="E67" s="9">
        <f>IF($D67="","",$D67-$D66)</f>
        <v/>
      </c>
      <c r="F67" s="11">
        <f>IF(COUNT($E64:$E67)&lt;4,"",AVERAGE($E64:$E67))</f>
        <v/>
      </c>
      <c r="G67" s="7">
        <f>IF($F67="","",IF($F67&gt;=$F66,"OK","要対策"))</f>
        <v/>
      </c>
      <c r="H67" s="10" t="n"/>
      <c r="I67" s="9">
        <f>IF($H67="","",$H67-$H66)</f>
        <v/>
      </c>
      <c r="J67" s="10" t="n"/>
      <c r="K67" s="10" t="n"/>
      <c r="L67" s="10" t="n"/>
      <c r="M67" s="12">
        <f>IF(OR($K67="",$K67=0),"",$L67/$K67)</f>
        <v/>
      </c>
      <c r="N67" s="12">
        <f>IF(COUNT($M64:$M67)&lt;4,"",AVERAGE($M64:$M67))</f>
        <v/>
      </c>
      <c r="O67" s="7">
        <f>IF($N67="","",IF($N67&gt;=0.03,"OK","要対策"))</f>
        <v/>
      </c>
      <c r="P67" s="10" t="n"/>
      <c r="Q67" s="10" t="n"/>
      <c r="R67" s="12">
        <f>IF(OR($P67="",$P67=0),"",$Q67/$P67)</f>
        <v/>
      </c>
      <c r="S67" s="7">
        <f>IF($R67="","",IF($R67&gt;=0.15,"OK","要対策"))</f>
        <v/>
      </c>
      <c r="T67" s="10" t="n"/>
      <c r="U67" s="10" t="n"/>
      <c r="V67" s="12">
        <f>IF(OR($T67="",$T67=0),"",$U67/$T67)</f>
        <v/>
      </c>
      <c r="W67" s="10" t="n"/>
      <c r="X67" s="10" t="n"/>
      <c r="Y67" s="9">
        <f>IF(COUNT($W67:$X67)=0,"",SUM($W67:$X67))</f>
        <v/>
      </c>
      <c r="Z67" s="10" t="n"/>
      <c r="AA67" s="9">
        <f>IF($Z67="",$AA66,$AA66+$Z67)</f>
        <v/>
      </c>
      <c r="AB67" s="13" t="n"/>
      <c r="AC67" s="7">
        <f>IF($AB67="","",IF($AB67&lt;=15,"OK","超過"))</f>
        <v/>
      </c>
    </row>
    <row r="68">
      <c r="A68" s="7" t="n">
        <v>63</v>
      </c>
      <c r="B68" s="8" t="n"/>
      <c r="C68" s="9">
        <f>ROUNDUP($A68/4.345,0)</f>
        <v/>
      </c>
      <c r="D68" s="10" t="n"/>
      <c r="E68" s="9">
        <f>IF($D68="","",$D68-$D67)</f>
        <v/>
      </c>
      <c r="F68" s="11">
        <f>IF(COUNT($E65:$E68)&lt;4,"",AVERAGE($E65:$E68))</f>
        <v/>
      </c>
      <c r="G68" s="7">
        <f>IF($F68="","",IF($F68&gt;=$F67,"OK","要対策"))</f>
        <v/>
      </c>
      <c r="H68" s="10" t="n"/>
      <c r="I68" s="9">
        <f>IF($H68="","",$H68-$H67)</f>
        <v/>
      </c>
      <c r="J68" s="10" t="n"/>
      <c r="K68" s="10" t="n"/>
      <c r="L68" s="10" t="n"/>
      <c r="M68" s="12">
        <f>IF(OR($K68="",$K68=0),"",$L68/$K68)</f>
        <v/>
      </c>
      <c r="N68" s="12">
        <f>IF(COUNT($M65:$M68)&lt;4,"",AVERAGE($M65:$M68))</f>
        <v/>
      </c>
      <c r="O68" s="7">
        <f>IF($N68="","",IF($N68&gt;=0.03,"OK","要対策"))</f>
        <v/>
      </c>
      <c r="P68" s="10" t="n"/>
      <c r="Q68" s="10" t="n"/>
      <c r="R68" s="12">
        <f>IF(OR($P68="",$P68=0),"",$Q68/$P68)</f>
        <v/>
      </c>
      <c r="S68" s="7">
        <f>IF($R68="","",IF($R68&gt;=0.15,"OK","要対策"))</f>
        <v/>
      </c>
      <c r="T68" s="10" t="n"/>
      <c r="U68" s="10" t="n"/>
      <c r="V68" s="12">
        <f>IF(OR($T68="",$T68=0),"",$U68/$T68)</f>
        <v/>
      </c>
      <c r="W68" s="10" t="n"/>
      <c r="X68" s="10" t="n"/>
      <c r="Y68" s="9">
        <f>IF(COUNT($W68:$X68)=0,"",SUM($W68:$X68))</f>
        <v/>
      </c>
      <c r="Z68" s="10" t="n"/>
      <c r="AA68" s="9">
        <f>IF($Z68="",$AA67,$AA67+$Z68)</f>
        <v/>
      </c>
      <c r="AB68" s="13" t="n"/>
      <c r="AC68" s="7">
        <f>IF($AB68="","",IF($AB68&lt;=15,"OK","超過"))</f>
        <v/>
      </c>
    </row>
    <row r="69">
      <c r="A69" s="7" t="n">
        <v>64</v>
      </c>
      <c r="B69" s="8" t="n"/>
      <c r="C69" s="9">
        <f>ROUNDUP($A69/4.345,0)</f>
        <v/>
      </c>
      <c r="D69" s="10" t="n"/>
      <c r="E69" s="9">
        <f>IF($D69="","",$D69-$D68)</f>
        <v/>
      </c>
      <c r="F69" s="11">
        <f>IF(COUNT($E66:$E69)&lt;4,"",AVERAGE($E66:$E69))</f>
        <v/>
      </c>
      <c r="G69" s="7">
        <f>IF($F69="","",IF($F69&gt;=$F68,"OK","要対策"))</f>
        <v/>
      </c>
      <c r="H69" s="10" t="n"/>
      <c r="I69" s="9">
        <f>IF($H69="","",$H69-$H68)</f>
        <v/>
      </c>
      <c r="J69" s="10" t="n"/>
      <c r="K69" s="10" t="n"/>
      <c r="L69" s="10" t="n"/>
      <c r="M69" s="12">
        <f>IF(OR($K69="",$K69=0),"",$L69/$K69)</f>
        <v/>
      </c>
      <c r="N69" s="12">
        <f>IF(COUNT($M66:$M69)&lt;4,"",AVERAGE($M66:$M69))</f>
        <v/>
      </c>
      <c r="O69" s="7">
        <f>IF($N69="","",IF($N69&gt;=0.03,"OK","要対策"))</f>
        <v/>
      </c>
      <c r="P69" s="10" t="n"/>
      <c r="Q69" s="10" t="n"/>
      <c r="R69" s="12">
        <f>IF(OR($P69="",$P69=0),"",$Q69/$P69)</f>
        <v/>
      </c>
      <c r="S69" s="7">
        <f>IF($R69="","",IF($R69&gt;=0.15,"OK","要対策"))</f>
        <v/>
      </c>
      <c r="T69" s="10" t="n"/>
      <c r="U69" s="10" t="n"/>
      <c r="V69" s="12">
        <f>IF(OR($T69="",$T69=0),"",$U69/$T69)</f>
        <v/>
      </c>
      <c r="W69" s="10" t="n"/>
      <c r="X69" s="10" t="n"/>
      <c r="Y69" s="9">
        <f>IF(COUNT($W69:$X69)=0,"",SUM($W69:$X69))</f>
        <v/>
      </c>
      <c r="Z69" s="10" t="n"/>
      <c r="AA69" s="9">
        <f>IF($Z69="",$AA68,$AA68+$Z69)</f>
        <v/>
      </c>
      <c r="AB69" s="13" t="n"/>
      <c r="AC69" s="7">
        <f>IF($AB69="","",IF($AB69&lt;=15,"OK","超過"))</f>
        <v/>
      </c>
    </row>
    <row r="70">
      <c r="A70" s="14" t="n">
        <v>65</v>
      </c>
      <c r="B70" s="8" t="n"/>
      <c r="C70" s="15">
        <f>ROUNDUP($A70/4.345,0)</f>
        <v/>
      </c>
      <c r="D70" s="10" t="n"/>
      <c r="E70" s="15">
        <f>IF($D70="","",$D70-$D69)</f>
        <v/>
      </c>
      <c r="F70" s="16">
        <f>IF(COUNT($E67:$E70)&lt;4,"",AVERAGE($E67:$E70))</f>
        <v/>
      </c>
      <c r="G70" s="14">
        <f>IF($F70="","",IF($F70&gt;=$F69,"OK","要対策"))</f>
        <v/>
      </c>
      <c r="H70" s="10" t="n"/>
      <c r="I70" s="15">
        <f>IF($H70="","",$H70-$H69)</f>
        <v/>
      </c>
      <c r="J70" s="10" t="n"/>
      <c r="K70" s="10" t="n"/>
      <c r="L70" s="10" t="n"/>
      <c r="M70" s="17">
        <f>IF(OR($K70="",$K70=0),"",$L70/$K70)</f>
        <v/>
      </c>
      <c r="N70" s="17">
        <f>IF(COUNT($M67:$M70)&lt;4,"",AVERAGE($M67:$M70))</f>
        <v/>
      </c>
      <c r="O70" s="14">
        <f>IF($N70="","",IF($N70&gt;=0.03,"OK","要対策"))</f>
        <v/>
      </c>
      <c r="P70" s="10" t="n"/>
      <c r="Q70" s="10" t="n"/>
      <c r="R70" s="17">
        <f>IF(OR($P70="",$P70=0),"",$Q70/$P70)</f>
        <v/>
      </c>
      <c r="S70" s="14">
        <f>IF($R70="","",IF($R70&gt;=0.15,"OK","要対策"))</f>
        <v/>
      </c>
      <c r="T70" s="10" t="n"/>
      <c r="U70" s="10" t="n"/>
      <c r="V70" s="17">
        <f>IF(OR($T70="",$T70=0),"",$U70/$T70)</f>
        <v/>
      </c>
      <c r="W70" s="10" t="n"/>
      <c r="X70" s="10" t="n"/>
      <c r="Y70" s="15">
        <f>IF(COUNT($W70:$X70)=0,"",SUM($W70:$X70))</f>
        <v/>
      </c>
      <c r="Z70" s="10" t="n"/>
      <c r="AA70" s="15">
        <f>IF($Z70="",$AA69,$AA69+$Z70)</f>
        <v/>
      </c>
      <c r="AB70" s="13" t="n"/>
      <c r="AC70" s="14">
        <f>IF($AB70="","",IF($AB70&lt;=15,"OK","超過"))</f>
        <v/>
      </c>
    </row>
    <row r="71">
      <c r="A71" s="7" t="n">
        <v>66</v>
      </c>
      <c r="B71" s="8" t="n"/>
      <c r="C71" s="9">
        <f>ROUNDUP($A71/4.345,0)</f>
        <v/>
      </c>
      <c r="D71" s="10" t="n"/>
      <c r="E71" s="9">
        <f>IF($D71="","",$D71-$D70)</f>
        <v/>
      </c>
      <c r="F71" s="11">
        <f>IF(COUNT($E68:$E71)&lt;4,"",AVERAGE($E68:$E71))</f>
        <v/>
      </c>
      <c r="G71" s="7">
        <f>IF($F71="","",IF($F71&gt;=$F70,"OK","要対策"))</f>
        <v/>
      </c>
      <c r="H71" s="10" t="n"/>
      <c r="I71" s="9">
        <f>IF($H71="","",$H71-$H70)</f>
        <v/>
      </c>
      <c r="J71" s="10" t="n"/>
      <c r="K71" s="10" t="n"/>
      <c r="L71" s="10" t="n"/>
      <c r="M71" s="12">
        <f>IF(OR($K71="",$K71=0),"",$L71/$K71)</f>
        <v/>
      </c>
      <c r="N71" s="12">
        <f>IF(COUNT($M68:$M71)&lt;4,"",AVERAGE($M68:$M71))</f>
        <v/>
      </c>
      <c r="O71" s="7">
        <f>IF($N71="","",IF($N71&gt;=0.03,"OK","要対策"))</f>
        <v/>
      </c>
      <c r="P71" s="10" t="n"/>
      <c r="Q71" s="10" t="n"/>
      <c r="R71" s="12">
        <f>IF(OR($P71="",$P71=0),"",$Q71/$P71)</f>
        <v/>
      </c>
      <c r="S71" s="7">
        <f>IF($R71="","",IF($R71&gt;=0.15,"OK","要対策"))</f>
        <v/>
      </c>
      <c r="T71" s="10" t="n"/>
      <c r="U71" s="10" t="n"/>
      <c r="V71" s="12">
        <f>IF(OR($T71="",$T71=0),"",$U71/$T71)</f>
        <v/>
      </c>
      <c r="W71" s="10" t="n"/>
      <c r="X71" s="10" t="n"/>
      <c r="Y71" s="9">
        <f>IF(COUNT($W71:$X71)=0,"",SUM($W71:$X71))</f>
        <v/>
      </c>
      <c r="Z71" s="10" t="n"/>
      <c r="AA71" s="9">
        <f>IF($Z71="",$AA70,$AA70+$Z71)</f>
        <v/>
      </c>
      <c r="AB71" s="13" t="n"/>
      <c r="AC71" s="7">
        <f>IF($AB71="","",IF($AB71&lt;=15,"OK","超過"))</f>
        <v/>
      </c>
    </row>
    <row r="72">
      <c r="A72" s="7" t="n">
        <v>67</v>
      </c>
      <c r="B72" s="8" t="n"/>
      <c r="C72" s="9">
        <f>ROUNDUP($A72/4.345,0)</f>
        <v/>
      </c>
      <c r="D72" s="10" t="n"/>
      <c r="E72" s="9">
        <f>IF($D72="","",$D72-$D71)</f>
        <v/>
      </c>
      <c r="F72" s="11">
        <f>IF(COUNT($E69:$E72)&lt;4,"",AVERAGE($E69:$E72))</f>
        <v/>
      </c>
      <c r="G72" s="7">
        <f>IF($F72="","",IF($F72&gt;=$F71,"OK","要対策"))</f>
        <v/>
      </c>
      <c r="H72" s="10" t="n"/>
      <c r="I72" s="9">
        <f>IF($H72="","",$H72-$H71)</f>
        <v/>
      </c>
      <c r="J72" s="10" t="n"/>
      <c r="K72" s="10" t="n"/>
      <c r="L72" s="10" t="n"/>
      <c r="M72" s="12">
        <f>IF(OR($K72="",$K72=0),"",$L72/$K72)</f>
        <v/>
      </c>
      <c r="N72" s="12">
        <f>IF(COUNT($M69:$M72)&lt;4,"",AVERAGE($M69:$M72))</f>
        <v/>
      </c>
      <c r="O72" s="7">
        <f>IF($N72="","",IF($N72&gt;=0.03,"OK","要対策"))</f>
        <v/>
      </c>
      <c r="P72" s="10" t="n"/>
      <c r="Q72" s="10" t="n"/>
      <c r="R72" s="12">
        <f>IF(OR($P72="",$P72=0),"",$Q72/$P72)</f>
        <v/>
      </c>
      <c r="S72" s="7">
        <f>IF($R72="","",IF($R72&gt;=0.15,"OK","要対策"))</f>
        <v/>
      </c>
      <c r="T72" s="10" t="n"/>
      <c r="U72" s="10" t="n"/>
      <c r="V72" s="12">
        <f>IF(OR($T72="",$T72=0),"",$U72/$T72)</f>
        <v/>
      </c>
      <c r="W72" s="10" t="n"/>
      <c r="X72" s="10" t="n"/>
      <c r="Y72" s="9">
        <f>IF(COUNT($W72:$X72)=0,"",SUM($W72:$X72))</f>
        <v/>
      </c>
      <c r="Z72" s="10" t="n"/>
      <c r="AA72" s="9">
        <f>IF($Z72="",$AA71,$AA71+$Z72)</f>
        <v/>
      </c>
      <c r="AB72" s="13" t="n"/>
      <c r="AC72" s="7">
        <f>IF($AB72="","",IF($AB72&lt;=15,"OK","超過"))</f>
        <v/>
      </c>
    </row>
    <row r="73">
      <c r="A73" s="7" t="n">
        <v>68</v>
      </c>
      <c r="B73" s="8" t="n"/>
      <c r="C73" s="9">
        <f>ROUNDUP($A73/4.345,0)</f>
        <v/>
      </c>
      <c r="D73" s="10" t="n"/>
      <c r="E73" s="9">
        <f>IF($D73="","",$D73-$D72)</f>
        <v/>
      </c>
      <c r="F73" s="11">
        <f>IF(COUNT($E70:$E73)&lt;4,"",AVERAGE($E70:$E73))</f>
        <v/>
      </c>
      <c r="G73" s="7">
        <f>IF($F73="","",IF($F73&gt;=$F72,"OK","要対策"))</f>
        <v/>
      </c>
      <c r="H73" s="10" t="n"/>
      <c r="I73" s="9">
        <f>IF($H73="","",$H73-$H72)</f>
        <v/>
      </c>
      <c r="J73" s="10" t="n"/>
      <c r="K73" s="10" t="n"/>
      <c r="L73" s="10" t="n"/>
      <c r="M73" s="12">
        <f>IF(OR($K73="",$K73=0),"",$L73/$K73)</f>
        <v/>
      </c>
      <c r="N73" s="12">
        <f>IF(COUNT($M70:$M73)&lt;4,"",AVERAGE($M70:$M73))</f>
        <v/>
      </c>
      <c r="O73" s="7">
        <f>IF($N73="","",IF($N73&gt;=0.03,"OK","要対策"))</f>
        <v/>
      </c>
      <c r="P73" s="10" t="n"/>
      <c r="Q73" s="10" t="n"/>
      <c r="R73" s="12">
        <f>IF(OR($P73="",$P73=0),"",$Q73/$P73)</f>
        <v/>
      </c>
      <c r="S73" s="7">
        <f>IF($R73="","",IF($R73&gt;=0.15,"OK","要対策"))</f>
        <v/>
      </c>
      <c r="T73" s="10" t="n"/>
      <c r="U73" s="10" t="n"/>
      <c r="V73" s="12">
        <f>IF(OR($T73="",$T73=0),"",$U73/$T73)</f>
        <v/>
      </c>
      <c r="W73" s="10" t="n"/>
      <c r="X73" s="10" t="n"/>
      <c r="Y73" s="9">
        <f>IF(COUNT($W73:$X73)=0,"",SUM($W73:$X73))</f>
        <v/>
      </c>
      <c r="Z73" s="10" t="n"/>
      <c r="AA73" s="9">
        <f>IF($Z73="",$AA72,$AA72+$Z73)</f>
        <v/>
      </c>
      <c r="AB73" s="13" t="n"/>
      <c r="AC73" s="7">
        <f>IF($AB73="","",IF($AB73&lt;=15,"OK","超過"))</f>
        <v/>
      </c>
    </row>
    <row r="74">
      <c r="A74" s="7" t="n">
        <v>69</v>
      </c>
      <c r="B74" s="8" t="n"/>
      <c r="C74" s="9">
        <f>ROUNDUP($A74/4.345,0)</f>
        <v/>
      </c>
      <c r="D74" s="10" t="n"/>
      <c r="E74" s="9">
        <f>IF($D74="","",$D74-$D73)</f>
        <v/>
      </c>
      <c r="F74" s="11">
        <f>IF(COUNT($E71:$E74)&lt;4,"",AVERAGE($E71:$E74))</f>
        <v/>
      </c>
      <c r="G74" s="7">
        <f>IF($F74="","",IF($F74&gt;=$F73,"OK","要対策"))</f>
        <v/>
      </c>
      <c r="H74" s="10" t="n"/>
      <c r="I74" s="9">
        <f>IF($H74="","",$H74-$H73)</f>
        <v/>
      </c>
      <c r="J74" s="10" t="n"/>
      <c r="K74" s="10" t="n"/>
      <c r="L74" s="10" t="n"/>
      <c r="M74" s="12">
        <f>IF(OR($K74="",$K74=0),"",$L74/$K74)</f>
        <v/>
      </c>
      <c r="N74" s="12">
        <f>IF(COUNT($M71:$M74)&lt;4,"",AVERAGE($M71:$M74))</f>
        <v/>
      </c>
      <c r="O74" s="7">
        <f>IF($N74="","",IF($N74&gt;=0.03,"OK","要対策"))</f>
        <v/>
      </c>
      <c r="P74" s="10" t="n"/>
      <c r="Q74" s="10" t="n"/>
      <c r="R74" s="12">
        <f>IF(OR($P74="",$P74=0),"",$Q74/$P74)</f>
        <v/>
      </c>
      <c r="S74" s="7">
        <f>IF($R74="","",IF($R74&gt;=0.15,"OK","要対策"))</f>
        <v/>
      </c>
      <c r="T74" s="10" t="n"/>
      <c r="U74" s="10" t="n"/>
      <c r="V74" s="12">
        <f>IF(OR($T74="",$T74=0),"",$U74/$T74)</f>
        <v/>
      </c>
      <c r="W74" s="10" t="n"/>
      <c r="X74" s="10" t="n"/>
      <c r="Y74" s="9">
        <f>IF(COUNT($W74:$X74)=0,"",SUM($W74:$X74))</f>
        <v/>
      </c>
      <c r="Z74" s="10" t="n"/>
      <c r="AA74" s="9">
        <f>IF($Z74="",$AA73,$AA73+$Z74)</f>
        <v/>
      </c>
      <c r="AB74" s="13" t="n"/>
      <c r="AC74" s="7">
        <f>IF($AB74="","",IF($AB74&lt;=15,"OK","超過"))</f>
        <v/>
      </c>
    </row>
    <row r="75">
      <c r="A75" s="7" t="n">
        <v>70</v>
      </c>
      <c r="B75" s="8" t="n"/>
      <c r="C75" s="9">
        <f>ROUNDUP($A75/4.345,0)</f>
        <v/>
      </c>
      <c r="D75" s="10" t="n"/>
      <c r="E75" s="9">
        <f>IF($D75="","",$D75-$D74)</f>
        <v/>
      </c>
      <c r="F75" s="11">
        <f>IF(COUNT($E72:$E75)&lt;4,"",AVERAGE($E72:$E75))</f>
        <v/>
      </c>
      <c r="G75" s="7">
        <f>IF($F75="","",IF($F75&gt;=$F74,"OK","要対策"))</f>
        <v/>
      </c>
      <c r="H75" s="10" t="n"/>
      <c r="I75" s="9">
        <f>IF($H75="","",$H75-$H74)</f>
        <v/>
      </c>
      <c r="J75" s="10" t="n"/>
      <c r="K75" s="10" t="n"/>
      <c r="L75" s="10" t="n"/>
      <c r="M75" s="12">
        <f>IF(OR($K75="",$K75=0),"",$L75/$K75)</f>
        <v/>
      </c>
      <c r="N75" s="12">
        <f>IF(COUNT($M72:$M75)&lt;4,"",AVERAGE($M72:$M75))</f>
        <v/>
      </c>
      <c r="O75" s="7">
        <f>IF($N75="","",IF($N75&gt;=0.03,"OK","要対策"))</f>
        <v/>
      </c>
      <c r="P75" s="10" t="n"/>
      <c r="Q75" s="10" t="n"/>
      <c r="R75" s="12">
        <f>IF(OR($P75="",$P75=0),"",$Q75/$P75)</f>
        <v/>
      </c>
      <c r="S75" s="7">
        <f>IF($R75="","",IF($R75&gt;=0.15,"OK","要対策"))</f>
        <v/>
      </c>
      <c r="T75" s="10" t="n"/>
      <c r="U75" s="10" t="n"/>
      <c r="V75" s="12">
        <f>IF(OR($T75="",$T75=0),"",$U75/$T75)</f>
        <v/>
      </c>
      <c r="W75" s="10" t="n"/>
      <c r="X75" s="10" t="n"/>
      <c r="Y75" s="9">
        <f>IF(COUNT($W75:$X75)=0,"",SUM($W75:$X75))</f>
        <v/>
      </c>
      <c r="Z75" s="10" t="n"/>
      <c r="AA75" s="9">
        <f>IF($Z75="",$AA74,$AA74+$Z75)</f>
        <v/>
      </c>
      <c r="AB75" s="13" t="n"/>
      <c r="AC75" s="7">
        <f>IF($AB75="","",IF($AB75&lt;=15,"OK","超過"))</f>
        <v/>
      </c>
    </row>
    <row r="76">
      <c r="A76" s="7" t="n">
        <v>71</v>
      </c>
      <c r="B76" s="8" t="n"/>
      <c r="C76" s="9">
        <f>ROUNDUP($A76/4.345,0)</f>
        <v/>
      </c>
      <c r="D76" s="10" t="n"/>
      <c r="E76" s="9">
        <f>IF($D76="","",$D76-$D75)</f>
        <v/>
      </c>
      <c r="F76" s="11">
        <f>IF(COUNT($E73:$E76)&lt;4,"",AVERAGE($E73:$E76))</f>
        <v/>
      </c>
      <c r="G76" s="7">
        <f>IF($F76="","",IF($F76&gt;=$F75,"OK","要対策"))</f>
        <v/>
      </c>
      <c r="H76" s="10" t="n"/>
      <c r="I76" s="9">
        <f>IF($H76="","",$H76-$H75)</f>
        <v/>
      </c>
      <c r="J76" s="10" t="n"/>
      <c r="K76" s="10" t="n"/>
      <c r="L76" s="10" t="n"/>
      <c r="M76" s="12">
        <f>IF(OR($K76="",$K76=0),"",$L76/$K76)</f>
        <v/>
      </c>
      <c r="N76" s="12">
        <f>IF(COUNT($M73:$M76)&lt;4,"",AVERAGE($M73:$M76))</f>
        <v/>
      </c>
      <c r="O76" s="7">
        <f>IF($N76="","",IF($N76&gt;=0.03,"OK","要対策"))</f>
        <v/>
      </c>
      <c r="P76" s="10" t="n"/>
      <c r="Q76" s="10" t="n"/>
      <c r="R76" s="12">
        <f>IF(OR($P76="",$P76=0),"",$Q76/$P76)</f>
        <v/>
      </c>
      <c r="S76" s="7">
        <f>IF($R76="","",IF($R76&gt;=0.15,"OK","要対策"))</f>
        <v/>
      </c>
      <c r="T76" s="10" t="n"/>
      <c r="U76" s="10" t="n"/>
      <c r="V76" s="12">
        <f>IF(OR($T76="",$T76=0),"",$U76/$T76)</f>
        <v/>
      </c>
      <c r="W76" s="10" t="n"/>
      <c r="X76" s="10" t="n"/>
      <c r="Y76" s="9">
        <f>IF(COUNT($W76:$X76)=0,"",SUM($W76:$X76))</f>
        <v/>
      </c>
      <c r="Z76" s="10" t="n"/>
      <c r="AA76" s="9">
        <f>IF($Z76="",$AA75,$AA75+$Z76)</f>
        <v/>
      </c>
      <c r="AB76" s="13" t="n"/>
      <c r="AC76" s="7">
        <f>IF($AB76="","",IF($AB76&lt;=15,"OK","超過"))</f>
        <v/>
      </c>
    </row>
    <row r="77">
      <c r="A77" s="7" t="n">
        <v>72</v>
      </c>
      <c r="B77" s="8" t="n"/>
      <c r="C77" s="9">
        <f>ROUNDUP($A77/4.345,0)</f>
        <v/>
      </c>
      <c r="D77" s="10" t="n"/>
      <c r="E77" s="9">
        <f>IF($D77="","",$D77-$D76)</f>
        <v/>
      </c>
      <c r="F77" s="11">
        <f>IF(COUNT($E74:$E77)&lt;4,"",AVERAGE($E74:$E77))</f>
        <v/>
      </c>
      <c r="G77" s="7">
        <f>IF($F77="","",IF($F77&gt;=$F76,"OK","要対策"))</f>
        <v/>
      </c>
      <c r="H77" s="10" t="n"/>
      <c r="I77" s="9">
        <f>IF($H77="","",$H77-$H76)</f>
        <v/>
      </c>
      <c r="J77" s="10" t="n"/>
      <c r="K77" s="10" t="n"/>
      <c r="L77" s="10" t="n"/>
      <c r="M77" s="12">
        <f>IF(OR($K77="",$K77=0),"",$L77/$K77)</f>
        <v/>
      </c>
      <c r="N77" s="12">
        <f>IF(COUNT($M74:$M77)&lt;4,"",AVERAGE($M74:$M77))</f>
        <v/>
      </c>
      <c r="O77" s="7">
        <f>IF($N77="","",IF($N77&gt;=0.03,"OK","要対策"))</f>
        <v/>
      </c>
      <c r="P77" s="10" t="n"/>
      <c r="Q77" s="10" t="n"/>
      <c r="R77" s="12">
        <f>IF(OR($P77="",$P77=0),"",$Q77/$P77)</f>
        <v/>
      </c>
      <c r="S77" s="7">
        <f>IF($R77="","",IF($R77&gt;=0.15,"OK","要対策"))</f>
        <v/>
      </c>
      <c r="T77" s="10" t="n"/>
      <c r="U77" s="10" t="n"/>
      <c r="V77" s="12">
        <f>IF(OR($T77="",$T77=0),"",$U77/$T77)</f>
        <v/>
      </c>
      <c r="W77" s="10" t="n"/>
      <c r="X77" s="10" t="n"/>
      <c r="Y77" s="9">
        <f>IF(COUNT($W77:$X77)=0,"",SUM($W77:$X77))</f>
        <v/>
      </c>
      <c r="Z77" s="10" t="n"/>
      <c r="AA77" s="9">
        <f>IF($Z77="",$AA76,$AA76+$Z77)</f>
        <v/>
      </c>
      <c r="AB77" s="13" t="n"/>
      <c r="AC77" s="7">
        <f>IF($AB77="","",IF($AB77&lt;=15,"OK","超過"))</f>
        <v/>
      </c>
    </row>
    <row r="78">
      <c r="A78" s="7" t="n">
        <v>73</v>
      </c>
      <c r="B78" s="8" t="n"/>
      <c r="C78" s="9">
        <f>ROUNDUP($A78/4.345,0)</f>
        <v/>
      </c>
      <c r="D78" s="10" t="n"/>
      <c r="E78" s="9">
        <f>IF($D78="","",$D78-$D77)</f>
        <v/>
      </c>
      <c r="F78" s="11">
        <f>IF(COUNT($E75:$E78)&lt;4,"",AVERAGE($E75:$E78))</f>
        <v/>
      </c>
      <c r="G78" s="7">
        <f>IF($F78="","",IF($F78&gt;=$F77,"OK","要対策"))</f>
        <v/>
      </c>
      <c r="H78" s="10" t="n"/>
      <c r="I78" s="9">
        <f>IF($H78="","",$H78-$H77)</f>
        <v/>
      </c>
      <c r="J78" s="10" t="n"/>
      <c r="K78" s="10" t="n"/>
      <c r="L78" s="10" t="n"/>
      <c r="M78" s="12">
        <f>IF(OR($K78="",$K78=0),"",$L78/$K78)</f>
        <v/>
      </c>
      <c r="N78" s="12">
        <f>IF(COUNT($M75:$M78)&lt;4,"",AVERAGE($M75:$M78))</f>
        <v/>
      </c>
      <c r="O78" s="7">
        <f>IF($N78="","",IF($N78&gt;=0.03,"OK","要対策"))</f>
        <v/>
      </c>
      <c r="P78" s="10" t="n"/>
      <c r="Q78" s="10" t="n"/>
      <c r="R78" s="12">
        <f>IF(OR($P78="",$P78=0),"",$Q78/$P78)</f>
        <v/>
      </c>
      <c r="S78" s="7">
        <f>IF($R78="","",IF($R78&gt;=0.15,"OK","要対策"))</f>
        <v/>
      </c>
      <c r="T78" s="10" t="n"/>
      <c r="U78" s="10" t="n"/>
      <c r="V78" s="12">
        <f>IF(OR($T78="",$T78=0),"",$U78/$T78)</f>
        <v/>
      </c>
      <c r="W78" s="10" t="n"/>
      <c r="X78" s="10" t="n"/>
      <c r="Y78" s="9">
        <f>IF(COUNT($W78:$X78)=0,"",SUM($W78:$X78))</f>
        <v/>
      </c>
      <c r="Z78" s="10" t="n"/>
      <c r="AA78" s="9">
        <f>IF($Z78="",$AA77,$AA77+$Z78)</f>
        <v/>
      </c>
      <c r="AB78" s="13" t="n"/>
      <c r="AC78" s="7">
        <f>IF($AB78="","",IF($AB78&lt;=15,"OK","超過"))</f>
        <v/>
      </c>
    </row>
    <row r="79">
      <c r="A79" s="7" t="n">
        <v>74</v>
      </c>
      <c r="B79" s="8" t="n"/>
      <c r="C79" s="9">
        <f>ROUNDUP($A79/4.345,0)</f>
        <v/>
      </c>
      <c r="D79" s="10" t="n"/>
      <c r="E79" s="9">
        <f>IF($D79="","",$D79-$D78)</f>
        <v/>
      </c>
      <c r="F79" s="11">
        <f>IF(COUNT($E76:$E79)&lt;4,"",AVERAGE($E76:$E79))</f>
        <v/>
      </c>
      <c r="G79" s="7">
        <f>IF($F79="","",IF($F79&gt;=$F78,"OK","要対策"))</f>
        <v/>
      </c>
      <c r="H79" s="10" t="n"/>
      <c r="I79" s="9">
        <f>IF($H79="","",$H79-$H78)</f>
        <v/>
      </c>
      <c r="J79" s="10" t="n"/>
      <c r="K79" s="10" t="n"/>
      <c r="L79" s="10" t="n"/>
      <c r="M79" s="12">
        <f>IF(OR($K79="",$K79=0),"",$L79/$K79)</f>
        <v/>
      </c>
      <c r="N79" s="12">
        <f>IF(COUNT($M76:$M79)&lt;4,"",AVERAGE($M76:$M79))</f>
        <v/>
      </c>
      <c r="O79" s="7">
        <f>IF($N79="","",IF($N79&gt;=0.03,"OK","要対策"))</f>
        <v/>
      </c>
      <c r="P79" s="10" t="n"/>
      <c r="Q79" s="10" t="n"/>
      <c r="R79" s="12">
        <f>IF(OR($P79="",$P79=0),"",$Q79/$P79)</f>
        <v/>
      </c>
      <c r="S79" s="7">
        <f>IF($R79="","",IF($R79&gt;=0.15,"OK","要対策"))</f>
        <v/>
      </c>
      <c r="T79" s="10" t="n"/>
      <c r="U79" s="10" t="n"/>
      <c r="V79" s="12">
        <f>IF(OR($T79="",$T79=0),"",$U79/$T79)</f>
        <v/>
      </c>
      <c r="W79" s="10" t="n"/>
      <c r="X79" s="10" t="n"/>
      <c r="Y79" s="9">
        <f>IF(COUNT($W79:$X79)=0,"",SUM($W79:$X79))</f>
        <v/>
      </c>
      <c r="Z79" s="10" t="n"/>
      <c r="AA79" s="9">
        <f>IF($Z79="",$AA78,$AA78+$Z79)</f>
        <v/>
      </c>
      <c r="AB79" s="13" t="n"/>
      <c r="AC79" s="7">
        <f>IF($AB79="","",IF($AB79&lt;=15,"OK","超過"))</f>
        <v/>
      </c>
    </row>
    <row r="80">
      <c r="A80" s="7" t="n">
        <v>75</v>
      </c>
      <c r="B80" s="8" t="n"/>
      <c r="C80" s="9">
        <f>ROUNDUP($A80/4.345,0)</f>
        <v/>
      </c>
      <c r="D80" s="10" t="n"/>
      <c r="E80" s="9">
        <f>IF($D80="","",$D80-$D79)</f>
        <v/>
      </c>
      <c r="F80" s="11">
        <f>IF(COUNT($E77:$E80)&lt;4,"",AVERAGE($E77:$E80))</f>
        <v/>
      </c>
      <c r="G80" s="7">
        <f>IF($F80="","",IF($F80&gt;=$F79,"OK","要対策"))</f>
        <v/>
      </c>
      <c r="H80" s="10" t="n"/>
      <c r="I80" s="9">
        <f>IF($H80="","",$H80-$H79)</f>
        <v/>
      </c>
      <c r="J80" s="10" t="n"/>
      <c r="K80" s="10" t="n"/>
      <c r="L80" s="10" t="n"/>
      <c r="M80" s="12">
        <f>IF(OR($K80="",$K80=0),"",$L80/$K80)</f>
        <v/>
      </c>
      <c r="N80" s="12">
        <f>IF(COUNT($M77:$M80)&lt;4,"",AVERAGE($M77:$M80))</f>
        <v/>
      </c>
      <c r="O80" s="7">
        <f>IF($N80="","",IF($N80&gt;=0.03,"OK","要対策"))</f>
        <v/>
      </c>
      <c r="P80" s="10" t="n"/>
      <c r="Q80" s="10" t="n"/>
      <c r="R80" s="12">
        <f>IF(OR($P80="",$P80=0),"",$Q80/$P80)</f>
        <v/>
      </c>
      <c r="S80" s="7">
        <f>IF($R80="","",IF($R80&gt;=0.15,"OK","要対策"))</f>
        <v/>
      </c>
      <c r="T80" s="10" t="n"/>
      <c r="U80" s="10" t="n"/>
      <c r="V80" s="12">
        <f>IF(OR($T80="",$T80=0),"",$U80/$T80)</f>
        <v/>
      </c>
      <c r="W80" s="10" t="n"/>
      <c r="X80" s="10" t="n"/>
      <c r="Y80" s="9">
        <f>IF(COUNT($W80:$X80)=0,"",SUM($W80:$X80))</f>
        <v/>
      </c>
      <c r="Z80" s="10" t="n"/>
      <c r="AA80" s="9">
        <f>IF($Z80="",$AA79,$AA79+$Z80)</f>
        <v/>
      </c>
      <c r="AB80" s="13" t="n"/>
      <c r="AC80" s="7">
        <f>IF($AB80="","",IF($AB80&lt;=15,"OK","超過"))</f>
        <v/>
      </c>
    </row>
    <row r="81">
      <c r="A81" s="7" t="n">
        <v>76</v>
      </c>
      <c r="B81" s="8" t="n"/>
      <c r="C81" s="9">
        <f>ROUNDUP($A81/4.345,0)</f>
        <v/>
      </c>
      <c r="D81" s="10" t="n"/>
      <c r="E81" s="9">
        <f>IF($D81="","",$D81-$D80)</f>
        <v/>
      </c>
      <c r="F81" s="11">
        <f>IF(COUNT($E78:$E81)&lt;4,"",AVERAGE($E78:$E81))</f>
        <v/>
      </c>
      <c r="G81" s="7">
        <f>IF($F81="","",IF($F81&gt;=$F80,"OK","要対策"))</f>
        <v/>
      </c>
      <c r="H81" s="10" t="n"/>
      <c r="I81" s="9">
        <f>IF($H81="","",$H81-$H80)</f>
        <v/>
      </c>
      <c r="J81" s="10" t="n"/>
      <c r="K81" s="10" t="n"/>
      <c r="L81" s="10" t="n"/>
      <c r="M81" s="12">
        <f>IF(OR($K81="",$K81=0),"",$L81/$K81)</f>
        <v/>
      </c>
      <c r="N81" s="12">
        <f>IF(COUNT($M78:$M81)&lt;4,"",AVERAGE($M78:$M81))</f>
        <v/>
      </c>
      <c r="O81" s="7">
        <f>IF($N81="","",IF($N81&gt;=0.03,"OK","要対策"))</f>
        <v/>
      </c>
      <c r="P81" s="10" t="n"/>
      <c r="Q81" s="10" t="n"/>
      <c r="R81" s="12">
        <f>IF(OR($P81="",$P81=0),"",$Q81/$P81)</f>
        <v/>
      </c>
      <c r="S81" s="7">
        <f>IF($R81="","",IF($R81&gt;=0.15,"OK","要対策"))</f>
        <v/>
      </c>
      <c r="T81" s="10" t="n"/>
      <c r="U81" s="10" t="n"/>
      <c r="V81" s="12">
        <f>IF(OR($T81="",$T81=0),"",$U81/$T81)</f>
        <v/>
      </c>
      <c r="W81" s="10" t="n"/>
      <c r="X81" s="10" t="n"/>
      <c r="Y81" s="9">
        <f>IF(COUNT($W81:$X81)=0,"",SUM($W81:$X81))</f>
        <v/>
      </c>
      <c r="Z81" s="10" t="n"/>
      <c r="AA81" s="9">
        <f>IF($Z81="",$AA80,$AA80+$Z81)</f>
        <v/>
      </c>
      <c r="AB81" s="13" t="n"/>
      <c r="AC81" s="7">
        <f>IF($AB81="","",IF($AB81&lt;=15,"OK","超過"))</f>
        <v/>
      </c>
    </row>
    <row r="82">
      <c r="A82" s="7" t="n">
        <v>77</v>
      </c>
      <c r="B82" s="8" t="n"/>
      <c r="C82" s="9">
        <f>ROUNDUP($A82/4.345,0)</f>
        <v/>
      </c>
      <c r="D82" s="10" t="n"/>
      <c r="E82" s="9">
        <f>IF($D82="","",$D82-$D81)</f>
        <v/>
      </c>
      <c r="F82" s="11">
        <f>IF(COUNT($E79:$E82)&lt;4,"",AVERAGE($E79:$E82))</f>
        <v/>
      </c>
      <c r="G82" s="7">
        <f>IF($F82="","",IF($F82&gt;=$F81,"OK","要対策"))</f>
        <v/>
      </c>
      <c r="H82" s="10" t="n"/>
      <c r="I82" s="9">
        <f>IF($H82="","",$H82-$H81)</f>
        <v/>
      </c>
      <c r="J82" s="10" t="n"/>
      <c r="K82" s="10" t="n"/>
      <c r="L82" s="10" t="n"/>
      <c r="M82" s="12">
        <f>IF(OR($K82="",$K82=0),"",$L82/$K82)</f>
        <v/>
      </c>
      <c r="N82" s="12">
        <f>IF(COUNT($M79:$M82)&lt;4,"",AVERAGE($M79:$M82))</f>
        <v/>
      </c>
      <c r="O82" s="7">
        <f>IF($N82="","",IF($N82&gt;=0.03,"OK","要対策"))</f>
        <v/>
      </c>
      <c r="P82" s="10" t="n"/>
      <c r="Q82" s="10" t="n"/>
      <c r="R82" s="12">
        <f>IF(OR($P82="",$P82=0),"",$Q82/$P82)</f>
        <v/>
      </c>
      <c r="S82" s="7">
        <f>IF($R82="","",IF($R82&gt;=0.15,"OK","要対策"))</f>
        <v/>
      </c>
      <c r="T82" s="10" t="n"/>
      <c r="U82" s="10" t="n"/>
      <c r="V82" s="12">
        <f>IF(OR($T82="",$T82=0),"",$U82/$T82)</f>
        <v/>
      </c>
      <c r="W82" s="10" t="n"/>
      <c r="X82" s="10" t="n"/>
      <c r="Y82" s="9">
        <f>IF(COUNT($W82:$X82)=0,"",SUM($W82:$X82))</f>
        <v/>
      </c>
      <c r="Z82" s="10" t="n"/>
      <c r="AA82" s="9">
        <f>IF($Z82="",$AA81,$AA81+$Z82)</f>
        <v/>
      </c>
      <c r="AB82" s="13" t="n"/>
      <c r="AC82" s="7">
        <f>IF($AB82="","",IF($AB82&lt;=15,"OK","超過"))</f>
        <v/>
      </c>
    </row>
    <row r="83">
      <c r="A83" s="14" t="n">
        <v>78</v>
      </c>
      <c r="B83" s="8" t="n"/>
      <c r="C83" s="15">
        <f>ROUNDUP($A83/4.345,0)</f>
        <v/>
      </c>
      <c r="D83" s="10" t="n"/>
      <c r="E83" s="15">
        <f>IF($D83="","",$D83-$D82)</f>
        <v/>
      </c>
      <c r="F83" s="16">
        <f>IF(COUNT($E80:$E83)&lt;4,"",AVERAGE($E80:$E83))</f>
        <v/>
      </c>
      <c r="G83" s="14">
        <f>IF($F83="","",IF($F83&gt;=$F82,"OK","要対策"))</f>
        <v/>
      </c>
      <c r="H83" s="10" t="n"/>
      <c r="I83" s="15">
        <f>IF($H83="","",$H83-$H82)</f>
        <v/>
      </c>
      <c r="J83" s="10" t="n"/>
      <c r="K83" s="10" t="n"/>
      <c r="L83" s="10" t="n"/>
      <c r="M83" s="17">
        <f>IF(OR($K83="",$K83=0),"",$L83/$K83)</f>
        <v/>
      </c>
      <c r="N83" s="17">
        <f>IF(COUNT($M80:$M83)&lt;4,"",AVERAGE($M80:$M83))</f>
        <v/>
      </c>
      <c r="O83" s="14">
        <f>IF($N83="","",IF($N83&gt;=0.03,"OK","要対策"))</f>
        <v/>
      </c>
      <c r="P83" s="10" t="n"/>
      <c r="Q83" s="10" t="n"/>
      <c r="R83" s="17">
        <f>IF(OR($P83="",$P83=0),"",$Q83/$P83)</f>
        <v/>
      </c>
      <c r="S83" s="14">
        <f>IF($R83="","",IF($R83&gt;=0.15,"OK","要対策"))</f>
        <v/>
      </c>
      <c r="T83" s="10" t="n"/>
      <c r="U83" s="10" t="n"/>
      <c r="V83" s="17">
        <f>IF(OR($T83="",$T83=0),"",$U83/$T83)</f>
        <v/>
      </c>
      <c r="W83" s="10" t="n"/>
      <c r="X83" s="10" t="n"/>
      <c r="Y83" s="15">
        <f>IF(COUNT($W83:$X83)=0,"",SUM($W83:$X83))</f>
        <v/>
      </c>
      <c r="Z83" s="10" t="n"/>
      <c r="AA83" s="15">
        <f>IF($Z83="",$AA82,$AA82+$Z83)</f>
        <v/>
      </c>
      <c r="AB83" s="13" t="n"/>
      <c r="AC83" s="14">
        <f>IF($AB83="","",IF($AB83&lt;=15,"OK","超過"))</f>
        <v/>
      </c>
    </row>
    <row r="84">
      <c r="A84" s="7" t="n">
        <v>79</v>
      </c>
      <c r="B84" s="8" t="n"/>
      <c r="C84" s="9">
        <f>ROUNDUP($A84/4.345,0)</f>
        <v/>
      </c>
      <c r="D84" s="10" t="n"/>
      <c r="E84" s="9">
        <f>IF($D84="","",$D84-$D83)</f>
        <v/>
      </c>
      <c r="F84" s="11">
        <f>IF(COUNT($E81:$E84)&lt;4,"",AVERAGE($E81:$E84))</f>
        <v/>
      </c>
      <c r="G84" s="7">
        <f>IF($F84="","",IF($F84&gt;=$F83,"OK","要対策"))</f>
        <v/>
      </c>
      <c r="H84" s="10" t="n"/>
      <c r="I84" s="9">
        <f>IF($H84="","",$H84-$H83)</f>
        <v/>
      </c>
      <c r="J84" s="10" t="n"/>
      <c r="K84" s="10" t="n"/>
      <c r="L84" s="10" t="n"/>
      <c r="M84" s="12">
        <f>IF(OR($K84="",$K84=0),"",$L84/$K84)</f>
        <v/>
      </c>
      <c r="N84" s="12">
        <f>IF(COUNT($M81:$M84)&lt;4,"",AVERAGE($M81:$M84))</f>
        <v/>
      </c>
      <c r="O84" s="7">
        <f>IF($N84="","",IF($N84&gt;=0.03,"OK","要対策"))</f>
        <v/>
      </c>
      <c r="P84" s="10" t="n"/>
      <c r="Q84" s="10" t="n"/>
      <c r="R84" s="12">
        <f>IF(OR($P84="",$P84=0),"",$Q84/$P84)</f>
        <v/>
      </c>
      <c r="S84" s="7">
        <f>IF($R84="","",IF($R84&gt;=0.15,"OK","要対策"))</f>
        <v/>
      </c>
      <c r="T84" s="10" t="n"/>
      <c r="U84" s="10" t="n"/>
      <c r="V84" s="12">
        <f>IF(OR($T84="",$T84=0),"",$U84/$T84)</f>
        <v/>
      </c>
      <c r="W84" s="10" t="n"/>
      <c r="X84" s="10" t="n"/>
      <c r="Y84" s="9">
        <f>IF(COUNT($W84:$X84)=0,"",SUM($W84:$X84))</f>
        <v/>
      </c>
      <c r="Z84" s="10" t="n"/>
      <c r="AA84" s="9">
        <f>IF($Z84="",$AA83,$AA83+$Z84)</f>
        <v/>
      </c>
      <c r="AB84" s="13" t="n"/>
      <c r="AC84" s="7">
        <f>IF($AB84="","",IF($AB84&lt;=15,"OK","超過"))</f>
        <v/>
      </c>
    </row>
    <row r="85">
      <c r="A85" s="7" t="n">
        <v>80</v>
      </c>
      <c r="B85" s="8" t="n"/>
      <c r="C85" s="9">
        <f>ROUNDUP($A85/4.345,0)</f>
        <v/>
      </c>
      <c r="D85" s="10" t="n"/>
      <c r="E85" s="9">
        <f>IF($D85="","",$D85-$D84)</f>
        <v/>
      </c>
      <c r="F85" s="11">
        <f>IF(COUNT($E82:$E85)&lt;4,"",AVERAGE($E82:$E85))</f>
        <v/>
      </c>
      <c r="G85" s="7">
        <f>IF($F85="","",IF($F85&gt;=$F84,"OK","要対策"))</f>
        <v/>
      </c>
      <c r="H85" s="10" t="n"/>
      <c r="I85" s="9">
        <f>IF($H85="","",$H85-$H84)</f>
        <v/>
      </c>
      <c r="J85" s="10" t="n"/>
      <c r="K85" s="10" t="n"/>
      <c r="L85" s="10" t="n"/>
      <c r="M85" s="12">
        <f>IF(OR($K85="",$K85=0),"",$L85/$K85)</f>
        <v/>
      </c>
      <c r="N85" s="12">
        <f>IF(COUNT($M82:$M85)&lt;4,"",AVERAGE($M82:$M85))</f>
        <v/>
      </c>
      <c r="O85" s="7">
        <f>IF($N85="","",IF($N85&gt;=0.03,"OK","要対策"))</f>
        <v/>
      </c>
      <c r="P85" s="10" t="n"/>
      <c r="Q85" s="10" t="n"/>
      <c r="R85" s="12">
        <f>IF(OR($P85="",$P85=0),"",$Q85/$P85)</f>
        <v/>
      </c>
      <c r="S85" s="7">
        <f>IF($R85="","",IF($R85&gt;=0.15,"OK","要対策"))</f>
        <v/>
      </c>
      <c r="T85" s="10" t="n"/>
      <c r="U85" s="10" t="n"/>
      <c r="V85" s="12">
        <f>IF(OR($T85="",$T85=0),"",$U85/$T85)</f>
        <v/>
      </c>
      <c r="W85" s="10" t="n"/>
      <c r="X85" s="10" t="n"/>
      <c r="Y85" s="9">
        <f>IF(COUNT($W85:$X85)=0,"",SUM($W85:$X85))</f>
        <v/>
      </c>
      <c r="Z85" s="10" t="n"/>
      <c r="AA85" s="9">
        <f>IF($Z85="",$AA84,$AA84+$Z85)</f>
        <v/>
      </c>
      <c r="AB85" s="13" t="n"/>
      <c r="AC85" s="7">
        <f>IF($AB85="","",IF($AB85&lt;=15,"OK","超過"))</f>
        <v/>
      </c>
    </row>
    <row r="86">
      <c r="A86" s="7" t="n">
        <v>81</v>
      </c>
      <c r="B86" s="8" t="n"/>
      <c r="C86" s="9">
        <f>ROUNDUP($A86/4.345,0)</f>
        <v/>
      </c>
      <c r="D86" s="10" t="n"/>
      <c r="E86" s="9">
        <f>IF($D86="","",$D86-$D85)</f>
        <v/>
      </c>
      <c r="F86" s="11">
        <f>IF(COUNT($E83:$E86)&lt;4,"",AVERAGE($E83:$E86))</f>
        <v/>
      </c>
      <c r="G86" s="7">
        <f>IF($F86="","",IF($F86&gt;=$F85,"OK","要対策"))</f>
        <v/>
      </c>
      <c r="H86" s="10" t="n"/>
      <c r="I86" s="9">
        <f>IF($H86="","",$H86-$H85)</f>
        <v/>
      </c>
      <c r="J86" s="10" t="n"/>
      <c r="K86" s="10" t="n"/>
      <c r="L86" s="10" t="n"/>
      <c r="M86" s="12">
        <f>IF(OR($K86="",$K86=0),"",$L86/$K86)</f>
        <v/>
      </c>
      <c r="N86" s="12">
        <f>IF(COUNT($M83:$M86)&lt;4,"",AVERAGE($M83:$M86))</f>
        <v/>
      </c>
      <c r="O86" s="7">
        <f>IF($N86="","",IF($N86&gt;=0.03,"OK","要対策"))</f>
        <v/>
      </c>
      <c r="P86" s="10" t="n"/>
      <c r="Q86" s="10" t="n"/>
      <c r="R86" s="12">
        <f>IF(OR($P86="",$P86=0),"",$Q86/$P86)</f>
        <v/>
      </c>
      <c r="S86" s="7">
        <f>IF($R86="","",IF($R86&gt;=0.15,"OK","要対策"))</f>
        <v/>
      </c>
      <c r="T86" s="10" t="n"/>
      <c r="U86" s="10" t="n"/>
      <c r="V86" s="12">
        <f>IF(OR($T86="",$T86=0),"",$U86/$T86)</f>
        <v/>
      </c>
      <c r="W86" s="10" t="n"/>
      <c r="X86" s="10" t="n"/>
      <c r="Y86" s="9">
        <f>IF(COUNT($W86:$X86)=0,"",SUM($W86:$X86))</f>
        <v/>
      </c>
      <c r="Z86" s="10" t="n"/>
      <c r="AA86" s="9">
        <f>IF($Z86="",$AA85,$AA85+$Z86)</f>
        <v/>
      </c>
      <c r="AB86" s="13" t="n"/>
      <c r="AC86" s="7">
        <f>IF($AB86="","",IF($AB86&lt;=15,"OK","超過"))</f>
        <v/>
      </c>
    </row>
    <row r="87">
      <c r="A87" s="7" t="n">
        <v>82</v>
      </c>
      <c r="B87" s="8" t="n"/>
      <c r="C87" s="9">
        <f>ROUNDUP($A87/4.345,0)</f>
        <v/>
      </c>
      <c r="D87" s="10" t="n"/>
      <c r="E87" s="9">
        <f>IF($D87="","",$D87-$D86)</f>
        <v/>
      </c>
      <c r="F87" s="11">
        <f>IF(COUNT($E84:$E87)&lt;4,"",AVERAGE($E84:$E87))</f>
        <v/>
      </c>
      <c r="G87" s="7">
        <f>IF($F87="","",IF($F87&gt;=$F86,"OK","要対策"))</f>
        <v/>
      </c>
      <c r="H87" s="10" t="n"/>
      <c r="I87" s="9">
        <f>IF($H87="","",$H87-$H86)</f>
        <v/>
      </c>
      <c r="J87" s="10" t="n"/>
      <c r="K87" s="10" t="n"/>
      <c r="L87" s="10" t="n"/>
      <c r="M87" s="12">
        <f>IF(OR($K87="",$K87=0),"",$L87/$K87)</f>
        <v/>
      </c>
      <c r="N87" s="12">
        <f>IF(COUNT($M84:$M87)&lt;4,"",AVERAGE($M84:$M87))</f>
        <v/>
      </c>
      <c r="O87" s="7">
        <f>IF($N87="","",IF($N87&gt;=0.03,"OK","要対策"))</f>
        <v/>
      </c>
      <c r="P87" s="10" t="n"/>
      <c r="Q87" s="10" t="n"/>
      <c r="R87" s="12">
        <f>IF(OR($P87="",$P87=0),"",$Q87/$P87)</f>
        <v/>
      </c>
      <c r="S87" s="7">
        <f>IF($R87="","",IF($R87&gt;=0.15,"OK","要対策"))</f>
        <v/>
      </c>
      <c r="T87" s="10" t="n"/>
      <c r="U87" s="10" t="n"/>
      <c r="V87" s="12">
        <f>IF(OR($T87="",$T87=0),"",$U87/$T87)</f>
        <v/>
      </c>
      <c r="W87" s="10" t="n"/>
      <c r="X87" s="10" t="n"/>
      <c r="Y87" s="9">
        <f>IF(COUNT($W87:$X87)=0,"",SUM($W87:$X87))</f>
        <v/>
      </c>
      <c r="Z87" s="10" t="n"/>
      <c r="AA87" s="9">
        <f>IF($Z87="",$AA86,$AA86+$Z87)</f>
        <v/>
      </c>
      <c r="AB87" s="13" t="n"/>
      <c r="AC87" s="7">
        <f>IF($AB87="","",IF($AB87&lt;=15,"OK","超過"))</f>
        <v/>
      </c>
    </row>
    <row r="88">
      <c r="A88" s="7" t="n">
        <v>83</v>
      </c>
      <c r="B88" s="8" t="n"/>
      <c r="C88" s="9">
        <f>ROUNDUP($A88/4.345,0)</f>
        <v/>
      </c>
      <c r="D88" s="10" t="n"/>
      <c r="E88" s="9">
        <f>IF($D88="","",$D88-$D87)</f>
        <v/>
      </c>
      <c r="F88" s="11">
        <f>IF(COUNT($E85:$E88)&lt;4,"",AVERAGE($E85:$E88))</f>
        <v/>
      </c>
      <c r="G88" s="7">
        <f>IF($F88="","",IF($F88&gt;=$F87,"OK","要対策"))</f>
        <v/>
      </c>
      <c r="H88" s="10" t="n"/>
      <c r="I88" s="9">
        <f>IF($H88="","",$H88-$H87)</f>
        <v/>
      </c>
      <c r="J88" s="10" t="n"/>
      <c r="K88" s="10" t="n"/>
      <c r="L88" s="10" t="n"/>
      <c r="M88" s="12">
        <f>IF(OR($K88="",$K88=0),"",$L88/$K88)</f>
        <v/>
      </c>
      <c r="N88" s="12">
        <f>IF(COUNT($M85:$M88)&lt;4,"",AVERAGE($M85:$M88))</f>
        <v/>
      </c>
      <c r="O88" s="7">
        <f>IF($N88="","",IF($N88&gt;=0.03,"OK","要対策"))</f>
        <v/>
      </c>
      <c r="P88" s="10" t="n"/>
      <c r="Q88" s="10" t="n"/>
      <c r="R88" s="12">
        <f>IF(OR($P88="",$P88=0),"",$Q88/$P88)</f>
        <v/>
      </c>
      <c r="S88" s="7">
        <f>IF($R88="","",IF($R88&gt;=0.15,"OK","要対策"))</f>
        <v/>
      </c>
      <c r="T88" s="10" t="n"/>
      <c r="U88" s="10" t="n"/>
      <c r="V88" s="12">
        <f>IF(OR($T88="",$T88=0),"",$U88/$T88)</f>
        <v/>
      </c>
      <c r="W88" s="10" t="n"/>
      <c r="X88" s="10" t="n"/>
      <c r="Y88" s="9">
        <f>IF(COUNT($W88:$X88)=0,"",SUM($W88:$X88))</f>
        <v/>
      </c>
      <c r="Z88" s="10" t="n"/>
      <c r="AA88" s="9">
        <f>IF($Z88="",$AA87,$AA87+$Z88)</f>
        <v/>
      </c>
      <c r="AB88" s="13" t="n"/>
      <c r="AC88" s="7">
        <f>IF($AB88="","",IF($AB88&lt;=15,"OK","超過"))</f>
        <v/>
      </c>
    </row>
    <row r="89">
      <c r="A89" s="7" t="n">
        <v>84</v>
      </c>
      <c r="B89" s="8" t="n"/>
      <c r="C89" s="9">
        <f>ROUNDUP($A89/4.345,0)</f>
        <v/>
      </c>
      <c r="D89" s="10" t="n"/>
      <c r="E89" s="9">
        <f>IF($D89="","",$D89-$D88)</f>
        <v/>
      </c>
      <c r="F89" s="11">
        <f>IF(COUNT($E86:$E89)&lt;4,"",AVERAGE($E86:$E89))</f>
        <v/>
      </c>
      <c r="G89" s="7">
        <f>IF($F89="","",IF($F89&gt;=$F88,"OK","要対策"))</f>
        <v/>
      </c>
      <c r="H89" s="10" t="n"/>
      <c r="I89" s="9">
        <f>IF($H89="","",$H89-$H88)</f>
        <v/>
      </c>
      <c r="J89" s="10" t="n"/>
      <c r="K89" s="10" t="n"/>
      <c r="L89" s="10" t="n"/>
      <c r="M89" s="12">
        <f>IF(OR($K89="",$K89=0),"",$L89/$K89)</f>
        <v/>
      </c>
      <c r="N89" s="12">
        <f>IF(COUNT($M86:$M89)&lt;4,"",AVERAGE($M86:$M89))</f>
        <v/>
      </c>
      <c r="O89" s="7">
        <f>IF($N89="","",IF($N89&gt;=0.03,"OK","要対策"))</f>
        <v/>
      </c>
      <c r="P89" s="10" t="n"/>
      <c r="Q89" s="10" t="n"/>
      <c r="R89" s="12">
        <f>IF(OR($P89="",$P89=0),"",$Q89/$P89)</f>
        <v/>
      </c>
      <c r="S89" s="7">
        <f>IF($R89="","",IF($R89&gt;=0.15,"OK","要対策"))</f>
        <v/>
      </c>
      <c r="T89" s="10" t="n"/>
      <c r="U89" s="10" t="n"/>
      <c r="V89" s="12">
        <f>IF(OR($T89="",$T89=0),"",$U89/$T89)</f>
        <v/>
      </c>
      <c r="W89" s="10" t="n"/>
      <c r="X89" s="10" t="n"/>
      <c r="Y89" s="9">
        <f>IF(COUNT($W89:$X89)=0,"",SUM($W89:$X89))</f>
        <v/>
      </c>
      <c r="Z89" s="10" t="n"/>
      <c r="AA89" s="9">
        <f>IF($Z89="",$AA88,$AA88+$Z89)</f>
        <v/>
      </c>
      <c r="AB89" s="13" t="n"/>
      <c r="AC89" s="7">
        <f>IF($AB89="","",IF($AB89&lt;=15,"OK","超過"))</f>
        <v/>
      </c>
    </row>
    <row r="90">
      <c r="A90" s="7" t="n">
        <v>85</v>
      </c>
      <c r="B90" s="8" t="n"/>
      <c r="C90" s="9">
        <f>ROUNDUP($A90/4.345,0)</f>
        <v/>
      </c>
      <c r="D90" s="10" t="n"/>
      <c r="E90" s="9">
        <f>IF($D90="","",$D90-$D89)</f>
        <v/>
      </c>
      <c r="F90" s="11">
        <f>IF(COUNT($E87:$E90)&lt;4,"",AVERAGE($E87:$E90))</f>
        <v/>
      </c>
      <c r="G90" s="7">
        <f>IF($F90="","",IF($F90&gt;=$F89,"OK","要対策"))</f>
        <v/>
      </c>
      <c r="H90" s="10" t="n"/>
      <c r="I90" s="9">
        <f>IF($H90="","",$H90-$H89)</f>
        <v/>
      </c>
      <c r="J90" s="10" t="n"/>
      <c r="K90" s="10" t="n"/>
      <c r="L90" s="10" t="n"/>
      <c r="M90" s="12">
        <f>IF(OR($K90="",$K90=0),"",$L90/$K90)</f>
        <v/>
      </c>
      <c r="N90" s="12">
        <f>IF(COUNT($M87:$M90)&lt;4,"",AVERAGE($M87:$M90))</f>
        <v/>
      </c>
      <c r="O90" s="7">
        <f>IF($N90="","",IF($N90&gt;=0.03,"OK","要対策"))</f>
        <v/>
      </c>
      <c r="P90" s="10" t="n"/>
      <c r="Q90" s="10" t="n"/>
      <c r="R90" s="12">
        <f>IF(OR($P90="",$P90=0),"",$Q90/$P90)</f>
        <v/>
      </c>
      <c r="S90" s="7">
        <f>IF($R90="","",IF($R90&gt;=0.15,"OK","要対策"))</f>
        <v/>
      </c>
      <c r="T90" s="10" t="n"/>
      <c r="U90" s="10" t="n"/>
      <c r="V90" s="12">
        <f>IF(OR($T90="",$T90=0),"",$U90/$T90)</f>
        <v/>
      </c>
      <c r="W90" s="10" t="n"/>
      <c r="X90" s="10" t="n"/>
      <c r="Y90" s="9">
        <f>IF(COUNT($W90:$X90)=0,"",SUM($W90:$X90))</f>
        <v/>
      </c>
      <c r="Z90" s="10" t="n"/>
      <c r="AA90" s="9">
        <f>IF($Z90="",$AA89,$AA89+$Z90)</f>
        <v/>
      </c>
      <c r="AB90" s="13" t="n"/>
      <c r="AC90" s="7">
        <f>IF($AB90="","",IF($AB90&lt;=15,"OK","超過"))</f>
        <v/>
      </c>
    </row>
    <row r="91">
      <c r="A91" s="7" t="n">
        <v>86</v>
      </c>
      <c r="B91" s="8" t="n"/>
      <c r="C91" s="9">
        <f>ROUNDUP($A91/4.345,0)</f>
        <v/>
      </c>
      <c r="D91" s="10" t="n"/>
      <c r="E91" s="9">
        <f>IF($D91="","",$D91-$D90)</f>
        <v/>
      </c>
      <c r="F91" s="11">
        <f>IF(COUNT($E88:$E91)&lt;4,"",AVERAGE($E88:$E91))</f>
        <v/>
      </c>
      <c r="G91" s="7">
        <f>IF($F91="","",IF($F91&gt;=$F90,"OK","要対策"))</f>
        <v/>
      </c>
      <c r="H91" s="10" t="n"/>
      <c r="I91" s="9">
        <f>IF($H91="","",$H91-$H90)</f>
        <v/>
      </c>
      <c r="J91" s="10" t="n"/>
      <c r="K91" s="10" t="n"/>
      <c r="L91" s="10" t="n"/>
      <c r="M91" s="12">
        <f>IF(OR($K91="",$K91=0),"",$L91/$K91)</f>
        <v/>
      </c>
      <c r="N91" s="12">
        <f>IF(COUNT($M88:$M91)&lt;4,"",AVERAGE($M88:$M91))</f>
        <v/>
      </c>
      <c r="O91" s="7">
        <f>IF($N91="","",IF($N91&gt;=0.03,"OK","要対策"))</f>
        <v/>
      </c>
      <c r="P91" s="10" t="n"/>
      <c r="Q91" s="10" t="n"/>
      <c r="R91" s="12">
        <f>IF(OR($P91="",$P91=0),"",$Q91/$P91)</f>
        <v/>
      </c>
      <c r="S91" s="7">
        <f>IF($R91="","",IF($R91&gt;=0.15,"OK","要対策"))</f>
        <v/>
      </c>
      <c r="T91" s="10" t="n"/>
      <c r="U91" s="10" t="n"/>
      <c r="V91" s="12">
        <f>IF(OR($T91="",$T91=0),"",$U91/$T91)</f>
        <v/>
      </c>
      <c r="W91" s="10" t="n"/>
      <c r="X91" s="10" t="n"/>
      <c r="Y91" s="9">
        <f>IF(COUNT($W91:$X91)=0,"",SUM($W91:$X91))</f>
        <v/>
      </c>
      <c r="Z91" s="10" t="n"/>
      <c r="AA91" s="9">
        <f>IF($Z91="",$AA90,$AA90+$Z91)</f>
        <v/>
      </c>
      <c r="AB91" s="13" t="n"/>
      <c r="AC91" s="7">
        <f>IF($AB91="","",IF($AB91&lt;=15,"OK","超過"))</f>
        <v/>
      </c>
    </row>
    <row r="92">
      <c r="A92" s="7" t="n">
        <v>87</v>
      </c>
      <c r="B92" s="8" t="n"/>
      <c r="C92" s="9">
        <f>ROUNDUP($A92/4.345,0)</f>
        <v/>
      </c>
      <c r="D92" s="10" t="n"/>
      <c r="E92" s="9">
        <f>IF($D92="","",$D92-$D91)</f>
        <v/>
      </c>
      <c r="F92" s="11">
        <f>IF(COUNT($E89:$E92)&lt;4,"",AVERAGE($E89:$E92))</f>
        <v/>
      </c>
      <c r="G92" s="7">
        <f>IF($F92="","",IF($F92&gt;=$F91,"OK","要対策"))</f>
        <v/>
      </c>
      <c r="H92" s="10" t="n"/>
      <c r="I92" s="9">
        <f>IF($H92="","",$H92-$H91)</f>
        <v/>
      </c>
      <c r="J92" s="10" t="n"/>
      <c r="K92" s="10" t="n"/>
      <c r="L92" s="10" t="n"/>
      <c r="M92" s="12">
        <f>IF(OR($K92="",$K92=0),"",$L92/$K92)</f>
        <v/>
      </c>
      <c r="N92" s="12">
        <f>IF(COUNT($M89:$M92)&lt;4,"",AVERAGE($M89:$M92))</f>
        <v/>
      </c>
      <c r="O92" s="7">
        <f>IF($N92="","",IF($N92&gt;=0.03,"OK","要対策"))</f>
        <v/>
      </c>
      <c r="P92" s="10" t="n"/>
      <c r="Q92" s="10" t="n"/>
      <c r="R92" s="12">
        <f>IF(OR($P92="",$P92=0),"",$Q92/$P92)</f>
        <v/>
      </c>
      <c r="S92" s="7">
        <f>IF($R92="","",IF($R92&gt;=0.15,"OK","要対策"))</f>
        <v/>
      </c>
      <c r="T92" s="10" t="n"/>
      <c r="U92" s="10" t="n"/>
      <c r="V92" s="12">
        <f>IF(OR($T92="",$T92=0),"",$U92/$T92)</f>
        <v/>
      </c>
      <c r="W92" s="10" t="n"/>
      <c r="X92" s="10" t="n"/>
      <c r="Y92" s="9">
        <f>IF(COUNT($W92:$X92)=0,"",SUM($W92:$X92))</f>
        <v/>
      </c>
      <c r="Z92" s="10" t="n"/>
      <c r="AA92" s="9">
        <f>IF($Z92="",$AA91,$AA91+$Z92)</f>
        <v/>
      </c>
      <c r="AB92" s="13" t="n"/>
      <c r="AC92" s="7">
        <f>IF($AB92="","",IF($AB92&lt;=15,"OK","超過"))</f>
        <v/>
      </c>
    </row>
    <row r="93">
      <c r="A93" s="7" t="n">
        <v>88</v>
      </c>
      <c r="B93" s="8" t="n"/>
      <c r="C93" s="9">
        <f>ROUNDUP($A93/4.345,0)</f>
        <v/>
      </c>
      <c r="D93" s="10" t="n"/>
      <c r="E93" s="9">
        <f>IF($D93="","",$D93-$D92)</f>
        <v/>
      </c>
      <c r="F93" s="11">
        <f>IF(COUNT($E90:$E93)&lt;4,"",AVERAGE($E90:$E93))</f>
        <v/>
      </c>
      <c r="G93" s="7">
        <f>IF($F93="","",IF($F93&gt;=$F92,"OK","要対策"))</f>
        <v/>
      </c>
      <c r="H93" s="10" t="n"/>
      <c r="I93" s="9">
        <f>IF($H93="","",$H93-$H92)</f>
        <v/>
      </c>
      <c r="J93" s="10" t="n"/>
      <c r="K93" s="10" t="n"/>
      <c r="L93" s="10" t="n"/>
      <c r="M93" s="12">
        <f>IF(OR($K93="",$K93=0),"",$L93/$K93)</f>
        <v/>
      </c>
      <c r="N93" s="12">
        <f>IF(COUNT($M90:$M93)&lt;4,"",AVERAGE($M90:$M93))</f>
        <v/>
      </c>
      <c r="O93" s="7">
        <f>IF($N93="","",IF($N93&gt;=0.03,"OK","要対策"))</f>
        <v/>
      </c>
      <c r="P93" s="10" t="n"/>
      <c r="Q93" s="10" t="n"/>
      <c r="R93" s="12">
        <f>IF(OR($P93="",$P93=0),"",$Q93/$P93)</f>
        <v/>
      </c>
      <c r="S93" s="7">
        <f>IF($R93="","",IF($R93&gt;=0.15,"OK","要対策"))</f>
        <v/>
      </c>
      <c r="T93" s="10" t="n"/>
      <c r="U93" s="10" t="n"/>
      <c r="V93" s="12">
        <f>IF(OR($T93="",$T93=0),"",$U93/$T93)</f>
        <v/>
      </c>
      <c r="W93" s="10" t="n"/>
      <c r="X93" s="10" t="n"/>
      <c r="Y93" s="9">
        <f>IF(COUNT($W93:$X93)=0,"",SUM($W93:$X93))</f>
        <v/>
      </c>
      <c r="Z93" s="10" t="n"/>
      <c r="AA93" s="9">
        <f>IF($Z93="",$AA92,$AA92+$Z93)</f>
        <v/>
      </c>
      <c r="AB93" s="13" t="n"/>
      <c r="AC93" s="7">
        <f>IF($AB93="","",IF($AB93&lt;=15,"OK","超過"))</f>
        <v/>
      </c>
    </row>
    <row r="94">
      <c r="A94" s="7" t="n">
        <v>89</v>
      </c>
      <c r="B94" s="8" t="n"/>
      <c r="C94" s="9">
        <f>ROUNDUP($A94/4.345,0)</f>
        <v/>
      </c>
      <c r="D94" s="10" t="n"/>
      <c r="E94" s="9">
        <f>IF($D94="","",$D94-$D93)</f>
        <v/>
      </c>
      <c r="F94" s="11">
        <f>IF(COUNT($E91:$E94)&lt;4,"",AVERAGE($E91:$E94))</f>
        <v/>
      </c>
      <c r="G94" s="7">
        <f>IF($F94="","",IF($F94&gt;=$F93,"OK","要対策"))</f>
        <v/>
      </c>
      <c r="H94" s="10" t="n"/>
      <c r="I94" s="9">
        <f>IF($H94="","",$H94-$H93)</f>
        <v/>
      </c>
      <c r="J94" s="10" t="n"/>
      <c r="K94" s="10" t="n"/>
      <c r="L94" s="10" t="n"/>
      <c r="M94" s="12">
        <f>IF(OR($K94="",$K94=0),"",$L94/$K94)</f>
        <v/>
      </c>
      <c r="N94" s="12">
        <f>IF(COUNT($M91:$M94)&lt;4,"",AVERAGE($M91:$M94))</f>
        <v/>
      </c>
      <c r="O94" s="7">
        <f>IF($N94="","",IF($N94&gt;=0.03,"OK","要対策"))</f>
        <v/>
      </c>
      <c r="P94" s="10" t="n"/>
      <c r="Q94" s="10" t="n"/>
      <c r="R94" s="12">
        <f>IF(OR($P94="",$P94=0),"",$Q94/$P94)</f>
        <v/>
      </c>
      <c r="S94" s="7">
        <f>IF($R94="","",IF($R94&gt;=0.15,"OK","要対策"))</f>
        <v/>
      </c>
      <c r="T94" s="10" t="n"/>
      <c r="U94" s="10" t="n"/>
      <c r="V94" s="12">
        <f>IF(OR($T94="",$T94=0),"",$U94/$T94)</f>
        <v/>
      </c>
      <c r="W94" s="10" t="n"/>
      <c r="X94" s="10" t="n"/>
      <c r="Y94" s="9">
        <f>IF(COUNT($W94:$X94)=0,"",SUM($W94:$X94))</f>
        <v/>
      </c>
      <c r="Z94" s="10" t="n"/>
      <c r="AA94" s="9">
        <f>IF($Z94="",$AA93,$AA93+$Z94)</f>
        <v/>
      </c>
      <c r="AB94" s="13" t="n"/>
      <c r="AC94" s="7">
        <f>IF($AB94="","",IF($AB94&lt;=15,"OK","超過"))</f>
        <v/>
      </c>
    </row>
    <row r="95">
      <c r="A95" s="7" t="n">
        <v>90</v>
      </c>
      <c r="B95" s="8" t="n"/>
      <c r="C95" s="9">
        <f>ROUNDUP($A95/4.345,0)</f>
        <v/>
      </c>
      <c r="D95" s="10" t="n"/>
      <c r="E95" s="9">
        <f>IF($D95="","",$D95-$D94)</f>
        <v/>
      </c>
      <c r="F95" s="11">
        <f>IF(COUNT($E92:$E95)&lt;4,"",AVERAGE($E92:$E95))</f>
        <v/>
      </c>
      <c r="G95" s="7">
        <f>IF($F95="","",IF($F95&gt;=$F94,"OK","要対策"))</f>
        <v/>
      </c>
      <c r="H95" s="10" t="n"/>
      <c r="I95" s="9">
        <f>IF($H95="","",$H95-$H94)</f>
        <v/>
      </c>
      <c r="J95" s="10" t="n"/>
      <c r="K95" s="10" t="n"/>
      <c r="L95" s="10" t="n"/>
      <c r="M95" s="12">
        <f>IF(OR($K95="",$K95=0),"",$L95/$K95)</f>
        <v/>
      </c>
      <c r="N95" s="12">
        <f>IF(COUNT($M92:$M95)&lt;4,"",AVERAGE($M92:$M95))</f>
        <v/>
      </c>
      <c r="O95" s="7">
        <f>IF($N95="","",IF($N95&gt;=0.03,"OK","要対策"))</f>
        <v/>
      </c>
      <c r="P95" s="10" t="n"/>
      <c r="Q95" s="10" t="n"/>
      <c r="R95" s="12">
        <f>IF(OR($P95="",$P95=0),"",$Q95/$P95)</f>
        <v/>
      </c>
      <c r="S95" s="7">
        <f>IF($R95="","",IF($R95&gt;=0.15,"OK","要対策"))</f>
        <v/>
      </c>
      <c r="T95" s="10" t="n"/>
      <c r="U95" s="10" t="n"/>
      <c r="V95" s="12">
        <f>IF(OR($T95="",$T95=0),"",$U95/$T95)</f>
        <v/>
      </c>
      <c r="W95" s="10" t="n"/>
      <c r="X95" s="10" t="n"/>
      <c r="Y95" s="9">
        <f>IF(COUNT($W95:$X95)=0,"",SUM($W95:$X95))</f>
        <v/>
      </c>
      <c r="Z95" s="10" t="n"/>
      <c r="AA95" s="9">
        <f>IF($Z95="",$AA94,$AA94+$Z95)</f>
        <v/>
      </c>
      <c r="AB95" s="13" t="n"/>
      <c r="AC95" s="7">
        <f>IF($AB95="","",IF($AB95&lt;=15,"OK","超過"))</f>
        <v/>
      </c>
    </row>
    <row r="96">
      <c r="A96" s="14" t="n">
        <v>91</v>
      </c>
      <c r="B96" s="8" t="n"/>
      <c r="C96" s="15">
        <f>ROUNDUP($A96/4.345,0)</f>
        <v/>
      </c>
      <c r="D96" s="10" t="n"/>
      <c r="E96" s="15">
        <f>IF($D96="","",$D96-$D95)</f>
        <v/>
      </c>
      <c r="F96" s="16">
        <f>IF(COUNT($E93:$E96)&lt;4,"",AVERAGE($E93:$E96))</f>
        <v/>
      </c>
      <c r="G96" s="14">
        <f>IF($F96="","",IF($F96&gt;=$F95,"OK","要対策"))</f>
        <v/>
      </c>
      <c r="H96" s="10" t="n"/>
      <c r="I96" s="15">
        <f>IF($H96="","",$H96-$H95)</f>
        <v/>
      </c>
      <c r="J96" s="10" t="n"/>
      <c r="K96" s="10" t="n"/>
      <c r="L96" s="10" t="n"/>
      <c r="M96" s="17">
        <f>IF(OR($K96="",$K96=0),"",$L96/$K96)</f>
        <v/>
      </c>
      <c r="N96" s="17">
        <f>IF(COUNT($M93:$M96)&lt;4,"",AVERAGE($M93:$M96))</f>
        <v/>
      </c>
      <c r="O96" s="14">
        <f>IF($N96="","",IF($N96&gt;=0.03,"OK","要対策"))</f>
        <v/>
      </c>
      <c r="P96" s="10" t="n"/>
      <c r="Q96" s="10" t="n"/>
      <c r="R96" s="17">
        <f>IF(OR($P96="",$P96=0),"",$Q96/$P96)</f>
        <v/>
      </c>
      <c r="S96" s="14">
        <f>IF($R96="","",IF($R96&gt;=0.15,"OK","要対策"))</f>
        <v/>
      </c>
      <c r="T96" s="10" t="n"/>
      <c r="U96" s="10" t="n"/>
      <c r="V96" s="17">
        <f>IF(OR($T96="",$T96=0),"",$U96/$T96)</f>
        <v/>
      </c>
      <c r="W96" s="10" t="n"/>
      <c r="X96" s="10" t="n"/>
      <c r="Y96" s="15">
        <f>IF(COUNT($W96:$X96)=0,"",SUM($W96:$X96))</f>
        <v/>
      </c>
      <c r="Z96" s="10" t="n"/>
      <c r="AA96" s="15">
        <f>IF($Z96="",$AA95,$AA95+$Z96)</f>
        <v/>
      </c>
      <c r="AB96" s="13" t="n"/>
      <c r="AC96" s="14">
        <f>IF($AB96="","",IF($AB96&lt;=15,"OK","超過"))</f>
        <v/>
      </c>
    </row>
    <row r="97">
      <c r="A97" s="7" t="n">
        <v>92</v>
      </c>
      <c r="B97" s="8" t="n"/>
      <c r="C97" s="9">
        <f>ROUNDUP($A97/4.345,0)</f>
        <v/>
      </c>
      <c r="D97" s="10" t="n"/>
      <c r="E97" s="9">
        <f>IF($D97="","",$D97-$D96)</f>
        <v/>
      </c>
      <c r="F97" s="11">
        <f>IF(COUNT($E94:$E97)&lt;4,"",AVERAGE($E94:$E97))</f>
        <v/>
      </c>
      <c r="G97" s="7">
        <f>IF($F97="","",IF($F97&gt;=$F96,"OK","要対策"))</f>
        <v/>
      </c>
      <c r="H97" s="10" t="n"/>
      <c r="I97" s="9">
        <f>IF($H97="","",$H97-$H96)</f>
        <v/>
      </c>
      <c r="J97" s="10" t="n"/>
      <c r="K97" s="10" t="n"/>
      <c r="L97" s="10" t="n"/>
      <c r="M97" s="12">
        <f>IF(OR($K97="",$K97=0),"",$L97/$K97)</f>
        <v/>
      </c>
      <c r="N97" s="12">
        <f>IF(COUNT($M94:$M97)&lt;4,"",AVERAGE($M94:$M97))</f>
        <v/>
      </c>
      <c r="O97" s="7">
        <f>IF($N97="","",IF($N97&gt;=0.03,"OK","要対策"))</f>
        <v/>
      </c>
      <c r="P97" s="10" t="n"/>
      <c r="Q97" s="10" t="n"/>
      <c r="R97" s="12">
        <f>IF(OR($P97="",$P97=0),"",$Q97/$P97)</f>
        <v/>
      </c>
      <c r="S97" s="7">
        <f>IF($R97="","",IF($R97&gt;=0.15,"OK","要対策"))</f>
        <v/>
      </c>
      <c r="T97" s="10" t="n"/>
      <c r="U97" s="10" t="n"/>
      <c r="V97" s="12">
        <f>IF(OR($T97="",$T97=0),"",$U97/$T97)</f>
        <v/>
      </c>
      <c r="W97" s="10" t="n"/>
      <c r="X97" s="10" t="n"/>
      <c r="Y97" s="9">
        <f>IF(COUNT($W97:$X97)=0,"",SUM($W97:$X97))</f>
        <v/>
      </c>
      <c r="Z97" s="10" t="n"/>
      <c r="AA97" s="9">
        <f>IF($Z97="",$AA96,$AA96+$Z97)</f>
        <v/>
      </c>
      <c r="AB97" s="13" t="n"/>
      <c r="AC97" s="7">
        <f>IF($AB97="","",IF($AB97&lt;=15,"OK","超過"))</f>
        <v/>
      </c>
    </row>
    <row r="98">
      <c r="A98" s="7" t="n">
        <v>93</v>
      </c>
      <c r="B98" s="8" t="n"/>
      <c r="C98" s="9">
        <f>ROUNDUP($A98/4.345,0)</f>
        <v/>
      </c>
      <c r="D98" s="10" t="n"/>
      <c r="E98" s="9">
        <f>IF($D98="","",$D98-$D97)</f>
        <v/>
      </c>
      <c r="F98" s="11">
        <f>IF(COUNT($E95:$E98)&lt;4,"",AVERAGE($E95:$E98))</f>
        <v/>
      </c>
      <c r="G98" s="7">
        <f>IF($F98="","",IF($F98&gt;=$F97,"OK","要対策"))</f>
        <v/>
      </c>
      <c r="H98" s="10" t="n"/>
      <c r="I98" s="9">
        <f>IF($H98="","",$H98-$H97)</f>
        <v/>
      </c>
      <c r="J98" s="10" t="n"/>
      <c r="K98" s="10" t="n"/>
      <c r="L98" s="10" t="n"/>
      <c r="M98" s="12">
        <f>IF(OR($K98="",$K98=0),"",$L98/$K98)</f>
        <v/>
      </c>
      <c r="N98" s="12">
        <f>IF(COUNT($M95:$M98)&lt;4,"",AVERAGE($M95:$M98))</f>
        <v/>
      </c>
      <c r="O98" s="7">
        <f>IF($N98="","",IF($N98&gt;=0.03,"OK","要対策"))</f>
        <v/>
      </c>
      <c r="P98" s="10" t="n"/>
      <c r="Q98" s="10" t="n"/>
      <c r="R98" s="12">
        <f>IF(OR($P98="",$P98=0),"",$Q98/$P98)</f>
        <v/>
      </c>
      <c r="S98" s="7">
        <f>IF($R98="","",IF($R98&gt;=0.15,"OK","要対策"))</f>
        <v/>
      </c>
      <c r="T98" s="10" t="n"/>
      <c r="U98" s="10" t="n"/>
      <c r="V98" s="12">
        <f>IF(OR($T98="",$T98=0),"",$U98/$T98)</f>
        <v/>
      </c>
      <c r="W98" s="10" t="n"/>
      <c r="X98" s="10" t="n"/>
      <c r="Y98" s="9">
        <f>IF(COUNT($W98:$X98)=0,"",SUM($W98:$X98))</f>
        <v/>
      </c>
      <c r="Z98" s="10" t="n"/>
      <c r="AA98" s="9">
        <f>IF($Z98="",$AA97,$AA97+$Z98)</f>
        <v/>
      </c>
      <c r="AB98" s="13" t="n"/>
      <c r="AC98" s="7">
        <f>IF($AB98="","",IF($AB98&lt;=15,"OK","超過"))</f>
        <v/>
      </c>
    </row>
    <row r="99">
      <c r="A99" s="7" t="n">
        <v>94</v>
      </c>
      <c r="B99" s="8" t="n"/>
      <c r="C99" s="9">
        <f>ROUNDUP($A99/4.345,0)</f>
        <v/>
      </c>
      <c r="D99" s="10" t="n"/>
      <c r="E99" s="9">
        <f>IF($D99="","",$D99-$D98)</f>
        <v/>
      </c>
      <c r="F99" s="11">
        <f>IF(COUNT($E96:$E99)&lt;4,"",AVERAGE($E96:$E99))</f>
        <v/>
      </c>
      <c r="G99" s="7">
        <f>IF($F99="","",IF($F99&gt;=$F98,"OK","要対策"))</f>
        <v/>
      </c>
      <c r="H99" s="10" t="n"/>
      <c r="I99" s="9">
        <f>IF($H99="","",$H99-$H98)</f>
        <v/>
      </c>
      <c r="J99" s="10" t="n"/>
      <c r="K99" s="10" t="n"/>
      <c r="L99" s="10" t="n"/>
      <c r="M99" s="12">
        <f>IF(OR($K99="",$K99=0),"",$L99/$K99)</f>
        <v/>
      </c>
      <c r="N99" s="12">
        <f>IF(COUNT($M96:$M99)&lt;4,"",AVERAGE($M96:$M99))</f>
        <v/>
      </c>
      <c r="O99" s="7">
        <f>IF($N99="","",IF($N99&gt;=0.03,"OK","要対策"))</f>
        <v/>
      </c>
      <c r="P99" s="10" t="n"/>
      <c r="Q99" s="10" t="n"/>
      <c r="R99" s="12">
        <f>IF(OR($P99="",$P99=0),"",$Q99/$P99)</f>
        <v/>
      </c>
      <c r="S99" s="7">
        <f>IF($R99="","",IF($R99&gt;=0.15,"OK","要対策"))</f>
        <v/>
      </c>
      <c r="T99" s="10" t="n"/>
      <c r="U99" s="10" t="n"/>
      <c r="V99" s="12">
        <f>IF(OR($T99="",$T99=0),"",$U99/$T99)</f>
        <v/>
      </c>
      <c r="W99" s="10" t="n"/>
      <c r="X99" s="10" t="n"/>
      <c r="Y99" s="9">
        <f>IF(COUNT($W99:$X99)=0,"",SUM($W99:$X99))</f>
        <v/>
      </c>
      <c r="Z99" s="10" t="n"/>
      <c r="AA99" s="9">
        <f>IF($Z99="",$AA98,$AA98+$Z99)</f>
        <v/>
      </c>
      <c r="AB99" s="13" t="n"/>
      <c r="AC99" s="7">
        <f>IF($AB99="","",IF($AB99&lt;=15,"OK","超過"))</f>
        <v/>
      </c>
    </row>
    <row r="100">
      <c r="A100" s="7" t="n">
        <v>95</v>
      </c>
      <c r="B100" s="8" t="n"/>
      <c r="C100" s="9">
        <f>ROUNDUP($A100/4.345,0)</f>
        <v/>
      </c>
      <c r="D100" s="10" t="n"/>
      <c r="E100" s="9">
        <f>IF($D100="","",$D100-$D99)</f>
        <v/>
      </c>
      <c r="F100" s="11">
        <f>IF(COUNT($E97:$E100)&lt;4,"",AVERAGE($E97:$E100))</f>
        <v/>
      </c>
      <c r="G100" s="7">
        <f>IF($F100="","",IF($F100&gt;=$F99,"OK","要対策"))</f>
        <v/>
      </c>
      <c r="H100" s="10" t="n"/>
      <c r="I100" s="9">
        <f>IF($H100="","",$H100-$H99)</f>
        <v/>
      </c>
      <c r="J100" s="10" t="n"/>
      <c r="K100" s="10" t="n"/>
      <c r="L100" s="10" t="n"/>
      <c r="M100" s="12">
        <f>IF(OR($K100="",$K100=0),"",$L100/$K100)</f>
        <v/>
      </c>
      <c r="N100" s="12">
        <f>IF(COUNT($M97:$M100)&lt;4,"",AVERAGE($M97:$M100))</f>
        <v/>
      </c>
      <c r="O100" s="7">
        <f>IF($N100="","",IF($N100&gt;=0.03,"OK","要対策"))</f>
        <v/>
      </c>
      <c r="P100" s="10" t="n"/>
      <c r="Q100" s="10" t="n"/>
      <c r="R100" s="12">
        <f>IF(OR($P100="",$P100=0),"",$Q100/$P100)</f>
        <v/>
      </c>
      <c r="S100" s="7">
        <f>IF($R100="","",IF($R100&gt;=0.15,"OK","要対策"))</f>
        <v/>
      </c>
      <c r="T100" s="10" t="n"/>
      <c r="U100" s="10" t="n"/>
      <c r="V100" s="12">
        <f>IF(OR($T100="",$T100=0),"",$U100/$T100)</f>
        <v/>
      </c>
      <c r="W100" s="10" t="n"/>
      <c r="X100" s="10" t="n"/>
      <c r="Y100" s="9">
        <f>IF(COUNT($W100:$X100)=0,"",SUM($W100:$X100))</f>
        <v/>
      </c>
      <c r="Z100" s="10" t="n"/>
      <c r="AA100" s="9">
        <f>IF($Z100="",$AA99,$AA99+$Z100)</f>
        <v/>
      </c>
      <c r="AB100" s="13" t="n"/>
      <c r="AC100" s="7">
        <f>IF($AB100="","",IF($AB100&lt;=15,"OK","超過"))</f>
        <v/>
      </c>
    </row>
    <row r="101">
      <c r="A101" s="7" t="n">
        <v>96</v>
      </c>
      <c r="B101" s="8" t="n"/>
      <c r="C101" s="9">
        <f>ROUNDUP($A101/4.345,0)</f>
        <v/>
      </c>
      <c r="D101" s="10" t="n"/>
      <c r="E101" s="9">
        <f>IF($D101="","",$D101-$D100)</f>
        <v/>
      </c>
      <c r="F101" s="11">
        <f>IF(COUNT($E98:$E101)&lt;4,"",AVERAGE($E98:$E101))</f>
        <v/>
      </c>
      <c r="G101" s="7">
        <f>IF($F101="","",IF($F101&gt;=$F100,"OK","要対策"))</f>
        <v/>
      </c>
      <c r="H101" s="10" t="n"/>
      <c r="I101" s="9">
        <f>IF($H101="","",$H101-$H100)</f>
        <v/>
      </c>
      <c r="J101" s="10" t="n"/>
      <c r="K101" s="10" t="n"/>
      <c r="L101" s="10" t="n"/>
      <c r="M101" s="12">
        <f>IF(OR($K101="",$K101=0),"",$L101/$K101)</f>
        <v/>
      </c>
      <c r="N101" s="12">
        <f>IF(COUNT($M98:$M101)&lt;4,"",AVERAGE($M98:$M101))</f>
        <v/>
      </c>
      <c r="O101" s="7">
        <f>IF($N101="","",IF($N101&gt;=0.03,"OK","要対策"))</f>
        <v/>
      </c>
      <c r="P101" s="10" t="n"/>
      <c r="Q101" s="10" t="n"/>
      <c r="R101" s="12">
        <f>IF(OR($P101="",$P101=0),"",$Q101/$P101)</f>
        <v/>
      </c>
      <c r="S101" s="7">
        <f>IF($R101="","",IF($R101&gt;=0.15,"OK","要対策"))</f>
        <v/>
      </c>
      <c r="T101" s="10" t="n"/>
      <c r="U101" s="10" t="n"/>
      <c r="V101" s="12">
        <f>IF(OR($T101="",$T101=0),"",$U101/$T101)</f>
        <v/>
      </c>
      <c r="W101" s="10" t="n"/>
      <c r="X101" s="10" t="n"/>
      <c r="Y101" s="9">
        <f>IF(COUNT($W101:$X101)=0,"",SUM($W101:$X101))</f>
        <v/>
      </c>
      <c r="Z101" s="10" t="n"/>
      <c r="AA101" s="9">
        <f>IF($Z101="",$AA100,$AA100+$Z101)</f>
        <v/>
      </c>
      <c r="AB101" s="13" t="n"/>
      <c r="AC101" s="7">
        <f>IF($AB101="","",IF($AB101&lt;=15,"OK","超過"))</f>
        <v/>
      </c>
    </row>
    <row r="102">
      <c r="A102" s="7" t="n">
        <v>97</v>
      </c>
      <c r="B102" s="8" t="n"/>
      <c r="C102" s="9">
        <f>ROUNDUP($A102/4.345,0)</f>
        <v/>
      </c>
      <c r="D102" s="10" t="n"/>
      <c r="E102" s="9">
        <f>IF($D102="","",$D102-$D101)</f>
        <v/>
      </c>
      <c r="F102" s="11">
        <f>IF(COUNT($E99:$E102)&lt;4,"",AVERAGE($E99:$E102))</f>
        <v/>
      </c>
      <c r="G102" s="7">
        <f>IF($F102="","",IF($F102&gt;=$F101,"OK","要対策"))</f>
        <v/>
      </c>
      <c r="H102" s="10" t="n"/>
      <c r="I102" s="9">
        <f>IF($H102="","",$H102-$H101)</f>
        <v/>
      </c>
      <c r="J102" s="10" t="n"/>
      <c r="K102" s="10" t="n"/>
      <c r="L102" s="10" t="n"/>
      <c r="M102" s="12">
        <f>IF(OR($K102="",$K102=0),"",$L102/$K102)</f>
        <v/>
      </c>
      <c r="N102" s="12">
        <f>IF(COUNT($M99:$M102)&lt;4,"",AVERAGE($M99:$M102))</f>
        <v/>
      </c>
      <c r="O102" s="7">
        <f>IF($N102="","",IF($N102&gt;=0.03,"OK","要対策"))</f>
        <v/>
      </c>
      <c r="P102" s="10" t="n"/>
      <c r="Q102" s="10" t="n"/>
      <c r="R102" s="12">
        <f>IF(OR($P102="",$P102=0),"",$Q102/$P102)</f>
        <v/>
      </c>
      <c r="S102" s="7">
        <f>IF($R102="","",IF($R102&gt;=0.15,"OK","要対策"))</f>
        <v/>
      </c>
      <c r="T102" s="10" t="n"/>
      <c r="U102" s="10" t="n"/>
      <c r="V102" s="12">
        <f>IF(OR($T102="",$T102=0),"",$U102/$T102)</f>
        <v/>
      </c>
      <c r="W102" s="10" t="n"/>
      <c r="X102" s="10" t="n"/>
      <c r="Y102" s="9">
        <f>IF(COUNT($W102:$X102)=0,"",SUM($W102:$X102))</f>
        <v/>
      </c>
      <c r="Z102" s="10" t="n"/>
      <c r="AA102" s="9">
        <f>IF($Z102="",$AA101,$AA101+$Z102)</f>
        <v/>
      </c>
      <c r="AB102" s="13" t="n"/>
      <c r="AC102" s="7">
        <f>IF($AB102="","",IF($AB102&lt;=15,"OK","超過"))</f>
        <v/>
      </c>
    </row>
    <row r="103">
      <c r="A103" s="7" t="n">
        <v>98</v>
      </c>
      <c r="B103" s="8" t="n"/>
      <c r="C103" s="9">
        <f>ROUNDUP($A103/4.345,0)</f>
        <v/>
      </c>
      <c r="D103" s="10" t="n"/>
      <c r="E103" s="9">
        <f>IF($D103="","",$D103-$D102)</f>
        <v/>
      </c>
      <c r="F103" s="11">
        <f>IF(COUNT($E100:$E103)&lt;4,"",AVERAGE($E100:$E103))</f>
        <v/>
      </c>
      <c r="G103" s="7">
        <f>IF($F103="","",IF($F103&gt;=$F102,"OK","要対策"))</f>
        <v/>
      </c>
      <c r="H103" s="10" t="n"/>
      <c r="I103" s="9">
        <f>IF($H103="","",$H103-$H102)</f>
        <v/>
      </c>
      <c r="J103" s="10" t="n"/>
      <c r="K103" s="10" t="n"/>
      <c r="L103" s="10" t="n"/>
      <c r="M103" s="12">
        <f>IF(OR($K103="",$K103=0),"",$L103/$K103)</f>
        <v/>
      </c>
      <c r="N103" s="12">
        <f>IF(COUNT($M100:$M103)&lt;4,"",AVERAGE($M100:$M103))</f>
        <v/>
      </c>
      <c r="O103" s="7">
        <f>IF($N103="","",IF($N103&gt;=0.03,"OK","要対策"))</f>
        <v/>
      </c>
      <c r="P103" s="10" t="n"/>
      <c r="Q103" s="10" t="n"/>
      <c r="R103" s="12">
        <f>IF(OR($P103="",$P103=0),"",$Q103/$P103)</f>
        <v/>
      </c>
      <c r="S103" s="7">
        <f>IF($R103="","",IF($R103&gt;=0.15,"OK","要対策"))</f>
        <v/>
      </c>
      <c r="T103" s="10" t="n"/>
      <c r="U103" s="10" t="n"/>
      <c r="V103" s="12">
        <f>IF(OR($T103="",$T103=0),"",$U103/$T103)</f>
        <v/>
      </c>
      <c r="W103" s="10" t="n"/>
      <c r="X103" s="10" t="n"/>
      <c r="Y103" s="9">
        <f>IF(COUNT($W103:$X103)=0,"",SUM($W103:$X103))</f>
        <v/>
      </c>
      <c r="Z103" s="10" t="n"/>
      <c r="AA103" s="9">
        <f>IF($Z103="",$AA102,$AA102+$Z103)</f>
        <v/>
      </c>
      <c r="AB103" s="13" t="n"/>
      <c r="AC103" s="7">
        <f>IF($AB103="","",IF($AB103&lt;=15,"OK","超過"))</f>
        <v/>
      </c>
    </row>
    <row r="104">
      <c r="A104" s="7" t="n">
        <v>99</v>
      </c>
      <c r="B104" s="8" t="n"/>
      <c r="C104" s="9">
        <f>ROUNDUP($A104/4.345,0)</f>
        <v/>
      </c>
      <c r="D104" s="10" t="n"/>
      <c r="E104" s="9">
        <f>IF($D104="","",$D104-$D103)</f>
        <v/>
      </c>
      <c r="F104" s="11">
        <f>IF(COUNT($E101:$E104)&lt;4,"",AVERAGE($E101:$E104))</f>
        <v/>
      </c>
      <c r="G104" s="7">
        <f>IF($F104="","",IF($F104&gt;=$F103,"OK","要対策"))</f>
        <v/>
      </c>
      <c r="H104" s="10" t="n"/>
      <c r="I104" s="9">
        <f>IF($H104="","",$H104-$H103)</f>
        <v/>
      </c>
      <c r="J104" s="10" t="n"/>
      <c r="K104" s="10" t="n"/>
      <c r="L104" s="10" t="n"/>
      <c r="M104" s="12">
        <f>IF(OR($K104="",$K104=0),"",$L104/$K104)</f>
        <v/>
      </c>
      <c r="N104" s="12">
        <f>IF(COUNT($M101:$M104)&lt;4,"",AVERAGE($M101:$M104))</f>
        <v/>
      </c>
      <c r="O104" s="7">
        <f>IF($N104="","",IF($N104&gt;=0.03,"OK","要対策"))</f>
        <v/>
      </c>
      <c r="P104" s="10" t="n"/>
      <c r="Q104" s="10" t="n"/>
      <c r="R104" s="12">
        <f>IF(OR($P104="",$P104=0),"",$Q104/$P104)</f>
        <v/>
      </c>
      <c r="S104" s="7">
        <f>IF($R104="","",IF($R104&gt;=0.15,"OK","要対策"))</f>
        <v/>
      </c>
      <c r="T104" s="10" t="n"/>
      <c r="U104" s="10" t="n"/>
      <c r="V104" s="12">
        <f>IF(OR($T104="",$T104=0),"",$U104/$T104)</f>
        <v/>
      </c>
      <c r="W104" s="10" t="n"/>
      <c r="X104" s="10" t="n"/>
      <c r="Y104" s="9">
        <f>IF(COUNT($W104:$X104)=0,"",SUM($W104:$X104))</f>
        <v/>
      </c>
      <c r="Z104" s="10" t="n"/>
      <c r="AA104" s="9">
        <f>IF($Z104="",$AA103,$AA103+$Z104)</f>
        <v/>
      </c>
      <c r="AB104" s="13" t="n"/>
      <c r="AC104" s="7">
        <f>IF($AB104="","",IF($AB104&lt;=15,"OK","超過"))</f>
        <v/>
      </c>
    </row>
    <row r="105">
      <c r="A105" s="7" t="n">
        <v>100</v>
      </c>
      <c r="B105" s="8" t="n"/>
      <c r="C105" s="9">
        <f>ROUNDUP($A105/4.345,0)</f>
        <v/>
      </c>
      <c r="D105" s="10" t="n"/>
      <c r="E105" s="9">
        <f>IF($D105="","",$D105-$D104)</f>
        <v/>
      </c>
      <c r="F105" s="11">
        <f>IF(COUNT($E102:$E105)&lt;4,"",AVERAGE($E102:$E105))</f>
        <v/>
      </c>
      <c r="G105" s="7">
        <f>IF($F105="","",IF($F105&gt;=$F104,"OK","要対策"))</f>
        <v/>
      </c>
      <c r="H105" s="10" t="n"/>
      <c r="I105" s="9">
        <f>IF($H105="","",$H105-$H104)</f>
        <v/>
      </c>
      <c r="J105" s="10" t="n"/>
      <c r="K105" s="10" t="n"/>
      <c r="L105" s="10" t="n"/>
      <c r="M105" s="12">
        <f>IF(OR($K105="",$K105=0),"",$L105/$K105)</f>
        <v/>
      </c>
      <c r="N105" s="12">
        <f>IF(COUNT($M102:$M105)&lt;4,"",AVERAGE($M102:$M105))</f>
        <v/>
      </c>
      <c r="O105" s="7">
        <f>IF($N105="","",IF($N105&gt;=0.03,"OK","要対策"))</f>
        <v/>
      </c>
      <c r="P105" s="10" t="n"/>
      <c r="Q105" s="10" t="n"/>
      <c r="R105" s="12">
        <f>IF(OR($P105="",$P105=0),"",$Q105/$P105)</f>
        <v/>
      </c>
      <c r="S105" s="7">
        <f>IF($R105="","",IF($R105&gt;=0.15,"OK","要対策"))</f>
        <v/>
      </c>
      <c r="T105" s="10" t="n"/>
      <c r="U105" s="10" t="n"/>
      <c r="V105" s="12">
        <f>IF(OR($T105="",$T105=0),"",$U105/$T105)</f>
        <v/>
      </c>
      <c r="W105" s="10" t="n"/>
      <c r="X105" s="10" t="n"/>
      <c r="Y105" s="9">
        <f>IF(COUNT($W105:$X105)=0,"",SUM($W105:$X105))</f>
        <v/>
      </c>
      <c r="Z105" s="10" t="n"/>
      <c r="AA105" s="9">
        <f>IF($Z105="",$AA104,$AA104+$Z105)</f>
        <v/>
      </c>
      <c r="AB105" s="13" t="n"/>
      <c r="AC105" s="7">
        <f>IF($AB105="","",IF($AB105&lt;=15,"OK","超過"))</f>
        <v/>
      </c>
    </row>
    <row r="106">
      <c r="A106" s="7" t="n">
        <v>101</v>
      </c>
      <c r="B106" s="8" t="n"/>
      <c r="C106" s="9">
        <f>ROUNDUP($A106/4.345,0)</f>
        <v/>
      </c>
      <c r="D106" s="10" t="n"/>
      <c r="E106" s="9">
        <f>IF($D106="","",$D106-$D105)</f>
        <v/>
      </c>
      <c r="F106" s="11">
        <f>IF(COUNT($E103:$E106)&lt;4,"",AVERAGE($E103:$E106))</f>
        <v/>
      </c>
      <c r="G106" s="7">
        <f>IF($F106="","",IF($F106&gt;=$F105,"OK","要対策"))</f>
        <v/>
      </c>
      <c r="H106" s="10" t="n"/>
      <c r="I106" s="9">
        <f>IF($H106="","",$H106-$H105)</f>
        <v/>
      </c>
      <c r="J106" s="10" t="n"/>
      <c r="K106" s="10" t="n"/>
      <c r="L106" s="10" t="n"/>
      <c r="M106" s="12">
        <f>IF(OR($K106="",$K106=0),"",$L106/$K106)</f>
        <v/>
      </c>
      <c r="N106" s="12">
        <f>IF(COUNT($M103:$M106)&lt;4,"",AVERAGE($M103:$M106))</f>
        <v/>
      </c>
      <c r="O106" s="7">
        <f>IF($N106="","",IF($N106&gt;=0.03,"OK","要対策"))</f>
        <v/>
      </c>
      <c r="P106" s="10" t="n"/>
      <c r="Q106" s="10" t="n"/>
      <c r="R106" s="12">
        <f>IF(OR($P106="",$P106=0),"",$Q106/$P106)</f>
        <v/>
      </c>
      <c r="S106" s="7">
        <f>IF($R106="","",IF($R106&gt;=0.15,"OK","要対策"))</f>
        <v/>
      </c>
      <c r="T106" s="10" t="n"/>
      <c r="U106" s="10" t="n"/>
      <c r="V106" s="12">
        <f>IF(OR($T106="",$T106=0),"",$U106/$T106)</f>
        <v/>
      </c>
      <c r="W106" s="10" t="n"/>
      <c r="X106" s="10" t="n"/>
      <c r="Y106" s="9">
        <f>IF(COUNT($W106:$X106)=0,"",SUM($W106:$X106))</f>
        <v/>
      </c>
      <c r="Z106" s="10" t="n"/>
      <c r="AA106" s="9">
        <f>IF($Z106="",$AA105,$AA105+$Z106)</f>
        <v/>
      </c>
      <c r="AB106" s="13" t="n"/>
      <c r="AC106" s="7">
        <f>IF($AB106="","",IF($AB106&lt;=15,"OK","超過"))</f>
        <v/>
      </c>
    </row>
    <row r="107">
      <c r="A107" s="7" t="n">
        <v>102</v>
      </c>
      <c r="B107" s="8" t="n"/>
      <c r="C107" s="9">
        <f>ROUNDUP($A107/4.345,0)</f>
        <v/>
      </c>
      <c r="D107" s="10" t="n"/>
      <c r="E107" s="9">
        <f>IF($D107="","",$D107-$D106)</f>
        <v/>
      </c>
      <c r="F107" s="11">
        <f>IF(COUNT($E104:$E107)&lt;4,"",AVERAGE($E104:$E107))</f>
        <v/>
      </c>
      <c r="G107" s="7">
        <f>IF($F107="","",IF($F107&gt;=$F106,"OK","要対策"))</f>
        <v/>
      </c>
      <c r="H107" s="10" t="n"/>
      <c r="I107" s="9">
        <f>IF($H107="","",$H107-$H106)</f>
        <v/>
      </c>
      <c r="J107" s="10" t="n"/>
      <c r="K107" s="10" t="n"/>
      <c r="L107" s="10" t="n"/>
      <c r="M107" s="12">
        <f>IF(OR($K107="",$K107=0),"",$L107/$K107)</f>
        <v/>
      </c>
      <c r="N107" s="12">
        <f>IF(COUNT($M104:$M107)&lt;4,"",AVERAGE($M104:$M107))</f>
        <v/>
      </c>
      <c r="O107" s="7">
        <f>IF($N107="","",IF($N107&gt;=0.03,"OK","要対策"))</f>
        <v/>
      </c>
      <c r="P107" s="10" t="n"/>
      <c r="Q107" s="10" t="n"/>
      <c r="R107" s="12">
        <f>IF(OR($P107="",$P107=0),"",$Q107/$P107)</f>
        <v/>
      </c>
      <c r="S107" s="7">
        <f>IF($R107="","",IF($R107&gt;=0.15,"OK","要対策"))</f>
        <v/>
      </c>
      <c r="T107" s="10" t="n"/>
      <c r="U107" s="10" t="n"/>
      <c r="V107" s="12">
        <f>IF(OR($T107="",$T107=0),"",$U107/$T107)</f>
        <v/>
      </c>
      <c r="W107" s="10" t="n"/>
      <c r="X107" s="10" t="n"/>
      <c r="Y107" s="9">
        <f>IF(COUNT($W107:$X107)=0,"",SUM($W107:$X107))</f>
        <v/>
      </c>
      <c r="Z107" s="10" t="n"/>
      <c r="AA107" s="9">
        <f>IF($Z107="",$AA106,$AA106+$Z107)</f>
        <v/>
      </c>
      <c r="AB107" s="13" t="n"/>
      <c r="AC107" s="7">
        <f>IF($AB107="","",IF($AB107&lt;=15,"OK","超過"))</f>
        <v/>
      </c>
    </row>
    <row r="108">
      <c r="A108" s="7" t="n">
        <v>103</v>
      </c>
      <c r="B108" s="8" t="n"/>
      <c r="C108" s="9">
        <f>ROUNDUP($A108/4.345,0)</f>
        <v/>
      </c>
      <c r="D108" s="10" t="n"/>
      <c r="E108" s="9">
        <f>IF($D108="","",$D108-$D107)</f>
        <v/>
      </c>
      <c r="F108" s="11">
        <f>IF(COUNT($E105:$E108)&lt;4,"",AVERAGE($E105:$E108))</f>
        <v/>
      </c>
      <c r="G108" s="7">
        <f>IF($F108="","",IF($F108&gt;=$F107,"OK","要対策"))</f>
        <v/>
      </c>
      <c r="H108" s="10" t="n"/>
      <c r="I108" s="9">
        <f>IF($H108="","",$H108-$H107)</f>
        <v/>
      </c>
      <c r="J108" s="10" t="n"/>
      <c r="K108" s="10" t="n"/>
      <c r="L108" s="10" t="n"/>
      <c r="M108" s="12">
        <f>IF(OR($K108="",$K108=0),"",$L108/$K108)</f>
        <v/>
      </c>
      <c r="N108" s="12">
        <f>IF(COUNT($M105:$M108)&lt;4,"",AVERAGE($M105:$M108))</f>
        <v/>
      </c>
      <c r="O108" s="7">
        <f>IF($N108="","",IF($N108&gt;=0.03,"OK","要対策"))</f>
        <v/>
      </c>
      <c r="P108" s="10" t="n"/>
      <c r="Q108" s="10" t="n"/>
      <c r="R108" s="12">
        <f>IF(OR($P108="",$P108=0),"",$Q108/$P108)</f>
        <v/>
      </c>
      <c r="S108" s="7">
        <f>IF($R108="","",IF($R108&gt;=0.15,"OK","要対策"))</f>
        <v/>
      </c>
      <c r="T108" s="10" t="n"/>
      <c r="U108" s="10" t="n"/>
      <c r="V108" s="12">
        <f>IF(OR($T108="",$T108=0),"",$U108/$T108)</f>
        <v/>
      </c>
      <c r="W108" s="10" t="n"/>
      <c r="X108" s="10" t="n"/>
      <c r="Y108" s="9">
        <f>IF(COUNT($W108:$X108)=0,"",SUM($W108:$X108))</f>
        <v/>
      </c>
      <c r="Z108" s="10" t="n"/>
      <c r="AA108" s="9">
        <f>IF($Z108="",$AA107,$AA107+$Z108)</f>
        <v/>
      </c>
      <c r="AB108" s="13" t="n"/>
      <c r="AC108" s="7">
        <f>IF($AB108="","",IF($AB108&lt;=15,"OK","超過"))</f>
        <v/>
      </c>
    </row>
    <row r="109">
      <c r="A109" s="14" t="n">
        <v>104</v>
      </c>
      <c r="B109" s="8" t="n"/>
      <c r="C109" s="15">
        <f>ROUNDUP($A109/4.345,0)</f>
        <v/>
      </c>
      <c r="D109" s="10" t="n"/>
      <c r="E109" s="15">
        <f>IF($D109="","",$D109-$D108)</f>
        <v/>
      </c>
      <c r="F109" s="16">
        <f>IF(COUNT($E106:$E109)&lt;4,"",AVERAGE($E106:$E109))</f>
        <v/>
      </c>
      <c r="G109" s="14">
        <f>IF($F109="","",IF($F109&gt;=$F108,"OK","要対策"))</f>
        <v/>
      </c>
      <c r="H109" s="10" t="n"/>
      <c r="I109" s="15">
        <f>IF($H109="","",$H109-$H108)</f>
        <v/>
      </c>
      <c r="J109" s="10" t="n"/>
      <c r="K109" s="10" t="n"/>
      <c r="L109" s="10" t="n"/>
      <c r="M109" s="17">
        <f>IF(OR($K109="",$K109=0),"",$L109/$K109)</f>
        <v/>
      </c>
      <c r="N109" s="17">
        <f>IF(COUNT($M106:$M109)&lt;4,"",AVERAGE($M106:$M109))</f>
        <v/>
      </c>
      <c r="O109" s="14">
        <f>IF($N109="","",IF($N109&gt;=0.03,"OK","要対策"))</f>
        <v/>
      </c>
      <c r="P109" s="10" t="n"/>
      <c r="Q109" s="10" t="n"/>
      <c r="R109" s="17">
        <f>IF(OR($P109="",$P109=0),"",$Q109/$P109)</f>
        <v/>
      </c>
      <c r="S109" s="14">
        <f>IF($R109="","",IF($R109&gt;=0.15,"OK","要対策"))</f>
        <v/>
      </c>
      <c r="T109" s="10" t="n"/>
      <c r="U109" s="10" t="n"/>
      <c r="V109" s="17">
        <f>IF(OR($T109="",$T109=0),"",$U109/$T109)</f>
        <v/>
      </c>
      <c r="W109" s="10" t="n"/>
      <c r="X109" s="10" t="n"/>
      <c r="Y109" s="15">
        <f>IF(COUNT($W109:$X109)=0,"",SUM($W109:$X109))</f>
        <v/>
      </c>
      <c r="Z109" s="10" t="n"/>
      <c r="AA109" s="15">
        <f>IF($Z109="",$AA108,$AA108+$Z109)</f>
        <v/>
      </c>
      <c r="AB109" s="13" t="n"/>
      <c r="AC109" s="14">
        <f>IF($AB109="","",IF($AB109&lt;=15,"OK","超過"))</f>
        <v/>
      </c>
    </row>
    <row r="110">
      <c r="A110" s="7" t="n">
        <v>105</v>
      </c>
      <c r="B110" s="8" t="n"/>
      <c r="C110" s="9">
        <f>ROUNDUP($A110/4.345,0)</f>
        <v/>
      </c>
      <c r="D110" s="10" t="n"/>
      <c r="E110" s="9">
        <f>IF($D110="","",$D110-$D109)</f>
        <v/>
      </c>
      <c r="F110" s="11">
        <f>IF(COUNT($E107:$E110)&lt;4,"",AVERAGE($E107:$E110))</f>
        <v/>
      </c>
      <c r="G110" s="7">
        <f>IF($F110="","",IF($F110&gt;=$F109,"OK","要対策"))</f>
        <v/>
      </c>
      <c r="H110" s="10" t="n"/>
      <c r="I110" s="9">
        <f>IF($H110="","",$H110-$H109)</f>
        <v/>
      </c>
      <c r="J110" s="10" t="n"/>
      <c r="K110" s="10" t="n"/>
      <c r="L110" s="10" t="n"/>
      <c r="M110" s="12">
        <f>IF(OR($K110="",$K110=0),"",$L110/$K110)</f>
        <v/>
      </c>
      <c r="N110" s="12">
        <f>IF(COUNT($M107:$M110)&lt;4,"",AVERAGE($M107:$M110))</f>
        <v/>
      </c>
      <c r="O110" s="7">
        <f>IF($N110="","",IF($N110&gt;=0.03,"OK","要対策"))</f>
        <v/>
      </c>
      <c r="P110" s="10" t="n"/>
      <c r="Q110" s="10" t="n"/>
      <c r="R110" s="12">
        <f>IF(OR($P110="",$P110=0),"",$Q110/$P110)</f>
        <v/>
      </c>
      <c r="S110" s="7">
        <f>IF($R110="","",IF($R110&gt;=0.15,"OK","要対策"))</f>
        <v/>
      </c>
      <c r="T110" s="10" t="n"/>
      <c r="U110" s="10" t="n"/>
      <c r="V110" s="12">
        <f>IF(OR($T110="",$T110=0),"",$U110/$T110)</f>
        <v/>
      </c>
      <c r="W110" s="10" t="n"/>
      <c r="X110" s="10" t="n"/>
      <c r="Y110" s="9">
        <f>IF(COUNT($W110:$X110)=0,"",SUM($W110:$X110))</f>
        <v/>
      </c>
      <c r="Z110" s="10" t="n"/>
      <c r="AA110" s="9">
        <f>IF($Z110="",$AA109,$AA109+$Z110)</f>
        <v/>
      </c>
      <c r="AB110" s="13" t="n"/>
      <c r="AC110" s="7">
        <f>IF($AB110="","",IF($AB110&lt;=15,"OK","超過"))</f>
        <v/>
      </c>
    </row>
    <row r="113">
      <c r="A113" s="18" t="inlineStr">
        <is>
          <t>記入例（参考。実際の入力は上の表へ）</t>
        </is>
      </c>
    </row>
    <row r="114">
      <c r="A114" s="19" t="n">
        <v>12</v>
      </c>
      <c r="B114" s="20" t="n">
        <v>46320</v>
      </c>
      <c r="D114" s="21" t="n">
        <v>312</v>
      </c>
      <c r="H114" s="21" t="n">
        <v>4680</v>
      </c>
      <c r="J114" s="21" t="n">
        <v>5</v>
      </c>
      <c r="K114" s="21" t="n">
        <v>41200</v>
      </c>
      <c r="L114" s="21" t="n">
        <v>1420</v>
      </c>
      <c r="P114" s="21" t="n">
        <v>980</v>
      </c>
      <c r="Q114" s="21" t="n">
        <v>152</v>
      </c>
      <c r="T114" s="21" t="n">
        <v>0</v>
      </c>
      <c r="U114" s="21" t="n">
        <v>0</v>
      </c>
      <c r="W114" s="21" t="n">
        <v>9800</v>
      </c>
      <c r="X114" s="21" t="n">
        <v>0</v>
      </c>
      <c r="Z114" s="21" t="n">
        <v>6</v>
      </c>
      <c r="AB114" s="22" t="n">
        <v>14.5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月次サマリ（自動集計）</t>
        </is>
      </c>
    </row>
    <row r="2">
      <c r="A2" s="4" t="inlineStr">
        <is>
          <t>週次実績シートの「経過月」でグループ集計しています。計画値は 01_収支計画モデル.xlsx 標準シナリオの手入力です。</t>
        </is>
      </c>
    </row>
    <row r="4" ht="32" customHeight="1">
      <c r="A4" s="6" t="inlineStr">
        <is>
          <t>経過月</t>
        </is>
      </c>
      <c r="B4" s="6" t="inlineStr">
        <is>
          <t>ﾒｰﾙﾘｽﾄ
期末</t>
        </is>
      </c>
      <c r="C4" s="6" t="inlineStr">
        <is>
          <t>ﾘｽﾄ純増</t>
        </is>
      </c>
      <c r="D4" s="6" t="inlineStr">
        <is>
          <t>ﾌｫﾛﾜｰ
期末</t>
        </is>
      </c>
      <c r="E4" s="6" t="inlineStr">
        <is>
          <t>投稿本数</t>
        </is>
      </c>
      <c r="F4" s="6" t="inlineStr">
        <is>
          <t>平均
保存率</t>
        </is>
      </c>
      <c r="G4" s="6" t="inlineStr">
        <is>
          <t>LM登録率</t>
        </is>
      </c>
      <c r="H4" s="6" t="inlineStr">
        <is>
          <t>ガイド
販売数</t>
        </is>
      </c>
      <c r="I4" s="6" t="inlineStr">
        <is>
          <t>返金率</t>
        </is>
      </c>
      <c r="J4" s="6" t="inlineStr">
        <is>
          <t>売上</t>
        </is>
      </c>
      <c r="K4" s="6" t="inlineStr">
        <is>
          <t>訪問店舗
累計</t>
        </is>
      </c>
      <c r="L4" s="6" t="inlineStr">
        <is>
          <t>投下時間
(月計)</t>
        </is>
      </c>
      <c r="M4" s="6" t="inlineStr">
        <is>
          <t>計画リスト
(標準)</t>
        </is>
      </c>
      <c r="N4" s="6" t="inlineStr">
        <is>
          <t>計画比</t>
        </is>
      </c>
      <c r="O4" s="6" t="inlineStr">
        <is>
          <t>計画売上
(標準)</t>
        </is>
      </c>
      <c r="P4" s="6" t="inlineStr">
        <is>
          <t>計画比</t>
        </is>
      </c>
    </row>
    <row r="5">
      <c r="A5" s="7" t="n">
        <v>1</v>
      </c>
      <c r="B5" s="23">
        <f>IFERROR(INDEX(週次実績!$D$6:$D$110,MATCH($A5,週次実績!$C$6:$C$110,0)+COUNTIF(週次実績!$C$6:$C$110,$A5)-1),"")</f>
        <v/>
      </c>
      <c r="C5" s="23">
        <f>IF(COUNTIFS(週次実績!$C$6:$C$110,$A5)=0,"",SUMIFS(週次実績!$E$6:$E$110,週次実績!$C$6:$C$110,$A5))</f>
        <v/>
      </c>
      <c r="D5" s="23">
        <f>IFERROR(INDEX(週次実績!$H$6:$H$110,MATCH($A5,週次実績!$C$6:$C$110,0)+COUNTIF(週次実績!$C$6:$C$110,$A5)-1),"")</f>
        <v/>
      </c>
      <c r="E5" s="23">
        <f>IF(COUNTIFS(週次実績!$C$6:$C$110,$A5)=0,"",SUMIFS(週次実績!$J$6:$J$110,週次実績!$C$6:$C$110,$A5))</f>
        <v/>
      </c>
      <c r="F5" s="24">
        <f>IFERROR(SUMIFS(週次実績!$L$6:$L$110,週次実績!$C$6:$C$110,$A5)/SUMIFS(週次実績!$K$6:$K$110,週次実績!$C$6:$C$110,$A5),"")</f>
        <v/>
      </c>
      <c r="G5" s="24">
        <f>IFERROR(SUMIFS(週次実績!$Q$6:$Q$110,週次実績!$C$6:$C$110,$A5)/SUMIFS(週次実績!$P$6:$P$110,週次実績!$C$6:$C$110,$A5),"")</f>
        <v/>
      </c>
      <c r="H5" s="23">
        <f>IF(COUNTIFS(週次実績!$C$6:$C$110,$A5)=0,"",SUMIFS(週次実績!$T$6:$T$110,週次実績!$C$6:$C$110,$A5))</f>
        <v/>
      </c>
      <c r="I5" s="24">
        <f>IFERROR(SUMIFS(週次実績!$U$6:$U$110,週次実績!$C$6:$C$110,$A5)/SUMIFS(週次実績!$T$6:$T$110,週次実績!$C$6:$C$110,$A5),"")</f>
        <v/>
      </c>
      <c r="J5" s="23">
        <f>IF(COUNTIFS(週次実績!$C$6:$C$110,$A5)=0,"",SUMIFS(週次実績!$W$6:$W$110,週次実績!$C$6:$C$110,$A5)+SUMIFS(週次実績!$X$6:$X$110,週次実績!$C$6:$C$110,$A5))</f>
        <v/>
      </c>
      <c r="K5" s="23">
        <f>IFERROR(INDEX(週次実績!$AA$6:$AA$110,MATCH($A5,週次実績!$C$6:$C$110,0)+COUNTIF(週次実績!$C$6:$C$110,$A5)-1),"")</f>
        <v/>
      </c>
      <c r="L5" s="25">
        <f>IF(COUNTIFS(週次実績!$C$6:$C$110,$A5)=0,"",SUMIFS(週次実績!$AB$6:$AB$110,週次実績!$C$6:$C$110,$A5))</f>
        <v/>
      </c>
      <c r="M5" s="26" t="n">
        <v>120</v>
      </c>
      <c r="N5" s="12">
        <f>IFERROR(IF($B5="","",$B5/$M5),"")</f>
        <v/>
      </c>
      <c r="O5" s="26" t="n">
        <v>3750</v>
      </c>
      <c r="P5" s="12">
        <f>IFERROR(IF($J5="","",$J5/$O5),"")</f>
        <v/>
      </c>
    </row>
    <row r="6">
      <c r="A6" s="7" t="n">
        <v>2</v>
      </c>
      <c r="B6" s="23">
        <f>IFERROR(INDEX(週次実績!$D$6:$D$110,MATCH($A6,週次実績!$C$6:$C$110,0)+COUNTIF(週次実績!$C$6:$C$110,$A6)-1),"")</f>
        <v/>
      </c>
      <c r="C6" s="23">
        <f>IF(COUNTIFS(週次実績!$C$6:$C$110,$A6)=0,"",SUMIFS(週次実績!$E$6:$E$110,週次実績!$C$6:$C$110,$A6))</f>
        <v/>
      </c>
      <c r="D6" s="23">
        <f>IFERROR(INDEX(週次実績!$H$6:$H$110,MATCH($A6,週次実績!$C$6:$C$110,0)+COUNTIF(週次実績!$C$6:$C$110,$A6)-1),"")</f>
        <v/>
      </c>
      <c r="E6" s="23">
        <f>IF(COUNTIFS(週次実績!$C$6:$C$110,$A6)=0,"",SUMIFS(週次実績!$J$6:$J$110,週次実績!$C$6:$C$110,$A6))</f>
        <v/>
      </c>
      <c r="F6" s="24">
        <f>IFERROR(SUMIFS(週次実績!$L$6:$L$110,週次実績!$C$6:$C$110,$A6)/SUMIFS(週次実績!$K$6:$K$110,週次実績!$C$6:$C$110,$A6),"")</f>
        <v/>
      </c>
      <c r="G6" s="24">
        <f>IFERROR(SUMIFS(週次実績!$Q$6:$Q$110,週次実績!$C$6:$C$110,$A6)/SUMIFS(週次実績!$P$6:$P$110,週次実績!$C$6:$C$110,$A6),"")</f>
        <v/>
      </c>
      <c r="H6" s="23">
        <f>IF(COUNTIFS(週次実績!$C$6:$C$110,$A6)=0,"",SUMIFS(週次実績!$T$6:$T$110,週次実績!$C$6:$C$110,$A6))</f>
        <v/>
      </c>
      <c r="I6" s="24">
        <f>IFERROR(SUMIFS(週次実績!$U$6:$U$110,週次実績!$C$6:$C$110,$A6)/SUMIFS(週次実績!$T$6:$T$110,週次実績!$C$6:$C$110,$A6),"")</f>
        <v/>
      </c>
      <c r="J6" s="23">
        <f>IF(COUNTIFS(週次実績!$C$6:$C$110,$A6)=0,"",SUMIFS(週次実績!$W$6:$W$110,週次実績!$C$6:$C$110,$A6)+SUMIFS(週次実績!$X$6:$X$110,週次実績!$C$6:$C$110,$A6))</f>
        <v/>
      </c>
      <c r="K6" s="23">
        <f>IFERROR(INDEX(週次実績!$AA$6:$AA$110,MATCH($A6,週次実績!$C$6:$C$110,0)+COUNTIF(週次実績!$C$6:$C$110,$A6)-1),"")</f>
        <v/>
      </c>
      <c r="L6" s="25">
        <f>IF(COUNTIFS(週次実績!$C$6:$C$110,$A6)=0,"",SUMIFS(週次実績!$AB$6:$AB$110,週次実績!$C$6:$C$110,$A6))</f>
        <v/>
      </c>
      <c r="M6" s="26" t="n">
        <v>264</v>
      </c>
      <c r="N6" s="12">
        <f>IFERROR(IF($B6="","",$B6/$M6),"")</f>
        <v/>
      </c>
      <c r="O6" s="26" t="n">
        <v>7500</v>
      </c>
      <c r="P6" s="12">
        <f>IFERROR(IF($J6="","",$J6/$O6),"")</f>
        <v/>
      </c>
    </row>
    <row r="7">
      <c r="A7" s="7" t="n">
        <v>3</v>
      </c>
      <c r="B7" s="23">
        <f>IFERROR(INDEX(週次実績!$D$6:$D$110,MATCH($A7,週次実績!$C$6:$C$110,0)+COUNTIF(週次実績!$C$6:$C$110,$A7)-1),"")</f>
        <v/>
      </c>
      <c r="C7" s="23">
        <f>IF(COUNTIFS(週次実績!$C$6:$C$110,$A7)=0,"",SUMIFS(週次実績!$E$6:$E$110,週次実績!$C$6:$C$110,$A7))</f>
        <v/>
      </c>
      <c r="D7" s="23">
        <f>IFERROR(INDEX(週次実績!$H$6:$H$110,MATCH($A7,週次実績!$C$6:$C$110,0)+COUNTIF(週次実績!$C$6:$C$110,$A7)-1),"")</f>
        <v/>
      </c>
      <c r="E7" s="23">
        <f>IF(COUNTIFS(週次実績!$C$6:$C$110,$A7)=0,"",SUMIFS(週次実績!$J$6:$J$110,週次実績!$C$6:$C$110,$A7))</f>
        <v/>
      </c>
      <c r="F7" s="24">
        <f>IFERROR(SUMIFS(週次実績!$L$6:$L$110,週次実績!$C$6:$C$110,$A7)/SUMIFS(週次実績!$K$6:$K$110,週次実績!$C$6:$C$110,$A7),"")</f>
        <v/>
      </c>
      <c r="G7" s="24">
        <f>IFERROR(SUMIFS(週次実績!$Q$6:$Q$110,週次実績!$C$6:$C$110,$A7)/SUMIFS(週次実績!$P$6:$P$110,週次実績!$C$6:$C$110,$A7),"")</f>
        <v/>
      </c>
      <c r="H7" s="23">
        <f>IF(COUNTIFS(週次実績!$C$6:$C$110,$A7)=0,"",SUMIFS(週次実績!$T$6:$T$110,週次実績!$C$6:$C$110,$A7))</f>
        <v/>
      </c>
      <c r="I7" s="24">
        <f>IFERROR(SUMIFS(週次実績!$U$6:$U$110,週次実績!$C$6:$C$110,$A7)/SUMIFS(週次実績!$T$6:$T$110,週次実績!$C$6:$C$110,$A7),"")</f>
        <v/>
      </c>
      <c r="J7" s="23">
        <f>IF(COUNTIFS(週次実績!$C$6:$C$110,$A7)=0,"",SUMIFS(週次実績!$W$6:$W$110,週次実績!$C$6:$C$110,$A7)+SUMIFS(週次実績!$X$6:$X$110,週次実績!$C$6:$C$110,$A7))</f>
        <v/>
      </c>
      <c r="K7" s="23">
        <f>IFERROR(INDEX(週次実績!$AA$6:$AA$110,MATCH($A7,週次実績!$C$6:$C$110,0)+COUNTIF(週次実績!$C$6:$C$110,$A7)-1),"")</f>
        <v/>
      </c>
      <c r="L7" s="25">
        <f>IF(COUNTIFS(週次実績!$C$6:$C$110,$A7)=0,"",SUMIFS(週次実績!$AB$6:$AB$110,週次実績!$C$6:$C$110,$A7))</f>
        <v/>
      </c>
      <c r="M7" s="26" t="n">
        <v>356</v>
      </c>
      <c r="N7" s="12">
        <f>IFERROR(IF($B7="","",$B7/$M7),"")</f>
        <v/>
      </c>
      <c r="O7" s="26" t="n">
        <v>11250</v>
      </c>
      <c r="P7" s="12">
        <f>IFERROR(IF($J7="","",$J7/$O7),"")</f>
        <v/>
      </c>
    </row>
    <row r="8">
      <c r="A8" s="7" t="n">
        <v>4</v>
      </c>
      <c r="B8" s="23">
        <f>IFERROR(INDEX(週次実績!$D$6:$D$110,MATCH($A8,週次実績!$C$6:$C$110,0)+COUNTIF(週次実績!$C$6:$C$110,$A8)-1),"")</f>
        <v/>
      </c>
      <c r="C8" s="23">
        <f>IF(COUNTIFS(週次実績!$C$6:$C$110,$A8)=0,"",SUMIFS(週次実績!$E$6:$E$110,週次実績!$C$6:$C$110,$A8))</f>
        <v/>
      </c>
      <c r="D8" s="23">
        <f>IFERROR(INDEX(週次実績!$H$6:$H$110,MATCH($A8,週次実績!$C$6:$C$110,0)+COUNTIF(週次実績!$C$6:$C$110,$A8)-1),"")</f>
        <v/>
      </c>
      <c r="E8" s="23">
        <f>IF(COUNTIFS(週次実績!$C$6:$C$110,$A8)=0,"",SUMIFS(週次実績!$J$6:$J$110,週次実績!$C$6:$C$110,$A8))</f>
        <v/>
      </c>
      <c r="F8" s="24">
        <f>IFERROR(SUMIFS(週次実績!$L$6:$L$110,週次実績!$C$6:$C$110,$A8)/SUMIFS(週次実績!$K$6:$K$110,週次実績!$C$6:$C$110,$A8),"")</f>
        <v/>
      </c>
      <c r="G8" s="24">
        <f>IFERROR(SUMIFS(週次実績!$Q$6:$Q$110,週次実績!$C$6:$C$110,$A8)/SUMIFS(週次実績!$P$6:$P$110,週次実績!$C$6:$C$110,$A8),"")</f>
        <v/>
      </c>
      <c r="H8" s="23">
        <f>IF(COUNTIFS(週次実績!$C$6:$C$110,$A8)=0,"",SUMIFS(週次実績!$T$6:$T$110,週次実績!$C$6:$C$110,$A8))</f>
        <v/>
      </c>
      <c r="I8" s="24">
        <f>IFERROR(SUMIFS(週次実績!$U$6:$U$110,週次実績!$C$6:$C$110,$A8)/SUMIFS(週次実績!$T$6:$T$110,週次実績!$C$6:$C$110,$A8),"")</f>
        <v/>
      </c>
      <c r="J8" s="23">
        <f>IF(COUNTIFS(週次実績!$C$6:$C$110,$A8)=0,"",SUMIFS(週次実績!$W$6:$W$110,週次実績!$C$6:$C$110,$A8)+SUMIFS(週次実績!$X$6:$X$110,週次実績!$C$6:$C$110,$A8))</f>
        <v/>
      </c>
      <c r="K8" s="23">
        <f>IFERROR(INDEX(週次実績!$AA$6:$AA$110,MATCH($A8,週次実績!$C$6:$C$110,0)+COUNTIF(週次実績!$C$6:$C$110,$A8)-1),"")</f>
        <v/>
      </c>
      <c r="L8" s="25">
        <f>IF(COUNTIFS(週次実績!$C$6:$C$110,$A8)=0,"",SUMIFS(週次実績!$AB$6:$AB$110,週次実績!$C$6:$C$110,$A8))</f>
        <v/>
      </c>
      <c r="M8" s="26" t="n">
        <v>512</v>
      </c>
      <c r="N8" s="12">
        <f>IFERROR(IF($B8="","",$B8/$M8),"")</f>
        <v/>
      </c>
      <c r="O8" s="26" t="n">
        <v>15000</v>
      </c>
      <c r="P8" s="12">
        <f>IFERROR(IF($J8="","",$J8/$O8),"")</f>
        <v/>
      </c>
    </row>
    <row r="9">
      <c r="A9" s="7" t="n">
        <v>5</v>
      </c>
      <c r="B9" s="23">
        <f>IFERROR(INDEX(週次実績!$D$6:$D$110,MATCH($A9,週次実績!$C$6:$C$110,0)+COUNTIF(週次実績!$C$6:$C$110,$A9)-1),"")</f>
        <v/>
      </c>
      <c r="C9" s="23">
        <f>IF(COUNTIFS(週次実績!$C$6:$C$110,$A9)=0,"",SUMIFS(週次実績!$E$6:$E$110,週次実績!$C$6:$C$110,$A9))</f>
        <v/>
      </c>
      <c r="D9" s="23">
        <f>IFERROR(INDEX(週次実績!$H$6:$H$110,MATCH($A9,週次実績!$C$6:$C$110,0)+COUNTIF(週次実績!$C$6:$C$110,$A9)-1),"")</f>
        <v/>
      </c>
      <c r="E9" s="23">
        <f>IF(COUNTIFS(週次実績!$C$6:$C$110,$A9)=0,"",SUMIFS(週次実績!$J$6:$J$110,週次実績!$C$6:$C$110,$A9))</f>
        <v/>
      </c>
      <c r="F9" s="24">
        <f>IFERROR(SUMIFS(週次実績!$L$6:$L$110,週次実績!$C$6:$C$110,$A9)/SUMIFS(週次実績!$K$6:$K$110,週次実績!$C$6:$C$110,$A9),"")</f>
        <v/>
      </c>
      <c r="G9" s="24">
        <f>IFERROR(SUMIFS(週次実績!$Q$6:$Q$110,週次実績!$C$6:$C$110,$A9)/SUMIFS(週次実績!$P$6:$P$110,週次実績!$C$6:$C$110,$A9),"")</f>
        <v/>
      </c>
      <c r="H9" s="23">
        <f>IF(COUNTIFS(週次実績!$C$6:$C$110,$A9)=0,"",SUMIFS(週次実績!$T$6:$T$110,週次実績!$C$6:$C$110,$A9))</f>
        <v/>
      </c>
      <c r="I9" s="24">
        <f>IFERROR(SUMIFS(週次実績!$U$6:$U$110,週次実績!$C$6:$C$110,$A9)/SUMIFS(週次実績!$T$6:$T$110,週次実績!$C$6:$C$110,$A9),"")</f>
        <v/>
      </c>
      <c r="J9" s="23">
        <f>IF(COUNTIFS(週次実績!$C$6:$C$110,$A9)=0,"",SUMIFS(週次実績!$W$6:$W$110,週次実績!$C$6:$C$110,$A9)+SUMIFS(週次実績!$X$6:$X$110,週次実績!$C$6:$C$110,$A9))</f>
        <v/>
      </c>
      <c r="K9" s="23">
        <f>IFERROR(INDEX(週次実績!$AA$6:$AA$110,MATCH($A9,週次実績!$C$6:$C$110,0)+COUNTIF(週次実績!$C$6:$C$110,$A9)-1),"")</f>
        <v/>
      </c>
      <c r="L9" s="25">
        <f>IF(COUNTIFS(週次実績!$C$6:$C$110,$A9)=0,"",SUMIFS(週次実績!$AB$6:$AB$110,週次実績!$C$6:$C$110,$A9))</f>
        <v/>
      </c>
      <c r="M9" s="26" t="n">
        <v>700</v>
      </c>
      <c r="N9" s="12">
        <f>IFERROR(IF($B9="","",$B9/$M9),"")</f>
        <v/>
      </c>
      <c r="O9" s="26" t="n">
        <v>166039</v>
      </c>
      <c r="P9" s="12">
        <f>IFERROR(IF($J9="","",$J9/$O9),"")</f>
        <v/>
      </c>
    </row>
    <row r="10">
      <c r="A10" s="7" t="n">
        <v>6</v>
      </c>
      <c r="B10" s="23">
        <f>IFERROR(INDEX(週次実績!$D$6:$D$110,MATCH($A10,週次実績!$C$6:$C$110,0)+COUNTIF(週次実績!$C$6:$C$110,$A10)-1),"")</f>
        <v/>
      </c>
      <c r="C10" s="23">
        <f>IF(COUNTIFS(週次実績!$C$6:$C$110,$A10)=0,"",SUMIFS(週次実績!$E$6:$E$110,週次実績!$C$6:$C$110,$A10))</f>
        <v/>
      </c>
      <c r="D10" s="23">
        <f>IFERROR(INDEX(週次実績!$H$6:$H$110,MATCH($A10,週次実績!$C$6:$C$110,0)+COUNTIF(週次実績!$C$6:$C$110,$A10)-1),"")</f>
        <v/>
      </c>
      <c r="E10" s="23">
        <f>IF(COUNTIFS(週次実績!$C$6:$C$110,$A10)=0,"",SUMIFS(週次実績!$J$6:$J$110,週次実績!$C$6:$C$110,$A10))</f>
        <v/>
      </c>
      <c r="F10" s="24">
        <f>IFERROR(SUMIFS(週次実績!$L$6:$L$110,週次実績!$C$6:$C$110,$A10)/SUMIFS(週次実績!$K$6:$K$110,週次実績!$C$6:$C$110,$A10),"")</f>
        <v/>
      </c>
      <c r="G10" s="24">
        <f>IFERROR(SUMIFS(週次実績!$Q$6:$Q$110,週次実績!$C$6:$C$110,$A10)/SUMIFS(週次実績!$P$6:$P$110,週次実績!$C$6:$C$110,$A10),"")</f>
        <v/>
      </c>
      <c r="H10" s="23">
        <f>IF(COUNTIFS(週次実績!$C$6:$C$110,$A10)=0,"",SUMIFS(週次実績!$T$6:$T$110,週次実績!$C$6:$C$110,$A10))</f>
        <v/>
      </c>
      <c r="I10" s="24">
        <f>IFERROR(SUMIFS(週次実績!$U$6:$U$110,週次実績!$C$6:$C$110,$A10)/SUMIFS(週次実績!$T$6:$T$110,週次実績!$C$6:$C$110,$A10),"")</f>
        <v/>
      </c>
      <c r="J10" s="23">
        <f>IF(COUNTIFS(週次実績!$C$6:$C$110,$A10)=0,"",SUMIFS(週次実績!$W$6:$W$110,週次実績!$C$6:$C$110,$A10)+SUMIFS(週次実績!$X$6:$X$110,週次実績!$C$6:$C$110,$A10))</f>
        <v/>
      </c>
      <c r="K10" s="23">
        <f>IFERROR(INDEX(週次実績!$AA$6:$AA$110,MATCH($A10,週次実績!$C$6:$C$110,0)+COUNTIF(週次実績!$C$6:$C$110,$A10)-1),"")</f>
        <v/>
      </c>
      <c r="L10" s="25">
        <f>IF(COUNTIFS(週次実績!$C$6:$C$110,$A10)=0,"",SUMIFS(週次実績!$AB$6:$AB$110,週次実績!$C$6:$C$110,$A10))</f>
        <v/>
      </c>
      <c r="M10" s="26" t="n">
        <v>1095</v>
      </c>
      <c r="N10" s="12">
        <f>IFERROR(IF($B10="","",$B10/$M10),"")</f>
        <v/>
      </c>
      <c r="O10" s="26" t="n">
        <v>95664</v>
      </c>
      <c r="P10" s="12">
        <f>IFERROR(IF($J10="","",$J10/$O10),"")</f>
        <v/>
      </c>
    </row>
    <row r="11">
      <c r="A11" s="7" t="n">
        <v>7</v>
      </c>
      <c r="B11" s="23">
        <f>IFERROR(INDEX(週次実績!$D$6:$D$110,MATCH($A11,週次実績!$C$6:$C$110,0)+COUNTIF(週次実績!$C$6:$C$110,$A11)-1),"")</f>
        <v/>
      </c>
      <c r="C11" s="23">
        <f>IF(COUNTIFS(週次実績!$C$6:$C$110,$A11)=0,"",SUMIFS(週次実績!$E$6:$E$110,週次実績!$C$6:$C$110,$A11))</f>
        <v/>
      </c>
      <c r="D11" s="23">
        <f>IFERROR(INDEX(週次実績!$H$6:$H$110,MATCH($A11,週次実績!$C$6:$C$110,0)+COUNTIF(週次実績!$C$6:$C$110,$A11)-1),"")</f>
        <v/>
      </c>
      <c r="E11" s="23">
        <f>IF(COUNTIFS(週次実績!$C$6:$C$110,$A11)=0,"",SUMIFS(週次実績!$J$6:$J$110,週次実績!$C$6:$C$110,$A11))</f>
        <v/>
      </c>
      <c r="F11" s="24">
        <f>IFERROR(SUMIFS(週次実績!$L$6:$L$110,週次実績!$C$6:$C$110,$A11)/SUMIFS(週次実績!$K$6:$K$110,週次実績!$C$6:$C$110,$A11),"")</f>
        <v/>
      </c>
      <c r="G11" s="24">
        <f>IFERROR(SUMIFS(週次実績!$Q$6:$Q$110,週次実績!$C$6:$C$110,$A11)/SUMIFS(週次実績!$P$6:$P$110,週次実績!$C$6:$C$110,$A11),"")</f>
        <v/>
      </c>
      <c r="H11" s="23">
        <f>IF(COUNTIFS(週次実績!$C$6:$C$110,$A11)=0,"",SUMIFS(週次実績!$T$6:$T$110,週次実績!$C$6:$C$110,$A11))</f>
        <v/>
      </c>
      <c r="I11" s="24">
        <f>IFERROR(SUMIFS(週次実績!$U$6:$U$110,週次実績!$C$6:$C$110,$A11)/SUMIFS(週次実績!$T$6:$T$110,週次実績!$C$6:$C$110,$A11),"")</f>
        <v/>
      </c>
      <c r="J11" s="23">
        <f>IF(COUNTIFS(週次実績!$C$6:$C$110,$A11)=0,"",SUMIFS(週次実績!$W$6:$W$110,週次実績!$C$6:$C$110,$A11)+SUMIFS(週次実績!$X$6:$X$110,週次実績!$C$6:$C$110,$A11))</f>
        <v/>
      </c>
      <c r="K11" s="23">
        <f>IFERROR(INDEX(週次実績!$AA$6:$AA$110,MATCH($A11,週次実績!$C$6:$C$110,0)+COUNTIF(週次実績!$C$6:$C$110,$A11)-1),"")</f>
        <v/>
      </c>
      <c r="L11" s="25">
        <f>IF(COUNTIFS(週次実績!$C$6:$C$110,$A11)=0,"",SUMIFS(週次実績!$AB$6:$AB$110,週次実績!$C$6:$C$110,$A11))</f>
        <v/>
      </c>
      <c r="M11" s="26" t="n">
        <v>1442</v>
      </c>
      <c r="N11" s="12">
        <f>IFERROR(IF($B11="","",$B11/$M11),"")</f>
        <v/>
      </c>
      <c r="O11" s="26" t="n">
        <v>126302</v>
      </c>
      <c r="P11" s="12">
        <f>IFERROR(IF($J11="","",$J11/$O11),"")</f>
        <v/>
      </c>
    </row>
    <row r="12">
      <c r="A12" s="7" t="n">
        <v>8</v>
      </c>
      <c r="B12" s="23">
        <f>IFERROR(INDEX(週次実績!$D$6:$D$110,MATCH($A12,週次実績!$C$6:$C$110,0)+COUNTIF(週次実績!$C$6:$C$110,$A12)-1),"")</f>
        <v/>
      </c>
      <c r="C12" s="23">
        <f>IF(COUNTIFS(週次実績!$C$6:$C$110,$A12)=0,"",SUMIFS(週次実績!$E$6:$E$110,週次実績!$C$6:$C$110,$A12))</f>
        <v/>
      </c>
      <c r="D12" s="23">
        <f>IFERROR(INDEX(週次実績!$H$6:$H$110,MATCH($A12,週次実績!$C$6:$C$110,0)+COUNTIF(週次実績!$C$6:$C$110,$A12)-1),"")</f>
        <v/>
      </c>
      <c r="E12" s="23">
        <f>IF(COUNTIFS(週次実績!$C$6:$C$110,$A12)=0,"",SUMIFS(週次実績!$J$6:$J$110,週次実績!$C$6:$C$110,$A12))</f>
        <v/>
      </c>
      <c r="F12" s="24">
        <f>IFERROR(SUMIFS(週次実績!$L$6:$L$110,週次実績!$C$6:$C$110,$A12)/SUMIFS(週次実績!$K$6:$K$110,週次実績!$C$6:$C$110,$A12),"")</f>
        <v/>
      </c>
      <c r="G12" s="24">
        <f>IFERROR(SUMIFS(週次実績!$Q$6:$Q$110,週次実績!$C$6:$C$110,$A12)/SUMIFS(週次実績!$P$6:$P$110,週次実績!$C$6:$C$110,$A12),"")</f>
        <v/>
      </c>
      <c r="H12" s="23">
        <f>IF(COUNTIFS(週次実績!$C$6:$C$110,$A12)=0,"",SUMIFS(週次実績!$T$6:$T$110,週次実績!$C$6:$C$110,$A12))</f>
        <v/>
      </c>
      <c r="I12" s="24">
        <f>IFERROR(SUMIFS(週次実績!$U$6:$U$110,週次実績!$C$6:$C$110,$A12)/SUMIFS(週次実績!$T$6:$T$110,週次実績!$C$6:$C$110,$A12),"")</f>
        <v/>
      </c>
      <c r="J12" s="23">
        <f>IF(COUNTIFS(週次実績!$C$6:$C$110,$A12)=0,"",SUMIFS(週次実績!$W$6:$W$110,週次実績!$C$6:$C$110,$A12)+SUMIFS(週次実績!$X$6:$X$110,週次実績!$C$6:$C$110,$A12))</f>
        <v/>
      </c>
      <c r="K12" s="23">
        <f>IFERROR(INDEX(週次実績!$AA$6:$AA$110,MATCH($A12,週次実績!$C$6:$C$110,0)+COUNTIF(週次実績!$C$6:$C$110,$A12)-1),"")</f>
        <v/>
      </c>
      <c r="L12" s="25">
        <f>IF(COUNTIFS(週次実績!$C$6:$C$110,$A12)=0,"",SUMIFS(週次実績!$AB$6:$AB$110,週次実績!$C$6:$C$110,$A12))</f>
        <v/>
      </c>
      <c r="M12" s="26" t="n">
        <v>1793</v>
      </c>
      <c r="N12" s="12">
        <f>IFERROR(IF($B12="","",$B12/$M12),"")</f>
        <v/>
      </c>
      <c r="O12" s="26" t="n">
        <v>150826</v>
      </c>
      <c r="P12" s="12">
        <f>IFERROR(IF($J12="","",$J12/$O12),"")</f>
        <v/>
      </c>
    </row>
    <row r="13">
      <c r="A13" s="7" t="n">
        <v>9</v>
      </c>
      <c r="B13" s="23">
        <f>IFERROR(INDEX(週次実績!$D$6:$D$110,MATCH($A13,週次実績!$C$6:$C$110,0)+COUNTIF(週次実績!$C$6:$C$110,$A13)-1),"")</f>
        <v/>
      </c>
      <c r="C13" s="23">
        <f>IF(COUNTIFS(週次実績!$C$6:$C$110,$A13)=0,"",SUMIFS(週次実績!$E$6:$E$110,週次実績!$C$6:$C$110,$A13))</f>
        <v/>
      </c>
      <c r="D13" s="23">
        <f>IFERROR(INDEX(週次実績!$H$6:$H$110,MATCH($A13,週次実績!$C$6:$C$110,0)+COUNTIF(週次実績!$C$6:$C$110,$A13)-1),"")</f>
        <v/>
      </c>
      <c r="E13" s="23">
        <f>IF(COUNTIFS(週次実績!$C$6:$C$110,$A13)=0,"",SUMIFS(週次実績!$J$6:$J$110,週次実績!$C$6:$C$110,$A13))</f>
        <v/>
      </c>
      <c r="F13" s="24">
        <f>IFERROR(SUMIFS(週次実績!$L$6:$L$110,週次実績!$C$6:$C$110,$A13)/SUMIFS(週次実績!$K$6:$K$110,週次実績!$C$6:$C$110,$A13),"")</f>
        <v/>
      </c>
      <c r="G13" s="24">
        <f>IFERROR(SUMIFS(週次実績!$Q$6:$Q$110,週次実績!$C$6:$C$110,$A13)/SUMIFS(週次実績!$P$6:$P$110,週次実績!$C$6:$C$110,$A13),"")</f>
        <v/>
      </c>
      <c r="H13" s="23">
        <f>IF(COUNTIFS(週次実績!$C$6:$C$110,$A13)=0,"",SUMIFS(週次実績!$T$6:$T$110,週次実績!$C$6:$C$110,$A13))</f>
        <v/>
      </c>
      <c r="I13" s="24">
        <f>IFERROR(SUMIFS(週次実績!$U$6:$U$110,週次実績!$C$6:$C$110,$A13)/SUMIFS(週次実績!$T$6:$T$110,週次実績!$C$6:$C$110,$A13),"")</f>
        <v/>
      </c>
      <c r="J13" s="23">
        <f>IF(COUNTIFS(週次実績!$C$6:$C$110,$A13)=0,"",SUMIFS(週次実績!$W$6:$W$110,週次実績!$C$6:$C$110,$A13)+SUMIFS(週次実績!$X$6:$X$110,週次実績!$C$6:$C$110,$A13))</f>
        <v/>
      </c>
      <c r="K13" s="23">
        <f>IFERROR(INDEX(週次実績!$AA$6:$AA$110,MATCH($A13,週次実績!$C$6:$C$110,0)+COUNTIF(週次実績!$C$6:$C$110,$A13)-1),"")</f>
        <v/>
      </c>
      <c r="L13" s="25">
        <f>IF(COUNTIFS(週次実績!$C$6:$C$110,$A13)=0,"",SUMIFS(週次実績!$AB$6:$AB$110,週次実績!$C$6:$C$110,$A13))</f>
        <v/>
      </c>
      <c r="M13" s="26" t="n">
        <v>2124</v>
      </c>
      <c r="N13" s="12">
        <f>IFERROR(IF($B13="","",$B13/$M13),"")</f>
        <v/>
      </c>
      <c r="O13" s="26" t="n">
        <v>340794</v>
      </c>
      <c r="P13" s="12">
        <f>IFERROR(IF($J13="","",$J13/$O13),"")</f>
        <v/>
      </c>
    </row>
    <row r="14">
      <c r="A14" s="7" t="n">
        <v>10</v>
      </c>
      <c r="B14" s="23">
        <f>IFERROR(INDEX(週次実績!$D$6:$D$110,MATCH($A14,週次実績!$C$6:$C$110,0)+COUNTIF(週次実績!$C$6:$C$110,$A14)-1),"")</f>
        <v/>
      </c>
      <c r="C14" s="23">
        <f>IF(COUNTIFS(週次実績!$C$6:$C$110,$A14)=0,"",SUMIFS(週次実績!$E$6:$E$110,週次実績!$C$6:$C$110,$A14))</f>
        <v/>
      </c>
      <c r="D14" s="23">
        <f>IFERROR(INDEX(週次実績!$H$6:$H$110,MATCH($A14,週次実績!$C$6:$C$110,0)+COUNTIF(週次実績!$C$6:$C$110,$A14)-1),"")</f>
        <v/>
      </c>
      <c r="E14" s="23">
        <f>IF(COUNTIFS(週次実績!$C$6:$C$110,$A14)=0,"",SUMIFS(週次実績!$J$6:$J$110,週次実績!$C$6:$C$110,$A14))</f>
        <v/>
      </c>
      <c r="F14" s="24">
        <f>IFERROR(SUMIFS(週次実績!$L$6:$L$110,週次実績!$C$6:$C$110,$A14)/SUMIFS(週次実績!$K$6:$K$110,週次実績!$C$6:$C$110,$A14),"")</f>
        <v/>
      </c>
      <c r="G14" s="24">
        <f>IFERROR(SUMIFS(週次実績!$Q$6:$Q$110,週次実績!$C$6:$C$110,$A14)/SUMIFS(週次実績!$P$6:$P$110,週次実績!$C$6:$C$110,$A14),"")</f>
        <v/>
      </c>
      <c r="H14" s="23">
        <f>IF(COUNTIFS(週次実績!$C$6:$C$110,$A14)=0,"",SUMIFS(週次実績!$T$6:$T$110,週次実績!$C$6:$C$110,$A14))</f>
        <v/>
      </c>
      <c r="I14" s="24">
        <f>IFERROR(SUMIFS(週次実績!$U$6:$U$110,週次実績!$C$6:$C$110,$A14)/SUMIFS(週次実績!$T$6:$T$110,週次実績!$C$6:$C$110,$A14),"")</f>
        <v/>
      </c>
      <c r="J14" s="23">
        <f>IF(COUNTIFS(週次実績!$C$6:$C$110,$A14)=0,"",SUMIFS(週次実績!$W$6:$W$110,週次実績!$C$6:$C$110,$A14)+SUMIFS(週次実績!$X$6:$X$110,週次実績!$C$6:$C$110,$A14))</f>
        <v/>
      </c>
      <c r="K14" s="23">
        <f>IFERROR(INDEX(週次実績!$AA$6:$AA$110,MATCH($A14,週次実績!$C$6:$C$110,0)+COUNTIF(週次実績!$C$6:$C$110,$A14)-1),"")</f>
        <v/>
      </c>
      <c r="L14" s="25">
        <f>IF(COUNTIFS(週次実績!$C$6:$C$110,$A14)=0,"",SUMIFS(週次実績!$AB$6:$AB$110,週次実績!$C$6:$C$110,$A14))</f>
        <v/>
      </c>
      <c r="M14" s="26" t="n">
        <v>2461</v>
      </c>
      <c r="N14" s="12">
        <f>IFERROR(IF($B14="","",$B14/$M14),"")</f>
        <v/>
      </c>
      <c r="O14" s="26" t="n">
        <v>232030</v>
      </c>
      <c r="P14" s="12">
        <f>IFERROR(IF($J14="","",$J14/$O14),"")</f>
        <v/>
      </c>
    </row>
    <row r="15">
      <c r="A15" s="7" t="n">
        <v>11</v>
      </c>
      <c r="B15" s="23">
        <f>IFERROR(INDEX(週次実績!$D$6:$D$110,MATCH($A15,週次実績!$C$6:$C$110,0)+COUNTIF(週次実績!$C$6:$C$110,$A15)-1),"")</f>
        <v/>
      </c>
      <c r="C15" s="23">
        <f>IF(COUNTIFS(週次実績!$C$6:$C$110,$A15)=0,"",SUMIFS(週次実績!$E$6:$E$110,週次実績!$C$6:$C$110,$A15))</f>
        <v/>
      </c>
      <c r="D15" s="23">
        <f>IFERROR(INDEX(週次実績!$H$6:$H$110,MATCH($A15,週次実績!$C$6:$C$110,0)+COUNTIF(週次実績!$C$6:$C$110,$A15)-1),"")</f>
        <v/>
      </c>
      <c r="E15" s="23">
        <f>IF(COUNTIFS(週次実績!$C$6:$C$110,$A15)=0,"",SUMIFS(週次実績!$J$6:$J$110,週次実績!$C$6:$C$110,$A15))</f>
        <v/>
      </c>
      <c r="F15" s="24">
        <f>IFERROR(SUMIFS(週次実績!$L$6:$L$110,週次実績!$C$6:$C$110,$A15)/SUMIFS(週次実績!$K$6:$K$110,週次実績!$C$6:$C$110,$A15),"")</f>
        <v/>
      </c>
      <c r="G15" s="24">
        <f>IFERROR(SUMIFS(週次実績!$Q$6:$Q$110,週次実績!$C$6:$C$110,$A15)/SUMIFS(週次実績!$P$6:$P$110,週次実績!$C$6:$C$110,$A15),"")</f>
        <v/>
      </c>
      <c r="H15" s="23">
        <f>IF(COUNTIFS(週次実績!$C$6:$C$110,$A15)=0,"",SUMIFS(週次実績!$T$6:$T$110,週次実績!$C$6:$C$110,$A15))</f>
        <v/>
      </c>
      <c r="I15" s="24">
        <f>IFERROR(SUMIFS(週次実績!$U$6:$U$110,週次実績!$C$6:$C$110,$A15)/SUMIFS(週次実績!$T$6:$T$110,週次実績!$C$6:$C$110,$A15),"")</f>
        <v/>
      </c>
      <c r="J15" s="23">
        <f>IF(COUNTIFS(週次実績!$C$6:$C$110,$A15)=0,"",SUMIFS(週次実績!$W$6:$W$110,週次実績!$C$6:$C$110,$A15)+SUMIFS(週次実績!$X$6:$X$110,週次実績!$C$6:$C$110,$A15))</f>
        <v/>
      </c>
      <c r="K15" s="23">
        <f>IFERROR(INDEX(週次実績!$AA$6:$AA$110,MATCH($A15,週次実績!$C$6:$C$110,0)+COUNTIF(週次実績!$C$6:$C$110,$A15)-1),"")</f>
        <v/>
      </c>
      <c r="L15" s="25">
        <f>IF(COUNTIFS(週次実績!$C$6:$C$110,$A15)=0,"",SUMIFS(週次実績!$AB$6:$AB$110,週次実績!$C$6:$C$110,$A15))</f>
        <v/>
      </c>
      <c r="M15" s="26" t="n">
        <v>2789</v>
      </c>
      <c r="N15" s="12">
        <f>IFERROR(IF($B15="","",$B15/$M15),"")</f>
        <v/>
      </c>
      <c r="O15" s="26" t="n">
        <v>244510</v>
      </c>
      <c r="P15" s="12">
        <f>IFERROR(IF($J15="","",$J15/$O15),"")</f>
        <v/>
      </c>
    </row>
    <row r="16">
      <c r="A16" s="7" t="n">
        <v>12</v>
      </c>
      <c r="B16" s="23">
        <f>IFERROR(INDEX(週次実績!$D$6:$D$110,MATCH($A16,週次実績!$C$6:$C$110,0)+COUNTIF(週次実績!$C$6:$C$110,$A16)-1),"")</f>
        <v/>
      </c>
      <c r="C16" s="23">
        <f>IF(COUNTIFS(週次実績!$C$6:$C$110,$A16)=0,"",SUMIFS(週次実績!$E$6:$E$110,週次実績!$C$6:$C$110,$A16))</f>
        <v/>
      </c>
      <c r="D16" s="23">
        <f>IFERROR(INDEX(週次実績!$H$6:$H$110,MATCH($A16,週次実績!$C$6:$C$110,0)+COUNTIF(週次実績!$C$6:$C$110,$A16)-1),"")</f>
        <v/>
      </c>
      <c r="E16" s="23">
        <f>IF(COUNTIFS(週次実績!$C$6:$C$110,$A16)=0,"",SUMIFS(週次実績!$J$6:$J$110,週次実績!$C$6:$C$110,$A16))</f>
        <v/>
      </c>
      <c r="F16" s="24">
        <f>IFERROR(SUMIFS(週次実績!$L$6:$L$110,週次実績!$C$6:$C$110,$A16)/SUMIFS(週次実績!$K$6:$K$110,週次実績!$C$6:$C$110,$A16),"")</f>
        <v/>
      </c>
      <c r="G16" s="24">
        <f>IFERROR(SUMIFS(週次実績!$Q$6:$Q$110,週次実績!$C$6:$C$110,$A16)/SUMIFS(週次実績!$P$6:$P$110,週次実績!$C$6:$C$110,$A16),"")</f>
        <v/>
      </c>
      <c r="H16" s="23">
        <f>IF(COUNTIFS(週次実績!$C$6:$C$110,$A16)=0,"",SUMIFS(週次実績!$T$6:$T$110,週次実績!$C$6:$C$110,$A16))</f>
        <v/>
      </c>
      <c r="I16" s="24">
        <f>IFERROR(SUMIFS(週次実績!$U$6:$U$110,週次実績!$C$6:$C$110,$A16)/SUMIFS(週次実績!$T$6:$T$110,週次実績!$C$6:$C$110,$A16),"")</f>
        <v/>
      </c>
      <c r="J16" s="23">
        <f>IF(COUNTIFS(週次実績!$C$6:$C$110,$A16)=0,"",SUMIFS(週次実績!$W$6:$W$110,週次実績!$C$6:$C$110,$A16)+SUMIFS(週次実績!$X$6:$X$110,週次実績!$C$6:$C$110,$A16))</f>
        <v/>
      </c>
      <c r="K16" s="23">
        <f>IFERROR(INDEX(週次実績!$AA$6:$AA$110,MATCH($A16,週次実績!$C$6:$C$110,0)+COUNTIF(週次実績!$C$6:$C$110,$A16)-1),"")</f>
        <v/>
      </c>
      <c r="L16" s="25">
        <f>IF(COUNTIFS(週次実績!$C$6:$C$110,$A16)=0,"",SUMIFS(週次実績!$AB$6:$AB$110,週次実績!$C$6:$C$110,$A16))</f>
        <v/>
      </c>
      <c r="M16" s="26" t="n">
        <v>3116</v>
      </c>
      <c r="N16" s="12">
        <f>IFERROR(IF($B16="","",$B16/$M16),"")</f>
        <v/>
      </c>
      <c r="O16" s="26" t="n">
        <v>255996</v>
      </c>
      <c r="P16" s="12">
        <f>IFERROR(IF($J16="","",$J16/$O16),"")</f>
        <v/>
      </c>
    </row>
    <row r="17">
      <c r="A17" s="7" t="n">
        <v>13</v>
      </c>
      <c r="B17" s="23">
        <f>IFERROR(INDEX(週次実績!$D$6:$D$110,MATCH($A17,週次実績!$C$6:$C$110,0)+COUNTIF(週次実績!$C$6:$C$110,$A17)-1),"")</f>
        <v/>
      </c>
      <c r="C17" s="23">
        <f>IF(COUNTIFS(週次実績!$C$6:$C$110,$A17)=0,"",SUMIFS(週次実績!$E$6:$E$110,週次実績!$C$6:$C$110,$A17))</f>
        <v/>
      </c>
      <c r="D17" s="23">
        <f>IFERROR(INDEX(週次実績!$H$6:$H$110,MATCH($A17,週次実績!$C$6:$C$110,0)+COUNTIF(週次実績!$C$6:$C$110,$A17)-1),"")</f>
        <v/>
      </c>
      <c r="E17" s="23">
        <f>IF(COUNTIFS(週次実績!$C$6:$C$110,$A17)=0,"",SUMIFS(週次実績!$J$6:$J$110,週次実績!$C$6:$C$110,$A17))</f>
        <v/>
      </c>
      <c r="F17" s="24">
        <f>IFERROR(SUMIFS(週次実績!$L$6:$L$110,週次実績!$C$6:$C$110,$A17)/SUMIFS(週次実績!$K$6:$K$110,週次実績!$C$6:$C$110,$A17),"")</f>
        <v/>
      </c>
      <c r="G17" s="24">
        <f>IFERROR(SUMIFS(週次実績!$Q$6:$Q$110,週次実績!$C$6:$C$110,$A17)/SUMIFS(週次実績!$P$6:$P$110,週次実績!$C$6:$C$110,$A17),"")</f>
        <v/>
      </c>
      <c r="H17" s="23">
        <f>IF(COUNTIFS(週次実績!$C$6:$C$110,$A17)=0,"",SUMIFS(週次実績!$T$6:$T$110,週次実績!$C$6:$C$110,$A17))</f>
        <v/>
      </c>
      <c r="I17" s="24">
        <f>IFERROR(SUMIFS(週次実績!$U$6:$U$110,週次実績!$C$6:$C$110,$A17)/SUMIFS(週次実績!$T$6:$T$110,週次実績!$C$6:$C$110,$A17),"")</f>
        <v/>
      </c>
      <c r="J17" s="23">
        <f>IF(COUNTIFS(週次実績!$C$6:$C$110,$A17)=0,"",SUMIFS(週次実績!$W$6:$W$110,週次実績!$C$6:$C$110,$A17)+SUMIFS(週次実績!$X$6:$X$110,週次実績!$C$6:$C$110,$A17))</f>
        <v/>
      </c>
      <c r="K17" s="23">
        <f>IFERROR(INDEX(週次実績!$AA$6:$AA$110,MATCH($A17,週次実績!$C$6:$C$110,0)+COUNTIF(週次実績!$C$6:$C$110,$A17)-1),"")</f>
        <v/>
      </c>
      <c r="L17" s="25">
        <f>IF(COUNTIFS(週次実績!$C$6:$C$110,$A17)=0,"",SUMIFS(週次実績!$AB$6:$AB$110,週次実績!$C$6:$C$110,$A17))</f>
        <v/>
      </c>
      <c r="M17" s="26" t="n">
        <v>3679</v>
      </c>
      <c r="N17" s="12">
        <f>IFERROR(IF($B17="","",$B17/$M17),"")</f>
        <v/>
      </c>
      <c r="O17" s="26" t="n">
        <v>542414</v>
      </c>
      <c r="P17" s="12">
        <f>IFERROR(IF($J17="","",$J17/$O17),"")</f>
        <v/>
      </c>
    </row>
    <row r="18">
      <c r="A18" s="7" t="n">
        <v>14</v>
      </c>
      <c r="B18" s="23">
        <f>IFERROR(INDEX(週次実績!$D$6:$D$110,MATCH($A18,週次実績!$C$6:$C$110,0)+COUNTIF(週次実績!$C$6:$C$110,$A18)-1),"")</f>
        <v/>
      </c>
      <c r="C18" s="23">
        <f>IF(COUNTIFS(週次実績!$C$6:$C$110,$A18)=0,"",SUMIFS(週次実績!$E$6:$E$110,週次実績!$C$6:$C$110,$A18))</f>
        <v/>
      </c>
      <c r="D18" s="23">
        <f>IFERROR(INDEX(週次実績!$H$6:$H$110,MATCH($A18,週次実績!$C$6:$C$110,0)+COUNTIF(週次実績!$C$6:$C$110,$A18)-1),"")</f>
        <v/>
      </c>
      <c r="E18" s="23">
        <f>IF(COUNTIFS(週次実績!$C$6:$C$110,$A18)=0,"",SUMIFS(週次実績!$J$6:$J$110,週次実績!$C$6:$C$110,$A18))</f>
        <v/>
      </c>
      <c r="F18" s="24">
        <f>IFERROR(SUMIFS(週次実績!$L$6:$L$110,週次実績!$C$6:$C$110,$A18)/SUMIFS(週次実績!$K$6:$K$110,週次実績!$C$6:$C$110,$A18),"")</f>
        <v/>
      </c>
      <c r="G18" s="24">
        <f>IFERROR(SUMIFS(週次実績!$Q$6:$Q$110,週次実績!$C$6:$C$110,$A18)/SUMIFS(週次実績!$P$6:$P$110,週次実績!$C$6:$C$110,$A18),"")</f>
        <v/>
      </c>
      <c r="H18" s="23">
        <f>IF(COUNTIFS(週次実績!$C$6:$C$110,$A18)=0,"",SUMIFS(週次実績!$T$6:$T$110,週次実績!$C$6:$C$110,$A18))</f>
        <v/>
      </c>
      <c r="I18" s="24">
        <f>IFERROR(SUMIFS(週次実績!$U$6:$U$110,週次実績!$C$6:$C$110,$A18)/SUMIFS(週次実績!$T$6:$T$110,週次実績!$C$6:$C$110,$A18),"")</f>
        <v/>
      </c>
      <c r="J18" s="23">
        <f>IF(COUNTIFS(週次実績!$C$6:$C$110,$A18)=0,"",SUMIFS(週次実績!$W$6:$W$110,週次実績!$C$6:$C$110,$A18)+SUMIFS(週次実績!$X$6:$X$110,週次実績!$C$6:$C$110,$A18))</f>
        <v/>
      </c>
      <c r="K18" s="23">
        <f>IFERROR(INDEX(週次実績!$AA$6:$AA$110,MATCH($A18,週次実績!$C$6:$C$110,0)+COUNTIF(週次実績!$C$6:$C$110,$A18)-1),"")</f>
        <v/>
      </c>
      <c r="L18" s="25">
        <f>IF(COUNTIFS(週次実績!$C$6:$C$110,$A18)=0,"",SUMIFS(週次実績!$AB$6:$AB$110,週次実績!$C$6:$C$110,$A18))</f>
        <v/>
      </c>
      <c r="M18" s="26" t="n">
        <v>4231</v>
      </c>
      <c r="N18" s="12">
        <f>IFERROR(IF($B18="","",$B18/$M18),"")</f>
        <v/>
      </c>
      <c r="O18" s="26" t="n">
        <v>562414</v>
      </c>
      <c r="P18" s="12">
        <f>IFERROR(IF($J18="","",$J18/$O18),"")</f>
        <v/>
      </c>
    </row>
    <row r="19">
      <c r="A19" s="7" t="n">
        <v>15</v>
      </c>
      <c r="B19" s="23">
        <f>IFERROR(INDEX(週次実績!$D$6:$D$110,MATCH($A19,週次実績!$C$6:$C$110,0)+COUNTIF(週次実績!$C$6:$C$110,$A19)-1),"")</f>
        <v/>
      </c>
      <c r="C19" s="23">
        <f>IF(COUNTIFS(週次実績!$C$6:$C$110,$A19)=0,"",SUMIFS(週次実績!$E$6:$E$110,週次実績!$C$6:$C$110,$A19))</f>
        <v/>
      </c>
      <c r="D19" s="23">
        <f>IFERROR(INDEX(週次実績!$H$6:$H$110,MATCH($A19,週次実績!$C$6:$C$110,0)+COUNTIF(週次実績!$C$6:$C$110,$A19)-1),"")</f>
        <v/>
      </c>
      <c r="E19" s="23">
        <f>IF(COUNTIFS(週次実績!$C$6:$C$110,$A19)=0,"",SUMIFS(週次実績!$J$6:$J$110,週次実績!$C$6:$C$110,$A19))</f>
        <v/>
      </c>
      <c r="F19" s="24">
        <f>IFERROR(SUMIFS(週次実績!$L$6:$L$110,週次実績!$C$6:$C$110,$A19)/SUMIFS(週次実績!$K$6:$K$110,週次実績!$C$6:$C$110,$A19),"")</f>
        <v/>
      </c>
      <c r="G19" s="24">
        <f>IFERROR(SUMIFS(週次実績!$Q$6:$Q$110,週次実績!$C$6:$C$110,$A19)/SUMIFS(週次実績!$P$6:$P$110,週次実績!$C$6:$C$110,$A19),"")</f>
        <v/>
      </c>
      <c r="H19" s="23">
        <f>IF(COUNTIFS(週次実績!$C$6:$C$110,$A19)=0,"",SUMIFS(週次実績!$T$6:$T$110,週次実績!$C$6:$C$110,$A19))</f>
        <v/>
      </c>
      <c r="I19" s="24">
        <f>IFERROR(SUMIFS(週次実績!$U$6:$U$110,週次実績!$C$6:$C$110,$A19)/SUMIFS(週次実績!$T$6:$T$110,週次実績!$C$6:$C$110,$A19),"")</f>
        <v/>
      </c>
      <c r="J19" s="23">
        <f>IF(COUNTIFS(週次実績!$C$6:$C$110,$A19)=0,"",SUMIFS(週次実績!$W$6:$W$110,週次実績!$C$6:$C$110,$A19)+SUMIFS(週次実績!$X$6:$X$110,週次実績!$C$6:$C$110,$A19))</f>
        <v/>
      </c>
      <c r="K19" s="23">
        <f>IFERROR(INDEX(週次実績!$AA$6:$AA$110,MATCH($A19,週次実績!$C$6:$C$110,0)+COUNTIF(週次実績!$C$6:$C$110,$A19)-1),"")</f>
        <v/>
      </c>
      <c r="L19" s="25">
        <f>IF(COUNTIFS(週次実績!$C$6:$C$110,$A19)=0,"",SUMIFS(週次実績!$AB$6:$AB$110,週次実績!$C$6:$C$110,$A19))</f>
        <v/>
      </c>
      <c r="M19" s="26" t="n">
        <v>4772</v>
      </c>
      <c r="N19" s="12">
        <f>IFERROR(IF($B19="","",$B19/$M19),"")</f>
        <v/>
      </c>
      <c r="O19" s="26" t="n">
        <v>591835</v>
      </c>
      <c r="P19" s="12">
        <f>IFERROR(IF($J19="","",$J19/$O19),"")</f>
        <v/>
      </c>
    </row>
    <row r="20">
      <c r="A20" s="7" t="n">
        <v>16</v>
      </c>
      <c r="B20" s="23">
        <f>IFERROR(INDEX(週次実績!$D$6:$D$110,MATCH($A20,週次実績!$C$6:$C$110,0)+COUNTIF(週次実績!$C$6:$C$110,$A20)-1),"")</f>
        <v/>
      </c>
      <c r="C20" s="23">
        <f>IF(COUNTIFS(週次実績!$C$6:$C$110,$A20)=0,"",SUMIFS(週次実績!$E$6:$E$110,週次実績!$C$6:$C$110,$A20))</f>
        <v/>
      </c>
      <c r="D20" s="23">
        <f>IFERROR(INDEX(週次実績!$H$6:$H$110,MATCH($A20,週次実績!$C$6:$C$110,0)+COUNTIF(週次実績!$C$6:$C$110,$A20)-1),"")</f>
        <v/>
      </c>
      <c r="E20" s="23">
        <f>IF(COUNTIFS(週次実績!$C$6:$C$110,$A20)=0,"",SUMIFS(週次実績!$J$6:$J$110,週次実績!$C$6:$C$110,$A20))</f>
        <v/>
      </c>
      <c r="F20" s="24">
        <f>IFERROR(SUMIFS(週次実績!$L$6:$L$110,週次実績!$C$6:$C$110,$A20)/SUMIFS(週次実績!$K$6:$K$110,週次実績!$C$6:$C$110,$A20),"")</f>
        <v/>
      </c>
      <c r="G20" s="24">
        <f>IFERROR(SUMIFS(週次実績!$Q$6:$Q$110,週次実績!$C$6:$C$110,$A20)/SUMIFS(週次実績!$P$6:$P$110,週次実績!$C$6:$C$110,$A20),"")</f>
        <v/>
      </c>
      <c r="H20" s="23">
        <f>IF(COUNTIFS(週次実績!$C$6:$C$110,$A20)=0,"",SUMIFS(週次実績!$T$6:$T$110,週次実績!$C$6:$C$110,$A20))</f>
        <v/>
      </c>
      <c r="I20" s="24">
        <f>IFERROR(SUMIFS(週次実績!$U$6:$U$110,週次実績!$C$6:$C$110,$A20)/SUMIFS(週次実績!$T$6:$T$110,週次実績!$C$6:$C$110,$A20),"")</f>
        <v/>
      </c>
      <c r="J20" s="23">
        <f>IF(COUNTIFS(週次実績!$C$6:$C$110,$A20)=0,"",SUMIFS(週次実績!$W$6:$W$110,週次実績!$C$6:$C$110,$A20)+SUMIFS(週次実績!$X$6:$X$110,週次実績!$C$6:$C$110,$A20))</f>
        <v/>
      </c>
      <c r="K20" s="23">
        <f>IFERROR(INDEX(週次実績!$AA$6:$AA$110,MATCH($A20,週次実績!$C$6:$C$110,0)+COUNTIF(週次実績!$C$6:$C$110,$A20)-1),"")</f>
        <v/>
      </c>
      <c r="L20" s="25">
        <f>IF(COUNTIFS(週次実績!$C$6:$C$110,$A20)=0,"",SUMIFS(週次実績!$AB$6:$AB$110,週次実績!$C$6:$C$110,$A20))</f>
        <v/>
      </c>
      <c r="M20" s="26" t="n">
        <v>5303</v>
      </c>
      <c r="N20" s="12">
        <f>IFERROR(IF($B20="","",$B20/$M20),"")</f>
        <v/>
      </c>
      <c r="O20" s="26" t="n">
        <v>601835</v>
      </c>
      <c r="P20" s="12">
        <f>IFERROR(IF($J20="","",$J20/$O20),"")</f>
        <v/>
      </c>
    </row>
    <row r="21">
      <c r="A21" s="7" t="n">
        <v>17</v>
      </c>
      <c r="B21" s="23">
        <f>IFERROR(INDEX(週次実績!$D$6:$D$110,MATCH($A21,週次実績!$C$6:$C$110,0)+COUNTIF(週次実績!$C$6:$C$110,$A21)-1),"")</f>
        <v/>
      </c>
      <c r="C21" s="23">
        <f>IF(COUNTIFS(週次実績!$C$6:$C$110,$A21)=0,"",SUMIFS(週次実績!$E$6:$E$110,週次実績!$C$6:$C$110,$A21))</f>
        <v/>
      </c>
      <c r="D21" s="23">
        <f>IFERROR(INDEX(週次実績!$H$6:$H$110,MATCH($A21,週次実績!$C$6:$C$110,0)+COUNTIF(週次実績!$C$6:$C$110,$A21)-1),"")</f>
        <v/>
      </c>
      <c r="E21" s="23">
        <f>IF(COUNTIFS(週次実績!$C$6:$C$110,$A21)=0,"",SUMIFS(週次実績!$J$6:$J$110,週次実績!$C$6:$C$110,$A21))</f>
        <v/>
      </c>
      <c r="F21" s="24">
        <f>IFERROR(SUMIFS(週次実績!$L$6:$L$110,週次実績!$C$6:$C$110,$A21)/SUMIFS(週次実績!$K$6:$K$110,週次実績!$C$6:$C$110,$A21),"")</f>
        <v/>
      </c>
      <c r="G21" s="24">
        <f>IFERROR(SUMIFS(週次実績!$Q$6:$Q$110,週次実績!$C$6:$C$110,$A21)/SUMIFS(週次実績!$P$6:$P$110,週次実績!$C$6:$C$110,$A21),"")</f>
        <v/>
      </c>
      <c r="H21" s="23">
        <f>IF(COUNTIFS(週次実績!$C$6:$C$110,$A21)=0,"",SUMIFS(週次実績!$T$6:$T$110,週次実績!$C$6:$C$110,$A21))</f>
        <v/>
      </c>
      <c r="I21" s="24">
        <f>IFERROR(SUMIFS(週次実績!$U$6:$U$110,週次実績!$C$6:$C$110,$A21)/SUMIFS(週次実績!$T$6:$T$110,週次実績!$C$6:$C$110,$A21),"")</f>
        <v/>
      </c>
      <c r="J21" s="23">
        <f>IF(COUNTIFS(週次実績!$C$6:$C$110,$A21)=0,"",SUMIFS(週次実績!$W$6:$W$110,週次実績!$C$6:$C$110,$A21)+SUMIFS(週次実績!$X$6:$X$110,週次実績!$C$6:$C$110,$A21))</f>
        <v/>
      </c>
      <c r="K21" s="23">
        <f>IFERROR(INDEX(週次実績!$AA$6:$AA$110,MATCH($A21,週次実績!$C$6:$C$110,0)+COUNTIF(週次実績!$C$6:$C$110,$A21)-1),"")</f>
        <v/>
      </c>
      <c r="L21" s="25">
        <f>IF(COUNTIFS(週次実績!$C$6:$C$110,$A21)=0,"",SUMIFS(週次実績!$AB$6:$AB$110,週次実績!$C$6:$C$110,$A21))</f>
        <v/>
      </c>
      <c r="M21" s="26" t="n">
        <v>5853</v>
      </c>
      <c r="N21" s="12">
        <f>IFERROR(IF($B21="","",$B21/$M21),"")</f>
        <v/>
      </c>
      <c r="O21" s="26" t="n">
        <v>621835</v>
      </c>
      <c r="P21" s="12">
        <f>IFERROR(IF($J21="","",$J21/$O21),"")</f>
        <v/>
      </c>
    </row>
    <row r="22">
      <c r="A22" s="7" t="n">
        <v>18</v>
      </c>
      <c r="B22" s="23">
        <f>IFERROR(INDEX(週次実績!$D$6:$D$110,MATCH($A22,週次実績!$C$6:$C$110,0)+COUNTIF(週次実績!$C$6:$C$110,$A22)-1),"")</f>
        <v/>
      </c>
      <c r="C22" s="23">
        <f>IF(COUNTIFS(週次実績!$C$6:$C$110,$A22)=0,"",SUMIFS(週次実績!$E$6:$E$110,週次実績!$C$6:$C$110,$A22))</f>
        <v/>
      </c>
      <c r="D22" s="23">
        <f>IFERROR(INDEX(週次実績!$H$6:$H$110,MATCH($A22,週次実績!$C$6:$C$110,0)+COUNTIF(週次実績!$C$6:$C$110,$A22)-1),"")</f>
        <v/>
      </c>
      <c r="E22" s="23">
        <f>IF(COUNTIFS(週次実績!$C$6:$C$110,$A22)=0,"",SUMIFS(週次実績!$J$6:$J$110,週次実績!$C$6:$C$110,$A22))</f>
        <v/>
      </c>
      <c r="F22" s="24">
        <f>IFERROR(SUMIFS(週次実績!$L$6:$L$110,週次実績!$C$6:$C$110,$A22)/SUMIFS(週次実績!$K$6:$K$110,週次実績!$C$6:$C$110,$A22),"")</f>
        <v/>
      </c>
      <c r="G22" s="24">
        <f>IFERROR(SUMIFS(週次実績!$Q$6:$Q$110,週次実績!$C$6:$C$110,$A22)/SUMIFS(週次実績!$P$6:$P$110,週次実績!$C$6:$C$110,$A22),"")</f>
        <v/>
      </c>
      <c r="H22" s="23">
        <f>IF(COUNTIFS(週次実績!$C$6:$C$110,$A22)=0,"",SUMIFS(週次実績!$T$6:$T$110,週次実績!$C$6:$C$110,$A22))</f>
        <v/>
      </c>
      <c r="I22" s="24">
        <f>IFERROR(SUMIFS(週次実績!$U$6:$U$110,週次実績!$C$6:$C$110,$A22)/SUMIFS(週次実績!$T$6:$T$110,週次実績!$C$6:$C$110,$A22),"")</f>
        <v/>
      </c>
      <c r="J22" s="23">
        <f>IF(COUNTIFS(週次実績!$C$6:$C$110,$A22)=0,"",SUMIFS(週次実績!$W$6:$W$110,週次実績!$C$6:$C$110,$A22)+SUMIFS(週次実績!$X$6:$X$110,週次実績!$C$6:$C$110,$A22))</f>
        <v/>
      </c>
      <c r="K22" s="23">
        <f>IFERROR(INDEX(週次実績!$AA$6:$AA$110,MATCH($A22,週次実績!$C$6:$C$110,0)+COUNTIF(週次実績!$C$6:$C$110,$A22)-1),"")</f>
        <v/>
      </c>
      <c r="L22" s="25">
        <f>IF(COUNTIFS(週次実績!$C$6:$C$110,$A22)=0,"",SUMIFS(週次実績!$AB$6:$AB$110,週次実績!$C$6:$C$110,$A22))</f>
        <v/>
      </c>
      <c r="M22" s="26" t="n">
        <v>6393</v>
      </c>
      <c r="N22" s="12">
        <f>IFERROR(IF($B22="","",$B22/$M22),"")</f>
        <v/>
      </c>
      <c r="O22" s="26" t="n">
        <v>631122</v>
      </c>
      <c r="P22" s="12">
        <f>IFERROR(IF($J22="","",$J22/$O22),"")</f>
        <v/>
      </c>
    </row>
    <row r="23">
      <c r="A23" s="7" t="n">
        <v>19</v>
      </c>
      <c r="B23" s="23">
        <f>IFERROR(INDEX(週次実績!$D$6:$D$110,MATCH($A23,週次実績!$C$6:$C$110,0)+COUNTIF(週次実績!$C$6:$C$110,$A23)-1),"")</f>
        <v/>
      </c>
      <c r="C23" s="23">
        <f>IF(COUNTIFS(週次実績!$C$6:$C$110,$A23)=0,"",SUMIFS(週次実績!$E$6:$E$110,週次実績!$C$6:$C$110,$A23))</f>
        <v/>
      </c>
      <c r="D23" s="23">
        <f>IFERROR(INDEX(週次実績!$H$6:$H$110,MATCH($A23,週次実績!$C$6:$C$110,0)+COUNTIF(週次実績!$C$6:$C$110,$A23)-1),"")</f>
        <v/>
      </c>
      <c r="E23" s="23">
        <f>IF(COUNTIFS(週次実績!$C$6:$C$110,$A23)=0,"",SUMIFS(週次実績!$J$6:$J$110,週次実績!$C$6:$C$110,$A23))</f>
        <v/>
      </c>
      <c r="F23" s="24">
        <f>IFERROR(SUMIFS(週次実績!$L$6:$L$110,週次実績!$C$6:$C$110,$A23)/SUMIFS(週次実績!$K$6:$K$110,週次実績!$C$6:$C$110,$A23),"")</f>
        <v/>
      </c>
      <c r="G23" s="24">
        <f>IFERROR(SUMIFS(週次実績!$Q$6:$Q$110,週次実績!$C$6:$C$110,$A23)/SUMIFS(週次実績!$P$6:$P$110,週次実績!$C$6:$C$110,$A23),"")</f>
        <v/>
      </c>
      <c r="H23" s="23">
        <f>IF(COUNTIFS(週次実績!$C$6:$C$110,$A23)=0,"",SUMIFS(週次実績!$T$6:$T$110,週次実績!$C$6:$C$110,$A23))</f>
        <v/>
      </c>
      <c r="I23" s="24">
        <f>IFERROR(SUMIFS(週次実績!$U$6:$U$110,週次実績!$C$6:$C$110,$A23)/SUMIFS(週次実績!$T$6:$T$110,週次実績!$C$6:$C$110,$A23),"")</f>
        <v/>
      </c>
      <c r="J23" s="23">
        <f>IF(COUNTIFS(週次実績!$C$6:$C$110,$A23)=0,"",SUMIFS(週次実績!$W$6:$W$110,週次実績!$C$6:$C$110,$A23)+SUMIFS(週次実績!$X$6:$X$110,週次実績!$C$6:$C$110,$A23))</f>
        <v/>
      </c>
      <c r="K23" s="23">
        <f>IFERROR(INDEX(週次実績!$AA$6:$AA$110,MATCH($A23,週次実績!$C$6:$C$110,0)+COUNTIF(週次実績!$C$6:$C$110,$A23)-1),"")</f>
        <v/>
      </c>
      <c r="L23" s="25">
        <f>IF(COUNTIFS(週次実績!$C$6:$C$110,$A23)=0,"",SUMIFS(週次実績!$AB$6:$AB$110,週次実績!$C$6:$C$110,$A23))</f>
        <v/>
      </c>
      <c r="M23" s="26" t="n">
        <v>6923</v>
      </c>
      <c r="N23" s="12">
        <f>IFERROR(IF($B23="","",$B23/$M23),"")</f>
        <v/>
      </c>
      <c r="O23" s="26" t="n">
        <v>894434</v>
      </c>
      <c r="P23" s="12">
        <f>IFERROR(IF($J23="","",$J23/$O23),"")</f>
        <v/>
      </c>
    </row>
    <row r="24">
      <c r="A24" s="7" t="n">
        <v>20</v>
      </c>
      <c r="B24" s="23">
        <f>IFERROR(INDEX(週次実績!$D$6:$D$110,MATCH($A24,週次実績!$C$6:$C$110,0)+COUNTIF(週次実績!$C$6:$C$110,$A24)-1),"")</f>
        <v/>
      </c>
      <c r="C24" s="23">
        <f>IF(COUNTIFS(週次実績!$C$6:$C$110,$A24)=0,"",SUMIFS(週次実績!$E$6:$E$110,週次実績!$C$6:$C$110,$A24))</f>
        <v/>
      </c>
      <c r="D24" s="23">
        <f>IFERROR(INDEX(週次実績!$H$6:$H$110,MATCH($A24,週次実績!$C$6:$C$110,0)+COUNTIF(週次実績!$C$6:$C$110,$A24)-1),"")</f>
        <v/>
      </c>
      <c r="E24" s="23">
        <f>IF(COUNTIFS(週次実績!$C$6:$C$110,$A24)=0,"",SUMIFS(週次実績!$J$6:$J$110,週次実績!$C$6:$C$110,$A24))</f>
        <v/>
      </c>
      <c r="F24" s="24">
        <f>IFERROR(SUMIFS(週次実績!$L$6:$L$110,週次実績!$C$6:$C$110,$A24)/SUMIFS(週次実績!$K$6:$K$110,週次実績!$C$6:$C$110,$A24),"")</f>
        <v/>
      </c>
      <c r="G24" s="24">
        <f>IFERROR(SUMIFS(週次実績!$Q$6:$Q$110,週次実績!$C$6:$C$110,$A24)/SUMIFS(週次実績!$P$6:$P$110,週次実績!$C$6:$C$110,$A24),"")</f>
        <v/>
      </c>
      <c r="H24" s="23">
        <f>IF(COUNTIFS(週次実績!$C$6:$C$110,$A24)=0,"",SUMIFS(週次実績!$T$6:$T$110,週次実績!$C$6:$C$110,$A24))</f>
        <v/>
      </c>
      <c r="I24" s="24">
        <f>IFERROR(SUMIFS(週次実績!$U$6:$U$110,週次実績!$C$6:$C$110,$A24)/SUMIFS(週次実績!$T$6:$T$110,週次実績!$C$6:$C$110,$A24),"")</f>
        <v/>
      </c>
      <c r="J24" s="23">
        <f>IF(COUNTIFS(週次実績!$C$6:$C$110,$A24)=0,"",SUMIFS(週次実績!$W$6:$W$110,週次実績!$C$6:$C$110,$A24)+SUMIFS(週次実績!$X$6:$X$110,週次実績!$C$6:$C$110,$A24))</f>
        <v/>
      </c>
      <c r="K24" s="23">
        <f>IFERROR(INDEX(週次実績!$AA$6:$AA$110,MATCH($A24,週次実績!$C$6:$C$110,0)+COUNTIF(週次実績!$C$6:$C$110,$A24)-1),"")</f>
        <v/>
      </c>
      <c r="L24" s="25">
        <f>IF(COUNTIFS(週次実績!$C$6:$C$110,$A24)=0,"",SUMIFS(週次実績!$AB$6:$AB$110,週次実績!$C$6:$C$110,$A24))</f>
        <v/>
      </c>
      <c r="M24" s="26" t="n">
        <v>7443</v>
      </c>
      <c r="N24" s="12">
        <f>IFERROR(IF($B24="","",$B24/$M24),"")</f>
        <v/>
      </c>
      <c r="O24" s="26" t="n">
        <v>914434</v>
      </c>
      <c r="P24" s="12">
        <f>IFERROR(IF($J24="","",$J24/$O24),"")</f>
        <v/>
      </c>
    </row>
    <row r="25">
      <c r="A25" s="7" t="n">
        <v>21</v>
      </c>
      <c r="B25" s="23">
        <f>IFERROR(INDEX(週次実績!$D$6:$D$110,MATCH($A25,週次実績!$C$6:$C$110,0)+COUNTIF(週次実績!$C$6:$C$110,$A25)-1),"")</f>
        <v/>
      </c>
      <c r="C25" s="23">
        <f>IF(COUNTIFS(週次実績!$C$6:$C$110,$A25)=0,"",SUMIFS(週次実績!$E$6:$E$110,週次実績!$C$6:$C$110,$A25))</f>
        <v/>
      </c>
      <c r="D25" s="23">
        <f>IFERROR(INDEX(週次実績!$H$6:$H$110,MATCH($A25,週次実績!$C$6:$C$110,0)+COUNTIF(週次実績!$C$6:$C$110,$A25)-1),"")</f>
        <v/>
      </c>
      <c r="E25" s="23">
        <f>IF(COUNTIFS(週次実績!$C$6:$C$110,$A25)=0,"",SUMIFS(週次実績!$J$6:$J$110,週次実績!$C$6:$C$110,$A25))</f>
        <v/>
      </c>
      <c r="F25" s="24">
        <f>IFERROR(SUMIFS(週次実績!$L$6:$L$110,週次実績!$C$6:$C$110,$A25)/SUMIFS(週次実績!$K$6:$K$110,週次実績!$C$6:$C$110,$A25),"")</f>
        <v/>
      </c>
      <c r="G25" s="24">
        <f>IFERROR(SUMIFS(週次実績!$Q$6:$Q$110,週次実績!$C$6:$C$110,$A25)/SUMIFS(週次実績!$P$6:$P$110,週次実績!$C$6:$C$110,$A25),"")</f>
        <v/>
      </c>
      <c r="H25" s="23">
        <f>IF(COUNTIFS(週次実績!$C$6:$C$110,$A25)=0,"",SUMIFS(週次実績!$T$6:$T$110,週次実績!$C$6:$C$110,$A25))</f>
        <v/>
      </c>
      <c r="I25" s="24">
        <f>IFERROR(SUMIFS(週次実績!$U$6:$U$110,週次実績!$C$6:$C$110,$A25)/SUMIFS(週次実績!$T$6:$T$110,週次実績!$C$6:$C$110,$A25),"")</f>
        <v/>
      </c>
      <c r="J25" s="23">
        <f>IF(COUNTIFS(週次実績!$C$6:$C$110,$A25)=0,"",SUMIFS(週次実績!$W$6:$W$110,週次実績!$C$6:$C$110,$A25)+SUMIFS(週次実績!$X$6:$X$110,週次実績!$C$6:$C$110,$A25))</f>
        <v/>
      </c>
      <c r="K25" s="23">
        <f>IFERROR(INDEX(週次実績!$AA$6:$AA$110,MATCH($A25,週次実績!$C$6:$C$110,0)+COUNTIF(週次実績!$C$6:$C$110,$A25)-1),"")</f>
        <v/>
      </c>
      <c r="L25" s="25">
        <f>IF(COUNTIFS(週次実績!$C$6:$C$110,$A25)=0,"",SUMIFS(週次実績!$AB$6:$AB$110,週次実績!$C$6:$C$110,$A25))</f>
        <v/>
      </c>
      <c r="M25" s="26" t="n">
        <v>7953</v>
      </c>
      <c r="N25" s="12">
        <f>IFERROR(IF($B25="","",$B25/$M25),"")</f>
        <v/>
      </c>
      <c r="O25" s="26" t="n">
        <v>934434</v>
      </c>
      <c r="P25" s="12">
        <f>IFERROR(IF($J25="","",$J25/$O25),"")</f>
        <v/>
      </c>
    </row>
    <row r="26">
      <c r="A26" s="7" t="n">
        <v>22</v>
      </c>
      <c r="B26" s="23">
        <f>IFERROR(INDEX(週次実績!$D$6:$D$110,MATCH($A26,週次実績!$C$6:$C$110,0)+COUNTIF(週次実績!$C$6:$C$110,$A26)-1),"")</f>
        <v/>
      </c>
      <c r="C26" s="23">
        <f>IF(COUNTIFS(週次実績!$C$6:$C$110,$A26)=0,"",SUMIFS(週次実績!$E$6:$E$110,週次実績!$C$6:$C$110,$A26))</f>
        <v/>
      </c>
      <c r="D26" s="23">
        <f>IFERROR(INDEX(週次実績!$H$6:$H$110,MATCH($A26,週次実績!$C$6:$C$110,0)+COUNTIF(週次実績!$C$6:$C$110,$A26)-1),"")</f>
        <v/>
      </c>
      <c r="E26" s="23">
        <f>IF(COUNTIFS(週次実績!$C$6:$C$110,$A26)=0,"",SUMIFS(週次実績!$J$6:$J$110,週次実績!$C$6:$C$110,$A26))</f>
        <v/>
      </c>
      <c r="F26" s="24">
        <f>IFERROR(SUMIFS(週次実績!$L$6:$L$110,週次実績!$C$6:$C$110,$A26)/SUMIFS(週次実績!$K$6:$K$110,週次実績!$C$6:$C$110,$A26),"")</f>
        <v/>
      </c>
      <c r="G26" s="24">
        <f>IFERROR(SUMIFS(週次実績!$Q$6:$Q$110,週次実績!$C$6:$C$110,$A26)/SUMIFS(週次実績!$P$6:$P$110,週次実績!$C$6:$C$110,$A26),"")</f>
        <v/>
      </c>
      <c r="H26" s="23">
        <f>IF(COUNTIFS(週次実績!$C$6:$C$110,$A26)=0,"",SUMIFS(週次実績!$T$6:$T$110,週次実績!$C$6:$C$110,$A26))</f>
        <v/>
      </c>
      <c r="I26" s="24">
        <f>IFERROR(SUMIFS(週次実績!$U$6:$U$110,週次実績!$C$6:$C$110,$A26)/SUMIFS(週次実績!$T$6:$T$110,週次実績!$C$6:$C$110,$A26),"")</f>
        <v/>
      </c>
      <c r="J26" s="23">
        <f>IF(COUNTIFS(週次実績!$C$6:$C$110,$A26)=0,"",SUMIFS(週次実績!$W$6:$W$110,週次実績!$C$6:$C$110,$A26)+SUMIFS(週次実績!$X$6:$X$110,週次実績!$C$6:$C$110,$A26))</f>
        <v/>
      </c>
      <c r="K26" s="23">
        <f>IFERROR(INDEX(週次実績!$AA$6:$AA$110,MATCH($A26,週次実績!$C$6:$C$110,0)+COUNTIF(週次実績!$C$6:$C$110,$A26)-1),"")</f>
        <v/>
      </c>
      <c r="L26" s="25">
        <f>IF(COUNTIFS(週次実績!$C$6:$C$110,$A26)=0,"",SUMIFS(週次実績!$AB$6:$AB$110,週次実績!$C$6:$C$110,$A26))</f>
        <v/>
      </c>
      <c r="M26" s="26" t="n">
        <v>8453</v>
      </c>
      <c r="N26" s="12">
        <f>IFERROR(IF($B26="","",$B26/$M26),"")</f>
        <v/>
      </c>
      <c r="O26" s="26" t="n">
        <v>954434</v>
      </c>
      <c r="P26" s="12">
        <f>IFERROR(IF($J26="","",$J26/$O26),"")</f>
        <v/>
      </c>
    </row>
    <row r="27">
      <c r="A27" s="7" t="n">
        <v>23</v>
      </c>
      <c r="B27" s="23">
        <f>IFERROR(INDEX(週次実績!$D$6:$D$110,MATCH($A27,週次実績!$C$6:$C$110,0)+COUNTIF(週次実績!$C$6:$C$110,$A27)-1),"")</f>
        <v/>
      </c>
      <c r="C27" s="23">
        <f>IF(COUNTIFS(週次実績!$C$6:$C$110,$A27)=0,"",SUMIFS(週次実績!$E$6:$E$110,週次実績!$C$6:$C$110,$A27))</f>
        <v/>
      </c>
      <c r="D27" s="23">
        <f>IFERROR(INDEX(週次実績!$H$6:$H$110,MATCH($A27,週次実績!$C$6:$C$110,0)+COUNTIF(週次実績!$C$6:$C$110,$A27)-1),"")</f>
        <v/>
      </c>
      <c r="E27" s="23">
        <f>IF(COUNTIFS(週次実績!$C$6:$C$110,$A27)=0,"",SUMIFS(週次実績!$J$6:$J$110,週次実績!$C$6:$C$110,$A27))</f>
        <v/>
      </c>
      <c r="F27" s="24">
        <f>IFERROR(SUMIFS(週次実績!$L$6:$L$110,週次実績!$C$6:$C$110,$A27)/SUMIFS(週次実績!$K$6:$K$110,週次実績!$C$6:$C$110,$A27),"")</f>
        <v/>
      </c>
      <c r="G27" s="24">
        <f>IFERROR(SUMIFS(週次実績!$Q$6:$Q$110,週次実績!$C$6:$C$110,$A27)/SUMIFS(週次実績!$P$6:$P$110,週次実績!$C$6:$C$110,$A27),"")</f>
        <v/>
      </c>
      <c r="H27" s="23">
        <f>IF(COUNTIFS(週次実績!$C$6:$C$110,$A27)=0,"",SUMIFS(週次実績!$T$6:$T$110,週次実績!$C$6:$C$110,$A27))</f>
        <v/>
      </c>
      <c r="I27" s="24">
        <f>IFERROR(SUMIFS(週次実績!$U$6:$U$110,週次実績!$C$6:$C$110,$A27)/SUMIFS(週次実績!$T$6:$T$110,週次実績!$C$6:$C$110,$A27),"")</f>
        <v/>
      </c>
      <c r="J27" s="23">
        <f>IF(COUNTIFS(週次実績!$C$6:$C$110,$A27)=0,"",SUMIFS(週次実績!$W$6:$W$110,週次実績!$C$6:$C$110,$A27)+SUMIFS(週次実績!$X$6:$X$110,週次実績!$C$6:$C$110,$A27))</f>
        <v/>
      </c>
      <c r="K27" s="23">
        <f>IFERROR(INDEX(週次実績!$AA$6:$AA$110,MATCH($A27,週次実績!$C$6:$C$110,0)+COUNTIF(週次実績!$C$6:$C$110,$A27)-1),"")</f>
        <v/>
      </c>
      <c r="L27" s="25">
        <f>IF(COUNTIFS(週次実績!$C$6:$C$110,$A27)=0,"",SUMIFS(週次実績!$AB$6:$AB$110,週次実績!$C$6:$C$110,$A27))</f>
        <v/>
      </c>
      <c r="M27" s="26" t="n">
        <v>8952</v>
      </c>
      <c r="N27" s="12">
        <f>IFERROR(IF($B27="","",$B27/$M27),"")</f>
        <v/>
      </c>
      <c r="O27" s="26" t="n">
        <v>974434</v>
      </c>
      <c r="P27" s="12">
        <f>IFERROR(IF($J27="","",$J27/$O27),"")</f>
        <v/>
      </c>
    </row>
    <row r="28">
      <c r="A28" s="7" t="n">
        <v>24</v>
      </c>
      <c r="B28" s="23">
        <f>IFERROR(INDEX(週次実績!$D$6:$D$110,MATCH($A28,週次実績!$C$6:$C$110,0)+COUNTIF(週次実績!$C$6:$C$110,$A28)-1),"")</f>
        <v/>
      </c>
      <c r="C28" s="23">
        <f>IF(COUNTIFS(週次実績!$C$6:$C$110,$A28)=0,"",SUMIFS(週次実績!$E$6:$E$110,週次実績!$C$6:$C$110,$A28))</f>
        <v/>
      </c>
      <c r="D28" s="23">
        <f>IFERROR(INDEX(週次実績!$H$6:$H$110,MATCH($A28,週次実績!$C$6:$C$110,0)+COUNTIF(週次実績!$C$6:$C$110,$A28)-1),"")</f>
        <v/>
      </c>
      <c r="E28" s="23">
        <f>IF(COUNTIFS(週次実績!$C$6:$C$110,$A28)=0,"",SUMIFS(週次実績!$J$6:$J$110,週次実績!$C$6:$C$110,$A28))</f>
        <v/>
      </c>
      <c r="F28" s="24">
        <f>IFERROR(SUMIFS(週次実績!$L$6:$L$110,週次実績!$C$6:$C$110,$A28)/SUMIFS(週次実績!$K$6:$K$110,週次実績!$C$6:$C$110,$A28),"")</f>
        <v/>
      </c>
      <c r="G28" s="24">
        <f>IFERROR(SUMIFS(週次実績!$Q$6:$Q$110,週次実績!$C$6:$C$110,$A28)/SUMIFS(週次実績!$P$6:$P$110,週次実績!$C$6:$C$110,$A28),"")</f>
        <v/>
      </c>
      <c r="H28" s="23">
        <f>IF(COUNTIFS(週次実績!$C$6:$C$110,$A28)=0,"",SUMIFS(週次実績!$T$6:$T$110,週次実績!$C$6:$C$110,$A28))</f>
        <v/>
      </c>
      <c r="I28" s="24">
        <f>IFERROR(SUMIFS(週次実績!$U$6:$U$110,週次実績!$C$6:$C$110,$A28)/SUMIFS(週次実績!$T$6:$T$110,週次実績!$C$6:$C$110,$A28),"")</f>
        <v/>
      </c>
      <c r="J28" s="23">
        <f>IF(COUNTIFS(週次実績!$C$6:$C$110,$A28)=0,"",SUMIFS(週次実績!$W$6:$W$110,週次実績!$C$6:$C$110,$A28)+SUMIFS(週次実績!$X$6:$X$110,週次実績!$C$6:$C$110,$A28))</f>
        <v/>
      </c>
      <c r="K28" s="23">
        <f>IFERROR(INDEX(週次実績!$AA$6:$AA$110,MATCH($A28,週次実績!$C$6:$C$110,0)+COUNTIF(週次実績!$C$6:$C$110,$A28)-1),"")</f>
        <v/>
      </c>
      <c r="L28" s="25">
        <f>IF(COUNTIFS(週次実績!$C$6:$C$110,$A28)=0,"",SUMIFS(週次実績!$AB$6:$AB$110,週次実績!$C$6:$C$110,$A28))</f>
        <v/>
      </c>
      <c r="M28" s="26" t="n">
        <v>9441</v>
      </c>
      <c r="N28" s="12">
        <f>IFERROR(IF($B28="","",$B28/$M28),"")</f>
        <v/>
      </c>
      <c r="O28" s="26" t="n">
        <v>1057330</v>
      </c>
      <c r="P28" s="12">
        <f>IFERROR(IF($J28="","",$J28/$O28),"")</f>
        <v/>
      </c>
    </row>
    <row r="30">
      <c r="A30" s="3" t="inlineStr">
        <is>
          <t>■ 計画比の読み方</t>
        </is>
      </c>
    </row>
    <row r="31">
      <c r="A31" s="2" t="inlineStr">
        <is>
          <t>・80%未満が2ヶ月続いたら、計画ではなく前提を疑うこと。01_収支計画モデル.xlsx の黄色セルを実績値に置き換えて着地を引き直す。</t>
        </is>
      </c>
    </row>
    <row r="32">
      <c r="A32" s="2" t="inlineStr">
        <is>
          <t>・計画を守るために無理をするのではなく、計画を実態に合わせる。無理をした結果に起きるのは、燃え尽きによる活動停止。</t>
        </is>
      </c>
    </row>
    <row r="33">
      <c r="A33" s="2" t="inlineStr">
        <is>
          <t>・M列/O列（計画値）は収支モデル標準シナリオの手入力。前提条件を変更した場合はここも更新すること。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12" customWidth="1" min="3" max="3"/>
    <col width="14" customWidth="1" min="4" max="4"/>
    <col width="14" customWidth="1" min="5" max="5"/>
    <col width="62" customWidth="1" min="6" max="6"/>
  </cols>
  <sheetData>
    <row r="1">
      <c r="A1" s="1" t="inlineStr">
        <is>
          <t>意思決定ゲート判定</t>
        </is>
      </c>
    </row>
    <row r="2">
      <c r="A2" s="4" t="inlineStr">
        <is>
          <t>感情ではなく数字で判断するため、基準を事前に固定してあります。該当月の実績が入ると自動判定されます。</t>
        </is>
      </c>
    </row>
    <row r="4">
      <c r="A4" s="27" t="inlineStr">
        <is>
          <t>時点</t>
        </is>
      </c>
      <c r="B4" s="27" t="inlineStr">
        <is>
          <t>続行条件</t>
        </is>
      </c>
      <c r="C4" s="27" t="inlineStr">
        <is>
          <t>基準値</t>
        </is>
      </c>
      <c r="D4" s="27" t="inlineStr">
        <is>
          <t>実績（自動）</t>
        </is>
      </c>
      <c r="E4" s="27" t="inlineStr">
        <is>
          <t>判定（自動）</t>
        </is>
      </c>
      <c r="F4" s="27" t="inlineStr">
        <is>
          <t>未達の場合の方針</t>
        </is>
      </c>
    </row>
    <row r="5" ht="34" customHeight="1">
      <c r="A5" s="28" t="inlineStr">
        <is>
          <t>3ヶ月目</t>
        </is>
      </c>
      <c r="B5" s="29" t="inlineStr">
        <is>
          <t>メールリスト300件以上</t>
        </is>
      </c>
      <c r="C5" s="30" t="n">
        <v>300</v>
      </c>
      <c r="D5" s="31">
        <f>IFERROR(月次サマリ!$B7,"")</f>
        <v/>
      </c>
      <c r="E5" s="28">
        <f>IF($D5="","データ未入力",IF($D5&gt;=$C5,"通過","未達"))</f>
        <v/>
      </c>
      <c r="F5" s="32" t="inlineStr">
        <is>
          <t>150〜299件：商品を出さず60日リスト構築を継続／150件未満：ターゲット設定から見直す</t>
        </is>
      </c>
    </row>
    <row r="6" ht="34" customHeight="1">
      <c r="A6" s="28" t="inlineStr">
        <is>
          <t>6ヶ月目</t>
        </is>
      </c>
      <c r="B6" s="29" t="inlineStr">
        <is>
          <t>ガイド初月販売20本以上</t>
        </is>
      </c>
      <c r="C6" s="30" t="n">
        <v>20</v>
      </c>
      <c r="D6" s="31">
        <f>IFERROR(月次サマリ!$H10,"")</f>
        <v/>
      </c>
      <c r="E6" s="28">
        <f>IF($D6="","データ未入力",IF($D6&gt;=$C6,"通過","未達"))</f>
        <v/>
      </c>
      <c r="F6" s="32" t="inlineStr">
        <is>
          <t>リストが薄い状態でのローンチは返金率を上げ商品寿命を縮める。リスト構築に戻る</t>
        </is>
      </c>
    </row>
    <row r="7" ht="34" customHeight="1">
      <c r="A7" s="28" t="inlineStr">
        <is>
          <t>12ヶ月目</t>
        </is>
      </c>
      <c r="B7" s="29" t="inlineStr">
        <is>
          <t>月商20万円以上</t>
        </is>
      </c>
      <c r="C7" s="30" t="n">
        <v>200000</v>
      </c>
      <c r="D7" s="31">
        <f>IFERROR(月次サマリ!$J16,"")</f>
        <v/>
      </c>
      <c r="E7" s="28">
        <f>IF($D7="","データ未入力",IF($D7&gt;=$C7,"通過","未達"))</f>
        <v/>
      </c>
      <c r="F7" s="32" t="inlineStr">
        <is>
          <t>時給換算2,000円を下回るなら、省力運用（アフィリ＋タイアップ中心）へ移行</t>
        </is>
      </c>
    </row>
    <row r="8" ht="34" customHeight="1">
      <c r="A8" s="28" t="inlineStr">
        <is>
          <t>18ヶ月目</t>
        </is>
      </c>
      <c r="B8" s="29" t="inlineStr">
        <is>
          <t>月商50万円以上</t>
        </is>
      </c>
      <c r="C8" s="30" t="n">
        <v>500000</v>
      </c>
      <c r="D8" s="31">
        <f>IFERROR(月次サマリ!$J22,"")</f>
        <v/>
      </c>
      <c r="E8" s="28">
        <f>IF($D8="","データ未入力",IF($D8&gt;=$C8,"通過","未達"))</f>
        <v/>
      </c>
      <c r="F8" s="32" t="inlineStr">
        <is>
          <t>BtoB需要が実在しない可能性。タイアップ営業の方法を見直す</t>
        </is>
      </c>
    </row>
    <row r="9" ht="34" customHeight="1">
      <c r="A9" s="28" t="inlineStr">
        <is>
          <t>24ヶ月目</t>
        </is>
      </c>
      <c r="B9" s="29" t="inlineStr">
        <is>
          <t>月商70万円以上</t>
        </is>
      </c>
      <c r="C9" s="30" t="n">
        <v>700000</v>
      </c>
      <c r="D9" s="31">
        <f>IFERROR(月次サマリ!$J28,"")</f>
        <v/>
      </c>
      <c r="E9" s="28">
        <f>IF($D9="","データ未入力",IF($D9&gt;=$C9,"通過","未達"))</f>
        <v/>
      </c>
      <c r="F9" s="32" t="inlineStr">
        <is>
          <t>達成：法人化・専業化を検討／未達：省力運用へ移行</t>
        </is>
      </c>
    </row>
    <row r="12">
      <c r="A12" s="2" t="inlineStr">
        <is>
          <t>※ 24ヶ月目の「月商70万円」は 01_収支計画モデル.xlsx 標準シナリオ（約106万円）に対する下限として設定。</t>
        </is>
      </c>
    </row>
    <row r="13">
      <c r="A13" s="5" t="inlineStr">
        <is>
          <t>※ 保守シナリオでは36ヶ月かけても累積黒字化しない。ゲートを機械的に運用することが撤退判断の唯一の担保。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2026-07-27T10:07:43Z</dcterms:created>
  <dcterms:modified xsi:type="dcterms:W3CDTF">2026-07-27T10:07:43Z</dcterms:modified>
</cp:coreProperties>
</file>