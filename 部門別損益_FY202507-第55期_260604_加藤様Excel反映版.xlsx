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2"/>
  </bookViews>
  <sheets>
    <sheet name="start" sheetId="1" state="hidden" r:id="rId3"/>
    <sheet name="ご留意事項" sheetId="2" state="visible" r:id="rId4"/>
    <sheet name="202408-202507" sheetId="3" state="visible" r:id="rId5"/>
    <sheet name="内訳_共通部門" sheetId="4" state="visible" r:id="rId6"/>
    <sheet name="end" sheetId="5" state="hidden" r:id="rId7"/>
    <sheet name="202208-12分_検証用1_関数積算" sheetId="6" state="hidden" r:id="rId8"/>
    <sheet name="202208-12分_検証用2_diff" sheetId="7" state="hidden"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<sst xmlns="http://schemas.openxmlformats.org/spreadsheetml/2006/main" count="277" uniqueCount="101">
  <si>
    <t xml:space="preserve">＜重要なご留意事項＞</t>
  </si>
  <si>
    <t xml:space="preserve">・当該参考資料（以下、「本資料」といいます）は、株式会社M&amp;A承継機構（以下「弊社」といいます）が、対象会社の発行済株式の取得もしくは事業その他資産の譲受（以下「本取引」といいます）に関する仲介者として、対象会社から提供された情報に基づき、対象会社に関する情報を貴社に提供するために作成したものです。</t>
  </si>
  <si>
    <t xml:space="preserve">・本資料の存在及び記載されている情報並びに本資料に関する全ての連絡・協議は貴社と弊社間で締結している秘密保持契約書（以下「秘密保持契約書」といいます）に定めのある秘密情報に該当致します。</t>
  </si>
  <si>
    <t xml:space="preserve">・本資料は、本資料の受領者（以下「受領者」といいます）が、意向表明書提出の為に行う検討のご参考情報を提供することのみを目的に作成されています。従って、本資料は完全性を期すことを目的としておらず、受領者が必要と考える全ての情報を網羅しているとは限りません。また、弊社は、本資料に記載されている各々の情報について独自の精査を行う責任を負っておりません。対象会社及び弊社並びにそれらの役員及び従業員（以下総称して「情報提供者等」といいます）は、本資料に記載されているいかなる情報に関しても、その正確性及び完全性について表明または保証（明示か黙示かを問いません）するものではありません。また、情報提供者等は、本資料記載の情報に基づいてなされた受領者または第三者の意思決定により生じたいかなる責任からも免除されることといたします。</t>
  </si>
  <si>
    <t xml:space="preserve">・いかなる場合でも、本取引に関して、対象会社の役職員（元役職員を含む）及び取引先に対して、貴社及び貴社のアドバイザー等本取引に関与する者が直接、間接を問わずコンタクトをとることを禁止させていただくと共に、全てのご連絡は必ず弊社を介していただきますようお願い申し上げます。</t>
  </si>
  <si>
    <t xml:space="preserve">対象時期：202408~202507</t>
  </si>
  <si>
    <r>
      <rPr>
        <sz val="10"/>
        <color theme="1"/>
        <rFont val="游ゴシック"/>
        <family val="3"/>
        <charset val="128"/>
      </rPr>
      <t xml:space="preserve">2025</t>
    </r>
    <r>
      <rPr>
        <sz val="10"/>
        <color theme="1"/>
        <rFont val="WenQuanYi Zen Hei"/>
        <family val="2"/>
      </rPr>
      <t xml:space="preserve">年</t>
    </r>
    <r>
      <rPr>
        <sz val="10"/>
        <color theme="1"/>
        <rFont val="游ゴシック"/>
        <family val="3"/>
        <charset val="128"/>
      </rPr>
      <t xml:space="preserve">7</t>
    </r>
    <r>
      <rPr>
        <sz val="10"/>
        <color theme="1"/>
        <rFont val="WenQuanYi Zen Hei"/>
        <family val="2"/>
      </rPr>
      <t xml:space="preserve">月期</t>
    </r>
  </si>
  <si>
    <t xml:space="preserve">企画制作部門</t>
  </si>
  <si>
    <t xml:space="preserve">デジタル制作部門</t>
  </si>
  <si>
    <t xml:space="preserve">ソリューション開発部門</t>
  </si>
  <si>
    <t xml:space="preserve">データベースマーケティング部門</t>
  </si>
  <si>
    <t xml:space="preserve">共通部門</t>
  </si>
  <si>
    <t xml:space="preserve">譲渡対象事業PL
（広告制作）</t>
  </si>
  <si>
    <t xml:space="preserve">譲渡対象事業PL
（Data＆DigitalGrowth）</t>
  </si>
  <si>
    <t xml:space="preserve">譲渡対象事業PL
（広告制作＋Data＆DigitalGrowth）</t>
  </si>
  <si>
    <t xml:space="preserve">実績</t>
  </si>
  <si>
    <t xml:space="preserve">修正額</t>
  </si>
  <si>
    <t xml:space="preserve">修正後</t>
  </si>
  <si>
    <t xml:space="preserve">売上高</t>
  </si>
  <si>
    <t xml:space="preserve">※実績値は加藤様ご提供Excel「55期部門別・営業利益」の再集計値に更新。同Excelは「広告制作」「DDG」の2区分のみで部門内訳がないため、差異額は当該区分内の各部門の既存残高比で按分している（区分合計は完全一致）。　当行の差異＋6,875円は企画制作＋5,445円／デジタル制作＋1,430円として按分。</t>
  </si>
  <si>
    <t xml:space="preserve">賃料収入</t>
  </si>
  <si>
    <t xml:space="preserve">売上原価</t>
  </si>
  <si>
    <t xml:space="preserve">売上総利益</t>
  </si>
  <si>
    <t xml:space="preserve">販売費及び一般管理費</t>
  </si>
  <si>
    <t xml:space="preserve">人件費</t>
  </si>
  <si>
    <t xml:space="preserve">ー役員報酬</t>
  </si>
  <si>
    <t xml:space="preserve">加藤様分の役員報酬を共通部門からソリューション部門へ振り分け</t>
  </si>
  <si>
    <t xml:space="preserve">ー給料手当</t>
  </si>
  <si>
    <t xml:space="preserve">共通部門に譲渡対象者2名（水元・小濱）が存在する為、該当金額を調整。【内訳_共通部門タブを参照】</t>
  </si>
  <si>
    <t xml:space="preserve">ー賞与</t>
  </si>
  <si>
    <t xml:space="preserve">ー法定福利費</t>
  </si>
  <si>
    <t xml:space="preserve">共通部門に計上されている譲渡対象者2名（水元・小濱）分の法定福利費をソリューション部門へ調整。</t>
  </si>
  <si>
    <t xml:space="preserve">ー退職共済金</t>
  </si>
  <si>
    <t xml:space="preserve">福利厚生費</t>
  </si>
  <si>
    <t xml:space="preserve">共通部門に計上されている譲渡対象者2名（水元・小濱）分の福利厚生費をソリューション部門へ調整。</t>
  </si>
  <si>
    <t xml:space="preserve">通勤費</t>
  </si>
  <si>
    <t xml:space="preserve">共通部門に計上されている譲渡対象者2名（水元・小濱）分の交通費をソリューション部門へ調整。</t>
  </si>
  <si>
    <t xml:space="preserve">採用教育費</t>
  </si>
  <si>
    <t xml:space="preserve">外注費</t>
  </si>
  <si>
    <t xml:space="preserve">※差異：広告制作＋168,945円（企画制作＋104,727円／デジタル制作＋64,218円）、DDG＋49,823円（ソリューション開発＋47,063円／データベースマーケティング＋2,760円）。既存残高比で按分。</t>
  </si>
  <si>
    <t xml:space="preserve">朝日請求</t>
  </si>
  <si>
    <t xml:space="preserve">広告宣伝費</t>
  </si>
  <si>
    <r>
      <rPr>
        <sz val="10"/>
        <color theme="1"/>
        <rFont val="游ゴシック"/>
        <family val="3"/>
        <charset val="128"/>
      </rPr>
      <t xml:space="preserve">(</t>
    </r>
    <r>
      <rPr>
        <sz val="10"/>
        <color theme="1"/>
        <rFont val="WenQuanYi Zen Hei"/>
        <family val="2"/>
      </rPr>
      <t xml:space="preserve">株</t>
    </r>
    <r>
      <rPr>
        <sz val="10"/>
        <color theme="1"/>
        <rFont val="游ゴシック"/>
        <family val="3"/>
        <charset val="128"/>
      </rPr>
      <t xml:space="preserve">)Kuberu</t>
    </r>
    <r>
      <rPr>
        <sz val="10"/>
        <color theme="1"/>
        <rFont val="WenQuanYi Zen Hei"/>
        <family val="2"/>
      </rPr>
      <t xml:space="preserve">社【原田様の代表法人】への業務委託料分を控除。なお、同社への業務委託料は通期で</t>
    </r>
    <r>
      <rPr>
        <sz val="10"/>
        <color theme="1"/>
        <rFont val="游ゴシック"/>
        <family val="3"/>
        <charset val="128"/>
      </rPr>
      <t xml:space="preserve">26,945,460</t>
    </r>
    <r>
      <rPr>
        <sz val="10"/>
        <color theme="1"/>
        <rFont val="WenQuanYi Zen Hei"/>
        <family val="2"/>
      </rPr>
      <t xml:space="preserve">円。</t>
    </r>
  </si>
  <si>
    <t xml:space="preserve">業務委託費</t>
  </si>
  <si>
    <r>
      <rPr>
        <sz val="10"/>
        <color theme="1"/>
        <rFont val="游ゴシック"/>
        <family val="3"/>
        <charset val="128"/>
      </rPr>
      <t xml:space="preserve">(</t>
    </r>
    <r>
      <rPr>
        <sz val="10"/>
        <color theme="1"/>
        <rFont val="WenQuanYi Zen Hei"/>
        <family val="2"/>
      </rPr>
      <t xml:space="preserve">株</t>
    </r>
    <r>
      <rPr>
        <sz val="10"/>
        <color theme="1"/>
        <rFont val="游ゴシック"/>
        <family val="3"/>
        <charset val="128"/>
      </rPr>
      <t xml:space="preserve">)Rimito</t>
    </r>
    <r>
      <rPr>
        <sz val="10"/>
        <color theme="1"/>
        <rFont val="WenQuanYi Zen Hei"/>
        <family val="2"/>
      </rPr>
      <t xml:space="preserve">社【加藤様の代表法人】への業務委託料分のみ計上を残す修正を行う。</t>
    </r>
    <r>
      <rPr>
        <sz val="10"/>
        <color theme="1"/>
        <rFont val="游ゴシック"/>
        <family val="3"/>
        <charset val="128"/>
      </rPr>
      <t xml:space="preserve">Rimito</t>
    </r>
    <r>
      <rPr>
        <sz val="10"/>
        <color theme="1"/>
        <rFont val="WenQuanYi Zen Hei"/>
        <family val="2"/>
      </rPr>
      <t xml:space="preserve">社への業務委託料は、</t>
    </r>
    <r>
      <rPr>
        <sz val="10"/>
        <color theme="1"/>
        <rFont val="游ゴシック"/>
        <family val="3"/>
        <charset val="128"/>
      </rPr>
      <t xml:space="preserve">11,127,276</t>
    </r>
    <r>
      <rPr>
        <sz val="10"/>
        <color theme="1"/>
        <rFont val="WenQuanYi Zen Hei"/>
        <family val="2"/>
      </rPr>
      <t xml:space="preserve">円。</t>
    </r>
  </si>
  <si>
    <t xml:space="preserve">交際費</t>
  </si>
  <si>
    <t xml:space="preserve">※その他の業務委託費は、退職者への業務継続費用と(株)Kuberu社【原田様の代表法人】であり、今後の計上予定はない。純粋な外部への委託は外注費で計上されている。</t>
  </si>
  <si>
    <t xml:space="preserve">会議費</t>
  </si>
  <si>
    <t xml:space="preserve">旅費交通費</t>
  </si>
  <si>
    <t xml:space="preserve">※差異：広告制作＋4,078円（全額企画制作）、DDG＋256,102円（ソリューション開発＋211,582円／データベースマーケティング＋44,520円）。既存残高比で按分。</t>
  </si>
  <si>
    <t xml:space="preserve">通信費</t>
  </si>
  <si>
    <t xml:space="preserve">水道光熱費</t>
  </si>
  <si>
    <t xml:space="preserve">荷造運賃</t>
  </si>
  <si>
    <t xml:space="preserve">修繕費</t>
  </si>
  <si>
    <t xml:space="preserve">新聞図書費</t>
  </si>
  <si>
    <t xml:space="preserve">諸会費</t>
  </si>
  <si>
    <t xml:space="preserve">支払手数料/システム利用料</t>
  </si>
  <si>
    <t xml:space="preserve">共通部門経費を、売上割合に応じて、各部門へ振り分け。25年7月期はSalesforceライセンスの購入費用が嵩まったが、￥3,420,500の金額に調整可能な為、差額分を修正。　※実績の差異＋12,834円は企画制作＋10,359円／デジタル制作＋2,475円として按分。</t>
  </si>
  <si>
    <t xml:space="preserve">地代家賃</t>
  </si>
  <si>
    <t xml:space="preserve">共通部門経費を、売上割合に応じて、各部門へ振り分け</t>
  </si>
  <si>
    <t xml:space="preserve">共益費</t>
  </si>
  <si>
    <t xml:space="preserve">賃借料</t>
  </si>
  <si>
    <t xml:space="preserve">保険料</t>
  </si>
  <si>
    <t xml:space="preserve">租税公課</t>
  </si>
  <si>
    <t xml:space="preserve">支払報酬料</t>
  </si>
  <si>
    <t xml:space="preserve">減価償却費</t>
  </si>
  <si>
    <t xml:space="preserve">研修費</t>
  </si>
  <si>
    <t xml:space="preserve">研究開発費</t>
  </si>
  <si>
    <t xml:space="preserve">リース料</t>
  </si>
  <si>
    <t xml:space="preserve">企画制作部門で使用しているMac環境の為、全額企画制作部門へ振り分け。</t>
  </si>
  <si>
    <t xml:space="preserve">雑費</t>
  </si>
  <si>
    <t xml:space="preserve">営業利益</t>
  </si>
  <si>
    <t xml:space="preserve">総計</t>
  </si>
  <si>
    <t xml:space="preserve">水元豪</t>
  </si>
  <si>
    <t xml:space="preserve">経営企画</t>
  </si>
  <si>
    <t xml:space="preserve">小濱 郁哉</t>
  </si>
  <si>
    <t xml:space="preserve">DDG</t>
  </si>
  <si>
    <t xml:space="preserve">髙橋 由美子</t>
  </si>
  <si>
    <t xml:space="preserve">中村 慎太郎</t>
  </si>
  <si>
    <t xml:space="preserve">給料手当</t>
  </si>
  <si>
    <t xml:space="preserve">法定福利費</t>
  </si>
  <si>
    <t xml:space="preserve">退職共済金</t>
  </si>
  <si>
    <t xml:space="preserve">法定福利</t>
  </si>
  <si>
    <t xml:space="preserve">合計</t>
  </si>
  <si>
    <t xml:space="preserve">部門別予算</t>
  </si>
  <si>
    <t xml:space="preserve">差額</t>
  </si>
  <si>
    <t xml:space="preserve">差額(率)</t>
  </si>
  <si>
    <t xml:space="preserve">役員報酬</t>
  </si>
  <si>
    <t xml:space="preserve">営業外収益</t>
  </si>
  <si>
    <t xml:space="preserve">受取利息</t>
  </si>
  <si>
    <t xml:space="preserve">雑収入</t>
  </si>
  <si>
    <t xml:space="preserve">営業外費用</t>
  </si>
  <si>
    <t xml:space="preserve">支払利息</t>
  </si>
  <si>
    <t xml:space="preserve">退職金(外)</t>
  </si>
  <si>
    <t xml:space="preserve">経常利益</t>
  </si>
  <si>
    <t xml:space="preserve">特別利益</t>
  </si>
  <si>
    <t xml:space="preserve">特別損失</t>
  </si>
  <si>
    <t xml:space="preserve">税引前当期純利益</t>
  </si>
  <si>
    <t xml:space="preserve">法人税等</t>
  </si>
  <si>
    <t xml:space="preserve">法人税等調整額</t>
  </si>
  <si>
    <t xml:space="preserve">当期純利益</t>
  </si>
</sst>
</file>

<file path=xl/styles.xml><?xml version="1.0" encoding="utf-8"?>
<styleSheet xmlns="http://schemas.openxmlformats.org/spreadsheetml/2006/main">
  <numFmts count="7">
    <numFmt numFmtId="164" formatCode="General"/>
    <numFmt numFmtId="165" formatCode="0%"/>
    <numFmt numFmtId="166" formatCode="#,##0_);[RED]\(#,##0\)"/>
    <numFmt numFmtId="167" formatCode="0.00%"/>
    <numFmt numFmtId="168" formatCode="mmm\-yy"/>
    <numFmt numFmtId="169" formatCode="#,##0"/>
    <numFmt numFmtId="170" formatCode="0.000%"/>
  </numFmts>
  <fonts count="20">
    <font>
      <sz val="10"/>
      <color theme="1"/>
      <name val="Calibri"/>
      <family val="0"/>
      <charset val="1"/>
    </font>
    <font>
      <sz val="10"/>
      <name val="Arial"/>
      <family val="0"/>
    </font>
    <font>
      <sz val="10"/>
      <name val="Arial"/>
      <family val="0"/>
    </font>
    <font>
      <sz val="10"/>
      <name val="Arial"/>
      <family val="0"/>
    </font>
    <font>
      <sz val="11"/>
      <color theme="1"/>
      <name val="Calibri"/>
      <family val="2"/>
      <charset val="128"/>
    </font>
    <font>
      <sz val="10"/>
      <color theme="1"/>
      <name val="Calibri"/>
      <family val="2"/>
      <charset val="1"/>
    </font>
    <font>
      <sz val="10"/>
      <color theme="1"/>
      <name val="游ゴシック"/>
      <family val="3"/>
      <charset val="128"/>
    </font>
    <font>
      <sz val="10"/>
      <color theme="1"/>
      <name val="WenQuanYi Zen Hei"/>
      <family val="2"/>
      <charset val="1"/>
    </font>
    <font>
      <sz val="10"/>
      <name val="Calibri"/>
      <family val="2"/>
      <charset val="1"/>
    </font>
    <font>
      <sz val="10"/>
      <color theme="0"/>
      <name val="Calibri"/>
      <family val="2"/>
      <charset val="1"/>
    </font>
    <font>
      <sz val="10"/>
      <color theme="1"/>
      <name val="WenQuanYi Zen Hei"/>
      <family val="2"/>
    </font>
    <font>
      <b val="true"/>
      <sz val="10"/>
      <color theme="1"/>
      <name val="WenQuanYi Zen Hei"/>
      <family val="2"/>
      <charset val="1"/>
    </font>
    <font>
      <b val="true"/>
      <sz val="10"/>
      <color theme="1"/>
      <name val="游ゴシック"/>
      <family val="3"/>
      <charset val="128"/>
    </font>
    <font>
      <sz val="10"/>
      <name val="游ゴシック"/>
      <family val="3"/>
      <charset val="128"/>
    </font>
    <font>
      <sz val="11"/>
      <color theme="1"/>
      <name val="游ゴシック"/>
      <family val="3"/>
      <charset val="128"/>
    </font>
    <font>
      <b val="true"/>
      <sz val="11"/>
      <color theme="1"/>
      <name val="游ゴシック"/>
      <family val="3"/>
      <charset val="128"/>
    </font>
    <font>
      <b val="true"/>
      <sz val="11"/>
      <color theme="1"/>
      <name val="WenQuanYi Zen Hei"/>
      <family val="2"/>
      <charset val="1"/>
    </font>
    <font>
      <sz val="11"/>
      <color theme="1"/>
      <name val="WenQuanYi Zen Hei"/>
      <family val="2"/>
      <charset val="1"/>
    </font>
    <font>
      <b val="true"/>
      <sz val="8"/>
      <color rgb="FF7F7F7F"/>
      <name val="游ゴシック"/>
      <family val="3"/>
      <charset val="128"/>
    </font>
    <font>
      <sz val="8"/>
      <color rgb="FF7F7F7F"/>
      <name val="游ゴシック"/>
      <family val="3"/>
      <charset val="128"/>
    </font>
  </fonts>
  <fills count="25">
    <fill>
      <patternFill patternType="none"/>
    </fill>
    <fill>
      <patternFill patternType="gray125"/>
    </fill>
    <fill>
      <patternFill patternType="solid">
        <fgColor theme="4" tint="0.7999"/>
        <bgColor rgb="FFDEEBF7"/>
      </patternFill>
    </fill>
    <fill>
      <patternFill patternType="solid">
        <fgColor theme="5" tint="0.7999"/>
        <bgColor rgb="FFFFF2CC"/>
      </patternFill>
    </fill>
    <fill>
      <patternFill patternType="solid">
        <fgColor theme="6" tint="0.7999"/>
        <bgColor rgb="FFF2F2F2"/>
      </patternFill>
    </fill>
    <fill>
      <patternFill patternType="solid">
        <fgColor theme="7" tint="0.7999"/>
        <bgColor rgb="FFFFFFCC"/>
      </patternFill>
    </fill>
    <fill>
      <patternFill patternType="solid">
        <fgColor theme="8" tint="0.7999"/>
        <bgColor rgb="FFDAE3F3"/>
      </patternFill>
    </fill>
    <fill>
      <patternFill patternType="solid">
        <fgColor theme="9" tint="0.7999"/>
        <bgColor rgb="FFEDEDED"/>
      </patternFill>
    </fill>
    <fill>
      <patternFill patternType="solid">
        <fgColor theme="4" tint="0.5999"/>
        <bgColor rgb="FF9DC3E6"/>
      </patternFill>
    </fill>
    <fill>
      <patternFill patternType="solid">
        <fgColor theme="5" tint="0.5999"/>
        <bgColor rgb="FFFFE699"/>
      </patternFill>
    </fill>
    <fill>
      <patternFill patternType="solid">
        <fgColor theme="6" tint="0.5999"/>
        <bgColor rgb="FFE1E1E1"/>
      </patternFill>
    </fill>
    <fill>
      <patternFill patternType="solid">
        <fgColor theme="7" tint="0.5999"/>
        <bgColor rgb="FFFFF2CC"/>
      </patternFill>
    </fill>
    <fill>
      <patternFill patternType="solid">
        <fgColor theme="8" tint="0.5999"/>
        <bgColor rgb="FFB4C7E7"/>
      </patternFill>
    </fill>
    <fill>
      <patternFill patternType="solid">
        <fgColor theme="9" tint="0.5999"/>
        <bgColor rgb="FFDBDBDB"/>
      </patternFill>
    </fill>
    <fill>
      <patternFill patternType="solid">
        <fgColor theme="4" tint="0.3999"/>
        <bgColor rgb="FF9DC3E6"/>
      </patternFill>
    </fill>
    <fill>
      <patternFill patternType="solid">
        <fgColor theme="5" tint="0.3999"/>
        <bgColor rgb="FFF8CBAD"/>
      </patternFill>
    </fill>
    <fill>
      <patternFill patternType="solid">
        <fgColor theme="6" tint="0.3999"/>
        <bgColor rgb="FFB4C7E7"/>
      </patternFill>
    </fill>
    <fill>
      <patternFill patternType="solid">
        <fgColor theme="7" tint="0.3999"/>
        <bgColor rgb="FFFFE699"/>
      </patternFill>
    </fill>
    <fill>
      <patternFill patternType="solid">
        <fgColor theme="8" tint="0.3999"/>
        <bgColor rgb="FFB4C7E7"/>
      </patternFill>
    </fill>
    <fill>
      <patternFill patternType="solid">
        <fgColor theme="9" tint="0.3999"/>
        <bgColor rgb="FFC5E0B4"/>
      </patternFill>
    </fill>
    <fill>
      <patternFill patternType="solid">
        <fgColor rgb="FFFFFFCC"/>
        <bgColor rgb="FFFFF2CC"/>
      </patternFill>
    </fill>
    <fill>
      <patternFill patternType="solid">
        <fgColor rgb="FFF2F2F2"/>
        <bgColor rgb="FFEDEDED"/>
      </patternFill>
    </fill>
    <fill>
      <patternFill patternType="solid">
        <fgColor theme="5"/>
        <bgColor rgb="FFF4B183"/>
      </patternFill>
    </fill>
    <fill>
      <patternFill patternType="solid">
        <fgColor theme="0"/>
        <bgColor rgb="FFF2F2F2"/>
      </patternFill>
    </fill>
    <fill>
      <patternFill patternType="solid">
        <fgColor rgb="FFFFFF00"/>
        <bgColor rgb="FFFFD966"/>
      </patternFill>
    </fill>
  </fills>
  <borders count="28">
    <border diagonalUp="false" diagonalDown="false">
      <left/>
      <right/>
      <top/>
      <bottom/>
      <diagonal/>
    </border>
    <border diagonalUp="false" diagonalDown="false">
      <left style="thin">
        <color rgb="FFB2B2B2"/>
      </left>
      <right style="thin">
        <color rgb="FFB2B2B2"/>
      </right>
      <top style="thin">
        <color rgb="FFB2B2B2"/>
      </top>
      <bottom style="thin">
        <color rgb="FFB2B2B2"/>
      </bottom>
      <diagonal/>
    </border>
    <border diagonalUp="false" diagonalDown="false">
      <left style="medium"/>
      <right style="medium"/>
      <top style="medium"/>
      <bottom style="medium"/>
      <diagonal/>
    </border>
    <border diagonalUp="false" diagonalDown="false">
      <left style="medium"/>
      <right/>
      <top style="medium"/>
      <bottom style="thin">
        <color rgb="FFA5A5A5"/>
      </bottom>
      <diagonal/>
    </border>
    <border diagonalUp="false" diagonalDown="false">
      <left style="medium"/>
      <right/>
      <top/>
      <bottom/>
      <diagonal/>
    </border>
    <border diagonalUp="false" diagonalDown="false">
      <left style="medium"/>
      <right style="thin">
        <color rgb="FFA5A5A5"/>
      </right>
      <top style="thin">
        <color rgb="FFA5A5A5"/>
      </top>
      <bottom style="medium">
        <color rgb="FFA5A5A5"/>
      </bottom>
      <diagonal/>
    </border>
    <border diagonalUp="false" diagonalDown="false">
      <left/>
      <right/>
      <top style="thin">
        <color rgb="FFA5A5A5"/>
      </top>
      <bottom style="medium">
        <color rgb="FFA5A5A5"/>
      </bottom>
      <diagonal/>
    </border>
    <border diagonalUp="false" diagonalDown="false">
      <left style="thin">
        <color rgb="FFA5A5A5"/>
      </left>
      <right/>
      <top style="thin">
        <color rgb="FFA5A5A5"/>
      </top>
      <bottom style="medium">
        <color rgb="FFA5A5A5"/>
      </bottom>
      <diagonal/>
    </border>
    <border diagonalUp="false" diagonalDown="false">
      <left style="medium"/>
      <right style="medium"/>
      <top/>
      <bottom style="medium">
        <color rgb="FFACACAC"/>
      </bottom>
      <diagonal/>
    </border>
    <border diagonalUp="false" diagonalDown="false">
      <left/>
      <right/>
      <top/>
      <bottom style="medium">
        <color rgb="FFACACAC"/>
      </bottom>
      <diagonal/>
    </border>
    <border diagonalUp="false" diagonalDown="false">
      <left/>
      <right style="medium"/>
      <top style="medium">
        <color rgb="FFA5A5A5"/>
      </top>
      <bottom style="medium">
        <color rgb="FFACACAC"/>
      </bottom>
      <diagonal/>
    </border>
    <border diagonalUp="false" diagonalDown="false">
      <left style="medium"/>
      <right/>
      <top/>
      <bottom style="medium">
        <color rgb="FFACACAC"/>
      </bottom>
      <diagonal/>
    </border>
    <border diagonalUp="false" diagonalDown="false">
      <left style="medium"/>
      <right style="medium"/>
      <top/>
      <bottom style="medium">
        <color rgb="FFE1E1E1"/>
      </bottom>
      <diagonal/>
    </border>
    <border diagonalUp="false" diagonalDown="false">
      <left/>
      <right/>
      <top/>
      <bottom style="medium">
        <color rgb="FFE1E1E1"/>
      </bottom>
      <diagonal/>
    </border>
    <border diagonalUp="false" diagonalDown="false">
      <left/>
      <right style="medium"/>
      <top/>
      <bottom style="medium">
        <color rgb="FFE1E1E1"/>
      </bottom>
      <diagonal/>
    </border>
    <border diagonalUp="false" diagonalDown="false">
      <left style="medium"/>
      <right/>
      <top/>
      <bottom style="medium">
        <color rgb="FFE1E1E1"/>
      </bottom>
      <diagonal/>
    </border>
    <border diagonalUp="false" diagonalDown="false">
      <left style="medium"/>
      <right/>
      <top style="medium">
        <color rgb="FFE1E1E1"/>
      </top>
      <bottom style="medium">
        <color rgb="FFACACAC"/>
      </bottom>
      <diagonal/>
    </border>
    <border diagonalUp="false" diagonalDown="false">
      <left/>
      <right/>
      <top style="thin"/>
      <bottom style="hair"/>
      <diagonal/>
    </border>
    <border diagonalUp="false" diagonalDown="false">
      <left/>
      <right/>
      <top style="hair"/>
      <bottom style="hair"/>
      <diagonal/>
    </border>
    <border diagonalUp="false" diagonalDown="false">
      <left/>
      <right/>
      <top style="hair"/>
      <bottom style="thin"/>
      <diagonal/>
    </border>
    <border diagonalUp="false" diagonalDown="false">
      <left/>
      <right/>
      <top/>
      <bottom style="hair"/>
      <diagonal/>
    </border>
    <border diagonalUp="false" diagonalDown="false">
      <left style="medium"/>
      <right style="medium"/>
      <top style="medium"/>
      <bottom style="thin">
        <color rgb="FFA5A5A5"/>
      </bottom>
      <diagonal/>
    </border>
    <border diagonalUp="false" diagonalDown="false">
      <left style="thin">
        <color rgb="FFA5A5A5"/>
      </left>
      <right style="thin">
        <color rgb="FFA5A5A5"/>
      </right>
      <top style="thin">
        <color rgb="FFA5A5A5"/>
      </top>
      <bottom style="medium">
        <color rgb="FFA5A5A5"/>
      </bottom>
      <diagonal/>
    </border>
    <border diagonalUp="false" diagonalDown="false">
      <left style="thin">
        <color rgb="FFA5A5A5"/>
      </left>
      <right style="medium"/>
      <top style="thin">
        <color rgb="FFA5A5A5"/>
      </top>
      <bottom style="medium">
        <color rgb="FFA5A5A5"/>
      </bottom>
      <diagonal/>
    </border>
    <border diagonalUp="false" diagonalDown="false">
      <left/>
      <right style="medium"/>
      <top/>
      <bottom style="medium">
        <color rgb="FFACACAC"/>
      </bottom>
      <diagonal/>
    </border>
    <border diagonalUp="false" diagonalDown="false">
      <left style="medium"/>
      <right style="medium"/>
      <top/>
      <bottom style="medium"/>
      <diagonal/>
    </border>
    <border diagonalUp="false" diagonalDown="false">
      <left/>
      <right/>
      <top/>
      <bottom style="medium"/>
      <diagonal/>
    </border>
    <border diagonalUp="false" diagonalDown="false">
      <left/>
      <right style="medium"/>
      <top/>
      <bottom style="medium"/>
      <diagonal/>
    </border>
  </borders>
  <cellStyleXfs count="5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center" textRotation="0" wrapText="false" indent="0" shrinkToFit="false"/>
      <protection locked="true" hidden="false"/>
    </xf>
    <xf numFmtId="164" fontId="4" fillId="3" borderId="0" applyFont="true" applyBorder="true" applyAlignment="true" applyProtection="true">
      <alignment horizontal="general" vertical="center" textRotation="0" wrapText="false" indent="0" shrinkToFit="false"/>
      <protection locked="true" hidden="false"/>
    </xf>
    <xf numFmtId="164" fontId="4" fillId="4" borderId="0" applyFont="true" applyBorder="true" applyAlignment="true" applyProtection="true">
      <alignment horizontal="general" vertical="center" textRotation="0" wrapText="false" indent="0" shrinkToFit="false"/>
      <protection locked="true" hidden="false"/>
    </xf>
    <xf numFmtId="164" fontId="4" fillId="5" borderId="0" applyFont="true" applyBorder="true" applyAlignment="true" applyProtection="true">
      <alignment horizontal="general" vertical="center" textRotation="0" wrapText="false" indent="0" shrinkToFit="false"/>
      <protection locked="true" hidden="false"/>
    </xf>
    <xf numFmtId="164" fontId="4" fillId="6" borderId="0" applyFont="true" applyBorder="true" applyAlignment="true" applyProtection="true">
      <alignment horizontal="general" vertical="center" textRotation="0" wrapText="false" indent="0" shrinkToFit="false"/>
      <protection locked="true" hidden="false"/>
    </xf>
    <xf numFmtId="164" fontId="4" fillId="7" borderId="0" applyFont="true" applyBorder="true" applyAlignment="true" applyProtection="true">
      <alignment horizontal="general" vertical="center" textRotation="0" wrapText="false" indent="0" shrinkToFit="false"/>
      <protection locked="true" hidden="false"/>
    </xf>
    <xf numFmtId="164" fontId="4" fillId="8" borderId="0" applyFont="true" applyBorder="true" applyAlignment="true" applyProtection="true">
      <alignment horizontal="general" vertical="center" textRotation="0" wrapText="false" indent="0" shrinkToFit="false"/>
      <protection locked="true" hidden="false"/>
    </xf>
    <xf numFmtId="164" fontId="4" fillId="9" borderId="0" applyFont="true" applyBorder="true" applyAlignment="true" applyProtection="true">
      <alignment horizontal="general" vertical="center" textRotation="0" wrapText="false" indent="0" shrinkToFit="false"/>
      <protection locked="true" hidden="false"/>
    </xf>
    <xf numFmtId="164" fontId="4" fillId="10" borderId="0" applyFont="true" applyBorder="true" applyAlignment="true" applyProtection="true">
      <alignment horizontal="general" vertical="center" textRotation="0" wrapText="false" indent="0" shrinkToFit="false"/>
      <protection locked="true" hidden="false"/>
    </xf>
    <xf numFmtId="164" fontId="4" fillId="11" borderId="0" applyFont="true" applyBorder="true" applyAlignment="true" applyProtection="true">
      <alignment horizontal="general" vertical="center" textRotation="0" wrapText="false" indent="0" shrinkToFit="false"/>
      <protection locked="true" hidden="false"/>
    </xf>
    <xf numFmtId="164" fontId="4" fillId="12" borderId="0" applyFont="true" applyBorder="true" applyAlignment="true" applyProtection="true">
      <alignment horizontal="general" vertical="center" textRotation="0" wrapText="false" indent="0" shrinkToFit="false"/>
      <protection locked="true" hidden="false"/>
    </xf>
    <xf numFmtId="164" fontId="4" fillId="13" borderId="0" applyFont="true" applyBorder="true" applyAlignment="true" applyProtection="true">
      <alignment horizontal="general" vertical="center" textRotation="0" wrapText="false" indent="0" shrinkToFit="false"/>
      <protection locked="true" hidden="false"/>
    </xf>
    <xf numFmtId="164" fontId="4" fillId="14" borderId="0" applyFont="true" applyBorder="true" applyAlignment="true" applyProtection="true">
      <alignment horizontal="general" vertical="center" textRotation="0" wrapText="false" indent="0" shrinkToFit="false"/>
      <protection locked="true" hidden="false"/>
    </xf>
    <xf numFmtId="164" fontId="4" fillId="15" borderId="0" applyFont="true" applyBorder="true" applyAlignment="true" applyProtection="true">
      <alignment horizontal="general" vertical="center" textRotation="0" wrapText="false" indent="0" shrinkToFit="false"/>
      <protection locked="true" hidden="false"/>
    </xf>
    <xf numFmtId="164" fontId="4" fillId="16" borderId="0" applyFont="true" applyBorder="true" applyAlignment="true" applyProtection="true">
      <alignment horizontal="general" vertical="center" textRotation="0" wrapText="false" indent="0" shrinkToFit="false"/>
      <protection locked="true" hidden="false"/>
    </xf>
    <xf numFmtId="164" fontId="4" fillId="17" borderId="0" applyFont="true" applyBorder="true" applyAlignment="true" applyProtection="true">
      <alignment horizontal="general" vertical="center" textRotation="0" wrapText="false" indent="0" shrinkToFit="false"/>
      <protection locked="true" hidden="false"/>
    </xf>
    <xf numFmtId="164" fontId="4" fillId="18" borderId="0" applyFont="true" applyBorder="true" applyAlignment="true" applyProtection="true">
      <alignment horizontal="general" vertical="center" textRotation="0" wrapText="false" indent="0" shrinkToFit="false"/>
      <protection locked="true" hidden="false"/>
    </xf>
    <xf numFmtId="164" fontId="4" fillId="19" borderId="0" applyFont="true" applyBorder="true" applyAlignment="true" applyProtection="true">
      <alignment horizontal="general" vertical="center" textRotation="0" wrapText="false" indent="0" shrinkToFit="false"/>
      <protection locked="true" hidden="false"/>
    </xf>
    <xf numFmtId="165" fontId="4" fillId="0" borderId="0" applyFont="true" applyBorder="true" applyAlignment="true" applyProtection="true">
      <alignment horizontal="general" vertical="center" textRotation="0" wrapText="false" indent="0" shrinkToFit="false"/>
      <protection locked="true" hidden="false"/>
    </xf>
    <xf numFmtId="165" fontId="4" fillId="0" borderId="0" applyFont="true" applyBorder="true" applyAlignment="true" applyProtection="true">
      <alignment horizontal="general" vertical="center" textRotation="0" wrapText="false" indent="0" shrinkToFit="false"/>
      <protection locked="true" hidden="false"/>
    </xf>
    <xf numFmtId="165" fontId="4" fillId="0" borderId="0" applyFont="true" applyBorder="true" applyAlignment="true" applyProtection="true">
      <alignment horizontal="general" vertical="center" textRotation="0" wrapText="false" indent="0" shrinkToFit="false"/>
      <protection locked="true" hidden="false"/>
    </xf>
    <xf numFmtId="164" fontId="4" fillId="20" borderId="1" applyFont="true" applyBorder="true" applyAlignment="true" applyProtection="true">
      <alignment horizontal="general" vertical="center" textRotation="0" wrapText="false" indent="0" shrinkToFit="false"/>
      <protection locked="true" hidden="false"/>
    </xf>
    <xf numFmtId="164" fontId="4" fillId="20" borderId="1" applyFont="true" applyBorder="true" applyAlignment="true" applyProtection="true">
      <alignment horizontal="general" vertical="center" textRotation="0" wrapText="false" indent="0" shrinkToFit="false"/>
      <protection locked="true" hidden="false"/>
    </xf>
    <xf numFmtId="166" fontId="4" fillId="0" borderId="0" applyFont="true" applyBorder="true" applyAlignment="true" applyProtection="true">
      <alignment horizontal="general" vertical="center" textRotation="0" wrapText="false" indent="0" shrinkToFit="false"/>
      <protection locked="true" hidden="false"/>
    </xf>
    <xf numFmtId="166" fontId="4" fillId="0" borderId="0" applyFont="true" applyBorder="true" applyAlignment="true" applyProtection="true">
      <alignment horizontal="general" vertical="center" textRotation="0" wrapText="false" indent="0" shrinkToFit="false"/>
      <protection locked="true" hidden="false"/>
    </xf>
    <xf numFmtId="166" fontId="5" fillId="0" borderId="0" applyFont="true" applyBorder="true" applyAlignment="true" applyProtection="true">
      <alignment horizontal="general" vertical="center" textRotation="0" wrapText="false" indent="0" shrinkToFit="false"/>
      <protection locked="true" hidden="false"/>
    </xf>
    <xf numFmtId="166" fontId="4"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general" vertical="center"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general" vertical="center" textRotation="0" wrapText="false" indent="0" shrinkToFit="false"/>
      <protection locked="true" hidden="false"/>
    </xf>
  </cellStyleXfs>
  <cellXfs count="9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6" fontId="9" fillId="0" borderId="0" xfId="0" applyFont="true" applyBorder="false" applyAlignment="true" applyProtection="false">
      <alignment horizontal="general" vertical="center" textRotation="0" wrapText="false" indent="0" shrinkToFit="false"/>
      <protection locked="true" hidden="false"/>
    </xf>
    <xf numFmtId="164" fontId="6" fillId="21" borderId="2" xfId="0" applyFont="true" applyBorder="true" applyAlignment="true" applyProtection="false">
      <alignment horizontal="left" vertical="center" textRotation="0" wrapText="false" indent="0" shrinkToFit="false"/>
      <protection locked="true" hidden="false"/>
    </xf>
    <xf numFmtId="164" fontId="11" fillId="22" borderId="3" xfId="0" applyFont="true" applyBorder="true" applyAlignment="true" applyProtection="false">
      <alignment horizontal="center" vertical="center" textRotation="0" wrapText="true" indent="0" shrinkToFit="false"/>
      <protection locked="true" hidden="false"/>
    </xf>
    <xf numFmtId="164" fontId="11" fillId="21" borderId="3" xfId="0" applyFont="true" applyBorder="true" applyAlignment="true" applyProtection="false">
      <alignment horizontal="center" vertical="center" textRotation="0" wrapText="true" indent="0" shrinkToFit="false"/>
      <protection locked="true" hidden="false"/>
    </xf>
    <xf numFmtId="164" fontId="11" fillId="5" borderId="3" xfId="0" applyFont="true" applyBorder="true" applyAlignment="true" applyProtection="false">
      <alignment horizontal="center" vertical="center" textRotation="0" wrapText="true" indent="0" shrinkToFit="false"/>
      <protection locked="true" hidden="false"/>
    </xf>
    <xf numFmtId="164" fontId="11" fillId="6" borderId="3" xfId="0" applyFont="true" applyBorder="true" applyAlignment="true" applyProtection="false">
      <alignment horizontal="center" vertical="center" textRotation="0" wrapText="true" indent="0" shrinkToFit="false"/>
      <protection locked="true" hidden="false"/>
    </xf>
    <xf numFmtId="164" fontId="5" fillId="0" borderId="4" xfId="0" applyFont="true" applyBorder="true" applyAlignment="true" applyProtection="false">
      <alignment horizontal="general" vertical="center" textRotation="0" wrapText="false" indent="0" shrinkToFit="false"/>
      <protection locked="true" hidden="false"/>
    </xf>
    <xf numFmtId="164" fontId="11" fillId="21" borderId="5" xfId="0" applyFont="true" applyBorder="true" applyAlignment="true" applyProtection="false">
      <alignment horizontal="center" vertical="center" textRotation="0" wrapText="false" indent="0" shrinkToFit="false"/>
      <protection locked="true" hidden="false"/>
    </xf>
    <xf numFmtId="164" fontId="11" fillId="21" borderId="6" xfId="0" applyFont="true" applyBorder="true" applyAlignment="true" applyProtection="false">
      <alignment horizontal="center" vertical="center" textRotation="0" wrapText="false" indent="0" shrinkToFit="false"/>
      <protection locked="true" hidden="false"/>
    </xf>
    <xf numFmtId="164" fontId="11" fillId="21" borderId="7" xfId="0" applyFont="true" applyBorder="true" applyAlignment="true" applyProtection="false">
      <alignment horizontal="center" vertical="center" textRotation="0" wrapText="false" indent="0" shrinkToFit="false"/>
      <protection locked="true" hidden="false"/>
    </xf>
    <xf numFmtId="164" fontId="11" fillId="5" borderId="5" xfId="0" applyFont="true" applyBorder="true" applyAlignment="true" applyProtection="false">
      <alignment horizontal="center" vertical="center" textRotation="0" wrapText="false" indent="0" shrinkToFit="false"/>
      <protection locked="true" hidden="false"/>
    </xf>
    <xf numFmtId="164" fontId="11" fillId="5" borderId="6" xfId="0" applyFont="true" applyBorder="true" applyAlignment="true" applyProtection="false">
      <alignment horizontal="center" vertical="center" textRotation="0" wrapText="false" indent="0" shrinkToFit="false"/>
      <protection locked="true" hidden="false"/>
    </xf>
    <xf numFmtId="164" fontId="11" fillId="5" borderId="7" xfId="0" applyFont="true" applyBorder="true" applyAlignment="true" applyProtection="false">
      <alignment horizontal="center" vertical="center" textRotation="0" wrapText="false" indent="0" shrinkToFit="false"/>
      <protection locked="true" hidden="false"/>
    </xf>
    <xf numFmtId="164" fontId="11" fillId="6" borderId="5" xfId="0" applyFont="true" applyBorder="true" applyAlignment="true" applyProtection="false">
      <alignment horizontal="center" vertical="center" textRotation="0" wrapText="false" indent="0" shrinkToFit="false"/>
      <protection locked="true" hidden="false"/>
    </xf>
    <xf numFmtId="164" fontId="11" fillId="6" borderId="6" xfId="0" applyFont="true" applyBorder="true" applyAlignment="true" applyProtection="false">
      <alignment horizontal="center" vertical="center" textRotation="0" wrapText="false" indent="0" shrinkToFit="false"/>
      <protection locked="true" hidden="false"/>
    </xf>
    <xf numFmtId="164" fontId="11" fillId="6" borderId="7" xfId="0" applyFont="true" applyBorder="true" applyAlignment="true" applyProtection="false">
      <alignment horizontal="center" vertical="center" textRotation="0" wrapText="false" indent="0" shrinkToFit="false"/>
      <protection locked="true" hidden="false"/>
    </xf>
    <xf numFmtId="164" fontId="11" fillId="0" borderId="8" xfId="0" applyFont="true" applyBorder="true" applyAlignment="true" applyProtection="false">
      <alignment horizontal="left" vertical="center" textRotation="0" wrapText="false" indent="0" shrinkToFit="false"/>
      <protection locked="true" hidden="false"/>
    </xf>
    <xf numFmtId="166" fontId="12" fillId="0" borderId="9" xfId="0" applyFont="true" applyBorder="true" applyAlignment="true" applyProtection="false">
      <alignment horizontal="right" vertical="center" textRotation="0" wrapText="true" indent="0" shrinkToFit="false"/>
      <protection locked="true" hidden="false"/>
    </xf>
    <xf numFmtId="166" fontId="12" fillId="0" borderId="10" xfId="0" applyFont="true" applyBorder="true" applyAlignment="true" applyProtection="false">
      <alignment horizontal="right" vertical="center" textRotation="0" wrapText="true" indent="0" shrinkToFit="false"/>
      <protection locked="true" hidden="false"/>
    </xf>
    <xf numFmtId="166" fontId="12" fillId="0" borderId="11" xfId="0" applyFont="true" applyBorder="true" applyAlignment="true" applyProtection="false">
      <alignment horizontal="right" vertical="center" textRotation="0" wrapText="true" indent="0" shrinkToFit="false"/>
      <protection locked="true" hidden="false"/>
    </xf>
    <xf numFmtId="166" fontId="12" fillId="23" borderId="9" xfId="0" applyFont="true" applyBorder="true" applyAlignment="true" applyProtection="false">
      <alignment horizontal="right" vertical="center" textRotation="0" wrapText="true" indent="0" shrinkToFit="false"/>
      <protection locked="true" hidden="false"/>
    </xf>
    <xf numFmtId="164" fontId="7" fillId="0" borderId="12" xfId="0" applyFont="true" applyBorder="true" applyAlignment="true" applyProtection="false">
      <alignment horizontal="left" vertical="center" textRotation="0" wrapText="false" indent="1" shrinkToFit="false"/>
      <protection locked="true" hidden="false"/>
    </xf>
    <xf numFmtId="166" fontId="6" fillId="0" borderId="13" xfId="0" applyFont="true" applyBorder="true" applyAlignment="true" applyProtection="false">
      <alignment horizontal="right" vertical="center" textRotation="0" wrapText="true" indent="0" shrinkToFit="false"/>
      <protection locked="true" hidden="false"/>
    </xf>
    <xf numFmtId="166" fontId="6" fillId="0" borderId="14" xfId="0" applyFont="true" applyBorder="true" applyAlignment="true" applyProtection="false">
      <alignment horizontal="right" vertical="center" textRotation="0" wrapText="true" indent="0" shrinkToFit="false"/>
      <protection locked="true" hidden="false"/>
    </xf>
    <xf numFmtId="166" fontId="6" fillId="0" borderId="15" xfId="0" applyFont="true" applyBorder="true" applyAlignment="true" applyProtection="false">
      <alignment horizontal="right" vertical="center" textRotation="0" wrapText="true" indent="0" shrinkToFit="false"/>
      <protection locked="true" hidden="false"/>
    </xf>
    <xf numFmtId="166" fontId="6" fillId="23" borderId="15" xfId="0" applyFont="true" applyBorder="true" applyAlignment="true" applyProtection="false">
      <alignment horizontal="right" vertical="center" textRotation="0" wrapText="true" indent="0" shrinkToFit="false"/>
      <protection locked="true" hidden="false"/>
    </xf>
    <xf numFmtId="166" fontId="6" fillId="23" borderId="13" xfId="0" applyFont="true" applyBorder="true" applyAlignment="true" applyProtection="false">
      <alignment horizontal="right" vertical="center" textRotation="0" wrapText="true" indent="0" shrinkToFit="false"/>
      <protection locked="true" hidden="false"/>
    </xf>
    <xf numFmtId="166" fontId="12" fillId="23" borderId="11" xfId="0" applyFont="true" applyBorder="true" applyAlignment="true" applyProtection="false">
      <alignment horizontal="right"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7" fontId="6" fillId="0" borderId="0" xfId="33" applyFont="true" applyBorder="false" applyAlignment="true" applyProtection="false">
      <alignment horizontal="general" vertical="center" textRotation="0" wrapText="false" indent="0" shrinkToFit="false"/>
      <protection locked="true" hidden="false"/>
    </xf>
    <xf numFmtId="166" fontId="6" fillId="0" borderId="0" xfId="0" applyFont="true" applyBorder="false" applyAlignment="true" applyProtection="false">
      <alignment horizontal="general" vertical="center" textRotation="0" wrapText="false" indent="0" shrinkToFit="false"/>
      <protection locked="true" hidden="false"/>
    </xf>
    <xf numFmtId="164" fontId="11" fillId="0" borderId="12" xfId="0" applyFont="true" applyBorder="true" applyAlignment="true" applyProtection="false">
      <alignment horizontal="left" vertical="center" textRotation="0" wrapText="false" indent="1" shrinkToFit="false"/>
      <protection locked="true" hidden="false"/>
    </xf>
    <xf numFmtId="166" fontId="12" fillId="0" borderId="13" xfId="0" applyFont="true" applyBorder="true" applyAlignment="true" applyProtection="false">
      <alignment horizontal="right" vertical="center" textRotation="0" wrapText="true" indent="0" shrinkToFit="false"/>
      <protection locked="true" hidden="false"/>
    </xf>
    <xf numFmtId="166" fontId="12" fillId="0" borderId="15" xfId="0" applyFont="true" applyBorder="true" applyAlignment="true" applyProtection="false">
      <alignment horizontal="right" vertical="center" textRotation="0" wrapText="true" indent="0" shrinkToFit="false"/>
      <protection locked="true" hidden="false"/>
    </xf>
    <xf numFmtId="166" fontId="12" fillId="23" borderId="15" xfId="0" applyFont="true" applyBorder="true" applyAlignment="true" applyProtection="false">
      <alignment horizontal="right" vertical="center" textRotation="0" wrapText="true" indent="0" shrinkToFit="false"/>
      <protection locked="true" hidden="false"/>
    </xf>
    <xf numFmtId="166" fontId="12" fillId="23" borderId="13" xfId="0" applyFont="true" applyBorder="true" applyAlignment="true" applyProtection="false">
      <alignment horizontal="right" vertical="center" textRotation="0" wrapText="true" indent="0" shrinkToFit="false"/>
      <protection locked="true" hidden="false"/>
    </xf>
    <xf numFmtId="164" fontId="7" fillId="24" borderId="12" xfId="0" applyFont="true" applyBorder="true" applyAlignment="true" applyProtection="false">
      <alignment horizontal="left" vertical="center" textRotation="0" wrapText="false" indent="2" shrinkToFit="false"/>
      <protection locked="true" hidden="false"/>
    </xf>
    <xf numFmtId="166" fontId="13" fillId="0" borderId="15" xfId="0" applyFont="true" applyBorder="true" applyAlignment="true" applyProtection="false">
      <alignment horizontal="right" vertical="center" textRotation="0" wrapText="true" indent="0" shrinkToFit="false"/>
      <protection locked="true" hidden="false"/>
    </xf>
    <xf numFmtId="166" fontId="13" fillId="0" borderId="13" xfId="0" applyFont="true" applyBorder="true" applyAlignment="true" applyProtection="false">
      <alignment horizontal="right" vertical="center" textRotation="0" wrapText="true" indent="0" shrinkToFit="false"/>
      <protection locked="true" hidden="false"/>
    </xf>
    <xf numFmtId="166" fontId="13" fillId="23" borderId="13" xfId="0" applyFont="true" applyBorder="true" applyAlignment="true" applyProtection="false">
      <alignment horizontal="right" vertical="center" textRotation="0" wrapText="true" indent="0" shrinkToFit="false"/>
      <protection locked="true" hidden="false"/>
    </xf>
    <xf numFmtId="166" fontId="13" fillId="23" borderId="15" xfId="0" applyFont="true" applyBorder="true" applyAlignment="true" applyProtection="false">
      <alignment horizontal="right" vertical="center" textRotation="0" wrapText="true" indent="0" shrinkToFit="false"/>
      <protection locked="true" hidden="false"/>
    </xf>
    <xf numFmtId="164" fontId="7" fillId="22" borderId="12" xfId="0" applyFont="true" applyBorder="true" applyAlignment="true" applyProtection="false">
      <alignment horizontal="left" vertical="center" textRotation="0" wrapText="false" indent="2"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7" fontId="6" fillId="0" borderId="0" xfId="0" applyFont="true" applyBorder="false" applyAlignment="true" applyProtection="false">
      <alignment horizontal="general" vertical="center" textRotation="0" wrapText="false" indent="0" shrinkToFit="false"/>
      <protection locked="true" hidden="false"/>
    </xf>
    <xf numFmtId="164" fontId="7" fillId="0" borderId="12" xfId="0" applyFont="true" applyBorder="true" applyAlignment="true" applyProtection="false">
      <alignment horizontal="left" vertical="center" textRotation="0" wrapText="false" indent="2" shrinkToFit="false"/>
      <protection locked="true" hidden="false"/>
    </xf>
    <xf numFmtId="164" fontId="7" fillId="24" borderId="12" xfId="0" applyFont="true" applyBorder="true" applyAlignment="true" applyProtection="false">
      <alignment horizontal="left" vertical="center" textRotation="0" wrapText="false" indent="1" shrinkToFit="false"/>
      <protection locked="true" hidden="false"/>
    </xf>
    <xf numFmtId="164" fontId="6" fillId="23" borderId="0" xfId="0" applyFont="true" applyBorder="false" applyAlignment="true" applyProtection="false">
      <alignment horizontal="general" vertical="center" textRotation="0" wrapText="false" indent="0" shrinkToFit="false"/>
      <protection locked="true" hidden="false"/>
    </xf>
    <xf numFmtId="164" fontId="6" fillId="23" borderId="0" xfId="0" applyFont="true" applyBorder="false" applyAlignment="true" applyProtection="false">
      <alignment horizontal="center" vertical="center" textRotation="0" wrapText="false" indent="0" shrinkToFit="false"/>
      <protection locked="true" hidden="false"/>
    </xf>
    <xf numFmtId="166" fontId="6" fillId="23" borderId="0" xfId="0" applyFont="true" applyBorder="false" applyAlignment="true" applyProtection="false">
      <alignment horizontal="general" vertical="center" textRotation="0" wrapText="false" indent="0" shrinkToFit="false"/>
      <protection locked="true" hidden="false"/>
    </xf>
    <xf numFmtId="164" fontId="7" fillId="22" borderId="12" xfId="0" applyFont="true" applyBorder="true" applyAlignment="true" applyProtection="false">
      <alignment horizontal="left" vertical="center" textRotation="0" wrapText="false" indent="1" shrinkToFit="false"/>
      <protection locked="true" hidden="false"/>
    </xf>
    <xf numFmtId="164" fontId="7" fillId="23" borderId="12" xfId="0" applyFont="true" applyBorder="true" applyAlignment="true" applyProtection="false">
      <alignment horizontal="left" vertical="center" textRotation="0" wrapText="false" indent="1" shrinkToFit="false"/>
      <protection locked="true" hidden="false"/>
    </xf>
    <xf numFmtId="166" fontId="12" fillId="0" borderId="16" xfId="0" applyFont="true" applyBorder="true" applyAlignment="true" applyProtection="false">
      <alignment horizontal="right" vertical="center" textRotation="0" wrapText="tru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8" fontId="14" fillId="0" borderId="0" xfId="0" applyFont="true" applyBorder="fals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xf numFmtId="169" fontId="17" fillId="0" borderId="0" xfId="0" applyFont="true" applyBorder="false" applyAlignment="true" applyProtection="false">
      <alignment horizontal="general" vertical="center" textRotation="0" wrapText="false" indent="0" shrinkToFit="false"/>
      <protection locked="true" hidden="false"/>
    </xf>
    <xf numFmtId="169" fontId="17" fillId="24" borderId="17" xfId="0" applyFont="true" applyBorder="true" applyAlignment="true" applyProtection="false">
      <alignment horizontal="general" vertical="center" textRotation="0" wrapText="false" indent="0" shrinkToFit="false"/>
      <protection locked="true" hidden="false"/>
    </xf>
    <xf numFmtId="169" fontId="14" fillId="0" borderId="17" xfId="0" applyFont="true" applyBorder="true" applyAlignment="true" applyProtection="false">
      <alignment horizontal="general" vertical="center" textRotation="0" wrapText="false" indent="0" shrinkToFit="false"/>
      <protection locked="true" hidden="false"/>
    </xf>
    <xf numFmtId="169" fontId="15" fillId="0" borderId="17" xfId="0" applyFont="true" applyBorder="true" applyAlignment="true" applyProtection="false">
      <alignment horizontal="general" vertical="center" textRotation="0" wrapText="false" indent="0" shrinkToFit="false"/>
      <protection locked="true" hidden="false"/>
    </xf>
    <xf numFmtId="169" fontId="17" fillId="24" borderId="18" xfId="0" applyFont="true" applyBorder="true" applyAlignment="true" applyProtection="false">
      <alignment horizontal="general" vertical="center" textRotation="0" wrapText="false" indent="0" shrinkToFit="false"/>
      <protection locked="true" hidden="false"/>
    </xf>
    <xf numFmtId="169" fontId="14" fillId="0" borderId="18" xfId="0" applyFont="true" applyBorder="true" applyAlignment="true" applyProtection="false">
      <alignment horizontal="general" vertical="center" textRotation="0" wrapText="false" indent="0" shrinkToFit="false"/>
      <protection locked="true" hidden="false"/>
    </xf>
    <xf numFmtId="169" fontId="15" fillId="0" borderId="18" xfId="0" applyFont="true" applyBorder="true" applyAlignment="true" applyProtection="false">
      <alignment horizontal="general" vertical="center" textRotation="0" wrapText="false" indent="0" shrinkToFit="false"/>
      <protection locked="true" hidden="false"/>
    </xf>
    <xf numFmtId="169" fontId="14" fillId="0" borderId="0" xfId="0" applyFont="true" applyBorder="false" applyAlignment="true" applyProtection="false">
      <alignment horizontal="general" vertical="center" textRotation="0" wrapText="false" indent="0" shrinkToFit="false"/>
      <protection locked="true" hidden="false"/>
    </xf>
    <xf numFmtId="169" fontId="17" fillId="0" borderId="18" xfId="0" applyFont="true" applyBorder="true" applyAlignment="true" applyProtection="false">
      <alignment horizontal="general" vertical="center" textRotation="0" wrapText="false" indent="0" shrinkToFit="false"/>
      <protection locked="true" hidden="false"/>
    </xf>
    <xf numFmtId="169" fontId="17" fillId="0" borderId="19" xfId="0" applyFont="true" applyBorder="true" applyAlignment="true" applyProtection="false">
      <alignment horizontal="general" vertical="center" textRotation="0" wrapText="false" indent="0" shrinkToFit="false"/>
      <protection locked="true" hidden="false"/>
    </xf>
    <xf numFmtId="169" fontId="15" fillId="0" borderId="19" xfId="0" applyFont="true" applyBorder="true" applyAlignment="true" applyProtection="false">
      <alignment horizontal="general" vertical="center" textRotation="0" wrapText="false" indent="0" shrinkToFit="false"/>
      <protection locked="true" hidden="false"/>
    </xf>
    <xf numFmtId="169" fontId="17" fillId="24" borderId="20" xfId="0" applyFont="true" applyBorder="true" applyAlignment="true" applyProtection="false">
      <alignment horizontal="general" vertical="center" textRotation="0" wrapText="false" indent="0" shrinkToFit="false"/>
      <protection locked="true" hidden="false"/>
    </xf>
    <xf numFmtId="169" fontId="14" fillId="0" borderId="20" xfId="0" applyFont="true" applyBorder="true" applyAlignment="true" applyProtection="false">
      <alignment horizontal="general" vertical="center" textRotation="0" wrapText="false" indent="0" shrinkToFit="false"/>
      <protection locked="true" hidden="false"/>
    </xf>
    <xf numFmtId="169" fontId="15" fillId="0" borderId="20" xfId="0" applyFont="true" applyBorder="true" applyAlignment="tru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70" fontId="14" fillId="0" borderId="0" xfId="0" applyFont="true" applyBorder="false" applyAlignment="true" applyProtection="false">
      <alignment horizontal="general" vertical="center" textRotation="0" wrapText="false" indent="0" shrinkToFit="false"/>
      <protection locked="true" hidden="false"/>
    </xf>
    <xf numFmtId="164" fontId="11" fillId="21" borderId="21" xfId="0" applyFont="true" applyBorder="true" applyAlignment="true" applyProtection="false">
      <alignment horizontal="center" vertical="center" textRotation="0" wrapText="true" indent="0" shrinkToFit="false"/>
      <protection locked="true" hidden="false"/>
    </xf>
    <xf numFmtId="164" fontId="11" fillId="21" borderId="22" xfId="0" applyFont="true" applyBorder="true" applyAlignment="true" applyProtection="false">
      <alignment horizontal="center" vertical="center" textRotation="0" wrapText="false" indent="0" shrinkToFit="false"/>
      <protection locked="true" hidden="false"/>
    </xf>
    <xf numFmtId="167" fontId="11" fillId="21" borderId="23" xfId="33" applyFont="true" applyBorder="true" applyAlignment="true" applyProtection="false">
      <alignment horizontal="center" vertical="center" textRotation="0" wrapText="false" indent="0" shrinkToFit="false"/>
      <protection locked="true" hidden="false"/>
    </xf>
    <xf numFmtId="167" fontId="18" fillId="0" borderId="24" xfId="33" applyFont="true" applyBorder="true" applyAlignment="true" applyProtection="false">
      <alignment horizontal="right" vertical="center" textRotation="0" wrapText="true" indent="0" shrinkToFit="false"/>
      <protection locked="true" hidden="false"/>
    </xf>
    <xf numFmtId="164" fontId="7" fillId="0" borderId="12" xfId="0" applyFont="true" applyBorder="true" applyAlignment="true" applyProtection="false">
      <alignment horizontal="left" vertical="center" textRotation="0" wrapText="false" indent="0" shrinkToFit="false"/>
      <protection locked="true" hidden="false"/>
    </xf>
    <xf numFmtId="167" fontId="19" fillId="0" borderId="14" xfId="33" applyFont="true" applyBorder="true" applyAlignment="true" applyProtection="false">
      <alignment horizontal="right" vertical="center" textRotation="0" wrapText="true" indent="0" shrinkToFit="false"/>
      <protection locked="true" hidden="false"/>
    </xf>
    <xf numFmtId="164" fontId="11" fillId="0" borderId="12" xfId="0" applyFont="true" applyBorder="true" applyAlignment="true" applyProtection="false">
      <alignment horizontal="left" vertical="center" textRotation="0" wrapText="false" indent="0" shrinkToFit="false"/>
      <protection locked="true" hidden="false"/>
    </xf>
    <xf numFmtId="167" fontId="18" fillId="0" borderId="14" xfId="33" applyFont="true" applyBorder="true" applyAlignment="true" applyProtection="false">
      <alignment horizontal="right" vertical="center" textRotation="0" wrapText="true" indent="0" shrinkToFit="false"/>
      <protection locked="true" hidden="false"/>
    </xf>
    <xf numFmtId="164" fontId="11" fillId="0" borderId="25" xfId="0" applyFont="true" applyBorder="true" applyAlignment="true" applyProtection="false">
      <alignment horizontal="left" vertical="center" textRotation="0" wrapText="false" indent="0" shrinkToFit="false"/>
      <protection locked="true" hidden="false"/>
    </xf>
    <xf numFmtId="166" fontId="12" fillId="0" borderId="26" xfId="0" applyFont="true" applyBorder="true" applyAlignment="true" applyProtection="false">
      <alignment horizontal="right" vertical="center" textRotation="0" wrapText="true" indent="0" shrinkToFit="false"/>
      <protection locked="true" hidden="false"/>
    </xf>
    <xf numFmtId="167" fontId="18" fillId="0" borderId="27" xfId="33" applyFont="true" applyBorder="true" applyAlignment="true" applyProtection="false">
      <alignment horizontal="right" vertical="center" textRotation="0" wrapText="true" indent="0" shrinkToFit="false"/>
      <protection locked="true" hidden="false"/>
    </xf>
  </cellXfs>
  <cellStyles count="38">
    <cellStyle name="Normal" xfId="0" builtinId="0"/>
    <cellStyle name="Comma" xfId="15" builtinId="3"/>
    <cellStyle name="Comma [0]" xfId="16" builtinId="6"/>
    <cellStyle name="Currency" xfId="17" builtinId="4"/>
    <cellStyle name="Currency [0]" xfId="18" builtinId="7"/>
    <cellStyle name="Percent" xfId="19" builtinId="5"/>
    <cellStyle name="20% - アクセント 1 2" xfId="20"/>
    <cellStyle name="20% - アクセント 2 2" xfId="21"/>
    <cellStyle name="20% - アクセント 3 2" xfId="22"/>
    <cellStyle name="20% - アクセント 4 2" xfId="23"/>
    <cellStyle name="20% - アクセント 5 2" xfId="24"/>
    <cellStyle name="20% - アクセント 6 2" xfId="25"/>
    <cellStyle name="40% - アクセント 1 2" xfId="26"/>
    <cellStyle name="40% - アクセント 2 2" xfId="27"/>
    <cellStyle name="40% - アクセント 3 2" xfId="28"/>
    <cellStyle name="40% - アクセント 4 2" xfId="29"/>
    <cellStyle name="40% - アクセント 5 2" xfId="30"/>
    <cellStyle name="40% - アクセント 6 2" xfId="31"/>
    <cellStyle name="60% - アクセント 1 2" xfId="32"/>
    <cellStyle name="60% - アクセント 2 2" xfId="33"/>
    <cellStyle name="60% - アクセント 3 2" xfId="34"/>
    <cellStyle name="60% - アクセント 4 2" xfId="35"/>
    <cellStyle name="60% - アクセント 5 2" xfId="36"/>
    <cellStyle name="60% - アクセント 6 2" xfId="37"/>
    <cellStyle name="パーセント 2" xfId="38"/>
    <cellStyle name="パーセント 2 2" xfId="39"/>
    <cellStyle name="パーセント 3" xfId="40"/>
    <cellStyle name="メモ 2" xfId="41"/>
    <cellStyle name="メモ 2 2" xfId="42"/>
    <cellStyle name="桁区切り 2" xfId="43"/>
    <cellStyle name="桁区切り 2 2" xfId="44"/>
    <cellStyle name="桁区切り 3" xfId="45"/>
    <cellStyle name="桁区切り 4" xfId="46"/>
    <cellStyle name="標準 2" xfId="47"/>
    <cellStyle name="標準 2 2" xfId="48"/>
    <cellStyle name="標準 3" xfId="49"/>
    <cellStyle name="標準 4" xfId="50"/>
    <cellStyle name="標準 5" xfId="51"/>
  </cellStyles>
  <colors>
    <indexedColors>
      <rgbColor rgb="FF000000"/>
      <rgbColor rgb="FFFFFFFF"/>
      <rgbColor rgb="FFFF0000"/>
      <rgbColor rgb="FF00FF00"/>
      <rgbColor rgb="FF0000FF"/>
      <rgbColor rgb="FFFFFF00"/>
      <rgbColor rgb="FFFF00FF"/>
      <rgbColor rgb="FFEDEDED"/>
      <rgbColor rgb="FF800000"/>
      <rgbColor rgb="FF008000"/>
      <rgbColor rgb="FF000080"/>
      <rgbColor rgb="FFDBDBDB"/>
      <rgbColor rgb="FF800080"/>
      <rgbColor rgb="FF008080"/>
      <rgbColor rgb="FFC9C9C9"/>
      <rgbColor rgb="FF7F7F7F"/>
      <rgbColor rgb="FF8FAADC"/>
      <rgbColor rgb="FF993366"/>
      <rgbColor rgb="FFFFFFCC"/>
      <rgbColor rgb="FFDEEBF7"/>
      <rgbColor rgb="FF660066"/>
      <rgbColor rgb="FFA6A6A6"/>
      <rgbColor rgb="FF0066CC"/>
      <rgbColor rgb="FFBDD7EE"/>
      <rgbColor rgb="FF000080"/>
      <rgbColor rgb="FFFF00FF"/>
      <rgbColor rgb="FFFFF2CC"/>
      <rgbColor rgb="FFF2F2F2"/>
      <rgbColor rgb="FF800080"/>
      <rgbColor rgb="FF800000"/>
      <rgbColor rgb="FF008080"/>
      <rgbColor rgb="FF0000FF"/>
      <rgbColor rgb="FFE1E1E1"/>
      <rgbColor rgb="FFDAE3F3"/>
      <rgbColor rgb="FFE2F0D9"/>
      <rgbColor rgb="FFFFE699"/>
      <rgbColor rgb="FF9DC3E6"/>
      <rgbColor rgb="FFF4B183"/>
      <rgbColor rgb="FFB2B2B2"/>
      <rgbColor rgb="FFF8CBAD"/>
      <rgbColor rgb="FFFBE5D6"/>
      <rgbColor rgb="FFB4C7E7"/>
      <rgbColor rgb="FFA9D18E"/>
      <rgbColor rgb="FFFFD966"/>
      <rgbColor rgb="FFC5E0B4"/>
      <rgbColor rgb="FFED7D31"/>
      <rgbColor rgb="FFACACAC"/>
      <rgbColor rgb="FFA5A5A5"/>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375" defaultRowHeight="12.7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375" defaultRowHeight="16.5" zeroHeight="false" outlineLevelRow="0" outlineLevelCol="0"/>
  <cols>
    <col collapsed="false" customWidth="true" hidden="false" outlineLevel="0" max="1" min="1" style="1" width="3.7"/>
    <col collapsed="false" customWidth="true" hidden="false" outlineLevel="0" max="2" min="2" style="2" width="98.6"/>
  </cols>
  <sheetData>
    <row r="2" customFormat="false" ht="16.5" hidden="false" customHeight="true" outlineLevel="0" collapsed="false">
      <c r="B2" s="3" t="s">
        <v>0</v>
      </c>
    </row>
    <row r="3" customFormat="false" ht="66" hidden="false" customHeight="true" outlineLevel="0" collapsed="false">
      <c r="B3" s="4" t="s">
        <v>1</v>
      </c>
    </row>
    <row r="5" customFormat="false" ht="33" hidden="false" customHeight="true" outlineLevel="0" collapsed="false">
      <c r="B5" s="4" t="s">
        <v>2</v>
      </c>
    </row>
    <row r="7" customFormat="false" ht="132" hidden="false" customHeight="true" outlineLevel="0" collapsed="false">
      <c r="B7" s="4" t="s">
        <v>3</v>
      </c>
    </row>
    <row r="9" customFormat="false" ht="49.5" hidden="false" customHeight="true" outlineLevel="0" collapsed="false">
      <c r="B9" s="4" t="s">
        <v>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AF798"/>
  <sheetViews>
    <sheetView showFormulas="false" showGridLines="false" showRowColHeaders="true" showZeros="true" rightToLeft="false" tabSelected="true" showOutlineSymbols="true" defaultGridColor="true" view="normal" topLeftCell="A1" colorId="64" zoomScale="72" zoomScaleNormal="72" zoomScalePageLayoutView="100" workbookViewId="0">
      <pane xSplit="1" ySplit="3" topLeftCell="B22" activePane="bottomRight" state="frozen"/>
      <selection pane="topLeft" activeCell="A1" activeCellId="0" sqref="A1"/>
      <selection pane="topRight" activeCell="B1" activeCellId="0" sqref="B1"/>
      <selection pane="bottomLeft" activeCell="A22" activeCellId="0" sqref="A22"/>
      <selection pane="bottomRight" activeCell="J30" activeCellId="0" sqref="J30"/>
    </sheetView>
  </sheetViews>
  <sheetFormatPr defaultColWidth="14.40234375" defaultRowHeight="15" zeroHeight="false" outlineLevelRow="0" outlineLevelCol="1"/>
  <cols>
    <col collapsed="false" customWidth="true" hidden="false" outlineLevel="0" max="1" min="1" style="5" width="26.7"/>
    <col collapsed="false" customWidth="true" hidden="false" outlineLevel="1" max="7" min="2" style="5" width="12.6"/>
    <col collapsed="false" customWidth="true" hidden="false" outlineLevel="1" max="8" min="8" style="5" width="15"/>
    <col collapsed="false" customWidth="true" hidden="false" outlineLevel="1" max="9" min="9" style="5" width="12.6"/>
    <col collapsed="false" customWidth="true" hidden="false" outlineLevel="1" max="10" min="10" style="5" width="15"/>
    <col collapsed="false" customWidth="true" hidden="false" outlineLevel="1" max="12" min="11" style="5" width="11.7"/>
    <col collapsed="false" customWidth="true" hidden="false" outlineLevel="1" max="13" min="13" style="5" width="12.9"/>
    <col collapsed="false" customWidth="true" hidden="false" outlineLevel="1" max="16" min="14" style="5" width="12.6"/>
    <col collapsed="false" customWidth="true" hidden="false" outlineLevel="1" max="17" min="17" style="5" width="13.79"/>
    <col collapsed="false" customWidth="true" hidden="false" outlineLevel="1" max="18" min="18" style="5" width="12.3"/>
    <col collapsed="false" customWidth="true" hidden="false" outlineLevel="1" max="20" min="19" style="5" width="13.79"/>
    <col collapsed="false" customWidth="true" hidden="false" outlineLevel="1" max="21" min="21" style="5" width="13.4"/>
    <col collapsed="false" customWidth="true" hidden="false" outlineLevel="1" max="22" min="22" style="5" width="13.79"/>
    <col collapsed="false" customWidth="true" hidden="false" outlineLevel="1" max="23" min="23" style="5" width="15"/>
    <col collapsed="false" customWidth="true" hidden="false" outlineLevel="1" max="24" min="24" style="5" width="12.6"/>
    <col collapsed="false" customWidth="true" hidden="false" outlineLevel="1" max="25" min="25" style="5" width="15"/>
    <col collapsed="false" customWidth="true" hidden="false" outlineLevel="0" max="26" min="26" style="5" width="8.7"/>
    <col collapsed="false" customWidth="false" hidden="false" outlineLevel="0" max="27" min="27" style="6" width="14.4"/>
    <col collapsed="false" customWidth="true" hidden="false" outlineLevel="0" max="28" min="28" style="6" width="16.4"/>
    <col collapsed="false" customWidth="true" hidden="false" outlineLevel="0" max="29" min="29" style="6" width="28.3"/>
    <col collapsed="false" customWidth="true" hidden="false" outlineLevel="0" max="31" min="30" style="6" width="16.3"/>
    <col collapsed="false" customWidth="false" hidden="false" outlineLevel="0" max="16384" min="32" style="6" width="14.4"/>
  </cols>
  <sheetData>
    <row r="1" customFormat="false" ht="33.75" hidden="false" customHeight="true" outlineLevel="0" collapsed="false">
      <c r="A1" s="7" t="s">
        <v>5</v>
      </c>
      <c r="B1" s="8"/>
      <c r="C1" s="8"/>
      <c r="D1" s="8"/>
      <c r="E1" s="8"/>
      <c r="F1" s="8"/>
      <c r="G1" s="8"/>
      <c r="H1" s="8"/>
      <c r="I1" s="8"/>
      <c r="J1" s="8"/>
      <c r="K1" s="8"/>
      <c r="L1" s="9" t="n">
        <f aca="false">B4+E4+K4</f>
        <v>154685143</v>
      </c>
      <c r="M1" s="9" t="n">
        <f aca="false">B4+E4+H4+K4</f>
        <v>289565955</v>
      </c>
    </row>
    <row r="2" customFormat="false" ht="32.25" hidden="false" customHeight="true" outlineLevel="0" collapsed="false">
      <c r="A2" s="10" t="s">
        <v>6</v>
      </c>
      <c r="B2" s="11" t="s">
        <v>7</v>
      </c>
      <c r="C2" s="11"/>
      <c r="D2" s="11"/>
      <c r="E2" s="11" t="s">
        <v>8</v>
      </c>
      <c r="F2" s="11"/>
      <c r="G2" s="11"/>
      <c r="H2" s="11" t="s">
        <v>9</v>
      </c>
      <c r="I2" s="11"/>
      <c r="J2" s="11"/>
      <c r="K2" s="11" t="s">
        <v>10</v>
      </c>
      <c r="L2" s="11"/>
      <c r="M2" s="11"/>
      <c r="N2" s="12" t="s">
        <v>11</v>
      </c>
      <c r="O2" s="12"/>
      <c r="P2" s="12"/>
      <c r="Q2" s="13" t="s">
        <v>12</v>
      </c>
      <c r="R2" s="13"/>
      <c r="S2" s="13"/>
      <c r="T2" s="13" t="s">
        <v>13</v>
      </c>
      <c r="U2" s="13"/>
      <c r="V2" s="13"/>
      <c r="W2" s="14" t="s">
        <v>14</v>
      </c>
      <c r="X2" s="14"/>
      <c r="Y2" s="14"/>
      <c r="Z2" s="15"/>
    </row>
    <row r="3" customFormat="false" ht="15.75" hidden="false" customHeight="true" outlineLevel="0" collapsed="false">
      <c r="A3" s="10"/>
      <c r="B3" s="16" t="s">
        <v>15</v>
      </c>
      <c r="C3" s="17" t="s">
        <v>16</v>
      </c>
      <c r="D3" s="18" t="s">
        <v>17</v>
      </c>
      <c r="E3" s="16" t="s">
        <v>15</v>
      </c>
      <c r="F3" s="17" t="s">
        <v>16</v>
      </c>
      <c r="G3" s="18" t="s">
        <v>17</v>
      </c>
      <c r="H3" s="16" t="s">
        <v>15</v>
      </c>
      <c r="I3" s="17" t="s">
        <v>16</v>
      </c>
      <c r="J3" s="18" t="s">
        <v>17</v>
      </c>
      <c r="K3" s="16" t="s">
        <v>15</v>
      </c>
      <c r="L3" s="17" t="s">
        <v>16</v>
      </c>
      <c r="M3" s="18" t="s">
        <v>17</v>
      </c>
      <c r="N3" s="16" t="s">
        <v>15</v>
      </c>
      <c r="O3" s="17" t="s">
        <v>16</v>
      </c>
      <c r="P3" s="18" t="s">
        <v>17</v>
      </c>
      <c r="Q3" s="19" t="s">
        <v>15</v>
      </c>
      <c r="R3" s="20" t="s">
        <v>16</v>
      </c>
      <c r="S3" s="21" t="s">
        <v>17</v>
      </c>
      <c r="T3" s="19" t="s">
        <v>15</v>
      </c>
      <c r="U3" s="20" t="s">
        <v>16</v>
      </c>
      <c r="V3" s="21" t="s">
        <v>17</v>
      </c>
      <c r="W3" s="22" t="s">
        <v>15</v>
      </c>
      <c r="X3" s="23" t="s">
        <v>16</v>
      </c>
      <c r="Y3" s="24" t="s">
        <v>17</v>
      </c>
      <c r="Z3" s="15"/>
    </row>
    <row r="4" customFormat="false" ht="16.5" hidden="false" customHeight="true" outlineLevel="0" collapsed="false">
      <c r="A4" s="25" t="s">
        <v>18</v>
      </c>
      <c r="B4" s="26" t="n">
        <f aca="false">SUM(B5:B6)</f>
        <v>97380463</v>
      </c>
      <c r="C4" s="26" t="n">
        <v>0</v>
      </c>
      <c r="D4" s="27" t="n">
        <f aca="false">B4+C4</f>
        <v>97380463</v>
      </c>
      <c r="E4" s="26" t="n">
        <f aca="false">SUM(E5:E6)</f>
        <v>25572530</v>
      </c>
      <c r="F4" s="26" t="n">
        <v>0</v>
      </c>
      <c r="G4" s="26" t="n">
        <f aca="false">E4+F4</f>
        <v>25572530</v>
      </c>
      <c r="H4" s="28" t="n">
        <f aca="false">SUM(H5:H6)</f>
        <v>134880812</v>
      </c>
      <c r="I4" s="26" t="n">
        <v>0</v>
      </c>
      <c r="J4" s="26" t="n">
        <f aca="false">H4+I4</f>
        <v>134880812</v>
      </c>
      <c r="K4" s="28" t="n">
        <f aca="false">SUM(K5:K6)</f>
        <v>31732150</v>
      </c>
      <c r="L4" s="26" t="n">
        <v>0</v>
      </c>
      <c r="M4" s="26" t="n">
        <f aca="false">K4+L4</f>
        <v>31732150</v>
      </c>
      <c r="N4" s="28" t="n">
        <f aca="false">SUM(N5:N6)</f>
        <v>12491900</v>
      </c>
      <c r="O4" s="26" t="n">
        <v>0</v>
      </c>
      <c r="P4" s="26" t="n">
        <f aca="false">N4+O4</f>
        <v>12491900</v>
      </c>
      <c r="Q4" s="28" t="n">
        <f aca="false">SUM(B4+E4)</f>
        <v>122952993</v>
      </c>
      <c r="R4" s="29" t="n">
        <f aca="false">SUM(C4+F4)</f>
        <v>0</v>
      </c>
      <c r="S4" s="29" t="n">
        <f aca="false">SUM(D4+G4)</f>
        <v>122952993</v>
      </c>
      <c r="T4" s="28" t="n">
        <f aca="false">H4+K4</f>
        <v>166612962</v>
      </c>
      <c r="U4" s="29" t="n">
        <f aca="false">I4+L4</f>
        <v>0</v>
      </c>
      <c r="V4" s="29" t="n">
        <f aca="false">J4+M4</f>
        <v>166612962</v>
      </c>
      <c r="W4" s="28" t="n">
        <f aca="false">SUM(B4,E4,H4,K4)</f>
        <v>289565955</v>
      </c>
      <c r="X4" s="29" t="n">
        <f aca="false">SUM(C4,F4,I4,L4)</f>
        <v>0</v>
      </c>
      <c r="Y4" s="29" t="n">
        <f aca="false">SUM(D4,G4,J4,M4)</f>
        <v>289565955</v>
      </c>
      <c r="Z4" s="15"/>
    </row>
    <row r="5" customFormat="false" ht="16.5" hidden="true" customHeight="true" outlineLevel="0" collapsed="false">
      <c r="A5" s="30" t="s">
        <v>18</v>
      </c>
      <c r="B5" s="31" t="n">
        <v>97380463</v>
      </c>
      <c r="C5" s="31" t="n">
        <v>0</v>
      </c>
      <c r="D5" s="32" t="n">
        <f aca="false">B5+C5</f>
        <v>97380463</v>
      </c>
      <c r="E5" s="31" t="n">
        <v>25572530</v>
      </c>
      <c r="F5" s="31" t="n">
        <v>0</v>
      </c>
      <c r="G5" s="31" t="n">
        <f aca="false">E5+F5</f>
        <v>25572530</v>
      </c>
      <c r="H5" s="33" t="n">
        <v>134880812</v>
      </c>
      <c r="I5" s="31" t="n">
        <v>0</v>
      </c>
      <c r="J5" s="31" t="n">
        <f aca="false">H5+I5</f>
        <v>134880812</v>
      </c>
      <c r="K5" s="33" t="n">
        <v>31732150</v>
      </c>
      <c r="L5" s="31" t="n">
        <v>0</v>
      </c>
      <c r="M5" s="31" t="n">
        <f aca="false">K5+L5</f>
        <v>31732150</v>
      </c>
      <c r="N5" s="33" t="n">
        <v>-708100</v>
      </c>
      <c r="O5" s="31" t="n">
        <v>0</v>
      </c>
      <c r="P5" s="31" t="n">
        <f aca="false">N5+O5</f>
        <v>-708100</v>
      </c>
      <c r="Q5" s="34" t="n">
        <f aca="false">SUM(B5+E5)</f>
        <v>122952993</v>
      </c>
      <c r="R5" s="35" t="n">
        <f aca="false">SUM(C5+F5)</f>
        <v>0</v>
      </c>
      <c r="S5" s="35" t="n">
        <f aca="false">SUM(D5+G5)</f>
        <v>122952993</v>
      </c>
      <c r="T5" s="34" t="n">
        <f aca="false">H5+K5</f>
        <v>166612962</v>
      </c>
      <c r="U5" s="35" t="n">
        <f aca="false">I5+L5</f>
        <v>0</v>
      </c>
      <c r="V5" s="35" t="n">
        <f aca="false">J5+M5</f>
        <v>166612962</v>
      </c>
      <c r="W5" s="34" t="n">
        <f aca="false">SUM(B5,E5,H5,K5)</f>
        <v>289565955</v>
      </c>
      <c r="X5" s="35" t="n">
        <f aca="false">SUM(C5,F5,I5,L5)</f>
        <v>0</v>
      </c>
      <c r="Y5" s="35" t="n">
        <f aca="false">SUM(D5,G5,J5,M5)</f>
        <v>289565955</v>
      </c>
      <c r="Z5" s="15"/>
      <c r="AA5" s="7" t="s">
        <v>19</v>
      </c>
    </row>
    <row r="6" customFormat="false" ht="16.5" hidden="true" customHeight="true" outlineLevel="0" collapsed="false">
      <c r="A6" s="30" t="s">
        <v>20</v>
      </c>
      <c r="B6" s="31" t="n">
        <v>0</v>
      </c>
      <c r="C6" s="31" t="n">
        <v>0</v>
      </c>
      <c r="D6" s="31" t="n">
        <f aca="false">B6+C6</f>
        <v>0</v>
      </c>
      <c r="E6" s="33" t="n">
        <v>0</v>
      </c>
      <c r="F6" s="31" t="n">
        <v>0</v>
      </c>
      <c r="G6" s="31" t="n">
        <f aca="false">E6+F6</f>
        <v>0</v>
      </c>
      <c r="H6" s="33" t="n">
        <v>0</v>
      </c>
      <c r="I6" s="31" t="n">
        <v>0</v>
      </c>
      <c r="J6" s="31" t="n">
        <f aca="false">H6+I6</f>
        <v>0</v>
      </c>
      <c r="K6" s="33" t="n">
        <v>0</v>
      </c>
      <c r="L6" s="31" t="n">
        <v>0</v>
      </c>
      <c r="M6" s="31" t="n">
        <f aca="false">K6+L6</f>
        <v>0</v>
      </c>
      <c r="N6" s="33" t="n">
        <v>13200000</v>
      </c>
      <c r="O6" s="31" t="n">
        <v>0</v>
      </c>
      <c r="P6" s="31" t="n">
        <f aca="false">N6+O6</f>
        <v>13200000</v>
      </c>
      <c r="Q6" s="34" t="n">
        <f aca="false">SUM(B6+E6)</f>
        <v>0</v>
      </c>
      <c r="R6" s="35" t="n">
        <f aca="false">SUM(C6+F6)</f>
        <v>0</v>
      </c>
      <c r="S6" s="35" t="n">
        <f aca="false">SUM(D6+G6)</f>
        <v>0</v>
      </c>
      <c r="T6" s="34" t="n">
        <f aca="false">H6+K6</f>
        <v>0</v>
      </c>
      <c r="U6" s="35" t="n">
        <f aca="false">I6+L6</f>
        <v>0</v>
      </c>
      <c r="V6" s="35" t="n">
        <f aca="false">J6+M6</f>
        <v>0</v>
      </c>
      <c r="W6" s="34" t="n">
        <f aca="false">SUM(B6,E6,H6,K6)</f>
        <v>0</v>
      </c>
      <c r="X6" s="35" t="n">
        <f aca="false">SUM(C6,F6,I6,L6)</f>
        <v>0</v>
      </c>
      <c r="Y6" s="35" t="n">
        <f aca="false">SUM(D6,G6,J6,M6)</f>
        <v>0</v>
      </c>
      <c r="Z6" s="15"/>
    </row>
    <row r="7" customFormat="false" ht="15.75" hidden="false" customHeight="true" outlineLevel="0" collapsed="false">
      <c r="A7" s="25" t="s">
        <v>21</v>
      </c>
      <c r="B7" s="26" t="n">
        <v>0</v>
      </c>
      <c r="C7" s="26" t="n">
        <v>0</v>
      </c>
      <c r="D7" s="26" t="n">
        <f aca="false">B7+C7</f>
        <v>0</v>
      </c>
      <c r="E7" s="28" t="n">
        <v>0</v>
      </c>
      <c r="F7" s="26" t="n">
        <v>0</v>
      </c>
      <c r="G7" s="26" t="n">
        <f aca="false">E7+F7</f>
        <v>0</v>
      </c>
      <c r="H7" s="28" t="n">
        <v>0</v>
      </c>
      <c r="I7" s="26" t="n">
        <v>0</v>
      </c>
      <c r="J7" s="26" t="n">
        <f aca="false">H7+I7</f>
        <v>0</v>
      </c>
      <c r="K7" s="28" t="n">
        <v>0</v>
      </c>
      <c r="L7" s="26" t="n">
        <v>0</v>
      </c>
      <c r="M7" s="26" t="n">
        <f aca="false">K7+L7</f>
        <v>0</v>
      </c>
      <c r="N7" s="28" t="n">
        <v>0</v>
      </c>
      <c r="O7" s="26" t="n">
        <v>0</v>
      </c>
      <c r="P7" s="26" t="n">
        <f aca="false">N7+O7</f>
        <v>0</v>
      </c>
      <c r="Q7" s="36" t="n">
        <f aca="false">SUM(B7+E7)</f>
        <v>0</v>
      </c>
      <c r="R7" s="29" t="n">
        <f aca="false">SUM(C7+F7)</f>
        <v>0</v>
      </c>
      <c r="S7" s="29" t="n">
        <f aca="false">SUM(D7+G7)</f>
        <v>0</v>
      </c>
      <c r="T7" s="36" t="n">
        <f aca="false">H7+K7</f>
        <v>0</v>
      </c>
      <c r="U7" s="29" t="n">
        <f aca="false">I7+L7</f>
        <v>0</v>
      </c>
      <c r="V7" s="29" t="n">
        <f aca="false">J7+M7</f>
        <v>0</v>
      </c>
      <c r="W7" s="36" t="n">
        <f aca="false">SUM(B7,E7,H7,K7)</f>
        <v>0</v>
      </c>
      <c r="X7" s="29" t="n">
        <f aca="false">SUM(C7,F7,I7,L7)</f>
        <v>0</v>
      </c>
      <c r="Y7" s="29" t="n">
        <f aca="false">SUM(D7,G7,J7,M7)</f>
        <v>0</v>
      </c>
      <c r="Z7" s="15"/>
    </row>
    <row r="8" customFormat="false" ht="15.75" hidden="false" customHeight="true" outlineLevel="0" collapsed="false">
      <c r="A8" s="25" t="s">
        <v>22</v>
      </c>
      <c r="B8" s="26" t="n">
        <f aca="false">B4-B7</f>
        <v>97380463</v>
      </c>
      <c r="C8" s="26" t="n">
        <v>0</v>
      </c>
      <c r="D8" s="26" t="n">
        <f aca="false">B8+C8</f>
        <v>97380463</v>
      </c>
      <c r="E8" s="28" t="n">
        <f aca="false">E4-E7</f>
        <v>25572530</v>
      </c>
      <c r="F8" s="26" t="n">
        <v>0</v>
      </c>
      <c r="G8" s="26" t="n">
        <f aca="false">E8+F8</f>
        <v>25572530</v>
      </c>
      <c r="H8" s="28" t="n">
        <f aca="false">H4-H7</f>
        <v>134880812</v>
      </c>
      <c r="I8" s="26" t="n">
        <v>0</v>
      </c>
      <c r="J8" s="26" t="n">
        <f aca="false">H8+I8</f>
        <v>134880812</v>
      </c>
      <c r="K8" s="28" t="n">
        <f aca="false">K4-K7</f>
        <v>31732150</v>
      </c>
      <c r="L8" s="26" t="n">
        <v>0</v>
      </c>
      <c r="M8" s="26" t="n">
        <f aca="false">K8+L8</f>
        <v>31732150</v>
      </c>
      <c r="N8" s="28" t="n">
        <f aca="false">N4-N7</f>
        <v>12491900</v>
      </c>
      <c r="O8" s="26" t="n">
        <v>0</v>
      </c>
      <c r="P8" s="26" t="n">
        <f aca="false">N8+O8</f>
        <v>12491900</v>
      </c>
      <c r="Q8" s="36" t="n">
        <f aca="false">SUM(B8+E8)</f>
        <v>122952993</v>
      </c>
      <c r="R8" s="29" t="n">
        <f aca="false">SUM(C8+F8)</f>
        <v>0</v>
      </c>
      <c r="S8" s="29" t="n">
        <f aca="false">SUM(D8+G8)</f>
        <v>122952993</v>
      </c>
      <c r="T8" s="36" t="n">
        <f aca="false">H8+K8</f>
        <v>166612962</v>
      </c>
      <c r="U8" s="29" t="n">
        <f aca="false">I8+L8</f>
        <v>0</v>
      </c>
      <c r="V8" s="29" t="n">
        <f aca="false">J8+M8</f>
        <v>166612962</v>
      </c>
      <c r="W8" s="36" t="n">
        <f aca="false">SUM(B8,E8,H8,K8)</f>
        <v>289565955</v>
      </c>
      <c r="X8" s="29" t="n">
        <f aca="false">SUM(C8,F8,I8,L8)</f>
        <v>0</v>
      </c>
      <c r="Y8" s="29" t="n">
        <f aca="false">SUM(D8,G8,J8,M8)</f>
        <v>289565955</v>
      </c>
      <c r="Z8" s="15"/>
      <c r="AD8" s="37"/>
      <c r="AE8" s="37"/>
    </row>
    <row r="9" customFormat="false" ht="15.75" hidden="false" customHeight="true" outlineLevel="0" collapsed="false">
      <c r="A9" s="25" t="s">
        <v>23</v>
      </c>
      <c r="B9" s="26" t="n">
        <f aca="false">B10+SUM(B16:B43)</f>
        <v>84749341</v>
      </c>
      <c r="C9" s="26" t="n">
        <f aca="false">C10+SUM(C16:C43)</f>
        <v>-6553888.52565934</v>
      </c>
      <c r="D9" s="26" t="n">
        <f aca="false">D10+SUM(D16:D43)</f>
        <v>78195452.4743407</v>
      </c>
      <c r="E9" s="28" t="n">
        <f aca="false">E10+SUM(E16:E43)</f>
        <v>21351823</v>
      </c>
      <c r="F9" s="26" t="n">
        <f aca="false">F10+SUM(F16:F43)</f>
        <v>-2622262.24695466</v>
      </c>
      <c r="G9" s="26" t="n">
        <f aca="false">E9+F9</f>
        <v>18729560.7530453</v>
      </c>
      <c r="H9" s="28" t="n">
        <f aca="false">H10+SUM(H16:H43)</f>
        <v>119830678</v>
      </c>
      <c r="I9" s="26" t="n">
        <f aca="false">I10+SUM(I16:I43)</f>
        <v>21801066.605755</v>
      </c>
      <c r="J9" s="26" t="n">
        <f aca="false">H9+I9</f>
        <v>141631744.605755</v>
      </c>
      <c r="K9" s="28" t="n">
        <f aca="false">K10+SUM(K16:K43)</f>
        <v>21681104</v>
      </c>
      <c r="L9" s="26" t="n">
        <f aca="false">L10+SUM(L16:L43)</f>
        <v>-4194610.83314097</v>
      </c>
      <c r="M9" s="26" t="n">
        <f aca="false">K9+L9</f>
        <v>17486493.166859</v>
      </c>
      <c r="N9" s="28" t="n">
        <f aca="false">N10+SUM(N16:N43)</f>
        <v>94572730</v>
      </c>
      <c r="O9" s="26" t="n">
        <f aca="false">O10+SUM(O16:O43)</f>
        <v>-47260868</v>
      </c>
      <c r="P9" s="26" t="n">
        <f aca="false">N9+O9</f>
        <v>47311862</v>
      </c>
      <c r="Q9" s="36" t="n">
        <f aca="false">SUM(B9+E9)</f>
        <v>106101164</v>
      </c>
      <c r="R9" s="29" t="n">
        <f aca="false">SUM(C9+F9)</f>
        <v>-9176150.772614</v>
      </c>
      <c r="S9" s="29" t="n">
        <f aca="false">SUM(D9+G9)</f>
        <v>96925013.227386</v>
      </c>
      <c r="T9" s="36" t="n">
        <f aca="false">H9+K9</f>
        <v>141511782</v>
      </c>
      <c r="U9" s="29" t="n">
        <f aca="false">I9+L9</f>
        <v>17606455.772614</v>
      </c>
      <c r="V9" s="29" t="n">
        <f aca="false">J9+M9</f>
        <v>159118237.772614</v>
      </c>
      <c r="W9" s="36" t="n">
        <f aca="false">SUM(B9,E9,H9,K9)</f>
        <v>247612946</v>
      </c>
      <c r="X9" s="29" t="n">
        <f aca="false">SUM(C9,F9,I9,L9)</f>
        <v>8430305</v>
      </c>
      <c r="Y9" s="29" t="n">
        <f aca="false">SUM(D9,G9,J9,M9)</f>
        <v>256043251</v>
      </c>
      <c r="Z9" s="15"/>
      <c r="AE9" s="38"/>
      <c r="AF9" s="39"/>
    </row>
    <row r="10" customFormat="false" ht="15.75" hidden="false" customHeight="true" outlineLevel="0" collapsed="false">
      <c r="A10" s="40" t="s">
        <v>24</v>
      </c>
      <c r="B10" s="41" t="n">
        <f aca="false">SUM(B11:B15)</f>
        <v>42303396</v>
      </c>
      <c r="C10" s="41" t="n">
        <f aca="false">SUM(C11:C15)</f>
        <v>0</v>
      </c>
      <c r="D10" s="41" t="n">
        <f aca="false">B10+C10</f>
        <v>42303396</v>
      </c>
      <c r="E10" s="42" t="n">
        <f aca="false">SUM(E11:E15)</f>
        <v>6509683</v>
      </c>
      <c r="F10" s="41" t="n">
        <f aca="false">SUM(F11:F15)</f>
        <v>0</v>
      </c>
      <c r="G10" s="41" t="n">
        <f aca="false">E10+F10</f>
        <v>6509683</v>
      </c>
      <c r="H10" s="42" t="n">
        <f aca="false">SUM(H11:H15)</f>
        <v>32642425</v>
      </c>
      <c r="I10" s="41" t="n">
        <f aca="false">SUM(I11:I15)</f>
        <v>31849878</v>
      </c>
      <c r="J10" s="41" t="n">
        <f aca="false">H10+I10</f>
        <v>64492303</v>
      </c>
      <c r="K10" s="42" t="n">
        <f aca="false">SUM(K11:K15)</f>
        <v>12035302</v>
      </c>
      <c r="L10" s="41" t="n">
        <f aca="false">SUM(L11:L15)</f>
        <v>0</v>
      </c>
      <c r="M10" s="41" t="n">
        <f aca="false">K10+L10</f>
        <v>12035302</v>
      </c>
      <c r="N10" s="42" t="n">
        <f aca="false">SUM(N11:N15)</f>
        <v>45092289</v>
      </c>
      <c r="O10" s="41" t="n">
        <f aca="false">SUM(O11:O15)</f>
        <v>-31849878</v>
      </c>
      <c r="P10" s="41" t="n">
        <f aca="false">N10+O10</f>
        <v>13242411</v>
      </c>
      <c r="Q10" s="43" t="n">
        <f aca="false">SUM(B10+E10)</f>
        <v>48813079</v>
      </c>
      <c r="R10" s="44" t="n">
        <f aca="false">SUM(C10+F10)</f>
        <v>0</v>
      </c>
      <c r="S10" s="44" t="n">
        <f aca="false">SUM(D10+G10)</f>
        <v>48813079</v>
      </c>
      <c r="T10" s="43" t="n">
        <f aca="false">H10+K10</f>
        <v>44677727</v>
      </c>
      <c r="U10" s="44" t="n">
        <f aca="false">I10+L10</f>
        <v>31849878</v>
      </c>
      <c r="V10" s="44" t="n">
        <f aca="false">J10+M10</f>
        <v>76527605</v>
      </c>
      <c r="W10" s="43" t="n">
        <f aca="false">SUM(B10,E10,H10,K10)</f>
        <v>93490806</v>
      </c>
      <c r="X10" s="44" t="n">
        <f aca="false">SUM(C10,F10,I10,L10)</f>
        <v>31849878</v>
      </c>
      <c r="Y10" s="44" t="n">
        <f aca="false">SUM(D10,G10,J10,M10)</f>
        <v>125340684</v>
      </c>
      <c r="Z10" s="15"/>
      <c r="AE10" s="38"/>
      <c r="AF10" s="39"/>
    </row>
    <row r="11" customFormat="false" ht="15.75" hidden="false" customHeight="true" outlineLevel="0" collapsed="false">
      <c r="A11" s="45" t="s">
        <v>25</v>
      </c>
      <c r="B11" s="31" t="n">
        <v>0</v>
      </c>
      <c r="C11" s="31" t="n">
        <v>0</v>
      </c>
      <c r="D11" s="31" t="n">
        <f aca="false">B11+C11</f>
        <v>0</v>
      </c>
      <c r="E11" s="46" t="n">
        <v>0</v>
      </c>
      <c r="F11" s="47" t="n">
        <v>0</v>
      </c>
      <c r="G11" s="47" t="n">
        <f aca="false">E11+F11</f>
        <v>0</v>
      </c>
      <c r="H11" s="46" t="n">
        <v>0</v>
      </c>
      <c r="I11" s="47" t="n">
        <f aca="false">-O11</f>
        <v>12000000</v>
      </c>
      <c r="J11" s="47" t="n">
        <f aca="false">H11+I11</f>
        <v>12000000</v>
      </c>
      <c r="K11" s="46" t="n">
        <v>0</v>
      </c>
      <c r="L11" s="47" t="n">
        <v>0</v>
      </c>
      <c r="M11" s="47" t="n">
        <f aca="false">K11+L11</f>
        <v>0</v>
      </c>
      <c r="N11" s="46" t="n">
        <v>12000000</v>
      </c>
      <c r="O11" s="47" t="n">
        <f aca="false">-N11</f>
        <v>-12000000</v>
      </c>
      <c r="P11" s="48" t="n">
        <f aca="false">N11+O11</f>
        <v>0</v>
      </c>
      <c r="Q11" s="49" t="n">
        <f aca="false">SUM(B11+E11)</f>
        <v>0</v>
      </c>
      <c r="R11" s="48" t="n">
        <f aca="false">SUM(C11+F11)</f>
        <v>0</v>
      </c>
      <c r="S11" s="48" t="n">
        <f aca="false">SUM(D11+G11)</f>
        <v>0</v>
      </c>
      <c r="T11" s="49" t="n">
        <f aca="false">H11+K11</f>
        <v>0</v>
      </c>
      <c r="U11" s="48" t="n">
        <f aca="false">I11+L11</f>
        <v>12000000</v>
      </c>
      <c r="V11" s="48" t="n">
        <f aca="false">J11+M11</f>
        <v>12000000</v>
      </c>
      <c r="W11" s="49" t="n">
        <f aca="false">SUM(B11,E11,H11,K11)</f>
        <v>0</v>
      </c>
      <c r="X11" s="48" t="n">
        <f aca="false">SUM(C11,F11,I11,L11)</f>
        <v>12000000</v>
      </c>
      <c r="Y11" s="48" t="n">
        <f aca="false">SUM(D11,G11,J11,M11)</f>
        <v>12000000</v>
      </c>
      <c r="Z11" s="15"/>
      <c r="AA11" s="7" t="s">
        <v>26</v>
      </c>
      <c r="AE11" s="38"/>
      <c r="AF11" s="39"/>
    </row>
    <row r="12" customFormat="false" ht="15.75" hidden="false" customHeight="true" outlineLevel="0" collapsed="false">
      <c r="A12" s="50" t="s">
        <v>27</v>
      </c>
      <c r="B12" s="31" t="n">
        <v>35873203</v>
      </c>
      <c r="C12" s="31" t="n">
        <v>0</v>
      </c>
      <c r="D12" s="31" t="n">
        <f aca="false">B12+C12</f>
        <v>35873203</v>
      </c>
      <c r="E12" s="46" t="n">
        <v>5460000</v>
      </c>
      <c r="F12" s="47" t="n">
        <v>0</v>
      </c>
      <c r="G12" s="47" t="n">
        <f aca="false">E12+F12</f>
        <v>5460000</v>
      </c>
      <c r="H12" s="46" t="n">
        <v>28184333</v>
      </c>
      <c r="I12" s="47" t="n">
        <f aca="false">SUM(内訳_共通部門!O6:O7)</f>
        <v>16920000</v>
      </c>
      <c r="J12" s="47" t="n">
        <f aca="false">H12+I12</f>
        <v>45104333</v>
      </c>
      <c r="K12" s="46" t="n">
        <v>10470000</v>
      </c>
      <c r="L12" s="47" t="n">
        <v>0</v>
      </c>
      <c r="M12" s="47" t="n">
        <f aca="false">K12+L12</f>
        <v>10470000</v>
      </c>
      <c r="N12" s="46" t="n">
        <v>27553741</v>
      </c>
      <c r="O12" s="47" t="n">
        <f aca="false">-SUM(内訳_共通部門!O6:O7)</f>
        <v>-16920000</v>
      </c>
      <c r="P12" s="47" t="n">
        <f aca="false">N12+O12</f>
        <v>10633741</v>
      </c>
      <c r="Q12" s="49" t="n">
        <f aca="false">SUM(B12+E12)</f>
        <v>41333203</v>
      </c>
      <c r="R12" s="48" t="n">
        <f aca="false">SUM(C12+F12)</f>
        <v>0</v>
      </c>
      <c r="S12" s="48" t="n">
        <f aca="false">SUM(D12+G12)</f>
        <v>41333203</v>
      </c>
      <c r="T12" s="49" t="n">
        <f aca="false">H12+K12</f>
        <v>38654333</v>
      </c>
      <c r="U12" s="48" t="n">
        <f aca="false">I12+L12</f>
        <v>16920000</v>
      </c>
      <c r="V12" s="48" t="n">
        <f aca="false">J12+M12</f>
        <v>55574333</v>
      </c>
      <c r="W12" s="49" t="n">
        <f aca="false">SUM(B12,E12,H12,K12)</f>
        <v>79987536</v>
      </c>
      <c r="X12" s="48" t="n">
        <f aca="false">SUM(C12,F12,I12,L12)</f>
        <v>16920000</v>
      </c>
      <c r="Y12" s="48" t="n">
        <f aca="false">SUM(D12,G12,J12,M12)</f>
        <v>96907536</v>
      </c>
      <c r="Z12" s="15"/>
      <c r="AA12" s="7" t="s">
        <v>28</v>
      </c>
      <c r="AC12" s="51"/>
      <c r="AE12" s="52"/>
      <c r="AF12" s="39"/>
    </row>
    <row r="13" customFormat="false" ht="15.75" hidden="false" customHeight="true" outlineLevel="0" collapsed="false">
      <c r="A13" s="53" t="s">
        <v>29</v>
      </c>
      <c r="B13" s="31" t="n">
        <v>0</v>
      </c>
      <c r="C13" s="31" t="n">
        <v>0</v>
      </c>
      <c r="D13" s="31" t="n">
        <f aca="false">B13+C13</f>
        <v>0</v>
      </c>
      <c r="E13" s="46" t="n">
        <v>0</v>
      </c>
      <c r="F13" s="47" t="n">
        <v>0</v>
      </c>
      <c r="G13" s="47" t="n">
        <f aca="false">E13+F13</f>
        <v>0</v>
      </c>
      <c r="H13" s="46" t="n">
        <v>0</v>
      </c>
      <c r="I13" s="47" t="n">
        <v>0</v>
      </c>
      <c r="J13" s="47" t="n">
        <f aca="false">H13+I13</f>
        <v>0</v>
      </c>
      <c r="K13" s="46" t="n">
        <v>0</v>
      </c>
      <c r="L13" s="47" t="n">
        <v>0</v>
      </c>
      <c r="M13" s="47" t="n">
        <f aca="false">K13+L13</f>
        <v>0</v>
      </c>
      <c r="N13" s="46" t="n">
        <v>0</v>
      </c>
      <c r="O13" s="47" t="n">
        <v>0</v>
      </c>
      <c r="P13" s="47" t="n">
        <f aca="false">N13+O13</f>
        <v>0</v>
      </c>
      <c r="Q13" s="49" t="n">
        <f aca="false">SUM(B13+E13)</f>
        <v>0</v>
      </c>
      <c r="R13" s="48" t="n">
        <f aca="false">SUM(C13+F13)</f>
        <v>0</v>
      </c>
      <c r="S13" s="48" t="n">
        <f aca="false">SUM(D13+G13)</f>
        <v>0</v>
      </c>
      <c r="T13" s="49" t="n">
        <f aca="false">H13+K13</f>
        <v>0</v>
      </c>
      <c r="U13" s="48" t="n">
        <f aca="false">I13+L13</f>
        <v>0</v>
      </c>
      <c r="V13" s="48" t="n">
        <f aca="false">J13+M13</f>
        <v>0</v>
      </c>
      <c r="W13" s="49" t="n">
        <f aca="false">SUM(B13,E13,H13,K13)</f>
        <v>0</v>
      </c>
      <c r="X13" s="48" t="n">
        <f aca="false">SUM(C13,F13,I13,L13)</f>
        <v>0</v>
      </c>
      <c r="Y13" s="48" t="n">
        <f aca="false">SUM(D13,G13,J13,M13)</f>
        <v>0</v>
      </c>
      <c r="Z13" s="15"/>
    </row>
    <row r="14" customFormat="false" ht="15.75" hidden="false" customHeight="true" outlineLevel="0" collapsed="false">
      <c r="A14" s="50" t="s">
        <v>30</v>
      </c>
      <c r="B14" s="31" t="n">
        <v>5806193</v>
      </c>
      <c r="C14" s="31" t="n">
        <v>0</v>
      </c>
      <c r="D14" s="31" t="n">
        <f aca="false">B14+C14</f>
        <v>5806193</v>
      </c>
      <c r="E14" s="46" t="n">
        <v>941683</v>
      </c>
      <c r="F14" s="47" t="n">
        <v>0</v>
      </c>
      <c r="G14" s="47" t="n">
        <f aca="false">E14+F14</f>
        <v>941683</v>
      </c>
      <c r="H14" s="46" t="n">
        <v>4273092</v>
      </c>
      <c r="I14" s="47" t="n">
        <f aca="false">SUM(内訳_共通部門!O10:O11)</f>
        <v>2785878</v>
      </c>
      <c r="J14" s="47" t="n">
        <f aca="false">H14+I14</f>
        <v>7058970</v>
      </c>
      <c r="K14" s="46" t="n">
        <v>1481302</v>
      </c>
      <c r="L14" s="47" t="n">
        <v>0</v>
      </c>
      <c r="M14" s="47" t="n">
        <f aca="false">K14+L14</f>
        <v>1481302</v>
      </c>
      <c r="N14" s="46" t="n">
        <v>5310548</v>
      </c>
      <c r="O14" s="47" t="n">
        <f aca="false">-SUM(内訳_共通部門!O10:O11)</f>
        <v>-2785878</v>
      </c>
      <c r="P14" s="47" t="n">
        <f aca="false">N14+O14</f>
        <v>2524670</v>
      </c>
      <c r="Q14" s="49" t="n">
        <f aca="false">SUM(B14+E14)</f>
        <v>6747876</v>
      </c>
      <c r="R14" s="48" t="n">
        <f aca="false">SUM(C14+F14)</f>
        <v>0</v>
      </c>
      <c r="S14" s="48" t="n">
        <f aca="false">SUM(D14+G14)</f>
        <v>6747876</v>
      </c>
      <c r="T14" s="49" t="n">
        <f aca="false">H14+K14</f>
        <v>5754394</v>
      </c>
      <c r="U14" s="48" t="n">
        <f aca="false">I14+L14</f>
        <v>2785878</v>
      </c>
      <c r="V14" s="48" t="n">
        <f aca="false">J14+M14</f>
        <v>8540272</v>
      </c>
      <c r="W14" s="49" t="n">
        <f aca="false">SUM(B14,E14,H14,K14)</f>
        <v>12502270</v>
      </c>
      <c r="X14" s="48" t="n">
        <f aca="false">SUM(C14,F14,I14,L14)</f>
        <v>2785878</v>
      </c>
      <c r="Y14" s="48" t="n">
        <f aca="false">SUM(D14,G14,J14,M14)</f>
        <v>15288148</v>
      </c>
      <c r="Z14" s="15"/>
      <c r="AA14" s="7" t="s">
        <v>31</v>
      </c>
    </row>
    <row r="15" customFormat="false" ht="15.75" hidden="false" customHeight="true" outlineLevel="0" collapsed="false">
      <c r="A15" s="53" t="s">
        <v>32</v>
      </c>
      <c r="B15" s="31" t="n">
        <v>624000</v>
      </c>
      <c r="C15" s="31" t="n">
        <v>0</v>
      </c>
      <c r="D15" s="31" t="n">
        <f aca="false">B15+C15</f>
        <v>624000</v>
      </c>
      <c r="E15" s="46" t="n">
        <v>108000</v>
      </c>
      <c r="F15" s="47" t="n">
        <v>0</v>
      </c>
      <c r="G15" s="47" t="n">
        <f aca="false">E15+F15</f>
        <v>108000</v>
      </c>
      <c r="H15" s="46" t="n">
        <v>185000</v>
      </c>
      <c r="I15" s="47" t="n">
        <f aca="false">SUM(内訳_共通部門!O17:O18)</f>
        <v>144000</v>
      </c>
      <c r="J15" s="47" t="n">
        <f aca="false">H15+I15</f>
        <v>329000</v>
      </c>
      <c r="K15" s="46" t="n">
        <v>84000</v>
      </c>
      <c r="L15" s="47" t="n">
        <v>0</v>
      </c>
      <c r="M15" s="47" t="n">
        <f aca="false">K15+L15</f>
        <v>84000</v>
      </c>
      <c r="N15" s="46" t="n">
        <v>228000</v>
      </c>
      <c r="O15" s="47" t="n">
        <f aca="false">-SUM(内訳_共通部門!O17:O18)</f>
        <v>-144000</v>
      </c>
      <c r="P15" s="47" t="n">
        <f aca="false">N15+O15</f>
        <v>84000</v>
      </c>
      <c r="Q15" s="49" t="n">
        <f aca="false">SUM(B15+E15)</f>
        <v>732000</v>
      </c>
      <c r="R15" s="48" t="n">
        <f aca="false">SUM(C15+F15)</f>
        <v>0</v>
      </c>
      <c r="S15" s="48" t="n">
        <f aca="false">SUM(D15+G15)</f>
        <v>732000</v>
      </c>
      <c r="T15" s="49" t="n">
        <f aca="false">H15+K15</f>
        <v>269000</v>
      </c>
      <c r="U15" s="48" t="n">
        <f aca="false">I15+L15</f>
        <v>144000</v>
      </c>
      <c r="V15" s="48" t="n">
        <f aca="false">J15+M15</f>
        <v>413000</v>
      </c>
      <c r="W15" s="49" t="n">
        <f aca="false">SUM(B15,E15,H15,K15)</f>
        <v>1001000</v>
      </c>
      <c r="X15" s="48" t="n">
        <f aca="false">SUM(C15,F15,I15,L15)</f>
        <v>144000</v>
      </c>
      <c r="Y15" s="48" t="n">
        <f aca="false">SUM(D15,G15,J15,M15)</f>
        <v>1145000</v>
      </c>
      <c r="Z15" s="15"/>
    </row>
    <row r="16" customFormat="false" ht="16.5" hidden="false" customHeight="true" outlineLevel="0" collapsed="false">
      <c r="A16" s="54" t="s">
        <v>33</v>
      </c>
      <c r="B16" s="31" t="n">
        <v>119890</v>
      </c>
      <c r="C16" s="31" t="n">
        <v>0</v>
      </c>
      <c r="D16" s="31" t="n">
        <f aca="false">B16+C16</f>
        <v>119890</v>
      </c>
      <c r="E16" s="46" t="n">
        <v>8091</v>
      </c>
      <c r="F16" s="47" t="n">
        <v>0</v>
      </c>
      <c r="G16" s="47" t="n">
        <f aca="false">E16+F16</f>
        <v>8091</v>
      </c>
      <c r="H16" s="46" t="n">
        <v>39402</v>
      </c>
      <c r="I16" s="47" t="n">
        <f aca="false">SUM(内訳_共通部門!O14:O16)</f>
        <v>59178</v>
      </c>
      <c r="J16" s="47" t="n">
        <f aca="false">H16+I16</f>
        <v>98580</v>
      </c>
      <c r="K16" s="46" t="n">
        <v>4802</v>
      </c>
      <c r="L16" s="47" t="n">
        <v>0</v>
      </c>
      <c r="M16" s="47" t="n">
        <f aca="false">K16+L16</f>
        <v>4802</v>
      </c>
      <c r="N16" s="46" t="n">
        <v>716977</v>
      </c>
      <c r="O16" s="47" t="n">
        <f aca="false">-SUM(内訳_共通部門!O14:O15)</f>
        <v>-59178</v>
      </c>
      <c r="P16" s="47" t="n">
        <f aca="false">N16+O16</f>
        <v>657799</v>
      </c>
      <c r="Q16" s="49" t="n">
        <f aca="false">SUM(B16+E16)</f>
        <v>127981</v>
      </c>
      <c r="R16" s="48" t="n">
        <f aca="false">SUM(C16+F16)</f>
        <v>0</v>
      </c>
      <c r="S16" s="48" t="n">
        <f aca="false">SUM(D16+G16)</f>
        <v>127981</v>
      </c>
      <c r="T16" s="49" t="n">
        <f aca="false">H16+K16</f>
        <v>44204</v>
      </c>
      <c r="U16" s="48" t="n">
        <f aca="false">I16+L16</f>
        <v>59178</v>
      </c>
      <c r="V16" s="48" t="n">
        <f aca="false">J16+M16</f>
        <v>103382</v>
      </c>
      <c r="W16" s="49" t="n">
        <f aca="false">SUM(B16,E16,H16,K16)</f>
        <v>172185</v>
      </c>
      <c r="X16" s="48" t="n">
        <f aca="false">SUM(C16,F16,I16,L16)</f>
        <v>59178</v>
      </c>
      <c r="Y16" s="48" t="n">
        <f aca="false">SUM(D16,G16,J16,M16)</f>
        <v>231363</v>
      </c>
      <c r="Z16" s="15"/>
      <c r="AA16" s="7" t="s">
        <v>34</v>
      </c>
    </row>
    <row r="17" customFormat="false" ht="16.5" hidden="false" customHeight="true" outlineLevel="0" collapsed="false">
      <c r="A17" s="54" t="s">
        <v>35</v>
      </c>
      <c r="B17" s="31" t="n">
        <v>789274</v>
      </c>
      <c r="C17" s="31" t="n">
        <v>0</v>
      </c>
      <c r="D17" s="31" t="n">
        <f aca="false">B17+C17</f>
        <v>789274</v>
      </c>
      <c r="E17" s="46" t="n">
        <v>301928</v>
      </c>
      <c r="F17" s="47" t="n">
        <v>0</v>
      </c>
      <c r="G17" s="47" t="n">
        <f aca="false">E17+F17</f>
        <v>301928</v>
      </c>
      <c r="H17" s="46" t="n">
        <v>623630</v>
      </c>
      <c r="I17" s="47" t="n">
        <f aca="false">SUM(内訳_共通部門!O2:O3)</f>
        <v>137405</v>
      </c>
      <c r="J17" s="47" t="n">
        <f aca="false">H17+I17</f>
        <v>761035</v>
      </c>
      <c r="K17" s="46" t="n">
        <v>177220</v>
      </c>
      <c r="L17" s="47" t="n">
        <v>0</v>
      </c>
      <c r="M17" s="47" t="n">
        <f aca="false">K17+L17</f>
        <v>177220</v>
      </c>
      <c r="N17" s="46" t="n">
        <v>137405</v>
      </c>
      <c r="O17" s="47" t="n">
        <f aca="false">-SUM(内訳_共通部門!O2:O3)</f>
        <v>-137405</v>
      </c>
      <c r="P17" s="47" t="n">
        <f aca="false">N17+O17</f>
        <v>0</v>
      </c>
      <c r="Q17" s="49" t="n">
        <f aca="false">SUM(B17+E17)</f>
        <v>1091202</v>
      </c>
      <c r="R17" s="48" t="n">
        <f aca="false">SUM(C17+F17)</f>
        <v>0</v>
      </c>
      <c r="S17" s="48" t="n">
        <f aca="false">SUM(D17+G17)</f>
        <v>1091202</v>
      </c>
      <c r="T17" s="49" t="n">
        <f aca="false">H17+K17</f>
        <v>800850</v>
      </c>
      <c r="U17" s="48" t="n">
        <f aca="false">I17+L17</f>
        <v>137405</v>
      </c>
      <c r="V17" s="48" t="n">
        <f aca="false">J17+M17</f>
        <v>938255</v>
      </c>
      <c r="W17" s="49" t="n">
        <f aca="false">SUM(B17,E17,H17,K17)</f>
        <v>1892052</v>
      </c>
      <c r="X17" s="48" t="n">
        <f aca="false">SUM(C17,F17,I17,L17)</f>
        <v>137405</v>
      </c>
      <c r="Y17" s="48" t="n">
        <f aca="false">SUM(D17,G17,J17,M17)</f>
        <v>2029457</v>
      </c>
      <c r="Z17" s="15"/>
      <c r="AA17" s="7" t="s">
        <v>36</v>
      </c>
    </row>
    <row r="18" customFormat="false" ht="16.5" hidden="false" customHeight="true" outlineLevel="0" collapsed="false">
      <c r="A18" s="30" t="s">
        <v>37</v>
      </c>
      <c r="B18" s="31" t="n">
        <v>0</v>
      </c>
      <c r="C18" s="31" t="n">
        <v>0</v>
      </c>
      <c r="D18" s="31" t="n">
        <f aca="false">B18+C18</f>
        <v>0</v>
      </c>
      <c r="E18" s="46" t="n">
        <v>0</v>
      </c>
      <c r="F18" s="47" t="n">
        <v>0</v>
      </c>
      <c r="G18" s="47" t="n">
        <f aca="false">E18+F18</f>
        <v>0</v>
      </c>
      <c r="H18" s="46" t="n">
        <v>5277000</v>
      </c>
      <c r="I18" s="47" t="n">
        <v>0</v>
      </c>
      <c r="J18" s="47" t="n">
        <f aca="false">H18+I18</f>
        <v>5277000</v>
      </c>
      <c r="K18" s="46" t="n">
        <v>0</v>
      </c>
      <c r="L18" s="47" t="n">
        <v>0</v>
      </c>
      <c r="M18" s="47" t="n">
        <f aca="false">K18+L18</f>
        <v>0</v>
      </c>
      <c r="N18" s="46" t="n">
        <v>0</v>
      </c>
      <c r="O18" s="47" t="n">
        <v>0</v>
      </c>
      <c r="P18" s="47" t="n">
        <f aca="false">N18+O18</f>
        <v>0</v>
      </c>
      <c r="Q18" s="49" t="n">
        <f aca="false">SUM(B18+E18)</f>
        <v>0</v>
      </c>
      <c r="R18" s="48" t="n">
        <f aca="false">SUM(C18+F18)</f>
        <v>0</v>
      </c>
      <c r="S18" s="48" t="n">
        <f aca="false">SUM(D18+G18)</f>
        <v>0</v>
      </c>
      <c r="T18" s="49" t="n">
        <f aca="false">H18+K18</f>
        <v>5277000</v>
      </c>
      <c r="U18" s="48" t="n">
        <f aca="false">I18+L18</f>
        <v>0</v>
      </c>
      <c r="V18" s="48" t="n">
        <f aca="false">J18+M18</f>
        <v>5277000</v>
      </c>
      <c r="W18" s="49" t="n">
        <f aca="false">SUM(B18,E18,H18,K18)</f>
        <v>5277000</v>
      </c>
      <c r="X18" s="48" t="n">
        <f aca="false">SUM(C18,F18,I18,L18)</f>
        <v>0</v>
      </c>
      <c r="Y18" s="48" t="n">
        <f aca="false">SUM(D18,G18,J18,M18)</f>
        <v>5277000</v>
      </c>
      <c r="Z18" s="15"/>
      <c r="AC18" s="55"/>
      <c r="AD18" s="56"/>
      <c r="AE18" s="56"/>
    </row>
    <row r="19" customFormat="false" ht="15.75" hidden="false" customHeight="true" outlineLevel="0" collapsed="false">
      <c r="A19" s="30" t="s">
        <v>38</v>
      </c>
      <c r="B19" s="31" t="n">
        <v>16735149</v>
      </c>
      <c r="C19" s="31" t="n">
        <v>0</v>
      </c>
      <c r="D19" s="31" t="n">
        <f aca="false">B19+C19</f>
        <v>16735149</v>
      </c>
      <c r="E19" s="46" t="n">
        <v>10261791</v>
      </c>
      <c r="F19" s="47" t="n">
        <v>0</v>
      </c>
      <c r="G19" s="47" t="n">
        <f aca="false">E19+F19</f>
        <v>10261791</v>
      </c>
      <c r="H19" s="46" t="n">
        <v>51276325</v>
      </c>
      <c r="I19" s="47" t="n">
        <v>0</v>
      </c>
      <c r="J19" s="47" t="n">
        <f aca="false">H19+I19</f>
        <v>51276325</v>
      </c>
      <c r="K19" s="46" t="n">
        <v>3007160</v>
      </c>
      <c r="L19" s="47" t="n">
        <v>0</v>
      </c>
      <c r="M19" s="47" t="n">
        <f aca="false">K19+L19</f>
        <v>3007160</v>
      </c>
      <c r="N19" s="46" t="n">
        <v>74032</v>
      </c>
      <c r="O19" s="47" t="n">
        <v>0</v>
      </c>
      <c r="P19" s="47" t="n">
        <f aca="false">N19+O19</f>
        <v>74032</v>
      </c>
      <c r="Q19" s="49" t="n">
        <f aca="false">SUM(B19+E19)</f>
        <v>26996940</v>
      </c>
      <c r="R19" s="48" t="n">
        <f aca="false">SUM(C19+F19)</f>
        <v>0</v>
      </c>
      <c r="S19" s="48" t="n">
        <f aca="false">SUM(D19+G19)</f>
        <v>26996940</v>
      </c>
      <c r="T19" s="49" t="n">
        <f aca="false">H19+K19</f>
        <v>54283485</v>
      </c>
      <c r="U19" s="48" t="n">
        <f aca="false">I19+L19</f>
        <v>0</v>
      </c>
      <c r="V19" s="48" t="n">
        <f aca="false">J19+M19</f>
        <v>54283485</v>
      </c>
      <c r="W19" s="49" t="n">
        <f aca="false">SUM(B19,E19,H19,K19)</f>
        <v>81280425</v>
      </c>
      <c r="X19" s="48" t="n">
        <f aca="false">SUM(C19,F19,I19,L19)</f>
        <v>0</v>
      </c>
      <c r="Y19" s="48" t="n">
        <f aca="false">SUM(D19,G19,J19,M19)</f>
        <v>81280425</v>
      </c>
      <c r="Z19" s="15"/>
      <c r="AA19" s="7" t="s">
        <v>39</v>
      </c>
      <c r="AC19" s="55"/>
      <c r="AD19" s="57"/>
      <c r="AE19" s="57"/>
    </row>
    <row r="20" customFormat="false" ht="16.5" hidden="false" customHeight="true" outlineLevel="0" collapsed="false">
      <c r="A20" s="30" t="s">
        <v>40</v>
      </c>
      <c r="B20" s="31" t="n">
        <v>265610</v>
      </c>
      <c r="C20" s="31" t="n">
        <v>0</v>
      </c>
      <c r="D20" s="31" t="n">
        <f aca="false">B20+C20</f>
        <v>265610</v>
      </c>
      <c r="E20" s="46" t="n">
        <v>0</v>
      </c>
      <c r="F20" s="47" t="n">
        <v>0</v>
      </c>
      <c r="G20" s="47" t="n">
        <f aca="false">E20+F20</f>
        <v>0</v>
      </c>
      <c r="H20" s="46" t="n">
        <v>0</v>
      </c>
      <c r="I20" s="47" t="n">
        <v>0</v>
      </c>
      <c r="J20" s="47" t="n">
        <f aca="false">H20+I20</f>
        <v>0</v>
      </c>
      <c r="K20" s="46" t="n">
        <v>0</v>
      </c>
      <c r="L20" s="47" t="n">
        <v>0</v>
      </c>
      <c r="M20" s="47" t="n">
        <f aca="false">K20+L20</f>
        <v>0</v>
      </c>
      <c r="N20" s="46" t="n">
        <v>0</v>
      </c>
      <c r="O20" s="47" t="n">
        <v>0</v>
      </c>
      <c r="P20" s="47" t="n">
        <f aca="false">N20+O20</f>
        <v>0</v>
      </c>
      <c r="Q20" s="49" t="n">
        <f aca="false">SUM(B20+E20)</f>
        <v>265610</v>
      </c>
      <c r="R20" s="48" t="n">
        <f aca="false">SUM(C20+F20)</f>
        <v>0</v>
      </c>
      <c r="S20" s="48" t="n">
        <f aca="false">SUM(D20+G20)</f>
        <v>265610</v>
      </c>
      <c r="T20" s="49" t="n">
        <f aca="false">H20+K20</f>
        <v>0</v>
      </c>
      <c r="U20" s="48" t="n">
        <f aca="false">I20+L20</f>
        <v>0</v>
      </c>
      <c r="V20" s="48" t="n">
        <f aca="false">J20+M20</f>
        <v>0</v>
      </c>
      <c r="W20" s="49" t="n">
        <f aca="false">SUM(B20,E20,H20,K20)</f>
        <v>265610</v>
      </c>
      <c r="X20" s="48" t="n">
        <f aca="false">SUM(C20,F20,I20,L20)</f>
        <v>0</v>
      </c>
      <c r="Y20" s="48" t="n">
        <f aca="false">SUM(D20,G20,J20,M20)</f>
        <v>265610</v>
      </c>
      <c r="Z20" s="15"/>
      <c r="AC20" s="55"/>
      <c r="AD20" s="57"/>
      <c r="AE20" s="57"/>
    </row>
    <row r="21" customFormat="false" ht="16.5" hidden="false" customHeight="true" outlineLevel="0" collapsed="false">
      <c r="A21" s="30" t="s">
        <v>41</v>
      </c>
      <c r="B21" s="31" t="n">
        <v>0</v>
      </c>
      <c r="C21" s="31" t="n">
        <v>0</v>
      </c>
      <c r="D21" s="31" t="n">
        <f aca="false">B21+C21</f>
        <v>0</v>
      </c>
      <c r="E21" s="46" t="n">
        <v>0</v>
      </c>
      <c r="F21" s="47" t="n">
        <v>0</v>
      </c>
      <c r="G21" s="47" t="n">
        <f aca="false">E21+F21</f>
        <v>0</v>
      </c>
      <c r="H21" s="46" t="n">
        <v>0</v>
      </c>
      <c r="I21" s="47" t="n">
        <v>0</v>
      </c>
      <c r="J21" s="47" t="n">
        <f aca="false">H21+I21</f>
        <v>0</v>
      </c>
      <c r="K21" s="46" t="n">
        <v>0</v>
      </c>
      <c r="L21" s="47" t="n">
        <v>0</v>
      </c>
      <c r="M21" s="47" t="n">
        <f aca="false">K21+L21</f>
        <v>0</v>
      </c>
      <c r="N21" s="46" t="n">
        <v>0</v>
      </c>
      <c r="O21" s="47" t="n">
        <v>0</v>
      </c>
      <c r="P21" s="47" t="n">
        <f aca="false">N21+O21</f>
        <v>0</v>
      </c>
      <c r="Q21" s="49" t="n">
        <f aca="false">SUM(B21+E21)</f>
        <v>0</v>
      </c>
      <c r="R21" s="48" t="n">
        <f aca="false">SUM(C21+F21)</f>
        <v>0</v>
      </c>
      <c r="S21" s="48" t="n">
        <f aca="false">SUM(D21+G21)</f>
        <v>0</v>
      </c>
      <c r="T21" s="49" t="n">
        <f aca="false">H21+K21</f>
        <v>0</v>
      </c>
      <c r="U21" s="48" t="n">
        <f aca="false">I21+L21</f>
        <v>0</v>
      </c>
      <c r="V21" s="48" t="n">
        <f aca="false">J21+M21</f>
        <v>0</v>
      </c>
      <c r="W21" s="49" t="n">
        <f aca="false">SUM(B21,E21,H21,K21)</f>
        <v>0</v>
      </c>
      <c r="X21" s="48" t="n">
        <f aca="false">SUM(C21,F21,I21,L21)</f>
        <v>0</v>
      </c>
      <c r="Y21" s="48" t="n">
        <f aca="false">SUM(D21,G21,J21,M21)</f>
        <v>0</v>
      </c>
      <c r="Z21" s="15"/>
      <c r="AA21" s="6" t="s">
        <v>42</v>
      </c>
      <c r="AC21" s="55"/>
      <c r="AD21" s="57"/>
      <c r="AE21" s="57"/>
    </row>
    <row r="22" customFormat="false" ht="15.75" hidden="false" customHeight="true" outlineLevel="0" collapsed="false">
      <c r="A22" s="58" t="s">
        <v>43</v>
      </c>
      <c r="B22" s="31" t="n">
        <v>22753440</v>
      </c>
      <c r="C22" s="31" t="n">
        <f aca="false">-B22+8400000</f>
        <v>-14353440</v>
      </c>
      <c r="D22" s="31" t="n">
        <f aca="false">B22+C22</f>
        <v>8400000</v>
      </c>
      <c r="E22" s="46" t="n">
        <v>3997632</v>
      </c>
      <c r="F22" s="47" t="n">
        <f aca="false">-E22</f>
        <v>-3997632</v>
      </c>
      <c r="G22" s="47" t="n">
        <f aca="false">E22+F22</f>
        <v>0</v>
      </c>
      <c r="H22" s="46" t="n">
        <v>22587303</v>
      </c>
      <c r="I22" s="47" t="n">
        <v>-11460027</v>
      </c>
      <c r="J22" s="47" t="n">
        <f aca="false">H22+I22</f>
        <v>11127276</v>
      </c>
      <c r="K22" s="46" t="n">
        <v>5901264</v>
      </c>
      <c r="L22" s="47" t="n">
        <f aca="false">-K22</f>
        <v>-5901264</v>
      </c>
      <c r="M22" s="47" t="n">
        <f aca="false">K22+L22</f>
        <v>0</v>
      </c>
      <c r="N22" s="46" t="n">
        <v>0</v>
      </c>
      <c r="O22" s="47" t="n">
        <v>0</v>
      </c>
      <c r="P22" s="47" t="n">
        <f aca="false">N22+O22</f>
        <v>0</v>
      </c>
      <c r="Q22" s="49" t="n">
        <f aca="false">SUM(B22+E22)</f>
        <v>26751072</v>
      </c>
      <c r="R22" s="48" t="n">
        <f aca="false">SUM(C22+F22)</f>
        <v>-18351072</v>
      </c>
      <c r="S22" s="48" t="n">
        <f aca="false">SUM(D22+G22)</f>
        <v>8400000</v>
      </c>
      <c r="T22" s="49" t="n">
        <f aca="false">H22+K22</f>
        <v>28488567</v>
      </c>
      <c r="U22" s="48" t="n">
        <f aca="false">I22+L22</f>
        <v>-17361291</v>
      </c>
      <c r="V22" s="48" t="n">
        <f aca="false">J22+M22</f>
        <v>11127276</v>
      </c>
      <c r="W22" s="49" t="n">
        <f aca="false">SUM(B22,E22,H22,K22)</f>
        <v>55239639</v>
      </c>
      <c r="X22" s="48" t="n">
        <f aca="false">SUM(C22,F22,I22,L22)</f>
        <v>-35712363</v>
      </c>
      <c r="Y22" s="48" t="n">
        <f aca="false">SUM(D22,G22,J22,M22)</f>
        <v>19527276</v>
      </c>
      <c r="Z22" s="15"/>
      <c r="AA22" s="6" t="s">
        <v>44</v>
      </c>
    </row>
    <row r="23" customFormat="false" ht="16.5" hidden="false" customHeight="true" outlineLevel="0" collapsed="false">
      <c r="A23" s="30" t="s">
        <v>45</v>
      </c>
      <c r="B23" s="31" t="n">
        <v>44610</v>
      </c>
      <c r="C23" s="31" t="n">
        <v>0</v>
      </c>
      <c r="D23" s="31" t="n">
        <f aca="false">B23+C23</f>
        <v>44610</v>
      </c>
      <c r="E23" s="46" t="n">
        <v>0</v>
      </c>
      <c r="F23" s="47" t="n">
        <v>0</v>
      </c>
      <c r="G23" s="47" t="n">
        <f aca="false">E23+F23</f>
        <v>0</v>
      </c>
      <c r="H23" s="46" t="n">
        <v>47023</v>
      </c>
      <c r="I23" s="47" t="n">
        <v>0</v>
      </c>
      <c r="J23" s="47" t="n">
        <f aca="false">H23+I23</f>
        <v>47023</v>
      </c>
      <c r="K23" s="46" t="n">
        <v>0</v>
      </c>
      <c r="L23" s="47" t="n">
        <v>0</v>
      </c>
      <c r="M23" s="47" t="n">
        <f aca="false">K23+L23</f>
        <v>0</v>
      </c>
      <c r="N23" s="46" t="n">
        <v>6777295</v>
      </c>
      <c r="O23" s="47" t="n">
        <v>0</v>
      </c>
      <c r="P23" s="47" t="n">
        <f aca="false">N23+O23</f>
        <v>6777295</v>
      </c>
      <c r="Q23" s="49" t="n">
        <f aca="false">SUM(B23+E23)</f>
        <v>44610</v>
      </c>
      <c r="R23" s="48" t="n">
        <f aca="false">SUM(C23+F23)</f>
        <v>0</v>
      </c>
      <c r="S23" s="48" t="n">
        <f aca="false">SUM(D23+G23)</f>
        <v>44610</v>
      </c>
      <c r="T23" s="49" t="n">
        <f aca="false">H23+K23</f>
        <v>47023</v>
      </c>
      <c r="U23" s="48" t="n">
        <f aca="false">I23+L23</f>
        <v>0</v>
      </c>
      <c r="V23" s="48" t="n">
        <f aca="false">J23+M23</f>
        <v>47023</v>
      </c>
      <c r="W23" s="49" t="n">
        <f aca="false">SUM(B23,E23,H23,K23)</f>
        <v>91633</v>
      </c>
      <c r="X23" s="48" t="n">
        <f aca="false">SUM(C23,F23,I23,L23)</f>
        <v>0</v>
      </c>
      <c r="Y23" s="48" t="n">
        <f aca="false">SUM(D23,G23,J23,M23)</f>
        <v>91633</v>
      </c>
      <c r="Z23" s="15"/>
      <c r="AA23" s="7" t="s">
        <v>46</v>
      </c>
    </row>
    <row r="24" customFormat="false" ht="16.5" hidden="false" customHeight="true" outlineLevel="0" collapsed="false">
      <c r="A24" s="30" t="s">
        <v>47</v>
      </c>
      <c r="B24" s="31" t="n">
        <v>0</v>
      </c>
      <c r="C24" s="31" t="n">
        <v>0</v>
      </c>
      <c r="D24" s="31" t="n">
        <f aca="false">B24+C24</f>
        <v>0</v>
      </c>
      <c r="E24" s="46" t="n">
        <v>0</v>
      </c>
      <c r="F24" s="47" t="n">
        <v>0</v>
      </c>
      <c r="G24" s="47" t="n">
        <f aca="false">E24+F24</f>
        <v>0</v>
      </c>
      <c r="H24" s="46" t="n">
        <v>0</v>
      </c>
      <c r="I24" s="47" t="n">
        <v>0</v>
      </c>
      <c r="J24" s="47" t="n">
        <f aca="false">H24+I24</f>
        <v>0</v>
      </c>
      <c r="K24" s="46" t="n">
        <v>0</v>
      </c>
      <c r="L24" s="47" t="n">
        <v>0</v>
      </c>
      <c r="M24" s="47" t="n">
        <f aca="false">K24+L24</f>
        <v>0</v>
      </c>
      <c r="N24" s="46" t="n">
        <v>151000</v>
      </c>
      <c r="O24" s="47" t="n">
        <v>0</v>
      </c>
      <c r="P24" s="47" t="n">
        <f aca="false">N24+O24</f>
        <v>151000</v>
      </c>
      <c r="Q24" s="49" t="n">
        <f aca="false">SUM(B24+E24)</f>
        <v>0</v>
      </c>
      <c r="R24" s="48" t="n">
        <f aca="false">SUM(C24+F24)</f>
        <v>0</v>
      </c>
      <c r="S24" s="48" t="n">
        <f aca="false">SUM(D24+G24)</f>
        <v>0</v>
      </c>
      <c r="T24" s="49" t="n">
        <f aca="false">H24+K24</f>
        <v>0</v>
      </c>
      <c r="U24" s="48" t="n">
        <f aca="false">I24+L24</f>
        <v>0</v>
      </c>
      <c r="V24" s="48" t="n">
        <f aca="false">J24+M24</f>
        <v>0</v>
      </c>
      <c r="W24" s="49" t="n">
        <f aca="false">SUM(B24,E24,H24,K24)</f>
        <v>0</v>
      </c>
      <c r="X24" s="48" t="n">
        <f aca="false">SUM(C24,F24,I24,L24)</f>
        <v>0</v>
      </c>
      <c r="Y24" s="48" t="n">
        <f aca="false">SUM(D24,G24,J24,M24)</f>
        <v>0</v>
      </c>
      <c r="Z24" s="15"/>
    </row>
    <row r="25" customFormat="false" ht="15.75" hidden="false" customHeight="true" outlineLevel="0" collapsed="false">
      <c r="A25" s="30" t="s">
        <v>48</v>
      </c>
      <c r="B25" s="31" t="n">
        <v>485067</v>
      </c>
      <c r="C25" s="31" t="n">
        <v>0</v>
      </c>
      <c r="D25" s="31" t="n">
        <f aca="false">B25+C25</f>
        <v>485067</v>
      </c>
      <c r="E25" s="46" t="n">
        <v>0</v>
      </c>
      <c r="F25" s="47" t="n">
        <v>0</v>
      </c>
      <c r="G25" s="47" t="n">
        <f aca="false">E25+F25</f>
        <v>0</v>
      </c>
      <c r="H25" s="46" t="n">
        <v>686052</v>
      </c>
      <c r="I25" s="47" t="n">
        <v>0</v>
      </c>
      <c r="J25" s="47" t="n">
        <f aca="false">H25+I25</f>
        <v>686052</v>
      </c>
      <c r="K25" s="46" t="n">
        <v>144356</v>
      </c>
      <c r="L25" s="47" t="n">
        <v>0</v>
      </c>
      <c r="M25" s="47" t="n">
        <f aca="false">K25+L25</f>
        <v>144356</v>
      </c>
      <c r="N25" s="46" t="n">
        <v>5409362</v>
      </c>
      <c r="O25" s="47" t="n">
        <v>0</v>
      </c>
      <c r="P25" s="47" t="n">
        <f aca="false">N25+O25</f>
        <v>5409362</v>
      </c>
      <c r="Q25" s="49" t="n">
        <f aca="false">SUM(B25+E25)</f>
        <v>485067</v>
      </c>
      <c r="R25" s="48" t="n">
        <f aca="false">SUM(C25+F25)</f>
        <v>0</v>
      </c>
      <c r="S25" s="48" t="n">
        <f aca="false">SUM(D25+G25)</f>
        <v>485067</v>
      </c>
      <c r="T25" s="49" t="n">
        <f aca="false">H25+K25</f>
        <v>830408</v>
      </c>
      <c r="U25" s="48" t="n">
        <f aca="false">I25+L25</f>
        <v>0</v>
      </c>
      <c r="V25" s="48" t="n">
        <f aca="false">J25+M25</f>
        <v>830408</v>
      </c>
      <c r="W25" s="49" t="n">
        <f aca="false">SUM(B25,E25,H25,K25)</f>
        <v>1315475</v>
      </c>
      <c r="X25" s="48" t="n">
        <f aca="false">SUM(C25,F25,I25,L25)</f>
        <v>0</v>
      </c>
      <c r="Y25" s="48" t="n">
        <f aca="false">SUM(D25,G25,J25,M25)</f>
        <v>1315475</v>
      </c>
      <c r="Z25" s="15"/>
      <c r="AA25" s="7" t="s">
        <v>49</v>
      </c>
    </row>
    <row r="26" customFormat="false" ht="15.75" hidden="false" customHeight="true" outlineLevel="0" collapsed="false">
      <c r="A26" s="30" t="s">
        <v>50</v>
      </c>
      <c r="B26" s="31" t="n">
        <v>5474</v>
      </c>
      <c r="C26" s="31" t="n">
        <v>0</v>
      </c>
      <c r="D26" s="31" t="n">
        <f aca="false">B26+C26</f>
        <v>5474</v>
      </c>
      <c r="E26" s="46" t="n">
        <v>637</v>
      </c>
      <c r="F26" s="47" t="n">
        <v>0</v>
      </c>
      <c r="G26" s="47" t="n">
        <f aca="false">E26+F26</f>
        <v>637</v>
      </c>
      <c r="H26" s="46" t="n">
        <v>0</v>
      </c>
      <c r="I26" s="47" t="n">
        <v>0</v>
      </c>
      <c r="J26" s="47" t="n">
        <f aca="false">H26+I26</f>
        <v>0</v>
      </c>
      <c r="K26" s="46" t="n">
        <v>0</v>
      </c>
      <c r="L26" s="47" t="n">
        <v>0</v>
      </c>
      <c r="M26" s="47" t="n">
        <f aca="false">K26+L26</f>
        <v>0</v>
      </c>
      <c r="N26" s="46" t="n">
        <v>1417106</v>
      </c>
      <c r="O26" s="47" t="n">
        <v>0</v>
      </c>
      <c r="P26" s="47" t="n">
        <f aca="false">N26+O26</f>
        <v>1417106</v>
      </c>
      <c r="Q26" s="49" t="n">
        <f aca="false">SUM(B26+E26)</f>
        <v>6111</v>
      </c>
      <c r="R26" s="48" t="n">
        <f aca="false">SUM(C26+F26)</f>
        <v>0</v>
      </c>
      <c r="S26" s="48" t="n">
        <f aca="false">SUM(D26+G26)</f>
        <v>6111</v>
      </c>
      <c r="T26" s="49" t="n">
        <f aca="false">H26+K26</f>
        <v>0</v>
      </c>
      <c r="U26" s="48" t="n">
        <f aca="false">I26+L26</f>
        <v>0</v>
      </c>
      <c r="V26" s="48" t="n">
        <f aca="false">J26+M26</f>
        <v>0</v>
      </c>
      <c r="W26" s="49" t="n">
        <f aca="false">SUM(B26,E26,H26,K26)</f>
        <v>6111</v>
      </c>
      <c r="X26" s="48" t="n">
        <f aca="false">SUM(C26,F26,I26,L26)</f>
        <v>0</v>
      </c>
      <c r="Y26" s="48" t="n">
        <f aca="false">SUM(D26,G26,J26,M26)</f>
        <v>6111</v>
      </c>
      <c r="Z26" s="15"/>
    </row>
    <row r="27" customFormat="false" ht="15.75" hidden="false" customHeight="true" outlineLevel="0" collapsed="false">
      <c r="A27" s="30" t="s">
        <v>51</v>
      </c>
      <c r="B27" s="31" t="n">
        <v>0</v>
      </c>
      <c r="C27" s="31" t="n">
        <v>0</v>
      </c>
      <c r="D27" s="31" t="n">
        <f aca="false">B27+C27</f>
        <v>0</v>
      </c>
      <c r="E27" s="46" t="n">
        <v>0</v>
      </c>
      <c r="F27" s="47" t="n">
        <v>0</v>
      </c>
      <c r="G27" s="47" t="n">
        <f aca="false">E27+F27</f>
        <v>0</v>
      </c>
      <c r="H27" s="46" t="n">
        <v>0</v>
      </c>
      <c r="I27" s="47" t="n">
        <v>0</v>
      </c>
      <c r="J27" s="47" t="n">
        <f aca="false">H27+I27</f>
        <v>0</v>
      </c>
      <c r="K27" s="46" t="n">
        <v>0</v>
      </c>
      <c r="L27" s="47" t="n">
        <v>0</v>
      </c>
      <c r="M27" s="47" t="n">
        <f aca="false">K27+L27</f>
        <v>0</v>
      </c>
      <c r="N27" s="46" t="n">
        <v>464150</v>
      </c>
      <c r="O27" s="47" t="n">
        <v>0</v>
      </c>
      <c r="P27" s="47" t="n">
        <f aca="false">N27+O27</f>
        <v>464150</v>
      </c>
      <c r="Q27" s="49" t="n">
        <f aca="false">SUM(B27+E27)</f>
        <v>0</v>
      </c>
      <c r="R27" s="48" t="n">
        <f aca="false">SUM(C27+F27)</f>
        <v>0</v>
      </c>
      <c r="S27" s="48" t="n">
        <f aca="false">SUM(D27+G27)</f>
        <v>0</v>
      </c>
      <c r="T27" s="49" t="n">
        <f aca="false">H27+K27</f>
        <v>0</v>
      </c>
      <c r="U27" s="48" t="n">
        <f aca="false">I27+L27</f>
        <v>0</v>
      </c>
      <c r="V27" s="48" t="n">
        <f aca="false">J27+M27</f>
        <v>0</v>
      </c>
      <c r="W27" s="49" t="n">
        <f aca="false">SUM(B27,E27,H27,K27)</f>
        <v>0</v>
      </c>
      <c r="X27" s="48" t="n">
        <f aca="false">SUM(C27,F27,I27,L27)</f>
        <v>0</v>
      </c>
      <c r="Y27" s="48" t="n">
        <f aca="false">SUM(D27,G27,J27,M27)</f>
        <v>0</v>
      </c>
      <c r="Z27" s="15"/>
    </row>
    <row r="28" customFormat="false" ht="15.75" hidden="false" customHeight="true" outlineLevel="0" collapsed="false">
      <c r="A28" s="30" t="s">
        <v>52</v>
      </c>
      <c r="B28" s="31" t="n">
        <v>0</v>
      </c>
      <c r="C28" s="31" t="n">
        <v>0</v>
      </c>
      <c r="D28" s="31" t="n">
        <f aca="false">B28+C28</f>
        <v>0</v>
      </c>
      <c r="E28" s="46" t="n">
        <v>0</v>
      </c>
      <c r="F28" s="47" t="n">
        <v>0</v>
      </c>
      <c r="G28" s="47" t="n">
        <f aca="false">E28+F28</f>
        <v>0</v>
      </c>
      <c r="H28" s="46" t="n">
        <v>0</v>
      </c>
      <c r="I28" s="47" t="n">
        <v>0</v>
      </c>
      <c r="J28" s="47" t="n">
        <f aca="false">H28+I28</f>
        <v>0</v>
      </c>
      <c r="K28" s="46" t="n">
        <v>0</v>
      </c>
      <c r="L28" s="47" t="n">
        <v>0</v>
      </c>
      <c r="M28" s="47" t="n">
        <f aca="false">K28+L28</f>
        <v>0</v>
      </c>
      <c r="N28" s="46" t="n">
        <v>0</v>
      </c>
      <c r="O28" s="47" t="n">
        <v>0</v>
      </c>
      <c r="P28" s="47" t="n">
        <f aca="false">N28+O28</f>
        <v>0</v>
      </c>
      <c r="Q28" s="49" t="n">
        <f aca="false">SUM(B28+E28)</f>
        <v>0</v>
      </c>
      <c r="R28" s="48" t="n">
        <f aca="false">SUM(C28+F28)</f>
        <v>0</v>
      </c>
      <c r="S28" s="48" t="n">
        <f aca="false">SUM(D28+G28)</f>
        <v>0</v>
      </c>
      <c r="T28" s="49" t="n">
        <f aca="false">H28+K28</f>
        <v>0</v>
      </c>
      <c r="U28" s="48" t="n">
        <f aca="false">I28+L28</f>
        <v>0</v>
      </c>
      <c r="V28" s="48" t="n">
        <f aca="false">J28+M28</f>
        <v>0</v>
      </c>
      <c r="W28" s="49" t="n">
        <f aca="false">SUM(B28,E28,H28,K28)</f>
        <v>0</v>
      </c>
      <c r="X28" s="48" t="n">
        <f aca="false">SUM(C28,F28,I28,L28)</f>
        <v>0</v>
      </c>
      <c r="Y28" s="48" t="n">
        <f aca="false">SUM(D28,G28,J28,M28)</f>
        <v>0</v>
      </c>
      <c r="Z28" s="15"/>
    </row>
    <row r="29" customFormat="false" ht="15.75" hidden="false" customHeight="true" outlineLevel="0" collapsed="false">
      <c r="A29" s="30" t="s">
        <v>53</v>
      </c>
      <c r="B29" s="31" t="n">
        <v>0</v>
      </c>
      <c r="C29" s="31" t="n">
        <v>0</v>
      </c>
      <c r="D29" s="31" t="n">
        <f aca="false">B29+C29</f>
        <v>0</v>
      </c>
      <c r="E29" s="46" t="n">
        <v>0</v>
      </c>
      <c r="F29" s="47" t="n">
        <v>0</v>
      </c>
      <c r="G29" s="47" t="n">
        <f aca="false">E29+F29</f>
        <v>0</v>
      </c>
      <c r="H29" s="46" t="n">
        <v>0</v>
      </c>
      <c r="I29" s="47" t="n">
        <v>0</v>
      </c>
      <c r="J29" s="47" t="n">
        <f aca="false">H29+I29</f>
        <v>0</v>
      </c>
      <c r="K29" s="46" t="n">
        <v>0</v>
      </c>
      <c r="L29" s="47" t="n">
        <v>0</v>
      </c>
      <c r="M29" s="47" t="n">
        <f aca="false">K29+L29</f>
        <v>0</v>
      </c>
      <c r="N29" s="46" t="n">
        <v>442500</v>
      </c>
      <c r="O29" s="47" t="n">
        <v>0</v>
      </c>
      <c r="P29" s="47" t="n">
        <f aca="false">N29+O29</f>
        <v>442500</v>
      </c>
      <c r="Q29" s="49" t="n">
        <f aca="false">SUM(B29+E29)</f>
        <v>0</v>
      </c>
      <c r="R29" s="48" t="n">
        <f aca="false">SUM(C29+F29)</f>
        <v>0</v>
      </c>
      <c r="S29" s="48" t="n">
        <f aca="false">SUM(D29+G29)</f>
        <v>0</v>
      </c>
      <c r="T29" s="49" t="n">
        <f aca="false">H29+K29</f>
        <v>0</v>
      </c>
      <c r="U29" s="48" t="n">
        <f aca="false">I29+L29</f>
        <v>0</v>
      </c>
      <c r="V29" s="48" t="n">
        <f aca="false">J29+M29</f>
        <v>0</v>
      </c>
      <c r="W29" s="49" t="n">
        <f aca="false">SUM(B29,E29,H29,K29)</f>
        <v>0</v>
      </c>
      <c r="X29" s="48" t="n">
        <f aca="false">SUM(C29,F29,I29,L29)</f>
        <v>0</v>
      </c>
      <c r="Y29" s="48" t="n">
        <f aca="false">SUM(D29,G29,J29,M29)</f>
        <v>0</v>
      </c>
      <c r="Z29" s="15"/>
    </row>
    <row r="30" customFormat="false" ht="15.75" hidden="false" customHeight="true" outlineLevel="0" collapsed="false">
      <c r="A30" s="30" t="s">
        <v>54</v>
      </c>
      <c r="B30" s="31" t="n">
        <v>3084</v>
      </c>
      <c r="C30" s="31" t="n">
        <v>0</v>
      </c>
      <c r="D30" s="31" t="n">
        <f aca="false">B30+C30</f>
        <v>3084</v>
      </c>
      <c r="E30" s="46" t="n">
        <v>0</v>
      </c>
      <c r="F30" s="47" t="n">
        <v>0</v>
      </c>
      <c r="G30" s="47" t="n">
        <f aca="false">E30+F30</f>
        <v>0</v>
      </c>
      <c r="H30" s="46" t="n">
        <v>0</v>
      </c>
      <c r="I30" s="47" t="n">
        <v>0</v>
      </c>
      <c r="J30" s="47" t="n">
        <f aca="false">H30+I30</f>
        <v>0</v>
      </c>
      <c r="K30" s="46" t="n">
        <v>0</v>
      </c>
      <c r="L30" s="47" t="n">
        <v>0</v>
      </c>
      <c r="M30" s="47" t="n">
        <f aca="false">K30+L30</f>
        <v>0</v>
      </c>
      <c r="N30" s="46" t="n">
        <v>192496</v>
      </c>
      <c r="O30" s="47" t="n">
        <v>0</v>
      </c>
      <c r="P30" s="47" t="n">
        <f aca="false">N30+O30</f>
        <v>192496</v>
      </c>
      <c r="Q30" s="49" t="n">
        <f aca="false">SUM(B30+E30)</f>
        <v>3084</v>
      </c>
      <c r="R30" s="48" t="n">
        <f aca="false">SUM(C30+F30)</f>
        <v>0</v>
      </c>
      <c r="S30" s="48" t="n">
        <f aca="false">SUM(D30+G30)</f>
        <v>3084</v>
      </c>
      <c r="T30" s="49" t="n">
        <f aca="false">H30+K30</f>
        <v>0</v>
      </c>
      <c r="U30" s="48" t="n">
        <f aca="false">I30+L30</f>
        <v>0</v>
      </c>
      <c r="V30" s="48" t="n">
        <f aca="false">J30+M30</f>
        <v>0</v>
      </c>
      <c r="W30" s="49" t="n">
        <f aca="false">SUM(B30,E30,H30,K30)</f>
        <v>3084</v>
      </c>
      <c r="X30" s="48" t="n">
        <f aca="false">SUM(C30,F30,I30,L30)</f>
        <v>0</v>
      </c>
      <c r="Y30" s="48" t="n">
        <f aca="false">SUM(D30,G30,J30,M30)</f>
        <v>3084</v>
      </c>
      <c r="Z30" s="15"/>
    </row>
    <row r="31" customFormat="false" ht="15.75" hidden="false" customHeight="true" outlineLevel="0" collapsed="false">
      <c r="A31" s="30" t="s">
        <v>55</v>
      </c>
      <c r="B31" s="31" t="n">
        <v>0</v>
      </c>
      <c r="C31" s="31" t="n">
        <v>0</v>
      </c>
      <c r="D31" s="31" t="n">
        <f aca="false">B31+C31</f>
        <v>0</v>
      </c>
      <c r="E31" s="46" t="n">
        <v>0</v>
      </c>
      <c r="F31" s="47" t="n">
        <v>0</v>
      </c>
      <c r="G31" s="47" t="n">
        <f aca="false">E31+F31</f>
        <v>0</v>
      </c>
      <c r="H31" s="46" t="n">
        <v>0</v>
      </c>
      <c r="I31" s="47" t="n">
        <v>0</v>
      </c>
      <c r="J31" s="47" t="n">
        <f aca="false">H31+I31</f>
        <v>0</v>
      </c>
      <c r="K31" s="46" t="n">
        <v>0</v>
      </c>
      <c r="L31" s="47" t="n">
        <v>0</v>
      </c>
      <c r="M31" s="47" t="n">
        <f aca="false">K31+L31</f>
        <v>0</v>
      </c>
      <c r="N31" s="46" t="n">
        <v>37500</v>
      </c>
      <c r="O31" s="47" t="n">
        <v>0</v>
      </c>
      <c r="P31" s="47" t="n">
        <f aca="false">N31+O31</f>
        <v>37500</v>
      </c>
      <c r="Q31" s="49" t="n">
        <f aca="false">SUM(B31+E31)</f>
        <v>0</v>
      </c>
      <c r="R31" s="48" t="n">
        <f aca="false">SUM(C31+F31)</f>
        <v>0</v>
      </c>
      <c r="S31" s="48" t="n">
        <f aca="false">SUM(D31+G31)</f>
        <v>0</v>
      </c>
      <c r="T31" s="49" t="n">
        <f aca="false">H31+K31</f>
        <v>0</v>
      </c>
      <c r="U31" s="48" t="n">
        <f aca="false">I31+L31</f>
        <v>0</v>
      </c>
      <c r="V31" s="48" t="n">
        <f aca="false">J31+M31</f>
        <v>0</v>
      </c>
      <c r="W31" s="49" t="n">
        <f aca="false">SUM(B31,E31,H31,K31)</f>
        <v>0</v>
      </c>
      <c r="X31" s="48" t="n">
        <f aca="false">SUM(C31,F31,I31,L31)</f>
        <v>0</v>
      </c>
      <c r="Y31" s="48" t="n">
        <f aca="false">SUM(D31,G31,J31,M31)</f>
        <v>0</v>
      </c>
      <c r="Z31" s="15"/>
    </row>
    <row r="32" customFormat="false" ht="15.75" hidden="false" customHeight="true" outlineLevel="0" collapsed="false">
      <c r="A32" s="54" t="s">
        <v>56</v>
      </c>
      <c r="B32" s="31" t="n">
        <v>1138519</v>
      </c>
      <c r="C32" s="31" t="n">
        <f aca="false">$N$32*B4/$L$1</f>
        <v>2109229.22732851</v>
      </c>
      <c r="D32" s="31" t="n">
        <f aca="false">B32+C32</f>
        <v>3247748.22732851</v>
      </c>
      <c r="E32" s="46" t="n">
        <v>272061</v>
      </c>
      <c r="F32" s="31" t="n">
        <f aca="false">$N$32*E4/$L$1</f>
        <v>553892.701174928</v>
      </c>
      <c r="G32" s="47" t="n">
        <f aca="false">E32+F32</f>
        <v>825953.701174928</v>
      </c>
      <c r="H32" s="46" t="n">
        <v>6538700</v>
      </c>
      <c r="I32" s="31" t="n">
        <f aca="false">-3118200</f>
        <v>-3118200</v>
      </c>
      <c r="J32" s="47" t="n">
        <f aca="false">H32+I32</f>
        <v>3420500</v>
      </c>
      <c r="K32" s="46" t="n">
        <v>0</v>
      </c>
      <c r="L32" s="31" t="n">
        <f aca="false">$N$32*K4/$L$1</f>
        <v>687308.071496563</v>
      </c>
      <c r="M32" s="47" t="n">
        <f aca="false">K32+L32</f>
        <v>687308.071496563</v>
      </c>
      <c r="N32" s="46" t="n">
        <v>3350430</v>
      </c>
      <c r="O32" s="47" t="n">
        <f aca="false">-SUM(C32,F32,L32)</f>
        <v>-3350430</v>
      </c>
      <c r="P32" s="47" t="n">
        <f aca="false">N32+O32</f>
        <v>0</v>
      </c>
      <c r="Q32" s="49" t="n">
        <f aca="false">SUM(B32+E32)</f>
        <v>1410580</v>
      </c>
      <c r="R32" s="48" t="n">
        <f aca="false">SUM(C32+F32)</f>
        <v>2663121.92850344</v>
      </c>
      <c r="S32" s="48" t="n">
        <f aca="false">SUM(D32+G32)</f>
        <v>4073701.92850344</v>
      </c>
      <c r="T32" s="49" t="n">
        <f aca="false">H32+K32</f>
        <v>6538700</v>
      </c>
      <c r="U32" s="48" t="n">
        <f aca="false">I32+L32</f>
        <v>-2430891.92850344</v>
      </c>
      <c r="V32" s="48" t="n">
        <f aca="false">J32+M32</f>
        <v>4107808.07149656</v>
      </c>
      <c r="W32" s="49" t="n">
        <f aca="false">SUM(B32,E32,H32,K32)</f>
        <v>7949280</v>
      </c>
      <c r="X32" s="48" t="n">
        <f aca="false">SUM(C32,F32,I32,L32)</f>
        <v>232230</v>
      </c>
      <c r="Y32" s="48" t="n">
        <f aca="false">SUM(D32,G32,J32,M32)</f>
        <v>8181510</v>
      </c>
      <c r="Z32" s="15"/>
      <c r="AA32" s="7" t="s">
        <v>57</v>
      </c>
    </row>
    <row r="33" customFormat="false" ht="15.75" hidden="false" customHeight="true" outlineLevel="0" collapsed="false">
      <c r="A33" s="54" t="s">
        <v>58</v>
      </c>
      <c r="B33" s="31" t="n">
        <v>0</v>
      </c>
      <c r="C33" s="31" t="n">
        <f aca="false">$N33*B$4/$M$1</f>
        <v>2697984.65245612</v>
      </c>
      <c r="D33" s="31" t="n">
        <f aca="false">B33+C33</f>
        <v>2697984.65245612</v>
      </c>
      <c r="E33" s="46" t="n">
        <v>0</v>
      </c>
      <c r="F33" s="31" t="n">
        <f aca="false">$N33*E$4/$M$1</f>
        <v>708502.417620193</v>
      </c>
      <c r="G33" s="47" t="n">
        <f aca="false">E33+F33</f>
        <v>708502.417620193</v>
      </c>
      <c r="H33" s="46" t="n">
        <v>0</v>
      </c>
      <c r="I33" s="31" t="n">
        <f aca="false">$N33*H$4/$M$1</f>
        <v>3736954.51300965</v>
      </c>
      <c r="J33" s="47" t="n">
        <f aca="false">H33+I33</f>
        <v>3736954.51300965</v>
      </c>
      <c r="K33" s="46" t="n">
        <v>0</v>
      </c>
      <c r="L33" s="31" t="n">
        <f aca="false">$N33*K$4/$M$1</f>
        <v>879158.416914033</v>
      </c>
      <c r="M33" s="47" t="n">
        <f aca="false">K33+L33</f>
        <v>879158.416914033</v>
      </c>
      <c r="N33" s="46" t="n">
        <v>8022600</v>
      </c>
      <c r="O33" s="47" t="n">
        <f aca="false">-SUM(C33,F33,I33,L33)</f>
        <v>-8022600</v>
      </c>
      <c r="P33" s="47" t="n">
        <f aca="false">N33+O33</f>
        <v>0</v>
      </c>
      <c r="Q33" s="49" t="n">
        <f aca="false">SUM(B33+E33)</f>
        <v>0</v>
      </c>
      <c r="R33" s="48" t="n">
        <f aca="false">SUM(C33+F33)</f>
        <v>3406487.07007631</v>
      </c>
      <c r="S33" s="48" t="n">
        <f aca="false">SUM(D33+G33)</f>
        <v>3406487.07007631</v>
      </c>
      <c r="T33" s="49" t="n">
        <f aca="false">H33+K33</f>
        <v>0</v>
      </c>
      <c r="U33" s="48" t="n">
        <f aca="false">I33+L33</f>
        <v>4616112.92992369</v>
      </c>
      <c r="V33" s="48" t="n">
        <f aca="false">J33+M33</f>
        <v>4616112.92992369</v>
      </c>
      <c r="W33" s="49" t="n">
        <f aca="false">SUM(B33,E33,H33,K33)</f>
        <v>0</v>
      </c>
      <c r="X33" s="48" t="n">
        <f aca="false">SUM(C33,F33,I33,L33)</f>
        <v>8022600</v>
      </c>
      <c r="Y33" s="48" t="n">
        <f aca="false">SUM(D33,G33,J33,M33)</f>
        <v>8022600</v>
      </c>
      <c r="Z33" s="15"/>
      <c r="AA33" s="7" t="s">
        <v>59</v>
      </c>
    </row>
    <row r="34" customFormat="false" ht="15.75" hidden="false" customHeight="true" outlineLevel="0" collapsed="false">
      <c r="A34" s="54" t="s">
        <v>60</v>
      </c>
      <c r="B34" s="31" t="n">
        <v>0</v>
      </c>
      <c r="C34" s="31" t="n">
        <f aca="false">$N34*B$4/$M$1</f>
        <v>430208.594556028</v>
      </c>
      <c r="D34" s="31" t="n">
        <f aca="false">B34+C34</f>
        <v>430208.594556028</v>
      </c>
      <c r="E34" s="46" t="n">
        <v>0</v>
      </c>
      <c r="F34" s="31" t="n">
        <f aca="false">$N34*E$4/$M$1</f>
        <v>112974.634250218</v>
      </c>
      <c r="G34" s="47" t="n">
        <f aca="false">E34+F34</f>
        <v>112974.634250218</v>
      </c>
      <c r="H34" s="46" t="n">
        <v>0</v>
      </c>
      <c r="I34" s="31" t="n">
        <f aca="false">$N34*H$4/$M$1</f>
        <v>595878.092745316</v>
      </c>
      <c r="J34" s="47" t="n">
        <f aca="false">H34+I34</f>
        <v>595878.092745316</v>
      </c>
      <c r="K34" s="46" t="n">
        <v>0</v>
      </c>
      <c r="L34" s="31" t="n">
        <f aca="false">$N34*K$4/$M$1</f>
        <v>140186.678448438</v>
      </c>
      <c r="M34" s="47" t="n">
        <f aca="false">K34+L34</f>
        <v>140186.678448438</v>
      </c>
      <c r="N34" s="46" t="n">
        <v>1279248</v>
      </c>
      <c r="O34" s="47" t="n">
        <f aca="false">-SUM(C34,F34,I34,L34)</f>
        <v>-1279248</v>
      </c>
      <c r="P34" s="47" t="n">
        <f aca="false">N34+O34</f>
        <v>0</v>
      </c>
      <c r="Q34" s="49" t="n">
        <f aca="false">SUM(B34+E34)</f>
        <v>0</v>
      </c>
      <c r="R34" s="48" t="n">
        <f aca="false">SUM(C34+F34)</f>
        <v>543183.228806246</v>
      </c>
      <c r="S34" s="48" t="n">
        <f aca="false">SUM(D34+G34)</f>
        <v>543183.228806246</v>
      </c>
      <c r="T34" s="49" t="n">
        <f aca="false">H34+K34</f>
        <v>0</v>
      </c>
      <c r="U34" s="48" t="n">
        <f aca="false">I34+L34</f>
        <v>736064.771193754</v>
      </c>
      <c r="V34" s="48" t="n">
        <f aca="false">J34+M34</f>
        <v>736064.771193754</v>
      </c>
      <c r="W34" s="49" t="n">
        <f aca="false">SUM(B34,E34,H34,K34)</f>
        <v>0</v>
      </c>
      <c r="X34" s="48" t="n">
        <f aca="false">SUM(C34,F34,I34,L34)</f>
        <v>1279248</v>
      </c>
      <c r="Y34" s="48" t="n">
        <f aca="false">SUM(D34,G34,J34,M34)</f>
        <v>1279248</v>
      </c>
      <c r="Z34" s="15"/>
      <c r="AA34" s="7" t="s">
        <v>59</v>
      </c>
    </row>
    <row r="35" customFormat="false" ht="15.75" hidden="false" customHeight="true" outlineLevel="0" collapsed="false">
      <c r="A35" s="30" t="s">
        <v>61</v>
      </c>
      <c r="B35" s="31" t="n">
        <v>105400</v>
      </c>
      <c r="C35" s="31" t="n">
        <v>0</v>
      </c>
      <c r="D35" s="31" t="n">
        <f aca="false">B35+C35</f>
        <v>105400</v>
      </c>
      <c r="E35" s="46" t="n">
        <v>0</v>
      </c>
      <c r="F35" s="47" t="n">
        <v>0</v>
      </c>
      <c r="G35" s="47" t="n">
        <f aca="false">E35+F35</f>
        <v>0</v>
      </c>
      <c r="H35" s="46" t="n">
        <v>0</v>
      </c>
      <c r="I35" s="47" t="n">
        <v>0</v>
      </c>
      <c r="J35" s="47" t="n">
        <f aca="false">H35+I35</f>
        <v>0</v>
      </c>
      <c r="K35" s="46" t="n">
        <v>0</v>
      </c>
      <c r="L35" s="47" t="n">
        <v>0</v>
      </c>
      <c r="M35" s="47" t="n">
        <f aca="false">K35+L35</f>
        <v>0</v>
      </c>
      <c r="N35" s="46" t="n">
        <v>725952</v>
      </c>
      <c r="O35" s="47" t="n">
        <v>0</v>
      </c>
      <c r="P35" s="47" t="n">
        <f aca="false">N35+O35</f>
        <v>725952</v>
      </c>
      <c r="Q35" s="49" t="n">
        <f aca="false">SUM(B35+E35)</f>
        <v>105400</v>
      </c>
      <c r="R35" s="48" t="n">
        <f aca="false">SUM(C35+F35)</f>
        <v>0</v>
      </c>
      <c r="S35" s="48" t="n">
        <f aca="false">SUM(D35+G35)</f>
        <v>105400</v>
      </c>
      <c r="T35" s="49" t="n">
        <f aca="false">H35+K35</f>
        <v>0</v>
      </c>
      <c r="U35" s="48" t="n">
        <f aca="false">I35+L35</f>
        <v>0</v>
      </c>
      <c r="V35" s="48" t="n">
        <f aca="false">J35+M35</f>
        <v>0</v>
      </c>
      <c r="W35" s="49" t="n">
        <f aca="false">SUM(B35,E35,H35,K35)</f>
        <v>105400</v>
      </c>
      <c r="X35" s="48" t="n">
        <f aca="false">SUM(C35,F35,I35,L35)</f>
        <v>0</v>
      </c>
      <c r="Y35" s="48" t="n">
        <f aca="false">SUM(D35,G35,J35,M35)</f>
        <v>105400</v>
      </c>
      <c r="Z35" s="15"/>
    </row>
    <row r="36" customFormat="false" ht="15.75" hidden="false" customHeight="true" outlineLevel="0" collapsed="false">
      <c r="A36" s="30" t="s">
        <v>62</v>
      </c>
      <c r="B36" s="31" t="n">
        <v>0</v>
      </c>
      <c r="C36" s="31" t="n">
        <v>0</v>
      </c>
      <c r="D36" s="31" t="n">
        <f aca="false">B36+C36</f>
        <v>0</v>
      </c>
      <c r="E36" s="46" t="n">
        <v>0</v>
      </c>
      <c r="F36" s="47" t="n">
        <v>0</v>
      </c>
      <c r="G36" s="47" t="n">
        <f aca="false">E36+F36</f>
        <v>0</v>
      </c>
      <c r="H36" s="46" t="n">
        <v>0</v>
      </c>
      <c r="I36" s="47" t="n">
        <v>0</v>
      </c>
      <c r="J36" s="47" t="n">
        <f aca="false">H36+I36</f>
        <v>0</v>
      </c>
      <c r="K36" s="46" t="n">
        <v>0</v>
      </c>
      <c r="L36" s="47" t="n">
        <v>0</v>
      </c>
      <c r="M36" s="47" t="n">
        <f aca="false">K36+L36</f>
        <v>0</v>
      </c>
      <c r="N36" s="46" t="n">
        <v>442756</v>
      </c>
      <c r="O36" s="47" t="n">
        <v>0</v>
      </c>
      <c r="P36" s="47" t="n">
        <f aca="false">N36+O36</f>
        <v>442756</v>
      </c>
      <c r="Q36" s="49" t="n">
        <f aca="false">SUM(B36+E36)</f>
        <v>0</v>
      </c>
      <c r="R36" s="48" t="n">
        <f aca="false">SUM(C36+F36)</f>
        <v>0</v>
      </c>
      <c r="S36" s="48" t="n">
        <f aca="false">SUM(D36+G36)</f>
        <v>0</v>
      </c>
      <c r="T36" s="49" t="n">
        <f aca="false">H36+K36</f>
        <v>0</v>
      </c>
      <c r="U36" s="48" t="n">
        <f aca="false">I36+L36</f>
        <v>0</v>
      </c>
      <c r="V36" s="48" t="n">
        <f aca="false">J36+M36</f>
        <v>0</v>
      </c>
      <c r="W36" s="49" t="n">
        <f aca="false">SUM(B36,E36,H36,K36)</f>
        <v>0</v>
      </c>
      <c r="X36" s="48" t="n">
        <f aca="false">SUM(C36,F36,I36,L36)</f>
        <v>0</v>
      </c>
      <c r="Y36" s="48" t="n">
        <f aca="false">SUM(D36,G36,J36,M36)</f>
        <v>0</v>
      </c>
      <c r="Z36" s="15"/>
    </row>
    <row r="37" customFormat="false" ht="15.75" hidden="false" customHeight="true" outlineLevel="0" collapsed="false">
      <c r="A37" s="30" t="s">
        <v>63</v>
      </c>
      <c r="B37" s="31" t="n">
        <v>0</v>
      </c>
      <c r="C37" s="31" t="n">
        <v>0</v>
      </c>
      <c r="D37" s="31" t="n">
        <f aca="false">B37+C37</f>
        <v>0</v>
      </c>
      <c r="E37" s="46" t="n">
        <v>0</v>
      </c>
      <c r="F37" s="47" t="n">
        <v>0</v>
      </c>
      <c r="G37" s="47" t="n">
        <f aca="false">E37+F37</f>
        <v>0</v>
      </c>
      <c r="H37" s="46" t="n">
        <v>0</v>
      </c>
      <c r="I37" s="47" t="n">
        <v>0</v>
      </c>
      <c r="J37" s="47" t="n">
        <f aca="false">H37+I37</f>
        <v>0</v>
      </c>
      <c r="K37" s="46" t="n">
        <v>0</v>
      </c>
      <c r="L37" s="47" t="n">
        <v>0</v>
      </c>
      <c r="M37" s="47" t="n">
        <f aca="false">K37+L37</f>
        <v>0</v>
      </c>
      <c r="N37" s="46" t="n">
        <v>1058500</v>
      </c>
      <c r="O37" s="47" t="n">
        <v>0</v>
      </c>
      <c r="P37" s="47" t="n">
        <f aca="false">N37+O37</f>
        <v>1058500</v>
      </c>
      <c r="Q37" s="49" t="n">
        <f aca="false">SUM(B37+E37)</f>
        <v>0</v>
      </c>
      <c r="R37" s="48" t="n">
        <f aca="false">SUM(C37+F37)</f>
        <v>0</v>
      </c>
      <c r="S37" s="48" t="n">
        <f aca="false">SUM(D37+G37)</f>
        <v>0</v>
      </c>
      <c r="T37" s="49" t="n">
        <f aca="false">H37+K37</f>
        <v>0</v>
      </c>
      <c r="U37" s="48" t="n">
        <f aca="false">I37+L37</f>
        <v>0</v>
      </c>
      <c r="V37" s="48" t="n">
        <f aca="false">J37+M37</f>
        <v>0</v>
      </c>
      <c r="W37" s="49" t="n">
        <f aca="false">SUM(B37,E37,H37,K37)</f>
        <v>0</v>
      </c>
      <c r="X37" s="48" t="n">
        <f aca="false">SUM(C37,F37,I37,L37)</f>
        <v>0</v>
      </c>
      <c r="Y37" s="48" t="n">
        <f aca="false">SUM(D37,G37,J37,M37)</f>
        <v>0</v>
      </c>
      <c r="Z37" s="15"/>
    </row>
    <row r="38" customFormat="false" ht="15.75" hidden="false" customHeight="true" outlineLevel="0" collapsed="false">
      <c r="A38" s="59" t="s">
        <v>64</v>
      </c>
      <c r="B38" s="31" t="n">
        <v>0</v>
      </c>
      <c r="C38" s="31" t="n">
        <v>0</v>
      </c>
      <c r="D38" s="31" t="n">
        <f aca="false">B38+C38</f>
        <v>0</v>
      </c>
      <c r="E38" s="46" t="n">
        <v>0</v>
      </c>
      <c r="F38" s="47" t="n">
        <v>0</v>
      </c>
      <c r="G38" s="47" t="n">
        <f aca="false">E38+F38</f>
        <v>0</v>
      </c>
      <c r="H38" s="46" t="n">
        <v>0</v>
      </c>
      <c r="I38" s="47" t="n">
        <v>0</v>
      </c>
      <c r="J38" s="47" t="n">
        <f aca="false">H38+I38</f>
        <v>0</v>
      </c>
      <c r="K38" s="46" t="n">
        <v>0</v>
      </c>
      <c r="L38" s="47" t="n">
        <v>0</v>
      </c>
      <c r="M38" s="47" t="n">
        <f aca="false">K38+L38</f>
        <v>0</v>
      </c>
      <c r="N38" s="46" t="n">
        <v>6647672</v>
      </c>
      <c r="O38" s="47" t="n">
        <v>0</v>
      </c>
      <c r="P38" s="47" t="n">
        <f aca="false">N38+O38</f>
        <v>6647672</v>
      </c>
      <c r="Q38" s="49" t="n">
        <f aca="false">SUM(B38+E38)</f>
        <v>0</v>
      </c>
      <c r="R38" s="48" t="n">
        <f aca="false">SUM(C38+F38)</f>
        <v>0</v>
      </c>
      <c r="S38" s="48" t="n">
        <f aca="false">SUM(D38+G38)</f>
        <v>0</v>
      </c>
      <c r="T38" s="49" t="n">
        <f aca="false">H38+K38</f>
        <v>0</v>
      </c>
      <c r="U38" s="48" t="n">
        <f aca="false">I38+L38</f>
        <v>0</v>
      </c>
      <c r="V38" s="48" t="n">
        <f aca="false">J38+M38</f>
        <v>0</v>
      </c>
      <c r="W38" s="49" t="n">
        <f aca="false">SUM(B38,E38,H38,K38)</f>
        <v>0</v>
      </c>
      <c r="X38" s="48" t="n">
        <f aca="false">SUM(C38,F38,I38,L38)</f>
        <v>0</v>
      </c>
      <c r="Y38" s="48" t="n">
        <f aca="false">SUM(D38,G38,J38,M38)</f>
        <v>0</v>
      </c>
      <c r="Z38" s="15"/>
    </row>
    <row r="39" customFormat="false" ht="16.5" hidden="false" customHeight="true" outlineLevel="0" collapsed="false">
      <c r="A39" s="30" t="s">
        <v>65</v>
      </c>
      <c r="B39" s="31" t="n">
        <v>0</v>
      </c>
      <c r="C39" s="31" t="n">
        <v>0</v>
      </c>
      <c r="D39" s="31" t="n">
        <f aca="false">B39+C39</f>
        <v>0</v>
      </c>
      <c r="E39" s="33" t="n">
        <v>0</v>
      </c>
      <c r="F39" s="31" t="n">
        <v>0</v>
      </c>
      <c r="G39" s="31" t="n">
        <f aca="false">E39+F39</f>
        <v>0</v>
      </c>
      <c r="H39" s="33" t="n">
        <v>0</v>
      </c>
      <c r="I39" s="47" t="n">
        <v>0</v>
      </c>
      <c r="J39" s="31" t="n">
        <f aca="false">H39+I39</f>
        <v>0</v>
      </c>
      <c r="K39" s="33" t="n">
        <v>410000</v>
      </c>
      <c r="L39" s="31" t="n">
        <v>0</v>
      </c>
      <c r="M39" s="31" t="n">
        <f aca="false">K39+L39</f>
        <v>410000</v>
      </c>
      <c r="N39" s="33" t="n">
        <v>5736372</v>
      </c>
      <c r="O39" s="31" t="n">
        <v>0</v>
      </c>
      <c r="P39" s="47" t="n">
        <f aca="false">N39+O39</f>
        <v>5736372</v>
      </c>
      <c r="Q39" s="34" t="n">
        <f aca="false">SUM(B39+E39)</f>
        <v>0</v>
      </c>
      <c r="R39" s="35" t="n">
        <f aca="false">SUM(C39+F39)</f>
        <v>0</v>
      </c>
      <c r="S39" s="35" t="n">
        <f aca="false">SUM(D39+G39)</f>
        <v>0</v>
      </c>
      <c r="T39" s="34" t="n">
        <f aca="false">H39+K39</f>
        <v>410000</v>
      </c>
      <c r="U39" s="35" t="n">
        <f aca="false">I39+L39</f>
        <v>0</v>
      </c>
      <c r="V39" s="35" t="n">
        <f aca="false">J39+M39</f>
        <v>410000</v>
      </c>
      <c r="W39" s="34" t="n">
        <f aca="false">SUM(B39,E39,H39,K39)</f>
        <v>410000</v>
      </c>
      <c r="X39" s="35" t="n">
        <f aca="false">SUM(C39,F39,I39,L39)</f>
        <v>0</v>
      </c>
      <c r="Y39" s="35" t="n">
        <f aca="false">SUM(D39,G39,J39,M39)</f>
        <v>410000</v>
      </c>
      <c r="Z39" s="15"/>
    </row>
    <row r="40" customFormat="false" ht="16.5" hidden="false" customHeight="true" outlineLevel="0" collapsed="false">
      <c r="A40" s="30" t="s">
        <v>66</v>
      </c>
      <c r="B40" s="31" t="n">
        <v>0</v>
      </c>
      <c r="C40" s="31" t="n">
        <v>0</v>
      </c>
      <c r="D40" s="31" t="n">
        <f aca="false">B40-C40</f>
        <v>0</v>
      </c>
      <c r="E40" s="33" t="n">
        <v>0</v>
      </c>
      <c r="F40" s="31" t="n">
        <v>0</v>
      </c>
      <c r="G40" s="31" t="n">
        <f aca="false">E40-F40</f>
        <v>0</v>
      </c>
      <c r="H40" s="33" t="n">
        <v>90674</v>
      </c>
      <c r="I40" s="31" t="n">
        <v>0</v>
      </c>
      <c r="J40" s="31" t="n">
        <f aca="false">H40-I40</f>
        <v>90674</v>
      </c>
      <c r="K40" s="33" t="n">
        <v>0</v>
      </c>
      <c r="L40" s="31" t="n">
        <v>0</v>
      </c>
      <c r="M40" s="31" t="n">
        <f aca="false">K40-L40</f>
        <v>0</v>
      </c>
      <c r="N40" s="33" t="n">
        <v>85417</v>
      </c>
      <c r="O40" s="31" t="n">
        <v>0</v>
      </c>
      <c r="P40" s="47" t="n">
        <f aca="false">N40+O40</f>
        <v>85417</v>
      </c>
      <c r="Q40" s="34" t="n">
        <f aca="false">SUM(B40+E40)</f>
        <v>0</v>
      </c>
      <c r="R40" s="35" t="n">
        <f aca="false">SUM(C40+F40)</f>
        <v>0</v>
      </c>
      <c r="S40" s="35" t="n">
        <f aca="false">SUM(D40+G40)</f>
        <v>0</v>
      </c>
      <c r="T40" s="34" t="n">
        <f aca="false">H40+K40</f>
        <v>90674</v>
      </c>
      <c r="U40" s="35" t="n">
        <f aca="false">I40+L40</f>
        <v>0</v>
      </c>
      <c r="V40" s="35" t="n">
        <f aca="false">J40+M40</f>
        <v>90674</v>
      </c>
      <c r="W40" s="34" t="n">
        <f aca="false">SUM(B40,E40,H40,K40)</f>
        <v>90674</v>
      </c>
      <c r="X40" s="35" t="n">
        <f aca="false">SUM(C40,F40,I40,L40)</f>
        <v>0</v>
      </c>
      <c r="Y40" s="35" t="n">
        <f aca="false">SUM(D40,G40,J40,M40)</f>
        <v>90674</v>
      </c>
      <c r="Z40" s="15"/>
    </row>
    <row r="41" customFormat="false" ht="16.5" hidden="false" customHeight="true" outlineLevel="0" collapsed="false">
      <c r="A41" s="30" t="s">
        <v>67</v>
      </c>
      <c r="B41" s="31" t="n">
        <v>0</v>
      </c>
      <c r="C41" s="31" t="n">
        <v>0</v>
      </c>
      <c r="D41" s="31" t="n">
        <f aca="false">B41-C41</f>
        <v>0</v>
      </c>
      <c r="E41" s="33" t="n">
        <v>0</v>
      </c>
      <c r="F41" s="31" t="n">
        <v>0</v>
      </c>
      <c r="G41" s="31" t="n">
        <f aca="false">E41-F41</f>
        <v>0</v>
      </c>
      <c r="H41" s="33" t="n">
        <v>0</v>
      </c>
      <c r="I41" s="31" t="n">
        <v>0</v>
      </c>
      <c r="J41" s="31" t="n">
        <f aca="false">H41-I41</f>
        <v>0</v>
      </c>
      <c r="K41" s="33" t="n">
        <v>0</v>
      </c>
      <c r="L41" s="31" t="n">
        <v>0</v>
      </c>
      <c r="M41" s="31" t="n">
        <f aca="false">K41-L41</f>
        <v>0</v>
      </c>
      <c r="N41" s="33" t="n">
        <v>1800000</v>
      </c>
      <c r="O41" s="31" t="n">
        <v>0</v>
      </c>
      <c r="P41" s="47" t="n">
        <f aca="false">N41+O41</f>
        <v>1800000</v>
      </c>
      <c r="Q41" s="34" t="n">
        <f aca="false">SUM(B41+E41)</f>
        <v>0</v>
      </c>
      <c r="R41" s="35" t="n">
        <f aca="false">SUM(C41+F41)</f>
        <v>0</v>
      </c>
      <c r="S41" s="35" t="n">
        <f aca="false">SUM(D41+G41)</f>
        <v>0</v>
      </c>
      <c r="T41" s="34" t="n">
        <f aca="false">H41+K41</f>
        <v>0</v>
      </c>
      <c r="U41" s="35" t="n">
        <f aca="false">I41+L41</f>
        <v>0</v>
      </c>
      <c r="V41" s="35" t="n">
        <f aca="false">J41+M41</f>
        <v>0</v>
      </c>
      <c r="W41" s="34" t="n">
        <f aca="false">SUM(B41,E41,H41,K41)</f>
        <v>0</v>
      </c>
      <c r="X41" s="35" t="n">
        <f aca="false">SUM(C41,F41,I41,L41)</f>
        <v>0</v>
      </c>
      <c r="Y41" s="35" t="n">
        <f aca="false">SUM(D41,G41,J41,M41)</f>
        <v>0</v>
      </c>
      <c r="Z41" s="15"/>
    </row>
    <row r="42" customFormat="false" ht="16.5" hidden="false" customHeight="true" outlineLevel="0" collapsed="false">
      <c r="A42" s="54" t="s">
        <v>68</v>
      </c>
      <c r="B42" s="31" t="n">
        <v>0</v>
      </c>
      <c r="C42" s="31" t="n">
        <f aca="false">N42</f>
        <v>2562129</v>
      </c>
      <c r="D42" s="31" t="n">
        <f aca="false">B42+C42</f>
        <v>2562129</v>
      </c>
      <c r="E42" s="33" t="n">
        <v>0</v>
      </c>
      <c r="F42" s="31" t="n">
        <v>0</v>
      </c>
      <c r="G42" s="31" t="n">
        <f aca="false">E42-F42</f>
        <v>0</v>
      </c>
      <c r="H42" s="33" t="n">
        <v>0</v>
      </c>
      <c r="I42" s="31" t="n">
        <v>0</v>
      </c>
      <c r="J42" s="31" t="n">
        <f aca="false">H42-I42</f>
        <v>0</v>
      </c>
      <c r="K42" s="33" t="n">
        <v>0</v>
      </c>
      <c r="L42" s="31" t="n">
        <v>0</v>
      </c>
      <c r="M42" s="31" t="n">
        <f aca="false">K42-L42</f>
        <v>0</v>
      </c>
      <c r="N42" s="33" t="n">
        <v>2562129</v>
      </c>
      <c r="O42" s="31" t="n">
        <f aca="false">-N42</f>
        <v>-2562129</v>
      </c>
      <c r="P42" s="47" t="n">
        <f aca="false">N42+O42</f>
        <v>0</v>
      </c>
      <c r="Q42" s="34" t="n">
        <f aca="false">SUM(B42+E42)</f>
        <v>0</v>
      </c>
      <c r="R42" s="35" t="n">
        <f aca="false">SUM(C42+F42)</f>
        <v>2562129</v>
      </c>
      <c r="S42" s="35" t="n">
        <f aca="false">SUM(D42+G42)</f>
        <v>2562129</v>
      </c>
      <c r="T42" s="34" t="n">
        <f aca="false">H42+K42</f>
        <v>0</v>
      </c>
      <c r="U42" s="35" t="n">
        <f aca="false">I42+L42</f>
        <v>0</v>
      </c>
      <c r="V42" s="35" t="n">
        <f aca="false">J42+M42</f>
        <v>0</v>
      </c>
      <c r="W42" s="34" t="n">
        <f aca="false">SUM(B42,E42,H42,K42)</f>
        <v>0</v>
      </c>
      <c r="X42" s="35" t="n">
        <f aca="false">SUM(C42,F42,I42,L42)</f>
        <v>2562129</v>
      </c>
      <c r="Y42" s="35" t="n">
        <f aca="false">SUM(D42,G42,J42,M42)</f>
        <v>2562129</v>
      </c>
      <c r="Z42" s="15"/>
      <c r="AA42" s="7" t="s">
        <v>69</v>
      </c>
    </row>
    <row r="43" customFormat="false" ht="16.5" hidden="false" customHeight="true" outlineLevel="0" collapsed="false">
      <c r="A43" s="30" t="s">
        <v>70</v>
      </c>
      <c r="B43" s="31" t="n">
        <v>428</v>
      </c>
      <c r="C43" s="31" t="n">
        <v>0</v>
      </c>
      <c r="D43" s="31" t="n">
        <f aca="false">B43-C43</f>
        <v>428</v>
      </c>
      <c r="E43" s="33" t="n">
        <v>0</v>
      </c>
      <c r="F43" s="31" t="n">
        <v>0</v>
      </c>
      <c r="G43" s="31" t="n">
        <f aca="false">E43-F43</f>
        <v>0</v>
      </c>
      <c r="H43" s="33" t="n">
        <v>22144</v>
      </c>
      <c r="I43" s="31" t="n">
        <v>0</v>
      </c>
      <c r="J43" s="31" t="n">
        <f aca="false">H43-I43</f>
        <v>22144</v>
      </c>
      <c r="K43" s="33" t="n">
        <v>1000</v>
      </c>
      <c r="L43" s="31" t="n">
        <v>0</v>
      </c>
      <c r="M43" s="31" t="n">
        <f aca="false">K43-L43</f>
        <v>1000</v>
      </c>
      <c r="N43" s="33" t="n">
        <v>1949542</v>
      </c>
      <c r="O43" s="31" t="n">
        <v>0</v>
      </c>
      <c r="P43" s="47" t="n">
        <f aca="false">N43+O43</f>
        <v>1949542</v>
      </c>
      <c r="Q43" s="34" t="n">
        <f aca="false">SUM(B43+E43)</f>
        <v>428</v>
      </c>
      <c r="R43" s="35" t="n">
        <f aca="false">SUM(C43+F43)</f>
        <v>0</v>
      </c>
      <c r="S43" s="35" t="n">
        <f aca="false">SUM(D43+G43)</f>
        <v>428</v>
      </c>
      <c r="T43" s="34" t="n">
        <f aca="false">H43+K43</f>
        <v>23144</v>
      </c>
      <c r="U43" s="35" t="n">
        <f aca="false">I43+L43</f>
        <v>0</v>
      </c>
      <c r="V43" s="35" t="n">
        <f aca="false">J43+M43</f>
        <v>23144</v>
      </c>
      <c r="W43" s="34" t="n">
        <f aca="false">SUM(B43,E43,H43,K43)</f>
        <v>23572</v>
      </c>
      <c r="X43" s="35" t="n">
        <f aca="false">SUM(C43,F43,I43,L43)</f>
        <v>0</v>
      </c>
      <c r="Y43" s="35" t="n">
        <f aca="false">SUM(D43,G43,J43,M43)</f>
        <v>23572</v>
      </c>
      <c r="Z43" s="15"/>
    </row>
    <row r="44" customFormat="false" ht="15.75" hidden="false" customHeight="true" outlineLevel="0" collapsed="false">
      <c r="A44" s="25" t="s">
        <v>71</v>
      </c>
      <c r="B44" s="26" t="n">
        <f aca="false">B8-B9</f>
        <v>12631122</v>
      </c>
      <c r="C44" s="26" t="n">
        <f aca="false">C8-C9</f>
        <v>6553888.52565934</v>
      </c>
      <c r="D44" s="26" t="n">
        <f aca="false">D8-D9</f>
        <v>19185010.5256593</v>
      </c>
      <c r="E44" s="60" t="n">
        <f aca="false">E8-E9</f>
        <v>4220707</v>
      </c>
      <c r="F44" s="26" t="n">
        <f aca="false">F8-F9</f>
        <v>2622262.24695466</v>
      </c>
      <c r="G44" s="26" t="n">
        <f aca="false">E44+F44</f>
        <v>6842969.24695466</v>
      </c>
      <c r="H44" s="60" t="n">
        <f aca="false">H8-H9</f>
        <v>15050134</v>
      </c>
      <c r="I44" s="26" t="n">
        <f aca="false">I8-I9</f>
        <v>-21801066.605755</v>
      </c>
      <c r="J44" s="26" t="n">
        <f aca="false">H44+I44</f>
        <v>-6750932.60575497</v>
      </c>
      <c r="K44" s="60" t="n">
        <f aca="false">K8-K9</f>
        <v>10051046</v>
      </c>
      <c r="L44" s="26" t="n">
        <f aca="false">L8-L9</f>
        <v>4194610.83314097</v>
      </c>
      <c r="M44" s="26" t="n">
        <f aca="false">K44+L44</f>
        <v>14245656.833141</v>
      </c>
      <c r="N44" s="60" t="n">
        <f aca="false">N8-N9</f>
        <v>-82080830</v>
      </c>
      <c r="O44" s="26" t="n">
        <f aca="false">O8-O9</f>
        <v>47260868</v>
      </c>
      <c r="P44" s="26" t="n">
        <f aca="false">N44+O44</f>
        <v>-34819962</v>
      </c>
      <c r="Q44" s="36" t="n">
        <f aca="false">SUM(B44+E44)</f>
        <v>16851829</v>
      </c>
      <c r="R44" s="26" t="n">
        <f aca="false">SUM(C44+F44)</f>
        <v>9176150.772614</v>
      </c>
      <c r="S44" s="29" t="n">
        <f aca="false">SUM(D44+G44)</f>
        <v>26027979.772614</v>
      </c>
      <c r="T44" s="36" t="n">
        <f aca="false">H44+K44</f>
        <v>25101180</v>
      </c>
      <c r="U44" s="26" t="n">
        <f aca="false">I44+L44</f>
        <v>-17606455.772614</v>
      </c>
      <c r="V44" s="29" t="n">
        <f aca="false">J44+M44</f>
        <v>7494724.227386</v>
      </c>
      <c r="W44" s="36" t="n">
        <f aca="false">SUM(B44,E44,H44,K44)</f>
        <v>41953009</v>
      </c>
      <c r="X44" s="26" t="n">
        <f aca="false">SUM(C44,F44,I44,L44)</f>
        <v>-8430305</v>
      </c>
      <c r="Y44" s="29" t="n">
        <f aca="false">SUM(D44,G44,J44,M44)</f>
        <v>33522704</v>
      </c>
      <c r="Z44" s="15"/>
    </row>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s="5" customFormat="true" ht="15.75" hidden="false" customHeight="true" outlineLevel="0" collapsed="false">
      <c r="AA49" s="6"/>
      <c r="AB49" s="6"/>
      <c r="AC49" s="6"/>
      <c r="AD49" s="6"/>
      <c r="AE49" s="6"/>
      <c r="AF49" s="6"/>
    </row>
    <row r="50" s="5" customFormat="true" ht="15.75" hidden="false" customHeight="true" outlineLevel="0" collapsed="false">
      <c r="AA50" s="6"/>
      <c r="AB50" s="6"/>
      <c r="AC50" s="6"/>
      <c r="AD50" s="6"/>
      <c r="AE50" s="6"/>
      <c r="AF50" s="6"/>
    </row>
    <row r="51" s="5" customFormat="true" ht="15.75" hidden="false" customHeight="true" outlineLevel="0" collapsed="false">
      <c r="AA51" s="6"/>
      <c r="AB51" s="6"/>
      <c r="AC51" s="6"/>
      <c r="AD51" s="6"/>
      <c r="AE51" s="6"/>
      <c r="AF51" s="6"/>
    </row>
    <row r="52" s="5" customFormat="true" ht="15.75" hidden="false" customHeight="true" outlineLevel="0" collapsed="false">
      <c r="AA52" s="6"/>
      <c r="AB52" s="6"/>
      <c r="AC52" s="6"/>
      <c r="AD52" s="6"/>
      <c r="AE52" s="6"/>
      <c r="AF52" s="6"/>
    </row>
    <row r="53" s="5" customFormat="true" ht="15.75" hidden="false" customHeight="true" outlineLevel="0" collapsed="false">
      <c r="AA53" s="6"/>
      <c r="AB53" s="6"/>
      <c r="AC53" s="6"/>
      <c r="AD53" s="6"/>
      <c r="AE53" s="6"/>
      <c r="AF53" s="6"/>
    </row>
    <row r="54" s="5" customFormat="true" ht="15.75" hidden="false" customHeight="true" outlineLevel="0" collapsed="false">
      <c r="AA54" s="6"/>
      <c r="AB54" s="6"/>
      <c r="AC54" s="6"/>
      <c r="AD54" s="6"/>
      <c r="AE54" s="6"/>
      <c r="AF54" s="6"/>
    </row>
    <row r="55" s="5" customFormat="true" ht="15.75" hidden="false" customHeight="true" outlineLevel="0" collapsed="false">
      <c r="AA55" s="6"/>
      <c r="AB55" s="6"/>
      <c r="AC55" s="6"/>
      <c r="AD55" s="6"/>
      <c r="AE55" s="6"/>
      <c r="AF55" s="6"/>
    </row>
    <row r="56" s="5" customFormat="true" ht="15.75" hidden="false" customHeight="true" outlineLevel="0" collapsed="false">
      <c r="AA56" s="6"/>
      <c r="AB56" s="6"/>
      <c r="AC56" s="6"/>
      <c r="AD56" s="6"/>
      <c r="AE56" s="6"/>
      <c r="AF56" s="6"/>
    </row>
    <row r="57" s="5" customFormat="true" ht="15.75" hidden="false" customHeight="true" outlineLevel="0" collapsed="false">
      <c r="AA57" s="6"/>
      <c r="AB57" s="6"/>
      <c r="AC57" s="6"/>
      <c r="AD57" s="6"/>
      <c r="AE57" s="6"/>
      <c r="AF57" s="6"/>
    </row>
    <row r="58" s="5" customFormat="true" ht="15.75" hidden="false" customHeight="true" outlineLevel="0" collapsed="false">
      <c r="AA58" s="6"/>
      <c r="AB58" s="6"/>
      <c r="AC58" s="6"/>
      <c r="AD58" s="6"/>
      <c r="AE58" s="6"/>
      <c r="AF58" s="6"/>
    </row>
    <row r="59" s="5" customFormat="true" ht="15.75" hidden="false" customHeight="true" outlineLevel="0" collapsed="false">
      <c r="AA59" s="6"/>
      <c r="AB59" s="6"/>
      <c r="AC59" s="6"/>
      <c r="AD59" s="6"/>
      <c r="AE59" s="6"/>
      <c r="AF59" s="6"/>
    </row>
    <row r="60" s="5" customFormat="true" ht="15.75" hidden="false" customHeight="true" outlineLevel="0" collapsed="false">
      <c r="AA60" s="6"/>
      <c r="AB60" s="6"/>
      <c r="AC60" s="6"/>
      <c r="AD60" s="6"/>
      <c r="AE60" s="6"/>
      <c r="AF60" s="6"/>
    </row>
    <row r="61" s="5" customFormat="true" ht="15.75" hidden="false" customHeight="true" outlineLevel="0" collapsed="false">
      <c r="AA61" s="6"/>
      <c r="AB61" s="6"/>
      <c r="AC61" s="6"/>
      <c r="AD61" s="6"/>
      <c r="AE61" s="6"/>
      <c r="AF61" s="6"/>
    </row>
    <row r="62" s="5" customFormat="true" ht="15.75" hidden="false" customHeight="true" outlineLevel="0" collapsed="false">
      <c r="AA62" s="6"/>
      <c r="AB62" s="6"/>
      <c r="AC62" s="6"/>
      <c r="AD62" s="6"/>
      <c r="AE62" s="6"/>
      <c r="AF62" s="6"/>
    </row>
    <row r="63" s="5" customFormat="true" ht="15.75" hidden="false" customHeight="true" outlineLevel="0" collapsed="false">
      <c r="AA63" s="6"/>
      <c r="AB63" s="6"/>
      <c r="AC63" s="6"/>
      <c r="AD63" s="6"/>
      <c r="AE63" s="6"/>
      <c r="AF63" s="6"/>
    </row>
    <row r="64" s="5" customFormat="true" ht="15.75" hidden="false" customHeight="true" outlineLevel="0" collapsed="false">
      <c r="AA64" s="6"/>
      <c r="AB64" s="6"/>
      <c r="AC64" s="6"/>
      <c r="AD64" s="6"/>
      <c r="AE64" s="6"/>
      <c r="AF64" s="6"/>
    </row>
    <row r="65" s="5" customFormat="true" ht="15.75" hidden="false" customHeight="true" outlineLevel="0" collapsed="false">
      <c r="AA65" s="6"/>
      <c r="AB65" s="6"/>
      <c r="AC65" s="6"/>
      <c r="AD65" s="6"/>
      <c r="AE65" s="6"/>
      <c r="AF65" s="6"/>
    </row>
    <row r="66" s="5" customFormat="true" ht="15.75" hidden="false" customHeight="true" outlineLevel="0" collapsed="false">
      <c r="AA66" s="6"/>
      <c r="AB66" s="6"/>
      <c r="AC66" s="6"/>
      <c r="AD66" s="6"/>
      <c r="AE66" s="6"/>
      <c r="AF66" s="6"/>
    </row>
    <row r="67" s="5" customFormat="true" ht="15.75" hidden="false" customHeight="true" outlineLevel="0" collapsed="false">
      <c r="AA67" s="6"/>
      <c r="AB67" s="6"/>
      <c r="AC67" s="6"/>
      <c r="AD67" s="6"/>
      <c r="AE67" s="6"/>
      <c r="AF67" s="6"/>
    </row>
    <row r="68" s="5" customFormat="true" ht="15.75" hidden="false" customHeight="true" outlineLevel="0" collapsed="false">
      <c r="AA68" s="6"/>
      <c r="AB68" s="6"/>
      <c r="AC68" s="6"/>
      <c r="AD68" s="6"/>
      <c r="AE68" s="6"/>
      <c r="AF68" s="6"/>
    </row>
    <row r="69" s="5" customFormat="true" ht="15.75" hidden="false" customHeight="true" outlineLevel="0" collapsed="false">
      <c r="AA69" s="6"/>
      <c r="AB69" s="6"/>
      <c r="AC69" s="6"/>
      <c r="AD69" s="6"/>
      <c r="AE69" s="6"/>
      <c r="AF69" s="6"/>
    </row>
    <row r="70" s="5" customFormat="true" ht="15.75" hidden="false" customHeight="true" outlineLevel="0" collapsed="false">
      <c r="AA70" s="6"/>
      <c r="AB70" s="6"/>
      <c r="AC70" s="6"/>
      <c r="AD70" s="6"/>
      <c r="AE70" s="6"/>
      <c r="AF70" s="6"/>
    </row>
    <row r="71" s="5" customFormat="true" ht="15.75" hidden="false" customHeight="true" outlineLevel="0" collapsed="false">
      <c r="AA71" s="6"/>
      <c r="AB71" s="6"/>
      <c r="AC71" s="6"/>
      <c r="AD71" s="6"/>
      <c r="AE71" s="6"/>
      <c r="AF71" s="6"/>
    </row>
    <row r="72" s="5" customFormat="true" ht="15.75" hidden="false" customHeight="true" outlineLevel="0" collapsed="false">
      <c r="AA72" s="6"/>
      <c r="AB72" s="6"/>
      <c r="AC72" s="6"/>
      <c r="AD72" s="6"/>
      <c r="AE72" s="6"/>
      <c r="AF72" s="6"/>
    </row>
    <row r="73" s="5" customFormat="true" ht="15.75" hidden="false" customHeight="true" outlineLevel="0" collapsed="false">
      <c r="AA73" s="6"/>
      <c r="AB73" s="6"/>
      <c r="AC73" s="6"/>
      <c r="AD73" s="6"/>
      <c r="AE73" s="6"/>
      <c r="AF73" s="6"/>
    </row>
    <row r="74" s="5" customFormat="true" ht="15.75" hidden="false" customHeight="true" outlineLevel="0" collapsed="false">
      <c r="AA74" s="6"/>
      <c r="AB74" s="6"/>
      <c r="AC74" s="6"/>
      <c r="AD74" s="6"/>
      <c r="AE74" s="6"/>
      <c r="AF74" s="6"/>
    </row>
    <row r="75" s="5" customFormat="true" ht="15.75" hidden="false" customHeight="true" outlineLevel="0" collapsed="false">
      <c r="AA75" s="6"/>
      <c r="AB75" s="6"/>
      <c r="AC75" s="6"/>
      <c r="AD75" s="6"/>
      <c r="AE75" s="6"/>
      <c r="AF75" s="6"/>
    </row>
    <row r="76" s="5" customFormat="true" ht="15.75" hidden="false" customHeight="true" outlineLevel="0" collapsed="false">
      <c r="AA76" s="6"/>
      <c r="AB76" s="6"/>
      <c r="AC76" s="6"/>
      <c r="AD76" s="6"/>
      <c r="AE76" s="6"/>
      <c r="AF76" s="6"/>
    </row>
    <row r="77" s="5" customFormat="true" ht="15.75" hidden="false" customHeight="true" outlineLevel="0" collapsed="false">
      <c r="AA77" s="6"/>
      <c r="AB77" s="6"/>
      <c r="AC77" s="6"/>
      <c r="AD77" s="6"/>
      <c r="AE77" s="6"/>
      <c r="AF77" s="6"/>
    </row>
    <row r="78" s="5" customFormat="true" ht="15.75" hidden="false" customHeight="true" outlineLevel="0" collapsed="false">
      <c r="AA78" s="6"/>
      <c r="AB78" s="6"/>
      <c r="AC78" s="6"/>
      <c r="AD78" s="6"/>
      <c r="AE78" s="6"/>
      <c r="AF78" s="6"/>
    </row>
    <row r="79" s="5" customFormat="true" ht="15.75" hidden="false" customHeight="true" outlineLevel="0" collapsed="false">
      <c r="AA79" s="6"/>
      <c r="AB79" s="6"/>
      <c r="AC79" s="6"/>
      <c r="AD79" s="6"/>
      <c r="AE79" s="6"/>
      <c r="AF79" s="6"/>
    </row>
    <row r="80" s="5" customFormat="true" ht="15.75" hidden="false" customHeight="true" outlineLevel="0" collapsed="false">
      <c r="AA80" s="6"/>
      <c r="AB80" s="6"/>
      <c r="AC80" s="6"/>
      <c r="AD80" s="6"/>
      <c r="AE80" s="6"/>
      <c r="AF80" s="6"/>
    </row>
    <row r="81" s="5" customFormat="true" ht="15.75" hidden="false" customHeight="true" outlineLevel="0" collapsed="false">
      <c r="AA81" s="6"/>
      <c r="AB81" s="6"/>
      <c r="AC81" s="6"/>
      <c r="AD81" s="6"/>
      <c r="AE81" s="6"/>
      <c r="AF81" s="6"/>
    </row>
    <row r="82" s="5" customFormat="true" ht="15.75" hidden="false" customHeight="true" outlineLevel="0" collapsed="false">
      <c r="AA82" s="6"/>
      <c r="AB82" s="6"/>
      <c r="AC82" s="6"/>
      <c r="AD82" s="6"/>
      <c r="AE82" s="6"/>
      <c r="AF82" s="6"/>
    </row>
    <row r="83" s="5" customFormat="true" ht="15.75" hidden="false" customHeight="true" outlineLevel="0" collapsed="false">
      <c r="AA83" s="6"/>
      <c r="AB83" s="6"/>
      <c r="AC83" s="6"/>
      <c r="AD83" s="6"/>
      <c r="AE83" s="6"/>
      <c r="AF83" s="6"/>
    </row>
    <row r="84" s="5" customFormat="true" ht="15.75" hidden="false" customHeight="true" outlineLevel="0" collapsed="false">
      <c r="AA84" s="6"/>
      <c r="AB84" s="6"/>
      <c r="AC84" s="6"/>
      <c r="AD84" s="6"/>
      <c r="AE84" s="6"/>
      <c r="AF84" s="6"/>
    </row>
    <row r="85" s="5" customFormat="true" ht="15.75" hidden="false" customHeight="true" outlineLevel="0" collapsed="false">
      <c r="AA85" s="6"/>
      <c r="AB85" s="6"/>
      <c r="AC85" s="6"/>
      <c r="AD85" s="6"/>
      <c r="AE85" s="6"/>
      <c r="AF85" s="6"/>
    </row>
    <row r="86" s="5" customFormat="true" ht="15.75" hidden="false" customHeight="true" outlineLevel="0" collapsed="false">
      <c r="AA86" s="6"/>
      <c r="AB86" s="6"/>
      <c r="AC86" s="6"/>
      <c r="AD86" s="6"/>
      <c r="AE86" s="6"/>
      <c r="AF86" s="6"/>
    </row>
    <row r="87" s="5" customFormat="true" ht="15.75" hidden="false" customHeight="true" outlineLevel="0" collapsed="false">
      <c r="AA87" s="6"/>
      <c r="AB87" s="6"/>
      <c r="AC87" s="6"/>
      <c r="AD87" s="6"/>
      <c r="AE87" s="6"/>
      <c r="AF87" s="6"/>
    </row>
    <row r="88" s="5" customFormat="true" ht="15.75" hidden="false" customHeight="true" outlineLevel="0" collapsed="false">
      <c r="AA88" s="6"/>
      <c r="AB88" s="6"/>
      <c r="AC88" s="6"/>
      <c r="AD88" s="6"/>
      <c r="AE88" s="6"/>
      <c r="AF88" s="6"/>
    </row>
    <row r="89" s="5" customFormat="true" ht="15.75" hidden="false" customHeight="true" outlineLevel="0" collapsed="false">
      <c r="AA89" s="6"/>
      <c r="AB89" s="6"/>
      <c r="AC89" s="6"/>
      <c r="AD89" s="6"/>
      <c r="AE89" s="6"/>
      <c r="AF89" s="6"/>
    </row>
    <row r="90" s="5" customFormat="true" ht="15.75" hidden="false" customHeight="true" outlineLevel="0" collapsed="false">
      <c r="AA90" s="6"/>
      <c r="AB90" s="6"/>
      <c r="AC90" s="6"/>
      <c r="AD90" s="6"/>
      <c r="AE90" s="6"/>
      <c r="AF90" s="6"/>
    </row>
    <row r="91" s="5" customFormat="true" ht="15.75" hidden="false" customHeight="true" outlineLevel="0" collapsed="false">
      <c r="AA91" s="6"/>
      <c r="AB91" s="6"/>
      <c r="AC91" s="6"/>
      <c r="AD91" s="6"/>
      <c r="AE91" s="6"/>
      <c r="AF91" s="6"/>
    </row>
    <row r="92" s="5" customFormat="true" ht="15.75" hidden="false" customHeight="true" outlineLevel="0" collapsed="false">
      <c r="AA92" s="6"/>
      <c r="AB92" s="6"/>
      <c r="AC92" s="6"/>
      <c r="AD92" s="6"/>
      <c r="AE92" s="6"/>
      <c r="AF92" s="6"/>
    </row>
    <row r="93" s="5" customFormat="true" ht="15.75" hidden="false" customHeight="true" outlineLevel="0" collapsed="false">
      <c r="AA93" s="6"/>
      <c r="AB93" s="6"/>
      <c r="AC93" s="6"/>
      <c r="AD93" s="6"/>
      <c r="AE93" s="6"/>
      <c r="AF93" s="6"/>
    </row>
    <row r="94" s="5" customFormat="true" ht="15.75" hidden="false" customHeight="true" outlineLevel="0" collapsed="false">
      <c r="AA94" s="6"/>
      <c r="AB94" s="6"/>
      <c r="AC94" s="6"/>
      <c r="AD94" s="6"/>
      <c r="AE94" s="6"/>
      <c r="AF94" s="6"/>
    </row>
    <row r="95" s="5" customFormat="true" ht="15.75" hidden="false" customHeight="true" outlineLevel="0" collapsed="false">
      <c r="AA95" s="6"/>
      <c r="AB95" s="6"/>
      <c r="AC95" s="6"/>
      <c r="AD95" s="6"/>
      <c r="AE95" s="6"/>
      <c r="AF95" s="6"/>
    </row>
    <row r="96" s="5" customFormat="true" ht="15.75" hidden="false" customHeight="true" outlineLevel="0" collapsed="false">
      <c r="AA96" s="6"/>
      <c r="AB96" s="6"/>
      <c r="AC96" s="6"/>
      <c r="AD96" s="6"/>
      <c r="AE96" s="6"/>
      <c r="AF96" s="6"/>
    </row>
    <row r="97" s="5" customFormat="true" ht="15.75" hidden="false" customHeight="true" outlineLevel="0" collapsed="false">
      <c r="AA97" s="6"/>
      <c r="AB97" s="6"/>
      <c r="AC97" s="6"/>
      <c r="AD97" s="6"/>
      <c r="AE97" s="6"/>
      <c r="AF97" s="6"/>
    </row>
    <row r="98" s="5" customFormat="true" ht="15.75" hidden="false" customHeight="true" outlineLevel="0" collapsed="false">
      <c r="AA98" s="6"/>
      <c r="AB98" s="6"/>
      <c r="AC98" s="6"/>
      <c r="AD98" s="6"/>
      <c r="AE98" s="6"/>
      <c r="AF98" s="6"/>
    </row>
    <row r="99" s="5" customFormat="true" ht="15.75" hidden="false" customHeight="true" outlineLevel="0" collapsed="false">
      <c r="AA99" s="6"/>
      <c r="AB99" s="6"/>
      <c r="AC99" s="6"/>
      <c r="AD99" s="6"/>
      <c r="AE99" s="6"/>
      <c r="AF99" s="6"/>
    </row>
    <row r="100" s="5" customFormat="true" ht="15.75" hidden="false" customHeight="true" outlineLevel="0" collapsed="false">
      <c r="AA100" s="6"/>
      <c r="AB100" s="6"/>
      <c r="AC100" s="6"/>
      <c r="AD100" s="6"/>
      <c r="AE100" s="6"/>
      <c r="AF100" s="6"/>
    </row>
    <row r="101" s="5" customFormat="true" ht="15.75" hidden="false" customHeight="true" outlineLevel="0" collapsed="false">
      <c r="AA101" s="6"/>
      <c r="AB101" s="6"/>
      <c r="AC101" s="6"/>
      <c r="AD101" s="6"/>
      <c r="AE101" s="6"/>
      <c r="AF101" s="6"/>
    </row>
    <row r="102" s="5" customFormat="true" ht="15.75" hidden="false" customHeight="true" outlineLevel="0" collapsed="false">
      <c r="AA102" s="6"/>
      <c r="AB102" s="6"/>
      <c r="AC102" s="6"/>
      <c r="AD102" s="6"/>
      <c r="AE102" s="6"/>
      <c r="AF102" s="6"/>
    </row>
    <row r="103" s="5" customFormat="true" ht="15.75" hidden="false" customHeight="true" outlineLevel="0" collapsed="false">
      <c r="AA103" s="6"/>
      <c r="AB103" s="6"/>
      <c r="AC103" s="6"/>
      <c r="AD103" s="6"/>
      <c r="AE103" s="6"/>
      <c r="AF103" s="6"/>
    </row>
    <row r="104" s="5" customFormat="true" ht="15.75" hidden="false" customHeight="true" outlineLevel="0" collapsed="false">
      <c r="AA104" s="6"/>
      <c r="AB104" s="6"/>
      <c r="AC104" s="6"/>
      <c r="AD104" s="6"/>
      <c r="AE104" s="6"/>
      <c r="AF104" s="6"/>
    </row>
    <row r="105" s="5" customFormat="true" ht="15.75" hidden="false" customHeight="true" outlineLevel="0" collapsed="false">
      <c r="AA105" s="6"/>
      <c r="AB105" s="6"/>
      <c r="AC105" s="6"/>
      <c r="AD105" s="6"/>
      <c r="AE105" s="6"/>
      <c r="AF105" s="6"/>
    </row>
    <row r="106" s="5" customFormat="true" ht="15.75" hidden="false" customHeight="true" outlineLevel="0" collapsed="false">
      <c r="AA106" s="6"/>
      <c r="AB106" s="6"/>
      <c r="AC106" s="6"/>
      <c r="AD106" s="6"/>
      <c r="AE106" s="6"/>
      <c r="AF106" s="6"/>
    </row>
    <row r="107" s="5" customFormat="true" ht="15.75" hidden="false" customHeight="true" outlineLevel="0" collapsed="false">
      <c r="AA107" s="6"/>
      <c r="AB107" s="6"/>
      <c r="AC107" s="6"/>
      <c r="AD107" s="6"/>
      <c r="AE107" s="6"/>
      <c r="AF107" s="6"/>
    </row>
    <row r="108" s="5" customFormat="true" ht="15.75" hidden="false" customHeight="true" outlineLevel="0" collapsed="false">
      <c r="AA108" s="6"/>
      <c r="AB108" s="6"/>
      <c r="AC108" s="6"/>
      <c r="AD108" s="6"/>
      <c r="AE108" s="6"/>
      <c r="AF108" s="6"/>
    </row>
    <row r="109" s="5" customFormat="true" ht="15.75" hidden="false" customHeight="true" outlineLevel="0" collapsed="false">
      <c r="AA109" s="6"/>
      <c r="AB109" s="6"/>
      <c r="AC109" s="6"/>
      <c r="AD109" s="6"/>
      <c r="AE109" s="6"/>
      <c r="AF109" s="6"/>
    </row>
    <row r="110" s="5" customFormat="true" ht="15.75" hidden="false" customHeight="true" outlineLevel="0" collapsed="false">
      <c r="AA110" s="6"/>
      <c r="AB110" s="6"/>
      <c r="AC110" s="6"/>
      <c r="AD110" s="6"/>
      <c r="AE110" s="6"/>
      <c r="AF110" s="6"/>
    </row>
    <row r="111" s="5" customFormat="true" ht="15.75" hidden="false" customHeight="true" outlineLevel="0" collapsed="false">
      <c r="AA111" s="6"/>
      <c r="AB111" s="6"/>
      <c r="AC111" s="6"/>
      <c r="AD111" s="6"/>
      <c r="AE111" s="6"/>
      <c r="AF111" s="6"/>
    </row>
    <row r="112" s="5" customFormat="true" ht="15.75" hidden="false" customHeight="true" outlineLevel="0" collapsed="false">
      <c r="AA112" s="6"/>
      <c r="AB112" s="6"/>
      <c r="AC112" s="6"/>
      <c r="AD112" s="6"/>
      <c r="AE112" s="6"/>
      <c r="AF112" s="6"/>
    </row>
    <row r="113" s="5" customFormat="true" ht="15.75" hidden="false" customHeight="true" outlineLevel="0" collapsed="false">
      <c r="AA113" s="6"/>
      <c r="AB113" s="6"/>
      <c r="AC113" s="6"/>
      <c r="AD113" s="6"/>
      <c r="AE113" s="6"/>
      <c r="AF113" s="6"/>
    </row>
    <row r="114" s="5" customFormat="true" ht="15.75" hidden="false" customHeight="true" outlineLevel="0" collapsed="false">
      <c r="AA114" s="6"/>
      <c r="AB114" s="6"/>
      <c r="AC114" s="6"/>
      <c r="AD114" s="6"/>
      <c r="AE114" s="6"/>
      <c r="AF114" s="6"/>
    </row>
    <row r="115" s="5" customFormat="true" ht="15.75" hidden="false" customHeight="true" outlineLevel="0" collapsed="false">
      <c r="AA115" s="6"/>
      <c r="AB115" s="6"/>
      <c r="AC115" s="6"/>
      <c r="AD115" s="6"/>
      <c r="AE115" s="6"/>
      <c r="AF115" s="6"/>
    </row>
    <row r="116" s="5" customFormat="true" ht="15.75" hidden="false" customHeight="true" outlineLevel="0" collapsed="false">
      <c r="AA116" s="6"/>
      <c r="AB116" s="6"/>
      <c r="AC116" s="6"/>
      <c r="AD116" s="6"/>
      <c r="AE116" s="6"/>
      <c r="AF116" s="6"/>
    </row>
    <row r="117" s="5" customFormat="true" ht="15.75" hidden="false" customHeight="true" outlineLevel="0" collapsed="false">
      <c r="AA117" s="6"/>
      <c r="AB117" s="6"/>
      <c r="AC117" s="6"/>
      <c r="AD117" s="6"/>
      <c r="AE117" s="6"/>
      <c r="AF117" s="6"/>
    </row>
    <row r="118" s="5" customFormat="true" ht="15.75" hidden="false" customHeight="true" outlineLevel="0" collapsed="false">
      <c r="AA118" s="6"/>
      <c r="AB118" s="6"/>
      <c r="AC118" s="6"/>
      <c r="AD118" s="6"/>
      <c r="AE118" s="6"/>
      <c r="AF118" s="6"/>
    </row>
    <row r="119" s="5" customFormat="true" ht="15.75" hidden="false" customHeight="true" outlineLevel="0" collapsed="false">
      <c r="AA119" s="6"/>
      <c r="AB119" s="6"/>
      <c r="AC119" s="6"/>
      <c r="AD119" s="6"/>
      <c r="AE119" s="6"/>
      <c r="AF119" s="6"/>
    </row>
    <row r="120" s="5" customFormat="true" ht="15.75" hidden="false" customHeight="true" outlineLevel="0" collapsed="false">
      <c r="AA120" s="6"/>
      <c r="AB120" s="6"/>
      <c r="AC120" s="6"/>
      <c r="AD120" s="6"/>
      <c r="AE120" s="6"/>
      <c r="AF120" s="6"/>
    </row>
    <row r="121" s="5" customFormat="true" ht="15.75" hidden="false" customHeight="true" outlineLevel="0" collapsed="false">
      <c r="AA121" s="6"/>
      <c r="AB121" s="6"/>
      <c r="AC121" s="6"/>
      <c r="AD121" s="6"/>
      <c r="AE121" s="6"/>
      <c r="AF121" s="6"/>
    </row>
    <row r="122" s="5" customFormat="true" ht="15.75" hidden="false" customHeight="true" outlineLevel="0" collapsed="false">
      <c r="AA122" s="6"/>
      <c r="AB122" s="6"/>
      <c r="AC122" s="6"/>
      <c r="AD122" s="6"/>
      <c r="AE122" s="6"/>
      <c r="AF122" s="6"/>
    </row>
    <row r="123" s="5" customFormat="true" ht="15.75" hidden="false" customHeight="true" outlineLevel="0" collapsed="false">
      <c r="AA123" s="6"/>
      <c r="AB123" s="6"/>
      <c r="AC123" s="6"/>
      <c r="AD123" s="6"/>
      <c r="AE123" s="6"/>
      <c r="AF123" s="6"/>
    </row>
    <row r="124" s="5" customFormat="true" ht="15.75" hidden="false" customHeight="true" outlineLevel="0" collapsed="false">
      <c r="AA124" s="6"/>
      <c r="AB124" s="6"/>
      <c r="AC124" s="6"/>
      <c r="AD124" s="6"/>
      <c r="AE124" s="6"/>
      <c r="AF124" s="6"/>
    </row>
    <row r="125" s="5" customFormat="true" ht="15.75" hidden="false" customHeight="true" outlineLevel="0" collapsed="false">
      <c r="AA125" s="6"/>
      <c r="AB125" s="6"/>
      <c r="AC125" s="6"/>
      <c r="AD125" s="6"/>
      <c r="AE125" s="6"/>
      <c r="AF125" s="6"/>
    </row>
    <row r="126" s="5" customFormat="true" ht="15.75" hidden="false" customHeight="true" outlineLevel="0" collapsed="false">
      <c r="AA126" s="6"/>
      <c r="AB126" s="6"/>
      <c r="AC126" s="6"/>
      <c r="AD126" s="6"/>
      <c r="AE126" s="6"/>
      <c r="AF126" s="6"/>
    </row>
    <row r="127" s="5" customFormat="true" ht="15.75" hidden="false" customHeight="true" outlineLevel="0" collapsed="false">
      <c r="AA127" s="6"/>
      <c r="AB127" s="6"/>
      <c r="AC127" s="6"/>
      <c r="AD127" s="6"/>
      <c r="AE127" s="6"/>
      <c r="AF127" s="6"/>
    </row>
    <row r="128" s="5" customFormat="true" ht="15.75" hidden="false" customHeight="true" outlineLevel="0" collapsed="false">
      <c r="AA128" s="6"/>
      <c r="AB128" s="6"/>
      <c r="AC128" s="6"/>
      <c r="AD128" s="6"/>
      <c r="AE128" s="6"/>
      <c r="AF128" s="6"/>
    </row>
    <row r="129" s="5" customFormat="true" ht="15.75" hidden="false" customHeight="true" outlineLevel="0" collapsed="false">
      <c r="AA129" s="6"/>
      <c r="AB129" s="6"/>
      <c r="AC129" s="6"/>
      <c r="AD129" s="6"/>
      <c r="AE129" s="6"/>
      <c r="AF129" s="6"/>
    </row>
    <row r="130" s="5" customFormat="true" ht="15.75" hidden="false" customHeight="true" outlineLevel="0" collapsed="false">
      <c r="AA130" s="6"/>
      <c r="AB130" s="6"/>
      <c r="AC130" s="6"/>
      <c r="AD130" s="6"/>
      <c r="AE130" s="6"/>
      <c r="AF130" s="6"/>
    </row>
    <row r="131" s="5" customFormat="true" ht="15.75" hidden="false" customHeight="true" outlineLevel="0" collapsed="false">
      <c r="AA131" s="6"/>
      <c r="AB131" s="6"/>
      <c r="AC131" s="6"/>
      <c r="AD131" s="6"/>
      <c r="AE131" s="6"/>
      <c r="AF131" s="6"/>
    </row>
    <row r="132" s="5" customFormat="true" ht="15.75" hidden="false" customHeight="true" outlineLevel="0" collapsed="false">
      <c r="AA132" s="6"/>
      <c r="AB132" s="6"/>
      <c r="AC132" s="6"/>
      <c r="AD132" s="6"/>
      <c r="AE132" s="6"/>
      <c r="AF132" s="6"/>
    </row>
    <row r="133" s="5" customFormat="true" ht="15.75" hidden="false" customHeight="true" outlineLevel="0" collapsed="false">
      <c r="AA133" s="6"/>
      <c r="AB133" s="6"/>
      <c r="AC133" s="6"/>
      <c r="AD133" s="6"/>
      <c r="AE133" s="6"/>
      <c r="AF133" s="6"/>
    </row>
    <row r="134" s="5" customFormat="true" ht="15.75" hidden="false" customHeight="true" outlineLevel="0" collapsed="false">
      <c r="AA134" s="6"/>
      <c r="AB134" s="6"/>
      <c r="AC134" s="6"/>
      <c r="AD134" s="6"/>
      <c r="AE134" s="6"/>
      <c r="AF134" s="6"/>
    </row>
    <row r="135" s="5" customFormat="true" ht="15.75" hidden="false" customHeight="true" outlineLevel="0" collapsed="false">
      <c r="AA135" s="6"/>
      <c r="AB135" s="6"/>
      <c r="AC135" s="6"/>
      <c r="AD135" s="6"/>
      <c r="AE135" s="6"/>
      <c r="AF135" s="6"/>
    </row>
    <row r="136" s="5" customFormat="true" ht="15.75" hidden="false" customHeight="true" outlineLevel="0" collapsed="false">
      <c r="AA136" s="6"/>
      <c r="AB136" s="6"/>
      <c r="AC136" s="6"/>
      <c r="AD136" s="6"/>
      <c r="AE136" s="6"/>
      <c r="AF136" s="6"/>
    </row>
    <row r="137" s="5" customFormat="true" ht="15.75" hidden="false" customHeight="true" outlineLevel="0" collapsed="false">
      <c r="AA137" s="6"/>
      <c r="AB137" s="6"/>
      <c r="AC137" s="6"/>
      <c r="AD137" s="6"/>
      <c r="AE137" s="6"/>
      <c r="AF137" s="6"/>
    </row>
    <row r="138" s="5" customFormat="true" ht="15.75" hidden="false" customHeight="true" outlineLevel="0" collapsed="false">
      <c r="AA138" s="6"/>
      <c r="AB138" s="6"/>
      <c r="AC138" s="6"/>
      <c r="AD138" s="6"/>
      <c r="AE138" s="6"/>
      <c r="AF138" s="6"/>
    </row>
    <row r="139" s="5" customFormat="true" ht="15.75" hidden="false" customHeight="true" outlineLevel="0" collapsed="false">
      <c r="AA139" s="6"/>
      <c r="AB139" s="6"/>
      <c r="AC139" s="6"/>
      <c r="AD139" s="6"/>
      <c r="AE139" s="6"/>
      <c r="AF139" s="6"/>
    </row>
    <row r="140" s="5" customFormat="true" ht="15.75" hidden="false" customHeight="true" outlineLevel="0" collapsed="false">
      <c r="AA140" s="6"/>
      <c r="AB140" s="6"/>
      <c r="AC140" s="6"/>
      <c r="AD140" s="6"/>
      <c r="AE140" s="6"/>
      <c r="AF140" s="6"/>
    </row>
    <row r="141" s="5" customFormat="true" ht="15.75" hidden="false" customHeight="true" outlineLevel="0" collapsed="false">
      <c r="AA141" s="6"/>
      <c r="AB141" s="6"/>
      <c r="AC141" s="6"/>
      <c r="AD141" s="6"/>
      <c r="AE141" s="6"/>
      <c r="AF141" s="6"/>
    </row>
    <row r="142" s="5" customFormat="true" ht="15.75" hidden="false" customHeight="true" outlineLevel="0" collapsed="false">
      <c r="AA142" s="6"/>
      <c r="AB142" s="6"/>
      <c r="AC142" s="6"/>
      <c r="AD142" s="6"/>
      <c r="AE142" s="6"/>
      <c r="AF142" s="6"/>
    </row>
    <row r="143" s="5" customFormat="true" ht="15.75" hidden="false" customHeight="true" outlineLevel="0" collapsed="false">
      <c r="AA143" s="6"/>
      <c r="AB143" s="6"/>
      <c r="AC143" s="6"/>
      <c r="AD143" s="6"/>
      <c r="AE143" s="6"/>
      <c r="AF143" s="6"/>
    </row>
    <row r="144" s="5" customFormat="true" ht="15.75" hidden="false" customHeight="true" outlineLevel="0" collapsed="false">
      <c r="AA144" s="6"/>
      <c r="AB144" s="6"/>
      <c r="AC144" s="6"/>
      <c r="AD144" s="6"/>
      <c r="AE144" s="6"/>
      <c r="AF144" s="6"/>
    </row>
    <row r="145" s="5" customFormat="true" ht="15.75" hidden="false" customHeight="true" outlineLevel="0" collapsed="false">
      <c r="AA145" s="6"/>
      <c r="AB145" s="6"/>
      <c r="AC145" s="6"/>
      <c r="AD145" s="6"/>
      <c r="AE145" s="6"/>
      <c r="AF145" s="6"/>
    </row>
    <row r="146" s="5" customFormat="true" ht="15.75" hidden="false" customHeight="true" outlineLevel="0" collapsed="false">
      <c r="AA146" s="6"/>
      <c r="AB146" s="6"/>
      <c r="AC146" s="6"/>
      <c r="AD146" s="6"/>
      <c r="AE146" s="6"/>
      <c r="AF146" s="6"/>
    </row>
    <row r="147" s="5" customFormat="true" ht="15.75" hidden="false" customHeight="true" outlineLevel="0" collapsed="false">
      <c r="AA147" s="6"/>
      <c r="AB147" s="6"/>
      <c r="AC147" s="6"/>
      <c r="AD147" s="6"/>
      <c r="AE147" s="6"/>
      <c r="AF147" s="6"/>
    </row>
    <row r="148" s="5" customFormat="true" ht="15.75" hidden="false" customHeight="true" outlineLevel="0" collapsed="false">
      <c r="AA148" s="6"/>
      <c r="AB148" s="6"/>
      <c r="AC148" s="6"/>
      <c r="AD148" s="6"/>
      <c r="AE148" s="6"/>
      <c r="AF148" s="6"/>
    </row>
    <row r="149" s="5" customFormat="true" ht="15.75" hidden="false" customHeight="true" outlineLevel="0" collapsed="false">
      <c r="AA149" s="6"/>
      <c r="AB149" s="6"/>
      <c r="AC149" s="6"/>
      <c r="AD149" s="6"/>
      <c r="AE149" s="6"/>
      <c r="AF149" s="6"/>
    </row>
    <row r="150" s="5" customFormat="true" ht="15.75" hidden="false" customHeight="true" outlineLevel="0" collapsed="false">
      <c r="AA150" s="6"/>
      <c r="AB150" s="6"/>
      <c r="AC150" s="6"/>
      <c r="AD150" s="6"/>
      <c r="AE150" s="6"/>
      <c r="AF150" s="6"/>
    </row>
    <row r="151" s="5" customFormat="true" ht="15.75" hidden="false" customHeight="true" outlineLevel="0" collapsed="false">
      <c r="AA151" s="6"/>
      <c r="AB151" s="6"/>
      <c r="AC151" s="6"/>
      <c r="AD151" s="6"/>
      <c r="AE151" s="6"/>
      <c r="AF151" s="6"/>
    </row>
    <row r="152" s="5" customFormat="true" ht="15.75" hidden="false" customHeight="true" outlineLevel="0" collapsed="false">
      <c r="AA152" s="6"/>
      <c r="AB152" s="6"/>
      <c r="AC152" s="6"/>
      <c r="AD152" s="6"/>
      <c r="AE152" s="6"/>
      <c r="AF152" s="6"/>
    </row>
    <row r="153" s="5" customFormat="true" ht="15.75" hidden="false" customHeight="true" outlineLevel="0" collapsed="false">
      <c r="AA153" s="6"/>
      <c r="AB153" s="6"/>
      <c r="AC153" s="6"/>
      <c r="AD153" s="6"/>
      <c r="AE153" s="6"/>
      <c r="AF153" s="6"/>
    </row>
    <row r="154" s="5" customFormat="true" ht="15.75" hidden="false" customHeight="true" outlineLevel="0" collapsed="false">
      <c r="AA154" s="6"/>
      <c r="AB154" s="6"/>
      <c r="AC154" s="6"/>
      <c r="AD154" s="6"/>
      <c r="AE154" s="6"/>
      <c r="AF154" s="6"/>
    </row>
    <row r="155" s="5" customFormat="true" ht="15.75" hidden="false" customHeight="true" outlineLevel="0" collapsed="false">
      <c r="AA155" s="6"/>
      <c r="AB155" s="6"/>
      <c r="AC155" s="6"/>
      <c r="AD155" s="6"/>
      <c r="AE155" s="6"/>
      <c r="AF155" s="6"/>
    </row>
    <row r="156" s="5" customFormat="true" ht="15.75" hidden="false" customHeight="true" outlineLevel="0" collapsed="false">
      <c r="AA156" s="6"/>
      <c r="AB156" s="6"/>
      <c r="AC156" s="6"/>
      <c r="AD156" s="6"/>
      <c r="AE156" s="6"/>
      <c r="AF156" s="6"/>
    </row>
    <row r="157" s="5" customFormat="true" ht="15.75" hidden="false" customHeight="true" outlineLevel="0" collapsed="false">
      <c r="AA157" s="6"/>
      <c r="AB157" s="6"/>
      <c r="AC157" s="6"/>
      <c r="AD157" s="6"/>
      <c r="AE157" s="6"/>
      <c r="AF157" s="6"/>
    </row>
    <row r="158" s="5" customFormat="true" ht="15.75" hidden="false" customHeight="true" outlineLevel="0" collapsed="false">
      <c r="AA158" s="6"/>
      <c r="AB158" s="6"/>
      <c r="AC158" s="6"/>
      <c r="AD158" s="6"/>
      <c r="AE158" s="6"/>
      <c r="AF158" s="6"/>
    </row>
    <row r="159" s="5" customFormat="true" ht="15.75" hidden="false" customHeight="true" outlineLevel="0" collapsed="false">
      <c r="AA159" s="6"/>
      <c r="AB159" s="6"/>
      <c r="AC159" s="6"/>
      <c r="AD159" s="6"/>
      <c r="AE159" s="6"/>
      <c r="AF159" s="6"/>
    </row>
    <row r="160" s="5" customFormat="true" ht="15.75" hidden="false" customHeight="true" outlineLevel="0" collapsed="false">
      <c r="AA160" s="6"/>
      <c r="AB160" s="6"/>
      <c r="AC160" s="6"/>
      <c r="AD160" s="6"/>
      <c r="AE160" s="6"/>
      <c r="AF160" s="6"/>
    </row>
    <row r="161" s="5" customFormat="true" ht="15.75" hidden="false" customHeight="true" outlineLevel="0" collapsed="false">
      <c r="AA161" s="6"/>
      <c r="AB161" s="6"/>
      <c r="AC161" s="6"/>
      <c r="AD161" s="6"/>
      <c r="AE161" s="6"/>
      <c r="AF161" s="6"/>
    </row>
    <row r="162" s="5" customFormat="true" ht="15.75" hidden="false" customHeight="true" outlineLevel="0" collapsed="false">
      <c r="AA162" s="6"/>
      <c r="AB162" s="6"/>
      <c r="AC162" s="6"/>
      <c r="AD162" s="6"/>
      <c r="AE162" s="6"/>
      <c r="AF162" s="6"/>
    </row>
    <row r="163" s="5" customFormat="true" ht="15.75" hidden="false" customHeight="true" outlineLevel="0" collapsed="false">
      <c r="AA163" s="6"/>
      <c r="AB163" s="6"/>
      <c r="AC163" s="6"/>
      <c r="AD163" s="6"/>
      <c r="AE163" s="6"/>
      <c r="AF163" s="6"/>
    </row>
    <row r="164" s="5" customFormat="true" ht="15.75" hidden="false" customHeight="true" outlineLevel="0" collapsed="false">
      <c r="AA164" s="6"/>
      <c r="AB164" s="6"/>
      <c r="AC164" s="6"/>
      <c r="AD164" s="6"/>
      <c r="AE164" s="6"/>
      <c r="AF164" s="6"/>
    </row>
    <row r="165" s="5" customFormat="true" ht="15.75" hidden="false" customHeight="true" outlineLevel="0" collapsed="false">
      <c r="AA165" s="6"/>
      <c r="AB165" s="6"/>
      <c r="AC165" s="6"/>
      <c r="AD165" s="6"/>
      <c r="AE165" s="6"/>
      <c r="AF165" s="6"/>
    </row>
    <row r="166" s="5" customFormat="true" ht="15.75" hidden="false" customHeight="true" outlineLevel="0" collapsed="false">
      <c r="AA166" s="6"/>
      <c r="AB166" s="6"/>
      <c r="AC166" s="6"/>
      <c r="AD166" s="6"/>
      <c r="AE166" s="6"/>
      <c r="AF166" s="6"/>
    </row>
    <row r="167" s="5" customFormat="true" ht="15.75" hidden="false" customHeight="true" outlineLevel="0" collapsed="false">
      <c r="AA167" s="6"/>
      <c r="AB167" s="6"/>
      <c r="AC167" s="6"/>
      <c r="AD167" s="6"/>
      <c r="AE167" s="6"/>
      <c r="AF167" s="6"/>
    </row>
    <row r="168" s="5" customFormat="true" ht="15.75" hidden="false" customHeight="true" outlineLevel="0" collapsed="false">
      <c r="AA168" s="6"/>
      <c r="AB168" s="6"/>
      <c r="AC168" s="6"/>
      <c r="AD168" s="6"/>
      <c r="AE168" s="6"/>
      <c r="AF168" s="6"/>
    </row>
    <row r="169" s="5" customFormat="true" ht="15.75" hidden="false" customHeight="true" outlineLevel="0" collapsed="false">
      <c r="AA169" s="6"/>
      <c r="AB169" s="6"/>
      <c r="AC169" s="6"/>
      <c r="AD169" s="6"/>
      <c r="AE169" s="6"/>
      <c r="AF169" s="6"/>
    </row>
    <row r="170" s="5" customFormat="true" ht="15.75" hidden="false" customHeight="true" outlineLevel="0" collapsed="false">
      <c r="AA170" s="6"/>
      <c r="AB170" s="6"/>
      <c r="AC170" s="6"/>
      <c r="AD170" s="6"/>
      <c r="AE170" s="6"/>
      <c r="AF170" s="6"/>
    </row>
    <row r="171" s="5" customFormat="true" ht="15.75" hidden="false" customHeight="true" outlineLevel="0" collapsed="false">
      <c r="AA171" s="6"/>
      <c r="AB171" s="6"/>
      <c r="AC171" s="6"/>
      <c r="AD171" s="6"/>
      <c r="AE171" s="6"/>
      <c r="AF171" s="6"/>
    </row>
    <row r="172" s="5" customFormat="true" ht="15.75" hidden="false" customHeight="true" outlineLevel="0" collapsed="false">
      <c r="AA172" s="6"/>
      <c r="AB172" s="6"/>
      <c r="AC172" s="6"/>
      <c r="AD172" s="6"/>
      <c r="AE172" s="6"/>
      <c r="AF172" s="6"/>
    </row>
    <row r="173" s="5" customFormat="true" ht="15.75" hidden="false" customHeight="true" outlineLevel="0" collapsed="false">
      <c r="AA173" s="6"/>
      <c r="AB173" s="6"/>
      <c r="AC173" s="6"/>
      <c r="AD173" s="6"/>
      <c r="AE173" s="6"/>
      <c r="AF173" s="6"/>
    </row>
    <row r="174" s="5" customFormat="true" ht="15.75" hidden="false" customHeight="true" outlineLevel="0" collapsed="false">
      <c r="AA174" s="6"/>
      <c r="AB174" s="6"/>
      <c r="AC174" s="6"/>
      <c r="AD174" s="6"/>
      <c r="AE174" s="6"/>
      <c r="AF174" s="6"/>
    </row>
    <row r="175" s="5" customFormat="true" ht="15.75" hidden="false" customHeight="true" outlineLevel="0" collapsed="false">
      <c r="AA175" s="6"/>
      <c r="AB175" s="6"/>
      <c r="AC175" s="6"/>
      <c r="AD175" s="6"/>
      <c r="AE175" s="6"/>
      <c r="AF175" s="6"/>
    </row>
    <row r="176" s="5" customFormat="true" ht="15.75" hidden="false" customHeight="true" outlineLevel="0" collapsed="false">
      <c r="AA176" s="6"/>
      <c r="AB176" s="6"/>
      <c r="AC176" s="6"/>
      <c r="AD176" s="6"/>
      <c r="AE176" s="6"/>
      <c r="AF176" s="6"/>
    </row>
    <row r="177" s="5" customFormat="true" ht="15.75" hidden="false" customHeight="true" outlineLevel="0" collapsed="false">
      <c r="AA177" s="6"/>
      <c r="AB177" s="6"/>
      <c r="AC177" s="6"/>
      <c r="AD177" s="6"/>
      <c r="AE177" s="6"/>
      <c r="AF177" s="6"/>
    </row>
    <row r="178" s="5" customFormat="true" ht="15.75" hidden="false" customHeight="true" outlineLevel="0" collapsed="false">
      <c r="AA178" s="6"/>
      <c r="AB178" s="6"/>
      <c r="AC178" s="6"/>
      <c r="AD178" s="6"/>
      <c r="AE178" s="6"/>
      <c r="AF178" s="6"/>
    </row>
    <row r="179" s="5" customFormat="true" ht="15.75" hidden="false" customHeight="true" outlineLevel="0" collapsed="false">
      <c r="AA179" s="6"/>
      <c r="AB179" s="6"/>
      <c r="AC179" s="6"/>
      <c r="AD179" s="6"/>
      <c r="AE179" s="6"/>
      <c r="AF179" s="6"/>
    </row>
    <row r="180" s="5" customFormat="true" ht="15.75" hidden="false" customHeight="true" outlineLevel="0" collapsed="false">
      <c r="AA180" s="6"/>
      <c r="AB180" s="6"/>
      <c r="AC180" s="6"/>
      <c r="AD180" s="6"/>
      <c r="AE180" s="6"/>
      <c r="AF180" s="6"/>
    </row>
    <row r="181" s="5" customFormat="true" ht="15.75" hidden="false" customHeight="true" outlineLevel="0" collapsed="false">
      <c r="AA181" s="6"/>
      <c r="AB181" s="6"/>
      <c r="AC181" s="6"/>
      <c r="AD181" s="6"/>
      <c r="AE181" s="6"/>
      <c r="AF181" s="6"/>
    </row>
    <row r="182" s="5" customFormat="true" ht="15.75" hidden="false" customHeight="true" outlineLevel="0" collapsed="false">
      <c r="AA182" s="6"/>
      <c r="AB182" s="6"/>
      <c r="AC182" s="6"/>
      <c r="AD182" s="6"/>
      <c r="AE182" s="6"/>
      <c r="AF182" s="6"/>
    </row>
    <row r="183" s="5" customFormat="true" ht="15.75" hidden="false" customHeight="true" outlineLevel="0" collapsed="false">
      <c r="AA183" s="6"/>
      <c r="AB183" s="6"/>
      <c r="AC183" s="6"/>
      <c r="AD183" s="6"/>
      <c r="AE183" s="6"/>
      <c r="AF183" s="6"/>
    </row>
    <row r="184" s="5" customFormat="true" ht="15.75" hidden="false" customHeight="true" outlineLevel="0" collapsed="false">
      <c r="AA184" s="6"/>
      <c r="AB184" s="6"/>
      <c r="AC184" s="6"/>
      <c r="AD184" s="6"/>
      <c r="AE184" s="6"/>
      <c r="AF184" s="6"/>
    </row>
    <row r="185" s="5" customFormat="true" ht="15.75" hidden="false" customHeight="true" outlineLevel="0" collapsed="false">
      <c r="AA185" s="6"/>
      <c r="AB185" s="6"/>
      <c r="AC185" s="6"/>
      <c r="AD185" s="6"/>
      <c r="AE185" s="6"/>
      <c r="AF185" s="6"/>
    </row>
    <row r="186" s="5" customFormat="true" ht="15.75" hidden="false" customHeight="true" outlineLevel="0" collapsed="false">
      <c r="AA186" s="6"/>
      <c r="AB186" s="6"/>
      <c r="AC186" s="6"/>
      <c r="AD186" s="6"/>
      <c r="AE186" s="6"/>
      <c r="AF186" s="6"/>
    </row>
    <row r="187" s="5" customFormat="true" ht="15.75" hidden="false" customHeight="true" outlineLevel="0" collapsed="false">
      <c r="AA187" s="6"/>
      <c r="AB187" s="6"/>
      <c r="AC187" s="6"/>
      <c r="AD187" s="6"/>
      <c r="AE187" s="6"/>
      <c r="AF187" s="6"/>
    </row>
    <row r="188" s="5" customFormat="true" ht="15.75" hidden="false" customHeight="true" outlineLevel="0" collapsed="false">
      <c r="AA188" s="6"/>
      <c r="AB188" s="6"/>
      <c r="AC188" s="6"/>
      <c r="AD188" s="6"/>
      <c r="AE188" s="6"/>
      <c r="AF188" s="6"/>
    </row>
    <row r="189" s="5" customFormat="true" ht="15.75" hidden="false" customHeight="true" outlineLevel="0" collapsed="false">
      <c r="AA189" s="6"/>
      <c r="AB189" s="6"/>
      <c r="AC189" s="6"/>
      <c r="AD189" s="6"/>
      <c r="AE189" s="6"/>
      <c r="AF189" s="6"/>
    </row>
    <row r="190" s="5" customFormat="true" ht="15.75" hidden="false" customHeight="true" outlineLevel="0" collapsed="false">
      <c r="AA190" s="6"/>
      <c r="AB190" s="6"/>
      <c r="AC190" s="6"/>
      <c r="AD190" s="6"/>
      <c r="AE190" s="6"/>
      <c r="AF190" s="6"/>
    </row>
    <row r="191" s="5" customFormat="true" ht="15.75" hidden="false" customHeight="true" outlineLevel="0" collapsed="false">
      <c r="AA191" s="6"/>
      <c r="AB191" s="6"/>
      <c r="AC191" s="6"/>
      <c r="AD191" s="6"/>
      <c r="AE191" s="6"/>
      <c r="AF191" s="6"/>
    </row>
    <row r="192" s="5" customFormat="true" ht="15.75" hidden="false" customHeight="true" outlineLevel="0" collapsed="false">
      <c r="AA192" s="6"/>
      <c r="AB192" s="6"/>
      <c r="AC192" s="6"/>
      <c r="AD192" s="6"/>
      <c r="AE192" s="6"/>
      <c r="AF192" s="6"/>
    </row>
    <row r="193" s="5" customFormat="true" ht="15.75" hidden="false" customHeight="true" outlineLevel="0" collapsed="false">
      <c r="AA193" s="6"/>
      <c r="AB193" s="6"/>
      <c r="AC193" s="6"/>
      <c r="AD193" s="6"/>
      <c r="AE193" s="6"/>
      <c r="AF193" s="6"/>
    </row>
    <row r="194" s="5" customFormat="true" ht="15.75" hidden="false" customHeight="true" outlineLevel="0" collapsed="false">
      <c r="AA194" s="6"/>
      <c r="AB194" s="6"/>
      <c r="AC194" s="6"/>
      <c r="AD194" s="6"/>
      <c r="AE194" s="6"/>
      <c r="AF194" s="6"/>
    </row>
    <row r="195" s="5" customFormat="true" ht="15.75" hidden="false" customHeight="true" outlineLevel="0" collapsed="false">
      <c r="AA195" s="6"/>
      <c r="AB195" s="6"/>
      <c r="AC195" s="6"/>
      <c r="AD195" s="6"/>
      <c r="AE195" s="6"/>
      <c r="AF195" s="6"/>
    </row>
    <row r="196" s="5" customFormat="true" ht="15.75" hidden="false" customHeight="true" outlineLevel="0" collapsed="false">
      <c r="AA196" s="6"/>
      <c r="AB196" s="6"/>
      <c r="AC196" s="6"/>
      <c r="AD196" s="6"/>
      <c r="AE196" s="6"/>
      <c r="AF196" s="6"/>
    </row>
    <row r="197" s="5" customFormat="true" ht="15.75" hidden="false" customHeight="true" outlineLevel="0" collapsed="false">
      <c r="AA197" s="6"/>
      <c r="AB197" s="6"/>
      <c r="AC197" s="6"/>
      <c r="AD197" s="6"/>
      <c r="AE197" s="6"/>
      <c r="AF197" s="6"/>
    </row>
    <row r="198" s="5" customFormat="true" ht="15.75" hidden="false" customHeight="true" outlineLevel="0" collapsed="false">
      <c r="AA198" s="6"/>
      <c r="AB198" s="6"/>
      <c r="AC198" s="6"/>
      <c r="AD198" s="6"/>
      <c r="AE198" s="6"/>
      <c r="AF198" s="6"/>
    </row>
    <row r="199" s="5" customFormat="true" ht="15.75" hidden="false" customHeight="true" outlineLevel="0" collapsed="false">
      <c r="AA199" s="6"/>
      <c r="AB199" s="6"/>
      <c r="AC199" s="6"/>
      <c r="AD199" s="6"/>
      <c r="AE199" s="6"/>
      <c r="AF199" s="6"/>
    </row>
    <row r="200" s="5" customFormat="true" ht="15.75" hidden="false" customHeight="true" outlineLevel="0" collapsed="false">
      <c r="AA200" s="6"/>
      <c r="AB200" s="6"/>
      <c r="AC200" s="6"/>
      <c r="AD200" s="6"/>
      <c r="AE200" s="6"/>
      <c r="AF200" s="6"/>
    </row>
    <row r="201" s="5" customFormat="true" ht="15.75" hidden="false" customHeight="true" outlineLevel="0" collapsed="false">
      <c r="AA201" s="6"/>
      <c r="AB201" s="6"/>
      <c r="AC201" s="6"/>
      <c r="AD201" s="6"/>
      <c r="AE201" s="6"/>
      <c r="AF201" s="6"/>
    </row>
    <row r="202" s="5" customFormat="true" ht="15.75" hidden="false" customHeight="true" outlineLevel="0" collapsed="false">
      <c r="AA202" s="6"/>
      <c r="AB202" s="6"/>
      <c r="AC202" s="6"/>
      <c r="AD202" s="6"/>
      <c r="AE202" s="6"/>
      <c r="AF202" s="6"/>
    </row>
    <row r="203" s="5" customFormat="true" ht="15.75" hidden="false" customHeight="true" outlineLevel="0" collapsed="false">
      <c r="AA203" s="6"/>
      <c r="AB203" s="6"/>
      <c r="AC203" s="6"/>
      <c r="AD203" s="6"/>
      <c r="AE203" s="6"/>
      <c r="AF203" s="6"/>
    </row>
    <row r="204" s="5" customFormat="true" ht="15.75" hidden="false" customHeight="true" outlineLevel="0" collapsed="false">
      <c r="AA204" s="6"/>
      <c r="AB204" s="6"/>
      <c r="AC204" s="6"/>
      <c r="AD204" s="6"/>
      <c r="AE204" s="6"/>
      <c r="AF204" s="6"/>
    </row>
    <row r="205" s="5" customFormat="true" ht="15.75" hidden="false" customHeight="true" outlineLevel="0" collapsed="false">
      <c r="AA205" s="6"/>
      <c r="AB205" s="6"/>
      <c r="AC205" s="6"/>
      <c r="AD205" s="6"/>
      <c r="AE205" s="6"/>
      <c r="AF205" s="6"/>
    </row>
    <row r="206" s="5" customFormat="true" ht="15.75" hidden="false" customHeight="true" outlineLevel="0" collapsed="false">
      <c r="AA206" s="6"/>
      <c r="AB206" s="6"/>
      <c r="AC206" s="6"/>
      <c r="AD206" s="6"/>
      <c r="AE206" s="6"/>
      <c r="AF206" s="6"/>
    </row>
    <row r="207" s="5" customFormat="true" ht="15.75" hidden="false" customHeight="true" outlineLevel="0" collapsed="false">
      <c r="AA207" s="6"/>
      <c r="AB207" s="6"/>
      <c r="AC207" s="6"/>
      <c r="AD207" s="6"/>
      <c r="AE207" s="6"/>
      <c r="AF207" s="6"/>
    </row>
    <row r="208" s="5" customFormat="true" ht="15.75" hidden="false" customHeight="true" outlineLevel="0" collapsed="false">
      <c r="AA208" s="6"/>
      <c r="AB208" s="6"/>
      <c r="AC208" s="6"/>
      <c r="AD208" s="6"/>
      <c r="AE208" s="6"/>
      <c r="AF208" s="6"/>
    </row>
    <row r="209" s="5" customFormat="true" ht="15.75" hidden="false" customHeight="true" outlineLevel="0" collapsed="false">
      <c r="AA209" s="6"/>
      <c r="AB209" s="6"/>
      <c r="AC209" s="6"/>
      <c r="AD209" s="6"/>
      <c r="AE209" s="6"/>
      <c r="AF209" s="6"/>
    </row>
    <row r="210" s="5" customFormat="true" ht="15.75" hidden="false" customHeight="true" outlineLevel="0" collapsed="false">
      <c r="AA210" s="6"/>
      <c r="AB210" s="6"/>
      <c r="AC210" s="6"/>
      <c r="AD210" s="6"/>
      <c r="AE210" s="6"/>
      <c r="AF210" s="6"/>
    </row>
    <row r="211" s="5" customFormat="true" ht="15.75" hidden="false" customHeight="true" outlineLevel="0" collapsed="false">
      <c r="AA211" s="6"/>
      <c r="AB211" s="6"/>
      <c r="AC211" s="6"/>
      <c r="AD211" s="6"/>
      <c r="AE211" s="6"/>
      <c r="AF211" s="6"/>
    </row>
    <row r="212" s="5" customFormat="true" ht="15.75" hidden="false" customHeight="true" outlineLevel="0" collapsed="false">
      <c r="AA212" s="6"/>
      <c r="AB212" s="6"/>
      <c r="AC212" s="6"/>
      <c r="AD212" s="6"/>
      <c r="AE212" s="6"/>
      <c r="AF212" s="6"/>
    </row>
    <row r="213" s="5" customFormat="true" ht="15.75" hidden="false" customHeight="true" outlineLevel="0" collapsed="false">
      <c r="AA213" s="6"/>
      <c r="AB213" s="6"/>
      <c r="AC213" s="6"/>
      <c r="AD213" s="6"/>
      <c r="AE213" s="6"/>
      <c r="AF213" s="6"/>
    </row>
    <row r="214" s="5" customFormat="true" ht="15.75" hidden="false" customHeight="true" outlineLevel="0" collapsed="false">
      <c r="AA214" s="6"/>
      <c r="AB214" s="6"/>
      <c r="AC214" s="6"/>
      <c r="AD214" s="6"/>
      <c r="AE214" s="6"/>
      <c r="AF214" s="6"/>
    </row>
    <row r="215" s="5" customFormat="true" ht="15.75" hidden="false" customHeight="true" outlineLevel="0" collapsed="false">
      <c r="AA215" s="6"/>
      <c r="AB215" s="6"/>
      <c r="AC215" s="6"/>
      <c r="AD215" s="6"/>
      <c r="AE215" s="6"/>
      <c r="AF215" s="6"/>
    </row>
    <row r="216" s="5" customFormat="true" ht="15.75" hidden="false" customHeight="true" outlineLevel="0" collapsed="false">
      <c r="AA216" s="6"/>
      <c r="AB216" s="6"/>
      <c r="AC216" s="6"/>
      <c r="AD216" s="6"/>
      <c r="AE216" s="6"/>
      <c r="AF216" s="6"/>
    </row>
    <row r="217" s="5" customFormat="true" ht="15.75" hidden="false" customHeight="true" outlineLevel="0" collapsed="false">
      <c r="AA217" s="6"/>
      <c r="AB217" s="6"/>
      <c r="AC217" s="6"/>
      <c r="AD217" s="6"/>
      <c r="AE217" s="6"/>
      <c r="AF217" s="6"/>
    </row>
    <row r="218" s="5" customFormat="true" ht="15.75" hidden="false" customHeight="true" outlineLevel="0" collapsed="false">
      <c r="AA218" s="6"/>
      <c r="AB218" s="6"/>
      <c r="AC218" s="6"/>
      <c r="AD218" s="6"/>
      <c r="AE218" s="6"/>
      <c r="AF218" s="6"/>
    </row>
    <row r="219" s="5" customFormat="true" ht="15.75" hidden="false" customHeight="true" outlineLevel="0" collapsed="false">
      <c r="AA219" s="6"/>
      <c r="AB219" s="6"/>
      <c r="AC219" s="6"/>
      <c r="AD219" s="6"/>
      <c r="AE219" s="6"/>
      <c r="AF219" s="6"/>
    </row>
    <row r="220" s="5" customFormat="true" ht="15.75" hidden="false" customHeight="true" outlineLevel="0" collapsed="false">
      <c r="AA220" s="6"/>
      <c r="AB220" s="6"/>
      <c r="AC220" s="6"/>
      <c r="AD220" s="6"/>
      <c r="AE220" s="6"/>
      <c r="AF220" s="6"/>
    </row>
    <row r="221" s="5" customFormat="true" ht="15.75" hidden="false" customHeight="true" outlineLevel="0" collapsed="false">
      <c r="AA221" s="6"/>
      <c r="AB221" s="6"/>
      <c r="AC221" s="6"/>
      <c r="AD221" s="6"/>
      <c r="AE221" s="6"/>
      <c r="AF221" s="6"/>
    </row>
    <row r="222" s="5" customFormat="true" ht="15.75" hidden="false" customHeight="true" outlineLevel="0" collapsed="false">
      <c r="AA222" s="6"/>
      <c r="AB222" s="6"/>
      <c r="AC222" s="6"/>
      <c r="AD222" s="6"/>
      <c r="AE222" s="6"/>
      <c r="AF222" s="6"/>
    </row>
    <row r="223" s="5" customFormat="true" ht="15.75" hidden="false" customHeight="true" outlineLevel="0" collapsed="false">
      <c r="AA223" s="6"/>
      <c r="AB223" s="6"/>
      <c r="AC223" s="6"/>
      <c r="AD223" s="6"/>
      <c r="AE223" s="6"/>
      <c r="AF223" s="6"/>
    </row>
    <row r="224" s="5" customFormat="true" ht="15.75" hidden="false" customHeight="true" outlineLevel="0" collapsed="false">
      <c r="AA224" s="6"/>
      <c r="AB224" s="6"/>
      <c r="AC224" s="6"/>
      <c r="AD224" s="6"/>
      <c r="AE224" s="6"/>
      <c r="AF224" s="6"/>
    </row>
    <row r="225" s="5" customFormat="true" ht="15.75" hidden="false" customHeight="true" outlineLevel="0" collapsed="false">
      <c r="AA225" s="6"/>
      <c r="AB225" s="6"/>
      <c r="AC225" s="6"/>
      <c r="AD225" s="6"/>
      <c r="AE225" s="6"/>
      <c r="AF225" s="6"/>
    </row>
    <row r="226" s="5" customFormat="true" ht="15.75" hidden="false" customHeight="true" outlineLevel="0" collapsed="false">
      <c r="AA226" s="6"/>
      <c r="AB226" s="6"/>
      <c r="AC226" s="6"/>
      <c r="AD226" s="6"/>
      <c r="AE226" s="6"/>
      <c r="AF226" s="6"/>
    </row>
    <row r="227" s="5" customFormat="true" ht="15.75" hidden="false" customHeight="true" outlineLevel="0" collapsed="false">
      <c r="AA227" s="6"/>
      <c r="AB227" s="6"/>
      <c r="AC227" s="6"/>
      <c r="AD227" s="6"/>
      <c r="AE227" s="6"/>
      <c r="AF227" s="6"/>
    </row>
    <row r="228" s="5" customFormat="true" ht="15.75" hidden="false" customHeight="true" outlineLevel="0" collapsed="false">
      <c r="AA228" s="6"/>
      <c r="AB228" s="6"/>
      <c r="AC228" s="6"/>
      <c r="AD228" s="6"/>
      <c r="AE228" s="6"/>
      <c r="AF228" s="6"/>
    </row>
    <row r="229" s="5" customFormat="true" ht="15.75" hidden="false" customHeight="true" outlineLevel="0" collapsed="false">
      <c r="AA229" s="6"/>
      <c r="AB229" s="6"/>
      <c r="AC229" s="6"/>
      <c r="AD229" s="6"/>
      <c r="AE229" s="6"/>
      <c r="AF229" s="6"/>
    </row>
    <row r="230" s="5" customFormat="true" ht="15.75" hidden="false" customHeight="true" outlineLevel="0" collapsed="false">
      <c r="AA230" s="6"/>
      <c r="AB230" s="6"/>
      <c r="AC230" s="6"/>
      <c r="AD230" s="6"/>
      <c r="AE230" s="6"/>
      <c r="AF230" s="6"/>
    </row>
    <row r="231" s="5" customFormat="true" ht="15.75" hidden="false" customHeight="true" outlineLevel="0" collapsed="false">
      <c r="AA231" s="6"/>
      <c r="AB231" s="6"/>
      <c r="AC231" s="6"/>
      <c r="AD231" s="6"/>
      <c r="AE231" s="6"/>
      <c r="AF231" s="6"/>
    </row>
    <row r="232" s="5" customFormat="true" ht="15.75" hidden="false" customHeight="true" outlineLevel="0" collapsed="false">
      <c r="AA232" s="6"/>
      <c r="AB232" s="6"/>
      <c r="AC232" s="6"/>
      <c r="AD232" s="6"/>
      <c r="AE232" s="6"/>
      <c r="AF232" s="6"/>
    </row>
    <row r="233" s="5" customFormat="true" ht="15.75" hidden="false" customHeight="true" outlineLevel="0" collapsed="false">
      <c r="AA233" s="6"/>
      <c r="AB233" s="6"/>
      <c r="AC233" s="6"/>
      <c r="AD233" s="6"/>
      <c r="AE233" s="6"/>
      <c r="AF233" s="6"/>
    </row>
    <row r="234" s="5" customFormat="true" ht="15.75" hidden="false" customHeight="true" outlineLevel="0" collapsed="false">
      <c r="AA234" s="6"/>
      <c r="AB234" s="6"/>
      <c r="AC234" s="6"/>
      <c r="AD234" s="6"/>
      <c r="AE234" s="6"/>
      <c r="AF234" s="6"/>
    </row>
    <row r="235" s="5" customFormat="true" ht="15.75" hidden="false" customHeight="true" outlineLevel="0" collapsed="false">
      <c r="AA235" s="6"/>
      <c r="AB235" s="6"/>
      <c r="AC235" s="6"/>
      <c r="AD235" s="6"/>
      <c r="AE235" s="6"/>
      <c r="AF235" s="6"/>
    </row>
    <row r="236" s="5" customFormat="true" ht="15.75" hidden="false" customHeight="true" outlineLevel="0" collapsed="false">
      <c r="AA236" s="6"/>
      <c r="AB236" s="6"/>
      <c r="AC236" s="6"/>
      <c r="AD236" s="6"/>
      <c r="AE236" s="6"/>
      <c r="AF236" s="6"/>
    </row>
    <row r="237" s="5" customFormat="true" ht="15.75" hidden="false" customHeight="true" outlineLevel="0" collapsed="false">
      <c r="AA237" s="6"/>
      <c r="AB237" s="6"/>
      <c r="AC237" s="6"/>
      <c r="AD237" s="6"/>
      <c r="AE237" s="6"/>
      <c r="AF237" s="6"/>
    </row>
    <row r="238" s="5" customFormat="true" ht="15.75" hidden="false" customHeight="true" outlineLevel="0" collapsed="false">
      <c r="AA238" s="6"/>
      <c r="AB238" s="6"/>
      <c r="AC238" s="6"/>
      <c r="AD238" s="6"/>
      <c r="AE238" s="6"/>
      <c r="AF238" s="6"/>
    </row>
    <row r="239" s="5" customFormat="true" ht="15.75" hidden="false" customHeight="true" outlineLevel="0" collapsed="false">
      <c r="AA239" s="6"/>
      <c r="AB239" s="6"/>
      <c r="AC239" s="6"/>
      <c r="AD239" s="6"/>
      <c r="AE239" s="6"/>
      <c r="AF239" s="6"/>
    </row>
    <row r="240" s="5" customFormat="true" ht="15.75" hidden="false" customHeight="true" outlineLevel="0" collapsed="false">
      <c r="AA240" s="6"/>
      <c r="AB240" s="6"/>
      <c r="AC240" s="6"/>
      <c r="AD240" s="6"/>
      <c r="AE240" s="6"/>
      <c r="AF240" s="6"/>
    </row>
    <row r="241" s="5" customFormat="true" ht="15.75" hidden="false" customHeight="true" outlineLevel="0" collapsed="false">
      <c r="AA241" s="6"/>
      <c r="AB241" s="6"/>
      <c r="AC241" s="6"/>
      <c r="AD241" s="6"/>
      <c r="AE241" s="6"/>
      <c r="AF241" s="6"/>
    </row>
    <row r="242" s="5" customFormat="true" ht="15.75" hidden="false" customHeight="true" outlineLevel="0" collapsed="false">
      <c r="AA242" s="6"/>
      <c r="AB242" s="6"/>
      <c r="AC242" s="6"/>
      <c r="AD242" s="6"/>
      <c r="AE242" s="6"/>
      <c r="AF242" s="6"/>
    </row>
    <row r="243" s="5" customFormat="true" ht="15.75" hidden="false" customHeight="true" outlineLevel="0" collapsed="false">
      <c r="AA243" s="6"/>
      <c r="AB243" s="6"/>
      <c r="AC243" s="6"/>
      <c r="AD243" s="6"/>
      <c r="AE243" s="6"/>
      <c r="AF243" s="6"/>
    </row>
    <row r="244" s="5" customFormat="true" ht="15.75" hidden="false" customHeight="true" outlineLevel="0" collapsed="false">
      <c r="AA244" s="6"/>
      <c r="AB244" s="6"/>
      <c r="AC244" s="6"/>
      <c r="AD244" s="6"/>
      <c r="AE244" s="6"/>
      <c r="AF244" s="6"/>
    </row>
    <row r="245" s="5" customFormat="true" ht="15.75" hidden="false" customHeight="true" outlineLevel="0" collapsed="false">
      <c r="AA245" s="6"/>
      <c r="AB245" s="6"/>
      <c r="AC245" s="6"/>
      <c r="AD245" s="6"/>
      <c r="AE245" s="6"/>
      <c r="AF245" s="6"/>
    </row>
    <row r="246" s="5" customFormat="true" ht="15.75" hidden="false" customHeight="true" outlineLevel="0" collapsed="false">
      <c r="AA246" s="6"/>
      <c r="AB246" s="6"/>
      <c r="AC246" s="6"/>
      <c r="AD246" s="6"/>
      <c r="AE246" s="6"/>
      <c r="AF246" s="6"/>
    </row>
    <row r="247" s="5" customFormat="true" ht="15.75" hidden="false" customHeight="true" outlineLevel="0" collapsed="false">
      <c r="AA247" s="6"/>
      <c r="AB247" s="6"/>
      <c r="AC247" s="6"/>
      <c r="AD247" s="6"/>
      <c r="AE247" s="6"/>
      <c r="AF247" s="6"/>
    </row>
    <row r="248" s="5" customFormat="true" ht="15.75" hidden="false" customHeight="true" outlineLevel="0" collapsed="false">
      <c r="AA248" s="6"/>
      <c r="AB248" s="6"/>
      <c r="AC248" s="6"/>
      <c r="AD248" s="6"/>
      <c r="AE248" s="6"/>
      <c r="AF248" s="6"/>
    </row>
    <row r="249" s="5" customFormat="true" ht="15.75" hidden="false" customHeight="true" outlineLevel="0" collapsed="false">
      <c r="AA249" s="6"/>
      <c r="AB249" s="6"/>
      <c r="AC249" s="6"/>
      <c r="AD249" s="6"/>
      <c r="AE249" s="6"/>
      <c r="AF249" s="6"/>
    </row>
    <row r="250" s="5" customFormat="true" ht="15.75" hidden="false" customHeight="true" outlineLevel="0" collapsed="false">
      <c r="AA250" s="6"/>
      <c r="AB250" s="6"/>
      <c r="AC250" s="6"/>
      <c r="AD250" s="6"/>
      <c r="AE250" s="6"/>
      <c r="AF250" s="6"/>
    </row>
    <row r="251" s="5" customFormat="true" ht="15.75" hidden="false" customHeight="true" outlineLevel="0" collapsed="false">
      <c r="AA251" s="6"/>
      <c r="AB251" s="6"/>
      <c r="AC251" s="6"/>
      <c r="AD251" s="6"/>
      <c r="AE251" s="6"/>
      <c r="AF251" s="6"/>
    </row>
    <row r="252" s="5" customFormat="true" ht="15.75" hidden="false" customHeight="true" outlineLevel="0" collapsed="false">
      <c r="AA252" s="6"/>
      <c r="AB252" s="6"/>
      <c r="AC252" s="6"/>
      <c r="AD252" s="6"/>
      <c r="AE252" s="6"/>
      <c r="AF252" s="6"/>
    </row>
    <row r="253" s="5" customFormat="true" ht="15.75" hidden="false" customHeight="true" outlineLevel="0" collapsed="false">
      <c r="AA253" s="6"/>
      <c r="AB253" s="6"/>
      <c r="AC253" s="6"/>
      <c r="AD253" s="6"/>
      <c r="AE253" s="6"/>
      <c r="AF253" s="6"/>
    </row>
    <row r="254" s="5" customFormat="true" ht="15.75" hidden="false" customHeight="true" outlineLevel="0" collapsed="false">
      <c r="AA254" s="6"/>
      <c r="AB254" s="6"/>
      <c r="AC254" s="6"/>
      <c r="AD254" s="6"/>
      <c r="AE254" s="6"/>
      <c r="AF254" s="6"/>
    </row>
    <row r="255" s="5" customFormat="true" ht="15.75" hidden="false" customHeight="true" outlineLevel="0" collapsed="false">
      <c r="AA255" s="6"/>
      <c r="AB255" s="6"/>
      <c r="AC255" s="6"/>
      <c r="AD255" s="6"/>
      <c r="AE255" s="6"/>
      <c r="AF255" s="6"/>
    </row>
    <row r="256" s="5" customFormat="true" ht="15.75" hidden="false" customHeight="true" outlineLevel="0" collapsed="false">
      <c r="AA256" s="6"/>
      <c r="AB256" s="6"/>
      <c r="AC256" s="6"/>
      <c r="AD256" s="6"/>
      <c r="AE256" s="6"/>
      <c r="AF256" s="6"/>
    </row>
    <row r="257" s="5" customFormat="true" ht="15.75" hidden="false" customHeight="true" outlineLevel="0" collapsed="false">
      <c r="AA257" s="6"/>
      <c r="AB257" s="6"/>
      <c r="AC257" s="6"/>
      <c r="AD257" s="6"/>
      <c r="AE257" s="6"/>
      <c r="AF257" s="6"/>
    </row>
    <row r="258" s="5" customFormat="true" ht="15.75" hidden="false" customHeight="true" outlineLevel="0" collapsed="false">
      <c r="AA258" s="6"/>
      <c r="AB258" s="6"/>
      <c r="AC258" s="6"/>
      <c r="AD258" s="6"/>
      <c r="AE258" s="6"/>
      <c r="AF258" s="6"/>
    </row>
    <row r="259" s="5" customFormat="true" ht="15.75" hidden="false" customHeight="true" outlineLevel="0" collapsed="false">
      <c r="AA259" s="6"/>
      <c r="AB259" s="6"/>
      <c r="AC259" s="6"/>
      <c r="AD259" s="6"/>
      <c r="AE259" s="6"/>
      <c r="AF259" s="6"/>
    </row>
    <row r="260" s="5" customFormat="true" ht="15.75" hidden="false" customHeight="true" outlineLevel="0" collapsed="false">
      <c r="AA260" s="6"/>
      <c r="AB260" s="6"/>
      <c r="AC260" s="6"/>
      <c r="AD260" s="6"/>
      <c r="AE260" s="6"/>
      <c r="AF260" s="6"/>
    </row>
    <row r="261" s="5" customFormat="true" ht="15.75" hidden="false" customHeight="true" outlineLevel="0" collapsed="false">
      <c r="AA261" s="6"/>
      <c r="AB261" s="6"/>
      <c r="AC261" s="6"/>
      <c r="AD261" s="6"/>
      <c r="AE261" s="6"/>
      <c r="AF261" s="6"/>
    </row>
    <row r="262" s="5" customFormat="true" ht="15.75" hidden="false" customHeight="true" outlineLevel="0" collapsed="false">
      <c r="AA262" s="6"/>
      <c r="AB262" s="6"/>
      <c r="AC262" s="6"/>
      <c r="AD262" s="6"/>
      <c r="AE262" s="6"/>
      <c r="AF262" s="6"/>
    </row>
    <row r="263" s="5" customFormat="true" ht="15.75" hidden="false" customHeight="true" outlineLevel="0" collapsed="false">
      <c r="AA263" s="6"/>
      <c r="AB263" s="6"/>
      <c r="AC263" s="6"/>
      <c r="AD263" s="6"/>
      <c r="AE263" s="6"/>
      <c r="AF263" s="6"/>
    </row>
    <row r="264" s="5" customFormat="true" ht="15.75" hidden="false" customHeight="true" outlineLevel="0" collapsed="false">
      <c r="AA264" s="6"/>
      <c r="AB264" s="6"/>
      <c r="AC264" s="6"/>
      <c r="AD264" s="6"/>
      <c r="AE264" s="6"/>
      <c r="AF264" s="6"/>
    </row>
    <row r="265" s="5" customFormat="true" ht="15.75" hidden="false" customHeight="true" outlineLevel="0" collapsed="false">
      <c r="AA265" s="6"/>
      <c r="AB265" s="6"/>
      <c r="AC265" s="6"/>
      <c r="AD265" s="6"/>
      <c r="AE265" s="6"/>
      <c r="AF265" s="6"/>
    </row>
    <row r="266" s="5" customFormat="true" ht="15.75" hidden="false" customHeight="true" outlineLevel="0" collapsed="false">
      <c r="AA266" s="6"/>
      <c r="AB266" s="6"/>
      <c r="AC266" s="6"/>
      <c r="AD266" s="6"/>
      <c r="AE266" s="6"/>
      <c r="AF266" s="6"/>
    </row>
    <row r="267" s="5" customFormat="true" ht="15.75" hidden="false" customHeight="true" outlineLevel="0" collapsed="false">
      <c r="AA267" s="6"/>
      <c r="AB267" s="6"/>
      <c r="AC267" s="6"/>
      <c r="AD267" s="6"/>
      <c r="AE267" s="6"/>
      <c r="AF267" s="6"/>
    </row>
    <row r="268" s="5" customFormat="true" ht="15.75" hidden="false" customHeight="true" outlineLevel="0" collapsed="false">
      <c r="AA268" s="6"/>
      <c r="AB268" s="6"/>
      <c r="AC268" s="6"/>
      <c r="AD268" s="6"/>
      <c r="AE268" s="6"/>
      <c r="AF268" s="6"/>
    </row>
    <row r="269" s="5" customFormat="true" ht="15.75" hidden="false" customHeight="true" outlineLevel="0" collapsed="false">
      <c r="AA269" s="6"/>
      <c r="AB269" s="6"/>
      <c r="AC269" s="6"/>
      <c r="AD269" s="6"/>
      <c r="AE269" s="6"/>
      <c r="AF269" s="6"/>
    </row>
    <row r="270" s="5" customFormat="true" ht="15.75" hidden="false" customHeight="true" outlineLevel="0" collapsed="false">
      <c r="AA270" s="6"/>
      <c r="AB270" s="6"/>
      <c r="AC270" s="6"/>
      <c r="AD270" s="6"/>
      <c r="AE270" s="6"/>
      <c r="AF270" s="6"/>
    </row>
    <row r="271" s="5" customFormat="true" ht="15.75" hidden="false" customHeight="true" outlineLevel="0" collapsed="false">
      <c r="AA271" s="6"/>
      <c r="AB271" s="6"/>
      <c r="AC271" s="6"/>
      <c r="AD271" s="6"/>
      <c r="AE271" s="6"/>
      <c r="AF271" s="6"/>
    </row>
    <row r="272" s="5" customFormat="true" ht="15.75" hidden="false" customHeight="true" outlineLevel="0" collapsed="false">
      <c r="AA272" s="6"/>
      <c r="AB272" s="6"/>
      <c r="AC272" s="6"/>
      <c r="AD272" s="6"/>
      <c r="AE272" s="6"/>
      <c r="AF272" s="6"/>
    </row>
    <row r="273" s="5" customFormat="true" ht="15.75" hidden="false" customHeight="true" outlineLevel="0" collapsed="false">
      <c r="AA273" s="6"/>
      <c r="AB273" s="6"/>
      <c r="AC273" s="6"/>
      <c r="AD273" s="6"/>
      <c r="AE273" s="6"/>
      <c r="AF273" s="6"/>
    </row>
    <row r="274" s="5" customFormat="true" ht="15.75" hidden="false" customHeight="true" outlineLevel="0" collapsed="false">
      <c r="AA274" s="6"/>
      <c r="AB274" s="6"/>
      <c r="AC274" s="6"/>
      <c r="AD274" s="6"/>
      <c r="AE274" s="6"/>
      <c r="AF274" s="6"/>
    </row>
    <row r="275" s="5" customFormat="true" ht="15.75" hidden="false" customHeight="true" outlineLevel="0" collapsed="false">
      <c r="AA275" s="6"/>
      <c r="AB275" s="6"/>
      <c r="AC275" s="6"/>
      <c r="AD275" s="6"/>
      <c r="AE275" s="6"/>
      <c r="AF275" s="6"/>
    </row>
    <row r="276" s="5" customFormat="true" ht="15.75" hidden="false" customHeight="true" outlineLevel="0" collapsed="false">
      <c r="AA276" s="6"/>
      <c r="AB276" s="6"/>
      <c r="AC276" s="6"/>
      <c r="AD276" s="6"/>
      <c r="AE276" s="6"/>
      <c r="AF276" s="6"/>
    </row>
    <row r="277" s="5" customFormat="true" ht="15.75" hidden="false" customHeight="true" outlineLevel="0" collapsed="false">
      <c r="AA277" s="6"/>
      <c r="AB277" s="6"/>
      <c r="AC277" s="6"/>
      <c r="AD277" s="6"/>
      <c r="AE277" s="6"/>
      <c r="AF277" s="6"/>
    </row>
    <row r="278" s="5" customFormat="true" ht="15.75" hidden="false" customHeight="true" outlineLevel="0" collapsed="false">
      <c r="AA278" s="6"/>
      <c r="AB278" s="6"/>
      <c r="AC278" s="6"/>
      <c r="AD278" s="6"/>
      <c r="AE278" s="6"/>
      <c r="AF278" s="6"/>
    </row>
    <row r="279" s="5" customFormat="true" ht="15.75" hidden="false" customHeight="true" outlineLevel="0" collapsed="false">
      <c r="AA279" s="6"/>
      <c r="AB279" s="6"/>
      <c r="AC279" s="6"/>
      <c r="AD279" s="6"/>
      <c r="AE279" s="6"/>
      <c r="AF279" s="6"/>
    </row>
    <row r="280" s="5" customFormat="true" ht="15.75" hidden="false" customHeight="true" outlineLevel="0" collapsed="false">
      <c r="AA280" s="6"/>
      <c r="AB280" s="6"/>
      <c r="AC280" s="6"/>
      <c r="AD280" s="6"/>
      <c r="AE280" s="6"/>
      <c r="AF280" s="6"/>
    </row>
    <row r="281" s="5" customFormat="true" ht="15.75" hidden="false" customHeight="true" outlineLevel="0" collapsed="false">
      <c r="AA281" s="6"/>
      <c r="AB281" s="6"/>
      <c r="AC281" s="6"/>
      <c r="AD281" s="6"/>
      <c r="AE281" s="6"/>
      <c r="AF281" s="6"/>
    </row>
    <row r="282" s="5" customFormat="true" ht="15.75" hidden="false" customHeight="true" outlineLevel="0" collapsed="false">
      <c r="AA282" s="6"/>
      <c r="AB282" s="6"/>
      <c r="AC282" s="6"/>
      <c r="AD282" s="6"/>
      <c r="AE282" s="6"/>
      <c r="AF282" s="6"/>
    </row>
    <row r="283" s="5" customFormat="true" ht="15.75" hidden="false" customHeight="true" outlineLevel="0" collapsed="false">
      <c r="AA283" s="6"/>
      <c r="AB283" s="6"/>
      <c r="AC283" s="6"/>
      <c r="AD283" s="6"/>
      <c r="AE283" s="6"/>
      <c r="AF283" s="6"/>
    </row>
    <row r="284" s="5" customFormat="true" ht="15.75" hidden="false" customHeight="true" outlineLevel="0" collapsed="false">
      <c r="AA284" s="6"/>
      <c r="AB284" s="6"/>
      <c r="AC284" s="6"/>
      <c r="AD284" s="6"/>
      <c r="AE284" s="6"/>
      <c r="AF284" s="6"/>
    </row>
    <row r="285" s="5" customFormat="true" ht="15.75" hidden="false" customHeight="true" outlineLevel="0" collapsed="false">
      <c r="AA285" s="6"/>
      <c r="AB285" s="6"/>
      <c r="AC285" s="6"/>
      <c r="AD285" s="6"/>
      <c r="AE285" s="6"/>
      <c r="AF285" s="6"/>
    </row>
    <row r="286" s="5" customFormat="true" ht="15.75" hidden="false" customHeight="true" outlineLevel="0" collapsed="false">
      <c r="AA286" s="6"/>
      <c r="AB286" s="6"/>
      <c r="AC286" s="6"/>
      <c r="AD286" s="6"/>
      <c r="AE286" s="6"/>
      <c r="AF286" s="6"/>
    </row>
    <row r="287" s="5" customFormat="true" ht="15.75" hidden="false" customHeight="true" outlineLevel="0" collapsed="false">
      <c r="AA287" s="6"/>
      <c r="AB287" s="6"/>
      <c r="AC287" s="6"/>
      <c r="AD287" s="6"/>
      <c r="AE287" s="6"/>
      <c r="AF287" s="6"/>
    </row>
    <row r="288" s="5" customFormat="true" ht="15.75" hidden="false" customHeight="true" outlineLevel="0" collapsed="false">
      <c r="AA288" s="6"/>
      <c r="AB288" s="6"/>
      <c r="AC288" s="6"/>
      <c r="AD288" s="6"/>
      <c r="AE288" s="6"/>
      <c r="AF288" s="6"/>
    </row>
    <row r="289" s="5" customFormat="true" ht="15.75" hidden="false" customHeight="true" outlineLevel="0" collapsed="false">
      <c r="AA289" s="6"/>
      <c r="AB289" s="6"/>
      <c r="AC289" s="6"/>
      <c r="AD289" s="6"/>
      <c r="AE289" s="6"/>
      <c r="AF289" s="6"/>
    </row>
    <row r="290" s="5" customFormat="true" ht="15.75" hidden="false" customHeight="true" outlineLevel="0" collapsed="false">
      <c r="AA290" s="6"/>
      <c r="AB290" s="6"/>
      <c r="AC290" s="6"/>
      <c r="AD290" s="6"/>
      <c r="AE290" s="6"/>
      <c r="AF290" s="6"/>
    </row>
    <row r="291" s="5" customFormat="true" ht="15.75" hidden="false" customHeight="true" outlineLevel="0" collapsed="false">
      <c r="AA291" s="6"/>
      <c r="AB291" s="6"/>
      <c r="AC291" s="6"/>
      <c r="AD291" s="6"/>
      <c r="AE291" s="6"/>
      <c r="AF291" s="6"/>
    </row>
    <row r="292" s="5" customFormat="true" ht="15.75" hidden="false" customHeight="true" outlineLevel="0" collapsed="false">
      <c r="AA292" s="6"/>
      <c r="AB292" s="6"/>
      <c r="AC292" s="6"/>
      <c r="AD292" s="6"/>
      <c r="AE292" s="6"/>
      <c r="AF292" s="6"/>
    </row>
    <row r="293" s="5" customFormat="true" ht="15.75" hidden="false" customHeight="true" outlineLevel="0" collapsed="false">
      <c r="AA293" s="6"/>
      <c r="AB293" s="6"/>
      <c r="AC293" s="6"/>
      <c r="AD293" s="6"/>
      <c r="AE293" s="6"/>
      <c r="AF293" s="6"/>
    </row>
    <row r="294" s="5" customFormat="true" ht="15.75" hidden="false" customHeight="true" outlineLevel="0" collapsed="false">
      <c r="AA294" s="6"/>
      <c r="AB294" s="6"/>
      <c r="AC294" s="6"/>
      <c r="AD294" s="6"/>
      <c r="AE294" s="6"/>
      <c r="AF294" s="6"/>
    </row>
    <row r="295" s="5" customFormat="true" ht="15.75" hidden="false" customHeight="true" outlineLevel="0" collapsed="false">
      <c r="AA295" s="6"/>
      <c r="AB295" s="6"/>
      <c r="AC295" s="6"/>
      <c r="AD295" s="6"/>
      <c r="AE295" s="6"/>
      <c r="AF295" s="6"/>
    </row>
    <row r="296" s="5" customFormat="true" ht="15.75" hidden="false" customHeight="true" outlineLevel="0" collapsed="false">
      <c r="AA296" s="6"/>
      <c r="AB296" s="6"/>
      <c r="AC296" s="6"/>
      <c r="AD296" s="6"/>
      <c r="AE296" s="6"/>
      <c r="AF296" s="6"/>
    </row>
    <row r="297" s="5" customFormat="true" ht="15.75" hidden="false" customHeight="true" outlineLevel="0" collapsed="false">
      <c r="AA297" s="6"/>
      <c r="AB297" s="6"/>
      <c r="AC297" s="6"/>
      <c r="AD297" s="6"/>
      <c r="AE297" s="6"/>
      <c r="AF297" s="6"/>
    </row>
    <row r="298" s="5" customFormat="true" ht="15.75" hidden="false" customHeight="true" outlineLevel="0" collapsed="false">
      <c r="AA298" s="6"/>
      <c r="AB298" s="6"/>
      <c r="AC298" s="6"/>
      <c r="AD298" s="6"/>
      <c r="AE298" s="6"/>
      <c r="AF298" s="6"/>
    </row>
    <row r="299" s="5" customFormat="true" ht="15.75" hidden="false" customHeight="true" outlineLevel="0" collapsed="false">
      <c r="AA299" s="6"/>
      <c r="AB299" s="6"/>
      <c r="AC299" s="6"/>
      <c r="AD299" s="6"/>
      <c r="AE299" s="6"/>
      <c r="AF299" s="6"/>
    </row>
    <row r="300" s="5" customFormat="true" ht="15.75" hidden="false" customHeight="true" outlineLevel="0" collapsed="false">
      <c r="AA300" s="6"/>
      <c r="AB300" s="6"/>
      <c r="AC300" s="6"/>
      <c r="AD300" s="6"/>
      <c r="AE300" s="6"/>
      <c r="AF300" s="6"/>
    </row>
    <row r="301" s="5" customFormat="true" ht="15.75" hidden="false" customHeight="true" outlineLevel="0" collapsed="false">
      <c r="AA301" s="6"/>
      <c r="AB301" s="6"/>
      <c r="AC301" s="6"/>
      <c r="AD301" s="6"/>
      <c r="AE301" s="6"/>
      <c r="AF301" s="6"/>
    </row>
    <row r="302" s="5" customFormat="true" ht="15.75" hidden="false" customHeight="true" outlineLevel="0" collapsed="false">
      <c r="AA302" s="6"/>
      <c r="AB302" s="6"/>
      <c r="AC302" s="6"/>
      <c r="AD302" s="6"/>
      <c r="AE302" s="6"/>
      <c r="AF302" s="6"/>
    </row>
    <row r="303" s="5" customFormat="true" ht="15.75" hidden="false" customHeight="true" outlineLevel="0" collapsed="false">
      <c r="AA303" s="6"/>
      <c r="AB303" s="6"/>
      <c r="AC303" s="6"/>
      <c r="AD303" s="6"/>
      <c r="AE303" s="6"/>
      <c r="AF303" s="6"/>
    </row>
    <row r="304" s="5" customFormat="true" ht="15.75" hidden="false" customHeight="true" outlineLevel="0" collapsed="false">
      <c r="AA304" s="6"/>
      <c r="AB304" s="6"/>
      <c r="AC304" s="6"/>
      <c r="AD304" s="6"/>
      <c r="AE304" s="6"/>
      <c r="AF304" s="6"/>
    </row>
    <row r="305" s="5" customFormat="true" ht="15.75" hidden="false" customHeight="true" outlineLevel="0" collapsed="false">
      <c r="AA305" s="6"/>
      <c r="AB305" s="6"/>
      <c r="AC305" s="6"/>
      <c r="AD305" s="6"/>
      <c r="AE305" s="6"/>
      <c r="AF305" s="6"/>
    </row>
    <row r="306" s="5" customFormat="true" ht="15.75" hidden="false" customHeight="true" outlineLevel="0" collapsed="false">
      <c r="AA306" s="6"/>
      <c r="AB306" s="6"/>
      <c r="AC306" s="6"/>
      <c r="AD306" s="6"/>
      <c r="AE306" s="6"/>
      <c r="AF306" s="6"/>
    </row>
    <row r="307" s="5" customFormat="true" ht="15.75" hidden="false" customHeight="true" outlineLevel="0" collapsed="false">
      <c r="AA307" s="6"/>
      <c r="AB307" s="6"/>
      <c r="AC307" s="6"/>
      <c r="AD307" s="6"/>
      <c r="AE307" s="6"/>
      <c r="AF307" s="6"/>
    </row>
    <row r="308" s="5" customFormat="true" ht="15.75" hidden="false" customHeight="true" outlineLevel="0" collapsed="false">
      <c r="AA308" s="6"/>
      <c r="AB308" s="6"/>
      <c r="AC308" s="6"/>
      <c r="AD308" s="6"/>
      <c r="AE308" s="6"/>
      <c r="AF308" s="6"/>
    </row>
    <row r="309" s="5" customFormat="true" ht="15.75" hidden="false" customHeight="true" outlineLevel="0" collapsed="false">
      <c r="AA309" s="6"/>
      <c r="AB309" s="6"/>
      <c r="AC309" s="6"/>
      <c r="AD309" s="6"/>
      <c r="AE309" s="6"/>
      <c r="AF309" s="6"/>
    </row>
    <row r="310" s="5" customFormat="true" ht="15.75" hidden="false" customHeight="true" outlineLevel="0" collapsed="false">
      <c r="AA310" s="6"/>
      <c r="AB310" s="6"/>
      <c r="AC310" s="6"/>
      <c r="AD310" s="6"/>
      <c r="AE310" s="6"/>
      <c r="AF310" s="6"/>
    </row>
    <row r="311" s="5" customFormat="true" ht="15.75" hidden="false" customHeight="true" outlineLevel="0" collapsed="false">
      <c r="AA311" s="6"/>
      <c r="AB311" s="6"/>
      <c r="AC311" s="6"/>
      <c r="AD311" s="6"/>
      <c r="AE311" s="6"/>
      <c r="AF311" s="6"/>
    </row>
    <row r="312" s="5" customFormat="true" ht="15.75" hidden="false" customHeight="true" outlineLevel="0" collapsed="false">
      <c r="AA312" s="6"/>
      <c r="AB312" s="6"/>
      <c r="AC312" s="6"/>
      <c r="AD312" s="6"/>
      <c r="AE312" s="6"/>
      <c r="AF312" s="6"/>
    </row>
    <row r="313" s="5" customFormat="true" ht="15.75" hidden="false" customHeight="true" outlineLevel="0" collapsed="false">
      <c r="AA313" s="6"/>
      <c r="AB313" s="6"/>
      <c r="AC313" s="6"/>
      <c r="AD313" s="6"/>
      <c r="AE313" s="6"/>
      <c r="AF313" s="6"/>
    </row>
    <row r="314" s="5" customFormat="true" ht="15.75" hidden="false" customHeight="true" outlineLevel="0" collapsed="false">
      <c r="AA314" s="6"/>
      <c r="AB314" s="6"/>
      <c r="AC314" s="6"/>
      <c r="AD314" s="6"/>
      <c r="AE314" s="6"/>
      <c r="AF314" s="6"/>
    </row>
    <row r="315" s="5" customFormat="true" ht="15.75" hidden="false" customHeight="true" outlineLevel="0" collapsed="false">
      <c r="AA315" s="6"/>
      <c r="AB315" s="6"/>
      <c r="AC315" s="6"/>
      <c r="AD315" s="6"/>
      <c r="AE315" s="6"/>
      <c r="AF315" s="6"/>
    </row>
    <row r="316" s="5" customFormat="true" ht="15.75" hidden="false" customHeight="true" outlineLevel="0" collapsed="false">
      <c r="AA316" s="6"/>
      <c r="AB316" s="6"/>
      <c r="AC316" s="6"/>
      <c r="AD316" s="6"/>
      <c r="AE316" s="6"/>
      <c r="AF316" s="6"/>
    </row>
    <row r="317" s="5" customFormat="true" ht="15.75" hidden="false" customHeight="true" outlineLevel="0" collapsed="false">
      <c r="AA317" s="6"/>
      <c r="AB317" s="6"/>
      <c r="AC317" s="6"/>
      <c r="AD317" s="6"/>
      <c r="AE317" s="6"/>
      <c r="AF317" s="6"/>
    </row>
    <row r="318" s="5" customFormat="true" ht="15.75" hidden="false" customHeight="true" outlineLevel="0" collapsed="false">
      <c r="AA318" s="6"/>
      <c r="AB318" s="6"/>
      <c r="AC318" s="6"/>
      <c r="AD318" s="6"/>
      <c r="AE318" s="6"/>
      <c r="AF318" s="6"/>
    </row>
    <row r="319" s="5" customFormat="true" ht="15.75" hidden="false" customHeight="true" outlineLevel="0" collapsed="false">
      <c r="AA319" s="6"/>
      <c r="AB319" s="6"/>
      <c r="AC319" s="6"/>
      <c r="AD319" s="6"/>
      <c r="AE319" s="6"/>
      <c r="AF319" s="6"/>
    </row>
    <row r="320" s="5" customFormat="true" ht="15.75" hidden="false" customHeight="true" outlineLevel="0" collapsed="false">
      <c r="AA320" s="6"/>
      <c r="AB320" s="6"/>
      <c r="AC320" s="6"/>
      <c r="AD320" s="6"/>
      <c r="AE320" s="6"/>
      <c r="AF320" s="6"/>
    </row>
    <row r="321" s="5" customFormat="true" ht="15.75" hidden="false" customHeight="true" outlineLevel="0" collapsed="false">
      <c r="AA321" s="6"/>
      <c r="AB321" s="6"/>
      <c r="AC321" s="6"/>
      <c r="AD321" s="6"/>
      <c r="AE321" s="6"/>
      <c r="AF321" s="6"/>
    </row>
    <row r="322" s="5" customFormat="true" ht="15.75" hidden="false" customHeight="true" outlineLevel="0" collapsed="false">
      <c r="AA322" s="6"/>
      <c r="AB322" s="6"/>
      <c r="AC322" s="6"/>
      <c r="AD322" s="6"/>
      <c r="AE322" s="6"/>
      <c r="AF322" s="6"/>
    </row>
    <row r="323" s="5" customFormat="true" ht="15.75" hidden="false" customHeight="true" outlineLevel="0" collapsed="false">
      <c r="AA323" s="6"/>
      <c r="AB323" s="6"/>
      <c r="AC323" s="6"/>
      <c r="AD323" s="6"/>
      <c r="AE323" s="6"/>
      <c r="AF323" s="6"/>
    </row>
    <row r="324" s="5" customFormat="true" ht="15.75" hidden="false" customHeight="true" outlineLevel="0" collapsed="false">
      <c r="AA324" s="6"/>
      <c r="AB324" s="6"/>
      <c r="AC324" s="6"/>
      <c r="AD324" s="6"/>
      <c r="AE324" s="6"/>
      <c r="AF324" s="6"/>
    </row>
    <row r="325" s="5" customFormat="true" ht="15.75" hidden="false" customHeight="true" outlineLevel="0" collapsed="false">
      <c r="AA325" s="6"/>
      <c r="AB325" s="6"/>
      <c r="AC325" s="6"/>
      <c r="AD325" s="6"/>
      <c r="AE325" s="6"/>
      <c r="AF325" s="6"/>
    </row>
    <row r="326" s="5" customFormat="true" ht="15.75" hidden="false" customHeight="true" outlineLevel="0" collapsed="false">
      <c r="AA326" s="6"/>
      <c r="AB326" s="6"/>
      <c r="AC326" s="6"/>
      <c r="AD326" s="6"/>
      <c r="AE326" s="6"/>
      <c r="AF326" s="6"/>
    </row>
    <row r="327" s="5" customFormat="true" ht="15.75" hidden="false" customHeight="true" outlineLevel="0" collapsed="false">
      <c r="AA327" s="6"/>
      <c r="AB327" s="6"/>
      <c r="AC327" s="6"/>
      <c r="AD327" s="6"/>
      <c r="AE327" s="6"/>
      <c r="AF327" s="6"/>
    </row>
    <row r="328" s="5" customFormat="true" ht="15.75" hidden="false" customHeight="true" outlineLevel="0" collapsed="false">
      <c r="AA328" s="6"/>
      <c r="AB328" s="6"/>
      <c r="AC328" s="6"/>
      <c r="AD328" s="6"/>
      <c r="AE328" s="6"/>
      <c r="AF328" s="6"/>
    </row>
    <row r="329" s="5" customFormat="true" ht="15.75" hidden="false" customHeight="true" outlineLevel="0" collapsed="false">
      <c r="AA329" s="6"/>
      <c r="AB329" s="6"/>
      <c r="AC329" s="6"/>
      <c r="AD329" s="6"/>
      <c r="AE329" s="6"/>
      <c r="AF329" s="6"/>
    </row>
    <row r="330" s="5" customFormat="true" ht="15.75" hidden="false" customHeight="true" outlineLevel="0" collapsed="false">
      <c r="AA330" s="6"/>
      <c r="AB330" s="6"/>
      <c r="AC330" s="6"/>
      <c r="AD330" s="6"/>
      <c r="AE330" s="6"/>
      <c r="AF330" s="6"/>
    </row>
    <row r="331" s="5" customFormat="true" ht="15.75" hidden="false" customHeight="true" outlineLevel="0" collapsed="false">
      <c r="AA331" s="6"/>
      <c r="AB331" s="6"/>
      <c r="AC331" s="6"/>
      <c r="AD331" s="6"/>
      <c r="AE331" s="6"/>
      <c r="AF331" s="6"/>
    </row>
    <row r="332" s="5" customFormat="true" ht="15.75" hidden="false" customHeight="true" outlineLevel="0" collapsed="false">
      <c r="AA332" s="6"/>
      <c r="AB332" s="6"/>
      <c r="AC332" s="6"/>
      <c r="AD332" s="6"/>
      <c r="AE332" s="6"/>
      <c r="AF332" s="6"/>
    </row>
    <row r="333" s="5" customFormat="true" ht="15.75" hidden="false" customHeight="true" outlineLevel="0" collapsed="false">
      <c r="AA333" s="6"/>
      <c r="AB333" s="6"/>
      <c r="AC333" s="6"/>
      <c r="AD333" s="6"/>
      <c r="AE333" s="6"/>
      <c r="AF333" s="6"/>
    </row>
    <row r="334" s="5" customFormat="true" ht="15.75" hidden="false" customHeight="true" outlineLevel="0" collapsed="false">
      <c r="AA334" s="6"/>
      <c r="AB334" s="6"/>
      <c r="AC334" s="6"/>
      <c r="AD334" s="6"/>
      <c r="AE334" s="6"/>
      <c r="AF334" s="6"/>
    </row>
    <row r="335" s="5" customFormat="true" ht="15.75" hidden="false" customHeight="true" outlineLevel="0" collapsed="false">
      <c r="AA335" s="6"/>
      <c r="AB335" s="6"/>
      <c r="AC335" s="6"/>
      <c r="AD335" s="6"/>
      <c r="AE335" s="6"/>
      <c r="AF335" s="6"/>
    </row>
    <row r="336" s="5" customFormat="true" ht="15.75" hidden="false" customHeight="true" outlineLevel="0" collapsed="false">
      <c r="AA336" s="6"/>
      <c r="AB336" s="6"/>
      <c r="AC336" s="6"/>
      <c r="AD336" s="6"/>
      <c r="AE336" s="6"/>
      <c r="AF336" s="6"/>
    </row>
    <row r="337" s="5" customFormat="true" ht="15.75" hidden="false" customHeight="true" outlineLevel="0" collapsed="false">
      <c r="AA337" s="6"/>
      <c r="AB337" s="6"/>
      <c r="AC337" s="6"/>
      <c r="AD337" s="6"/>
      <c r="AE337" s="6"/>
      <c r="AF337" s="6"/>
    </row>
    <row r="338" s="5" customFormat="true" ht="15.75" hidden="false" customHeight="true" outlineLevel="0" collapsed="false">
      <c r="AA338" s="6"/>
      <c r="AB338" s="6"/>
      <c r="AC338" s="6"/>
      <c r="AD338" s="6"/>
      <c r="AE338" s="6"/>
      <c r="AF338" s="6"/>
    </row>
    <row r="339" s="5" customFormat="true" ht="15.75" hidden="false" customHeight="true" outlineLevel="0" collapsed="false">
      <c r="AA339" s="6"/>
      <c r="AB339" s="6"/>
      <c r="AC339" s="6"/>
      <c r="AD339" s="6"/>
      <c r="AE339" s="6"/>
      <c r="AF339" s="6"/>
    </row>
    <row r="340" s="5" customFormat="true" ht="15.75" hidden="false" customHeight="true" outlineLevel="0" collapsed="false">
      <c r="AA340" s="6"/>
      <c r="AB340" s="6"/>
      <c r="AC340" s="6"/>
      <c r="AD340" s="6"/>
      <c r="AE340" s="6"/>
      <c r="AF340" s="6"/>
    </row>
    <row r="341" s="5" customFormat="true" ht="15.75" hidden="false" customHeight="true" outlineLevel="0" collapsed="false">
      <c r="AA341" s="6"/>
      <c r="AB341" s="6"/>
      <c r="AC341" s="6"/>
      <c r="AD341" s="6"/>
      <c r="AE341" s="6"/>
      <c r="AF341" s="6"/>
    </row>
    <row r="342" s="5" customFormat="true" ht="15.75" hidden="false" customHeight="true" outlineLevel="0" collapsed="false">
      <c r="AA342" s="6"/>
      <c r="AB342" s="6"/>
      <c r="AC342" s="6"/>
      <c r="AD342" s="6"/>
      <c r="AE342" s="6"/>
      <c r="AF342" s="6"/>
    </row>
    <row r="343" s="5" customFormat="true" ht="15.75" hidden="false" customHeight="true" outlineLevel="0" collapsed="false">
      <c r="AA343" s="6"/>
      <c r="AB343" s="6"/>
      <c r="AC343" s="6"/>
      <c r="AD343" s="6"/>
      <c r="AE343" s="6"/>
      <c r="AF343" s="6"/>
    </row>
    <row r="344" s="5" customFormat="true" ht="15.75" hidden="false" customHeight="true" outlineLevel="0" collapsed="false">
      <c r="AA344" s="6"/>
      <c r="AB344" s="6"/>
      <c r="AC344" s="6"/>
      <c r="AD344" s="6"/>
      <c r="AE344" s="6"/>
      <c r="AF344" s="6"/>
    </row>
    <row r="345" s="5" customFormat="true" ht="15.75" hidden="false" customHeight="true" outlineLevel="0" collapsed="false">
      <c r="AA345" s="6"/>
      <c r="AB345" s="6"/>
      <c r="AC345" s="6"/>
      <c r="AD345" s="6"/>
      <c r="AE345" s="6"/>
      <c r="AF345" s="6"/>
    </row>
    <row r="346" s="5" customFormat="true" ht="15.75" hidden="false" customHeight="true" outlineLevel="0" collapsed="false">
      <c r="AA346" s="6"/>
      <c r="AB346" s="6"/>
      <c r="AC346" s="6"/>
      <c r="AD346" s="6"/>
      <c r="AE346" s="6"/>
      <c r="AF346" s="6"/>
    </row>
    <row r="347" s="5" customFormat="true" ht="15.75" hidden="false" customHeight="true" outlineLevel="0" collapsed="false">
      <c r="AA347" s="6"/>
      <c r="AB347" s="6"/>
      <c r="AC347" s="6"/>
      <c r="AD347" s="6"/>
      <c r="AE347" s="6"/>
      <c r="AF347" s="6"/>
    </row>
    <row r="348" s="5" customFormat="true" ht="15.75" hidden="false" customHeight="true" outlineLevel="0" collapsed="false">
      <c r="AA348" s="6"/>
      <c r="AB348" s="6"/>
      <c r="AC348" s="6"/>
      <c r="AD348" s="6"/>
      <c r="AE348" s="6"/>
      <c r="AF348" s="6"/>
    </row>
    <row r="349" s="5" customFormat="true" ht="15.75" hidden="false" customHeight="true" outlineLevel="0" collapsed="false">
      <c r="AA349" s="6"/>
      <c r="AB349" s="6"/>
      <c r="AC349" s="6"/>
      <c r="AD349" s="6"/>
      <c r="AE349" s="6"/>
      <c r="AF349" s="6"/>
    </row>
    <row r="350" s="5" customFormat="true" ht="15.75" hidden="false" customHeight="true" outlineLevel="0" collapsed="false">
      <c r="AA350" s="6"/>
      <c r="AB350" s="6"/>
      <c r="AC350" s="6"/>
      <c r="AD350" s="6"/>
      <c r="AE350" s="6"/>
      <c r="AF350" s="6"/>
    </row>
    <row r="351" s="5" customFormat="true" ht="15.75" hidden="false" customHeight="true" outlineLevel="0" collapsed="false">
      <c r="AA351" s="6"/>
      <c r="AB351" s="6"/>
      <c r="AC351" s="6"/>
      <c r="AD351" s="6"/>
      <c r="AE351" s="6"/>
      <c r="AF351" s="6"/>
    </row>
    <row r="352" s="5" customFormat="true" ht="15.75" hidden="false" customHeight="true" outlineLevel="0" collapsed="false">
      <c r="AA352" s="6"/>
      <c r="AB352" s="6"/>
      <c r="AC352" s="6"/>
      <c r="AD352" s="6"/>
      <c r="AE352" s="6"/>
      <c r="AF352" s="6"/>
    </row>
    <row r="353" s="5" customFormat="true" ht="15.75" hidden="false" customHeight="true" outlineLevel="0" collapsed="false">
      <c r="AA353" s="6"/>
      <c r="AB353" s="6"/>
      <c r="AC353" s="6"/>
      <c r="AD353" s="6"/>
      <c r="AE353" s="6"/>
      <c r="AF353" s="6"/>
    </row>
    <row r="354" s="5" customFormat="true" ht="15.75" hidden="false" customHeight="true" outlineLevel="0" collapsed="false">
      <c r="AA354" s="6"/>
      <c r="AB354" s="6"/>
      <c r="AC354" s="6"/>
      <c r="AD354" s="6"/>
      <c r="AE354" s="6"/>
      <c r="AF354" s="6"/>
    </row>
    <row r="355" s="5" customFormat="true" ht="15.75" hidden="false" customHeight="true" outlineLevel="0" collapsed="false">
      <c r="AA355" s="6"/>
      <c r="AB355" s="6"/>
      <c r="AC355" s="6"/>
      <c r="AD355" s="6"/>
      <c r="AE355" s="6"/>
      <c r="AF355" s="6"/>
    </row>
    <row r="356" s="5" customFormat="true" ht="15.75" hidden="false" customHeight="true" outlineLevel="0" collapsed="false">
      <c r="AA356" s="6"/>
      <c r="AB356" s="6"/>
      <c r="AC356" s="6"/>
      <c r="AD356" s="6"/>
      <c r="AE356" s="6"/>
      <c r="AF356" s="6"/>
    </row>
    <row r="357" s="5" customFormat="true" ht="15.75" hidden="false" customHeight="true" outlineLevel="0" collapsed="false">
      <c r="AA357" s="6"/>
      <c r="AB357" s="6"/>
      <c r="AC357" s="6"/>
      <c r="AD357" s="6"/>
      <c r="AE357" s="6"/>
      <c r="AF357" s="6"/>
    </row>
    <row r="358" s="5" customFormat="true" ht="15.75" hidden="false" customHeight="true" outlineLevel="0" collapsed="false">
      <c r="AA358" s="6"/>
      <c r="AB358" s="6"/>
      <c r="AC358" s="6"/>
      <c r="AD358" s="6"/>
      <c r="AE358" s="6"/>
      <c r="AF358" s="6"/>
    </row>
    <row r="359" s="5" customFormat="true" ht="15.75" hidden="false" customHeight="true" outlineLevel="0" collapsed="false">
      <c r="AA359" s="6"/>
      <c r="AB359" s="6"/>
      <c r="AC359" s="6"/>
      <c r="AD359" s="6"/>
      <c r="AE359" s="6"/>
      <c r="AF359" s="6"/>
    </row>
    <row r="360" s="5" customFormat="true" ht="15.75" hidden="false" customHeight="true" outlineLevel="0" collapsed="false">
      <c r="AA360" s="6"/>
      <c r="AB360" s="6"/>
      <c r="AC360" s="6"/>
      <c r="AD360" s="6"/>
      <c r="AE360" s="6"/>
      <c r="AF360" s="6"/>
    </row>
    <row r="361" s="5" customFormat="true" ht="15.75" hidden="false" customHeight="true" outlineLevel="0" collapsed="false">
      <c r="AA361" s="6"/>
      <c r="AB361" s="6"/>
      <c r="AC361" s="6"/>
      <c r="AD361" s="6"/>
      <c r="AE361" s="6"/>
      <c r="AF361" s="6"/>
    </row>
    <row r="362" s="5" customFormat="true" ht="15.75" hidden="false" customHeight="true" outlineLevel="0" collapsed="false">
      <c r="AA362" s="6"/>
      <c r="AB362" s="6"/>
      <c r="AC362" s="6"/>
      <c r="AD362" s="6"/>
      <c r="AE362" s="6"/>
      <c r="AF362" s="6"/>
    </row>
    <row r="363" s="5" customFormat="true" ht="15.75" hidden="false" customHeight="true" outlineLevel="0" collapsed="false">
      <c r="AA363" s="6"/>
      <c r="AB363" s="6"/>
      <c r="AC363" s="6"/>
      <c r="AD363" s="6"/>
      <c r="AE363" s="6"/>
      <c r="AF363" s="6"/>
    </row>
    <row r="364" s="5" customFormat="true" ht="15.75" hidden="false" customHeight="true" outlineLevel="0" collapsed="false">
      <c r="AA364" s="6"/>
      <c r="AB364" s="6"/>
      <c r="AC364" s="6"/>
      <c r="AD364" s="6"/>
      <c r="AE364" s="6"/>
      <c r="AF364" s="6"/>
    </row>
    <row r="365" s="5" customFormat="true" ht="15.75" hidden="false" customHeight="true" outlineLevel="0" collapsed="false">
      <c r="AA365" s="6"/>
      <c r="AB365" s="6"/>
      <c r="AC365" s="6"/>
      <c r="AD365" s="6"/>
      <c r="AE365" s="6"/>
      <c r="AF365" s="6"/>
    </row>
    <row r="366" s="5" customFormat="true" ht="15.75" hidden="false" customHeight="true" outlineLevel="0" collapsed="false">
      <c r="AA366" s="6"/>
      <c r="AB366" s="6"/>
      <c r="AC366" s="6"/>
      <c r="AD366" s="6"/>
      <c r="AE366" s="6"/>
      <c r="AF366" s="6"/>
    </row>
    <row r="367" s="5" customFormat="true" ht="15.75" hidden="false" customHeight="true" outlineLevel="0" collapsed="false">
      <c r="AA367" s="6"/>
      <c r="AB367" s="6"/>
      <c r="AC367" s="6"/>
      <c r="AD367" s="6"/>
      <c r="AE367" s="6"/>
      <c r="AF367" s="6"/>
    </row>
    <row r="368" s="5" customFormat="true" ht="15.75" hidden="false" customHeight="true" outlineLevel="0" collapsed="false">
      <c r="AA368" s="6"/>
      <c r="AB368" s="6"/>
      <c r="AC368" s="6"/>
      <c r="AD368" s="6"/>
      <c r="AE368" s="6"/>
      <c r="AF368" s="6"/>
    </row>
    <row r="369" s="5" customFormat="true" ht="15.75" hidden="false" customHeight="true" outlineLevel="0" collapsed="false">
      <c r="AA369" s="6"/>
      <c r="AB369" s="6"/>
      <c r="AC369" s="6"/>
      <c r="AD369" s="6"/>
      <c r="AE369" s="6"/>
      <c r="AF369" s="6"/>
    </row>
    <row r="370" s="5" customFormat="true" ht="15.75" hidden="false" customHeight="true" outlineLevel="0" collapsed="false">
      <c r="AA370" s="6"/>
      <c r="AB370" s="6"/>
      <c r="AC370" s="6"/>
      <c r="AD370" s="6"/>
      <c r="AE370" s="6"/>
      <c r="AF370" s="6"/>
    </row>
    <row r="371" s="5" customFormat="true" ht="15.75" hidden="false" customHeight="true" outlineLevel="0" collapsed="false">
      <c r="AA371" s="6"/>
      <c r="AB371" s="6"/>
      <c r="AC371" s="6"/>
      <c r="AD371" s="6"/>
      <c r="AE371" s="6"/>
      <c r="AF371" s="6"/>
    </row>
    <row r="372" s="5" customFormat="true" ht="15.75" hidden="false" customHeight="true" outlineLevel="0" collapsed="false">
      <c r="AA372" s="6"/>
      <c r="AB372" s="6"/>
      <c r="AC372" s="6"/>
      <c r="AD372" s="6"/>
      <c r="AE372" s="6"/>
      <c r="AF372" s="6"/>
    </row>
    <row r="373" s="5" customFormat="true" ht="15.75" hidden="false" customHeight="true" outlineLevel="0" collapsed="false">
      <c r="AA373" s="6"/>
      <c r="AB373" s="6"/>
      <c r="AC373" s="6"/>
      <c r="AD373" s="6"/>
      <c r="AE373" s="6"/>
      <c r="AF373" s="6"/>
    </row>
    <row r="374" s="5" customFormat="true" ht="15.75" hidden="false" customHeight="true" outlineLevel="0" collapsed="false">
      <c r="AA374" s="6"/>
      <c r="AB374" s="6"/>
      <c r="AC374" s="6"/>
      <c r="AD374" s="6"/>
      <c r="AE374" s="6"/>
      <c r="AF374" s="6"/>
    </row>
    <row r="375" s="5" customFormat="true" ht="15.75" hidden="false" customHeight="true" outlineLevel="0" collapsed="false">
      <c r="AA375" s="6"/>
      <c r="AB375" s="6"/>
      <c r="AC375" s="6"/>
      <c r="AD375" s="6"/>
      <c r="AE375" s="6"/>
      <c r="AF375" s="6"/>
    </row>
    <row r="376" s="5" customFormat="true" ht="15.75" hidden="false" customHeight="true" outlineLevel="0" collapsed="false">
      <c r="AA376" s="6"/>
      <c r="AB376" s="6"/>
      <c r="AC376" s="6"/>
      <c r="AD376" s="6"/>
      <c r="AE376" s="6"/>
      <c r="AF376" s="6"/>
    </row>
    <row r="377" s="5" customFormat="true" ht="15.75" hidden="false" customHeight="true" outlineLevel="0" collapsed="false">
      <c r="AA377" s="6"/>
      <c r="AB377" s="6"/>
      <c r="AC377" s="6"/>
      <c r="AD377" s="6"/>
      <c r="AE377" s="6"/>
      <c r="AF377" s="6"/>
    </row>
    <row r="378" s="5" customFormat="true" ht="15.75" hidden="false" customHeight="true" outlineLevel="0" collapsed="false">
      <c r="AA378" s="6"/>
      <c r="AB378" s="6"/>
      <c r="AC378" s="6"/>
      <c r="AD378" s="6"/>
      <c r="AE378" s="6"/>
      <c r="AF378" s="6"/>
    </row>
    <row r="379" s="5" customFormat="true" ht="15.75" hidden="false" customHeight="true" outlineLevel="0" collapsed="false">
      <c r="AA379" s="6"/>
      <c r="AB379" s="6"/>
      <c r="AC379" s="6"/>
      <c r="AD379" s="6"/>
      <c r="AE379" s="6"/>
      <c r="AF379" s="6"/>
    </row>
    <row r="380" s="5" customFormat="true" ht="15.75" hidden="false" customHeight="true" outlineLevel="0" collapsed="false">
      <c r="AA380" s="6"/>
      <c r="AB380" s="6"/>
      <c r="AC380" s="6"/>
      <c r="AD380" s="6"/>
      <c r="AE380" s="6"/>
      <c r="AF380" s="6"/>
    </row>
    <row r="381" s="5" customFormat="true" ht="15.75" hidden="false" customHeight="true" outlineLevel="0" collapsed="false">
      <c r="AA381" s="6"/>
      <c r="AB381" s="6"/>
      <c r="AC381" s="6"/>
      <c r="AD381" s="6"/>
      <c r="AE381" s="6"/>
      <c r="AF381" s="6"/>
    </row>
    <row r="382" s="5" customFormat="true" ht="15.75" hidden="false" customHeight="true" outlineLevel="0" collapsed="false">
      <c r="AA382" s="6"/>
      <c r="AB382" s="6"/>
      <c r="AC382" s="6"/>
      <c r="AD382" s="6"/>
      <c r="AE382" s="6"/>
      <c r="AF382" s="6"/>
    </row>
    <row r="383" s="5" customFormat="true" ht="15.75" hidden="false" customHeight="true" outlineLevel="0" collapsed="false">
      <c r="AA383" s="6"/>
      <c r="AB383" s="6"/>
      <c r="AC383" s="6"/>
      <c r="AD383" s="6"/>
      <c r="AE383" s="6"/>
      <c r="AF383" s="6"/>
    </row>
    <row r="384" s="5" customFormat="true" ht="15.75" hidden="false" customHeight="true" outlineLevel="0" collapsed="false">
      <c r="AA384" s="6"/>
      <c r="AB384" s="6"/>
      <c r="AC384" s="6"/>
      <c r="AD384" s="6"/>
      <c r="AE384" s="6"/>
      <c r="AF384" s="6"/>
    </row>
    <row r="385" s="5" customFormat="true" ht="15.75" hidden="false" customHeight="true" outlineLevel="0" collapsed="false">
      <c r="AA385" s="6"/>
      <c r="AB385" s="6"/>
      <c r="AC385" s="6"/>
      <c r="AD385" s="6"/>
      <c r="AE385" s="6"/>
      <c r="AF385" s="6"/>
    </row>
    <row r="386" s="5" customFormat="true" ht="15.75" hidden="false" customHeight="true" outlineLevel="0" collapsed="false">
      <c r="AA386" s="6"/>
      <c r="AB386" s="6"/>
      <c r="AC386" s="6"/>
      <c r="AD386" s="6"/>
      <c r="AE386" s="6"/>
      <c r="AF386" s="6"/>
    </row>
    <row r="387" s="5" customFormat="true" ht="15.75" hidden="false" customHeight="true" outlineLevel="0" collapsed="false">
      <c r="AA387" s="6"/>
      <c r="AB387" s="6"/>
      <c r="AC387" s="6"/>
      <c r="AD387" s="6"/>
      <c r="AE387" s="6"/>
      <c r="AF387" s="6"/>
    </row>
    <row r="388" s="5" customFormat="true" ht="15.75" hidden="false" customHeight="true" outlineLevel="0" collapsed="false">
      <c r="AA388" s="6"/>
      <c r="AB388" s="6"/>
      <c r="AC388" s="6"/>
      <c r="AD388" s="6"/>
      <c r="AE388" s="6"/>
      <c r="AF388" s="6"/>
    </row>
    <row r="389" s="5" customFormat="true" ht="15.75" hidden="false" customHeight="true" outlineLevel="0" collapsed="false">
      <c r="AA389" s="6"/>
      <c r="AB389" s="6"/>
      <c r="AC389" s="6"/>
      <c r="AD389" s="6"/>
      <c r="AE389" s="6"/>
      <c r="AF389" s="6"/>
    </row>
    <row r="390" s="5" customFormat="true" ht="15.75" hidden="false" customHeight="true" outlineLevel="0" collapsed="false">
      <c r="AA390" s="6"/>
      <c r="AB390" s="6"/>
      <c r="AC390" s="6"/>
      <c r="AD390" s="6"/>
      <c r="AE390" s="6"/>
      <c r="AF390" s="6"/>
    </row>
    <row r="391" s="5" customFormat="true" ht="15.75" hidden="false" customHeight="true" outlineLevel="0" collapsed="false">
      <c r="AA391" s="6"/>
      <c r="AB391" s="6"/>
      <c r="AC391" s="6"/>
      <c r="AD391" s="6"/>
      <c r="AE391" s="6"/>
      <c r="AF391" s="6"/>
    </row>
    <row r="392" s="5" customFormat="true" ht="15.75" hidden="false" customHeight="true" outlineLevel="0" collapsed="false">
      <c r="AA392" s="6"/>
      <c r="AB392" s="6"/>
      <c r="AC392" s="6"/>
      <c r="AD392" s="6"/>
      <c r="AE392" s="6"/>
      <c r="AF392" s="6"/>
    </row>
    <row r="393" s="5" customFormat="true" ht="15.75" hidden="false" customHeight="true" outlineLevel="0" collapsed="false">
      <c r="AA393" s="6"/>
      <c r="AB393" s="6"/>
      <c r="AC393" s="6"/>
      <c r="AD393" s="6"/>
      <c r="AE393" s="6"/>
      <c r="AF393" s="6"/>
    </row>
    <row r="394" s="5" customFormat="true" ht="15.75" hidden="false" customHeight="true" outlineLevel="0" collapsed="false">
      <c r="AA394" s="6"/>
      <c r="AB394" s="6"/>
      <c r="AC394" s="6"/>
      <c r="AD394" s="6"/>
      <c r="AE394" s="6"/>
      <c r="AF394" s="6"/>
    </row>
    <row r="395" s="5" customFormat="true" ht="15.75" hidden="false" customHeight="true" outlineLevel="0" collapsed="false">
      <c r="AA395" s="6"/>
      <c r="AB395" s="6"/>
      <c r="AC395" s="6"/>
      <c r="AD395" s="6"/>
      <c r="AE395" s="6"/>
      <c r="AF395" s="6"/>
    </row>
    <row r="396" s="5" customFormat="true" ht="15.75" hidden="false" customHeight="true" outlineLevel="0" collapsed="false">
      <c r="AA396" s="6"/>
      <c r="AB396" s="6"/>
      <c r="AC396" s="6"/>
      <c r="AD396" s="6"/>
      <c r="AE396" s="6"/>
      <c r="AF396" s="6"/>
    </row>
    <row r="397" s="5" customFormat="true" ht="15.75" hidden="false" customHeight="true" outlineLevel="0" collapsed="false">
      <c r="AA397" s="6"/>
      <c r="AB397" s="6"/>
      <c r="AC397" s="6"/>
      <c r="AD397" s="6"/>
      <c r="AE397" s="6"/>
      <c r="AF397" s="6"/>
    </row>
    <row r="398" s="5" customFormat="true" ht="15.75" hidden="false" customHeight="true" outlineLevel="0" collapsed="false">
      <c r="AA398" s="6"/>
      <c r="AB398" s="6"/>
      <c r="AC398" s="6"/>
      <c r="AD398" s="6"/>
      <c r="AE398" s="6"/>
      <c r="AF398" s="6"/>
    </row>
    <row r="399" s="5" customFormat="true" ht="15.75" hidden="false" customHeight="true" outlineLevel="0" collapsed="false">
      <c r="AA399" s="6"/>
      <c r="AB399" s="6"/>
      <c r="AC399" s="6"/>
      <c r="AD399" s="6"/>
      <c r="AE399" s="6"/>
      <c r="AF399" s="6"/>
    </row>
    <row r="400" s="5" customFormat="true" ht="15.75" hidden="false" customHeight="true" outlineLevel="0" collapsed="false">
      <c r="AA400" s="6"/>
      <c r="AB400" s="6"/>
      <c r="AC400" s="6"/>
      <c r="AD400" s="6"/>
      <c r="AE400" s="6"/>
      <c r="AF400" s="6"/>
    </row>
    <row r="401" s="5" customFormat="true" ht="15.75" hidden="false" customHeight="true" outlineLevel="0" collapsed="false">
      <c r="AA401" s="6"/>
      <c r="AB401" s="6"/>
      <c r="AC401" s="6"/>
      <c r="AD401" s="6"/>
      <c r="AE401" s="6"/>
      <c r="AF401" s="6"/>
    </row>
    <row r="402" s="5" customFormat="true" ht="15.75" hidden="false" customHeight="true" outlineLevel="0" collapsed="false">
      <c r="AA402" s="6"/>
      <c r="AB402" s="6"/>
      <c r="AC402" s="6"/>
      <c r="AD402" s="6"/>
      <c r="AE402" s="6"/>
      <c r="AF402" s="6"/>
    </row>
    <row r="403" s="5" customFormat="true" ht="15.75" hidden="false" customHeight="true" outlineLevel="0" collapsed="false">
      <c r="AA403" s="6"/>
      <c r="AB403" s="6"/>
      <c r="AC403" s="6"/>
      <c r="AD403" s="6"/>
      <c r="AE403" s="6"/>
      <c r="AF403" s="6"/>
    </row>
    <row r="404" s="5" customFormat="true" ht="15.75" hidden="false" customHeight="true" outlineLevel="0" collapsed="false">
      <c r="AA404" s="6"/>
      <c r="AB404" s="6"/>
      <c r="AC404" s="6"/>
      <c r="AD404" s="6"/>
      <c r="AE404" s="6"/>
      <c r="AF404" s="6"/>
    </row>
    <row r="405" s="5" customFormat="true" ht="15.75" hidden="false" customHeight="true" outlineLevel="0" collapsed="false">
      <c r="AA405" s="6"/>
      <c r="AB405" s="6"/>
      <c r="AC405" s="6"/>
      <c r="AD405" s="6"/>
      <c r="AE405" s="6"/>
      <c r="AF405" s="6"/>
    </row>
    <row r="406" s="5" customFormat="true" ht="15.75" hidden="false" customHeight="true" outlineLevel="0" collapsed="false">
      <c r="AA406" s="6"/>
      <c r="AB406" s="6"/>
      <c r="AC406" s="6"/>
      <c r="AD406" s="6"/>
      <c r="AE406" s="6"/>
      <c r="AF406" s="6"/>
    </row>
    <row r="407" s="5" customFormat="true" ht="15.75" hidden="false" customHeight="true" outlineLevel="0" collapsed="false">
      <c r="AA407" s="6"/>
      <c r="AB407" s="6"/>
      <c r="AC407" s="6"/>
      <c r="AD407" s="6"/>
      <c r="AE407" s="6"/>
      <c r="AF407" s="6"/>
    </row>
    <row r="408" s="5" customFormat="true" ht="15.75" hidden="false" customHeight="true" outlineLevel="0" collapsed="false">
      <c r="AA408" s="6"/>
      <c r="AB408" s="6"/>
      <c r="AC408" s="6"/>
      <c r="AD408" s="6"/>
      <c r="AE408" s="6"/>
      <c r="AF408" s="6"/>
    </row>
    <row r="409" s="5" customFormat="true" ht="15.75" hidden="false" customHeight="true" outlineLevel="0" collapsed="false">
      <c r="AA409" s="6"/>
      <c r="AB409" s="6"/>
      <c r="AC409" s="6"/>
      <c r="AD409" s="6"/>
      <c r="AE409" s="6"/>
      <c r="AF409" s="6"/>
    </row>
    <row r="410" s="5" customFormat="true" ht="15.75" hidden="false" customHeight="true" outlineLevel="0" collapsed="false">
      <c r="AA410" s="6"/>
      <c r="AB410" s="6"/>
      <c r="AC410" s="6"/>
      <c r="AD410" s="6"/>
      <c r="AE410" s="6"/>
      <c r="AF410" s="6"/>
    </row>
    <row r="411" s="5" customFormat="true" ht="15.75" hidden="false" customHeight="true" outlineLevel="0" collapsed="false">
      <c r="AA411" s="6"/>
      <c r="AB411" s="6"/>
      <c r="AC411" s="6"/>
      <c r="AD411" s="6"/>
      <c r="AE411" s="6"/>
      <c r="AF411" s="6"/>
    </row>
    <row r="412" s="5" customFormat="true" ht="15.75" hidden="false" customHeight="true" outlineLevel="0" collapsed="false">
      <c r="AA412" s="6"/>
      <c r="AB412" s="6"/>
      <c r="AC412" s="6"/>
      <c r="AD412" s="6"/>
      <c r="AE412" s="6"/>
      <c r="AF412" s="6"/>
    </row>
    <row r="413" s="5" customFormat="true" ht="15.75" hidden="false" customHeight="true" outlineLevel="0" collapsed="false">
      <c r="AA413" s="6"/>
      <c r="AB413" s="6"/>
      <c r="AC413" s="6"/>
      <c r="AD413" s="6"/>
      <c r="AE413" s="6"/>
      <c r="AF413" s="6"/>
    </row>
    <row r="414" s="5" customFormat="true" ht="15.75" hidden="false" customHeight="true" outlineLevel="0" collapsed="false">
      <c r="AA414" s="6"/>
      <c r="AB414" s="6"/>
      <c r="AC414" s="6"/>
      <c r="AD414" s="6"/>
      <c r="AE414" s="6"/>
      <c r="AF414" s="6"/>
    </row>
    <row r="415" s="5" customFormat="true" ht="15.75" hidden="false" customHeight="true" outlineLevel="0" collapsed="false">
      <c r="AA415" s="6"/>
      <c r="AB415" s="6"/>
      <c r="AC415" s="6"/>
      <c r="AD415" s="6"/>
      <c r="AE415" s="6"/>
      <c r="AF415" s="6"/>
    </row>
    <row r="416" s="5" customFormat="true" ht="15.75" hidden="false" customHeight="true" outlineLevel="0" collapsed="false">
      <c r="AA416" s="6"/>
      <c r="AB416" s="6"/>
      <c r="AC416" s="6"/>
      <c r="AD416" s="6"/>
      <c r="AE416" s="6"/>
      <c r="AF416" s="6"/>
    </row>
    <row r="417" s="5" customFormat="true" ht="15.75" hidden="false" customHeight="true" outlineLevel="0" collapsed="false">
      <c r="AA417" s="6"/>
      <c r="AB417" s="6"/>
      <c r="AC417" s="6"/>
      <c r="AD417" s="6"/>
      <c r="AE417" s="6"/>
      <c r="AF417" s="6"/>
    </row>
    <row r="418" s="5" customFormat="true" ht="15.75" hidden="false" customHeight="true" outlineLevel="0" collapsed="false">
      <c r="AA418" s="6"/>
      <c r="AB418" s="6"/>
      <c r="AC418" s="6"/>
      <c r="AD418" s="6"/>
      <c r="AE418" s="6"/>
      <c r="AF418" s="6"/>
    </row>
    <row r="419" s="5" customFormat="true" ht="15.75" hidden="false" customHeight="true" outlineLevel="0" collapsed="false">
      <c r="AA419" s="6"/>
      <c r="AB419" s="6"/>
      <c r="AC419" s="6"/>
      <c r="AD419" s="6"/>
      <c r="AE419" s="6"/>
      <c r="AF419" s="6"/>
    </row>
    <row r="420" s="5" customFormat="true" ht="15.75" hidden="false" customHeight="true" outlineLevel="0" collapsed="false">
      <c r="AA420" s="6"/>
      <c r="AB420" s="6"/>
      <c r="AC420" s="6"/>
      <c r="AD420" s="6"/>
      <c r="AE420" s="6"/>
      <c r="AF420" s="6"/>
    </row>
    <row r="421" s="5" customFormat="true" ht="15.75" hidden="false" customHeight="true" outlineLevel="0" collapsed="false">
      <c r="AA421" s="6"/>
      <c r="AB421" s="6"/>
      <c r="AC421" s="6"/>
      <c r="AD421" s="6"/>
      <c r="AE421" s="6"/>
      <c r="AF421" s="6"/>
    </row>
    <row r="422" s="5" customFormat="true" ht="15.75" hidden="false" customHeight="true" outlineLevel="0" collapsed="false">
      <c r="AA422" s="6"/>
      <c r="AB422" s="6"/>
      <c r="AC422" s="6"/>
      <c r="AD422" s="6"/>
      <c r="AE422" s="6"/>
      <c r="AF422" s="6"/>
    </row>
    <row r="423" s="5" customFormat="true" ht="15.75" hidden="false" customHeight="true" outlineLevel="0" collapsed="false">
      <c r="AA423" s="6"/>
      <c r="AB423" s="6"/>
      <c r="AC423" s="6"/>
      <c r="AD423" s="6"/>
      <c r="AE423" s="6"/>
      <c r="AF423" s="6"/>
    </row>
    <row r="424" s="5" customFormat="true" ht="15.75" hidden="false" customHeight="true" outlineLevel="0" collapsed="false">
      <c r="AA424" s="6"/>
      <c r="AB424" s="6"/>
      <c r="AC424" s="6"/>
      <c r="AD424" s="6"/>
      <c r="AE424" s="6"/>
      <c r="AF424" s="6"/>
    </row>
    <row r="425" s="5" customFormat="true" ht="15.75" hidden="false" customHeight="true" outlineLevel="0" collapsed="false">
      <c r="AA425" s="6"/>
      <c r="AB425" s="6"/>
      <c r="AC425" s="6"/>
      <c r="AD425" s="6"/>
      <c r="AE425" s="6"/>
      <c r="AF425" s="6"/>
    </row>
    <row r="426" s="5" customFormat="true" ht="15.75" hidden="false" customHeight="true" outlineLevel="0" collapsed="false">
      <c r="AA426" s="6"/>
      <c r="AB426" s="6"/>
      <c r="AC426" s="6"/>
      <c r="AD426" s="6"/>
      <c r="AE426" s="6"/>
      <c r="AF426" s="6"/>
    </row>
    <row r="427" s="5" customFormat="true" ht="15.75" hidden="false" customHeight="true" outlineLevel="0" collapsed="false">
      <c r="AA427" s="6"/>
      <c r="AB427" s="6"/>
      <c r="AC427" s="6"/>
      <c r="AD427" s="6"/>
      <c r="AE427" s="6"/>
      <c r="AF427" s="6"/>
    </row>
    <row r="428" s="5" customFormat="true" ht="15.75" hidden="false" customHeight="true" outlineLevel="0" collapsed="false">
      <c r="AA428" s="6"/>
      <c r="AB428" s="6"/>
      <c r="AC428" s="6"/>
      <c r="AD428" s="6"/>
      <c r="AE428" s="6"/>
      <c r="AF428" s="6"/>
    </row>
    <row r="429" s="5" customFormat="true" ht="15.75" hidden="false" customHeight="true" outlineLevel="0" collapsed="false">
      <c r="AA429" s="6"/>
      <c r="AB429" s="6"/>
      <c r="AC429" s="6"/>
      <c r="AD429" s="6"/>
      <c r="AE429" s="6"/>
      <c r="AF429" s="6"/>
    </row>
    <row r="430" s="5" customFormat="true" ht="15.75" hidden="false" customHeight="true" outlineLevel="0" collapsed="false">
      <c r="AA430" s="6"/>
      <c r="AB430" s="6"/>
      <c r="AC430" s="6"/>
      <c r="AD430" s="6"/>
      <c r="AE430" s="6"/>
      <c r="AF430" s="6"/>
    </row>
    <row r="431" s="5" customFormat="true" ht="15.75" hidden="false" customHeight="true" outlineLevel="0" collapsed="false">
      <c r="AA431" s="6"/>
      <c r="AB431" s="6"/>
      <c r="AC431" s="6"/>
      <c r="AD431" s="6"/>
      <c r="AE431" s="6"/>
      <c r="AF431" s="6"/>
    </row>
    <row r="432" s="5" customFormat="true" ht="15.75" hidden="false" customHeight="true" outlineLevel="0" collapsed="false">
      <c r="AA432" s="6"/>
      <c r="AB432" s="6"/>
      <c r="AC432" s="6"/>
      <c r="AD432" s="6"/>
      <c r="AE432" s="6"/>
      <c r="AF432" s="6"/>
    </row>
    <row r="433" s="5" customFormat="true" ht="15.75" hidden="false" customHeight="true" outlineLevel="0" collapsed="false">
      <c r="AA433" s="6"/>
      <c r="AB433" s="6"/>
      <c r="AC433" s="6"/>
      <c r="AD433" s="6"/>
      <c r="AE433" s="6"/>
      <c r="AF433" s="6"/>
    </row>
    <row r="434" s="5" customFormat="true" ht="15.75" hidden="false" customHeight="true" outlineLevel="0" collapsed="false">
      <c r="AA434" s="6"/>
      <c r="AB434" s="6"/>
      <c r="AC434" s="6"/>
      <c r="AD434" s="6"/>
      <c r="AE434" s="6"/>
      <c r="AF434" s="6"/>
    </row>
    <row r="435" s="5" customFormat="true" ht="15.75" hidden="false" customHeight="true" outlineLevel="0" collapsed="false">
      <c r="AA435" s="6"/>
      <c r="AB435" s="6"/>
      <c r="AC435" s="6"/>
      <c r="AD435" s="6"/>
      <c r="AE435" s="6"/>
      <c r="AF435" s="6"/>
    </row>
    <row r="436" s="5" customFormat="true" ht="15.75" hidden="false" customHeight="true" outlineLevel="0" collapsed="false">
      <c r="AA436" s="6"/>
      <c r="AB436" s="6"/>
      <c r="AC436" s="6"/>
      <c r="AD436" s="6"/>
      <c r="AE436" s="6"/>
      <c r="AF436" s="6"/>
    </row>
    <row r="437" s="5" customFormat="true" ht="15.75" hidden="false" customHeight="true" outlineLevel="0" collapsed="false">
      <c r="AA437" s="6"/>
      <c r="AB437" s="6"/>
      <c r="AC437" s="6"/>
      <c r="AD437" s="6"/>
      <c r="AE437" s="6"/>
      <c r="AF437" s="6"/>
    </row>
    <row r="438" s="5" customFormat="true" ht="15.75" hidden="false" customHeight="true" outlineLevel="0" collapsed="false">
      <c r="AA438" s="6"/>
      <c r="AB438" s="6"/>
      <c r="AC438" s="6"/>
      <c r="AD438" s="6"/>
      <c r="AE438" s="6"/>
      <c r="AF438" s="6"/>
    </row>
    <row r="439" s="5" customFormat="true" ht="15.75" hidden="false" customHeight="true" outlineLevel="0" collapsed="false">
      <c r="AA439" s="6"/>
      <c r="AB439" s="6"/>
      <c r="AC439" s="6"/>
      <c r="AD439" s="6"/>
      <c r="AE439" s="6"/>
      <c r="AF439" s="6"/>
    </row>
    <row r="440" s="5" customFormat="true" ht="15.75" hidden="false" customHeight="true" outlineLevel="0" collapsed="false">
      <c r="AA440" s="6"/>
      <c r="AB440" s="6"/>
      <c r="AC440" s="6"/>
      <c r="AD440" s="6"/>
      <c r="AE440" s="6"/>
      <c r="AF440" s="6"/>
    </row>
    <row r="441" s="5" customFormat="true" ht="15.75" hidden="false" customHeight="true" outlineLevel="0" collapsed="false">
      <c r="AA441" s="6"/>
      <c r="AB441" s="6"/>
      <c r="AC441" s="6"/>
      <c r="AD441" s="6"/>
      <c r="AE441" s="6"/>
      <c r="AF441" s="6"/>
    </row>
    <row r="442" s="5" customFormat="true" ht="15.75" hidden="false" customHeight="true" outlineLevel="0" collapsed="false">
      <c r="AA442" s="6"/>
      <c r="AB442" s="6"/>
      <c r="AC442" s="6"/>
      <c r="AD442" s="6"/>
      <c r="AE442" s="6"/>
      <c r="AF442" s="6"/>
    </row>
    <row r="443" s="5" customFormat="true" ht="15.75" hidden="false" customHeight="true" outlineLevel="0" collapsed="false">
      <c r="AA443" s="6"/>
      <c r="AB443" s="6"/>
      <c r="AC443" s="6"/>
      <c r="AD443" s="6"/>
      <c r="AE443" s="6"/>
      <c r="AF443" s="6"/>
    </row>
    <row r="444" s="5" customFormat="true" ht="15.75" hidden="false" customHeight="true" outlineLevel="0" collapsed="false">
      <c r="AA444" s="6"/>
      <c r="AB444" s="6"/>
      <c r="AC444" s="6"/>
      <c r="AD444" s="6"/>
      <c r="AE444" s="6"/>
      <c r="AF444" s="6"/>
    </row>
    <row r="445" s="5" customFormat="true" ht="15.75" hidden="false" customHeight="true" outlineLevel="0" collapsed="false">
      <c r="AA445" s="6"/>
      <c r="AB445" s="6"/>
      <c r="AC445" s="6"/>
      <c r="AD445" s="6"/>
      <c r="AE445" s="6"/>
      <c r="AF445" s="6"/>
    </row>
    <row r="446" s="5" customFormat="true" ht="15.75" hidden="false" customHeight="true" outlineLevel="0" collapsed="false">
      <c r="AA446" s="6"/>
      <c r="AB446" s="6"/>
      <c r="AC446" s="6"/>
      <c r="AD446" s="6"/>
      <c r="AE446" s="6"/>
      <c r="AF446" s="6"/>
    </row>
    <row r="447" s="5" customFormat="true" ht="15.75" hidden="false" customHeight="true" outlineLevel="0" collapsed="false">
      <c r="AA447" s="6"/>
      <c r="AB447" s="6"/>
      <c r="AC447" s="6"/>
      <c r="AD447" s="6"/>
      <c r="AE447" s="6"/>
      <c r="AF447" s="6"/>
    </row>
    <row r="448" s="5" customFormat="true" ht="15.75" hidden="false" customHeight="true" outlineLevel="0" collapsed="false">
      <c r="AA448" s="6"/>
      <c r="AB448" s="6"/>
      <c r="AC448" s="6"/>
      <c r="AD448" s="6"/>
      <c r="AE448" s="6"/>
      <c r="AF448" s="6"/>
    </row>
    <row r="449" s="5" customFormat="true" ht="15.75" hidden="false" customHeight="true" outlineLevel="0" collapsed="false">
      <c r="AA449" s="6"/>
      <c r="AB449" s="6"/>
      <c r="AC449" s="6"/>
      <c r="AD449" s="6"/>
      <c r="AE449" s="6"/>
      <c r="AF449" s="6"/>
    </row>
    <row r="450" s="5" customFormat="true" ht="15.75" hidden="false" customHeight="true" outlineLevel="0" collapsed="false">
      <c r="AA450" s="6"/>
      <c r="AB450" s="6"/>
      <c r="AC450" s="6"/>
      <c r="AD450" s="6"/>
      <c r="AE450" s="6"/>
      <c r="AF450" s="6"/>
    </row>
    <row r="451" s="5" customFormat="true" ht="15.75" hidden="false" customHeight="true" outlineLevel="0" collapsed="false">
      <c r="AA451" s="6"/>
      <c r="AB451" s="6"/>
      <c r="AC451" s="6"/>
      <c r="AD451" s="6"/>
      <c r="AE451" s="6"/>
      <c r="AF451" s="6"/>
    </row>
    <row r="452" s="5" customFormat="true" ht="15.75" hidden="false" customHeight="true" outlineLevel="0" collapsed="false">
      <c r="AA452" s="6"/>
      <c r="AB452" s="6"/>
      <c r="AC452" s="6"/>
      <c r="AD452" s="6"/>
      <c r="AE452" s="6"/>
      <c r="AF452" s="6"/>
    </row>
    <row r="453" s="5" customFormat="true" ht="15.75" hidden="false" customHeight="true" outlineLevel="0" collapsed="false">
      <c r="AA453" s="6"/>
      <c r="AB453" s="6"/>
      <c r="AC453" s="6"/>
      <c r="AD453" s="6"/>
      <c r="AE453" s="6"/>
      <c r="AF453" s="6"/>
    </row>
    <row r="454" s="5" customFormat="true" ht="15.75" hidden="false" customHeight="true" outlineLevel="0" collapsed="false">
      <c r="AA454" s="6"/>
      <c r="AB454" s="6"/>
      <c r="AC454" s="6"/>
      <c r="AD454" s="6"/>
      <c r="AE454" s="6"/>
      <c r="AF454" s="6"/>
    </row>
    <row r="455" s="5" customFormat="true" ht="15.75" hidden="false" customHeight="true" outlineLevel="0" collapsed="false">
      <c r="AA455" s="6"/>
      <c r="AB455" s="6"/>
      <c r="AC455" s="6"/>
      <c r="AD455" s="6"/>
      <c r="AE455" s="6"/>
      <c r="AF455" s="6"/>
    </row>
    <row r="456" s="5" customFormat="true" ht="15.75" hidden="false" customHeight="true" outlineLevel="0" collapsed="false">
      <c r="AA456" s="6"/>
      <c r="AB456" s="6"/>
      <c r="AC456" s="6"/>
      <c r="AD456" s="6"/>
      <c r="AE456" s="6"/>
      <c r="AF456" s="6"/>
    </row>
    <row r="457" s="5" customFormat="true" ht="15.75" hidden="false" customHeight="true" outlineLevel="0" collapsed="false">
      <c r="AA457" s="6"/>
      <c r="AB457" s="6"/>
      <c r="AC457" s="6"/>
      <c r="AD457" s="6"/>
      <c r="AE457" s="6"/>
      <c r="AF457" s="6"/>
    </row>
    <row r="458" s="5" customFormat="true" ht="15.75" hidden="false" customHeight="true" outlineLevel="0" collapsed="false">
      <c r="AA458" s="6"/>
      <c r="AB458" s="6"/>
      <c r="AC458" s="6"/>
      <c r="AD458" s="6"/>
      <c r="AE458" s="6"/>
      <c r="AF458" s="6"/>
    </row>
    <row r="459" s="5" customFormat="true" ht="15.75" hidden="false" customHeight="true" outlineLevel="0" collapsed="false">
      <c r="AA459" s="6"/>
      <c r="AB459" s="6"/>
      <c r="AC459" s="6"/>
      <c r="AD459" s="6"/>
      <c r="AE459" s="6"/>
      <c r="AF459" s="6"/>
    </row>
    <row r="460" s="5" customFormat="true" ht="15.75" hidden="false" customHeight="true" outlineLevel="0" collapsed="false">
      <c r="AA460" s="6"/>
      <c r="AB460" s="6"/>
      <c r="AC460" s="6"/>
      <c r="AD460" s="6"/>
      <c r="AE460" s="6"/>
      <c r="AF460" s="6"/>
    </row>
    <row r="461" s="5" customFormat="true" ht="15.75" hidden="false" customHeight="true" outlineLevel="0" collapsed="false">
      <c r="AA461" s="6"/>
      <c r="AB461" s="6"/>
      <c r="AC461" s="6"/>
      <c r="AD461" s="6"/>
      <c r="AE461" s="6"/>
      <c r="AF461" s="6"/>
    </row>
    <row r="462" s="5" customFormat="true" ht="15.75" hidden="false" customHeight="true" outlineLevel="0" collapsed="false">
      <c r="AA462" s="6"/>
      <c r="AB462" s="6"/>
      <c r="AC462" s="6"/>
      <c r="AD462" s="6"/>
      <c r="AE462" s="6"/>
      <c r="AF462" s="6"/>
    </row>
    <row r="463" s="5" customFormat="true" ht="15.75" hidden="false" customHeight="true" outlineLevel="0" collapsed="false">
      <c r="AA463" s="6"/>
      <c r="AB463" s="6"/>
      <c r="AC463" s="6"/>
      <c r="AD463" s="6"/>
      <c r="AE463" s="6"/>
      <c r="AF463" s="6"/>
    </row>
    <row r="464" s="5" customFormat="true" ht="15.75" hidden="false" customHeight="true" outlineLevel="0" collapsed="false">
      <c r="AA464" s="6"/>
      <c r="AB464" s="6"/>
      <c r="AC464" s="6"/>
      <c r="AD464" s="6"/>
      <c r="AE464" s="6"/>
      <c r="AF464" s="6"/>
    </row>
    <row r="465" s="5" customFormat="true" ht="15.75" hidden="false" customHeight="true" outlineLevel="0" collapsed="false">
      <c r="AA465" s="6"/>
      <c r="AB465" s="6"/>
      <c r="AC465" s="6"/>
      <c r="AD465" s="6"/>
      <c r="AE465" s="6"/>
      <c r="AF465" s="6"/>
    </row>
    <row r="466" s="5" customFormat="true" ht="15.75" hidden="false" customHeight="true" outlineLevel="0" collapsed="false">
      <c r="AA466" s="6"/>
      <c r="AB466" s="6"/>
      <c r="AC466" s="6"/>
      <c r="AD466" s="6"/>
      <c r="AE466" s="6"/>
      <c r="AF466" s="6"/>
    </row>
    <row r="467" s="5" customFormat="true" ht="15.75" hidden="false" customHeight="true" outlineLevel="0" collapsed="false">
      <c r="AA467" s="6"/>
      <c r="AB467" s="6"/>
      <c r="AC467" s="6"/>
      <c r="AD467" s="6"/>
      <c r="AE467" s="6"/>
      <c r="AF467" s="6"/>
    </row>
    <row r="468" s="5" customFormat="true" ht="15.75" hidden="false" customHeight="true" outlineLevel="0" collapsed="false">
      <c r="AA468" s="6"/>
      <c r="AB468" s="6"/>
      <c r="AC468" s="6"/>
      <c r="AD468" s="6"/>
      <c r="AE468" s="6"/>
      <c r="AF468" s="6"/>
    </row>
    <row r="469" s="5" customFormat="true" ht="15.75" hidden="false" customHeight="true" outlineLevel="0" collapsed="false">
      <c r="AA469" s="6"/>
      <c r="AB469" s="6"/>
      <c r="AC469" s="6"/>
      <c r="AD469" s="6"/>
      <c r="AE469" s="6"/>
      <c r="AF469" s="6"/>
    </row>
    <row r="470" s="5" customFormat="true" ht="15.75" hidden="false" customHeight="true" outlineLevel="0" collapsed="false">
      <c r="AA470" s="6"/>
      <c r="AB470" s="6"/>
      <c r="AC470" s="6"/>
      <c r="AD470" s="6"/>
      <c r="AE470" s="6"/>
      <c r="AF470" s="6"/>
    </row>
    <row r="471" s="5" customFormat="true" ht="15.75" hidden="false" customHeight="true" outlineLevel="0" collapsed="false">
      <c r="AA471" s="6"/>
      <c r="AB471" s="6"/>
      <c r="AC471" s="6"/>
      <c r="AD471" s="6"/>
      <c r="AE471" s="6"/>
      <c r="AF471" s="6"/>
    </row>
    <row r="472" s="5" customFormat="true" ht="15.75" hidden="false" customHeight="true" outlineLevel="0" collapsed="false">
      <c r="AA472" s="6"/>
      <c r="AB472" s="6"/>
      <c r="AC472" s="6"/>
      <c r="AD472" s="6"/>
      <c r="AE472" s="6"/>
      <c r="AF472" s="6"/>
    </row>
    <row r="473" s="5" customFormat="true" ht="15.75" hidden="false" customHeight="true" outlineLevel="0" collapsed="false">
      <c r="AA473" s="6"/>
      <c r="AB473" s="6"/>
      <c r="AC473" s="6"/>
      <c r="AD473" s="6"/>
      <c r="AE473" s="6"/>
      <c r="AF473" s="6"/>
    </row>
    <row r="474" s="5" customFormat="true" ht="15.75" hidden="false" customHeight="true" outlineLevel="0" collapsed="false">
      <c r="AA474" s="6"/>
      <c r="AB474" s="6"/>
      <c r="AC474" s="6"/>
      <c r="AD474" s="6"/>
      <c r="AE474" s="6"/>
      <c r="AF474" s="6"/>
    </row>
    <row r="475" s="5" customFormat="true" ht="15.75" hidden="false" customHeight="true" outlineLevel="0" collapsed="false">
      <c r="AA475" s="6"/>
      <c r="AB475" s="6"/>
      <c r="AC475" s="6"/>
      <c r="AD475" s="6"/>
      <c r="AE475" s="6"/>
      <c r="AF475" s="6"/>
    </row>
    <row r="476" s="5" customFormat="true" ht="15.75" hidden="false" customHeight="true" outlineLevel="0" collapsed="false">
      <c r="AA476" s="6"/>
      <c r="AB476" s="6"/>
      <c r="AC476" s="6"/>
      <c r="AD476" s="6"/>
      <c r="AE476" s="6"/>
      <c r="AF476" s="6"/>
    </row>
    <row r="477" s="5" customFormat="true" ht="15.75" hidden="false" customHeight="true" outlineLevel="0" collapsed="false">
      <c r="AA477" s="6"/>
      <c r="AB477" s="6"/>
      <c r="AC477" s="6"/>
      <c r="AD477" s="6"/>
      <c r="AE477" s="6"/>
      <c r="AF477" s="6"/>
    </row>
    <row r="478" s="5" customFormat="true" ht="15.75" hidden="false" customHeight="true" outlineLevel="0" collapsed="false">
      <c r="AA478" s="6"/>
      <c r="AB478" s="6"/>
      <c r="AC478" s="6"/>
      <c r="AD478" s="6"/>
      <c r="AE478" s="6"/>
      <c r="AF478" s="6"/>
    </row>
    <row r="479" s="5" customFormat="true" ht="15.75" hidden="false" customHeight="true" outlineLevel="0" collapsed="false">
      <c r="AA479" s="6"/>
      <c r="AB479" s="6"/>
      <c r="AC479" s="6"/>
      <c r="AD479" s="6"/>
      <c r="AE479" s="6"/>
      <c r="AF479" s="6"/>
    </row>
    <row r="480" s="5" customFormat="true" ht="15.75" hidden="false" customHeight="true" outlineLevel="0" collapsed="false">
      <c r="AA480" s="6"/>
      <c r="AB480" s="6"/>
      <c r="AC480" s="6"/>
      <c r="AD480" s="6"/>
      <c r="AE480" s="6"/>
      <c r="AF480" s="6"/>
    </row>
    <row r="481" s="5" customFormat="true" ht="15.75" hidden="false" customHeight="true" outlineLevel="0" collapsed="false">
      <c r="AA481" s="6"/>
      <c r="AB481" s="6"/>
      <c r="AC481" s="6"/>
      <c r="AD481" s="6"/>
      <c r="AE481" s="6"/>
      <c r="AF481" s="6"/>
    </row>
    <row r="482" s="5" customFormat="true" ht="15.75" hidden="false" customHeight="true" outlineLevel="0" collapsed="false">
      <c r="AA482" s="6"/>
      <c r="AB482" s="6"/>
      <c r="AC482" s="6"/>
      <c r="AD482" s="6"/>
      <c r="AE482" s="6"/>
      <c r="AF482" s="6"/>
    </row>
    <row r="483" s="5" customFormat="true" ht="15.75" hidden="false" customHeight="true" outlineLevel="0" collapsed="false">
      <c r="AA483" s="6"/>
      <c r="AB483" s="6"/>
      <c r="AC483" s="6"/>
      <c r="AD483" s="6"/>
      <c r="AE483" s="6"/>
      <c r="AF483" s="6"/>
    </row>
    <row r="484" s="5" customFormat="true" ht="15.75" hidden="false" customHeight="true" outlineLevel="0" collapsed="false">
      <c r="AA484" s="6"/>
      <c r="AB484" s="6"/>
      <c r="AC484" s="6"/>
      <c r="AD484" s="6"/>
      <c r="AE484" s="6"/>
      <c r="AF484" s="6"/>
    </row>
    <row r="485" s="5" customFormat="true" ht="15.75" hidden="false" customHeight="true" outlineLevel="0" collapsed="false">
      <c r="AA485" s="6"/>
      <c r="AB485" s="6"/>
      <c r="AC485" s="6"/>
      <c r="AD485" s="6"/>
      <c r="AE485" s="6"/>
      <c r="AF485" s="6"/>
    </row>
    <row r="486" s="5" customFormat="true" ht="15.75" hidden="false" customHeight="true" outlineLevel="0" collapsed="false">
      <c r="AA486" s="6"/>
      <c r="AB486" s="6"/>
      <c r="AC486" s="6"/>
      <c r="AD486" s="6"/>
      <c r="AE486" s="6"/>
      <c r="AF486" s="6"/>
    </row>
    <row r="487" s="5" customFormat="true" ht="15.75" hidden="false" customHeight="true" outlineLevel="0" collapsed="false">
      <c r="AA487" s="6"/>
      <c r="AB487" s="6"/>
      <c r="AC487" s="6"/>
      <c r="AD487" s="6"/>
      <c r="AE487" s="6"/>
      <c r="AF487" s="6"/>
    </row>
    <row r="488" s="5" customFormat="true" ht="15.75" hidden="false" customHeight="true" outlineLevel="0" collapsed="false">
      <c r="AA488" s="6"/>
      <c r="AB488" s="6"/>
      <c r="AC488" s="6"/>
      <c r="AD488" s="6"/>
      <c r="AE488" s="6"/>
      <c r="AF488" s="6"/>
    </row>
    <row r="489" s="5" customFormat="true" ht="15.75" hidden="false" customHeight="true" outlineLevel="0" collapsed="false">
      <c r="AA489" s="6"/>
      <c r="AB489" s="6"/>
      <c r="AC489" s="6"/>
      <c r="AD489" s="6"/>
      <c r="AE489" s="6"/>
      <c r="AF489" s="6"/>
    </row>
    <row r="490" s="5" customFormat="true" ht="15.75" hidden="false" customHeight="true" outlineLevel="0" collapsed="false">
      <c r="AA490" s="6"/>
      <c r="AB490" s="6"/>
      <c r="AC490" s="6"/>
      <c r="AD490" s="6"/>
      <c r="AE490" s="6"/>
      <c r="AF490" s="6"/>
    </row>
    <row r="491" s="5" customFormat="true" ht="15.75" hidden="false" customHeight="true" outlineLevel="0" collapsed="false">
      <c r="AA491" s="6"/>
      <c r="AB491" s="6"/>
      <c r="AC491" s="6"/>
      <c r="AD491" s="6"/>
      <c r="AE491" s="6"/>
      <c r="AF491" s="6"/>
    </row>
    <row r="492" s="5" customFormat="true" ht="15.75" hidden="false" customHeight="true" outlineLevel="0" collapsed="false">
      <c r="AA492" s="6"/>
      <c r="AB492" s="6"/>
      <c r="AC492" s="6"/>
      <c r="AD492" s="6"/>
      <c r="AE492" s="6"/>
      <c r="AF492" s="6"/>
    </row>
    <row r="493" s="5" customFormat="true" ht="15.75" hidden="false" customHeight="true" outlineLevel="0" collapsed="false">
      <c r="AA493" s="6"/>
      <c r="AB493" s="6"/>
      <c r="AC493" s="6"/>
      <c r="AD493" s="6"/>
      <c r="AE493" s="6"/>
      <c r="AF493" s="6"/>
    </row>
    <row r="494" s="5" customFormat="true" ht="15.75" hidden="false" customHeight="true" outlineLevel="0" collapsed="false">
      <c r="AA494" s="6"/>
      <c r="AB494" s="6"/>
      <c r="AC494" s="6"/>
      <c r="AD494" s="6"/>
      <c r="AE494" s="6"/>
      <c r="AF494" s="6"/>
    </row>
    <row r="495" s="5" customFormat="true" ht="15.75" hidden="false" customHeight="true" outlineLevel="0" collapsed="false">
      <c r="AA495" s="6"/>
      <c r="AB495" s="6"/>
      <c r="AC495" s="6"/>
      <c r="AD495" s="6"/>
      <c r="AE495" s="6"/>
      <c r="AF495" s="6"/>
    </row>
    <row r="496" s="5" customFormat="true" ht="15.75" hidden="false" customHeight="true" outlineLevel="0" collapsed="false">
      <c r="AA496" s="6"/>
      <c r="AB496" s="6"/>
      <c r="AC496" s="6"/>
      <c r="AD496" s="6"/>
      <c r="AE496" s="6"/>
      <c r="AF496" s="6"/>
    </row>
    <row r="497" s="5" customFormat="true" ht="15.75" hidden="false" customHeight="true" outlineLevel="0" collapsed="false">
      <c r="AA497" s="6"/>
      <c r="AB497" s="6"/>
      <c r="AC497" s="6"/>
      <c r="AD497" s="6"/>
      <c r="AE497" s="6"/>
      <c r="AF497" s="6"/>
    </row>
    <row r="498" s="5" customFormat="true" ht="15.75" hidden="false" customHeight="true" outlineLevel="0" collapsed="false">
      <c r="AA498" s="6"/>
      <c r="AB498" s="6"/>
      <c r="AC498" s="6"/>
      <c r="AD498" s="6"/>
      <c r="AE498" s="6"/>
      <c r="AF498" s="6"/>
    </row>
    <row r="499" s="5" customFormat="true" ht="15.75" hidden="false" customHeight="true" outlineLevel="0" collapsed="false">
      <c r="AA499" s="6"/>
      <c r="AB499" s="6"/>
      <c r="AC499" s="6"/>
      <c r="AD499" s="6"/>
      <c r="AE499" s="6"/>
      <c r="AF499" s="6"/>
    </row>
    <row r="500" s="5" customFormat="true" ht="15.75" hidden="false" customHeight="true" outlineLevel="0" collapsed="false">
      <c r="AA500" s="6"/>
      <c r="AB500" s="6"/>
      <c r="AC500" s="6"/>
      <c r="AD500" s="6"/>
      <c r="AE500" s="6"/>
      <c r="AF500" s="6"/>
    </row>
    <row r="501" s="5" customFormat="true" ht="15.75" hidden="false" customHeight="true" outlineLevel="0" collapsed="false">
      <c r="AA501" s="6"/>
      <c r="AB501" s="6"/>
      <c r="AC501" s="6"/>
      <c r="AD501" s="6"/>
      <c r="AE501" s="6"/>
      <c r="AF501" s="6"/>
    </row>
    <row r="502" s="5" customFormat="true" ht="15.75" hidden="false" customHeight="true" outlineLevel="0" collapsed="false">
      <c r="AA502" s="6"/>
      <c r="AB502" s="6"/>
      <c r="AC502" s="6"/>
      <c r="AD502" s="6"/>
      <c r="AE502" s="6"/>
      <c r="AF502" s="6"/>
    </row>
    <row r="503" s="5" customFormat="true" ht="15.75" hidden="false" customHeight="true" outlineLevel="0" collapsed="false">
      <c r="AA503" s="6"/>
      <c r="AB503" s="6"/>
      <c r="AC503" s="6"/>
      <c r="AD503" s="6"/>
      <c r="AE503" s="6"/>
      <c r="AF503" s="6"/>
    </row>
    <row r="504" s="5" customFormat="true" ht="15.75" hidden="false" customHeight="true" outlineLevel="0" collapsed="false">
      <c r="AA504" s="6"/>
      <c r="AB504" s="6"/>
      <c r="AC504" s="6"/>
      <c r="AD504" s="6"/>
      <c r="AE504" s="6"/>
      <c r="AF504" s="6"/>
    </row>
    <row r="505" s="5" customFormat="true" ht="15.75" hidden="false" customHeight="true" outlineLevel="0" collapsed="false">
      <c r="AA505" s="6"/>
      <c r="AB505" s="6"/>
      <c r="AC505" s="6"/>
      <c r="AD505" s="6"/>
      <c r="AE505" s="6"/>
      <c r="AF505" s="6"/>
    </row>
    <row r="506" s="5" customFormat="true" ht="15.75" hidden="false" customHeight="true" outlineLevel="0" collapsed="false">
      <c r="AA506" s="6"/>
      <c r="AB506" s="6"/>
      <c r="AC506" s="6"/>
      <c r="AD506" s="6"/>
      <c r="AE506" s="6"/>
      <c r="AF506" s="6"/>
    </row>
    <row r="507" s="5" customFormat="true" ht="15.75" hidden="false" customHeight="true" outlineLevel="0" collapsed="false">
      <c r="AA507" s="6"/>
      <c r="AB507" s="6"/>
      <c r="AC507" s="6"/>
      <c r="AD507" s="6"/>
      <c r="AE507" s="6"/>
      <c r="AF507" s="6"/>
    </row>
    <row r="508" s="5" customFormat="true" ht="15.75" hidden="false" customHeight="true" outlineLevel="0" collapsed="false">
      <c r="AA508" s="6"/>
      <c r="AB508" s="6"/>
      <c r="AC508" s="6"/>
      <c r="AD508" s="6"/>
      <c r="AE508" s="6"/>
      <c r="AF508" s="6"/>
    </row>
    <row r="509" s="5" customFormat="true" ht="15.75" hidden="false" customHeight="true" outlineLevel="0" collapsed="false">
      <c r="AA509" s="6"/>
      <c r="AB509" s="6"/>
      <c r="AC509" s="6"/>
      <c r="AD509" s="6"/>
      <c r="AE509" s="6"/>
      <c r="AF509" s="6"/>
    </row>
    <row r="510" s="5" customFormat="true" ht="15.75" hidden="false" customHeight="true" outlineLevel="0" collapsed="false">
      <c r="AA510" s="6"/>
      <c r="AB510" s="6"/>
      <c r="AC510" s="6"/>
      <c r="AD510" s="6"/>
      <c r="AE510" s="6"/>
      <c r="AF510" s="6"/>
    </row>
    <row r="511" s="5" customFormat="true" ht="15.75" hidden="false" customHeight="true" outlineLevel="0" collapsed="false">
      <c r="AA511" s="6"/>
      <c r="AB511" s="6"/>
      <c r="AC511" s="6"/>
      <c r="AD511" s="6"/>
      <c r="AE511" s="6"/>
      <c r="AF511" s="6"/>
    </row>
    <row r="512" s="5" customFormat="true" ht="15.75" hidden="false" customHeight="true" outlineLevel="0" collapsed="false">
      <c r="AA512" s="6"/>
      <c r="AB512" s="6"/>
      <c r="AC512" s="6"/>
      <c r="AD512" s="6"/>
      <c r="AE512" s="6"/>
      <c r="AF512" s="6"/>
    </row>
    <row r="513" s="5" customFormat="true" ht="15.75" hidden="false" customHeight="true" outlineLevel="0" collapsed="false">
      <c r="AA513" s="6"/>
      <c r="AB513" s="6"/>
      <c r="AC513" s="6"/>
      <c r="AD513" s="6"/>
      <c r="AE513" s="6"/>
      <c r="AF513" s="6"/>
    </row>
    <row r="514" s="5" customFormat="true" ht="15.75" hidden="false" customHeight="true" outlineLevel="0" collapsed="false">
      <c r="AA514" s="6"/>
      <c r="AB514" s="6"/>
      <c r="AC514" s="6"/>
      <c r="AD514" s="6"/>
      <c r="AE514" s="6"/>
      <c r="AF514" s="6"/>
    </row>
    <row r="515" s="5" customFormat="true" ht="15.75" hidden="false" customHeight="true" outlineLevel="0" collapsed="false">
      <c r="AA515" s="6"/>
      <c r="AB515" s="6"/>
      <c r="AC515" s="6"/>
      <c r="AD515" s="6"/>
      <c r="AE515" s="6"/>
      <c r="AF515" s="6"/>
    </row>
    <row r="516" s="5" customFormat="true" ht="15.75" hidden="false" customHeight="true" outlineLevel="0" collapsed="false">
      <c r="AA516" s="6"/>
      <c r="AB516" s="6"/>
      <c r="AC516" s="6"/>
      <c r="AD516" s="6"/>
      <c r="AE516" s="6"/>
      <c r="AF516" s="6"/>
    </row>
    <row r="517" s="5" customFormat="true" ht="15.75" hidden="false" customHeight="true" outlineLevel="0" collapsed="false">
      <c r="AA517" s="6"/>
      <c r="AB517" s="6"/>
      <c r="AC517" s="6"/>
      <c r="AD517" s="6"/>
      <c r="AE517" s="6"/>
      <c r="AF517" s="6"/>
    </row>
    <row r="518" s="5" customFormat="true" ht="15.75" hidden="false" customHeight="true" outlineLevel="0" collapsed="false">
      <c r="AA518" s="6"/>
      <c r="AB518" s="6"/>
      <c r="AC518" s="6"/>
      <c r="AD518" s="6"/>
      <c r="AE518" s="6"/>
      <c r="AF518" s="6"/>
    </row>
    <row r="519" s="5" customFormat="true" ht="15.75" hidden="false" customHeight="true" outlineLevel="0" collapsed="false">
      <c r="AA519" s="6"/>
      <c r="AB519" s="6"/>
      <c r="AC519" s="6"/>
      <c r="AD519" s="6"/>
      <c r="AE519" s="6"/>
      <c r="AF519" s="6"/>
    </row>
    <row r="520" s="5" customFormat="true" ht="15.75" hidden="false" customHeight="true" outlineLevel="0" collapsed="false">
      <c r="AA520" s="6"/>
      <c r="AB520" s="6"/>
      <c r="AC520" s="6"/>
      <c r="AD520" s="6"/>
      <c r="AE520" s="6"/>
      <c r="AF520" s="6"/>
    </row>
    <row r="521" s="5" customFormat="true" ht="15.75" hidden="false" customHeight="true" outlineLevel="0" collapsed="false">
      <c r="AA521" s="6"/>
      <c r="AB521" s="6"/>
      <c r="AC521" s="6"/>
      <c r="AD521" s="6"/>
      <c r="AE521" s="6"/>
      <c r="AF521" s="6"/>
    </row>
    <row r="522" s="5" customFormat="true" ht="15.75" hidden="false" customHeight="true" outlineLevel="0" collapsed="false">
      <c r="AA522" s="6"/>
      <c r="AB522" s="6"/>
      <c r="AC522" s="6"/>
      <c r="AD522" s="6"/>
      <c r="AE522" s="6"/>
      <c r="AF522" s="6"/>
    </row>
    <row r="523" s="5" customFormat="true" ht="15.75" hidden="false" customHeight="true" outlineLevel="0" collapsed="false">
      <c r="AA523" s="6"/>
      <c r="AB523" s="6"/>
      <c r="AC523" s="6"/>
      <c r="AD523" s="6"/>
      <c r="AE523" s="6"/>
      <c r="AF523" s="6"/>
    </row>
    <row r="524" s="5" customFormat="true" ht="15.75" hidden="false" customHeight="true" outlineLevel="0" collapsed="false">
      <c r="AA524" s="6"/>
      <c r="AB524" s="6"/>
      <c r="AC524" s="6"/>
      <c r="AD524" s="6"/>
      <c r="AE524" s="6"/>
      <c r="AF524" s="6"/>
    </row>
    <row r="525" s="5" customFormat="true" ht="15.75" hidden="false" customHeight="true" outlineLevel="0" collapsed="false">
      <c r="AA525" s="6"/>
      <c r="AB525" s="6"/>
      <c r="AC525" s="6"/>
      <c r="AD525" s="6"/>
      <c r="AE525" s="6"/>
      <c r="AF525" s="6"/>
    </row>
    <row r="526" s="5" customFormat="true" ht="15.75" hidden="false" customHeight="true" outlineLevel="0" collapsed="false">
      <c r="AA526" s="6"/>
      <c r="AB526" s="6"/>
      <c r="AC526" s="6"/>
      <c r="AD526" s="6"/>
      <c r="AE526" s="6"/>
      <c r="AF526" s="6"/>
    </row>
    <row r="527" s="5" customFormat="true" ht="15.75" hidden="false" customHeight="true" outlineLevel="0" collapsed="false">
      <c r="AA527" s="6"/>
      <c r="AB527" s="6"/>
      <c r="AC527" s="6"/>
      <c r="AD527" s="6"/>
      <c r="AE527" s="6"/>
      <c r="AF527" s="6"/>
    </row>
    <row r="528" s="5" customFormat="true" ht="15.75" hidden="false" customHeight="true" outlineLevel="0" collapsed="false">
      <c r="AA528" s="6"/>
      <c r="AB528" s="6"/>
      <c r="AC528" s="6"/>
      <c r="AD528" s="6"/>
      <c r="AE528" s="6"/>
      <c r="AF528" s="6"/>
    </row>
    <row r="529" s="5" customFormat="true" ht="15.75" hidden="false" customHeight="true" outlineLevel="0" collapsed="false">
      <c r="AA529" s="6"/>
      <c r="AB529" s="6"/>
      <c r="AC529" s="6"/>
      <c r="AD529" s="6"/>
      <c r="AE529" s="6"/>
      <c r="AF529" s="6"/>
    </row>
    <row r="530" s="5" customFormat="true" ht="15.75" hidden="false" customHeight="true" outlineLevel="0" collapsed="false">
      <c r="AA530" s="6"/>
      <c r="AB530" s="6"/>
      <c r="AC530" s="6"/>
      <c r="AD530" s="6"/>
      <c r="AE530" s="6"/>
      <c r="AF530" s="6"/>
    </row>
    <row r="531" s="5" customFormat="true" ht="15.75" hidden="false" customHeight="true" outlineLevel="0" collapsed="false">
      <c r="AA531" s="6"/>
      <c r="AB531" s="6"/>
      <c r="AC531" s="6"/>
      <c r="AD531" s="6"/>
      <c r="AE531" s="6"/>
      <c r="AF531" s="6"/>
    </row>
    <row r="532" s="5" customFormat="true" ht="15.75" hidden="false" customHeight="true" outlineLevel="0" collapsed="false">
      <c r="AA532" s="6"/>
      <c r="AB532" s="6"/>
      <c r="AC532" s="6"/>
      <c r="AD532" s="6"/>
      <c r="AE532" s="6"/>
      <c r="AF532" s="6"/>
    </row>
    <row r="533" s="5" customFormat="true" ht="15.75" hidden="false" customHeight="true" outlineLevel="0" collapsed="false">
      <c r="AA533" s="6"/>
      <c r="AB533" s="6"/>
      <c r="AC533" s="6"/>
      <c r="AD533" s="6"/>
      <c r="AE533" s="6"/>
      <c r="AF533" s="6"/>
    </row>
    <row r="534" s="5" customFormat="true" ht="15.75" hidden="false" customHeight="true" outlineLevel="0" collapsed="false">
      <c r="AA534" s="6"/>
      <c r="AB534" s="6"/>
      <c r="AC534" s="6"/>
      <c r="AD534" s="6"/>
      <c r="AE534" s="6"/>
      <c r="AF534" s="6"/>
    </row>
    <row r="535" s="5" customFormat="true" ht="15.75" hidden="false" customHeight="true" outlineLevel="0" collapsed="false">
      <c r="AA535" s="6"/>
      <c r="AB535" s="6"/>
      <c r="AC535" s="6"/>
      <c r="AD535" s="6"/>
      <c r="AE535" s="6"/>
      <c r="AF535" s="6"/>
    </row>
    <row r="536" s="5" customFormat="true" ht="15.75" hidden="false" customHeight="true" outlineLevel="0" collapsed="false">
      <c r="AA536" s="6"/>
      <c r="AB536" s="6"/>
      <c r="AC536" s="6"/>
      <c r="AD536" s="6"/>
      <c r="AE536" s="6"/>
      <c r="AF536" s="6"/>
    </row>
    <row r="537" s="5" customFormat="true" ht="15.75" hidden="false" customHeight="true" outlineLevel="0" collapsed="false">
      <c r="AA537" s="6"/>
      <c r="AB537" s="6"/>
      <c r="AC537" s="6"/>
      <c r="AD537" s="6"/>
      <c r="AE537" s="6"/>
      <c r="AF537" s="6"/>
    </row>
    <row r="538" s="5" customFormat="true" ht="15.75" hidden="false" customHeight="true" outlineLevel="0" collapsed="false">
      <c r="AA538" s="6"/>
      <c r="AB538" s="6"/>
      <c r="AC538" s="6"/>
      <c r="AD538" s="6"/>
      <c r="AE538" s="6"/>
      <c r="AF538" s="6"/>
    </row>
    <row r="539" s="5" customFormat="true" ht="15.75" hidden="false" customHeight="true" outlineLevel="0" collapsed="false">
      <c r="AA539" s="6"/>
      <c r="AB539" s="6"/>
      <c r="AC539" s="6"/>
      <c r="AD539" s="6"/>
      <c r="AE539" s="6"/>
      <c r="AF539" s="6"/>
    </row>
    <row r="540" s="5" customFormat="true" ht="15.75" hidden="false" customHeight="true" outlineLevel="0" collapsed="false">
      <c r="AA540" s="6"/>
      <c r="AB540" s="6"/>
      <c r="AC540" s="6"/>
      <c r="AD540" s="6"/>
      <c r="AE540" s="6"/>
      <c r="AF540" s="6"/>
    </row>
    <row r="541" s="5" customFormat="true" ht="15.75" hidden="false" customHeight="true" outlineLevel="0" collapsed="false">
      <c r="AA541" s="6"/>
      <c r="AB541" s="6"/>
      <c r="AC541" s="6"/>
      <c r="AD541" s="6"/>
      <c r="AE541" s="6"/>
      <c r="AF541" s="6"/>
    </row>
    <row r="542" s="5" customFormat="true" ht="15.75" hidden="false" customHeight="true" outlineLevel="0" collapsed="false">
      <c r="AA542" s="6"/>
      <c r="AB542" s="6"/>
      <c r="AC542" s="6"/>
      <c r="AD542" s="6"/>
      <c r="AE542" s="6"/>
      <c r="AF542" s="6"/>
    </row>
    <row r="543" s="5" customFormat="true" ht="15.75" hidden="false" customHeight="true" outlineLevel="0" collapsed="false">
      <c r="AA543" s="6"/>
      <c r="AB543" s="6"/>
      <c r="AC543" s="6"/>
      <c r="AD543" s="6"/>
      <c r="AE543" s="6"/>
      <c r="AF543" s="6"/>
    </row>
    <row r="544" s="5" customFormat="true" ht="15.75" hidden="false" customHeight="true" outlineLevel="0" collapsed="false">
      <c r="AA544" s="6"/>
      <c r="AB544" s="6"/>
      <c r="AC544" s="6"/>
      <c r="AD544" s="6"/>
      <c r="AE544" s="6"/>
      <c r="AF544" s="6"/>
    </row>
    <row r="545" s="5" customFormat="true" ht="15.75" hidden="false" customHeight="true" outlineLevel="0" collapsed="false">
      <c r="AA545" s="6"/>
      <c r="AB545" s="6"/>
      <c r="AC545" s="6"/>
      <c r="AD545" s="6"/>
      <c r="AE545" s="6"/>
      <c r="AF545" s="6"/>
    </row>
    <row r="546" s="5" customFormat="true" ht="15.75" hidden="false" customHeight="true" outlineLevel="0" collapsed="false">
      <c r="AA546" s="6"/>
      <c r="AB546" s="6"/>
      <c r="AC546" s="6"/>
      <c r="AD546" s="6"/>
      <c r="AE546" s="6"/>
      <c r="AF546" s="6"/>
    </row>
    <row r="547" s="5" customFormat="true" ht="15.75" hidden="false" customHeight="true" outlineLevel="0" collapsed="false">
      <c r="AA547" s="6"/>
      <c r="AB547" s="6"/>
      <c r="AC547" s="6"/>
      <c r="AD547" s="6"/>
      <c r="AE547" s="6"/>
      <c r="AF547" s="6"/>
    </row>
    <row r="548" s="5" customFormat="true" ht="15.75" hidden="false" customHeight="true" outlineLevel="0" collapsed="false">
      <c r="AA548" s="6"/>
      <c r="AB548" s="6"/>
      <c r="AC548" s="6"/>
      <c r="AD548" s="6"/>
      <c r="AE548" s="6"/>
      <c r="AF548" s="6"/>
    </row>
    <row r="549" s="5" customFormat="true" ht="15.75" hidden="false" customHeight="true" outlineLevel="0" collapsed="false">
      <c r="AA549" s="6"/>
      <c r="AB549" s="6"/>
      <c r="AC549" s="6"/>
      <c r="AD549" s="6"/>
      <c r="AE549" s="6"/>
      <c r="AF549" s="6"/>
    </row>
    <row r="550" s="5" customFormat="true" ht="15.75" hidden="false" customHeight="true" outlineLevel="0" collapsed="false">
      <c r="AA550" s="6"/>
      <c r="AB550" s="6"/>
      <c r="AC550" s="6"/>
      <c r="AD550" s="6"/>
      <c r="AE550" s="6"/>
      <c r="AF550" s="6"/>
    </row>
    <row r="551" s="5" customFormat="true" ht="15.75" hidden="false" customHeight="true" outlineLevel="0" collapsed="false">
      <c r="AA551" s="6"/>
      <c r="AB551" s="6"/>
      <c r="AC551" s="6"/>
      <c r="AD551" s="6"/>
      <c r="AE551" s="6"/>
      <c r="AF551" s="6"/>
    </row>
    <row r="552" s="5" customFormat="true" ht="15.75" hidden="false" customHeight="true" outlineLevel="0" collapsed="false">
      <c r="AA552" s="6"/>
      <c r="AB552" s="6"/>
      <c r="AC552" s="6"/>
      <c r="AD552" s="6"/>
      <c r="AE552" s="6"/>
      <c r="AF552" s="6"/>
    </row>
    <row r="553" s="5" customFormat="true" ht="15.75" hidden="false" customHeight="true" outlineLevel="0" collapsed="false">
      <c r="AA553" s="6"/>
      <c r="AB553" s="6"/>
      <c r="AC553" s="6"/>
      <c r="AD553" s="6"/>
      <c r="AE553" s="6"/>
      <c r="AF553" s="6"/>
    </row>
    <row r="554" s="5" customFormat="true" ht="15.75" hidden="false" customHeight="true" outlineLevel="0" collapsed="false">
      <c r="AA554" s="6"/>
      <c r="AB554" s="6"/>
      <c r="AC554" s="6"/>
      <c r="AD554" s="6"/>
      <c r="AE554" s="6"/>
      <c r="AF554" s="6"/>
    </row>
    <row r="555" s="5" customFormat="true" ht="15.75" hidden="false" customHeight="true" outlineLevel="0" collapsed="false">
      <c r="AA555" s="6"/>
      <c r="AB555" s="6"/>
      <c r="AC555" s="6"/>
      <c r="AD555" s="6"/>
      <c r="AE555" s="6"/>
      <c r="AF555" s="6"/>
    </row>
    <row r="556" s="5" customFormat="true" ht="15.75" hidden="false" customHeight="true" outlineLevel="0" collapsed="false">
      <c r="AA556" s="6"/>
      <c r="AB556" s="6"/>
      <c r="AC556" s="6"/>
      <c r="AD556" s="6"/>
      <c r="AE556" s="6"/>
      <c r="AF556" s="6"/>
    </row>
    <row r="557" s="5" customFormat="true" ht="15.75" hidden="false" customHeight="true" outlineLevel="0" collapsed="false">
      <c r="AA557" s="6"/>
      <c r="AB557" s="6"/>
      <c r="AC557" s="6"/>
      <c r="AD557" s="6"/>
      <c r="AE557" s="6"/>
      <c r="AF557" s="6"/>
    </row>
    <row r="558" s="5" customFormat="true" ht="15.75" hidden="false" customHeight="true" outlineLevel="0" collapsed="false">
      <c r="AA558" s="6"/>
      <c r="AB558" s="6"/>
      <c r="AC558" s="6"/>
      <c r="AD558" s="6"/>
      <c r="AE558" s="6"/>
      <c r="AF558" s="6"/>
    </row>
    <row r="559" s="5" customFormat="true" ht="15.75" hidden="false" customHeight="true" outlineLevel="0" collapsed="false">
      <c r="AA559" s="6"/>
      <c r="AB559" s="6"/>
      <c r="AC559" s="6"/>
      <c r="AD559" s="6"/>
      <c r="AE559" s="6"/>
      <c r="AF559" s="6"/>
    </row>
    <row r="560" s="5" customFormat="true" ht="15.75" hidden="false" customHeight="true" outlineLevel="0" collapsed="false">
      <c r="AA560" s="6"/>
      <c r="AB560" s="6"/>
      <c r="AC560" s="6"/>
      <c r="AD560" s="6"/>
      <c r="AE560" s="6"/>
      <c r="AF560" s="6"/>
    </row>
    <row r="561" s="5" customFormat="true" ht="15.75" hidden="false" customHeight="true" outlineLevel="0" collapsed="false">
      <c r="AA561" s="6"/>
      <c r="AB561" s="6"/>
      <c r="AC561" s="6"/>
      <c r="AD561" s="6"/>
      <c r="AE561" s="6"/>
      <c r="AF561" s="6"/>
    </row>
    <row r="562" s="5" customFormat="true" ht="15.75" hidden="false" customHeight="true" outlineLevel="0" collapsed="false">
      <c r="AA562" s="6"/>
      <c r="AB562" s="6"/>
      <c r="AC562" s="6"/>
      <c r="AD562" s="6"/>
      <c r="AE562" s="6"/>
      <c r="AF562" s="6"/>
    </row>
    <row r="563" s="5" customFormat="true" ht="15.75" hidden="false" customHeight="true" outlineLevel="0" collapsed="false">
      <c r="AA563" s="6"/>
      <c r="AB563" s="6"/>
      <c r="AC563" s="6"/>
      <c r="AD563" s="6"/>
      <c r="AE563" s="6"/>
      <c r="AF563" s="6"/>
    </row>
    <row r="564" s="5" customFormat="true" ht="15.75" hidden="false" customHeight="true" outlineLevel="0" collapsed="false">
      <c r="AA564" s="6"/>
      <c r="AB564" s="6"/>
      <c r="AC564" s="6"/>
      <c r="AD564" s="6"/>
      <c r="AE564" s="6"/>
      <c r="AF564" s="6"/>
    </row>
    <row r="565" s="5" customFormat="true" ht="15.75" hidden="false" customHeight="true" outlineLevel="0" collapsed="false">
      <c r="AA565" s="6"/>
      <c r="AB565" s="6"/>
      <c r="AC565" s="6"/>
      <c r="AD565" s="6"/>
      <c r="AE565" s="6"/>
      <c r="AF565" s="6"/>
    </row>
    <row r="566" s="5" customFormat="true" ht="15.75" hidden="false" customHeight="true" outlineLevel="0" collapsed="false">
      <c r="AA566" s="6"/>
      <c r="AB566" s="6"/>
      <c r="AC566" s="6"/>
      <c r="AD566" s="6"/>
      <c r="AE566" s="6"/>
      <c r="AF566" s="6"/>
    </row>
    <row r="567" s="5" customFormat="true" ht="15.75" hidden="false" customHeight="true" outlineLevel="0" collapsed="false">
      <c r="AA567" s="6"/>
      <c r="AB567" s="6"/>
      <c r="AC567" s="6"/>
      <c r="AD567" s="6"/>
      <c r="AE567" s="6"/>
      <c r="AF567" s="6"/>
    </row>
    <row r="568" s="5" customFormat="true" ht="15.75" hidden="false" customHeight="true" outlineLevel="0" collapsed="false">
      <c r="AA568" s="6"/>
      <c r="AB568" s="6"/>
      <c r="AC568" s="6"/>
      <c r="AD568" s="6"/>
      <c r="AE568" s="6"/>
      <c r="AF568" s="6"/>
    </row>
    <row r="569" s="5" customFormat="true" ht="15.75" hidden="false" customHeight="true" outlineLevel="0" collapsed="false">
      <c r="AA569" s="6"/>
      <c r="AB569" s="6"/>
      <c r="AC569" s="6"/>
      <c r="AD569" s="6"/>
      <c r="AE569" s="6"/>
      <c r="AF569" s="6"/>
    </row>
    <row r="570" s="5" customFormat="true" ht="15.75" hidden="false" customHeight="true" outlineLevel="0" collapsed="false">
      <c r="AA570" s="6"/>
      <c r="AB570" s="6"/>
      <c r="AC570" s="6"/>
      <c r="AD570" s="6"/>
      <c r="AE570" s="6"/>
      <c r="AF570" s="6"/>
    </row>
    <row r="571" s="5" customFormat="true" ht="15.75" hidden="false" customHeight="true" outlineLevel="0" collapsed="false">
      <c r="AA571" s="6"/>
      <c r="AB571" s="6"/>
      <c r="AC571" s="6"/>
      <c r="AD571" s="6"/>
      <c r="AE571" s="6"/>
      <c r="AF571" s="6"/>
    </row>
    <row r="572" s="5" customFormat="true" ht="15.75" hidden="false" customHeight="true" outlineLevel="0" collapsed="false">
      <c r="AA572" s="6"/>
      <c r="AB572" s="6"/>
      <c r="AC572" s="6"/>
      <c r="AD572" s="6"/>
      <c r="AE572" s="6"/>
      <c r="AF572" s="6"/>
    </row>
    <row r="573" s="5" customFormat="true" ht="15.75" hidden="false" customHeight="true" outlineLevel="0" collapsed="false">
      <c r="AA573" s="6"/>
      <c r="AB573" s="6"/>
      <c r="AC573" s="6"/>
      <c r="AD573" s="6"/>
      <c r="AE573" s="6"/>
      <c r="AF573" s="6"/>
    </row>
    <row r="574" s="5" customFormat="true" ht="15.75" hidden="false" customHeight="true" outlineLevel="0" collapsed="false">
      <c r="AA574" s="6"/>
      <c r="AB574" s="6"/>
      <c r="AC574" s="6"/>
      <c r="AD574" s="6"/>
      <c r="AE574" s="6"/>
      <c r="AF574" s="6"/>
    </row>
    <row r="575" s="5" customFormat="true" ht="15.75" hidden="false" customHeight="true" outlineLevel="0" collapsed="false">
      <c r="AA575" s="6"/>
      <c r="AB575" s="6"/>
      <c r="AC575" s="6"/>
      <c r="AD575" s="6"/>
      <c r="AE575" s="6"/>
      <c r="AF575" s="6"/>
    </row>
    <row r="576" s="5" customFormat="true" ht="15.75" hidden="false" customHeight="true" outlineLevel="0" collapsed="false">
      <c r="AA576" s="6"/>
      <c r="AB576" s="6"/>
      <c r="AC576" s="6"/>
      <c r="AD576" s="6"/>
      <c r="AE576" s="6"/>
      <c r="AF576" s="6"/>
    </row>
    <row r="577" s="5" customFormat="true" ht="15.75" hidden="false" customHeight="true" outlineLevel="0" collapsed="false">
      <c r="AA577" s="6"/>
      <c r="AB577" s="6"/>
      <c r="AC577" s="6"/>
      <c r="AD577" s="6"/>
      <c r="AE577" s="6"/>
      <c r="AF577" s="6"/>
    </row>
    <row r="578" s="5" customFormat="true" ht="15.75" hidden="false" customHeight="true" outlineLevel="0" collapsed="false">
      <c r="AA578" s="6"/>
      <c r="AB578" s="6"/>
      <c r="AC578" s="6"/>
      <c r="AD578" s="6"/>
      <c r="AE578" s="6"/>
      <c r="AF578" s="6"/>
    </row>
    <row r="579" s="5" customFormat="true" ht="15.75" hidden="false" customHeight="true" outlineLevel="0" collapsed="false">
      <c r="AA579" s="6"/>
      <c r="AB579" s="6"/>
      <c r="AC579" s="6"/>
      <c r="AD579" s="6"/>
      <c r="AE579" s="6"/>
      <c r="AF579" s="6"/>
    </row>
    <row r="580" s="5" customFormat="true" ht="15.75" hidden="false" customHeight="true" outlineLevel="0" collapsed="false">
      <c r="AA580" s="6"/>
      <c r="AB580" s="6"/>
      <c r="AC580" s="6"/>
      <c r="AD580" s="6"/>
      <c r="AE580" s="6"/>
      <c r="AF580" s="6"/>
    </row>
    <row r="581" s="5" customFormat="true" ht="15.75" hidden="false" customHeight="true" outlineLevel="0" collapsed="false">
      <c r="AA581" s="6"/>
      <c r="AB581" s="6"/>
      <c r="AC581" s="6"/>
      <c r="AD581" s="6"/>
      <c r="AE581" s="6"/>
      <c r="AF581" s="6"/>
    </row>
    <row r="582" s="5" customFormat="true" ht="15.75" hidden="false" customHeight="true" outlineLevel="0" collapsed="false">
      <c r="AA582" s="6"/>
      <c r="AB582" s="6"/>
      <c r="AC582" s="6"/>
      <c r="AD582" s="6"/>
      <c r="AE582" s="6"/>
      <c r="AF582" s="6"/>
    </row>
    <row r="583" s="5" customFormat="true" ht="15.75" hidden="false" customHeight="true" outlineLevel="0" collapsed="false">
      <c r="AA583" s="6"/>
      <c r="AB583" s="6"/>
      <c r="AC583" s="6"/>
      <c r="AD583" s="6"/>
      <c r="AE583" s="6"/>
      <c r="AF583" s="6"/>
    </row>
    <row r="584" s="5" customFormat="true" ht="15.75" hidden="false" customHeight="true" outlineLevel="0" collapsed="false">
      <c r="AA584" s="6"/>
      <c r="AB584" s="6"/>
      <c r="AC584" s="6"/>
      <c r="AD584" s="6"/>
      <c r="AE584" s="6"/>
      <c r="AF584" s="6"/>
    </row>
    <row r="585" s="5" customFormat="true" ht="15.75" hidden="false" customHeight="true" outlineLevel="0" collapsed="false">
      <c r="AA585" s="6"/>
      <c r="AB585" s="6"/>
      <c r="AC585" s="6"/>
      <c r="AD585" s="6"/>
      <c r="AE585" s="6"/>
      <c r="AF585" s="6"/>
    </row>
    <row r="586" s="5" customFormat="true" ht="15.75" hidden="false" customHeight="true" outlineLevel="0" collapsed="false">
      <c r="AA586" s="6"/>
      <c r="AB586" s="6"/>
      <c r="AC586" s="6"/>
      <c r="AD586" s="6"/>
      <c r="AE586" s="6"/>
      <c r="AF586" s="6"/>
    </row>
    <row r="587" s="5" customFormat="true" ht="15.75" hidden="false" customHeight="true" outlineLevel="0" collapsed="false">
      <c r="AA587" s="6"/>
      <c r="AB587" s="6"/>
      <c r="AC587" s="6"/>
      <c r="AD587" s="6"/>
      <c r="AE587" s="6"/>
      <c r="AF587" s="6"/>
    </row>
    <row r="588" s="5" customFormat="true" ht="15.75" hidden="false" customHeight="true" outlineLevel="0" collapsed="false">
      <c r="AA588" s="6"/>
      <c r="AB588" s="6"/>
      <c r="AC588" s="6"/>
      <c r="AD588" s="6"/>
      <c r="AE588" s="6"/>
      <c r="AF588" s="6"/>
    </row>
    <row r="589" s="5" customFormat="true" ht="15.75" hidden="false" customHeight="true" outlineLevel="0" collapsed="false">
      <c r="AA589" s="6"/>
      <c r="AB589" s="6"/>
      <c r="AC589" s="6"/>
      <c r="AD589" s="6"/>
      <c r="AE589" s="6"/>
      <c r="AF589" s="6"/>
    </row>
    <row r="590" s="5" customFormat="true" ht="15.75" hidden="false" customHeight="true" outlineLevel="0" collapsed="false">
      <c r="AA590" s="6"/>
      <c r="AB590" s="6"/>
      <c r="AC590" s="6"/>
      <c r="AD590" s="6"/>
      <c r="AE590" s="6"/>
      <c r="AF590" s="6"/>
    </row>
    <row r="591" s="5" customFormat="true" ht="15.75" hidden="false" customHeight="true" outlineLevel="0" collapsed="false">
      <c r="AA591" s="6"/>
      <c r="AB591" s="6"/>
      <c r="AC591" s="6"/>
      <c r="AD591" s="6"/>
      <c r="AE591" s="6"/>
      <c r="AF591" s="6"/>
    </row>
    <row r="592" s="5" customFormat="true" ht="15.75" hidden="false" customHeight="true" outlineLevel="0" collapsed="false">
      <c r="AA592" s="6"/>
      <c r="AB592" s="6"/>
      <c r="AC592" s="6"/>
      <c r="AD592" s="6"/>
      <c r="AE592" s="6"/>
      <c r="AF592" s="6"/>
    </row>
    <row r="593" s="5" customFormat="true" ht="15.75" hidden="false" customHeight="true" outlineLevel="0" collapsed="false">
      <c r="AA593" s="6"/>
      <c r="AB593" s="6"/>
      <c r="AC593" s="6"/>
      <c r="AD593" s="6"/>
      <c r="AE593" s="6"/>
      <c r="AF593" s="6"/>
    </row>
    <row r="594" s="5" customFormat="true" ht="15.75" hidden="false" customHeight="true" outlineLevel="0" collapsed="false">
      <c r="AA594" s="6"/>
      <c r="AB594" s="6"/>
      <c r="AC594" s="6"/>
      <c r="AD594" s="6"/>
      <c r="AE594" s="6"/>
      <c r="AF594" s="6"/>
    </row>
    <row r="595" s="5" customFormat="true" ht="15.75" hidden="false" customHeight="true" outlineLevel="0" collapsed="false">
      <c r="AA595" s="6"/>
      <c r="AB595" s="6"/>
      <c r="AC595" s="6"/>
      <c r="AD595" s="6"/>
      <c r="AE595" s="6"/>
      <c r="AF595" s="6"/>
    </row>
    <row r="596" s="5" customFormat="true" ht="15.75" hidden="false" customHeight="true" outlineLevel="0" collapsed="false">
      <c r="AA596" s="6"/>
      <c r="AB596" s="6"/>
      <c r="AC596" s="6"/>
      <c r="AD596" s="6"/>
      <c r="AE596" s="6"/>
      <c r="AF596" s="6"/>
    </row>
    <row r="597" s="5" customFormat="true" ht="15.75" hidden="false" customHeight="true" outlineLevel="0" collapsed="false">
      <c r="AA597" s="6"/>
      <c r="AB597" s="6"/>
      <c r="AC597" s="6"/>
      <c r="AD597" s="6"/>
      <c r="AE597" s="6"/>
      <c r="AF597" s="6"/>
    </row>
    <row r="598" s="5" customFormat="true" ht="15.75" hidden="false" customHeight="true" outlineLevel="0" collapsed="false">
      <c r="AA598" s="6"/>
      <c r="AB598" s="6"/>
      <c r="AC598" s="6"/>
      <c r="AD598" s="6"/>
      <c r="AE598" s="6"/>
      <c r="AF598" s="6"/>
    </row>
    <row r="599" s="5" customFormat="true" ht="15.75" hidden="false" customHeight="true" outlineLevel="0" collapsed="false">
      <c r="AA599" s="6"/>
      <c r="AB599" s="6"/>
      <c r="AC599" s="6"/>
      <c r="AD599" s="6"/>
      <c r="AE599" s="6"/>
      <c r="AF599" s="6"/>
    </row>
    <row r="600" s="5" customFormat="true" ht="15.75" hidden="false" customHeight="true" outlineLevel="0" collapsed="false">
      <c r="AA600" s="6"/>
      <c r="AB600" s="6"/>
      <c r="AC600" s="6"/>
      <c r="AD600" s="6"/>
      <c r="AE600" s="6"/>
      <c r="AF600" s="6"/>
    </row>
    <row r="601" s="5" customFormat="true" ht="15.75" hidden="false" customHeight="true" outlineLevel="0" collapsed="false">
      <c r="AA601" s="6"/>
      <c r="AB601" s="6"/>
      <c r="AC601" s="6"/>
      <c r="AD601" s="6"/>
      <c r="AE601" s="6"/>
      <c r="AF601" s="6"/>
    </row>
    <row r="602" s="5" customFormat="true" ht="15.75" hidden="false" customHeight="true" outlineLevel="0" collapsed="false">
      <c r="AA602" s="6"/>
      <c r="AB602" s="6"/>
      <c r="AC602" s="6"/>
      <c r="AD602" s="6"/>
      <c r="AE602" s="6"/>
      <c r="AF602" s="6"/>
    </row>
    <row r="603" s="5" customFormat="true" ht="15.75" hidden="false" customHeight="true" outlineLevel="0" collapsed="false">
      <c r="AA603" s="6"/>
      <c r="AB603" s="6"/>
      <c r="AC603" s="6"/>
      <c r="AD603" s="6"/>
      <c r="AE603" s="6"/>
      <c r="AF603" s="6"/>
    </row>
    <row r="604" s="5" customFormat="true" ht="15.75" hidden="false" customHeight="true" outlineLevel="0" collapsed="false">
      <c r="AA604" s="6"/>
      <c r="AB604" s="6"/>
      <c r="AC604" s="6"/>
      <c r="AD604" s="6"/>
      <c r="AE604" s="6"/>
      <c r="AF604" s="6"/>
    </row>
    <row r="605" s="5" customFormat="true" ht="15.75" hidden="false" customHeight="true" outlineLevel="0" collapsed="false">
      <c r="AA605" s="6"/>
      <c r="AB605" s="6"/>
      <c r="AC605" s="6"/>
      <c r="AD605" s="6"/>
      <c r="AE605" s="6"/>
      <c r="AF605" s="6"/>
    </row>
    <row r="606" s="5" customFormat="true" ht="15.75" hidden="false" customHeight="true" outlineLevel="0" collapsed="false">
      <c r="AA606" s="6"/>
      <c r="AB606" s="6"/>
      <c r="AC606" s="6"/>
      <c r="AD606" s="6"/>
      <c r="AE606" s="6"/>
      <c r="AF606" s="6"/>
    </row>
    <row r="607" s="5" customFormat="true" ht="15.75" hidden="false" customHeight="true" outlineLevel="0" collapsed="false">
      <c r="AA607" s="6"/>
      <c r="AB607" s="6"/>
      <c r="AC607" s="6"/>
      <c r="AD607" s="6"/>
      <c r="AE607" s="6"/>
      <c r="AF607" s="6"/>
    </row>
    <row r="608" s="5" customFormat="true" ht="15.75" hidden="false" customHeight="true" outlineLevel="0" collapsed="false">
      <c r="AA608" s="6"/>
      <c r="AB608" s="6"/>
      <c r="AC608" s="6"/>
      <c r="AD608" s="6"/>
      <c r="AE608" s="6"/>
      <c r="AF608" s="6"/>
    </row>
    <row r="609" s="5" customFormat="true" ht="15.75" hidden="false" customHeight="true" outlineLevel="0" collapsed="false">
      <c r="AA609" s="6"/>
      <c r="AB609" s="6"/>
      <c r="AC609" s="6"/>
      <c r="AD609" s="6"/>
      <c r="AE609" s="6"/>
      <c r="AF609" s="6"/>
    </row>
    <row r="610" s="5" customFormat="true" ht="15.75" hidden="false" customHeight="true" outlineLevel="0" collapsed="false">
      <c r="AA610" s="6"/>
      <c r="AB610" s="6"/>
      <c r="AC610" s="6"/>
      <c r="AD610" s="6"/>
      <c r="AE610" s="6"/>
      <c r="AF610" s="6"/>
    </row>
    <row r="611" s="5" customFormat="true" ht="15.75" hidden="false" customHeight="true" outlineLevel="0" collapsed="false">
      <c r="AA611" s="6"/>
      <c r="AB611" s="6"/>
      <c r="AC611" s="6"/>
      <c r="AD611" s="6"/>
      <c r="AE611" s="6"/>
      <c r="AF611" s="6"/>
    </row>
    <row r="612" s="5" customFormat="true" ht="15.75" hidden="false" customHeight="true" outlineLevel="0" collapsed="false">
      <c r="AA612" s="6"/>
      <c r="AB612" s="6"/>
      <c r="AC612" s="6"/>
      <c r="AD612" s="6"/>
      <c r="AE612" s="6"/>
      <c r="AF612" s="6"/>
    </row>
    <row r="613" s="5" customFormat="true" ht="15.75" hidden="false" customHeight="true" outlineLevel="0" collapsed="false">
      <c r="AA613" s="6"/>
      <c r="AB613" s="6"/>
      <c r="AC613" s="6"/>
      <c r="AD613" s="6"/>
      <c r="AE613" s="6"/>
      <c r="AF613" s="6"/>
    </row>
    <row r="614" s="5" customFormat="true" ht="15.75" hidden="false" customHeight="true" outlineLevel="0" collapsed="false">
      <c r="AA614" s="6"/>
      <c r="AB614" s="6"/>
      <c r="AC614" s="6"/>
      <c r="AD614" s="6"/>
      <c r="AE614" s="6"/>
      <c r="AF614" s="6"/>
    </row>
    <row r="615" s="5" customFormat="true" ht="15.75" hidden="false" customHeight="true" outlineLevel="0" collapsed="false">
      <c r="AA615" s="6"/>
      <c r="AB615" s="6"/>
      <c r="AC615" s="6"/>
      <c r="AD615" s="6"/>
      <c r="AE615" s="6"/>
      <c r="AF615" s="6"/>
    </row>
    <row r="616" s="5" customFormat="true" ht="15.75" hidden="false" customHeight="true" outlineLevel="0" collapsed="false">
      <c r="AA616" s="6"/>
      <c r="AB616" s="6"/>
      <c r="AC616" s="6"/>
      <c r="AD616" s="6"/>
      <c r="AE616" s="6"/>
      <c r="AF616" s="6"/>
    </row>
    <row r="617" s="5" customFormat="true" ht="15.75" hidden="false" customHeight="true" outlineLevel="0" collapsed="false">
      <c r="AA617" s="6"/>
      <c r="AB617" s="6"/>
      <c r="AC617" s="6"/>
      <c r="AD617" s="6"/>
      <c r="AE617" s="6"/>
      <c r="AF617" s="6"/>
    </row>
    <row r="618" s="5" customFormat="true" ht="15.75" hidden="false" customHeight="true" outlineLevel="0" collapsed="false">
      <c r="AA618" s="6"/>
      <c r="AB618" s="6"/>
      <c r="AC618" s="6"/>
      <c r="AD618" s="6"/>
      <c r="AE618" s="6"/>
      <c r="AF618" s="6"/>
    </row>
    <row r="619" s="5" customFormat="true" ht="15.75" hidden="false" customHeight="true" outlineLevel="0" collapsed="false">
      <c r="AA619" s="6"/>
      <c r="AB619" s="6"/>
      <c r="AC619" s="6"/>
      <c r="AD619" s="6"/>
      <c r="AE619" s="6"/>
      <c r="AF619" s="6"/>
    </row>
    <row r="620" s="5" customFormat="true" ht="15.75" hidden="false" customHeight="true" outlineLevel="0" collapsed="false">
      <c r="AA620" s="6"/>
      <c r="AB620" s="6"/>
      <c r="AC620" s="6"/>
      <c r="AD620" s="6"/>
      <c r="AE620" s="6"/>
      <c r="AF620" s="6"/>
    </row>
    <row r="621" s="5" customFormat="true" ht="15.75" hidden="false" customHeight="true" outlineLevel="0" collapsed="false">
      <c r="AA621" s="6"/>
      <c r="AB621" s="6"/>
      <c r="AC621" s="6"/>
      <c r="AD621" s="6"/>
      <c r="AE621" s="6"/>
      <c r="AF621" s="6"/>
    </row>
    <row r="622" s="5" customFormat="true" ht="15.75" hidden="false" customHeight="true" outlineLevel="0" collapsed="false">
      <c r="AA622" s="6"/>
      <c r="AB622" s="6"/>
      <c r="AC622" s="6"/>
      <c r="AD622" s="6"/>
      <c r="AE622" s="6"/>
      <c r="AF622" s="6"/>
    </row>
    <row r="623" s="5" customFormat="true" ht="15.75" hidden="false" customHeight="true" outlineLevel="0" collapsed="false">
      <c r="AA623" s="6"/>
      <c r="AB623" s="6"/>
      <c r="AC623" s="6"/>
      <c r="AD623" s="6"/>
      <c r="AE623" s="6"/>
      <c r="AF623" s="6"/>
    </row>
    <row r="624" s="5" customFormat="true" ht="15.75" hidden="false" customHeight="true" outlineLevel="0" collapsed="false">
      <c r="AA624" s="6"/>
      <c r="AB624" s="6"/>
      <c r="AC624" s="6"/>
      <c r="AD624" s="6"/>
      <c r="AE624" s="6"/>
      <c r="AF624" s="6"/>
    </row>
    <row r="625" s="5" customFormat="true" ht="15.75" hidden="false" customHeight="true" outlineLevel="0" collapsed="false">
      <c r="AA625" s="6"/>
      <c r="AB625" s="6"/>
      <c r="AC625" s="6"/>
      <c r="AD625" s="6"/>
      <c r="AE625" s="6"/>
      <c r="AF625" s="6"/>
    </row>
    <row r="626" s="5" customFormat="true" ht="15.75" hidden="false" customHeight="true" outlineLevel="0" collapsed="false">
      <c r="AA626" s="6"/>
      <c r="AB626" s="6"/>
      <c r="AC626" s="6"/>
      <c r="AD626" s="6"/>
      <c r="AE626" s="6"/>
      <c r="AF626" s="6"/>
    </row>
    <row r="627" s="5" customFormat="true" ht="15.75" hidden="false" customHeight="true" outlineLevel="0" collapsed="false">
      <c r="AA627" s="6"/>
      <c r="AB627" s="6"/>
      <c r="AC627" s="6"/>
      <c r="AD627" s="6"/>
      <c r="AE627" s="6"/>
      <c r="AF627" s="6"/>
    </row>
    <row r="628" s="5" customFormat="true" ht="15.75" hidden="false" customHeight="true" outlineLevel="0" collapsed="false">
      <c r="AA628" s="6"/>
      <c r="AB628" s="6"/>
      <c r="AC628" s="6"/>
      <c r="AD628" s="6"/>
      <c r="AE628" s="6"/>
      <c r="AF628" s="6"/>
    </row>
    <row r="629" s="5" customFormat="true" ht="15.75" hidden="false" customHeight="true" outlineLevel="0" collapsed="false">
      <c r="AA629" s="6"/>
      <c r="AB629" s="6"/>
      <c r="AC629" s="6"/>
      <c r="AD629" s="6"/>
      <c r="AE629" s="6"/>
      <c r="AF629" s="6"/>
    </row>
    <row r="630" s="5" customFormat="true" ht="15.75" hidden="false" customHeight="true" outlineLevel="0" collapsed="false">
      <c r="AA630" s="6"/>
      <c r="AB630" s="6"/>
      <c r="AC630" s="6"/>
      <c r="AD630" s="6"/>
      <c r="AE630" s="6"/>
      <c r="AF630" s="6"/>
    </row>
    <row r="631" s="5" customFormat="true" ht="15.75" hidden="false" customHeight="true" outlineLevel="0" collapsed="false">
      <c r="AA631" s="6"/>
      <c r="AB631" s="6"/>
      <c r="AC631" s="6"/>
      <c r="AD631" s="6"/>
      <c r="AE631" s="6"/>
      <c r="AF631" s="6"/>
    </row>
    <row r="632" s="5" customFormat="true" ht="15.75" hidden="false" customHeight="true" outlineLevel="0" collapsed="false">
      <c r="AA632" s="6"/>
      <c r="AB632" s="6"/>
      <c r="AC632" s="6"/>
      <c r="AD632" s="6"/>
      <c r="AE632" s="6"/>
      <c r="AF632" s="6"/>
    </row>
    <row r="633" s="5" customFormat="true" ht="15.75" hidden="false" customHeight="true" outlineLevel="0" collapsed="false">
      <c r="AA633" s="6"/>
      <c r="AB633" s="6"/>
      <c r="AC633" s="6"/>
      <c r="AD633" s="6"/>
      <c r="AE633" s="6"/>
      <c r="AF633" s="6"/>
    </row>
    <row r="634" s="5" customFormat="true" ht="15.75" hidden="false" customHeight="true" outlineLevel="0" collapsed="false">
      <c r="AA634" s="6"/>
      <c r="AB634" s="6"/>
      <c r="AC634" s="6"/>
      <c r="AD634" s="6"/>
      <c r="AE634" s="6"/>
      <c r="AF634" s="6"/>
    </row>
    <row r="635" s="5" customFormat="true" ht="15.75" hidden="false" customHeight="true" outlineLevel="0" collapsed="false">
      <c r="AA635" s="6"/>
      <c r="AB635" s="6"/>
      <c r="AC635" s="6"/>
      <c r="AD635" s="6"/>
      <c r="AE635" s="6"/>
      <c r="AF635" s="6"/>
    </row>
    <row r="636" s="5" customFormat="true" ht="15.75" hidden="false" customHeight="true" outlineLevel="0" collapsed="false">
      <c r="AA636" s="6"/>
      <c r="AB636" s="6"/>
      <c r="AC636" s="6"/>
      <c r="AD636" s="6"/>
      <c r="AE636" s="6"/>
      <c r="AF636" s="6"/>
    </row>
    <row r="637" s="5" customFormat="true" ht="15.75" hidden="false" customHeight="true" outlineLevel="0" collapsed="false">
      <c r="AA637" s="6"/>
      <c r="AB637" s="6"/>
      <c r="AC637" s="6"/>
      <c r="AD637" s="6"/>
      <c r="AE637" s="6"/>
      <c r="AF637" s="6"/>
    </row>
    <row r="638" s="5" customFormat="true" ht="15.75" hidden="false" customHeight="true" outlineLevel="0" collapsed="false">
      <c r="AA638" s="6"/>
      <c r="AB638" s="6"/>
      <c r="AC638" s="6"/>
      <c r="AD638" s="6"/>
      <c r="AE638" s="6"/>
      <c r="AF638" s="6"/>
    </row>
    <row r="639" s="5" customFormat="true" ht="15.75" hidden="false" customHeight="true" outlineLevel="0" collapsed="false">
      <c r="AA639" s="6"/>
      <c r="AB639" s="6"/>
      <c r="AC639" s="6"/>
      <c r="AD639" s="6"/>
      <c r="AE639" s="6"/>
      <c r="AF639" s="6"/>
    </row>
    <row r="640" s="5" customFormat="true" ht="15.75" hidden="false" customHeight="true" outlineLevel="0" collapsed="false">
      <c r="AA640" s="6"/>
      <c r="AB640" s="6"/>
      <c r="AC640" s="6"/>
      <c r="AD640" s="6"/>
      <c r="AE640" s="6"/>
      <c r="AF640" s="6"/>
    </row>
    <row r="641" s="5" customFormat="true" ht="15.75" hidden="false" customHeight="true" outlineLevel="0" collapsed="false">
      <c r="AA641" s="6"/>
      <c r="AB641" s="6"/>
      <c r="AC641" s="6"/>
      <c r="AD641" s="6"/>
      <c r="AE641" s="6"/>
      <c r="AF641" s="6"/>
    </row>
    <row r="642" s="5" customFormat="true" ht="15.75" hidden="false" customHeight="true" outlineLevel="0" collapsed="false">
      <c r="AA642" s="6"/>
      <c r="AB642" s="6"/>
      <c r="AC642" s="6"/>
      <c r="AD642" s="6"/>
      <c r="AE642" s="6"/>
      <c r="AF642" s="6"/>
    </row>
    <row r="643" s="5" customFormat="true" ht="15.75" hidden="false" customHeight="true" outlineLevel="0" collapsed="false">
      <c r="AA643" s="6"/>
      <c r="AB643" s="6"/>
      <c r="AC643" s="6"/>
      <c r="AD643" s="6"/>
      <c r="AE643" s="6"/>
      <c r="AF643" s="6"/>
    </row>
    <row r="644" s="5" customFormat="true" ht="15.75" hidden="false" customHeight="true" outlineLevel="0" collapsed="false">
      <c r="AA644" s="6"/>
      <c r="AB644" s="6"/>
      <c r="AC644" s="6"/>
      <c r="AD644" s="6"/>
      <c r="AE644" s="6"/>
      <c r="AF644" s="6"/>
    </row>
    <row r="645" s="5" customFormat="true" ht="15.75" hidden="false" customHeight="true" outlineLevel="0" collapsed="false">
      <c r="AA645" s="6"/>
      <c r="AB645" s="6"/>
      <c r="AC645" s="6"/>
      <c r="AD645" s="6"/>
      <c r="AE645" s="6"/>
      <c r="AF645" s="6"/>
    </row>
    <row r="646" s="5" customFormat="true" ht="15.75" hidden="false" customHeight="true" outlineLevel="0" collapsed="false">
      <c r="AA646" s="6"/>
      <c r="AB646" s="6"/>
      <c r="AC646" s="6"/>
      <c r="AD646" s="6"/>
      <c r="AE646" s="6"/>
      <c r="AF646" s="6"/>
    </row>
    <row r="647" s="5" customFormat="true" ht="15.75" hidden="false" customHeight="true" outlineLevel="0" collapsed="false">
      <c r="AA647" s="6"/>
      <c r="AB647" s="6"/>
      <c r="AC647" s="6"/>
      <c r="AD647" s="6"/>
      <c r="AE647" s="6"/>
      <c r="AF647" s="6"/>
    </row>
    <row r="648" s="5" customFormat="true" ht="15.75" hidden="false" customHeight="true" outlineLevel="0" collapsed="false">
      <c r="AA648" s="6"/>
      <c r="AB648" s="6"/>
      <c r="AC648" s="6"/>
      <c r="AD648" s="6"/>
      <c r="AE648" s="6"/>
      <c r="AF648" s="6"/>
    </row>
    <row r="649" s="5" customFormat="true" ht="15.75" hidden="false" customHeight="true" outlineLevel="0" collapsed="false">
      <c r="AA649" s="6"/>
      <c r="AB649" s="6"/>
      <c r="AC649" s="6"/>
      <c r="AD649" s="6"/>
      <c r="AE649" s="6"/>
      <c r="AF649" s="6"/>
    </row>
    <row r="650" s="5" customFormat="true" ht="15.75" hidden="false" customHeight="true" outlineLevel="0" collapsed="false">
      <c r="AA650" s="6"/>
      <c r="AB650" s="6"/>
      <c r="AC650" s="6"/>
      <c r="AD650" s="6"/>
      <c r="AE650" s="6"/>
      <c r="AF650" s="6"/>
    </row>
    <row r="651" s="5" customFormat="true" ht="15.75" hidden="false" customHeight="true" outlineLevel="0" collapsed="false">
      <c r="AA651" s="6"/>
      <c r="AB651" s="6"/>
      <c r="AC651" s="6"/>
      <c r="AD651" s="6"/>
      <c r="AE651" s="6"/>
      <c r="AF651" s="6"/>
    </row>
    <row r="652" s="5" customFormat="true" ht="15.75" hidden="false" customHeight="true" outlineLevel="0" collapsed="false">
      <c r="AA652" s="6"/>
      <c r="AB652" s="6"/>
      <c r="AC652" s="6"/>
      <c r="AD652" s="6"/>
      <c r="AE652" s="6"/>
      <c r="AF652" s="6"/>
    </row>
    <row r="653" s="5" customFormat="true" ht="15.75" hidden="false" customHeight="true" outlineLevel="0" collapsed="false">
      <c r="AA653" s="6"/>
      <c r="AB653" s="6"/>
      <c r="AC653" s="6"/>
      <c r="AD653" s="6"/>
      <c r="AE653" s="6"/>
      <c r="AF653" s="6"/>
    </row>
    <row r="654" s="5" customFormat="true" ht="15.75" hidden="false" customHeight="true" outlineLevel="0" collapsed="false">
      <c r="AA654" s="6"/>
      <c r="AB654" s="6"/>
      <c r="AC654" s="6"/>
      <c r="AD654" s="6"/>
      <c r="AE654" s="6"/>
      <c r="AF654" s="6"/>
    </row>
    <row r="655" s="5" customFormat="true" ht="15.75" hidden="false" customHeight="true" outlineLevel="0" collapsed="false">
      <c r="AA655" s="6"/>
      <c r="AB655" s="6"/>
      <c r="AC655" s="6"/>
      <c r="AD655" s="6"/>
      <c r="AE655" s="6"/>
      <c r="AF655" s="6"/>
    </row>
    <row r="656" s="5" customFormat="true" ht="15.75" hidden="false" customHeight="true" outlineLevel="0" collapsed="false">
      <c r="AA656" s="6"/>
      <c r="AB656" s="6"/>
      <c r="AC656" s="6"/>
      <c r="AD656" s="6"/>
      <c r="AE656" s="6"/>
      <c r="AF656" s="6"/>
    </row>
    <row r="657" s="5" customFormat="true" ht="15.75" hidden="false" customHeight="true" outlineLevel="0" collapsed="false">
      <c r="AA657" s="6"/>
      <c r="AB657" s="6"/>
      <c r="AC657" s="6"/>
      <c r="AD657" s="6"/>
      <c r="AE657" s="6"/>
      <c r="AF657" s="6"/>
    </row>
    <row r="658" s="5" customFormat="true" ht="15.75" hidden="false" customHeight="true" outlineLevel="0" collapsed="false">
      <c r="AA658" s="6"/>
      <c r="AB658" s="6"/>
      <c r="AC658" s="6"/>
      <c r="AD658" s="6"/>
      <c r="AE658" s="6"/>
      <c r="AF658" s="6"/>
    </row>
    <row r="659" s="5" customFormat="true" ht="15.75" hidden="false" customHeight="true" outlineLevel="0" collapsed="false">
      <c r="AA659" s="6"/>
      <c r="AB659" s="6"/>
      <c r="AC659" s="6"/>
      <c r="AD659" s="6"/>
      <c r="AE659" s="6"/>
      <c r="AF659" s="6"/>
    </row>
    <row r="660" s="5" customFormat="true" ht="15.75" hidden="false" customHeight="true" outlineLevel="0" collapsed="false">
      <c r="AA660" s="6"/>
      <c r="AB660" s="6"/>
      <c r="AC660" s="6"/>
      <c r="AD660" s="6"/>
      <c r="AE660" s="6"/>
      <c r="AF660" s="6"/>
    </row>
    <row r="661" s="5" customFormat="true" ht="15.75" hidden="false" customHeight="true" outlineLevel="0" collapsed="false">
      <c r="AA661" s="6"/>
      <c r="AB661" s="6"/>
      <c r="AC661" s="6"/>
      <c r="AD661" s="6"/>
      <c r="AE661" s="6"/>
      <c r="AF661" s="6"/>
    </row>
    <row r="662" s="5" customFormat="true" ht="15.75" hidden="false" customHeight="true" outlineLevel="0" collapsed="false">
      <c r="AA662" s="6"/>
      <c r="AB662" s="6"/>
      <c r="AC662" s="6"/>
      <c r="AD662" s="6"/>
      <c r="AE662" s="6"/>
      <c r="AF662" s="6"/>
    </row>
    <row r="663" s="5" customFormat="true" ht="15.75" hidden="false" customHeight="true" outlineLevel="0" collapsed="false">
      <c r="AA663" s="6"/>
      <c r="AB663" s="6"/>
      <c r="AC663" s="6"/>
      <c r="AD663" s="6"/>
      <c r="AE663" s="6"/>
      <c r="AF663" s="6"/>
    </row>
    <row r="664" s="5" customFormat="true" ht="15.75" hidden="false" customHeight="true" outlineLevel="0" collapsed="false">
      <c r="AA664" s="6"/>
      <c r="AB664" s="6"/>
      <c r="AC664" s="6"/>
      <c r="AD664" s="6"/>
      <c r="AE664" s="6"/>
      <c r="AF664" s="6"/>
    </row>
    <row r="665" s="5" customFormat="true" ht="15.75" hidden="false" customHeight="true" outlineLevel="0" collapsed="false">
      <c r="AA665" s="6"/>
      <c r="AB665" s="6"/>
      <c r="AC665" s="6"/>
      <c r="AD665" s="6"/>
      <c r="AE665" s="6"/>
      <c r="AF665" s="6"/>
    </row>
    <row r="666" s="5" customFormat="true" ht="15.75" hidden="false" customHeight="true" outlineLevel="0" collapsed="false">
      <c r="AA666" s="6"/>
      <c r="AB666" s="6"/>
      <c r="AC666" s="6"/>
      <c r="AD666" s="6"/>
      <c r="AE666" s="6"/>
      <c r="AF666" s="6"/>
    </row>
    <row r="667" s="5" customFormat="true" ht="15.75" hidden="false" customHeight="true" outlineLevel="0" collapsed="false">
      <c r="AA667" s="6"/>
      <c r="AB667" s="6"/>
      <c r="AC667" s="6"/>
      <c r="AD667" s="6"/>
      <c r="AE667" s="6"/>
      <c r="AF667" s="6"/>
    </row>
    <row r="668" s="5" customFormat="true" ht="15.75" hidden="false" customHeight="true" outlineLevel="0" collapsed="false">
      <c r="AA668" s="6"/>
      <c r="AB668" s="6"/>
      <c r="AC668" s="6"/>
      <c r="AD668" s="6"/>
      <c r="AE668" s="6"/>
      <c r="AF668" s="6"/>
    </row>
    <row r="669" s="5" customFormat="true" ht="15.75" hidden="false" customHeight="true" outlineLevel="0" collapsed="false">
      <c r="AA669" s="6"/>
      <c r="AB669" s="6"/>
      <c r="AC669" s="6"/>
      <c r="AD669" s="6"/>
      <c r="AE669" s="6"/>
      <c r="AF669" s="6"/>
    </row>
    <row r="670" s="5" customFormat="true" ht="15.75" hidden="false" customHeight="true" outlineLevel="0" collapsed="false">
      <c r="AA670" s="6"/>
      <c r="AB670" s="6"/>
      <c r="AC670" s="6"/>
      <c r="AD670" s="6"/>
      <c r="AE670" s="6"/>
      <c r="AF670" s="6"/>
    </row>
    <row r="671" s="5" customFormat="true" ht="15.75" hidden="false" customHeight="true" outlineLevel="0" collapsed="false">
      <c r="AA671" s="6"/>
      <c r="AB671" s="6"/>
      <c r="AC671" s="6"/>
      <c r="AD671" s="6"/>
      <c r="AE671" s="6"/>
      <c r="AF671" s="6"/>
    </row>
    <row r="672" s="5" customFormat="true" ht="15.75" hidden="false" customHeight="true" outlineLevel="0" collapsed="false">
      <c r="AA672" s="6"/>
      <c r="AB672" s="6"/>
      <c r="AC672" s="6"/>
      <c r="AD672" s="6"/>
      <c r="AE672" s="6"/>
      <c r="AF672" s="6"/>
    </row>
    <row r="673" s="5" customFormat="true" ht="15.75" hidden="false" customHeight="true" outlineLevel="0" collapsed="false">
      <c r="AA673" s="6"/>
      <c r="AB673" s="6"/>
      <c r="AC673" s="6"/>
      <c r="AD673" s="6"/>
      <c r="AE673" s="6"/>
      <c r="AF673" s="6"/>
    </row>
    <row r="674" s="5" customFormat="true" ht="15.75" hidden="false" customHeight="true" outlineLevel="0" collapsed="false">
      <c r="AA674" s="6"/>
      <c r="AB674" s="6"/>
      <c r="AC674" s="6"/>
      <c r="AD674" s="6"/>
      <c r="AE674" s="6"/>
      <c r="AF674" s="6"/>
    </row>
    <row r="675" s="5" customFormat="true" ht="15.75" hidden="false" customHeight="true" outlineLevel="0" collapsed="false">
      <c r="AA675" s="6"/>
      <c r="AB675" s="6"/>
      <c r="AC675" s="6"/>
      <c r="AD675" s="6"/>
      <c r="AE675" s="6"/>
      <c r="AF675" s="6"/>
    </row>
    <row r="676" s="5" customFormat="true" ht="15.75" hidden="false" customHeight="true" outlineLevel="0" collapsed="false">
      <c r="AA676" s="6"/>
      <c r="AB676" s="6"/>
      <c r="AC676" s="6"/>
      <c r="AD676" s="6"/>
      <c r="AE676" s="6"/>
      <c r="AF676" s="6"/>
    </row>
    <row r="677" s="5" customFormat="true" ht="15.75" hidden="false" customHeight="true" outlineLevel="0" collapsed="false">
      <c r="AA677" s="6"/>
      <c r="AB677" s="6"/>
      <c r="AC677" s="6"/>
      <c r="AD677" s="6"/>
      <c r="AE677" s="6"/>
      <c r="AF677" s="6"/>
    </row>
    <row r="678" s="5" customFormat="true" ht="15.75" hidden="false" customHeight="true" outlineLevel="0" collapsed="false">
      <c r="AA678" s="6"/>
      <c r="AB678" s="6"/>
      <c r="AC678" s="6"/>
      <c r="AD678" s="6"/>
      <c r="AE678" s="6"/>
      <c r="AF678" s="6"/>
    </row>
    <row r="679" s="5" customFormat="true" ht="15.75" hidden="false" customHeight="true" outlineLevel="0" collapsed="false">
      <c r="AA679" s="6"/>
      <c r="AB679" s="6"/>
      <c r="AC679" s="6"/>
      <c r="AD679" s="6"/>
      <c r="AE679" s="6"/>
      <c r="AF679" s="6"/>
    </row>
    <row r="680" s="5" customFormat="true" ht="15.75" hidden="false" customHeight="true" outlineLevel="0" collapsed="false">
      <c r="AA680" s="6"/>
      <c r="AB680" s="6"/>
      <c r="AC680" s="6"/>
      <c r="AD680" s="6"/>
      <c r="AE680" s="6"/>
      <c r="AF680" s="6"/>
    </row>
    <row r="681" s="5" customFormat="true" ht="15.75" hidden="false" customHeight="true" outlineLevel="0" collapsed="false">
      <c r="AA681" s="6"/>
      <c r="AB681" s="6"/>
      <c r="AC681" s="6"/>
      <c r="AD681" s="6"/>
      <c r="AE681" s="6"/>
      <c r="AF681" s="6"/>
    </row>
    <row r="682" s="5" customFormat="true" ht="15.75" hidden="false" customHeight="true" outlineLevel="0" collapsed="false">
      <c r="AA682" s="6"/>
      <c r="AB682" s="6"/>
      <c r="AC682" s="6"/>
      <c r="AD682" s="6"/>
      <c r="AE682" s="6"/>
      <c r="AF682" s="6"/>
    </row>
    <row r="683" s="5" customFormat="true" ht="15.75" hidden="false" customHeight="true" outlineLevel="0" collapsed="false">
      <c r="AA683" s="6"/>
      <c r="AB683" s="6"/>
      <c r="AC683" s="6"/>
      <c r="AD683" s="6"/>
      <c r="AE683" s="6"/>
      <c r="AF683" s="6"/>
    </row>
    <row r="684" s="5" customFormat="true" ht="15.75" hidden="false" customHeight="true" outlineLevel="0" collapsed="false">
      <c r="AA684" s="6"/>
      <c r="AB684" s="6"/>
      <c r="AC684" s="6"/>
      <c r="AD684" s="6"/>
      <c r="AE684" s="6"/>
      <c r="AF684" s="6"/>
    </row>
    <row r="685" s="5" customFormat="true" ht="15.75" hidden="false" customHeight="true" outlineLevel="0" collapsed="false">
      <c r="AA685" s="6"/>
      <c r="AB685" s="6"/>
      <c r="AC685" s="6"/>
      <c r="AD685" s="6"/>
      <c r="AE685" s="6"/>
      <c r="AF685" s="6"/>
    </row>
    <row r="686" s="5" customFormat="true" ht="15.75" hidden="false" customHeight="true" outlineLevel="0" collapsed="false">
      <c r="AA686" s="6"/>
      <c r="AB686" s="6"/>
      <c r="AC686" s="6"/>
      <c r="AD686" s="6"/>
      <c r="AE686" s="6"/>
      <c r="AF686" s="6"/>
    </row>
    <row r="687" s="5" customFormat="true" ht="15.75" hidden="false" customHeight="true" outlineLevel="0" collapsed="false">
      <c r="AA687" s="6"/>
      <c r="AB687" s="6"/>
      <c r="AC687" s="6"/>
      <c r="AD687" s="6"/>
      <c r="AE687" s="6"/>
      <c r="AF687" s="6"/>
    </row>
    <row r="688" s="5" customFormat="true" ht="15.75" hidden="false" customHeight="true" outlineLevel="0" collapsed="false">
      <c r="AA688" s="6"/>
      <c r="AB688" s="6"/>
      <c r="AC688" s="6"/>
      <c r="AD688" s="6"/>
      <c r="AE688" s="6"/>
      <c r="AF688" s="6"/>
    </row>
    <row r="689" s="5" customFormat="true" ht="15.75" hidden="false" customHeight="true" outlineLevel="0" collapsed="false">
      <c r="AA689" s="6"/>
      <c r="AB689" s="6"/>
      <c r="AC689" s="6"/>
      <c r="AD689" s="6"/>
      <c r="AE689" s="6"/>
      <c r="AF689" s="6"/>
    </row>
    <row r="690" s="5" customFormat="true" ht="15.75" hidden="false" customHeight="true" outlineLevel="0" collapsed="false">
      <c r="AA690" s="6"/>
      <c r="AB690" s="6"/>
      <c r="AC690" s="6"/>
      <c r="AD690" s="6"/>
      <c r="AE690" s="6"/>
      <c r="AF690" s="6"/>
    </row>
    <row r="691" s="5" customFormat="true" ht="15.75" hidden="false" customHeight="true" outlineLevel="0" collapsed="false">
      <c r="AA691" s="6"/>
      <c r="AB691" s="6"/>
      <c r="AC691" s="6"/>
      <c r="AD691" s="6"/>
      <c r="AE691" s="6"/>
      <c r="AF691" s="6"/>
    </row>
    <row r="692" s="5" customFormat="true" ht="15.75" hidden="false" customHeight="true" outlineLevel="0" collapsed="false">
      <c r="AA692" s="6"/>
      <c r="AB692" s="6"/>
      <c r="AC692" s="6"/>
      <c r="AD692" s="6"/>
      <c r="AE692" s="6"/>
      <c r="AF692" s="6"/>
    </row>
    <row r="693" s="5" customFormat="true" ht="15.75" hidden="false" customHeight="true" outlineLevel="0" collapsed="false">
      <c r="AA693" s="6"/>
      <c r="AB693" s="6"/>
      <c r="AC693" s="6"/>
      <c r="AD693" s="6"/>
      <c r="AE693" s="6"/>
      <c r="AF693" s="6"/>
    </row>
    <row r="694" s="5" customFormat="true" ht="15.75" hidden="false" customHeight="true" outlineLevel="0" collapsed="false">
      <c r="AA694" s="6"/>
      <c r="AB694" s="6"/>
      <c r="AC694" s="6"/>
      <c r="AD694" s="6"/>
      <c r="AE694" s="6"/>
      <c r="AF694" s="6"/>
    </row>
    <row r="695" s="5" customFormat="true" ht="15.75" hidden="false" customHeight="true" outlineLevel="0" collapsed="false">
      <c r="AA695" s="6"/>
      <c r="AB695" s="6"/>
      <c r="AC695" s="6"/>
      <c r="AD695" s="6"/>
      <c r="AE695" s="6"/>
      <c r="AF695" s="6"/>
    </row>
    <row r="696" s="5" customFormat="true" ht="15.75" hidden="false" customHeight="true" outlineLevel="0" collapsed="false">
      <c r="AA696" s="6"/>
      <c r="AB696" s="6"/>
      <c r="AC696" s="6"/>
      <c r="AD696" s="6"/>
      <c r="AE696" s="6"/>
      <c r="AF696" s="6"/>
    </row>
    <row r="697" s="5" customFormat="true" ht="15.75" hidden="false" customHeight="true" outlineLevel="0" collapsed="false">
      <c r="AA697" s="6"/>
      <c r="AB697" s="6"/>
      <c r="AC697" s="6"/>
      <c r="AD697" s="6"/>
      <c r="AE697" s="6"/>
      <c r="AF697" s="6"/>
    </row>
    <row r="698" s="5" customFormat="true" ht="15.75" hidden="false" customHeight="true" outlineLevel="0" collapsed="false">
      <c r="AA698" s="6"/>
      <c r="AB698" s="6"/>
      <c r="AC698" s="6"/>
      <c r="AD698" s="6"/>
      <c r="AE698" s="6"/>
      <c r="AF698" s="6"/>
    </row>
    <row r="699" s="5" customFormat="true" ht="15.75" hidden="false" customHeight="true" outlineLevel="0" collapsed="false">
      <c r="AA699" s="6"/>
      <c r="AB699" s="6"/>
      <c r="AC699" s="6"/>
      <c r="AD699" s="6"/>
      <c r="AE699" s="6"/>
      <c r="AF699" s="6"/>
    </row>
    <row r="700" s="5" customFormat="true" ht="15.75" hidden="false" customHeight="true" outlineLevel="0" collapsed="false">
      <c r="AA700" s="6"/>
      <c r="AB700" s="6"/>
      <c r="AC700" s="6"/>
      <c r="AD700" s="6"/>
      <c r="AE700" s="6"/>
      <c r="AF700" s="6"/>
    </row>
    <row r="701" s="5" customFormat="true" ht="15.75" hidden="false" customHeight="true" outlineLevel="0" collapsed="false">
      <c r="AA701" s="6"/>
      <c r="AB701" s="6"/>
      <c r="AC701" s="6"/>
      <c r="AD701" s="6"/>
      <c r="AE701" s="6"/>
      <c r="AF701" s="6"/>
    </row>
    <row r="702" s="5" customFormat="true" ht="15.75" hidden="false" customHeight="true" outlineLevel="0" collapsed="false">
      <c r="AA702" s="6"/>
      <c r="AB702" s="6"/>
      <c r="AC702" s="6"/>
      <c r="AD702" s="6"/>
      <c r="AE702" s="6"/>
      <c r="AF702" s="6"/>
    </row>
    <row r="703" s="5" customFormat="true" ht="15.75" hidden="false" customHeight="true" outlineLevel="0" collapsed="false">
      <c r="AA703" s="6"/>
      <c r="AB703" s="6"/>
      <c r="AC703" s="6"/>
      <c r="AD703" s="6"/>
      <c r="AE703" s="6"/>
      <c r="AF703" s="6"/>
    </row>
    <row r="704" s="5" customFormat="true" ht="15.75" hidden="false" customHeight="true" outlineLevel="0" collapsed="false">
      <c r="AA704" s="6"/>
      <c r="AB704" s="6"/>
      <c r="AC704" s="6"/>
      <c r="AD704" s="6"/>
      <c r="AE704" s="6"/>
      <c r="AF704" s="6"/>
    </row>
    <row r="705" s="5" customFormat="true" ht="15.75" hidden="false" customHeight="true" outlineLevel="0" collapsed="false">
      <c r="AA705" s="6"/>
      <c r="AB705" s="6"/>
      <c r="AC705" s="6"/>
      <c r="AD705" s="6"/>
      <c r="AE705" s="6"/>
      <c r="AF705" s="6"/>
    </row>
    <row r="706" s="5" customFormat="true" ht="15.75" hidden="false" customHeight="true" outlineLevel="0" collapsed="false">
      <c r="AA706" s="6"/>
      <c r="AB706" s="6"/>
      <c r="AC706" s="6"/>
      <c r="AD706" s="6"/>
      <c r="AE706" s="6"/>
      <c r="AF706" s="6"/>
    </row>
    <row r="707" s="5" customFormat="true" ht="15.75" hidden="false" customHeight="true" outlineLevel="0" collapsed="false">
      <c r="AA707" s="6"/>
      <c r="AB707" s="6"/>
      <c r="AC707" s="6"/>
      <c r="AD707" s="6"/>
      <c r="AE707" s="6"/>
      <c r="AF707" s="6"/>
    </row>
    <row r="708" s="5" customFormat="true" ht="15.75" hidden="false" customHeight="true" outlineLevel="0" collapsed="false">
      <c r="AA708" s="6"/>
      <c r="AB708" s="6"/>
      <c r="AC708" s="6"/>
      <c r="AD708" s="6"/>
      <c r="AE708" s="6"/>
      <c r="AF708" s="6"/>
    </row>
    <row r="709" s="5" customFormat="true" ht="15.75" hidden="false" customHeight="true" outlineLevel="0" collapsed="false">
      <c r="AA709" s="6"/>
      <c r="AB709" s="6"/>
      <c r="AC709" s="6"/>
      <c r="AD709" s="6"/>
      <c r="AE709" s="6"/>
      <c r="AF709" s="6"/>
    </row>
    <row r="710" s="5" customFormat="true" ht="15.75" hidden="false" customHeight="true" outlineLevel="0" collapsed="false">
      <c r="AA710" s="6"/>
      <c r="AB710" s="6"/>
      <c r="AC710" s="6"/>
      <c r="AD710" s="6"/>
      <c r="AE710" s="6"/>
      <c r="AF710" s="6"/>
    </row>
    <row r="711" s="5" customFormat="true" ht="15.75" hidden="false" customHeight="true" outlineLevel="0" collapsed="false">
      <c r="AA711" s="6"/>
      <c r="AB711" s="6"/>
      <c r="AC711" s="6"/>
      <c r="AD711" s="6"/>
      <c r="AE711" s="6"/>
      <c r="AF711" s="6"/>
    </row>
    <row r="712" s="5" customFormat="true" ht="15.75" hidden="false" customHeight="true" outlineLevel="0" collapsed="false">
      <c r="AA712" s="6"/>
      <c r="AB712" s="6"/>
      <c r="AC712" s="6"/>
      <c r="AD712" s="6"/>
      <c r="AE712" s="6"/>
      <c r="AF712" s="6"/>
    </row>
    <row r="713" s="5" customFormat="true" ht="15.75" hidden="false" customHeight="true" outlineLevel="0" collapsed="false">
      <c r="AA713" s="6"/>
      <c r="AB713" s="6"/>
      <c r="AC713" s="6"/>
      <c r="AD713" s="6"/>
      <c r="AE713" s="6"/>
      <c r="AF713" s="6"/>
    </row>
    <row r="714" s="5" customFormat="true" ht="15.75" hidden="false" customHeight="true" outlineLevel="0" collapsed="false">
      <c r="AA714" s="6"/>
      <c r="AB714" s="6"/>
      <c r="AC714" s="6"/>
      <c r="AD714" s="6"/>
      <c r="AE714" s="6"/>
      <c r="AF714" s="6"/>
    </row>
    <row r="715" s="5" customFormat="true" ht="15.75" hidden="false" customHeight="true" outlineLevel="0" collapsed="false">
      <c r="AA715" s="6"/>
      <c r="AB715" s="6"/>
      <c r="AC715" s="6"/>
      <c r="AD715" s="6"/>
      <c r="AE715" s="6"/>
      <c r="AF715" s="6"/>
    </row>
    <row r="716" s="5" customFormat="true" ht="15.75" hidden="false" customHeight="true" outlineLevel="0" collapsed="false">
      <c r="AA716" s="6"/>
      <c r="AB716" s="6"/>
      <c r="AC716" s="6"/>
      <c r="AD716" s="6"/>
      <c r="AE716" s="6"/>
      <c r="AF716" s="6"/>
    </row>
    <row r="717" s="5" customFormat="true" ht="15.75" hidden="false" customHeight="true" outlineLevel="0" collapsed="false">
      <c r="AA717" s="6"/>
      <c r="AB717" s="6"/>
      <c r="AC717" s="6"/>
      <c r="AD717" s="6"/>
      <c r="AE717" s="6"/>
      <c r="AF717" s="6"/>
    </row>
    <row r="718" s="5" customFormat="true" ht="15.75" hidden="false" customHeight="true" outlineLevel="0" collapsed="false">
      <c r="AA718" s="6"/>
      <c r="AB718" s="6"/>
      <c r="AC718" s="6"/>
      <c r="AD718" s="6"/>
      <c r="AE718" s="6"/>
      <c r="AF718" s="6"/>
    </row>
    <row r="719" s="5" customFormat="true" ht="15.75" hidden="false" customHeight="true" outlineLevel="0" collapsed="false">
      <c r="AA719" s="6"/>
      <c r="AB719" s="6"/>
      <c r="AC719" s="6"/>
      <c r="AD719" s="6"/>
      <c r="AE719" s="6"/>
      <c r="AF719" s="6"/>
    </row>
    <row r="720" s="5" customFormat="true" ht="15.75" hidden="false" customHeight="true" outlineLevel="0" collapsed="false">
      <c r="AA720" s="6"/>
      <c r="AB720" s="6"/>
      <c r="AC720" s="6"/>
      <c r="AD720" s="6"/>
      <c r="AE720" s="6"/>
      <c r="AF720" s="6"/>
    </row>
    <row r="721" s="5" customFormat="true" ht="15.75" hidden="false" customHeight="true" outlineLevel="0" collapsed="false">
      <c r="AA721" s="6"/>
      <c r="AB721" s="6"/>
      <c r="AC721" s="6"/>
      <c r="AD721" s="6"/>
      <c r="AE721" s="6"/>
      <c r="AF721" s="6"/>
    </row>
    <row r="722" s="5" customFormat="true" ht="15.75" hidden="false" customHeight="true" outlineLevel="0" collapsed="false">
      <c r="AA722" s="6"/>
      <c r="AB722" s="6"/>
      <c r="AC722" s="6"/>
      <c r="AD722" s="6"/>
      <c r="AE722" s="6"/>
      <c r="AF722" s="6"/>
    </row>
    <row r="723" s="5" customFormat="true" ht="15.75" hidden="false" customHeight="true" outlineLevel="0" collapsed="false">
      <c r="AA723" s="6"/>
      <c r="AB723" s="6"/>
      <c r="AC723" s="6"/>
      <c r="AD723" s="6"/>
      <c r="AE723" s="6"/>
      <c r="AF723" s="6"/>
    </row>
    <row r="724" s="5" customFormat="true" ht="15.75" hidden="false" customHeight="true" outlineLevel="0" collapsed="false">
      <c r="AA724" s="6"/>
      <c r="AB724" s="6"/>
      <c r="AC724" s="6"/>
      <c r="AD724" s="6"/>
      <c r="AE724" s="6"/>
      <c r="AF724" s="6"/>
    </row>
    <row r="725" s="5" customFormat="true" ht="15.75" hidden="false" customHeight="true" outlineLevel="0" collapsed="false">
      <c r="AA725" s="6"/>
      <c r="AB725" s="6"/>
      <c r="AC725" s="6"/>
      <c r="AD725" s="6"/>
      <c r="AE725" s="6"/>
      <c r="AF725" s="6"/>
    </row>
    <row r="726" s="5" customFormat="true" ht="15.75" hidden="false" customHeight="true" outlineLevel="0" collapsed="false">
      <c r="AA726" s="6"/>
      <c r="AB726" s="6"/>
      <c r="AC726" s="6"/>
      <c r="AD726" s="6"/>
      <c r="AE726" s="6"/>
      <c r="AF726" s="6"/>
    </row>
    <row r="727" s="5" customFormat="true" ht="15.75" hidden="false" customHeight="true" outlineLevel="0" collapsed="false">
      <c r="AA727" s="6"/>
      <c r="AB727" s="6"/>
      <c r="AC727" s="6"/>
      <c r="AD727" s="6"/>
      <c r="AE727" s="6"/>
      <c r="AF727" s="6"/>
    </row>
    <row r="728" s="5" customFormat="true" ht="15.75" hidden="false" customHeight="true" outlineLevel="0" collapsed="false">
      <c r="AA728" s="6"/>
      <c r="AB728" s="6"/>
      <c r="AC728" s="6"/>
      <c r="AD728" s="6"/>
      <c r="AE728" s="6"/>
      <c r="AF728" s="6"/>
    </row>
    <row r="729" s="5" customFormat="true" ht="15.75" hidden="false" customHeight="true" outlineLevel="0" collapsed="false">
      <c r="AA729" s="6"/>
      <c r="AB729" s="6"/>
      <c r="AC729" s="6"/>
      <c r="AD729" s="6"/>
      <c r="AE729" s="6"/>
      <c r="AF729" s="6"/>
    </row>
    <row r="730" s="5" customFormat="true" ht="15.75" hidden="false" customHeight="true" outlineLevel="0" collapsed="false">
      <c r="AA730" s="6"/>
      <c r="AB730" s="6"/>
      <c r="AC730" s="6"/>
      <c r="AD730" s="6"/>
      <c r="AE730" s="6"/>
      <c r="AF730" s="6"/>
    </row>
    <row r="731" s="5" customFormat="true" ht="15.75" hidden="false" customHeight="true" outlineLevel="0" collapsed="false">
      <c r="AA731" s="6"/>
      <c r="AB731" s="6"/>
      <c r="AC731" s="6"/>
      <c r="AD731" s="6"/>
      <c r="AE731" s="6"/>
      <c r="AF731" s="6"/>
    </row>
    <row r="732" s="5" customFormat="true" ht="15.75" hidden="false" customHeight="true" outlineLevel="0" collapsed="false">
      <c r="AA732" s="6"/>
      <c r="AB732" s="6"/>
      <c r="AC732" s="6"/>
      <c r="AD732" s="6"/>
      <c r="AE732" s="6"/>
      <c r="AF732" s="6"/>
    </row>
    <row r="733" s="5" customFormat="true" ht="15.75" hidden="false" customHeight="true" outlineLevel="0" collapsed="false">
      <c r="AA733" s="6"/>
      <c r="AB733" s="6"/>
      <c r="AC733" s="6"/>
      <c r="AD733" s="6"/>
      <c r="AE733" s="6"/>
      <c r="AF733" s="6"/>
    </row>
    <row r="734" s="5" customFormat="true" ht="15.75" hidden="false" customHeight="true" outlineLevel="0" collapsed="false">
      <c r="AA734" s="6"/>
      <c r="AB734" s="6"/>
      <c r="AC734" s="6"/>
      <c r="AD734" s="6"/>
      <c r="AE734" s="6"/>
      <c r="AF734" s="6"/>
    </row>
    <row r="735" s="5" customFormat="true" ht="15.75" hidden="false" customHeight="true" outlineLevel="0" collapsed="false">
      <c r="AA735" s="6"/>
      <c r="AB735" s="6"/>
      <c r="AC735" s="6"/>
      <c r="AD735" s="6"/>
      <c r="AE735" s="6"/>
      <c r="AF735" s="6"/>
    </row>
    <row r="736" s="5" customFormat="true" ht="15.75" hidden="false" customHeight="true" outlineLevel="0" collapsed="false">
      <c r="AA736" s="6"/>
      <c r="AB736" s="6"/>
      <c r="AC736" s="6"/>
      <c r="AD736" s="6"/>
      <c r="AE736" s="6"/>
      <c r="AF736" s="6"/>
    </row>
    <row r="737" s="5" customFormat="true" ht="15.75" hidden="false" customHeight="true" outlineLevel="0" collapsed="false">
      <c r="AA737" s="6"/>
      <c r="AB737" s="6"/>
      <c r="AC737" s="6"/>
      <c r="AD737" s="6"/>
      <c r="AE737" s="6"/>
      <c r="AF737" s="6"/>
    </row>
    <row r="738" s="5" customFormat="true" ht="15.75" hidden="false" customHeight="true" outlineLevel="0" collapsed="false">
      <c r="AA738" s="6"/>
      <c r="AB738" s="6"/>
      <c r="AC738" s="6"/>
      <c r="AD738" s="6"/>
      <c r="AE738" s="6"/>
      <c r="AF738" s="6"/>
    </row>
    <row r="739" s="5" customFormat="true" ht="15.75" hidden="false" customHeight="true" outlineLevel="0" collapsed="false">
      <c r="AA739" s="6"/>
      <c r="AB739" s="6"/>
      <c r="AC739" s="6"/>
      <c r="AD739" s="6"/>
      <c r="AE739" s="6"/>
      <c r="AF739" s="6"/>
    </row>
    <row r="740" s="5" customFormat="true" ht="15.75" hidden="false" customHeight="true" outlineLevel="0" collapsed="false">
      <c r="AA740" s="6"/>
      <c r="AB740" s="6"/>
      <c r="AC740" s="6"/>
      <c r="AD740" s="6"/>
      <c r="AE740" s="6"/>
      <c r="AF740" s="6"/>
    </row>
    <row r="741" s="5" customFormat="true" ht="15.75" hidden="false" customHeight="true" outlineLevel="0" collapsed="false">
      <c r="AA741" s="6"/>
      <c r="AB741" s="6"/>
      <c r="AC741" s="6"/>
      <c r="AD741" s="6"/>
      <c r="AE741" s="6"/>
      <c r="AF741" s="6"/>
    </row>
    <row r="742" s="5" customFormat="true" ht="15.75" hidden="false" customHeight="true" outlineLevel="0" collapsed="false">
      <c r="AA742" s="6"/>
      <c r="AB742" s="6"/>
      <c r="AC742" s="6"/>
      <c r="AD742" s="6"/>
      <c r="AE742" s="6"/>
      <c r="AF742" s="6"/>
    </row>
    <row r="743" s="5" customFormat="true" ht="15.75" hidden="false" customHeight="true" outlineLevel="0" collapsed="false">
      <c r="AA743" s="6"/>
      <c r="AB743" s="6"/>
      <c r="AC743" s="6"/>
      <c r="AD743" s="6"/>
      <c r="AE743" s="6"/>
      <c r="AF743" s="6"/>
    </row>
    <row r="744" s="5" customFormat="true" ht="15.75" hidden="false" customHeight="true" outlineLevel="0" collapsed="false">
      <c r="AA744" s="6"/>
      <c r="AB744" s="6"/>
      <c r="AC744" s="6"/>
      <c r="AD744" s="6"/>
      <c r="AE744" s="6"/>
      <c r="AF744" s="6"/>
    </row>
    <row r="745" s="5" customFormat="true" ht="15.75" hidden="false" customHeight="true" outlineLevel="0" collapsed="false">
      <c r="AA745" s="6"/>
      <c r="AB745" s="6"/>
      <c r="AC745" s="6"/>
      <c r="AD745" s="6"/>
      <c r="AE745" s="6"/>
      <c r="AF745" s="6"/>
    </row>
    <row r="746" s="5" customFormat="true" ht="15.75" hidden="false" customHeight="true" outlineLevel="0" collapsed="false">
      <c r="AA746" s="6"/>
      <c r="AB746" s="6"/>
      <c r="AC746" s="6"/>
      <c r="AD746" s="6"/>
      <c r="AE746" s="6"/>
      <c r="AF746" s="6"/>
    </row>
    <row r="747" s="5" customFormat="true" ht="15.75" hidden="false" customHeight="true" outlineLevel="0" collapsed="false">
      <c r="AA747" s="6"/>
      <c r="AB747" s="6"/>
      <c r="AC747" s="6"/>
      <c r="AD747" s="6"/>
      <c r="AE747" s="6"/>
      <c r="AF747" s="6"/>
    </row>
    <row r="748" s="5" customFormat="true" ht="15.75" hidden="false" customHeight="true" outlineLevel="0" collapsed="false">
      <c r="AA748" s="6"/>
      <c r="AB748" s="6"/>
      <c r="AC748" s="6"/>
      <c r="AD748" s="6"/>
      <c r="AE748" s="6"/>
      <c r="AF748" s="6"/>
    </row>
    <row r="749" s="5" customFormat="true" ht="15.75" hidden="false" customHeight="true" outlineLevel="0" collapsed="false">
      <c r="AA749" s="6"/>
      <c r="AB749" s="6"/>
      <c r="AC749" s="6"/>
      <c r="AD749" s="6"/>
      <c r="AE749" s="6"/>
      <c r="AF749" s="6"/>
    </row>
    <row r="750" s="5" customFormat="true" ht="15.75" hidden="false" customHeight="true" outlineLevel="0" collapsed="false">
      <c r="AA750" s="6"/>
      <c r="AB750" s="6"/>
      <c r="AC750" s="6"/>
      <c r="AD750" s="6"/>
      <c r="AE750" s="6"/>
      <c r="AF750" s="6"/>
    </row>
    <row r="751" s="5" customFormat="true" ht="15.75" hidden="false" customHeight="true" outlineLevel="0" collapsed="false">
      <c r="AA751" s="6"/>
      <c r="AB751" s="6"/>
      <c r="AC751" s="6"/>
      <c r="AD751" s="6"/>
      <c r="AE751" s="6"/>
      <c r="AF751" s="6"/>
    </row>
    <row r="752" s="5" customFormat="true" ht="15.75" hidden="false" customHeight="true" outlineLevel="0" collapsed="false">
      <c r="AA752" s="6"/>
      <c r="AB752" s="6"/>
      <c r="AC752" s="6"/>
      <c r="AD752" s="6"/>
      <c r="AE752" s="6"/>
      <c r="AF752" s="6"/>
    </row>
    <row r="753" s="5" customFormat="true" ht="15.75" hidden="false" customHeight="true" outlineLevel="0" collapsed="false">
      <c r="AA753" s="6"/>
      <c r="AB753" s="6"/>
      <c r="AC753" s="6"/>
      <c r="AD753" s="6"/>
      <c r="AE753" s="6"/>
      <c r="AF753" s="6"/>
    </row>
    <row r="754" s="5" customFormat="true" ht="15.75" hidden="false" customHeight="true" outlineLevel="0" collapsed="false">
      <c r="AA754" s="6"/>
      <c r="AB754" s="6"/>
      <c r="AC754" s="6"/>
      <c r="AD754" s="6"/>
      <c r="AE754" s="6"/>
      <c r="AF754" s="6"/>
    </row>
    <row r="755" s="5" customFormat="true" ht="15.75" hidden="false" customHeight="true" outlineLevel="0" collapsed="false">
      <c r="AA755" s="6"/>
      <c r="AB755" s="6"/>
      <c r="AC755" s="6"/>
      <c r="AD755" s="6"/>
      <c r="AE755" s="6"/>
      <c r="AF755" s="6"/>
    </row>
    <row r="756" s="5" customFormat="true" ht="15.75" hidden="false" customHeight="true" outlineLevel="0" collapsed="false">
      <c r="AA756" s="6"/>
      <c r="AB756" s="6"/>
      <c r="AC756" s="6"/>
      <c r="AD756" s="6"/>
      <c r="AE756" s="6"/>
      <c r="AF756" s="6"/>
    </row>
    <row r="757" s="5" customFormat="true" ht="15.75" hidden="false" customHeight="true" outlineLevel="0" collapsed="false">
      <c r="AA757" s="6"/>
      <c r="AB757" s="6"/>
      <c r="AC757" s="6"/>
      <c r="AD757" s="6"/>
      <c r="AE757" s="6"/>
      <c r="AF757" s="6"/>
    </row>
    <row r="758" s="5" customFormat="true" ht="15.75" hidden="false" customHeight="true" outlineLevel="0" collapsed="false">
      <c r="AA758" s="6"/>
      <c r="AB758" s="6"/>
      <c r="AC758" s="6"/>
      <c r="AD758" s="6"/>
      <c r="AE758" s="6"/>
      <c r="AF758" s="6"/>
    </row>
    <row r="759" s="5" customFormat="true" ht="15.75" hidden="false" customHeight="true" outlineLevel="0" collapsed="false">
      <c r="AA759" s="6"/>
      <c r="AB759" s="6"/>
      <c r="AC759" s="6"/>
      <c r="AD759" s="6"/>
      <c r="AE759" s="6"/>
      <c r="AF759" s="6"/>
    </row>
    <row r="760" s="5" customFormat="true" ht="15.75" hidden="false" customHeight="true" outlineLevel="0" collapsed="false">
      <c r="AA760" s="6"/>
      <c r="AB760" s="6"/>
      <c r="AC760" s="6"/>
      <c r="AD760" s="6"/>
      <c r="AE760" s="6"/>
      <c r="AF760" s="6"/>
    </row>
    <row r="761" s="5" customFormat="true" ht="15.75" hidden="false" customHeight="true" outlineLevel="0" collapsed="false">
      <c r="AA761" s="6"/>
      <c r="AB761" s="6"/>
      <c r="AC761" s="6"/>
      <c r="AD761" s="6"/>
      <c r="AE761" s="6"/>
      <c r="AF761" s="6"/>
    </row>
    <row r="762" s="5" customFormat="true" ht="15.75" hidden="false" customHeight="true" outlineLevel="0" collapsed="false">
      <c r="AA762" s="6"/>
      <c r="AB762" s="6"/>
      <c r="AC762" s="6"/>
      <c r="AD762" s="6"/>
      <c r="AE762" s="6"/>
      <c r="AF762" s="6"/>
    </row>
    <row r="763" s="5" customFormat="true" ht="15.75" hidden="false" customHeight="true" outlineLevel="0" collapsed="false">
      <c r="AA763" s="6"/>
      <c r="AB763" s="6"/>
      <c r="AC763" s="6"/>
      <c r="AD763" s="6"/>
      <c r="AE763" s="6"/>
      <c r="AF763" s="6"/>
    </row>
    <row r="764" s="5" customFormat="true" ht="15.75" hidden="false" customHeight="true" outlineLevel="0" collapsed="false">
      <c r="AA764" s="6"/>
      <c r="AB764" s="6"/>
      <c r="AC764" s="6"/>
      <c r="AD764" s="6"/>
      <c r="AE764" s="6"/>
      <c r="AF764" s="6"/>
    </row>
    <row r="765" s="5" customFormat="true" ht="15.75" hidden="false" customHeight="true" outlineLevel="0" collapsed="false">
      <c r="AA765" s="6"/>
      <c r="AB765" s="6"/>
      <c r="AC765" s="6"/>
      <c r="AD765" s="6"/>
      <c r="AE765" s="6"/>
      <c r="AF765" s="6"/>
    </row>
    <row r="766" s="5" customFormat="true" ht="15.75" hidden="false" customHeight="true" outlineLevel="0" collapsed="false">
      <c r="AA766" s="6"/>
      <c r="AB766" s="6"/>
      <c r="AC766" s="6"/>
      <c r="AD766" s="6"/>
      <c r="AE766" s="6"/>
      <c r="AF766" s="6"/>
    </row>
    <row r="767" s="5" customFormat="true" ht="15.75" hidden="false" customHeight="true" outlineLevel="0" collapsed="false">
      <c r="AA767" s="6"/>
      <c r="AB767" s="6"/>
      <c r="AC767" s="6"/>
      <c r="AD767" s="6"/>
      <c r="AE767" s="6"/>
      <c r="AF767" s="6"/>
    </row>
    <row r="768" s="5" customFormat="true" ht="15.75" hidden="false" customHeight="true" outlineLevel="0" collapsed="false">
      <c r="AA768" s="6"/>
      <c r="AB768" s="6"/>
      <c r="AC768" s="6"/>
      <c r="AD768" s="6"/>
      <c r="AE768" s="6"/>
      <c r="AF768" s="6"/>
    </row>
    <row r="769" s="5" customFormat="true" ht="15.75" hidden="false" customHeight="true" outlineLevel="0" collapsed="false">
      <c r="AA769" s="6"/>
      <c r="AB769" s="6"/>
      <c r="AC769" s="6"/>
      <c r="AD769" s="6"/>
      <c r="AE769" s="6"/>
      <c r="AF769" s="6"/>
    </row>
    <row r="770" s="5" customFormat="true" ht="15.75" hidden="false" customHeight="true" outlineLevel="0" collapsed="false">
      <c r="AA770" s="6"/>
      <c r="AB770" s="6"/>
      <c r="AC770" s="6"/>
      <c r="AD770" s="6"/>
      <c r="AE770" s="6"/>
      <c r="AF770" s="6"/>
    </row>
    <row r="771" s="5" customFormat="true" ht="15.75" hidden="false" customHeight="true" outlineLevel="0" collapsed="false">
      <c r="AA771" s="6"/>
      <c r="AB771" s="6"/>
      <c r="AC771" s="6"/>
      <c r="AD771" s="6"/>
      <c r="AE771" s="6"/>
      <c r="AF771" s="6"/>
    </row>
    <row r="772" s="5" customFormat="true" ht="15.75" hidden="false" customHeight="true" outlineLevel="0" collapsed="false">
      <c r="AA772" s="6"/>
      <c r="AB772" s="6"/>
      <c r="AC772" s="6"/>
      <c r="AD772" s="6"/>
      <c r="AE772" s="6"/>
      <c r="AF772" s="6"/>
    </row>
    <row r="773" s="5" customFormat="true" ht="15.75" hidden="false" customHeight="true" outlineLevel="0" collapsed="false">
      <c r="AA773" s="6"/>
      <c r="AB773" s="6"/>
      <c r="AC773" s="6"/>
      <c r="AD773" s="6"/>
      <c r="AE773" s="6"/>
      <c r="AF773" s="6"/>
    </row>
    <row r="774" s="5" customFormat="true" ht="15.75" hidden="false" customHeight="true" outlineLevel="0" collapsed="false">
      <c r="AA774" s="6"/>
      <c r="AB774" s="6"/>
      <c r="AC774" s="6"/>
      <c r="AD774" s="6"/>
      <c r="AE774" s="6"/>
      <c r="AF774" s="6"/>
    </row>
    <row r="775" s="5" customFormat="true" ht="15.75" hidden="false" customHeight="true" outlineLevel="0" collapsed="false">
      <c r="AA775" s="6"/>
      <c r="AB775" s="6"/>
      <c r="AC775" s="6"/>
      <c r="AD775" s="6"/>
      <c r="AE775" s="6"/>
      <c r="AF775" s="6"/>
    </row>
    <row r="776" s="5" customFormat="true" ht="15.75" hidden="false" customHeight="true" outlineLevel="0" collapsed="false">
      <c r="AA776" s="6"/>
      <c r="AB776" s="6"/>
      <c r="AC776" s="6"/>
      <c r="AD776" s="6"/>
      <c r="AE776" s="6"/>
      <c r="AF776" s="6"/>
    </row>
    <row r="777" s="5" customFormat="true" ht="15.75" hidden="false" customHeight="true" outlineLevel="0" collapsed="false">
      <c r="AA777" s="6"/>
      <c r="AB777" s="6"/>
      <c r="AC777" s="6"/>
      <c r="AD777" s="6"/>
      <c r="AE777" s="6"/>
      <c r="AF777" s="6"/>
    </row>
    <row r="778" s="5" customFormat="true" ht="15.75" hidden="false" customHeight="true" outlineLevel="0" collapsed="false">
      <c r="AA778" s="6"/>
      <c r="AB778" s="6"/>
      <c r="AC778" s="6"/>
      <c r="AD778" s="6"/>
      <c r="AE778" s="6"/>
      <c r="AF778" s="6"/>
    </row>
    <row r="779" s="5" customFormat="true" ht="15.75" hidden="false" customHeight="true" outlineLevel="0" collapsed="false">
      <c r="AA779" s="6"/>
      <c r="AB779" s="6"/>
      <c r="AC779" s="6"/>
      <c r="AD779" s="6"/>
      <c r="AE779" s="6"/>
      <c r="AF779" s="6"/>
    </row>
    <row r="780" s="5" customFormat="true" ht="15.75" hidden="false" customHeight="true" outlineLevel="0" collapsed="false">
      <c r="AA780" s="6"/>
      <c r="AB780" s="6"/>
      <c r="AC780" s="6"/>
      <c r="AD780" s="6"/>
      <c r="AE780" s="6"/>
      <c r="AF780" s="6"/>
    </row>
    <row r="781" s="5" customFormat="true" ht="15.75" hidden="false" customHeight="true" outlineLevel="0" collapsed="false">
      <c r="AA781" s="6"/>
      <c r="AB781" s="6"/>
      <c r="AC781" s="6"/>
      <c r="AD781" s="6"/>
      <c r="AE781" s="6"/>
      <c r="AF781" s="6"/>
    </row>
    <row r="782" s="5" customFormat="true" ht="15.75" hidden="false" customHeight="true" outlineLevel="0" collapsed="false">
      <c r="AA782" s="6"/>
      <c r="AB782" s="6"/>
      <c r="AC782" s="6"/>
      <c r="AD782" s="6"/>
      <c r="AE782" s="6"/>
      <c r="AF782" s="6"/>
    </row>
    <row r="783" s="5" customFormat="true" ht="15.75" hidden="false" customHeight="true" outlineLevel="0" collapsed="false">
      <c r="AA783" s="6"/>
      <c r="AB783" s="6"/>
      <c r="AC783" s="6"/>
      <c r="AD783" s="6"/>
      <c r="AE783" s="6"/>
      <c r="AF783" s="6"/>
    </row>
    <row r="784" s="5" customFormat="true" ht="15.75" hidden="false" customHeight="true" outlineLevel="0" collapsed="false">
      <c r="AA784" s="6"/>
      <c r="AB784" s="6"/>
      <c r="AC784" s="6"/>
      <c r="AD784" s="6"/>
      <c r="AE784" s="6"/>
      <c r="AF784" s="6"/>
    </row>
    <row r="785" s="5" customFormat="true" ht="15.75" hidden="false" customHeight="true" outlineLevel="0" collapsed="false">
      <c r="AA785" s="6"/>
      <c r="AB785" s="6"/>
      <c r="AC785" s="6"/>
      <c r="AD785" s="6"/>
      <c r="AE785" s="6"/>
      <c r="AF785" s="6"/>
    </row>
    <row r="786" s="5" customFormat="true" ht="15.75" hidden="false" customHeight="true" outlineLevel="0" collapsed="false">
      <c r="AA786" s="6"/>
      <c r="AB786" s="6"/>
      <c r="AC786" s="6"/>
      <c r="AD786" s="6"/>
      <c r="AE786" s="6"/>
      <c r="AF786" s="6"/>
    </row>
    <row r="787" s="5" customFormat="true" ht="15.75" hidden="false" customHeight="true" outlineLevel="0" collapsed="false">
      <c r="AA787" s="6"/>
      <c r="AB787" s="6"/>
      <c r="AC787" s="6"/>
      <c r="AD787" s="6"/>
      <c r="AE787" s="6"/>
      <c r="AF787" s="6"/>
    </row>
    <row r="788" s="5" customFormat="true" ht="15.75" hidden="false" customHeight="true" outlineLevel="0" collapsed="false">
      <c r="AA788" s="6"/>
      <c r="AB788" s="6"/>
      <c r="AC788" s="6"/>
      <c r="AD788" s="6"/>
      <c r="AE788" s="6"/>
      <c r="AF788" s="6"/>
    </row>
    <row r="789" s="5" customFormat="true" ht="15.75" hidden="false" customHeight="true" outlineLevel="0" collapsed="false">
      <c r="AA789" s="6"/>
      <c r="AB789" s="6"/>
      <c r="AC789" s="6"/>
      <c r="AD789" s="6"/>
      <c r="AE789" s="6"/>
      <c r="AF789" s="6"/>
    </row>
    <row r="790" s="5" customFormat="true" ht="15.75" hidden="false" customHeight="true" outlineLevel="0" collapsed="false">
      <c r="AA790" s="6"/>
      <c r="AB790" s="6"/>
      <c r="AC790" s="6"/>
      <c r="AD790" s="6"/>
      <c r="AE790" s="6"/>
      <c r="AF790" s="6"/>
    </row>
    <row r="791" s="5" customFormat="true" ht="15.75" hidden="false" customHeight="true" outlineLevel="0" collapsed="false">
      <c r="AA791" s="6"/>
      <c r="AB791" s="6"/>
      <c r="AC791" s="6"/>
      <c r="AD791" s="6"/>
      <c r="AE791" s="6"/>
      <c r="AF791" s="6"/>
    </row>
    <row r="792" s="5" customFormat="true" ht="15.75" hidden="false" customHeight="true" outlineLevel="0" collapsed="false">
      <c r="AA792" s="6"/>
      <c r="AB792" s="6"/>
      <c r="AC792" s="6"/>
      <c r="AD792" s="6"/>
      <c r="AE792" s="6"/>
      <c r="AF792" s="6"/>
    </row>
    <row r="793" s="5" customFormat="true" ht="15.75" hidden="false" customHeight="true" outlineLevel="0" collapsed="false">
      <c r="AA793" s="6"/>
      <c r="AB793" s="6"/>
      <c r="AC793" s="6"/>
      <c r="AD793" s="6"/>
      <c r="AE793" s="6"/>
      <c r="AF793" s="6"/>
    </row>
    <row r="794" s="5" customFormat="true" ht="15.75" hidden="false" customHeight="true" outlineLevel="0" collapsed="false">
      <c r="AA794" s="6"/>
      <c r="AB794" s="6"/>
      <c r="AC794" s="6"/>
      <c r="AD794" s="6"/>
      <c r="AE794" s="6"/>
      <c r="AF794" s="6"/>
    </row>
    <row r="795" s="5" customFormat="true" ht="15.75" hidden="false" customHeight="true" outlineLevel="0" collapsed="false">
      <c r="AA795" s="6"/>
      <c r="AB795" s="6"/>
      <c r="AC795" s="6"/>
      <c r="AD795" s="6"/>
      <c r="AE795" s="6"/>
      <c r="AF795" s="6"/>
    </row>
    <row r="796" s="5" customFormat="true" ht="15.75" hidden="false" customHeight="true" outlineLevel="0" collapsed="false">
      <c r="AA796" s="6"/>
      <c r="AB796" s="6"/>
      <c r="AC796" s="6"/>
      <c r="AD796" s="6"/>
      <c r="AE796" s="6"/>
      <c r="AF796" s="6"/>
    </row>
    <row r="797" s="5" customFormat="true" ht="15.75" hidden="false" customHeight="true" outlineLevel="0" collapsed="false">
      <c r="AA797" s="6"/>
      <c r="AB797" s="6"/>
      <c r="AC797" s="6"/>
      <c r="AD797" s="6"/>
      <c r="AE797" s="6"/>
      <c r="AF797" s="6"/>
    </row>
    <row r="798" s="5" customFormat="true" ht="15.75" hidden="false" customHeight="true" outlineLevel="0" collapsed="false">
      <c r="AA798" s="6"/>
      <c r="AB798" s="6"/>
      <c r="AC798" s="6"/>
      <c r="AD798" s="6"/>
      <c r="AE798" s="6"/>
      <c r="AF798" s="6"/>
    </row>
  </sheetData>
  <mergeCells count="9">
    <mergeCell ref="A2:A3"/>
    <mergeCell ref="B2:D2"/>
    <mergeCell ref="E2:G2"/>
    <mergeCell ref="H2:J2"/>
    <mergeCell ref="K2:M2"/>
    <mergeCell ref="N2:P2"/>
    <mergeCell ref="Q2:S2"/>
    <mergeCell ref="T2:V2"/>
    <mergeCell ref="W2:Y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7"/>
  <sheetViews>
    <sheetView showFormulas="false" showGridLines="false" showRowColHeaders="true" showZeros="true" rightToLeft="false" tabSelected="false" showOutlineSymbols="true" defaultGridColor="true" view="normal" topLeftCell="A1" colorId="64" zoomScale="72" zoomScaleNormal="72" zoomScalePageLayoutView="100" workbookViewId="0">
      <selection pane="topLeft" activeCell="O6" activeCellId="0" sqref="O6"/>
    </sheetView>
  </sheetViews>
  <sheetFormatPr defaultColWidth="9.08984375" defaultRowHeight="18" zeroHeight="false" outlineLevelRow="0" outlineLevelCol="0"/>
  <cols>
    <col collapsed="false" customWidth="true" hidden="false" outlineLevel="0" max="1" min="1" style="61" width="12.6"/>
    <col collapsed="false" customWidth="true" hidden="false" outlineLevel="0" max="2" min="2" style="61" width="13.09"/>
    <col collapsed="false" customWidth="true" hidden="false" outlineLevel="0" max="4" min="3" style="61" width="12.09"/>
    <col collapsed="false" customWidth="true" hidden="false" outlineLevel="0" max="12" min="5" style="61" width="12"/>
    <col collapsed="false" customWidth="true" hidden="false" outlineLevel="0" max="14" min="13" style="61" width="12.09"/>
    <col collapsed="false" customWidth="true" hidden="false" outlineLevel="0" max="15" min="15" style="62" width="13.9"/>
    <col collapsed="false" customWidth="false" hidden="false" outlineLevel="0" max="16" min="16" style="61" width="9.09"/>
    <col collapsed="false" customWidth="true" hidden="true" outlineLevel="0" max="17" min="17" style="61" width="9.7"/>
    <col collapsed="false" customWidth="false" hidden="false" outlineLevel="0" max="16384" min="18" style="61" width="9.09"/>
  </cols>
  <sheetData>
    <row r="1" s="63" customFormat="true" ht="18" hidden="false" customHeight="true" outlineLevel="0" collapsed="false">
      <c r="C1" s="64" t="n">
        <v>45505</v>
      </c>
      <c r="D1" s="64" t="n">
        <v>45536</v>
      </c>
      <c r="E1" s="64" t="n">
        <v>45566</v>
      </c>
      <c r="F1" s="64" t="n">
        <v>45597</v>
      </c>
      <c r="G1" s="64" t="n">
        <v>45627</v>
      </c>
      <c r="H1" s="64" t="n">
        <v>45658</v>
      </c>
      <c r="I1" s="64" t="n">
        <v>45689</v>
      </c>
      <c r="J1" s="64" t="n">
        <v>45717</v>
      </c>
      <c r="K1" s="64" t="n">
        <v>45748</v>
      </c>
      <c r="L1" s="64" t="n">
        <v>45778</v>
      </c>
      <c r="M1" s="64" t="n">
        <v>45809</v>
      </c>
      <c r="N1" s="64" t="n">
        <v>45839</v>
      </c>
      <c r="O1" s="65" t="s">
        <v>72</v>
      </c>
    </row>
    <row r="2" s="66" customFormat="true" ht="18" hidden="false" customHeight="true" outlineLevel="0" collapsed="false">
      <c r="A2" s="66" t="s">
        <v>35</v>
      </c>
      <c r="B2" s="67" t="s">
        <v>73</v>
      </c>
      <c r="C2" s="68" t="n">
        <v>0</v>
      </c>
      <c r="D2" s="68" t="n">
        <v>0</v>
      </c>
      <c r="E2" s="68" t="n">
        <v>40110</v>
      </c>
      <c r="F2" s="68" t="n">
        <v>0</v>
      </c>
      <c r="G2" s="68" t="n">
        <v>0</v>
      </c>
      <c r="H2" s="68" t="n">
        <v>0</v>
      </c>
      <c r="I2" s="68" t="n">
        <v>0</v>
      </c>
      <c r="J2" s="68" t="n">
        <v>0</v>
      </c>
      <c r="K2" s="68" t="n">
        <v>40110</v>
      </c>
      <c r="L2" s="68" t="n">
        <v>0</v>
      </c>
      <c r="M2" s="68" t="n">
        <v>0</v>
      </c>
      <c r="N2" s="68" t="n">
        <v>0</v>
      </c>
      <c r="O2" s="69" t="n">
        <f aca="false">SUM(C2:N2)</f>
        <v>80220</v>
      </c>
      <c r="R2" s="66" t="s">
        <v>74</v>
      </c>
    </row>
    <row r="3" s="73" customFormat="true" ht="18" hidden="false" customHeight="true" outlineLevel="0" collapsed="false">
      <c r="A3" s="66"/>
      <c r="B3" s="70" t="s">
        <v>75</v>
      </c>
      <c r="C3" s="71" t="n">
        <v>0</v>
      </c>
      <c r="D3" s="71" t="n">
        <v>0</v>
      </c>
      <c r="E3" s="71" t="n">
        <v>6055</v>
      </c>
      <c r="F3" s="71" t="n">
        <v>8746</v>
      </c>
      <c r="G3" s="71" t="n">
        <v>8073</v>
      </c>
      <c r="H3" s="71" t="n">
        <v>0</v>
      </c>
      <c r="I3" s="71" t="n">
        <v>6728</v>
      </c>
      <c r="J3" s="71" t="n">
        <v>6055</v>
      </c>
      <c r="K3" s="71" t="n">
        <v>5382</v>
      </c>
      <c r="L3" s="71" t="n">
        <v>7400</v>
      </c>
      <c r="M3" s="71" t="n">
        <v>8746</v>
      </c>
      <c r="N3" s="71" t="n">
        <v>0</v>
      </c>
      <c r="O3" s="72" t="n">
        <f aca="false">SUM(C3:N3)</f>
        <v>57185</v>
      </c>
      <c r="P3" s="66"/>
      <c r="Q3" s="66"/>
      <c r="R3" s="73" t="s">
        <v>76</v>
      </c>
    </row>
    <row r="4" s="73" customFormat="true" ht="18" hidden="false" customHeight="true" outlineLevel="0" collapsed="false">
      <c r="B4" s="74" t="s">
        <v>77</v>
      </c>
      <c r="C4" s="71" t="n">
        <v>0</v>
      </c>
      <c r="D4" s="71" t="n">
        <v>0</v>
      </c>
      <c r="E4" s="71" t="n">
        <v>0</v>
      </c>
      <c r="F4" s="71" t="n">
        <v>0</v>
      </c>
      <c r="G4" s="71" t="n">
        <v>0</v>
      </c>
      <c r="H4" s="71" t="n">
        <v>40618</v>
      </c>
      <c r="I4" s="71" t="n">
        <v>0</v>
      </c>
      <c r="J4" s="71" t="n">
        <v>0</v>
      </c>
      <c r="K4" s="71" t="n">
        <v>0</v>
      </c>
      <c r="L4" s="71" t="n">
        <v>0</v>
      </c>
      <c r="M4" s="71" t="n">
        <v>0</v>
      </c>
      <c r="N4" s="71" t="n">
        <v>40618</v>
      </c>
      <c r="O4" s="72" t="n">
        <f aca="false">SUM(C4:N4)</f>
        <v>81236</v>
      </c>
      <c r="R4" s="73" t="s">
        <v>76</v>
      </c>
    </row>
    <row r="5" s="73" customFormat="true" ht="18" hidden="false" customHeight="true" outlineLevel="0" collapsed="false">
      <c r="B5" s="75" t="s">
        <v>78</v>
      </c>
      <c r="C5" s="75" t="n">
        <v>0</v>
      </c>
      <c r="D5" s="75" t="n">
        <v>0</v>
      </c>
      <c r="E5" s="75" t="n">
        <v>0</v>
      </c>
      <c r="F5" s="75" t="n">
        <v>0</v>
      </c>
      <c r="G5" s="75" t="n">
        <v>0</v>
      </c>
      <c r="H5" s="75" t="n">
        <v>0</v>
      </c>
      <c r="I5" s="75" t="n">
        <v>0</v>
      </c>
      <c r="J5" s="75" t="n">
        <v>0</v>
      </c>
      <c r="K5" s="75" t="n">
        <v>0</v>
      </c>
      <c r="L5" s="75" t="n">
        <v>0</v>
      </c>
      <c r="M5" s="75" t="n">
        <v>0</v>
      </c>
      <c r="N5" s="75" t="n">
        <v>0</v>
      </c>
      <c r="O5" s="76" t="n">
        <f aca="false">SUM(C5:N5)</f>
        <v>0</v>
      </c>
      <c r="R5" s="73" t="s">
        <v>76</v>
      </c>
    </row>
    <row r="6" s="73" customFormat="true" ht="18" hidden="false" customHeight="true" outlineLevel="0" collapsed="false">
      <c r="A6" s="66" t="s">
        <v>79</v>
      </c>
      <c r="B6" s="77" t="s">
        <v>73</v>
      </c>
      <c r="C6" s="78" t="n">
        <v>570000</v>
      </c>
      <c r="D6" s="78" t="n">
        <v>570000</v>
      </c>
      <c r="E6" s="78" t="n">
        <v>570000</v>
      </c>
      <c r="F6" s="78" t="n">
        <v>570000</v>
      </c>
      <c r="G6" s="78" t="n">
        <v>570000</v>
      </c>
      <c r="H6" s="78" t="n">
        <v>570000</v>
      </c>
      <c r="I6" s="78" t="n">
        <v>570000</v>
      </c>
      <c r="J6" s="78" t="n">
        <v>570000</v>
      </c>
      <c r="K6" s="78" t="n">
        <v>570000</v>
      </c>
      <c r="L6" s="78" t="n">
        <v>570000</v>
      </c>
      <c r="M6" s="78" t="n">
        <v>570000</v>
      </c>
      <c r="N6" s="78" t="n">
        <v>570000</v>
      </c>
      <c r="O6" s="79" t="n">
        <f aca="false">SUM(C6:N6)</f>
        <v>6840000</v>
      </c>
      <c r="R6" s="66" t="s">
        <v>74</v>
      </c>
    </row>
    <row r="7" s="73" customFormat="true" ht="18" hidden="false" customHeight="true" outlineLevel="0" collapsed="false">
      <c r="B7" s="70" t="s">
        <v>75</v>
      </c>
      <c r="C7" s="71" t="n">
        <v>840000</v>
      </c>
      <c r="D7" s="71" t="n">
        <v>840000</v>
      </c>
      <c r="E7" s="71" t="n">
        <v>840000</v>
      </c>
      <c r="F7" s="71" t="n">
        <v>840000</v>
      </c>
      <c r="G7" s="71" t="n">
        <v>840000</v>
      </c>
      <c r="H7" s="71" t="n">
        <v>840000</v>
      </c>
      <c r="I7" s="71" t="n">
        <v>840000</v>
      </c>
      <c r="J7" s="71" t="n">
        <v>840000</v>
      </c>
      <c r="K7" s="71" t="n">
        <v>840000</v>
      </c>
      <c r="L7" s="71" t="n">
        <v>840000</v>
      </c>
      <c r="M7" s="71" t="n">
        <v>840000</v>
      </c>
      <c r="N7" s="71" t="n">
        <v>840000</v>
      </c>
      <c r="O7" s="72" t="n">
        <f aca="false">SUM(C7:N7)</f>
        <v>10080000</v>
      </c>
      <c r="R7" s="73" t="s">
        <v>76</v>
      </c>
    </row>
    <row r="8" s="73" customFormat="true" ht="18" hidden="false" customHeight="true" outlineLevel="0" collapsed="false">
      <c r="B8" s="74" t="s">
        <v>77</v>
      </c>
      <c r="C8" s="71" t="n">
        <v>0</v>
      </c>
      <c r="D8" s="71" t="n">
        <v>0</v>
      </c>
      <c r="E8" s="71" t="n">
        <v>0</v>
      </c>
      <c r="F8" s="71" t="n">
        <v>0</v>
      </c>
      <c r="G8" s="71" t="n">
        <v>0</v>
      </c>
      <c r="H8" s="71" t="n">
        <v>685000</v>
      </c>
      <c r="I8" s="71" t="n">
        <v>685000</v>
      </c>
      <c r="J8" s="71" t="n">
        <v>685000</v>
      </c>
      <c r="K8" s="71" t="n">
        <v>685000</v>
      </c>
      <c r="L8" s="71" t="n">
        <v>685000</v>
      </c>
      <c r="M8" s="71" t="n">
        <v>685000</v>
      </c>
      <c r="N8" s="71" t="n">
        <v>685000</v>
      </c>
      <c r="O8" s="72" t="n">
        <f aca="false">SUM(C8:N8)</f>
        <v>4795000</v>
      </c>
      <c r="R8" s="73" t="s">
        <v>76</v>
      </c>
    </row>
    <row r="9" s="73" customFormat="true" ht="18" hidden="false" customHeight="true" outlineLevel="0" collapsed="false">
      <c r="B9" s="75" t="s">
        <v>78</v>
      </c>
      <c r="C9" s="75" t="n">
        <v>0</v>
      </c>
      <c r="D9" s="75" t="n">
        <v>0</v>
      </c>
      <c r="E9" s="75" t="n">
        <v>0</v>
      </c>
      <c r="F9" s="75" t="n">
        <v>0</v>
      </c>
      <c r="G9" s="75" t="n">
        <v>0</v>
      </c>
      <c r="H9" s="75" t="n">
        <v>0</v>
      </c>
      <c r="I9" s="75" t="n">
        <v>0</v>
      </c>
      <c r="J9" s="75" t="n">
        <v>0</v>
      </c>
      <c r="K9" s="75" t="n">
        <v>0</v>
      </c>
      <c r="L9" s="75" t="n">
        <v>415000</v>
      </c>
      <c r="M9" s="75" t="n">
        <v>415000</v>
      </c>
      <c r="N9" s="75" t="n">
        <v>415000</v>
      </c>
      <c r="O9" s="76" t="n">
        <f aca="false">SUM(C9:N9)</f>
        <v>1245000</v>
      </c>
      <c r="R9" s="73" t="s">
        <v>76</v>
      </c>
    </row>
    <row r="10" s="73" customFormat="true" ht="18" hidden="false" customHeight="true" outlineLevel="0" collapsed="false">
      <c r="A10" s="66" t="s">
        <v>80</v>
      </c>
      <c r="B10" s="77" t="s">
        <v>73</v>
      </c>
      <c r="C10" s="78" t="n">
        <f aca="false">C6*$Q$27</f>
        <v>93850.5</v>
      </c>
      <c r="D10" s="78" t="n">
        <f aca="false">D6*$Q$27</f>
        <v>93850.5</v>
      </c>
      <c r="E10" s="78" t="n">
        <f aca="false">E6*$Q$27</f>
        <v>93850.5</v>
      </c>
      <c r="F10" s="78" t="n">
        <f aca="false">F6*$Q$27</f>
        <v>93850.5</v>
      </c>
      <c r="G10" s="78" t="n">
        <f aca="false">G6*$Q$27</f>
        <v>93850.5</v>
      </c>
      <c r="H10" s="78" t="n">
        <f aca="false">H6*$Q$27</f>
        <v>93850.5</v>
      </c>
      <c r="I10" s="78" t="n">
        <f aca="false">I6*$Q$27</f>
        <v>93850.5</v>
      </c>
      <c r="J10" s="78" t="n">
        <f aca="false">J6*$Q$27</f>
        <v>93850.5</v>
      </c>
      <c r="K10" s="78" t="n">
        <f aca="false">K6*$Q$27</f>
        <v>93850.5</v>
      </c>
      <c r="L10" s="78" t="n">
        <f aca="false">L6*$Q$27</f>
        <v>93850.5</v>
      </c>
      <c r="M10" s="78" t="n">
        <f aca="false">M6*$Q$27</f>
        <v>93850.5</v>
      </c>
      <c r="N10" s="78" t="n">
        <f aca="false">N6*$Q$27</f>
        <v>93850.5</v>
      </c>
      <c r="O10" s="79" t="n">
        <f aca="false">SUM(C10:N10)</f>
        <v>1126206</v>
      </c>
    </row>
    <row r="11" s="73" customFormat="true" ht="18" hidden="false" customHeight="true" outlineLevel="0" collapsed="false">
      <c r="B11" s="70" t="s">
        <v>75</v>
      </c>
      <c r="C11" s="71" t="n">
        <f aca="false">C7*$Q$27</f>
        <v>138306</v>
      </c>
      <c r="D11" s="71" t="n">
        <f aca="false">D7*$Q$27</f>
        <v>138306</v>
      </c>
      <c r="E11" s="71" t="n">
        <f aca="false">E7*$Q$27</f>
        <v>138306</v>
      </c>
      <c r="F11" s="71" t="n">
        <f aca="false">F7*$Q$27</f>
        <v>138306</v>
      </c>
      <c r="G11" s="71" t="n">
        <f aca="false">G7*$Q$27</f>
        <v>138306</v>
      </c>
      <c r="H11" s="71" t="n">
        <f aca="false">H7*$Q$27</f>
        <v>138306</v>
      </c>
      <c r="I11" s="71" t="n">
        <f aca="false">I7*$Q$27</f>
        <v>138306</v>
      </c>
      <c r="J11" s="71" t="n">
        <f aca="false">J7*$Q$27</f>
        <v>138306</v>
      </c>
      <c r="K11" s="71" t="n">
        <f aca="false">K7*$Q$27</f>
        <v>138306</v>
      </c>
      <c r="L11" s="71" t="n">
        <f aca="false">L7*$Q$27</f>
        <v>138306</v>
      </c>
      <c r="M11" s="71" t="n">
        <f aca="false">M7*$Q$27</f>
        <v>138306</v>
      </c>
      <c r="N11" s="71" t="n">
        <f aca="false">N7*$Q$27</f>
        <v>138306</v>
      </c>
      <c r="O11" s="72" t="n">
        <f aca="false">SUM(C11:N11)</f>
        <v>1659672</v>
      </c>
    </row>
    <row r="12" s="73" customFormat="true" ht="18" hidden="false" customHeight="true" outlineLevel="0" collapsed="false">
      <c r="B12" s="74" t="s">
        <v>77</v>
      </c>
      <c r="C12" s="71" t="n">
        <v>0</v>
      </c>
      <c r="D12" s="71" t="n">
        <v>0</v>
      </c>
      <c r="E12" s="71" t="n">
        <v>0</v>
      </c>
      <c r="F12" s="71" t="n">
        <v>0</v>
      </c>
      <c r="G12" s="71" t="n">
        <v>0</v>
      </c>
      <c r="H12" s="71" t="n">
        <f aca="false">H8*$Q$27</f>
        <v>112785.25</v>
      </c>
      <c r="I12" s="71" t="n">
        <f aca="false">I8*$Q$27</f>
        <v>112785.25</v>
      </c>
      <c r="J12" s="71" t="n">
        <f aca="false">J8*$Q$27</f>
        <v>112785.25</v>
      </c>
      <c r="K12" s="71" t="n">
        <f aca="false">K8*$Q$27</f>
        <v>112785.25</v>
      </c>
      <c r="L12" s="71" t="n">
        <f aca="false">L8*$Q$27</f>
        <v>112785.25</v>
      </c>
      <c r="M12" s="71" t="n">
        <f aca="false">M8*$Q$27</f>
        <v>112785.25</v>
      </c>
      <c r="N12" s="71" t="n">
        <f aca="false">N8*$Q$27</f>
        <v>112785.25</v>
      </c>
      <c r="O12" s="72" t="n">
        <f aca="false">SUM(C12:N12)</f>
        <v>789496.75</v>
      </c>
    </row>
    <row r="13" s="73" customFormat="true" ht="18" hidden="false" customHeight="true" outlineLevel="0" collapsed="false">
      <c r="B13" s="75" t="s">
        <v>78</v>
      </c>
      <c r="C13" s="75" t="n">
        <v>0</v>
      </c>
      <c r="D13" s="75" t="n">
        <v>0</v>
      </c>
      <c r="E13" s="75" t="n">
        <v>0</v>
      </c>
      <c r="F13" s="75" t="n">
        <v>0</v>
      </c>
      <c r="G13" s="75" t="n">
        <v>0</v>
      </c>
      <c r="H13" s="75" t="n">
        <f aca="false">H9*$Q$27</f>
        <v>0</v>
      </c>
      <c r="I13" s="75" t="n">
        <f aca="false">I9*$Q$27</f>
        <v>0</v>
      </c>
      <c r="J13" s="75" t="n">
        <f aca="false">J9*$Q$27</f>
        <v>0</v>
      </c>
      <c r="K13" s="75" t="n">
        <f aca="false">K9*$Q$27</f>
        <v>0</v>
      </c>
      <c r="L13" s="75" t="n">
        <f aca="false">L9*$Q$27</f>
        <v>68329.75</v>
      </c>
      <c r="M13" s="75" t="n">
        <f aca="false">M9*$Q$27</f>
        <v>68329.75</v>
      </c>
      <c r="N13" s="75" t="n">
        <f aca="false">N9*$Q$27</f>
        <v>68329.75</v>
      </c>
      <c r="O13" s="76" t="n">
        <f aca="false">SUM(C13:N13)</f>
        <v>204989.25</v>
      </c>
    </row>
    <row r="14" s="73" customFormat="true" ht="18" hidden="false" customHeight="true" outlineLevel="0" collapsed="false">
      <c r="A14" s="66" t="s">
        <v>33</v>
      </c>
      <c r="B14" s="77" t="s">
        <v>73</v>
      </c>
      <c r="C14" s="78" t="n">
        <v>0</v>
      </c>
      <c r="D14" s="78" t="n">
        <v>0</v>
      </c>
      <c r="E14" s="78" t="n">
        <v>31331</v>
      </c>
      <c r="F14" s="78" t="n">
        <v>0</v>
      </c>
      <c r="G14" s="78" t="n">
        <v>0</v>
      </c>
      <c r="H14" s="78" t="n">
        <v>0</v>
      </c>
      <c r="I14" s="78" t="n">
        <v>0</v>
      </c>
      <c r="J14" s="78" t="n">
        <v>0</v>
      </c>
      <c r="K14" s="78" t="n">
        <v>0</v>
      </c>
      <c r="L14" s="78" t="n">
        <v>0</v>
      </c>
      <c r="M14" s="78" t="n">
        <v>0</v>
      </c>
      <c r="N14" s="78" t="n">
        <v>0</v>
      </c>
      <c r="O14" s="79" t="n">
        <f aca="false">SUM(C14:N14)</f>
        <v>31331</v>
      </c>
    </row>
    <row r="15" s="73" customFormat="true" ht="18" hidden="false" customHeight="true" outlineLevel="0" collapsed="false">
      <c r="B15" s="70" t="s">
        <v>75</v>
      </c>
      <c r="C15" s="71" t="n">
        <v>0</v>
      </c>
      <c r="D15" s="71" t="n">
        <v>0</v>
      </c>
      <c r="E15" s="71" t="n">
        <v>0</v>
      </c>
      <c r="F15" s="71" t="n">
        <v>27847</v>
      </c>
      <c r="G15" s="71" t="n">
        <v>0</v>
      </c>
      <c r="H15" s="71" t="n">
        <v>0</v>
      </c>
      <c r="I15" s="71" t="n">
        <v>0</v>
      </c>
      <c r="J15" s="71" t="n">
        <v>0</v>
      </c>
      <c r="K15" s="71" t="n">
        <v>0</v>
      </c>
      <c r="L15" s="71" t="n">
        <v>0</v>
      </c>
      <c r="M15" s="71" t="n">
        <v>0</v>
      </c>
      <c r="N15" s="71" t="n">
        <v>0</v>
      </c>
      <c r="O15" s="72" t="n">
        <f aca="false">SUM(C15:N15)</f>
        <v>27847</v>
      </c>
    </row>
    <row r="16" s="73" customFormat="true" ht="18" hidden="false" customHeight="true" outlineLevel="0" collapsed="false">
      <c r="B16" s="75" t="s">
        <v>78</v>
      </c>
      <c r="C16" s="75" t="n">
        <v>0</v>
      </c>
      <c r="D16" s="75" t="n">
        <v>0</v>
      </c>
      <c r="E16" s="75" t="n">
        <v>0</v>
      </c>
      <c r="F16" s="75" t="n">
        <v>0</v>
      </c>
      <c r="G16" s="75" t="n">
        <v>0</v>
      </c>
      <c r="H16" s="75" t="n">
        <v>0</v>
      </c>
      <c r="I16" s="75" t="n">
        <v>0</v>
      </c>
      <c r="J16" s="75" t="n">
        <v>0</v>
      </c>
      <c r="K16" s="75" t="n">
        <v>0</v>
      </c>
      <c r="L16" s="75" t="n">
        <v>0</v>
      </c>
      <c r="M16" s="75" t="n">
        <v>0</v>
      </c>
      <c r="N16" s="75" t="n">
        <v>0</v>
      </c>
      <c r="O16" s="76" t="n">
        <f aca="false">SUM(C16:N16)</f>
        <v>0</v>
      </c>
    </row>
    <row r="17" s="73" customFormat="true" ht="18" hidden="false" customHeight="true" outlineLevel="0" collapsed="false">
      <c r="A17" s="66" t="s">
        <v>81</v>
      </c>
      <c r="B17" s="77" t="s">
        <v>73</v>
      </c>
      <c r="C17" s="78" t="n">
        <v>6000</v>
      </c>
      <c r="D17" s="78" t="n">
        <v>6000</v>
      </c>
      <c r="E17" s="78" t="n">
        <v>6000</v>
      </c>
      <c r="F17" s="78" t="n">
        <v>6000</v>
      </c>
      <c r="G17" s="78" t="n">
        <v>6000</v>
      </c>
      <c r="H17" s="78" t="n">
        <v>6000</v>
      </c>
      <c r="I17" s="78" t="n">
        <v>6000</v>
      </c>
      <c r="J17" s="78" t="n">
        <v>6000</v>
      </c>
      <c r="K17" s="78" t="n">
        <v>6000</v>
      </c>
      <c r="L17" s="78" t="n">
        <v>6000</v>
      </c>
      <c r="M17" s="78" t="n">
        <v>6000</v>
      </c>
      <c r="N17" s="78" t="n">
        <v>6000</v>
      </c>
      <c r="O17" s="79" t="n">
        <f aca="false">SUM(C17:N17)</f>
        <v>72000</v>
      </c>
    </row>
    <row r="18" s="73" customFormat="true" ht="18" hidden="false" customHeight="true" outlineLevel="0" collapsed="false">
      <c r="B18" s="70" t="s">
        <v>75</v>
      </c>
      <c r="C18" s="71" t="n">
        <v>6000</v>
      </c>
      <c r="D18" s="71" t="n">
        <v>6000</v>
      </c>
      <c r="E18" s="71" t="n">
        <v>6000</v>
      </c>
      <c r="F18" s="71" t="n">
        <v>6000</v>
      </c>
      <c r="G18" s="71" t="n">
        <v>6000</v>
      </c>
      <c r="H18" s="71" t="n">
        <v>6000</v>
      </c>
      <c r="I18" s="71" t="n">
        <v>6000</v>
      </c>
      <c r="J18" s="71" t="n">
        <v>6000</v>
      </c>
      <c r="K18" s="71" t="n">
        <v>6000</v>
      </c>
      <c r="L18" s="71" t="n">
        <v>6000</v>
      </c>
      <c r="M18" s="71" t="n">
        <v>6000</v>
      </c>
      <c r="N18" s="71" t="n">
        <v>6000</v>
      </c>
      <c r="O18" s="72" t="n">
        <f aca="false">SUM(C18:N18)</f>
        <v>72000</v>
      </c>
    </row>
    <row r="19" s="73" customFormat="true" ht="18" hidden="false" customHeight="true" outlineLevel="0" collapsed="false">
      <c r="B19" s="74" t="s">
        <v>77</v>
      </c>
      <c r="C19" s="71" t="n">
        <v>0</v>
      </c>
      <c r="D19" s="71" t="n">
        <v>0</v>
      </c>
      <c r="E19" s="71" t="n">
        <v>0</v>
      </c>
      <c r="F19" s="71" t="n">
        <v>0</v>
      </c>
      <c r="G19" s="71" t="n">
        <v>0</v>
      </c>
      <c r="H19" s="71" t="n">
        <v>0</v>
      </c>
      <c r="I19" s="71" t="n">
        <v>0</v>
      </c>
      <c r="J19" s="71" t="n">
        <v>0</v>
      </c>
      <c r="K19" s="71" t="n">
        <v>0</v>
      </c>
      <c r="L19" s="71" t="n">
        <v>0</v>
      </c>
      <c r="M19" s="71" t="n">
        <v>0</v>
      </c>
      <c r="N19" s="71" t="n">
        <v>4000</v>
      </c>
      <c r="O19" s="72" t="n">
        <f aca="false">SUM(C19:N19)</f>
        <v>4000</v>
      </c>
    </row>
    <row r="20" customFormat="false" ht="18" hidden="false" customHeight="true" outlineLevel="0" collapsed="false">
      <c r="B20" s="75" t="s">
        <v>78</v>
      </c>
      <c r="C20" s="75" t="n">
        <v>0</v>
      </c>
      <c r="D20" s="75" t="n">
        <v>0</v>
      </c>
      <c r="E20" s="75" t="n">
        <v>0</v>
      </c>
      <c r="F20" s="75" t="n">
        <v>0</v>
      </c>
      <c r="G20" s="75" t="n">
        <v>0</v>
      </c>
      <c r="H20" s="75" t="n">
        <v>0</v>
      </c>
      <c r="I20" s="75" t="n">
        <v>0</v>
      </c>
      <c r="J20" s="75" t="n">
        <v>0</v>
      </c>
      <c r="K20" s="75" t="n">
        <v>0</v>
      </c>
      <c r="L20" s="75" t="n">
        <v>0</v>
      </c>
      <c r="M20" s="75" t="n">
        <v>0</v>
      </c>
      <c r="N20" s="75" t="n">
        <v>0</v>
      </c>
      <c r="O20" s="76" t="n">
        <f aca="false">SUM(C20:N20)</f>
        <v>0</v>
      </c>
      <c r="Q20" s="80" t="s">
        <v>82</v>
      </c>
    </row>
    <row r="21" customFormat="false" ht="18" hidden="false" customHeight="true" outlineLevel="0" collapsed="false">
      <c r="Q21" s="81" t="n">
        <v>0.05</v>
      </c>
    </row>
    <row r="22" customFormat="false" ht="18" hidden="false" customHeight="true" outlineLevel="0" collapsed="false">
      <c r="Q22" s="81" t="n">
        <v>0.00805</v>
      </c>
    </row>
    <row r="23" customFormat="false" ht="18" hidden="false" customHeight="true" outlineLevel="0" collapsed="false">
      <c r="Q23" s="81" t="n">
        <v>0.0915</v>
      </c>
    </row>
    <row r="24" customFormat="false" ht="18" hidden="false" customHeight="true" outlineLevel="0" collapsed="false">
      <c r="Q24" s="81" t="n">
        <v>0.0036</v>
      </c>
    </row>
    <row r="25" customFormat="false" ht="18" hidden="false" customHeight="true" outlineLevel="0" collapsed="false">
      <c r="Q25" s="81" t="n">
        <v>0.0085</v>
      </c>
    </row>
    <row r="26" customFormat="false" ht="18" hidden="false" customHeight="true" outlineLevel="0" collapsed="false">
      <c r="Q26" s="81" t="n">
        <v>0.003</v>
      </c>
    </row>
    <row r="27" customFormat="false" ht="18" hidden="false" customHeight="true" outlineLevel="0" collapsed="false">
      <c r="Q27" s="81" t="n">
        <f aca="false">SUM(Q21:Q26)</f>
        <v>0.16465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375" defaultRowHeight="12.7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U976"/>
  <sheetViews>
    <sheetView showFormulas="false" showGridLines="false" showRowColHeaders="true" showZeros="true" rightToLeft="false" tabSelected="false" showOutlineSymbols="true" defaultGridColor="true" view="normal" topLeftCell="A1" colorId="64" zoomScale="83" zoomScaleNormal="83"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F6" activeCellId="0" sqref="F6"/>
    </sheetView>
  </sheetViews>
  <sheetFormatPr defaultColWidth="14.40234375" defaultRowHeight="15" zeroHeight="false" outlineLevelRow="0" outlineLevelCol="1"/>
  <cols>
    <col collapsed="false" customWidth="true" hidden="false" outlineLevel="0" max="1" min="1" style="1" width="26.7"/>
    <col collapsed="false" customWidth="true" hidden="false" outlineLevel="1" max="2" min="2" style="1" width="13.9"/>
    <col collapsed="false" customWidth="true" hidden="false" outlineLevel="1" max="3" min="3" style="1" width="12.9"/>
    <col collapsed="false" customWidth="true" hidden="false" outlineLevel="1" max="4" min="4" style="1" width="11.4"/>
    <col collapsed="false" customWidth="true" hidden="false" outlineLevel="1" max="5" min="5" style="1" width="8.7"/>
    <col collapsed="false" customWidth="true" hidden="false" outlineLevel="1" max="8" min="6" style="1" width="11.4"/>
    <col collapsed="false" customWidth="true" hidden="false" outlineLevel="1" max="9" min="9" style="1" width="8.7"/>
    <col collapsed="false" customWidth="true" hidden="false" outlineLevel="1" max="10" min="10" style="1" width="11.09"/>
    <col collapsed="false" customWidth="true" hidden="false" outlineLevel="1" max="11" min="11" style="1" width="11.6"/>
    <col collapsed="false" customWidth="true" hidden="false" outlineLevel="1" max="12" min="12" style="1" width="11.4"/>
    <col collapsed="false" customWidth="true" hidden="false" outlineLevel="1" max="13" min="13" style="1" width="8.7"/>
    <col collapsed="false" customWidth="true" hidden="false" outlineLevel="0" max="14" min="14" style="1" width="11.6"/>
    <col collapsed="false" customWidth="true" hidden="false" outlineLevel="0" max="15" min="15" style="1" width="13.6"/>
    <col collapsed="false" customWidth="true" hidden="false" outlineLevel="0" max="16" min="16" style="1" width="13"/>
    <col collapsed="false" customWidth="true" hidden="false" outlineLevel="0" max="17" min="17" style="1" width="8.7"/>
    <col collapsed="false" customWidth="true" hidden="false" outlineLevel="0" max="19" min="18" style="1" width="12.9"/>
    <col collapsed="false" customWidth="true" hidden="false" outlineLevel="0" max="20" min="20" style="1" width="13.6"/>
    <col collapsed="false" customWidth="true" hidden="false" outlineLevel="0" max="21" min="21" style="1" width="9.09"/>
    <col collapsed="false" customWidth="true" hidden="false" outlineLevel="0" max="22" min="22" style="1" width="8.7"/>
  </cols>
  <sheetData>
    <row r="1" customFormat="false" ht="33.75" hidden="false" customHeight="true" outlineLevel="0" collapsed="false"/>
    <row r="2" customFormat="false" ht="15.75" hidden="false" customHeight="true" outlineLevel="0" collapsed="false">
      <c r="A2" s="10"/>
      <c r="B2" s="82" t="s">
        <v>7</v>
      </c>
      <c r="C2" s="82"/>
      <c r="D2" s="82"/>
      <c r="E2" s="82"/>
      <c r="F2" s="82" t="s">
        <v>8</v>
      </c>
      <c r="G2" s="82"/>
      <c r="H2" s="82"/>
      <c r="I2" s="82"/>
      <c r="J2" s="82" t="s">
        <v>9</v>
      </c>
      <c r="K2" s="82"/>
      <c r="L2" s="82"/>
      <c r="M2" s="82"/>
      <c r="N2" s="82" t="s">
        <v>11</v>
      </c>
      <c r="O2" s="82"/>
      <c r="P2" s="82"/>
      <c r="Q2" s="82"/>
      <c r="R2" s="82" t="s">
        <v>83</v>
      </c>
      <c r="S2" s="82"/>
      <c r="T2" s="82"/>
      <c r="U2" s="82"/>
    </row>
    <row r="3" customFormat="false" ht="15.75" hidden="false" customHeight="true" outlineLevel="0" collapsed="false">
      <c r="A3" s="10"/>
      <c r="B3" s="16" t="s">
        <v>84</v>
      </c>
      <c r="C3" s="83" t="s">
        <v>15</v>
      </c>
      <c r="D3" s="83" t="s">
        <v>85</v>
      </c>
      <c r="E3" s="84" t="s">
        <v>86</v>
      </c>
      <c r="F3" s="16" t="s">
        <v>84</v>
      </c>
      <c r="G3" s="83" t="s">
        <v>15</v>
      </c>
      <c r="H3" s="83" t="s">
        <v>85</v>
      </c>
      <c r="I3" s="84" t="s">
        <v>86</v>
      </c>
      <c r="J3" s="16" t="s">
        <v>84</v>
      </c>
      <c r="K3" s="83" t="s">
        <v>15</v>
      </c>
      <c r="L3" s="83" t="s">
        <v>85</v>
      </c>
      <c r="M3" s="84" t="s">
        <v>86</v>
      </c>
      <c r="N3" s="16" t="s">
        <v>84</v>
      </c>
      <c r="O3" s="83" t="s">
        <v>15</v>
      </c>
      <c r="P3" s="83" t="s">
        <v>85</v>
      </c>
      <c r="Q3" s="84" t="s">
        <v>86</v>
      </c>
      <c r="R3" s="16" t="s">
        <v>84</v>
      </c>
      <c r="S3" s="83" t="s">
        <v>15</v>
      </c>
      <c r="T3" s="83" t="s">
        <v>85</v>
      </c>
      <c r="U3" s="84" t="s">
        <v>86</v>
      </c>
    </row>
    <row r="4" customFormat="false" ht="15.75" hidden="false" customHeight="true" outlineLevel="0" collapsed="false">
      <c r="A4" s="25" t="s">
        <v>18</v>
      </c>
      <c r="B4" s="26" t="n">
        <f aca="false">SUM(start:end!B4:B4)</f>
        <v>97380463</v>
      </c>
      <c r="C4" s="26" t="n">
        <f aca="false">SUM(start:end!C4:C4)</f>
        <v>0</v>
      </c>
      <c r="D4" s="26" t="n">
        <f aca="false">SUM(start:end!D4:D4)</f>
        <v>97380463</v>
      </c>
      <c r="E4" s="85" t="n">
        <f aca="false">IFERROR(C4/B4,"-")</f>
        <v>0</v>
      </c>
      <c r="F4" s="26" t="n">
        <f aca="false">SUM(start:end!F4:F4)</f>
        <v>0</v>
      </c>
      <c r="G4" s="26" t="n">
        <f aca="false">SUM(start:end!G4:G4)</f>
        <v>25572530</v>
      </c>
      <c r="H4" s="26" t="n">
        <f aca="false">SUM(start:end!H4:H4)</f>
        <v>134921430</v>
      </c>
      <c r="I4" s="85" t="str">
        <f aca="false">IFERROR(G4/F4,"-")</f>
        <v>-</v>
      </c>
      <c r="J4" s="26" t="n">
        <f aca="false">SUM(start:end!J4:J4)</f>
        <v>134880812</v>
      </c>
      <c r="K4" s="26" t="n">
        <f aca="false">SUM(start:end!K4:K4)</f>
        <v>31732150</v>
      </c>
      <c r="L4" s="26" t="n">
        <f aca="false">SUM(start:end!L4:L4)</f>
        <v>0</v>
      </c>
      <c r="M4" s="85" t="n">
        <f aca="false">IFERROR(K4/J4,"-")</f>
        <v>0.235260668507838</v>
      </c>
      <c r="N4" s="26" t="n">
        <f aca="false">SUM(start:end!N4:N4)</f>
        <v>12532518</v>
      </c>
      <c r="O4" s="26" t="n">
        <f aca="false">SUM(start:end!O4:O4)</f>
        <v>81236</v>
      </c>
      <c r="P4" s="26" t="n">
        <f aca="false">SUM(start:end!P4:P4)</f>
        <v>12491900</v>
      </c>
      <c r="Q4" s="85" t="n">
        <f aca="false">IFERROR(O4/N4,"-")</f>
        <v>0.00648201742060135</v>
      </c>
      <c r="R4" s="26" t="n">
        <f aca="false">SUM(start:end!R4:R4)</f>
        <v>0</v>
      </c>
      <c r="S4" s="26" t="n">
        <f aca="false">SUM(start:end!S4:S4)</f>
        <v>122952993</v>
      </c>
      <c r="T4" s="26" t="n">
        <f aca="false">SUM(start:end!T4:T4)</f>
        <v>166612962</v>
      </c>
      <c r="U4" s="85" t="str">
        <f aca="false">IFERROR(S4/R4,"-")</f>
        <v>-</v>
      </c>
    </row>
    <row r="5" customFormat="false" ht="15.75" hidden="false" customHeight="true" outlineLevel="0" collapsed="false">
      <c r="A5" s="86" t="s">
        <v>18</v>
      </c>
      <c r="B5" s="31" t="n">
        <f aca="false">SUM(start:end!B5:B5)</f>
        <v>97380463</v>
      </c>
      <c r="C5" s="31" t="n">
        <f aca="false">SUM(start:end!C5:C5)</f>
        <v>0</v>
      </c>
      <c r="D5" s="31" t="n">
        <f aca="false">SUM(start:end!D5:D5)</f>
        <v>97380463</v>
      </c>
      <c r="E5" s="87" t="n">
        <f aca="false">IFERROR(C5/B5,"-")</f>
        <v>0</v>
      </c>
      <c r="F5" s="31" t="n">
        <f aca="false">SUM(start:end!F5:F5)</f>
        <v>0</v>
      </c>
      <c r="G5" s="31" t="n">
        <f aca="false">SUM(start:end!G5:G5)</f>
        <v>25572530</v>
      </c>
      <c r="H5" s="31" t="n">
        <f aca="false">SUM(start:end!H5:H5)</f>
        <v>134880812</v>
      </c>
      <c r="I5" s="87" t="str">
        <f aca="false">IFERROR(G5/F5,"-")</f>
        <v>-</v>
      </c>
      <c r="J5" s="31" t="n">
        <f aca="false">SUM(start:end!J5:J5)</f>
        <v>134880812</v>
      </c>
      <c r="K5" s="31" t="n">
        <f aca="false">SUM(start:end!K5:K5)</f>
        <v>31732150</v>
      </c>
      <c r="L5" s="31" t="n">
        <f aca="false">SUM(start:end!L5:L5)</f>
        <v>0</v>
      </c>
      <c r="M5" s="87" t="n">
        <f aca="false">IFERROR(K5/J5,"-")</f>
        <v>0.235260668507838</v>
      </c>
      <c r="N5" s="31" t="n">
        <f aca="false">SUM(start:end!N5:N5)</f>
        <v>-708100</v>
      </c>
      <c r="O5" s="31" t="n">
        <f aca="false">SUM(start:end!O5:O5)</f>
        <v>0</v>
      </c>
      <c r="P5" s="31" t="n">
        <f aca="false">SUM(start:end!P5:P5)</f>
        <v>-708100</v>
      </c>
      <c r="Q5" s="87" t="n">
        <f aca="false">IFERROR(O5/N5,"-")</f>
        <v>-0</v>
      </c>
      <c r="R5" s="31" t="n">
        <f aca="false">SUM(start:end!R5:R5)</f>
        <v>0</v>
      </c>
      <c r="S5" s="31" t="n">
        <f aca="false">SUM(start:end!S5:S5)</f>
        <v>122952993</v>
      </c>
      <c r="T5" s="31" t="n">
        <f aca="false">SUM(start:end!T5:T5)</f>
        <v>166612962</v>
      </c>
      <c r="U5" s="87" t="str">
        <f aca="false">IFERROR(S5/R5,"-")</f>
        <v>-</v>
      </c>
    </row>
    <row r="6" customFormat="false" ht="15.75" hidden="false" customHeight="true" outlineLevel="0" collapsed="false">
      <c r="A6" s="86" t="s">
        <v>20</v>
      </c>
      <c r="B6" s="31" t="n">
        <f aca="false">SUM(start:end!B6:B6)</f>
        <v>0</v>
      </c>
      <c r="C6" s="31" t="n">
        <f aca="false">SUM(start:end!C6:C6)</f>
        <v>570000</v>
      </c>
      <c r="D6" s="31" t="n">
        <f aca="false">SUM(start:end!D6:D6)</f>
        <v>570000</v>
      </c>
      <c r="E6" s="87" t="str">
        <f aca="false">IFERROR(C6/B6,"-")</f>
        <v>-</v>
      </c>
      <c r="F6" s="31" t="n">
        <f aca="false">SUM(start:end!F6:F6)</f>
        <v>570000</v>
      </c>
      <c r="G6" s="31" t="n">
        <f aca="false">SUM(start:end!G6:G6)</f>
        <v>570000</v>
      </c>
      <c r="H6" s="31" t="n">
        <f aca="false">SUM(start:end!H6:H6)</f>
        <v>570000</v>
      </c>
      <c r="I6" s="87" t="n">
        <f aca="false">IFERROR(G6/F6,"-")</f>
        <v>1</v>
      </c>
      <c r="J6" s="31" t="n">
        <f aca="false">SUM(start:end!J6:J6)</f>
        <v>570000</v>
      </c>
      <c r="K6" s="31" t="n">
        <f aca="false">SUM(start:end!K6:K6)</f>
        <v>570000</v>
      </c>
      <c r="L6" s="31" t="n">
        <f aca="false">SUM(start:end!L6:L6)</f>
        <v>570000</v>
      </c>
      <c r="M6" s="87" t="n">
        <f aca="false">IFERROR(K6/J6,"-")</f>
        <v>1</v>
      </c>
      <c r="N6" s="31" t="n">
        <f aca="false">SUM(start:end!N6:N6)</f>
        <v>13770000</v>
      </c>
      <c r="O6" s="31" t="n">
        <f aca="false">SUM(start:end!O6:O6)</f>
        <v>6840000</v>
      </c>
      <c r="P6" s="31" t="n">
        <f aca="false">SUM(start:end!P6:P6)</f>
        <v>13200000</v>
      </c>
      <c r="Q6" s="87" t="n">
        <f aca="false">IFERROR(O6/N6,"-")</f>
        <v>0.496732026143791</v>
      </c>
      <c r="R6" s="31" t="n">
        <f aca="false">SUM(start:end!R6:R6)</f>
        <v>0</v>
      </c>
      <c r="S6" s="31" t="n">
        <f aca="false">SUM(start:end!S6:S6)</f>
        <v>0</v>
      </c>
      <c r="T6" s="31" t="n">
        <f aca="false">SUM(start:end!T6:T6)</f>
        <v>0</v>
      </c>
      <c r="U6" s="87" t="str">
        <f aca="false">IFERROR(S6/R6,"-")</f>
        <v>-</v>
      </c>
    </row>
    <row r="7" customFormat="false" ht="15.75" hidden="false" customHeight="true" outlineLevel="0" collapsed="false">
      <c r="A7" s="25" t="s">
        <v>21</v>
      </c>
      <c r="B7" s="26" t="n">
        <f aca="false">SUM(start:end!B7:B7)</f>
        <v>0</v>
      </c>
      <c r="C7" s="26" t="n">
        <f aca="false">SUM(start:end!C7:C7)</f>
        <v>840000</v>
      </c>
      <c r="D7" s="26" t="n">
        <f aca="false">SUM(start:end!D7:D7)</f>
        <v>840000</v>
      </c>
      <c r="E7" s="85" t="str">
        <f aca="false">IFERROR(C7/B7,"-")</f>
        <v>-</v>
      </c>
      <c r="F7" s="26" t="n">
        <f aca="false">SUM(start:end!F7:F7)</f>
        <v>840000</v>
      </c>
      <c r="G7" s="26" t="n">
        <f aca="false">SUM(start:end!G7:G7)</f>
        <v>840000</v>
      </c>
      <c r="H7" s="26" t="n">
        <f aca="false">SUM(start:end!H7:H7)</f>
        <v>840000</v>
      </c>
      <c r="I7" s="85" t="n">
        <f aca="false">IFERROR(G7/F7,"-")</f>
        <v>1</v>
      </c>
      <c r="J7" s="26" t="n">
        <f aca="false">SUM(start:end!J7:J7)</f>
        <v>840000</v>
      </c>
      <c r="K7" s="26" t="n">
        <f aca="false">SUM(start:end!K7:K7)</f>
        <v>840000</v>
      </c>
      <c r="L7" s="26" t="n">
        <f aca="false">SUM(start:end!L7:L7)</f>
        <v>840000</v>
      </c>
      <c r="M7" s="85" t="n">
        <f aca="false">IFERROR(K7/J7,"-")</f>
        <v>1</v>
      </c>
      <c r="N7" s="26" t="n">
        <f aca="false">SUM(start:end!N7:N7)</f>
        <v>840000</v>
      </c>
      <c r="O7" s="26" t="n">
        <f aca="false">SUM(start:end!O7:O7)</f>
        <v>10080000</v>
      </c>
      <c r="P7" s="26" t="n">
        <f aca="false">SUM(start:end!P7:P7)</f>
        <v>0</v>
      </c>
      <c r="Q7" s="85" t="n">
        <f aca="false">IFERROR(O7/N7,"-")</f>
        <v>12</v>
      </c>
      <c r="R7" s="26" t="n">
        <f aca="false">SUM(start:end!R7:R7)</f>
        <v>0</v>
      </c>
      <c r="S7" s="26" t="n">
        <f aca="false">SUM(start:end!S7:S7)</f>
        <v>0</v>
      </c>
      <c r="T7" s="26" t="n">
        <f aca="false">SUM(start:end!T7:T7)</f>
        <v>0</v>
      </c>
      <c r="U7" s="85" t="str">
        <f aca="false">IFERROR(S7/R7,"-")</f>
        <v>-</v>
      </c>
    </row>
    <row r="8" customFormat="false" ht="15.75" hidden="false" customHeight="true" outlineLevel="0" collapsed="false">
      <c r="A8" s="25" t="s">
        <v>22</v>
      </c>
      <c r="B8" s="26" t="n">
        <f aca="false">SUM(start:end!B8:B8)</f>
        <v>97380463</v>
      </c>
      <c r="C8" s="26" t="n">
        <f aca="false">SUM(start:end!C8:C8)</f>
        <v>0</v>
      </c>
      <c r="D8" s="26" t="n">
        <f aca="false">SUM(start:end!D8:D8)</f>
        <v>97380463</v>
      </c>
      <c r="E8" s="85" t="n">
        <f aca="false">IFERROR(C8/B8,"-")</f>
        <v>0</v>
      </c>
      <c r="F8" s="26" t="n">
        <f aca="false">SUM(start:end!F8:F8)</f>
        <v>0</v>
      </c>
      <c r="G8" s="26" t="n">
        <f aca="false">SUM(start:end!G8:G8)</f>
        <v>25572530</v>
      </c>
      <c r="H8" s="26" t="n">
        <f aca="false">SUM(start:end!H8:H8)</f>
        <v>135565812</v>
      </c>
      <c r="I8" s="85" t="str">
        <f aca="false">IFERROR(G8/F8,"-")</f>
        <v>-</v>
      </c>
      <c r="J8" s="26" t="n">
        <f aca="false">SUM(start:end!J8:J8)</f>
        <v>135565812</v>
      </c>
      <c r="K8" s="26" t="n">
        <f aca="false">SUM(start:end!K8:K8)</f>
        <v>32417150</v>
      </c>
      <c r="L8" s="26" t="n">
        <f aca="false">SUM(start:end!L8:L8)</f>
        <v>685000</v>
      </c>
      <c r="M8" s="85" t="n">
        <f aca="false">IFERROR(K8/J8,"-")</f>
        <v>0.239124817103592</v>
      </c>
      <c r="N8" s="26" t="n">
        <f aca="false">SUM(start:end!N8:N8)</f>
        <v>13176900</v>
      </c>
      <c r="O8" s="26" t="n">
        <f aca="false">SUM(start:end!O8:O8)</f>
        <v>4795000</v>
      </c>
      <c r="P8" s="26" t="n">
        <f aca="false">SUM(start:end!P8:P8)</f>
        <v>12491900</v>
      </c>
      <c r="Q8" s="85" t="n">
        <f aca="false">IFERROR(O8/N8,"-")</f>
        <v>0.363894390941724</v>
      </c>
      <c r="R8" s="26" t="n">
        <f aca="false">SUM(start:end!R8:R8)</f>
        <v>0</v>
      </c>
      <c r="S8" s="26" t="n">
        <f aca="false">SUM(start:end!S8:S8)</f>
        <v>122952993</v>
      </c>
      <c r="T8" s="26" t="n">
        <f aca="false">SUM(start:end!T8:T8)</f>
        <v>166612962</v>
      </c>
      <c r="U8" s="85" t="str">
        <f aca="false">IFERROR(S8/R8,"-")</f>
        <v>-</v>
      </c>
    </row>
    <row r="9" customFormat="false" ht="15.75" hidden="false" customHeight="true" outlineLevel="0" collapsed="false">
      <c r="A9" s="25" t="s">
        <v>23</v>
      </c>
      <c r="B9" s="26" t="n">
        <f aca="false">SUM(start:end!B9:B9)</f>
        <v>84749341</v>
      </c>
      <c r="C9" s="26" t="n">
        <f aca="false">SUM(start:end!C9:C9)</f>
        <v>-6553888.52565934</v>
      </c>
      <c r="D9" s="26" t="n">
        <f aca="false">SUM(start:end!D9:D9)</f>
        <v>78195452.4743407</v>
      </c>
      <c r="E9" s="85" t="n">
        <f aca="false">IFERROR(C9/B9,"-")</f>
        <v>-0.0773326193257283</v>
      </c>
      <c r="F9" s="26" t="n">
        <f aca="false">SUM(start:end!F9:F9)</f>
        <v>-2622262.24695466</v>
      </c>
      <c r="G9" s="26" t="n">
        <f aca="false">SUM(start:end!G9:G9)</f>
        <v>18729560.7530453</v>
      </c>
      <c r="H9" s="26" t="n">
        <f aca="false">SUM(start:end!H9:H9)</f>
        <v>119830678</v>
      </c>
      <c r="I9" s="85" t="n">
        <f aca="false">IFERROR(G9/F9,"-")</f>
        <v>-7.14252007967423</v>
      </c>
      <c r="J9" s="26" t="n">
        <f aca="false">SUM(start:end!J9:J9)</f>
        <v>141631744.605755</v>
      </c>
      <c r="K9" s="26" t="n">
        <f aca="false">SUM(start:end!K9:K9)</f>
        <v>21681104</v>
      </c>
      <c r="L9" s="26" t="n">
        <f aca="false">SUM(start:end!L9:L9)</f>
        <v>-3779610.83314097</v>
      </c>
      <c r="M9" s="85" t="n">
        <f aca="false">IFERROR(K9/J9,"-")</f>
        <v>0.153080822808131</v>
      </c>
      <c r="N9" s="26" t="n">
        <f aca="false">SUM(start:end!N9:N9)</f>
        <v>94987730</v>
      </c>
      <c r="O9" s="26" t="n">
        <f aca="false">SUM(start:end!O9:O9)</f>
        <v>-46015868</v>
      </c>
      <c r="P9" s="26" t="n">
        <f aca="false">SUM(start:end!P9:P9)</f>
        <v>47311862</v>
      </c>
      <c r="Q9" s="85" t="n">
        <f aca="false">IFERROR(O9/N9,"-")</f>
        <v>-0.484440127161687</v>
      </c>
      <c r="R9" s="26" t="n">
        <f aca="false">SUM(start:end!R9:R9)</f>
        <v>-9176150.772614</v>
      </c>
      <c r="S9" s="26" t="n">
        <f aca="false">SUM(start:end!S9:S9)</f>
        <v>96925013.227386</v>
      </c>
      <c r="T9" s="26" t="n">
        <f aca="false">SUM(start:end!T9:T9)</f>
        <v>141511782</v>
      </c>
      <c r="U9" s="85" t="n">
        <f aca="false">IFERROR(S9/R9,"-")</f>
        <v>-10.5627093134363</v>
      </c>
    </row>
    <row r="10" customFormat="false" ht="15.75" hidden="false" customHeight="true" outlineLevel="0" collapsed="false">
      <c r="A10" s="88" t="s">
        <v>24</v>
      </c>
      <c r="B10" s="41" t="n">
        <f aca="false">SUM(start:end!B10:B10)</f>
        <v>42303396</v>
      </c>
      <c r="C10" s="41" t="n">
        <f aca="false">SUM(start:end!C10:C10)</f>
        <v>93850.5</v>
      </c>
      <c r="D10" s="41" t="n">
        <f aca="false">SUM(start:end!D10:D10)</f>
        <v>42397246.5</v>
      </c>
      <c r="E10" s="89" t="n">
        <f aca="false">IFERROR(C10/B10,"-")</f>
        <v>0.00221850983311127</v>
      </c>
      <c r="F10" s="41" t="n">
        <f aca="false">SUM(start:end!F10:F10)</f>
        <v>93850.5</v>
      </c>
      <c r="G10" s="41" t="n">
        <f aca="false">SUM(start:end!G10:G10)</f>
        <v>6603533.5</v>
      </c>
      <c r="H10" s="41" t="n">
        <f aca="false">SUM(start:end!H10:H10)</f>
        <v>32736275.5</v>
      </c>
      <c r="I10" s="89" t="n">
        <f aca="false">IFERROR(G10/F10,"-")</f>
        <v>70.3622623214581</v>
      </c>
      <c r="J10" s="41" t="n">
        <f aca="false">SUM(start:end!J10:J10)</f>
        <v>64586153.5</v>
      </c>
      <c r="K10" s="41" t="n">
        <f aca="false">SUM(start:end!K10:K10)</f>
        <v>12129152.5</v>
      </c>
      <c r="L10" s="41" t="n">
        <f aca="false">SUM(start:end!L10:L10)</f>
        <v>93850.5</v>
      </c>
      <c r="M10" s="89" t="n">
        <f aca="false">IFERROR(K10/J10,"-")</f>
        <v>0.187798031663242</v>
      </c>
      <c r="N10" s="41" t="n">
        <f aca="false">SUM(start:end!N10:N10)</f>
        <v>45186139.5</v>
      </c>
      <c r="O10" s="41" t="n">
        <f aca="false">SUM(start:end!O10:O10)</f>
        <v>-30723672</v>
      </c>
      <c r="P10" s="41" t="n">
        <f aca="false">SUM(start:end!P10:P10)</f>
        <v>13242411</v>
      </c>
      <c r="Q10" s="89" t="n">
        <f aca="false">IFERROR(O10/N10,"-")</f>
        <v>-0.679935757733851</v>
      </c>
      <c r="R10" s="41" t="n">
        <f aca="false">SUM(start:end!R10:R10)</f>
        <v>0</v>
      </c>
      <c r="S10" s="41" t="n">
        <f aca="false">SUM(start:end!S10:S10)</f>
        <v>48813079</v>
      </c>
      <c r="T10" s="41" t="n">
        <f aca="false">SUM(start:end!T10:T10)</f>
        <v>44677727</v>
      </c>
      <c r="U10" s="89" t="str">
        <f aca="false">IFERROR(S10/R10,"-")</f>
        <v>-</v>
      </c>
    </row>
    <row r="11" customFormat="false" ht="15.75" hidden="false" customHeight="true" outlineLevel="0" collapsed="false">
      <c r="A11" s="30" t="s">
        <v>87</v>
      </c>
      <c r="B11" s="31" t="n">
        <f aca="false">SUM(start:end!B11:B11)</f>
        <v>0</v>
      </c>
      <c r="C11" s="31" t="n">
        <f aca="false">SUM(start:end!C11:C11)</f>
        <v>138306</v>
      </c>
      <c r="D11" s="31" t="n">
        <f aca="false">SUM(start:end!D11:D11)</f>
        <v>138306</v>
      </c>
      <c r="E11" s="87" t="str">
        <f aca="false">IFERROR(C11/B11,"-")</f>
        <v>-</v>
      </c>
      <c r="F11" s="31" t="n">
        <f aca="false">SUM(start:end!F11:F11)</f>
        <v>138306</v>
      </c>
      <c r="G11" s="31" t="n">
        <f aca="false">SUM(start:end!G11:G11)</f>
        <v>138306</v>
      </c>
      <c r="H11" s="31" t="n">
        <f aca="false">SUM(start:end!H11:H11)</f>
        <v>138306</v>
      </c>
      <c r="I11" s="87" t="n">
        <f aca="false">IFERROR(G11/F11,"-")</f>
        <v>1</v>
      </c>
      <c r="J11" s="31" t="n">
        <f aca="false">SUM(start:end!J11:J11)</f>
        <v>12138306</v>
      </c>
      <c r="K11" s="31" t="n">
        <f aca="false">SUM(start:end!K11:K11)</f>
        <v>138306</v>
      </c>
      <c r="L11" s="31" t="n">
        <f aca="false">SUM(start:end!L11:L11)</f>
        <v>138306</v>
      </c>
      <c r="M11" s="87" t="n">
        <f aca="false">IFERROR(K11/J11,"-")</f>
        <v>0.011394176419675</v>
      </c>
      <c r="N11" s="31" t="n">
        <f aca="false">SUM(start:end!N11:N11)</f>
        <v>12138306</v>
      </c>
      <c r="O11" s="31" t="n">
        <f aca="false">SUM(start:end!O11:O11)</f>
        <v>-10340328</v>
      </c>
      <c r="P11" s="31" t="n">
        <f aca="false">SUM(start:end!P11:P11)</f>
        <v>0</v>
      </c>
      <c r="Q11" s="87" t="n">
        <f aca="false">IFERROR(O11/N11,"-")</f>
        <v>-0.851875706544225</v>
      </c>
      <c r="R11" s="31" t="n">
        <f aca="false">SUM(start:end!R11:R11)</f>
        <v>0</v>
      </c>
      <c r="S11" s="31" t="n">
        <f aca="false">SUM(start:end!S11:S11)</f>
        <v>0</v>
      </c>
      <c r="T11" s="31" t="n">
        <f aca="false">SUM(start:end!T11:T11)</f>
        <v>0</v>
      </c>
      <c r="U11" s="87" t="str">
        <f aca="false">IFERROR(S11/R11,"-")</f>
        <v>-</v>
      </c>
    </row>
    <row r="12" customFormat="false" ht="15.75" hidden="false" customHeight="true" outlineLevel="0" collapsed="false">
      <c r="A12" s="30" t="s">
        <v>79</v>
      </c>
      <c r="B12" s="31" t="n">
        <f aca="false">SUM(start:end!B12:B12)</f>
        <v>35873203</v>
      </c>
      <c r="C12" s="31" t="n">
        <f aca="false">SUM(start:end!C12:C12)</f>
        <v>0</v>
      </c>
      <c r="D12" s="31" t="n">
        <f aca="false">SUM(start:end!D12:D12)</f>
        <v>35873203</v>
      </c>
      <c r="E12" s="87" t="n">
        <f aca="false">IFERROR(C12/B12,"-")</f>
        <v>0</v>
      </c>
      <c r="F12" s="31" t="n">
        <f aca="false">SUM(start:end!F12:F12)</f>
        <v>0</v>
      </c>
      <c r="G12" s="31" t="n">
        <f aca="false">SUM(start:end!G12:G12)</f>
        <v>5460000</v>
      </c>
      <c r="H12" s="31" t="n">
        <f aca="false">SUM(start:end!H12:H12)</f>
        <v>28297118.25</v>
      </c>
      <c r="I12" s="87" t="str">
        <f aca="false">IFERROR(G12/F12,"-")</f>
        <v>-</v>
      </c>
      <c r="J12" s="31" t="n">
        <f aca="false">SUM(start:end!J12:J12)</f>
        <v>45217118.25</v>
      </c>
      <c r="K12" s="31" t="n">
        <f aca="false">SUM(start:end!K12:K12)</f>
        <v>10582785.25</v>
      </c>
      <c r="L12" s="31" t="n">
        <f aca="false">SUM(start:end!L12:L12)</f>
        <v>112785.25</v>
      </c>
      <c r="M12" s="87" t="n">
        <f aca="false">IFERROR(K12/J12,"-")</f>
        <v>0.23404377942639</v>
      </c>
      <c r="N12" s="31" t="n">
        <f aca="false">SUM(start:end!N12:N12)</f>
        <v>27666526.25</v>
      </c>
      <c r="O12" s="31" t="n">
        <f aca="false">SUM(start:end!O12:O12)</f>
        <v>-16130503.25</v>
      </c>
      <c r="P12" s="31" t="n">
        <f aca="false">SUM(start:end!P12:P12)</f>
        <v>10633741</v>
      </c>
      <c r="Q12" s="87" t="n">
        <f aca="false">IFERROR(O12/N12,"-")</f>
        <v>-0.583033197020895</v>
      </c>
      <c r="R12" s="31" t="n">
        <f aca="false">SUM(start:end!R12:R12)</f>
        <v>0</v>
      </c>
      <c r="S12" s="31" t="n">
        <f aca="false">SUM(start:end!S12:S12)</f>
        <v>41333203</v>
      </c>
      <c r="T12" s="31" t="n">
        <f aca="false">SUM(start:end!T12:T12)</f>
        <v>38654333</v>
      </c>
      <c r="U12" s="87" t="str">
        <f aca="false">IFERROR(S12/R12,"-")</f>
        <v>-</v>
      </c>
    </row>
    <row r="13" customFormat="false" ht="15.75" hidden="false" customHeight="true" outlineLevel="0" collapsed="false">
      <c r="A13" s="30" t="s">
        <v>80</v>
      </c>
      <c r="B13" s="31" t="n">
        <f aca="false">SUM(start:end!B13:B13)</f>
        <v>0</v>
      </c>
      <c r="C13" s="31" t="n">
        <f aca="false">SUM(start:end!C13:C13)</f>
        <v>0</v>
      </c>
      <c r="D13" s="31" t="n">
        <f aca="false">SUM(start:end!D13:D13)</f>
        <v>0</v>
      </c>
      <c r="E13" s="87" t="str">
        <f aca="false">IFERROR(C13/B13,"-")</f>
        <v>-</v>
      </c>
      <c r="F13" s="31" t="n">
        <f aca="false">SUM(start:end!F13:F13)</f>
        <v>0</v>
      </c>
      <c r="G13" s="31" t="n">
        <f aca="false">SUM(start:end!G13:G13)</f>
        <v>0</v>
      </c>
      <c r="H13" s="31" t="n">
        <f aca="false">SUM(start:end!H13:H13)</f>
        <v>0</v>
      </c>
      <c r="I13" s="87" t="str">
        <f aca="false">IFERROR(G13/F13,"-")</f>
        <v>-</v>
      </c>
      <c r="J13" s="31" t="n">
        <f aca="false">SUM(start:end!J13:J13)</f>
        <v>0</v>
      </c>
      <c r="K13" s="31" t="n">
        <f aca="false">SUM(start:end!K13:K13)</f>
        <v>0</v>
      </c>
      <c r="L13" s="31" t="n">
        <f aca="false">SUM(start:end!L13:L13)</f>
        <v>68329.75</v>
      </c>
      <c r="M13" s="87" t="str">
        <f aca="false">IFERROR(K13/J13,"-")</f>
        <v>-</v>
      </c>
      <c r="N13" s="31" t="n">
        <f aca="false">SUM(start:end!N13:N13)</f>
        <v>68329.75</v>
      </c>
      <c r="O13" s="31" t="n">
        <f aca="false">SUM(start:end!O13:O13)</f>
        <v>204989.25</v>
      </c>
      <c r="P13" s="31" t="n">
        <f aca="false">SUM(start:end!P13:P13)</f>
        <v>0</v>
      </c>
      <c r="Q13" s="87" t="n">
        <f aca="false">IFERROR(O13/N13,"-")</f>
        <v>3</v>
      </c>
      <c r="R13" s="31" t="n">
        <f aca="false">SUM(start:end!R13:R13)</f>
        <v>0</v>
      </c>
      <c r="S13" s="31" t="n">
        <f aca="false">SUM(start:end!S13:S13)</f>
        <v>0</v>
      </c>
      <c r="T13" s="31" t="n">
        <f aca="false">SUM(start:end!T13:T13)</f>
        <v>0</v>
      </c>
      <c r="U13" s="87" t="str">
        <f aca="false">IFERROR(S13/R13,"-")</f>
        <v>-</v>
      </c>
    </row>
    <row r="14" customFormat="false" ht="15.75" hidden="false" customHeight="true" outlineLevel="0" collapsed="false">
      <c r="A14" s="30" t="s">
        <v>81</v>
      </c>
      <c r="B14" s="31" t="n">
        <f aca="false">SUM(start:end!B14:B14)</f>
        <v>5806193</v>
      </c>
      <c r="C14" s="31" t="n">
        <f aca="false">SUM(start:end!C14:C14)</f>
        <v>0</v>
      </c>
      <c r="D14" s="31" t="n">
        <f aca="false">SUM(start:end!D14:D14)</f>
        <v>5806193</v>
      </c>
      <c r="E14" s="87" t="n">
        <f aca="false">IFERROR(C14/B14,"-")</f>
        <v>0</v>
      </c>
      <c r="F14" s="31" t="n">
        <f aca="false">SUM(start:end!F14:F14)</f>
        <v>0</v>
      </c>
      <c r="G14" s="31" t="n">
        <f aca="false">SUM(start:end!G14:G14)</f>
        <v>941683</v>
      </c>
      <c r="H14" s="31" t="n">
        <f aca="false">SUM(start:end!H14:H14)</f>
        <v>4273092</v>
      </c>
      <c r="I14" s="87" t="str">
        <f aca="false">IFERROR(G14/F14,"-")</f>
        <v>-</v>
      </c>
      <c r="J14" s="31" t="n">
        <f aca="false">SUM(start:end!J14:J14)</f>
        <v>7058970</v>
      </c>
      <c r="K14" s="31" t="n">
        <f aca="false">SUM(start:end!K14:K14)</f>
        <v>1481302</v>
      </c>
      <c r="L14" s="31" t="n">
        <f aca="false">SUM(start:end!L14:L14)</f>
        <v>0</v>
      </c>
      <c r="M14" s="87" t="n">
        <f aca="false">IFERROR(K14/J14,"-")</f>
        <v>0.209846762346348</v>
      </c>
      <c r="N14" s="31" t="n">
        <f aca="false">SUM(start:end!N14:N14)</f>
        <v>5310548</v>
      </c>
      <c r="O14" s="31" t="n">
        <f aca="false">SUM(start:end!O14:O14)</f>
        <v>-2754547</v>
      </c>
      <c r="P14" s="31" t="n">
        <f aca="false">SUM(start:end!P14:P14)</f>
        <v>2524670</v>
      </c>
      <c r="Q14" s="87" t="n">
        <f aca="false">IFERROR(O14/N14,"-")</f>
        <v>-0.51869355102336</v>
      </c>
      <c r="R14" s="31" t="n">
        <f aca="false">SUM(start:end!R14:R14)</f>
        <v>0</v>
      </c>
      <c r="S14" s="31" t="n">
        <f aca="false">SUM(start:end!S14:S14)</f>
        <v>6747876</v>
      </c>
      <c r="T14" s="31" t="n">
        <f aca="false">SUM(start:end!T14:T14)</f>
        <v>5754394</v>
      </c>
      <c r="U14" s="87" t="str">
        <f aca="false">IFERROR(S14/R14,"-")</f>
        <v>-</v>
      </c>
    </row>
    <row r="15" customFormat="false" ht="15.75" hidden="false" customHeight="true" outlineLevel="0" collapsed="false">
      <c r="A15" s="86" t="s">
        <v>33</v>
      </c>
      <c r="B15" s="31" t="n">
        <f aca="false">SUM(start:end!B15:B15)</f>
        <v>624000</v>
      </c>
      <c r="C15" s="31" t="n">
        <f aca="false">SUM(start:end!C15:C15)</f>
        <v>0</v>
      </c>
      <c r="D15" s="31" t="n">
        <f aca="false">SUM(start:end!D15:D15)</f>
        <v>624000</v>
      </c>
      <c r="E15" s="87" t="n">
        <f aca="false">IFERROR(C15/B15,"-")</f>
        <v>0</v>
      </c>
      <c r="F15" s="31" t="n">
        <f aca="false">SUM(start:end!F15:F15)</f>
        <v>27847</v>
      </c>
      <c r="G15" s="31" t="n">
        <f aca="false">SUM(start:end!G15:G15)</f>
        <v>108000</v>
      </c>
      <c r="H15" s="31" t="n">
        <f aca="false">SUM(start:end!H15:H15)</f>
        <v>185000</v>
      </c>
      <c r="I15" s="87" t="n">
        <f aca="false">IFERROR(G15/F15,"-")</f>
        <v>3.87833518870974</v>
      </c>
      <c r="J15" s="31" t="n">
        <f aca="false">SUM(start:end!J15:J15)</f>
        <v>329000</v>
      </c>
      <c r="K15" s="31" t="n">
        <f aca="false">SUM(start:end!K15:K15)</f>
        <v>84000</v>
      </c>
      <c r="L15" s="31" t="n">
        <f aca="false">SUM(start:end!L15:L15)</f>
        <v>0</v>
      </c>
      <c r="M15" s="87" t="n">
        <f aca="false">IFERROR(K15/J15,"-")</f>
        <v>0.25531914893617</v>
      </c>
      <c r="N15" s="31" t="n">
        <f aca="false">SUM(start:end!N15:N15)</f>
        <v>228000</v>
      </c>
      <c r="O15" s="31" t="n">
        <f aca="false">SUM(start:end!O15:O15)</f>
        <v>-116153</v>
      </c>
      <c r="P15" s="31" t="n">
        <f aca="false">SUM(start:end!P15:P15)</f>
        <v>84000</v>
      </c>
      <c r="Q15" s="87" t="n">
        <f aca="false">IFERROR(O15/N15,"-")</f>
        <v>-0.50944298245614</v>
      </c>
      <c r="R15" s="31" t="n">
        <f aca="false">SUM(start:end!R15:R15)</f>
        <v>0</v>
      </c>
      <c r="S15" s="31" t="n">
        <f aca="false">SUM(start:end!S15:S15)</f>
        <v>732000</v>
      </c>
      <c r="T15" s="31" t="n">
        <f aca="false">SUM(start:end!T15:T15)</f>
        <v>269000</v>
      </c>
      <c r="U15" s="87" t="str">
        <f aca="false">IFERROR(S15/R15,"-")</f>
        <v>-</v>
      </c>
    </row>
    <row r="16" customFormat="false" ht="15.75" hidden="false" customHeight="true" outlineLevel="0" collapsed="false">
      <c r="A16" s="86" t="s">
        <v>35</v>
      </c>
      <c r="B16" s="31" t="n">
        <f aca="false">SUM(start:end!B16:B16)</f>
        <v>119890</v>
      </c>
      <c r="C16" s="31" t="n">
        <f aca="false">SUM(start:end!C16:C16)</f>
        <v>0</v>
      </c>
      <c r="D16" s="31" t="n">
        <f aca="false">SUM(start:end!D16:D16)</f>
        <v>119890</v>
      </c>
      <c r="E16" s="87" t="n">
        <f aca="false">IFERROR(C16/B16,"-")</f>
        <v>0</v>
      </c>
      <c r="F16" s="31" t="n">
        <f aca="false">SUM(start:end!F16:F16)</f>
        <v>0</v>
      </c>
      <c r="G16" s="31" t="n">
        <f aca="false">SUM(start:end!G16:G16)</f>
        <v>8091</v>
      </c>
      <c r="H16" s="31" t="n">
        <f aca="false">SUM(start:end!H16:H16)</f>
        <v>39402</v>
      </c>
      <c r="I16" s="87" t="str">
        <f aca="false">IFERROR(G16/F16,"-")</f>
        <v>-</v>
      </c>
      <c r="J16" s="31" t="n">
        <f aca="false">SUM(start:end!J16:J16)</f>
        <v>98580</v>
      </c>
      <c r="K16" s="31" t="n">
        <f aca="false">SUM(start:end!K16:K16)</f>
        <v>4802</v>
      </c>
      <c r="L16" s="31" t="n">
        <f aca="false">SUM(start:end!L16:L16)</f>
        <v>0</v>
      </c>
      <c r="M16" s="87" t="n">
        <f aca="false">IFERROR(K16/J16,"-")</f>
        <v>0.0487117062284439</v>
      </c>
      <c r="N16" s="31" t="n">
        <f aca="false">SUM(start:end!N16:N16)</f>
        <v>716977</v>
      </c>
      <c r="O16" s="31" t="n">
        <f aca="false">SUM(start:end!O16:O16)</f>
        <v>-59178</v>
      </c>
      <c r="P16" s="31" t="n">
        <f aca="false">SUM(start:end!P16:P16)</f>
        <v>657799</v>
      </c>
      <c r="Q16" s="87" t="n">
        <f aca="false">IFERROR(O16/N16,"-")</f>
        <v>-0.0825382125228564</v>
      </c>
      <c r="R16" s="31" t="n">
        <f aca="false">SUM(start:end!R16:R16)</f>
        <v>0</v>
      </c>
      <c r="S16" s="31" t="n">
        <f aca="false">SUM(start:end!S16:S16)</f>
        <v>127981</v>
      </c>
      <c r="T16" s="31" t="n">
        <f aca="false">SUM(start:end!T16:T16)</f>
        <v>44204</v>
      </c>
      <c r="U16" s="87" t="str">
        <f aca="false">IFERROR(S16/R16,"-")</f>
        <v>-</v>
      </c>
    </row>
    <row r="17" customFormat="false" ht="15.75" hidden="false" customHeight="true" outlineLevel="0" collapsed="false">
      <c r="A17" s="86" t="s">
        <v>37</v>
      </c>
      <c r="B17" s="31" t="n">
        <f aca="false">SUM(start:end!B17:B17)</f>
        <v>789274</v>
      </c>
      <c r="C17" s="31" t="n">
        <f aca="false">SUM(start:end!C17:C17)</f>
        <v>6000</v>
      </c>
      <c r="D17" s="31" t="n">
        <f aca="false">SUM(start:end!D17:D17)</f>
        <v>795274</v>
      </c>
      <c r="E17" s="87" t="n">
        <f aca="false">IFERROR(C17/B17,"-")</f>
        <v>0.0076019227796684</v>
      </c>
      <c r="F17" s="31" t="n">
        <f aca="false">SUM(start:end!F17:F17)</f>
        <v>6000</v>
      </c>
      <c r="G17" s="31" t="n">
        <f aca="false">SUM(start:end!G17:G17)</f>
        <v>307928</v>
      </c>
      <c r="H17" s="31" t="n">
        <f aca="false">SUM(start:end!H17:H17)</f>
        <v>629630</v>
      </c>
      <c r="I17" s="87" t="n">
        <f aca="false">IFERROR(G17/F17,"-")</f>
        <v>51.3213333333333</v>
      </c>
      <c r="J17" s="31" t="n">
        <f aca="false">SUM(start:end!J17:J17)</f>
        <v>767035</v>
      </c>
      <c r="K17" s="31" t="n">
        <f aca="false">SUM(start:end!K17:K17)</f>
        <v>183220</v>
      </c>
      <c r="L17" s="31" t="n">
        <f aca="false">SUM(start:end!L17:L17)</f>
        <v>6000</v>
      </c>
      <c r="M17" s="87" t="n">
        <f aca="false">IFERROR(K17/J17,"-")</f>
        <v>0.238867848272895</v>
      </c>
      <c r="N17" s="31" t="n">
        <f aca="false">SUM(start:end!N17:N17)</f>
        <v>143405</v>
      </c>
      <c r="O17" s="31" t="n">
        <f aca="false">SUM(start:end!O17:O17)</f>
        <v>-65405</v>
      </c>
      <c r="P17" s="31" t="n">
        <f aca="false">SUM(start:end!P17:P17)</f>
        <v>0</v>
      </c>
      <c r="Q17" s="87" t="n">
        <f aca="false">IFERROR(O17/N17,"-")</f>
        <v>-0.456085910533106</v>
      </c>
      <c r="R17" s="31" t="n">
        <f aca="false">SUM(start:end!R17:R17)</f>
        <v>0</v>
      </c>
      <c r="S17" s="31" t="n">
        <f aca="false">SUM(start:end!S17:S17)</f>
        <v>1091202</v>
      </c>
      <c r="T17" s="31" t="n">
        <f aca="false">SUM(start:end!T17:T17)</f>
        <v>800850</v>
      </c>
      <c r="U17" s="87" t="str">
        <f aca="false">IFERROR(S17/R17,"-")</f>
        <v>-</v>
      </c>
    </row>
    <row r="18" customFormat="false" ht="15.75" hidden="false" customHeight="true" outlineLevel="0" collapsed="false">
      <c r="A18" s="86" t="s">
        <v>38</v>
      </c>
      <c r="B18" s="31" t="n">
        <f aca="false">SUM(start:end!B18:B18)</f>
        <v>0</v>
      </c>
      <c r="C18" s="31" t="n">
        <f aca="false">SUM(start:end!C18:C18)</f>
        <v>6000</v>
      </c>
      <c r="D18" s="31" t="n">
        <f aca="false">SUM(start:end!D18:D18)</f>
        <v>6000</v>
      </c>
      <c r="E18" s="87" t="str">
        <f aca="false">IFERROR(C18/B18,"-")</f>
        <v>-</v>
      </c>
      <c r="F18" s="31" t="n">
        <f aca="false">SUM(start:end!F18:F18)</f>
        <v>6000</v>
      </c>
      <c r="G18" s="31" t="n">
        <f aca="false">SUM(start:end!G18:G18)</f>
        <v>6000</v>
      </c>
      <c r="H18" s="31" t="n">
        <f aca="false">SUM(start:end!H18:H18)</f>
        <v>5283000</v>
      </c>
      <c r="I18" s="87" t="n">
        <f aca="false">IFERROR(G18/F18,"-")</f>
        <v>1</v>
      </c>
      <c r="J18" s="31" t="n">
        <f aca="false">SUM(start:end!J18:J18)</f>
        <v>5283000</v>
      </c>
      <c r="K18" s="31" t="n">
        <f aca="false">SUM(start:end!K18:K18)</f>
        <v>6000</v>
      </c>
      <c r="L18" s="31" t="n">
        <f aca="false">SUM(start:end!L18:L18)</f>
        <v>6000</v>
      </c>
      <c r="M18" s="87" t="n">
        <f aca="false">IFERROR(K18/J18,"-")</f>
        <v>0.00113571834185122</v>
      </c>
      <c r="N18" s="31" t="n">
        <f aca="false">SUM(start:end!N18:N18)</f>
        <v>6000</v>
      </c>
      <c r="O18" s="31" t="n">
        <f aca="false">SUM(start:end!O18:O18)</f>
        <v>72000</v>
      </c>
      <c r="P18" s="31" t="n">
        <f aca="false">SUM(start:end!P18:P18)</f>
        <v>0</v>
      </c>
      <c r="Q18" s="87" t="n">
        <f aca="false">IFERROR(O18/N18,"-")</f>
        <v>12</v>
      </c>
      <c r="R18" s="31" t="n">
        <f aca="false">SUM(start:end!R18:R18)</f>
        <v>0</v>
      </c>
      <c r="S18" s="31" t="n">
        <f aca="false">SUM(start:end!S18:S18)</f>
        <v>0</v>
      </c>
      <c r="T18" s="31" t="n">
        <f aca="false">SUM(start:end!T18:T18)</f>
        <v>5277000</v>
      </c>
      <c r="U18" s="87" t="str">
        <f aca="false">IFERROR(S18/R18,"-")</f>
        <v>-</v>
      </c>
    </row>
    <row r="19" customFormat="false" ht="15.75" hidden="false" customHeight="true" outlineLevel="0" collapsed="false">
      <c r="A19" s="86" t="s">
        <v>41</v>
      </c>
      <c r="B19" s="31" t="n">
        <f aca="false">SUM(start:end!B19:B19)</f>
        <v>16735149</v>
      </c>
      <c r="C19" s="31" t="n">
        <f aca="false">SUM(start:end!C19:C19)</f>
        <v>0</v>
      </c>
      <c r="D19" s="31" t="n">
        <f aca="false">SUM(start:end!D19:D19)</f>
        <v>16735149</v>
      </c>
      <c r="E19" s="87" t="n">
        <f aca="false">IFERROR(C19/B19,"-")</f>
        <v>0</v>
      </c>
      <c r="F19" s="31" t="n">
        <f aca="false">SUM(start:end!F19:F19)</f>
        <v>0</v>
      </c>
      <c r="G19" s="31" t="n">
        <f aca="false">SUM(start:end!G19:G19)</f>
        <v>10261791</v>
      </c>
      <c r="H19" s="31" t="n">
        <f aca="false">SUM(start:end!H19:H19)</f>
        <v>51276325</v>
      </c>
      <c r="I19" s="87" t="str">
        <f aca="false">IFERROR(G19/F19,"-")</f>
        <v>-</v>
      </c>
      <c r="J19" s="31" t="n">
        <f aca="false">SUM(start:end!J19:J19)</f>
        <v>51276325</v>
      </c>
      <c r="K19" s="31" t="n">
        <f aca="false">SUM(start:end!K19:K19)</f>
        <v>3007160</v>
      </c>
      <c r="L19" s="31" t="n">
        <f aca="false">SUM(start:end!L19:L19)</f>
        <v>0</v>
      </c>
      <c r="M19" s="87" t="n">
        <f aca="false">IFERROR(K19/J19,"-")</f>
        <v>0.0586461685777988</v>
      </c>
      <c r="N19" s="31" t="n">
        <f aca="false">SUM(start:end!N19:N19)</f>
        <v>78032</v>
      </c>
      <c r="O19" s="31" t="n">
        <f aca="false">SUM(start:end!O19:O19)</f>
        <v>4000</v>
      </c>
      <c r="P19" s="31" t="n">
        <f aca="false">SUM(start:end!P19:P19)</f>
        <v>74032</v>
      </c>
      <c r="Q19" s="87" t="n">
        <f aca="false">IFERROR(O19/N19,"-")</f>
        <v>0.0512610211195407</v>
      </c>
      <c r="R19" s="31" t="n">
        <f aca="false">SUM(start:end!R19:R19)</f>
        <v>0</v>
      </c>
      <c r="S19" s="31" t="n">
        <f aca="false">SUM(start:end!S19:S19)</f>
        <v>26996940</v>
      </c>
      <c r="T19" s="31" t="n">
        <f aca="false">SUM(start:end!T19:T19)</f>
        <v>54283485</v>
      </c>
      <c r="U19" s="87" t="str">
        <f aca="false">IFERROR(S19/R19,"-")</f>
        <v>-</v>
      </c>
    </row>
    <row r="20" customFormat="false" ht="15.75" hidden="false" customHeight="true" outlineLevel="0" collapsed="false">
      <c r="A20" s="86" t="s">
        <v>43</v>
      </c>
      <c r="B20" s="31" t="n">
        <f aca="false">SUM(start:end!B20:B20)</f>
        <v>265610</v>
      </c>
      <c r="C20" s="31" t="n">
        <f aca="false">SUM(start:end!C20:C20)</f>
        <v>0</v>
      </c>
      <c r="D20" s="31" t="n">
        <f aca="false">SUM(start:end!D20:D20)</f>
        <v>265610</v>
      </c>
      <c r="E20" s="87" t="n">
        <f aca="false">IFERROR(C20/B20,"-")</f>
        <v>0</v>
      </c>
      <c r="F20" s="31" t="n">
        <f aca="false">SUM(start:end!F20:F20)</f>
        <v>0</v>
      </c>
      <c r="G20" s="31" t="n">
        <f aca="false">SUM(start:end!G20:G20)</f>
        <v>0</v>
      </c>
      <c r="H20" s="31" t="n">
        <f aca="false">SUM(start:end!H20:H20)</f>
        <v>0</v>
      </c>
      <c r="I20" s="87" t="str">
        <f aca="false">IFERROR(G20/F20,"-")</f>
        <v>-</v>
      </c>
      <c r="J20" s="31" t="n">
        <f aca="false">SUM(start:end!J20:J20)</f>
        <v>0</v>
      </c>
      <c r="K20" s="31" t="n">
        <f aca="false">SUM(start:end!K20:K20)</f>
        <v>0</v>
      </c>
      <c r="L20" s="31" t="n">
        <f aca="false">SUM(start:end!L20:L20)</f>
        <v>0</v>
      </c>
      <c r="M20" s="87" t="str">
        <f aca="false">IFERROR(K20/J20,"-")</f>
        <v>-</v>
      </c>
      <c r="N20" s="31" t="n">
        <f aca="false">SUM(start:end!N20:N20)</f>
        <v>0</v>
      </c>
      <c r="O20" s="31" t="n">
        <f aca="false">SUM(start:end!O20:O20)</f>
        <v>0</v>
      </c>
      <c r="P20" s="31" t="n">
        <f aca="false">SUM(start:end!P20:P20)</f>
        <v>0</v>
      </c>
      <c r="Q20" s="87" t="str">
        <f aca="false">IFERROR(O20/N20,"-")</f>
        <v>-</v>
      </c>
      <c r="R20" s="31" t="n">
        <f aca="false">SUM(start:end!R20:R20)</f>
        <v>0</v>
      </c>
      <c r="S20" s="31" t="n">
        <f aca="false">SUM(start:end!S20:S20)</f>
        <v>265610</v>
      </c>
      <c r="T20" s="31" t="n">
        <f aca="false">SUM(start:end!T20:T20)</f>
        <v>0</v>
      </c>
      <c r="U20" s="87" t="str">
        <f aca="false">IFERROR(S20/R20,"-")</f>
        <v>-</v>
      </c>
    </row>
    <row r="21" customFormat="false" ht="15.75" hidden="false" customHeight="true" outlineLevel="0" collapsed="false">
      <c r="A21" s="86" t="s">
        <v>45</v>
      </c>
      <c r="B21" s="31" t="n">
        <f aca="false">SUM(start:end!B21:B21)</f>
        <v>0</v>
      </c>
      <c r="C21" s="31" t="n">
        <f aca="false">SUM(start:end!C21:C21)</f>
        <v>0</v>
      </c>
      <c r="D21" s="31" t="n">
        <f aca="false">SUM(start:end!D21:D21)</f>
        <v>0</v>
      </c>
      <c r="E21" s="87" t="str">
        <f aca="false">IFERROR(C21/B21,"-")</f>
        <v>-</v>
      </c>
      <c r="F21" s="31" t="n">
        <f aca="false">SUM(start:end!F21:F21)</f>
        <v>0</v>
      </c>
      <c r="G21" s="31" t="n">
        <f aca="false">SUM(start:end!G21:G21)</f>
        <v>0</v>
      </c>
      <c r="H21" s="31" t="n">
        <f aca="false">SUM(start:end!H21:H21)</f>
        <v>0</v>
      </c>
      <c r="I21" s="87" t="str">
        <f aca="false">IFERROR(G21/F21,"-")</f>
        <v>-</v>
      </c>
      <c r="J21" s="31" t="n">
        <f aca="false">SUM(start:end!J21:J21)</f>
        <v>0</v>
      </c>
      <c r="K21" s="31" t="n">
        <f aca="false">SUM(start:end!K21:K21)</f>
        <v>0</v>
      </c>
      <c r="L21" s="31" t="n">
        <f aca="false">SUM(start:end!L21:L21)</f>
        <v>0</v>
      </c>
      <c r="M21" s="87" t="str">
        <f aca="false">IFERROR(K21/J21,"-")</f>
        <v>-</v>
      </c>
      <c r="N21" s="31" t="n">
        <f aca="false">SUM(start:end!N21:N21)</f>
        <v>0</v>
      </c>
      <c r="O21" s="31" t="n">
        <f aca="false">SUM(start:end!O21:O21)</f>
        <v>0</v>
      </c>
      <c r="P21" s="31" t="n">
        <f aca="false">SUM(start:end!P21:P21)</f>
        <v>0</v>
      </c>
      <c r="Q21" s="87" t="str">
        <f aca="false">IFERROR(O21/N21,"-")</f>
        <v>-</v>
      </c>
      <c r="R21" s="31" t="n">
        <f aca="false">SUM(start:end!R21:R21)</f>
        <v>0</v>
      </c>
      <c r="S21" s="31" t="n">
        <f aca="false">SUM(start:end!S21:S21)</f>
        <v>0</v>
      </c>
      <c r="T21" s="31" t="n">
        <f aca="false">SUM(start:end!T21:T21)</f>
        <v>0</v>
      </c>
      <c r="U21" s="87" t="str">
        <f aca="false">IFERROR(S21/R21,"-")</f>
        <v>-</v>
      </c>
    </row>
    <row r="22" customFormat="false" ht="15.75" hidden="false" customHeight="true" outlineLevel="0" collapsed="false">
      <c r="A22" s="86" t="s">
        <v>47</v>
      </c>
      <c r="B22" s="31" t="n">
        <f aca="false">SUM(start:end!B22:B22)</f>
        <v>22753440</v>
      </c>
      <c r="C22" s="31" t="n">
        <f aca="false">SUM(start:end!C22:C22)</f>
        <v>-14353440</v>
      </c>
      <c r="D22" s="31" t="n">
        <f aca="false">SUM(start:end!D22:D22)</f>
        <v>8400000</v>
      </c>
      <c r="E22" s="87" t="n">
        <f aca="false">IFERROR(C22/B22,"-")</f>
        <v>-0.630825053266671</v>
      </c>
      <c r="F22" s="31" t="n">
        <f aca="false">SUM(start:end!F22:F22)</f>
        <v>-3997632</v>
      </c>
      <c r="G22" s="31" t="n">
        <f aca="false">SUM(start:end!G22:G22)</f>
        <v>0</v>
      </c>
      <c r="H22" s="31" t="n">
        <f aca="false">SUM(start:end!H22:H22)</f>
        <v>22587303</v>
      </c>
      <c r="I22" s="87" t="n">
        <f aca="false">IFERROR(G22/F22,"-")</f>
        <v>-0</v>
      </c>
      <c r="J22" s="31" t="n">
        <f aca="false">SUM(start:end!J22:J22)</f>
        <v>11127276</v>
      </c>
      <c r="K22" s="31" t="n">
        <f aca="false">SUM(start:end!K22:K22)</f>
        <v>5901264</v>
      </c>
      <c r="L22" s="31" t="n">
        <f aca="false">SUM(start:end!L22:L22)</f>
        <v>-5901264</v>
      </c>
      <c r="M22" s="87" t="n">
        <f aca="false">IFERROR(K22/J22,"-")</f>
        <v>0.530342196958177</v>
      </c>
      <c r="N22" s="31" t="n">
        <f aca="false">SUM(start:end!N22:N22)</f>
        <v>0</v>
      </c>
      <c r="O22" s="31" t="n">
        <f aca="false">SUM(start:end!O22:O22)</f>
        <v>0</v>
      </c>
      <c r="P22" s="31" t="n">
        <f aca="false">SUM(start:end!P22:P22)</f>
        <v>0</v>
      </c>
      <c r="Q22" s="87" t="str">
        <f aca="false">IFERROR(O22/N22,"-")</f>
        <v>-</v>
      </c>
      <c r="R22" s="31" t="n">
        <f aca="false">SUM(start:end!R22:R22)</f>
        <v>-18351072</v>
      </c>
      <c r="S22" s="31" t="n">
        <f aca="false">SUM(start:end!S22:S22)</f>
        <v>8400000</v>
      </c>
      <c r="T22" s="31" t="n">
        <f aca="false">SUM(start:end!T22:T22)</f>
        <v>28488567</v>
      </c>
      <c r="U22" s="87" t="n">
        <f aca="false">IFERROR(S22/R22,"-")</f>
        <v>-0.457738926641452</v>
      </c>
    </row>
    <row r="23" customFormat="false" ht="15.75" hidden="false" customHeight="true" outlineLevel="0" collapsed="false">
      <c r="A23" s="86" t="s">
        <v>48</v>
      </c>
      <c r="B23" s="31" t="n">
        <f aca="false">SUM(start:end!B23:B23)</f>
        <v>44610</v>
      </c>
      <c r="C23" s="31" t="n">
        <f aca="false">SUM(start:end!C23:C23)</f>
        <v>0</v>
      </c>
      <c r="D23" s="31" t="n">
        <f aca="false">SUM(start:end!D23:D23)</f>
        <v>44610</v>
      </c>
      <c r="E23" s="87" t="n">
        <f aca="false">IFERROR(C23/B23,"-")</f>
        <v>0</v>
      </c>
      <c r="F23" s="31" t="n">
        <f aca="false">SUM(start:end!F23:F23)</f>
        <v>0</v>
      </c>
      <c r="G23" s="31" t="n">
        <f aca="false">SUM(start:end!G23:G23)</f>
        <v>0</v>
      </c>
      <c r="H23" s="31" t="n">
        <f aca="false">SUM(start:end!H23:H23)</f>
        <v>47023</v>
      </c>
      <c r="I23" s="87" t="str">
        <f aca="false">IFERROR(G23/F23,"-")</f>
        <v>-</v>
      </c>
      <c r="J23" s="31" t="n">
        <f aca="false">SUM(start:end!J23:J23)</f>
        <v>47023</v>
      </c>
      <c r="K23" s="31" t="n">
        <f aca="false">SUM(start:end!K23:K23)</f>
        <v>0</v>
      </c>
      <c r="L23" s="31" t="n">
        <f aca="false">SUM(start:end!L23:L23)</f>
        <v>0</v>
      </c>
      <c r="M23" s="87" t="n">
        <f aca="false">IFERROR(K23/J23,"-")</f>
        <v>0</v>
      </c>
      <c r="N23" s="31" t="n">
        <f aca="false">SUM(start:end!N23:N23)</f>
        <v>6777295</v>
      </c>
      <c r="O23" s="31" t="n">
        <f aca="false">SUM(start:end!O23:O23)</f>
        <v>0</v>
      </c>
      <c r="P23" s="31" t="n">
        <f aca="false">SUM(start:end!P23:P23)</f>
        <v>6777295</v>
      </c>
      <c r="Q23" s="87" t="n">
        <f aca="false">IFERROR(O23/N23,"-")</f>
        <v>0</v>
      </c>
      <c r="R23" s="31" t="n">
        <f aca="false">SUM(start:end!R23:R23)</f>
        <v>0</v>
      </c>
      <c r="S23" s="31" t="n">
        <f aca="false">SUM(start:end!S23:S23)</f>
        <v>44610</v>
      </c>
      <c r="T23" s="31" t="n">
        <f aca="false">SUM(start:end!T23:T23)</f>
        <v>47023</v>
      </c>
      <c r="U23" s="87" t="str">
        <f aca="false">IFERROR(S23/R23,"-")</f>
        <v>-</v>
      </c>
    </row>
    <row r="24" customFormat="false" ht="15.75" hidden="false" customHeight="true" outlineLevel="0" collapsed="false">
      <c r="A24" s="86" t="s">
        <v>50</v>
      </c>
      <c r="B24" s="31" t="n">
        <f aca="false">SUM(start:end!B24:B24)</f>
        <v>0</v>
      </c>
      <c r="C24" s="31" t="n">
        <f aca="false">SUM(start:end!C24:C24)</f>
        <v>0</v>
      </c>
      <c r="D24" s="31" t="n">
        <f aca="false">SUM(start:end!D24:D24)</f>
        <v>0</v>
      </c>
      <c r="E24" s="87" t="str">
        <f aca="false">IFERROR(C24/B24,"-")</f>
        <v>-</v>
      </c>
      <c r="F24" s="31" t="n">
        <f aca="false">SUM(start:end!F24:F24)</f>
        <v>0</v>
      </c>
      <c r="G24" s="31" t="n">
        <f aca="false">SUM(start:end!G24:G24)</f>
        <v>0</v>
      </c>
      <c r="H24" s="31" t="n">
        <f aca="false">SUM(start:end!H24:H24)</f>
        <v>0</v>
      </c>
      <c r="I24" s="87" t="str">
        <f aca="false">IFERROR(G24/F24,"-")</f>
        <v>-</v>
      </c>
      <c r="J24" s="31" t="n">
        <f aca="false">SUM(start:end!J24:J24)</f>
        <v>0</v>
      </c>
      <c r="K24" s="31" t="n">
        <f aca="false">SUM(start:end!K24:K24)</f>
        <v>0</v>
      </c>
      <c r="L24" s="31" t="n">
        <f aca="false">SUM(start:end!L24:L24)</f>
        <v>0</v>
      </c>
      <c r="M24" s="87" t="str">
        <f aca="false">IFERROR(K24/J24,"-")</f>
        <v>-</v>
      </c>
      <c r="N24" s="31" t="n">
        <f aca="false">SUM(start:end!N24:N24)</f>
        <v>151000</v>
      </c>
      <c r="O24" s="31" t="n">
        <f aca="false">SUM(start:end!O24:O24)</f>
        <v>0</v>
      </c>
      <c r="P24" s="31" t="n">
        <f aca="false">SUM(start:end!P24:P24)</f>
        <v>151000</v>
      </c>
      <c r="Q24" s="87" t="n">
        <f aca="false">IFERROR(O24/N24,"-")</f>
        <v>0</v>
      </c>
      <c r="R24" s="31" t="n">
        <f aca="false">SUM(start:end!R24:R24)</f>
        <v>0</v>
      </c>
      <c r="S24" s="31" t="n">
        <f aca="false">SUM(start:end!S24:S24)</f>
        <v>0</v>
      </c>
      <c r="T24" s="31" t="n">
        <f aca="false">SUM(start:end!T24:T24)</f>
        <v>0</v>
      </c>
      <c r="U24" s="87" t="str">
        <f aca="false">IFERROR(S24/R24,"-")</f>
        <v>-</v>
      </c>
    </row>
    <row r="25" customFormat="false" ht="15.75" hidden="false" customHeight="true" outlineLevel="0" collapsed="false">
      <c r="A25" s="86" t="s">
        <v>51</v>
      </c>
      <c r="B25" s="31" t="n">
        <f aca="false">SUM(start:end!B25:B25)</f>
        <v>485067</v>
      </c>
      <c r="C25" s="31" t="n">
        <f aca="false">SUM(start:end!C25:C25)</f>
        <v>0</v>
      </c>
      <c r="D25" s="31" t="n">
        <f aca="false">SUM(start:end!D25:D25)</f>
        <v>485067</v>
      </c>
      <c r="E25" s="87" t="n">
        <f aca="false">IFERROR(C25/B25,"-")</f>
        <v>0</v>
      </c>
      <c r="F25" s="31" t="n">
        <f aca="false">SUM(start:end!F25:F25)</f>
        <v>0</v>
      </c>
      <c r="G25" s="31" t="n">
        <f aca="false">SUM(start:end!G25:G25)</f>
        <v>0</v>
      </c>
      <c r="H25" s="31" t="n">
        <f aca="false">SUM(start:end!H25:H25)</f>
        <v>686052</v>
      </c>
      <c r="I25" s="87" t="str">
        <f aca="false">IFERROR(G25/F25,"-")</f>
        <v>-</v>
      </c>
      <c r="J25" s="31" t="n">
        <f aca="false">SUM(start:end!J25:J25)</f>
        <v>686052</v>
      </c>
      <c r="K25" s="31" t="n">
        <f aca="false">SUM(start:end!K25:K25)</f>
        <v>144356</v>
      </c>
      <c r="L25" s="31" t="n">
        <f aca="false">SUM(start:end!L25:L25)</f>
        <v>0</v>
      </c>
      <c r="M25" s="87" t="n">
        <f aca="false">IFERROR(K25/J25,"-")</f>
        <v>0.210415537014687</v>
      </c>
      <c r="N25" s="31" t="n">
        <f aca="false">SUM(start:end!N25:N25)</f>
        <v>5409362</v>
      </c>
      <c r="O25" s="31" t="n">
        <f aca="false">SUM(start:end!O25:O25)</f>
        <v>0</v>
      </c>
      <c r="P25" s="31" t="n">
        <f aca="false">SUM(start:end!P25:P25)</f>
        <v>5409362</v>
      </c>
      <c r="Q25" s="87" t="n">
        <f aca="false">IFERROR(O25/N25,"-")</f>
        <v>0</v>
      </c>
      <c r="R25" s="31" t="n">
        <f aca="false">SUM(start:end!R25:R25)</f>
        <v>0</v>
      </c>
      <c r="S25" s="31" t="n">
        <f aca="false">SUM(start:end!S25:S25)</f>
        <v>485067</v>
      </c>
      <c r="T25" s="31" t="n">
        <f aca="false">SUM(start:end!T25:T25)</f>
        <v>830408</v>
      </c>
      <c r="U25" s="87" t="str">
        <f aca="false">IFERROR(S25/R25,"-")</f>
        <v>-</v>
      </c>
    </row>
    <row r="26" customFormat="false" ht="15.75" hidden="false" customHeight="true" outlineLevel="0" collapsed="false">
      <c r="A26" s="86" t="s">
        <v>52</v>
      </c>
      <c r="B26" s="31" t="n">
        <f aca="false">SUM(start:end!B26:B26)</f>
        <v>5474</v>
      </c>
      <c r="C26" s="31" t="n">
        <f aca="false">SUM(start:end!C26:C26)</f>
        <v>0</v>
      </c>
      <c r="D26" s="31" t="n">
        <f aca="false">SUM(start:end!D26:D26)</f>
        <v>5474</v>
      </c>
      <c r="E26" s="87" t="n">
        <f aca="false">IFERROR(C26/B26,"-")</f>
        <v>0</v>
      </c>
      <c r="F26" s="31" t="n">
        <f aca="false">SUM(start:end!F26:F26)</f>
        <v>0</v>
      </c>
      <c r="G26" s="31" t="n">
        <f aca="false">SUM(start:end!G26:G26)</f>
        <v>637</v>
      </c>
      <c r="H26" s="31" t="n">
        <f aca="false">SUM(start:end!H26:H26)</f>
        <v>0</v>
      </c>
      <c r="I26" s="87" t="str">
        <f aca="false">IFERROR(G26/F26,"-")</f>
        <v>-</v>
      </c>
      <c r="J26" s="31" t="n">
        <f aca="false">SUM(start:end!J26:J26)</f>
        <v>0</v>
      </c>
      <c r="K26" s="31" t="n">
        <f aca="false">SUM(start:end!K26:K26)</f>
        <v>0</v>
      </c>
      <c r="L26" s="31" t="n">
        <f aca="false">SUM(start:end!L26:L26)</f>
        <v>0</v>
      </c>
      <c r="M26" s="87" t="str">
        <f aca="false">IFERROR(K26/J26,"-")</f>
        <v>-</v>
      </c>
      <c r="N26" s="31" t="n">
        <f aca="false">SUM(start:end!N26:N26)</f>
        <v>1417106</v>
      </c>
      <c r="O26" s="31" t="n">
        <f aca="false">SUM(start:end!O26:O26)</f>
        <v>0</v>
      </c>
      <c r="P26" s="31" t="n">
        <f aca="false">SUM(start:end!P26:P26)</f>
        <v>1417106</v>
      </c>
      <c r="Q26" s="87" t="n">
        <f aca="false">IFERROR(O26/N26,"-")</f>
        <v>0</v>
      </c>
      <c r="R26" s="31" t="n">
        <f aca="false">SUM(start:end!R26:R26)</f>
        <v>0</v>
      </c>
      <c r="S26" s="31" t="n">
        <f aca="false">SUM(start:end!S26:S26)</f>
        <v>6111</v>
      </c>
      <c r="T26" s="31" t="n">
        <f aca="false">SUM(start:end!T26:T26)</f>
        <v>0</v>
      </c>
      <c r="U26" s="87" t="str">
        <f aca="false">IFERROR(S26/R26,"-")</f>
        <v>-</v>
      </c>
    </row>
    <row r="27" customFormat="false" ht="15.75" hidden="false" customHeight="true" outlineLevel="0" collapsed="false">
      <c r="A27" s="86" t="s">
        <v>53</v>
      </c>
      <c r="B27" s="31" t="n">
        <f aca="false">SUM(start:end!B27:B27)</f>
        <v>0</v>
      </c>
      <c r="C27" s="31" t="n">
        <f aca="false">SUM(start:end!C27:C27)</f>
        <v>0</v>
      </c>
      <c r="D27" s="31" t="n">
        <f aca="false">SUM(start:end!D27:D27)</f>
        <v>0</v>
      </c>
      <c r="E27" s="87" t="str">
        <f aca="false">IFERROR(C27/B27,"-")</f>
        <v>-</v>
      </c>
      <c r="F27" s="31" t="n">
        <f aca="false">SUM(start:end!F27:F27)</f>
        <v>0</v>
      </c>
      <c r="G27" s="31" t="n">
        <f aca="false">SUM(start:end!G27:G27)</f>
        <v>0</v>
      </c>
      <c r="H27" s="31" t="n">
        <f aca="false">SUM(start:end!H27:H27)</f>
        <v>0</v>
      </c>
      <c r="I27" s="87" t="str">
        <f aca="false">IFERROR(G27/F27,"-")</f>
        <v>-</v>
      </c>
      <c r="J27" s="31" t="n">
        <f aca="false">SUM(start:end!J27:J27)</f>
        <v>0</v>
      </c>
      <c r="K27" s="31" t="n">
        <f aca="false">SUM(start:end!K27:K27)</f>
        <v>0</v>
      </c>
      <c r="L27" s="31" t="n">
        <f aca="false">SUM(start:end!L27:L27)</f>
        <v>0</v>
      </c>
      <c r="M27" s="87" t="str">
        <f aca="false">IFERROR(K27/J27,"-")</f>
        <v>-</v>
      </c>
      <c r="N27" s="31" t="n">
        <f aca="false">SUM(start:end!N27:N27)</f>
        <v>464150</v>
      </c>
      <c r="O27" s="31" t="n">
        <f aca="false">SUM(start:end!O27:O27)</f>
        <v>0</v>
      </c>
      <c r="P27" s="31" t="n">
        <f aca="false">SUM(start:end!P27:P27)</f>
        <v>464150</v>
      </c>
      <c r="Q27" s="87" t="n">
        <f aca="false">IFERROR(O27/N27,"-")</f>
        <v>0</v>
      </c>
      <c r="R27" s="31" t="n">
        <f aca="false">SUM(start:end!R27:R27)</f>
        <v>0</v>
      </c>
      <c r="S27" s="31" t="n">
        <f aca="false">SUM(start:end!S27:S27)</f>
        <v>0</v>
      </c>
      <c r="T27" s="31" t="n">
        <f aca="false">SUM(start:end!T27:T27)</f>
        <v>0</v>
      </c>
      <c r="U27" s="87" t="str">
        <f aca="false">IFERROR(S27/R27,"-")</f>
        <v>-</v>
      </c>
    </row>
    <row r="28" customFormat="false" ht="15.75" hidden="false" customHeight="true" outlineLevel="0" collapsed="false">
      <c r="A28" s="86" t="s">
        <v>54</v>
      </c>
      <c r="B28" s="31" t="n">
        <f aca="false">SUM(start:end!B28:B28)</f>
        <v>0</v>
      </c>
      <c r="C28" s="31" t="n">
        <f aca="false">SUM(start:end!C28:C28)</f>
        <v>0</v>
      </c>
      <c r="D28" s="31" t="n">
        <f aca="false">SUM(start:end!D28:D28)</f>
        <v>0</v>
      </c>
      <c r="E28" s="87" t="str">
        <f aca="false">IFERROR(C28/B28,"-")</f>
        <v>-</v>
      </c>
      <c r="F28" s="31" t="n">
        <f aca="false">SUM(start:end!F28:F28)</f>
        <v>0</v>
      </c>
      <c r="G28" s="31" t="n">
        <f aca="false">SUM(start:end!G28:G28)</f>
        <v>0</v>
      </c>
      <c r="H28" s="31" t="n">
        <f aca="false">SUM(start:end!H28:H28)</f>
        <v>0</v>
      </c>
      <c r="I28" s="87" t="str">
        <f aca="false">IFERROR(G28/F28,"-")</f>
        <v>-</v>
      </c>
      <c r="J28" s="31" t="n">
        <f aca="false">SUM(start:end!J28:J28)</f>
        <v>0</v>
      </c>
      <c r="K28" s="31" t="n">
        <f aca="false">SUM(start:end!K28:K28)</f>
        <v>0</v>
      </c>
      <c r="L28" s="31" t="n">
        <f aca="false">SUM(start:end!L28:L28)</f>
        <v>0</v>
      </c>
      <c r="M28" s="87" t="str">
        <f aca="false">IFERROR(K28/J28,"-")</f>
        <v>-</v>
      </c>
      <c r="N28" s="31" t="n">
        <f aca="false">SUM(start:end!N28:N28)</f>
        <v>0</v>
      </c>
      <c r="O28" s="31" t="n">
        <f aca="false">SUM(start:end!O28:O28)</f>
        <v>0</v>
      </c>
      <c r="P28" s="31" t="n">
        <f aca="false">SUM(start:end!P28:P28)</f>
        <v>0</v>
      </c>
      <c r="Q28" s="87" t="str">
        <f aca="false">IFERROR(O28/N28,"-")</f>
        <v>-</v>
      </c>
      <c r="R28" s="31" t="n">
        <f aca="false">SUM(start:end!R28:R28)</f>
        <v>0</v>
      </c>
      <c r="S28" s="31" t="n">
        <f aca="false">SUM(start:end!S28:S28)</f>
        <v>0</v>
      </c>
      <c r="T28" s="31" t="n">
        <f aca="false">SUM(start:end!T28:T28)</f>
        <v>0</v>
      </c>
      <c r="U28" s="87" t="str">
        <f aca="false">IFERROR(S28/R28,"-")</f>
        <v>-</v>
      </c>
    </row>
    <row r="29" customFormat="false" ht="15.75" hidden="false" customHeight="true" outlineLevel="0" collapsed="false">
      <c r="A29" s="86" t="s">
        <v>55</v>
      </c>
      <c r="B29" s="31" t="n">
        <f aca="false">SUM(start:end!B29:B29)</f>
        <v>0</v>
      </c>
      <c r="C29" s="31" t="n">
        <f aca="false">SUM(start:end!C29:C29)</f>
        <v>0</v>
      </c>
      <c r="D29" s="31" t="n">
        <f aca="false">SUM(start:end!D29:D29)</f>
        <v>0</v>
      </c>
      <c r="E29" s="87" t="str">
        <f aca="false">IFERROR(C29/B29,"-")</f>
        <v>-</v>
      </c>
      <c r="F29" s="31" t="n">
        <f aca="false">SUM(start:end!F29:F29)</f>
        <v>0</v>
      </c>
      <c r="G29" s="31" t="n">
        <f aca="false">SUM(start:end!G29:G29)</f>
        <v>0</v>
      </c>
      <c r="H29" s="31" t="n">
        <f aca="false">SUM(start:end!H29:H29)</f>
        <v>0</v>
      </c>
      <c r="I29" s="87" t="str">
        <f aca="false">IFERROR(G29/F29,"-")</f>
        <v>-</v>
      </c>
      <c r="J29" s="31" t="n">
        <f aca="false">SUM(start:end!J29:J29)</f>
        <v>0</v>
      </c>
      <c r="K29" s="31" t="n">
        <f aca="false">SUM(start:end!K29:K29)</f>
        <v>0</v>
      </c>
      <c r="L29" s="31" t="n">
        <f aca="false">SUM(start:end!L29:L29)</f>
        <v>0</v>
      </c>
      <c r="M29" s="87" t="str">
        <f aca="false">IFERROR(K29/J29,"-")</f>
        <v>-</v>
      </c>
      <c r="N29" s="31" t="n">
        <f aca="false">SUM(start:end!N29:N29)</f>
        <v>442500</v>
      </c>
      <c r="O29" s="31" t="n">
        <f aca="false">SUM(start:end!O29:O29)</f>
        <v>0</v>
      </c>
      <c r="P29" s="31" t="n">
        <f aca="false">SUM(start:end!P29:P29)</f>
        <v>442500</v>
      </c>
      <c r="Q29" s="87" t="n">
        <f aca="false">IFERROR(O29/N29,"-")</f>
        <v>0</v>
      </c>
      <c r="R29" s="31" t="n">
        <f aca="false">SUM(start:end!R29:R29)</f>
        <v>0</v>
      </c>
      <c r="S29" s="31" t="n">
        <f aca="false">SUM(start:end!S29:S29)</f>
        <v>0</v>
      </c>
      <c r="T29" s="31" t="n">
        <f aca="false">SUM(start:end!T29:T29)</f>
        <v>0</v>
      </c>
      <c r="U29" s="87" t="str">
        <f aca="false">IFERROR(S29/R29,"-")</f>
        <v>-</v>
      </c>
    </row>
    <row r="30" customFormat="false" ht="15.75" hidden="false" customHeight="true" outlineLevel="0" collapsed="false">
      <c r="A30" s="86" t="s">
        <v>56</v>
      </c>
      <c r="B30" s="31" t="n">
        <f aca="false">SUM(start:end!B30:B30)</f>
        <v>3084</v>
      </c>
      <c r="C30" s="31" t="n">
        <f aca="false">SUM(start:end!C30:C30)</f>
        <v>0</v>
      </c>
      <c r="D30" s="31" t="n">
        <f aca="false">SUM(start:end!D30:D30)</f>
        <v>3084</v>
      </c>
      <c r="E30" s="87" t="n">
        <f aca="false">IFERROR(C30/B30,"-")</f>
        <v>0</v>
      </c>
      <c r="F30" s="31" t="n">
        <f aca="false">SUM(start:end!F30:F30)</f>
        <v>0</v>
      </c>
      <c r="G30" s="31" t="n">
        <f aca="false">SUM(start:end!G30:G30)</f>
        <v>0</v>
      </c>
      <c r="H30" s="31" t="n">
        <f aca="false">SUM(start:end!H30:H30)</f>
        <v>0</v>
      </c>
      <c r="I30" s="87" t="str">
        <f aca="false">IFERROR(G30/F30,"-")</f>
        <v>-</v>
      </c>
      <c r="J30" s="31" t="n">
        <f aca="false">SUM(start:end!J30:J30)</f>
        <v>0</v>
      </c>
      <c r="K30" s="31" t="n">
        <f aca="false">SUM(start:end!K30:K30)</f>
        <v>0</v>
      </c>
      <c r="L30" s="31" t="n">
        <f aca="false">SUM(start:end!L30:L30)</f>
        <v>0</v>
      </c>
      <c r="M30" s="87" t="str">
        <f aca="false">IFERROR(K30/J30,"-")</f>
        <v>-</v>
      </c>
      <c r="N30" s="31" t="n">
        <f aca="false">SUM(start:end!N30:N30)</f>
        <v>192496</v>
      </c>
      <c r="O30" s="31" t="n">
        <f aca="false">SUM(start:end!O30:O30)</f>
        <v>0</v>
      </c>
      <c r="P30" s="31" t="n">
        <f aca="false">SUM(start:end!P30:P30)</f>
        <v>192496</v>
      </c>
      <c r="Q30" s="87" t="n">
        <f aca="false">IFERROR(O30/N30,"-")</f>
        <v>0</v>
      </c>
      <c r="R30" s="31" t="n">
        <f aca="false">SUM(start:end!R30:R30)</f>
        <v>0</v>
      </c>
      <c r="S30" s="31" t="n">
        <f aca="false">SUM(start:end!S30:S30)</f>
        <v>3084</v>
      </c>
      <c r="T30" s="31" t="n">
        <f aca="false">SUM(start:end!T30:T30)</f>
        <v>0</v>
      </c>
      <c r="U30" s="87" t="str">
        <f aca="false">IFERROR(S30/R30,"-")</f>
        <v>-</v>
      </c>
    </row>
    <row r="31" customFormat="false" ht="15.75" hidden="false" customHeight="true" outlineLevel="0" collapsed="false">
      <c r="A31" s="86" t="s">
        <v>58</v>
      </c>
      <c r="B31" s="31" t="n">
        <f aca="false">SUM(start:end!B31:B31)</f>
        <v>0</v>
      </c>
      <c r="C31" s="31" t="n">
        <f aca="false">SUM(start:end!C31:C31)</f>
        <v>0</v>
      </c>
      <c r="D31" s="31" t="n">
        <f aca="false">SUM(start:end!D31:D31)</f>
        <v>0</v>
      </c>
      <c r="E31" s="87" t="str">
        <f aca="false">IFERROR(C31/B31,"-")</f>
        <v>-</v>
      </c>
      <c r="F31" s="31" t="n">
        <f aca="false">SUM(start:end!F31:F31)</f>
        <v>0</v>
      </c>
      <c r="G31" s="31" t="n">
        <f aca="false">SUM(start:end!G31:G31)</f>
        <v>0</v>
      </c>
      <c r="H31" s="31" t="n">
        <f aca="false">SUM(start:end!H31:H31)</f>
        <v>0</v>
      </c>
      <c r="I31" s="87" t="str">
        <f aca="false">IFERROR(G31/F31,"-")</f>
        <v>-</v>
      </c>
      <c r="J31" s="31" t="n">
        <f aca="false">SUM(start:end!J31:J31)</f>
        <v>0</v>
      </c>
      <c r="K31" s="31" t="n">
        <f aca="false">SUM(start:end!K31:K31)</f>
        <v>0</v>
      </c>
      <c r="L31" s="31" t="n">
        <f aca="false">SUM(start:end!L31:L31)</f>
        <v>0</v>
      </c>
      <c r="M31" s="87" t="str">
        <f aca="false">IFERROR(K31/J31,"-")</f>
        <v>-</v>
      </c>
      <c r="N31" s="31" t="n">
        <f aca="false">SUM(start:end!N31:N31)</f>
        <v>37500</v>
      </c>
      <c r="O31" s="31" t="n">
        <f aca="false">SUM(start:end!O31:O31)</f>
        <v>0</v>
      </c>
      <c r="P31" s="31" t="n">
        <f aca="false">SUM(start:end!P31:P31)</f>
        <v>37500</v>
      </c>
      <c r="Q31" s="87" t="n">
        <f aca="false">IFERROR(O31/N31,"-")</f>
        <v>0</v>
      </c>
      <c r="R31" s="31" t="n">
        <f aca="false">SUM(start:end!R31:R31)</f>
        <v>0</v>
      </c>
      <c r="S31" s="31" t="n">
        <f aca="false">SUM(start:end!S31:S31)</f>
        <v>0</v>
      </c>
      <c r="T31" s="31" t="n">
        <f aca="false">SUM(start:end!T31:T31)</f>
        <v>0</v>
      </c>
      <c r="U31" s="87" t="str">
        <f aca="false">IFERROR(S31/R31,"-")</f>
        <v>-</v>
      </c>
    </row>
    <row r="32" customFormat="false" ht="15.75" hidden="false" customHeight="true" outlineLevel="0" collapsed="false">
      <c r="A32" s="86" t="s">
        <v>60</v>
      </c>
      <c r="B32" s="31" t="n">
        <f aca="false">SUM(start:end!B32:B32)</f>
        <v>1138519</v>
      </c>
      <c r="C32" s="31" t="n">
        <f aca="false">SUM(start:end!C32:C32)</f>
        <v>2109229.22732851</v>
      </c>
      <c r="D32" s="31" t="n">
        <f aca="false">SUM(start:end!D32:D32)</f>
        <v>3247748.22732851</v>
      </c>
      <c r="E32" s="87" t="n">
        <f aca="false">IFERROR(C32/B32,"-")</f>
        <v>1.85260784170357</v>
      </c>
      <c r="F32" s="31" t="n">
        <f aca="false">SUM(start:end!F32:F32)</f>
        <v>553892.701174928</v>
      </c>
      <c r="G32" s="31" t="n">
        <f aca="false">SUM(start:end!G32:G32)</f>
        <v>825953.701174928</v>
      </c>
      <c r="H32" s="31" t="n">
        <f aca="false">SUM(start:end!H32:H32)</f>
        <v>6538700</v>
      </c>
      <c r="I32" s="87" t="n">
        <f aca="false">IFERROR(G32/F32,"-")</f>
        <v>1.49117996937475</v>
      </c>
      <c r="J32" s="31" t="n">
        <f aca="false">SUM(start:end!J32:J32)</f>
        <v>3420500</v>
      </c>
      <c r="K32" s="31" t="n">
        <f aca="false">SUM(start:end!K32:K32)</f>
        <v>0</v>
      </c>
      <c r="L32" s="31" t="n">
        <f aca="false">SUM(start:end!L32:L32)</f>
        <v>687308.071496563</v>
      </c>
      <c r="M32" s="87" t="n">
        <f aca="false">IFERROR(K32/J32,"-")</f>
        <v>0</v>
      </c>
      <c r="N32" s="31" t="n">
        <f aca="false">SUM(start:end!N32:N32)</f>
        <v>3350430</v>
      </c>
      <c r="O32" s="31" t="n">
        <f aca="false">SUM(start:end!O32:O32)</f>
        <v>-3350430</v>
      </c>
      <c r="P32" s="31" t="n">
        <f aca="false">SUM(start:end!P32:P32)</f>
        <v>0</v>
      </c>
      <c r="Q32" s="87" t="n">
        <f aca="false">IFERROR(O32/N32,"-")</f>
        <v>-1</v>
      </c>
      <c r="R32" s="31" t="n">
        <f aca="false">SUM(start:end!R32:R32)</f>
        <v>2663121.92850344</v>
      </c>
      <c r="S32" s="31" t="n">
        <f aca="false">SUM(start:end!S32:S32)</f>
        <v>4073701.92850344</v>
      </c>
      <c r="T32" s="31" t="n">
        <f aca="false">SUM(start:end!T32:T32)</f>
        <v>6538700</v>
      </c>
      <c r="U32" s="87" t="n">
        <f aca="false">IFERROR(S32/R32,"-")</f>
        <v>1.52967158014905</v>
      </c>
    </row>
    <row r="33" customFormat="false" ht="15.75" hidden="false" customHeight="true" outlineLevel="0" collapsed="false">
      <c r="A33" s="86" t="s">
        <v>61</v>
      </c>
      <c r="B33" s="31" t="n">
        <f aca="false">SUM(start:end!B33:B33)</f>
        <v>0</v>
      </c>
      <c r="C33" s="31" t="n">
        <f aca="false">SUM(start:end!C33:C33)</f>
        <v>2697984.65245612</v>
      </c>
      <c r="D33" s="31" t="n">
        <f aca="false">SUM(start:end!D33:D33)</f>
        <v>2697984.65245612</v>
      </c>
      <c r="E33" s="87" t="str">
        <f aca="false">IFERROR(C33/B33,"-")</f>
        <v>-</v>
      </c>
      <c r="F33" s="31" t="n">
        <f aca="false">SUM(start:end!F33:F33)</f>
        <v>708502.417620193</v>
      </c>
      <c r="G33" s="31" t="n">
        <f aca="false">SUM(start:end!G33:G33)</f>
        <v>708502.417620193</v>
      </c>
      <c r="H33" s="31" t="n">
        <f aca="false">SUM(start:end!H33:H33)</f>
        <v>0</v>
      </c>
      <c r="I33" s="87" t="n">
        <f aca="false">IFERROR(G33/F33,"-")</f>
        <v>1</v>
      </c>
      <c r="J33" s="31" t="n">
        <f aca="false">SUM(start:end!J33:J33)</f>
        <v>3736954.51300965</v>
      </c>
      <c r="K33" s="31" t="n">
        <f aca="false">SUM(start:end!K33:K33)</f>
        <v>0</v>
      </c>
      <c r="L33" s="31" t="n">
        <f aca="false">SUM(start:end!L33:L33)</f>
        <v>879158.416914033</v>
      </c>
      <c r="M33" s="87" t="n">
        <f aca="false">IFERROR(K33/J33,"-")</f>
        <v>0</v>
      </c>
      <c r="N33" s="31" t="n">
        <f aca="false">SUM(start:end!N33:N33)</f>
        <v>8022600</v>
      </c>
      <c r="O33" s="31" t="n">
        <f aca="false">SUM(start:end!O33:O33)</f>
        <v>-8022600</v>
      </c>
      <c r="P33" s="31" t="n">
        <f aca="false">SUM(start:end!P33:P33)</f>
        <v>0</v>
      </c>
      <c r="Q33" s="87" t="n">
        <f aca="false">IFERROR(O33/N33,"-")</f>
        <v>-1</v>
      </c>
      <c r="R33" s="31" t="n">
        <f aca="false">SUM(start:end!R33:R33)</f>
        <v>3406487.07007631</v>
      </c>
      <c r="S33" s="31" t="n">
        <f aca="false">SUM(start:end!S33:S33)</f>
        <v>3406487.07007631</v>
      </c>
      <c r="T33" s="31" t="n">
        <f aca="false">SUM(start:end!T33:T33)</f>
        <v>0</v>
      </c>
      <c r="U33" s="87" t="n">
        <f aca="false">IFERROR(S33/R33,"-")</f>
        <v>1</v>
      </c>
    </row>
    <row r="34" customFormat="false" ht="15.75" hidden="false" customHeight="true" outlineLevel="0" collapsed="false">
      <c r="A34" s="86" t="s">
        <v>62</v>
      </c>
      <c r="B34" s="31" t="n">
        <f aca="false">SUM(start:end!B34:B34)</f>
        <v>0</v>
      </c>
      <c r="C34" s="31" t="n">
        <f aca="false">SUM(start:end!C34:C34)</f>
        <v>430208.594556028</v>
      </c>
      <c r="D34" s="31" t="n">
        <f aca="false">SUM(start:end!D34:D34)</f>
        <v>430208.594556028</v>
      </c>
      <c r="E34" s="87" t="str">
        <f aca="false">IFERROR(C34/B34,"-")</f>
        <v>-</v>
      </c>
      <c r="F34" s="31" t="n">
        <f aca="false">SUM(start:end!F34:F34)</f>
        <v>112974.634250218</v>
      </c>
      <c r="G34" s="31" t="n">
        <f aca="false">SUM(start:end!G34:G34)</f>
        <v>112974.634250218</v>
      </c>
      <c r="H34" s="31" t="n">
        <f aca="false">SUM(start:end!H34:H34)</f>
        <v>0</v>
      </c>
      <c r="I34" s="87" t="n">
        <f aca="false">IFERROR(G34/F34,"-")</f>
        <v>1</v>
      </c>
      <c r="J34" s="31" t="n">
        <f aca="false">SUM(start:end!J34:J34)</f>
        <v>595878.092745316</v>
      </c>
      <c r="K34" s="31" t="n">
        <f aca="false">SUM(start:end!K34:K34)</f>
        <v>0</v>
      </c>
      <c r="L34" s="31" t="n">
        <f aca="false">SUM(start:end!L34:L34)</f>
        <v>140186.678448438</v>
      </c>
      <c r="M34" s="87" t="n">
        <f aca="false">IFERROR(K34/J34,"-")</f>
        <v>0</v>
      </c>
      <c r="N34" s="31" t="n">
        <f aca="false">SUM(start:end!N34:N34)</f>
        <v>1279248</v>
      </c>
      <c r="O34" s="31" t="n">
        <f aca="false">SUM(start:end!O34:O34)</f>
        <v>-1279248</v>
      </c>
      <c r="P34" s="31" t="n">
        <f aca="false">SUM(start:end!P34:P34)</f>
        <v>0</v>
      </c>
      <c r="Q34" s="87" t="n">
        <f aca="false">IFERROR(O34/N34,"-")</f>
        <v>-1</v>
      </c>
      <c r="R34" s="31" t="n">
        <f aca="false">SUM(start:end!R34:R34)</f>
        <v>543183.228806246</v>
      </c>
      <c r="S34" s="31" t="n">
        <f aca="false">SUM(start:end!S34:S34)</f>
        <v>543183.228806246</v>
      </c>
      <c r="T34" s="31" t="n">
        <f aca="false">SUM(start:end!T34:T34)</f>
        <v>0</v>
      </c>
      <c r="U34" s="87" t="n">
        <f aca="false">IFERROR(S34/R34,"-")</f>
        <v>1</v>
      </c>
    </row>
    <row r="35" customFormat="false" ht="15.75" hidden="false" customHeight="true" outlineLevel="0" collapsed="false">
      <c r="A35" s="86" t="s">
        <v>63</v>
      </c>
      <c r="B35" s="31" t="n">
        <f aca="false">SUM(start:end!B35:B35)</f>
        <v>105400</v>
      </c>
      <c r="C35" s="31" t="n">
        <f aca="false">SUM(start:end!C35:C35)</f>
        <v>0</v>
      </c>
      <c r="D35" s="31" t="n">
        <f aca="false">SUM(start:end!D35:D35)</f>
        <v>105400</v>
      </c>
      <c r="E35" s="87" t="n">
        <f aca="false">IFERROR(C35/B35,"-")</f>
        <v>0</v>
      </c>
      <c r="F35" s="31" t="n">
        <f aca="false">SUM(start:end!F35:F35)</f>
        <v>0</v>
      </c>
      <c r="G35" s="31" t="n">
        <f aca="false">SUM(start:end!G35:G35)</f>
        <v>0</v>
      </c>
      <c r="H35" s="31" t="n">
        <f aca="false">SUM(start:end!H35:H35)</f>
        <v>0</v>
      </c>
      <c r="I35" s="87" t="str">
        <f aca="false">IFERROR(G35/F35,"-")</f>
        <v>-</v>
      </c>
      <c r="J35" s="31" t="n">
        <f aca="false">SUM(start:end!J35:J35)</f>
        <v>0</v>
      </c>
      <c r="K35" s="31" t="n">
        <f aca="false">SUM(start:end!K35:K35)</f>
        <v>0</v>
      </c>
      <c r="L35" s="31" t="n">
        <f aca="false">SUM(start:end!L35:L35)</f>
        <v>0</v>
      </c>
      <c r="M35" s="87" t="str">
        <f aca="false">IFERROR(K35/J35,"-")</f>
        <v>-</v>
      </c>
      <c r="N35" s="31" t="n">
        <f aca="false">SUM(start:end!N35:N35)</f>
        <v>725952</v>
      </c>
      <c r="O35" s="31" t="n">
        <f aca="false">SUM(start:end!O35:O35)</f>
        <v>0</v>
      </c>
      <c r="P35" s="31" t="n">
        <f aca="false">SUM(start:end!P35:P35)</f>
        <v>725952</v>
      </c>
      <c r="Q35" s="87" t="n">
        <f aca="false">IFERROR(O35/N35,"-")</f>
        <v>0</v>
      </c>
      <c r="R35" s="31" t="n">
        <f aca="false">SUM(start:end!R35:R35)</f>
        <v>0</v>
      </c>
      <c r="S35" s="31" t="n">
        <f aca="false">SUM(start:end!S35:S35)</f>
        <v>105400</v>
      </c>
      <c r="T35" s="31" t="n">
        <f aca="false">SUM(start:end!T35:T35)</f>
        <v>0</v>
      </c>
      <c r="U35" s="87" t="str">
        <f aca="false">IFERROR(S35/R35,"-")</f>
        <v>-</v>
      </c>
    </row>
    <row r="36" customFormat="false" ht="15.75" hidden="false" customHeight="true" outlineLevel="0" collapsed="false">
      <c r="A36" s="86" t="s">
        <v>64</v>
      </c>
      <c r="B36" s="31" t="n">
        <f aca="false">SUM(start:end!B36:B36)</f>
        <v>0</v>
      </c>
      <c r="C36" s="31" t="n">
        <f aca="false">SUM(start:end!C36:C36)</f>
        <v>0</v>
      </c>
      <c r="D36" s="31" t="n">
        <f aca="false">SUM(start:end!D36:D36)</f>
        <v>0</v>
      </c>
      <c r="E36" s="87" t="str">
        <f aca="false">IFERROR(C36/B36,"-")</f>
        <v>-</v>
      </c>
      <c r="F36" s="31" t="n">
        <f aca="false">SUM(start:end!F36:F36)</f>
        <v>0</v>
      </c>
      <c r="G36" s="31" t="n">
        <f aca="false">SUM(start:end!G36:G36)</f>
        <v>0</v>
      </c>
      <c r="H36" s="31" t="n">
        <f aca="false">SUM(start:end!H36:H36)</f>
        <v>0</v>
      </c>
      <c r="I36" s="87" t="str">
        <f aca="false">IFERROR(G36/F36,"-")</f>
        <v>-</v>
      </c>
      <c r="J36" s="31" t="n">
        <f aca="false">SUM(start:end!J36:J36)</f>
        <v>0</v>
      </c>
      <c r="K36" s="31" t="n">
        <f aca="false">SUM(start:end!K36:K36)</f>
        <v>0</v>
      </c>
      <c r="L36" s="31" t="n">
        <f aca="false">SUM(start:end!L36:L36)</f>
        <v>0</v>
      </c>
      <c r="M36" s="87" t="str">
        <f aca="false">IFERROR(K36/J36,"-")</f>
        <v>-</v>
      </c>
      <c r="N36" s="31" t="n">
        <f aca="false">SUM(start:end!N36:N36)</f>
        <v>442756</v>
      </c>
      <c r="O36" s="31" t="n">
        <f aca="false">SUM(start:end!O36:O36)</f>
        <v>0</v>
      </c>
      <c r="P36" s="31" t="n">
        <f aca="false">SUM(start:end!P36:P36)</f>
        <v>442756</v>
      </c>
      <c r="Q36" s="87" t="n">
        <f aca="false">IFERROR(O36/N36,"-")</f>
        <v>0</v>
      </c>
      <c r="R36" s="31" t="n">
        <f aca="false">SUM(start:end!R36:R36)</f>
        <v>0</v>
      </c>
      <c r="S36" s="31" t="n">
        <f aca="false">SUM(start:end!S36:S36)</f>
        <v>0</v>
      </c>
      <c r="T36" s="31" t="n">
        <f aca="false">SUM(start:end!T36:T36)</f>
        <v>0</v>
      </c>
      <c r="U36" s="87" t="str">
        <f aca="false">IFERROR(S36/R36,"-")</f>
        <v>-</v>
      </c>
    </row>
    <row r="37" customFormat="false" ht="15.75" hidden="false" customHeight="true" outlineLevel="0" collapsed="false">
      <c r="A37" s="86" t="s">
        <v>65</v>
      </c>
      <c r="B37" s="31" t="n">
        <f aca="false">SUM(start:end!B37:B37)</f>
        <v>0</v>
      </c>
      <c r="C37" s="31" t="n">
        <f aca="false">SUM(start:end!C37:C37)</f>
        <v>0</v>
      </c>
      <c r="D37" s="31" t="n">
        <f aca="false">SUM(start:end!D37:D37)</f>
        <v>0</v>
      </c>
      <c r="E37" s="87" t="str">
        <f aca="false">IFERROR(C37/B37,"-")</f>
        <v>-</v>
      </c>
      <c r="F37" s="31" t="n">
        <f aca="false">SUM(start:end!F37:F37)</f>
        <v>0</v>
      </c>
      <c r="G37" s="31" t="n">
        <f aca="false">SUM(start:end!G37:G37)</f>
        <v>0</v>
      </c>
      <c r="H37" s="31" t="n">
        <f aca="false">SUM(start:end!H37:H37)</f>
        <v>0</v>
      </c>
      <c r="I37" s="87" t="str">
        <f aca="false">IFERROR(G37/F37,"-")</f>
        <v>-</v>
      </c>
      <c r="J37" s="31" t="n">
        <f aca="false">SUM(start:end!J37:J37)</f>
        <v>0</v>
      </c>
      <c r="K37" s="31" t="n">
        <f aca="false">SUM(start:end!K37:K37)</f>
        <v>0</v>
      </c>
      <c r="L37" s="31" t="n">
        <f aca="false">SUM(start:end!L37:L37)</f>
        <v>0</v>
      </c>
      <c r="M37" s="87" t="str">
        <f aca="false">IFERROR(K37/J37,"-")</f>
        <v>-</v>
      </c>
      <c r="N37" s="31" t="n">
        <f aca="false">SUM(start:end!N37:N37)</f>
        <v>1058500</v>
      </c>
      <c r="O37" s="31" t="n">
        <f aca="false">SUM(start:end!O37:O37)</f>
        <v>0</v>
      </c>
      <c r="P37" s="31" t="n">
        <f aca="false">SUM(start:end!P37:P37)</f>
        <v>1058500</v>
      </c>
      <c r="Q37" s="87" t="n">
        <f aca="false">IFERROR(O37/N37,"-")</f>
        <v>0</v>
      </c>
      <c r="R37" s="31" t="n">
        <f aca="false">SUM(start:end!R37:R37)</f>
        <v>0</v>
      </c>
      <c r="S37" s="31" t="n">
        <f aca="false">SUM(start:end!S37:S37)</f>
        <v>0</v>
      </c>
      <c r="T37" s="31" t="n">
        <f aca="false">SUM(start:end!T37:T37)</f>
        <v>0</v>
      </c>
      <c r="U37" s="87" t="str">
        <f aca="false">IFERROR(S37/R37,"-")</f>
        <v>-</v>
      </c>
    </row>
    <row r="38" customFormat="false" ht="15.75" hidden="false" customHeight="true" outlineLevel="0" collapsed="false">
      <c r="A38" s="86" t="s">
        <v>70</v>
      </c>
      <c r="B38" s="31" t="n">
        <f aca="false">SUM(start:end!B38:B38)</f>
        <v>0</v>
      </c>
      <c r="C38" s="31" t="n">
        <f aca="false">SUM(start:end!C38:C38)</f>
        <v>0</v>
      </c>
      <c r="D38" s="31" t="n">
        <f aca="false">SUM(start:end!D38:D38)</f>
        <v>0</v>
      </c>
      <c r="E38" s="87" t="str">
        <f aca="false">IFERROR(C38/B38,"-")</f>
        <v>-</v>
      </c>
      <c r="F38" s="31" t="n">
        <f aca="false">SUM(start:end!F38:F38)</f>
        <v>0</v>
      </c>
      <c r="G38" s="31" t="n">
        <f aca="false">SUM(start:end!G38:G38)</f>
        <v>0</v>
      </c>
      <c r="H38" s="31" t="n">
        <f aca="false">SUM(start:end!H38:H38)</f>
        <v>0</v>
      </c>
      <c r="I38" s="87" t="str">
        <f aca="false">IFERROR(G38/F38,"-")</f>
        <v>-</v>
      </c>
      <c r="J38" s="31" t="n">
        <f aca="false">SUM(start:end!J38:J38)</f>
        <v>0</v>
      </c>
      <c r="K38" s="31" t="n">
        <f aca="false">SUM(start:end!K38:K38)</f>
        <v>0</v>
      </c>
      <c r="L38" s="31" t="n">
        <f aca="false">SUM(start:end!L38:L38)</f>
        <v>0</v>
      </c>
      <c r="M38" s="87" t="str">
        <f aca="false">IFERROR(K38/J38,"-")</f>
        <v>-</v>
      </c>
      <c r="N38" s="31" t="n">
        <f aca="false">SUM(start:end!N38:N38)</f>
        <v>6647672</v>
      </c>
      <c r="O38" s="31" t="n">
        <f aca="false">SUM(start:end!O38:O38)</f>
        <v>0</v>
      </c>
      <c r="P38" s="31" t="n">
        <f aca="false">SUM(start:end!P38:P38)</f>
        <v>6647672</v>
      </c>
      <c r="Q38" s="87" t="n">
        <f aca="false">IFERROR(O38/N38,"-")</f>
        <v>0</v>
      </c>
      <c r="R38" s="31" t="n">
        <f aca="false">SUM(start:end!R38:R38)</f>
        <v>0</v>
      </c>
      <c r="S38" s="31" t="n">
        <f aca="false">SUM(start:end!S38:S38)</f>
        <v>0</v>
      </c>
      <c r="T38" s="31" t="n">
        <f aca="false">SUM(start:end!T38:T38)</f>
        <v>0</v>
      </c>
      <c r="U38" s="87" t="str">
        <f aca="false">IFERROR(S38/R38,"-")</f>
        <v>-</v>
      </c>
    </row>
    <row r="39" customFormat="false" ht="15.75" hidden="false" customHeight="true" outlineLevel="0" collapsed="false">
      <c r="A39" s="25" t="s">
        <v>71</v>
      </c>
      <c r="B39" s="31" t="n">
        <f aca="false">SUM(start:end!B39:B39)</f>
        <v>0</v>
      </c>
      <c r="C39" s="31" t="n">
        <f aca="false">SUM(start:end!C39:C39)</f>
        <v>0</v>
      </c>
      <c r="D39" s="31" t="n">
        <f aca="false">SUM(start:end!D39:D39)</f>
        <v>0</v>
      </c>
      <c r="E39" s="87" t="str">
        <f aca="false">IFERROR(C39/B39,"-")</f>
        <v>-</v>
      </c>
      <c r="F39" s="31" t="n">
        <f aca="false">SUM(start:end!F39:F39)</f>
        <v>0</v>
      </c>
      <c r="G39" s="31" t="n">
        <f aca="false">SUM(start:end!G39:G39)</f>
        <v>0</v>
      </c>
      <c r="H39" s="31" t="n">
        <f aca="false">SUM(start:end!H39:H39)</f>
        <v>0</v>
      </c>
      <c r="I39" s="87" t="str">
        <f aca="false">IFERROR(G39/F39,"-")</f>
        <v>-</v>
      </c>
      <c r="J39" s="31" t="n">
        <f aca="false">SUM(start:end!J39:J39)</f>
        <v>0</v>
      </c>
      <c r="K39" s="31" t="n">
        <f aca="false">SUM(start:end!K39:K39)</f>
        <v>410000</v>
      </c>
      <c r="L39" s="31" t="n">
        <f aca="false">SUM(start:end!L39:L39)</f>
        <v>0</v>
      </c>
      <c r="M39" s="87" t="str">
        <f aca="false">IFERROR(K39/J39,"-")</f>
        <v>-</v>
      </c>
      <c r="N39" s="31" t="n">
        <f aca="false">SUM(start:end!N39:N39)</f>
        <v>5736372</v>
      </c>
      <c r="O39" s="31" t="n">
        <f aca="false">SUM(start:end!O39:O39)</f>
        <v>0</v>
      </c>
      <c r="P39" s="31" t="n">
        <f aca="false">SUM(start:end!P39:P39)</f>
        <v>5736372</v>
      </c>
      <c r="Q39" s="87" t="n">
        <f aca="false">IFERROR(O39/N39,"-")</f>
        <v>0</v>
      </c>
      <c r="R39" s="31" t="n">
        <f aca="false">SUM(start:end!R39:R39)</f>
        <v>0</v>
      </c>
      <c r="S39" s="31" t="n">
        <f aca="false">SUM(start:end!S39:S39)</f>
        <v>0</v>
      </c>
      <c r="T39" s="31" t="n">
        <f aca="false">SUM(start:end!T39:T39)</f>
        <v>410000</v>
      </c>
      <c r="U39" s="87" t="str">
        <f aca="false">IFERROR(S39/R39,"-")</f>
        <v>-</v>
      </c>
    </row>
    <row r="40" customFormat="false" ht="15.75" hidden="false" customHeight="true" outlineLevel="0" collapsed="false">
      <c r="A40" s="25" t="s">
        <v>88</v>
      </c>
      <c r="B40" s="26" t="n">
        <f aca="false">SUM(start:end!B40:B40)</f>
        <v>0</v>
      </c>
      <c r="C40" s="26" t="n">
        <f aca="false">SUM(start:end!C40:C40)</f>
        <v>0</v>
      </c>
      <c r="D40" s="26" t="n">
        <f aca="false">SUM(start:end!D40:D40)</f>
        <v>0</v>
      </c>
      <c r="E40" s="85" t="str">
        <f aca="false">IFERROR(C40/B40,"-")</f>
        <v>-</v>
      </c>
      <c r="F40" s="26" t="n">
        <f aca="false">SUM(start:end!F40:F40)</f>
        <v>0</v>
      </c>
      <c r="G40" s="26" t="n">
        <f aca="false">SUM(start:end!G40:G40)</f>
        <v>0</v>
      </c>
      <c r="H40" s="26" t="n">
        <f aca="false">SUM(start:end!H40:H40)</f>
        <v>90674</v>
      </c>
      <c r="I40" s="85" t="str">
        <f aca="false">IFERROR(G40/F40,"-")</f>
        <v>-</v>
      </c>
      <c r="J40" s="26" t="n">
        <f aca="false">SUM(start:end!J40:J40)</f>
        <v>90674</v>
      </c>
      <c r="K40" s="26" t="n">
        <f aca="false">SUM(start:end!K40:K40)</f>
        <v>0</v>
      </c>
      <c r="L40" s="26" t="n">
        <f aca="false">SUM(start:end!L40:L40)</f>
        <v>0</v>
      </c>
      <c r="M40" s="85" t="n">
        <f aca="false">IFERROR(K40/J40,"-")</f>
        <v>0</v>
      </c>
      <c r="N40" s="26" t="n">
        <f aca="false">SUM(start:end!N40:N40)</f>
        <v>85417</v>
      </c>
      <c r="O40" s="26" t="n">
        <f aca="false">SUM(start:end!O40:O40)</f>
        <v>0</v>
      </c>
      <c r="P40" s="26" t="n">
        <f aca="false">SUM(start:end!P40:P40)</f>
        <v>85417</v>
      </c>
      <c r="Q40" s="85" t="n">
        <f aca="false">IFERROR(O40/N40,"-")</f>
        <v>0</v>
      </c>
      <c r="R40" s="26" t="n">
        <f aca="false">SUM(start:end!R40:R40)</f>
        <v>0</v>
      </c>
      <c r="S40" s="26" t="n">
        <f aca="false">SUM(start:end!S40:S40)</f>
        <v>0</v>
      </c>
      <c r="T40" s="26" t="n">
        <f aca="false">SUM(start:end!T40:T40)</f>
        <v>90674</v>
      </c>
      <c r="U40" s="85" t="str">
        <f aca="false">IFERROR(S40/R40,"-")</f>
        <v>-</v>
      </c>
    </row>
    <row r="41" customFormat="false" ht="15.75" hidden="false" customHeight="true" outlineLevel="0" collapsed="false">
      <c r="A41" s="86" t="s">
        <v>89</v>
      </c>
      <c r="B41" s="31" t="n">
        <f aca="false">SUM(start:end!B41:B41)</f>
        <v>0</v>
      </c>
      <c r="C41" s="31" t="n">
        <f aca="false">SUM(start:end!C41:C41)</f>
        <v>0</v>
      </c>
      <c r="D41" s="31" t="n">
        <f aca="false">SUM(start:end!D41:D41)</f>
        <v>0</v>
      </c>
      <c r="E41" s="87" t="str">
        <f aca="false">IFERROR(C41/B41,"-")</f>
        <v>-</v>
      </c>
      <c r="F41" s="31" t="n">
        <f aca="false">SUM(start:end!F41:F41)</f>
        <v>0</v>
      </c>
      <c r="G41" s="31" t="n">
        <f aca="false">SUM(start:end!G41:G41)</f>
        <v>0</v>
      </c>
      <c r="H41" s="31" t="n">
        <f aca="false">SUM(start:end!H41:H41)</f>
        <v>0</v>
      </c>
      <c r="I41" s="87" t="str">
        <f aca="false">IFERROR(G41/F41,"-")</f>
        <v>-</v>
      </c>
      <c r="J41" s="31" t="n">
        <f aca="false">SUM(start:end!J41:J41)</f>
        <v>0</v>
      </c>
      <c r="K41" s="31" t="n">
        <f aca="false">SUM(start:end!K41:K41)</f>
        <v>0</v>
      </c>
      <c r="L41" s="31" t="n">
        <f aca="false">SUM(start:end!L41:L41)</f>
        <v>0</v>
      </c>
      <c r="M41" s="87" t="str">
        <f aca="false">IFERROR(K41/J41,"-")</f>
        <v>-</v>
      </c>
      <c r="N41" s="31" t="n">
        <f aca="false">SUM(start:end!N41:N41)</f>
        <v>1800000</v>
      </c>
      <c r="O41" s="31" t="n">
        <f aca="false">SUM(start:end!O41:O41)</f>
        <v>0</v>
      </c>
      <c r="P41" s="31" t="n">
        <f aca="false">SUM(start:end!P41:P41)</f>
        <v>1800000</v>
      </c>
      <c r="Q41" s="87" t="n">
        <f aca="false">IFERROR(O41/N41,"-")</f>
        <v>0</v>
      </c>
      <c r="R41" s="31" t="n">
        <f aca="false">SUM(start:end!R41:R41)</f>
        <v>0</v>
      </c>
      <c r="S41" s="31" t="n">
        <f aca="false">SUM(start:end!S41:S41)</f>
        <v>0</v>
      </c>
      <c r="T41" s="31" t="n">
        <f aca="false">SUM(start:end!T41:T41)</f>
        <v>0</v>
      </c>
      <c r="U41" s="87" t="str">
        <f aca="false">IFERROR(S41/R41,"-")</f>
        <v>-</v>
      </c>
    </row>
    <row r="42" customFormat="false" ht="15.75" hidden="false" customHeight="true" outlineLevel="0" collapsed="false">
      <c r="A42" s="86" t="s">
        <v>90</v>
      </c>
      <c r="B42" s="31" t="n">
        <f aca="false">SUM(start:end!B42:B42)</f>
        <v>0</v>
      </c>
      <c r="C42" s="31" t="n">
        <f aca="false">SUM(start:end!C42:C42)</f>
        <v>2562129</v>
      </c>
      <c r="D42" s="31" t="n">
        <f aca="false">SUM(start:end!D42:D42)</f>
        <v>2562129</v>
      </c>
      <c r="E42" s="87" t="str">
        <f aca="false">IFERROR(C42/B42,"-")</f>
        <v>-</v>
      </c>
      <c r="F42" s="31" t="n">
        <f aca="false">SUM(start:end!F42:F42)</f>
        <v>0</v>
      </c>
      <c r="G42" s="31" t="n">
        <f aca="false">SUM(start:end!G42:G42)</f>
        <v>0</v>
      </c>
      <c r="H42" s="31" t="n">
        <f aca="false">SUM(start:end!H42:H42)</f>
        <v>0</v>
      </c>
      <c r="I42" s="87" t="str">
        <f aca="false">IFERROR(G42/F42,"-")</f>
        <v>-</v>
      </c>
      <c r="J42" s="31" t="n">
        <f aca="false">SUM(start:end!J42:J42)</f>
        <v>0</v>
      </c>
      <c r="K42" s="31" t="n">
        <f aca="false">SUM(start:end!K42:K42)</f>
        <v>0</v>
      </c>
      <c r="L42" s="31" t="n">
        <f aca="false">SUM(start:end!L42:L42)</f>
        <v>0</v>
      </c>
      <c r="M42" s="87" t="str">
        <f aca="false">IFERROR(K42/J42,"-")</f>
        <v>-</v>
      </c>
      <c r="N42" s="31" t="n">
        <f aca="false">SUM(start:end!N42:N42)</f>
        <v>2562129</v>
      </c>
      <c r="O42" s="31" t="n">
        <f aca="false">SUM(start:end!O42:O42)</f>
        <v>-2562129</v>
      </c>
      <c r="P42" s="31" t="n">
        <f aca="false">SUM(start:end!P42:P42)</f>
        <v>0</v>
      </c>
      <c r="Q42" s="87" t="n">
        <f aca="false">IFERROR(O42/N42,"-")</f>
        <v>-1</v>
      </c>
      <c r="R42" s="31" t="n">
        <f aca="false">SUM(start:end!R42:R42)</f>
        <v>2562129</v>
      </c>
      <c r="S42" s="31" t="n">
        <f aca="false">SUM(start:end!S42:S42)</f>
        <v>2562129</v>
      </c>
      <c r="T42" s="31" t="n">
        <f aca="false">SUM(start:end!T42:T42)</f>
        <v>0</v>
      </c>
      <c r="U42" s="87" t="n">
        <f aca="false">IFERROR(S42/R42,"-")</f>
        <v>1</v>
      </c>
    </row>
    <row r="43" customFormat="false" ht="15.75" hidden="false" customHeight="true" outlineLevel="0" collapsed="false">
      <c r="A43" s="25" t="s">
        <v>91</v>
      </c>
      <c r="B43" s="26" t="n">
        <f aca="false">SUM(start:end!B43:B43)</f>
        <v>428</v>
      </c>
      <c r="C43" s="26" t="n">
        <f aca="false">SUM(start:end!C43:C43)</f>
        <v>0</v>
      </c>
      <c r="D43" s="26" t="n">
        <f aca="false">SUM(start:end!D43:D43)</f>
        <v>428</v>
      </c>
      <c r="E43" s="85" t="n">
        <f aca="false">IFERROR(C43/B43,"-")</f>
        <v>0</v>
      </c>
      <c r="F43" s="26" t="n">
        <f aca="false">SUM(start:end!F43:F43)</f>
        <v>0</v>
      </c>
      <c r="G43" s="26" t="n">
        <f aca="false">SUM(start:end!G43:G43)</f>
        <v>0</v>
      </c>
      <c r="H43" s="26" t="n">
        <f aca="false">SUM(start:end!H43:H43)</f>
        <v>22144</v>
      </c>
      <c r="I43" s="85" t="str">
        <f aca="false">IFERROR(G43/F43,"-")</f>
        <v>-</v>
      </c>
      <c r="J43" s="26" t="n">
        <f aca="false">SUM(start:end!J43:J43)</f>
        <v>22144</v>
      </c>
      <c r="K43" s="26" t="n">
        <f aca="false">SUM(start:end!K43:K43)</f>
        <v>1000</v>
      </c>
      <c r="L43" s="26" t="n">
        <f aca="false">SUM(start:end!L43:L43)</f>
        <v>0</v>
      </c>
      <c r="M43" s="85" t="n">
        <f aca="false">IFERROR(K43/J43,"-")</f>
        <v>0.0451589595375723</v>
      </c>
      <c r="N43" s="26" t="n">
        <f aca="false">SUM(start:end!N43:N43)</f>
        <v>1949542</v>
      </c>
      <c r="O43" s="26" t="n">
        <f aca="false">SUM(start:end!O43:O43)</f>
        <v>0</v>
      </c>
      <c r="P43" s="26" t="n">
        <f aca="false">SUM(start:end!P43:P43)</f>
        <v>1949542</v>
      </c>
      <c r="Q43" s="85" t="n">
        <f aca="false">IFERROR(O43/N43,"-")</f>
        <v>0</v>
      </c>
      <c r="R43" s="26" t="n">
        <f aca="false">SUM(start:end!R43:R43)</f>
        <v>0</v>
      </c>
      <c r="S43" s="26" t="n">
        <f aca="false">SUM(start:end!S43:S43)</f>
        <v>428</v>
      </c>
      <c r="T43" s="26" t="n">
        <f aca="false">SUM(start:end!T43:T43)</f>
        <v>23144</v>
      </c>
      <c r="U43" s="85" t="str">
        <f aca="false">IFERROR(S43/R43,"-")</f>
        <v>-</v>
      </c>
    </row>
    <row r="44" customFormat="false" ht="15.75" hidden="false" customHeight="true" outlineLevel="0" collapsed="false">
      <c r="A44" s="86" t="s">
        <v>92</v>
      </c>
      <c r="B44" s="31" t="n">
        <f aca="false">SUM(start:end!B44:B44)</f>
        <v>12631122</v>
      </c>
      <c r="C44" s="31" t="n">
        <f aca="false">SUM(start:end!C44:C44)</f>
        <v>6553888.52565934</v>
      </c>
      <c r="D44" s="31" t="n">
        <f aca="false">SUM(start:end!D44:D44)</f>
        <v>19185010.5256593</v>
      </c>
      <c r="E44" s="87" t="n">
        <f aca="false">IFERROR(C44/B44,"-")</f>
        <v>0.518868278341334</v>
      </c>
      <c r="F44" s="31" t="n">
        <f aca="false">SUM(start:end!F44:F44)</f>
        <v>2622262.24695466</v>
      </c>
      <c r="G44" s="31" t="n">
        <f aca="false">SUM(start:end!G44:G44)</f>
        <v>6842969.24695466</v>
      </c>
      <c r="H44" s="31" t="n">
        <f aca="false">SUM(start:end!H44:H44)</f>
        <v>15050134</v>
      </c>
      <c r="I44" s="87" t="n">
        <f aca="false">IFERROR(G44/F44,"-")</f>
        <v>2.60956708464292</v>
      </c>
      <c r="J44" s="31" t="n">
        <f aca="false">SUM(start:end!J44:J44)</f>
        <v>-6750932.60575497</v>
      </c>
      <c r="K44" s="31" t="n">
        <f aca="false">SUM(start:end!K44:K44)</f>
        <v>10051046</v>
      </c>
      <c r="L44" s="31" t="n">
        <f aca="false">SUM(start:end!L44:L44)</f>
        <v>4194610.83314097</v>
      </c>
      <c r="M44" s="87" t="n">
        <f aca="false">IFERROR(K44/J44,"-")</f>
        <v>-1.48883814829255</v>
      </c>
      <c r="N44" s="31" t="n">
        <f aca="false">SUM(start:end!N44:N44)</f>
        <v>-82080830</v>
      </c>
      <c r="O44" s="31" t="n">
        <f aca="false">SUM(start:end!O44:O44)</f>
        <v>47260868</v>
      </c>
      <c r="P44" s="31" t="n">
        <f aca="false">SUM(start:end!P44:P44)</f>
        <v>-34819962</v>
      </c>
      <c r="Q44" s="87" t="n">
        <f aca="false">IFERROR(O44/N44,"-")</f>
        <v>-0.575784479762205</v>
      </c>
      <c r="R44" s="31" t="n">
        <f aca="false">SUM(start:end!R44:R44)</f>
        <v>9176150.772614</v>
      </c>
      <c r="S44" s="31" t="n">
        <f aca="false">SUM(start:end!S44:S44)</f>
        <v>26027979.772614</v>
      </c>
      <c r="T44" s="31" t="n">
        <f aca="false">SUM(start:end!T44:T44)</f>
        <v>25101180</v>
      </c>
      <c r="U44" s="87" t="n">
        <f aca="false">IFERROR(S44/R44,"-")</f>
        <v>2.83648126731896</v>
      </c>
    </row>
    <row r="45" customFormat="false" ht="15.75" hidden="false" customHeight="true" outlineLevel="0" collapsed="false">
      <c r="A45" s="86" t="s">
        <v>93</v>
      </c>
      <c r="B45" s="31" t="n">
        <f aca="false">SUM(start:end!B45:B45)</f>
        <v>0</v>
      </c>
      <c r="C45" s="31" t="n">
        <f aca="false">SUM(start:end!C45:C45)</f>
        <v>0</v>
      </c>
      <c r="D45" s="31" t="n">
        <f aca="false">SUM(start:end!D45:D45)</f>
        <v>0</v>
      </c>
      <c r="E45" s="87" t="str">
        <f aca="false">IFERROR(C45/B45,"-")</f>
        <v>-</v>
      </c>
      <c r="F45" s="31" t="n">
        <f aca="false">SUM(start:end!F45:F45)</f>
        <v>0</v>
      </c>
      <c r="G45" s="31" t="n">
        <f aca="false">SUM(start:end!G45:G45)</f>
        <v>0</v>
      </c>
      <c r="H45" s="31" t="n">
        <f aca="false">SUM(start:end!H45:H45)</f>
        <v>0</v>
      </c>
      <c r="I45" s="87" t="str">
        <f aca="false">IFERROR(G45/F45,"-")</f>
        <v>-</v>
      </c>
      <c r="J45" s="31" t="n">
        <f aca="false">SUM(start:end!J45:J45)</f>
        <v>0</v>
      </c>
      <c r="K45" s="31" t="n">
        <f aca="false">SUM(start:end!K45:K45)</f>
        <v>0</v>
      </c>
      <c r="L45" s="31" t="n">
        <f aca="false">SUM(start:end!L45:L45)</f>
        <v>0</v>
      </c>
      <c r="M45" s="87" t="str">
        <f aca="false">IFERROR(K45/J45,"-")</f>
        <v>-</v>
      </c>
      <c r="N45" s="31" t="n">
        <f aca="false">SUM(start:end!N45:N45)</f>
        <v>0</v>
      </c>
      <c r="O45" s="31" t="n">
        <f aca="false">SUM(start:end!O45:O45)</f>
        <v>0</v>
      </c>
      <c r="P45" s="31" t="n">
        <f aca="false">SUM(start:end!P45:P45)</f>
        <v>0</v>
      </c>
      <c r="Q45" s="87" t="str">
        <f aca="false">IFERROR(O45/N45,"-")</f>
        <v>-</v>
      </c>
      <c r="R45" s="31" t="n">
        <f aca="false">SUM(start:end!R45:R45)</f>
        <v>0</v>
      </c>
      <c r="S45" s="31" t="n">
        <f aca="false">SUM(start:end!S45:S45)</f>
        <v>0</v>
      </c>
      <c r="T45" s="31" t="n">
        <f aca="false">SUM(start:end!T45:T45)</f>
        <v>0</v>
      </c>
      <c r="U45" s="87" t="str">
        <f aca="false">IFERROR(S45/R45,"-")</f>
        <v>-</v>
      </c>
    </row>
    <row r="46" customFormat="false" ht="15.75" hidden="false" customHeight="true" outlineLevel="0" collapsed="false">
      <c r="A46" s="25" t="s">
        <v>94</v>
      </c>
      <c r="B46" s="26" t="n">
        <f aca="false">SUM(start:end!B46:B46)</f>
        <v>0</v>
      </c>
      <c r="C46" s="26" t="n">
        <f aca="false">SUM(start:end!C46:C46)</f>
        <v>0</v>
      </c>
      <c r="D46" s="26" t="n">
        <f aca="false">SUM(start:end!D46:D46)</f>
        <v>0</v>
      </c>
      <c r="E46" s="85" t="str">
        <f aca="false">IFERROR(C46/B46,"-")</f>
        <v>-</v>
      </c>
      <c r="F46" s="26" t="n">
        <f aca="false">SUM(start:end!F46:F46)</f>
        <v>0</v>
      </c>
      <c r="G46" s="26" t="n">
        <f aca="false">SUM(start:end!G46:G46)</f>
        <v>0</v>
      </c>
      <c r="H46" s="26" t="n">
        <f aca="false">SUM(start:end!H46:H46)</f>
        <v>0</v>
      </c>
      <c r="I46" s="85" t="str">
        <f aca="false">IFERROR(G46/F46,"-")</f>
        <v>-</v>
      </c>
      <c r="J46" s="26" t="n">
        <f aca="false">SUM(start:end!J46:J46)</f>
        <v>0</v>
      </c>
      <c r="K46" s="26" t="n">
        <f aca="false">SUM(start:end!K46:K46)</f>
        <v>0</v>
      </c>
      <c r="L46" s="26" t="n">
        <f aca="false">SUM(start:end!L46:L46)</f>
        <v>0</v>
      </c>
      <c r="M46" s="85" t="str">
        <f aca="false">IFERROR(K46/J46,"-")</f>
        <v>-</v>
      </c>
      <c r="N46" s="26" t="n">
        <f aca="false">SUM(start:end!N46:N46)</f>
        <v>0</v>
      </c>
      <c r="O46" s="26" t="n">
        <f aca="false">SUM(start:end!O46:O46)</f>
        <v>0</v>
      </c>
      <c r="P46" s="26" t="n">
        <f aca="false">SUM(start:end!P46:P46)</f>
        <v>0</v>
      </c>
      <c r="Q46" s="85" t="str">
        <f aca="false">IFERROR(O46/N46,"-")</f>
        <v>-</v>
      </c>
      <c r="R46" s="26" t="n">
        <f aca="false">SUM(start:end!R46:R46)</f>
        <v>0</v>
      </c>
      <c r="S46" s="26" t="n">
        <f aca="false">SUM(start:end!S46:S46)</f>
        <v>0</v>
      </c>
      <c r="T46" s="26" t="n">
        <f aca="false">SUM(start:end!T46:T46)</f>
        <v>0</v>
      </c>
      <c r="U46" s="85" t="str">
        <f aca="false">IFERROR(S46/R46,"-")</f>
        <v>-</v>
      </c>
    </row>
    <row r="47" customFormat="false" ht="15.75" hidden="false" customHeight="true" outlineLevel="0" collapsed="false">
      <c r="A47" s="25" t="s">
        <v>95</v>
      </c>
      <c r="B47" s="26" t="n">
        <f aca="false">SUM(start:end!B47:B47)</f>
        <v>0</v>
      </c>
      <c r="C47" s="26" t="n">
        <f aca="false">SUM(start:end!C47:C47)</f>
        <v>0</v>
      </c>
      <c r="D47" s="26" t="n">
        <f aca="false">SUM(start:end!D47:D47)</f>
        <v>0</v>
      </c>
      <c r="E47" s="85" t="str">
        <f aca="false">IFERROR(C47/B47,"-")</f>
        <v>-</v>
      </c>
      <c r="F47" s="26" t="n">
        <f aca="false">SUM(start:end!F47:F47)</f>
        <v>0</v>
      </c>
      <c r="G47" s="26" t="n">
        <f aca="false">SUM(start:end!G47:G47)</f>
        <v>0</v>
      </c>
      <c r="H47" s="26" t="n">
        <f aca="false">SUM(start:end!H47:H47)</f>
        <v>0</v>
      </c>
      <c r="I47" s="85" t="str">
        <f aca="false">IFERROR(G47/F47,"-")</f>
        <v>-</v>
      </c>
      <c r="J47" s="26" t="n">
        <f aca="false">SUM(start:end!J47:J47)</f>
        <v>0</v>
      </c>
      <c r="K47" s="26" t="n">
        <f aca="false">SUM(start:end!K47:K47)</f>
        <v>0</v>
      </c>
      <c r="L47" s="26" t="n">
        <f aca="false">SUM(start:end!L47:L47)</f>
        <v>0</v>
      </c>
      <c r="M47" s="85" t="str">
        <f aca="false">IFERROR(K47/J47,"-")</f>
        <v>-</v>
      </c>
      <c r="N47" s="26" t="n">
        <f aca="false">SUM(start:end!N47:N47)</f>
        <v>0</v>
      </c>
      <c r="O47" s="26" t="n">
        <f aca="false">SUM(start:end!O47:O47)</f>
        <v>0</v>
      </c>
      <c r="P47" s="26" t="n">
        <f aca="false">SUM(start:end!P47:P47)</f>
        <v>0</v>
      </c>
      <c r="Q47" s="85" t="str">
        <f aca="false">IFERROR(O47/N47,"-")</f>
        <v>-</v>
      </c>
      <c r="R47" s="26" t="n">
        <f aca="false">SUM(start:end!R47:R47)</f>
        <v>0</v>
      </c>
      <c r="S47" s="26" t="n">
        <f aca="false">SUM(start:end!S47:S47)</f>
        <v>0</v>
      </c>
      <c r="T47" s="26" t="n">
        <f aca="false">SUM(start:end!T47:T47)</f>
        <v>0</v>
      </c>
      <c r="U47" s="85" t="str">
        <f aca="false">IFERROR(S47/R47,"-")</f>
        <v>-</v>
      </c>
    </row>
    <row r="48" customFormat="false" ht="15.75" hidden="false" customHeight="true" outlineLevel="0" collapsed="false">
      <c r="A48" s="25" t="s">
        <v>96</v>
      </c>
      <c r="B48" s="26" t="n">
        <f aca="false">SUM(start:end!B48:B48)</f>
        <v>0</v>
      </c>
      <c r="C48" s="26" t="n">
        <f aca="false">SUM(start:end!C48:C48)</f>
        <v>0</v>
      </c>
      <c r="D48" s="26" t="n">
        <f aca="false">SUM(start:end!D48:D48)</f>
        <v>0</v>
      </c>
      <c r="E48" s="85" t="str">
        <f aca="false">IFERROR(C48/B48,"-")</f>
        <v>-</v>
      </c>
      <c r="F48" s="26" t="n">
        <f aca="false">SUM(start:end!F48:F48)</f>
        <v>0</v>
      </c>
      <c r="G48" s="26" t="n">
        <f aca="false">SUM(start:end!G48:G48)</f>
        <v>0</v>
      </c>
      <c r="H48" s="26" t="n">
        <f aca="false">SUM(start:end!H48:H48)</f>
        <v>0</v>
      </c>
      <c r="I48" s="85" t="str">
        <f aca="false">IFERROR(G48/F48,"-")</f>
        <v>-</v>
      </c>
      <c r="J48" s="26" t="n">
        <f aca="false">SUM(start:end!J48:J48)</f>
        <v>0</v>
      </c>
      <c r="K48" s="26" t="n">
        <f aca="false">SUM(start:end!K48:K48)</f>
        <v>0</v>
      </c>
      <c r="L48" s="26" t="n">
        <f aca="false">SUM(start:end!L48:L48)</f>
        <v>0</v>
      </c>
      <c r="M48" s="85" t="str">
        <f aca="false">IFERROR(K48/J48,"-")</f>
        <v>-</v>
      </c>
      <c r="N48" s="26" t="n">
        <f aca="false">SUM(start:end!N48:N48)</f>
        <v>0</v>
      </c>
      <c r="O48" s="26" t="n">
        <f aca="false">SUM(start:end!O48:O48)</f>
        <v>0</v>
      </c>
      <c r="P48" s="26" t="n">
        <f aca="false">SUM(start:end!P48:P48)</f>
        <v>0</v>
      </c>
      <c r="Q48" s="85" t="str">
        <f aca="false">IFERROR(O48/N48,"-")</f>
        <v>-</v>
      </c>
      <c r="R48" s="26" t="n">
        <f aca="false">SUM(start:end!R48:R48)</f>
        <v>0</v>
      </c>
      <c r="S48" s="26" t="n">
        <f aca="false">SUM(start:end!S48:S48)</f>
        <v>0</v>
      </c>
      <c r="T48" s="26" t="n">
        <f aca="false">SUM(start:end!T48:T48)</f>
        <v>0</v>
      </c>
      <c r="U48" s="85" t="str">
        <f aca="false">IFERROR(S48/R48,"-")</f>
        <v>-</v>
      </c>
    </row>
    <row r="49" customFormat="false" ht="15.75" hidden="false" customHeight="true" outlineLevel="0" collapsed="false">
      <c r="A49" s="25" t="s">
        <v>97</v>
      </c>
      <c r="B49" s="26" t="n">
        <f aca="false">SUM(start:end!B49:B49)</f>
        <v>0</v>
      </c>
      <c r="C49" s="26" t="n">
        <f aca="false">SUM(start:end!C49:C49)</f>
        <v>0</v>
      </c>
      <c r="D49" s="26" t="n">
        <f aca="false">SUM(start:end!D49:D49)</f>
        <v>0</v>
      </c>
      <c r="E49" s="85" t="str">
        <f aca="false">IFERROR(C49/B49,"-")</f>
        <v>-</v>
      </c>
      <c r="F49" s="26" t="n">
        <f aca="false">SUM(start:end!F49:F49)</f>
        <v>0</v>
      </c>
      <c r="G49" s="26" t="n">
        <f aca="false">SUM(start:end!G49:G49)</f>
        <v>0</v>
      </c>
      <c r="H49" s="26" t="n">
        <f aca="false">SUM(start:end!H49:H49)</f>
        <v>0</v>
      </c>
      <c r="I49" s="85" t="str">
        <f aca="false">IFERROR(G49/F49,"-")</f>
        <v>-</v>
      </c>
      <c r="J49" s="26" t="n">
        <f aca="false">SUM(start:end!J49:J49)</f>
        <v>0</v>
      </c>
      <c r="K49" s="26" t="n">
        <f aca="false">SUM(start:end!K49:K49)</f>
        <v>0</v>
      </c>
      <c r="L49" s="26" t="n">
        <f aca="false">SUM(start:end!L49:L49)</f>
        <v>0</v>
      </c>
      <c r="M49" s="85" t="str">
        <f aca="false">IFERROR(K49/J49,"-")</f>
        <v>-</v>
      </c>
      <c r="N49" s="26" t="n">
        <f aca="false">SUM(start:end!N49:N49)</f>
        <v>0</v>
      </c>
      <c r="O49" s="26" t="n">
        <f aca="false">SUM(start:end!O49:O49)</f>
        <v>0</v>
      </c>
      <c r="P49" s="26" t="n">
        <f aca="false">SUM(start:end!P49:P49)</f>
        <v>0</v>
      </c>
      <c r="Q49" s="85" t="str">
        <f aca="false">IFERROR(O49/N49,"-")</f>
        <v>-</v>
      </c>
      <c r="R49" s="26" t="n">
        <f aca="false">SUM(start:end!R49:R49)</f>
        <v>0</v>
      </c>
      <c r="S49" s="26" t="n">
        <f aca="false">SUM(start:end!S49:S49)</f>
        <v>0</v>
      </c>
      <c r="T49" s="26" t="n">
        <f aca="false">SUM(start:end!T49:T49)</f>
        <v>0</v>
      </c>
      <c r="U49" s="85" t="str">
        <f aca="false">IFERROR(S49/R49,"-")</f>
        <v>-</v>
      </c>
    </row>
    <row r="50" customFormat="false" ht="15.75" hidden="false" customHeight="true" outlineLevel="0" collapsed="false">
      <c r="A50" s="25" t="s">
        <v>98</v>
      </c>
      <c r="B50" s="26" t="n">
        <f aca="false">SUM(start:end!B50:B50)</f>
        <v>0</v>
      </c>
      <c r="C50" s="26" t="n">
        <f aca="false">SUM(start:end!C50:C50)</f>
        <v>0</v>
      </c>
      <c r="D50" s="26" t="n">
        <f aca="false">SUM(start:end!D50:D50)</f>
        <v>0</v>
      </c>
      <c r="E50" s="85" t="str">
        <f aca="false">IFERROR(C50/B50,"-")</f>
        <v>-</v>
      </c>
      <c r="F50" s="26" t="n">
        <f aca="false">SUM(start:end!F50:F50)</f>
        <v>0</v>
      </c>
      <c r="G50" s="26" t="n">
        <f aca="false">SUM(start:end!G50:G50)</f>
        <v>0</v>
      </c>
      <c r="H50" s="26" t="n">
        <f aca="false">SUM(start:end!H50:H50)</f>
        <v>0</v>
      </c>
      <c r="I50" s="85" t="str">
        <f aca="false">IFERROR(G50/F50,"-")</f>
        <v>-</v>
      </c>
      <c r="J50" s="26" t="n">
        <f aca="false">SUM(start:end!J50:J50)</f>
        <v>0</v>
      </c>
      <c r="K50" s="26" t="n">
        <f aca="false">SUM(start:end!K50:K50)</f>
        <v>0</v>
      </c>
      <c r="L50" s="26" t="n">
        <f aca="false">SUM(start:end!L50:L50)</f>
        <v>0</v>
      </c>
      <c r="M50" s="85" t="str">
        <f aca="false">IFERROR(K50/J50,"-")</f>
        <v>-</v>
      </c>
      <c r="N50" s="26" t="n">
        <f aca="false">SUM(start:end!N50:N50)</f>
        <v>0</v>
      </c>
      <c r="O50" s="26" t="n">
        <f aca="false">SUM(start:end!O50:O50)</f>
        <v>0</v>
      </c>
      <c r="P50" s="26" t="n">
        <f aca="false">SUM(start:end!P50:P50)</f>
        <v>0</v>
      </c>
      <c r="Q50" s="85" t="str">
        <f aca="false">IFERROR(O50/N50,"-")</f>
        <v>-</v>
      </c>
      <c r="R50" s="26" t="n">
        <f aca="false">SUM(start:end!R50:R50)</f>
        <v>0</v>
      </c>
      <c r="S50" s="26" t="n">
        <f aca="false">SUM(start:end!S50:S50)</f>
        <v>0</v>
      </c>
      <c r="T50" s="26" t="n">
        <f aca="false">SUM(start:end!T50:T50)</f>
        <v>0</v>
      </c>
      <c r="U50" s="85" t="str">
        <f aca="false">IFERROR(S50/R50,"-")</f>
        <v>-</v>
      </c>
    </row>
    <row r="51" customFormat="false" ht="15.75" hidden="false" customHeight="true" outlineLevel="0" collapsed="false">
      <c r="A51" s="25" t="s">
        <v>99</v>
      </c>
      <c r="B51" s="26" t="n">
        <f aca="false">SUM(start:end!B51:B51)</f>
        <v>0</v>
      </c>
      <c r="C51" s="26" t="n">
        <f aca="false">SUM(start:end!C51:C51)</f>
        <v>0</v>
      </c>
      <c r="D51" s="26" t="n">
        <f aca="false">SUM(start:end!D51:D51)</f>
        <v>0</v>
      </c>
      <c r="E51" s="85" t="str">
        <f aca="false">IFERROR(C51/B51,"-")</f>
        <v>-</v>
      </c>
      <c r="F51" s="26" t="n">
        <f aca="false">SUM(start:end!F51:F51)</f>
        <v>0</v>
      </c>
      <c r="G51" s="26" t="n">
        <f aca="false">SUM(start:end!G51:G51)</f>
        <v>0</v>
      </c>
      <c r="H51" s="26" t="n">
        <f aca="false">SUM(start:end!H51:H51)</f>
        <v>0</v>
      </c>
      <c r="I51" s="85" t="str">
        <f aca="false">IFERROR(G51/F51,"-")</f>
        <v>-</v>
      </c>
      <c r="J51" s="26" t="n">
        <f aca="false">SUM(start:end!J51:J51)</f>
        <v>0</v>
      </c>
      <c r="K51" s="26" t="n">
        <f aca="false">SUM(start:end!K51:K51)</f>
        <v>0</v>
      </c>
      <c r="L51" s="26" t="n">
        <f aca="false">SUM(start:end!L51:L51)</f>
        <v>0</v>
      </c>
      <c r="M51" s="85" t="str">
        <f aca="false">IFERROR(K51/J51,"-")</f>
        <v>-</v>
      </c>
      <c r="N51" s="26" t="n">
        <f aca="false">SUM(start:end!N51:N51)</f>
        <v>0</v>
      </c>
      <c r="O51" s="26" t="n">
        <f aca="false">SUM(start:end!O51:O51)</f>
        <v>0</v>
      </c>
      <c r="P51" s="26" t="n">
        <f aca="false">SUM(start:end!P51:P51)</f>
        <v>0</v>
      </c>
      <c r="Q51" s="85" t="str">
        <f aca="false">IFERROR(O51/N51,"-")</f>
        <v>-</v>
      </c>
      <c r="R51" s="26" t="n">
        <f aca="false">SUM(start:end!R51:R51)</f>
        <v>0</v>
      </c>
      <c r="S51" s="26" t="n">
        <f aca="false">SUM(start:end!S51:S51)</f>
        <v>0</v>
      </c>
      <c r="T51" s="26" t="n">
        <f aca="false">SUM(start:end!T51:T51)</f>
        <v>0</v>
      </c>
      <c r="U51" s="85" t="str">
        <f aca="false">IFERROR(S51/R51,"-")</f>
        <v>-</v>
      </c>
    </row>
    <row r="52" customFormat="false" ht="15.75" hidden="false" customHeight="true" outlineLevel="0" collapsed="false">
      <c r="A52" s="90" t="s">
        <v>100</v>
      </c>
      <c r="B52" s="91" t="n">
        <f aca="false">SUM(start:end!B52:B52)</f>
        <v>0</v>
      </c>
      <c r="C52" s="91" t="n">
        <f aca="false">SUM(start:end!C52:C52)</f>
        <v>0</v>
      </c>
      <c r="D52" s="91" t="n">
        <f aca="false">SUM(start:end!D52:D52)</f>
        <v>0</v>
      </c>
      <c r="E52" s="92" t="str">
        <f aca="false">IFERROR(C52/B52,"-")</f>
        <v>-</v>
      </c>
      <c r="F52" s="91" t="n">
        <f aca="false">SUM(start:end!F52:F52)</f>
        <v>0</v>
      </c>
      <c r="G52" s="91" t="n">
        <f aca="false">SUM(start:end!G52:G52)</f>
        <v>0</v>
      </c>
      <c r="H52" s="91" t="n">
        <f aca="false">SUM(start:end!H52:H52)</f>
        <v>0</v>
      </c>
      <c r="I52" s="92" t="str">
        <f aca="false">IFERROR(G52/F52,"-")</f>
        <v>-</v>
      </c>
      <c r="J52" s="91" t="n">
        <f aca="false">SUM(start:end!J52:J52)</f>
        <v>0</v>
      </c>
      <c r="K52" s="91" t="n">
        <f aca="false">SUM(start:end!K52:K52)</f>
        <v>0</v>
      </c>
      <c r="L52" s="91" t="n">
        <f aca="false">SUM(start:end!L52:L52)</f>
        <v>0</v>
      </c>
      <c r="M52" s="92" t="str">
        <f aca="false">IFERROR(K52/J52,"-")</f>
        <v>-</v>
      </c>
      <c r="N52" s="91" t="n">
        <f aca="false">SUM(start:end!N52:N52)</f>
        <v>0</v>
      </c>
      <c r="O52" s="91" t="n">
        <f aca="false">SUM(start:end!O52:O52)</f>
        <v>0</v>
      </c>
      <c r="P52" s="91" t="n">
        <f aca="false">SUM(start:end!P52:P52)</f>
        <v>0</v>
      </c>
      <c r="Q52" s="92" t="str">
        <f aca="false">IFERROR(O52/N52,"-")</f>
        <v>-</v>
      </c>
      <c r="R52" s="91" t="n">
        <f aca="false">SUM(start:end!R52:R52)</f>
        <v>0</v>
      </c>
      <c r="S52" s="91" t="n">
        <f aca="false">SUM(start:end!S52:S52)</f>
        <v>0</v>
      </c>
      <c r="T52" s="91" t="n">
        <f aca="false">SUM(start:end!T52:T52)</f>
        <v>0</v>
      </c>
      <c r="U52" s="92" t="str">
        <f aca="false">IFERROR(S52/R52,"-")</f>
        <v>-</v>
      </c>
    </row>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sheetData>
  <mergeCells count="6">
    <mergeCell ref="A2:A3"/>
    <mergeCell ref="B2:E2"/>
    <mergeCell ref="F2:I2"/>
    <mergeCell ref="J2:M2"/>
    <mergeCell ref="N2:Q2"/>
    <mergeCell ref="R2:U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U976"/>
  <sheetViews>
    <sheetView showFormulas="false" showGridLines="false" showRowColHeaders="true" showZeros="true" rightToLeft="false" tabSelected="false" showOutlineSymbols="true" defaultGridColor="true" view="normal" topLeftCell="A1" colorId="64" zoomScale="83" zoomScaleNormal="83"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F6" activeCellId="0" sqref="F6"/>
    </sheetView>
  </sheetViews>
  <sheetFormatPr defaultColWidth="14.40234375" defaultRowHeight="15" zeroHeight="false" outlineLevelRow="0" outlineLevelCol="1"/>
  <cols>
    <col collapsed="false" customWidth="true" hidden="false" outlineLevel="0" max="1" min="1" style="1" width="26.7"/>
    <col collapsed="false" customWidth="true" hidden="false" outlineLevel="1" max="2" min="2" style="1" width="13.9"/>
    <col collapsed="false" customWidth="true" hidden="false" outlineLevel="1" max="3" min="3" style="1" width="12.9"/>
    <col collapsed="false" customWidth="true" hidden="false" outlineLevel="1" max="4" min="4" style="1" width="11.4"/>
    <col collapsed="false" customWidth="true" hidden="false" outlineLevel="1" max="5" min="5" style="1" width="8.7"/>
    <col collapsed="false" customWidth="true" hidden="false" outlineLevel="1" max="8" min="6" style="1" width="11.4"/>
    <col collapsed="false" customWidth="true" hidden="false" outlineLevel="1" max="9" min="9" style="1" width="8.7"/>
    <col collapsed="false" customWidth="true" hidden="false" outlineLevel="1" max="10" min="10" style="1" width="11.09"/>
    <col collapsed="false" customWidth="true" hidden="false" outlineLevel="1" max="11" min="11" style="1" width="11.6"/>
    <col collapsed="false" customWidth="true" hidden="false" outlineLevel="1" max="12" min="12" style="1" width="11.4"/>
    <col collapsed="false" customWidth="true" hidden="false" outlineLevel="1" max="13" min="13" style="1" width="8.7"/>
    <col collapsed="false" customWidth="true" hidden="false" outlineLevel="0" max="14" min="14" style="1" width="11.6"/>
    <col collapsed="false" customWidth="true" hidden="false" outlineLevel="0" max="15" min="15" style="1" width="13.6"/>
    <col collapsed="false" customWidth="true" hidden="false" outlineLevel="0" max="16" min="16" style="1" width="13"/>
    <col collapsed="false" customWidth="true" hidden="false" outlineLevel="0" max="17" min="17" style="1" width="8.7"/>
    <col collapsed="false" customWidth="true" hidden="false" outlineLevel="0" max="19" min="18" style="1" width="12.9"/>
    <col collapsed="false" customWidth="true" hidden="false" outlineLevel="0" max="20" min="20" style="1" width="13.6"/>
    <col collapsed="false" customWidth="true" hidden="false" outlineLevel="0" max="21" min="21" style="1" width="9.09"/>
    <col collapsed="false" customWidth="true" hidden="false" outlineLevel="0" max="22" min="22" style="1" width="8.7"/>
  </cols>
  <sheetData>
    <row r="1" customFormat="false" ht="33.75" hidden="false" customHeight="true" outlineLevel="0" collapsed="false"/>
    <row r="2" customFormat="false" ht="15.75" hidden="false" customHeight="true" outlineLevel="0" collapsed="false">
      <c r="A2" s="10"/>
      <c r="B2" s="82" t="s">
        <v>7</v>
      </c>
      <c r="C2" s="82"/>
      <c r="D2" s="82"/>
      <c r="E2" s="82"/>
      <c r="F2" s="82" t="s">
        <v>8</v>
      </c>
      <c r="G2" s="82"/>
      <c r="H2" s="82"/>
      <c r="I2" s="82"/>
      <c r="J2" s="82" t="s">
        <v>9</v>
      </c>
      <c r="K2" s="82"/>
      <c r="L2" s="82"/>
      <c r="M2" s="82"/>
      <c r="N2" s="82" t="s">
        <v>11</v>
      </c>
      <c r="O2" s="82"/>
      <c r="P2" s="82"/>
      <c r="Q2" s="82"/>
      <c r="R2" s="82" t="s">
        <v>83</v>
      </c>
      <c r="S2" s="82"/>
      <c r="T2" s="82"/>
      <c r="U2" s="82"/>
    </row>
    <row r="3" customFormat="false" ht="15.75" hidden="false" customHeight="true" outlineLevel="0" collapsed="false">
      <c r="A3" s="10"/>
      <c r="B3" s="16" t="s">
        <v>84</v>
      </c>
      <c r="C3" s="83" t="s">
        <v>15</v>
      </c>
      <c r="D3" s="83" t="s">
        <v>85</v>
      </c>
      <c r="E3" s="84" t="s">
        <v>86</v>
      </c>
      <c r="F3" s="16" t="s">
        <v>84</v>
      </c>
      <c r="G3" s="83" t="s">
        <v>15</v>
      </c>
      <c r="H3" s="83" t="s">
        <v>85</v>
      </c>
      <c r="I3" s="84" t="s">
        <v>86</v>
      </c>
      <c r="J3" s="16" t="s">
        <v>84</v>
      </c>
      <c r="K3" s="83" t="s">
        <v>15</v>
      </c>
      <c r="L3" s="83" t="s">
        <v>85</v>
      </c>
      <c r="M3" s="84" t="s">
        <v>86</v>
      </c>
      <c r="N3" s="16" t="s">
        <v>84</v>
      </c>
      <c r="O3" s="83" t="s">
        <v>15</v>
      </c>
      <c r="P3" s="83" t="s">
        <v>85</v>
      </c>
      <c r="Q3" s="84" t="s">
        <v>86</v>
      </c>
      <c r="R3" s="16" t="s">
        <v>84</v>
      </c>
      <c r="S3" s="83" t="s">
        <v>15</v>
      </c>
      <c r="T3" s="83" t="s">
        <v>85</v>
      </c>
      <c r="U3" s="84" t="s">
        <v>86</v>
      </c>
    </row>
    <row r="4" customFormat="false" ht="15.75" hidden="false" customHeight="true" outlineLevel="0" collapsed="false">
      <c r="A4" s="25" t="s">
        <v>18</v>
      </c>
      <c r="B4" s="26" t="e">
        <f aca="false">#REF!-'202208-12分_検証用1_関数積算'!B4</f>
        <v>#REF!</v>
      </c>
      <c r="C4" s="26" t="e">
        <f aca="false">#REF!-'202208-12分_検証用1_関数積算'!C4</f>
        <v>#REF!</v>
      </c>
      <c r="D4" s="26" t="e">
        <f aca="false">#REF!-'202208-12分_検証用1_関数積算'!D4</f>
        <v>#REF!</v>
      </c>
      <c r="E4" s="85" t="e">
        <f aca="false">#REF!-'202208-12分_検証用1_関数積算'!E4</f>
        <v>#REF!</v>
      </c>
      <c r="F4" s="26" t="e">
        <f aca="false">#REF!-'202208-12分_検証用1_関数積算'!F4</f>
        <v>#REF!</v>
      </c>
      <c r="G4" s="26" t="e">
        <f aca="false">#REF!-'202208-12分_検証用1_関数積算'!G4</f>
        <v>#REF!</v>
      </c>
      <c r="H4" s="26" t="e">
        <f aca="false">#REF!-'202208-12分_検証用1_関数積算'!H4</f>
        <v>#REF!</v>
      </c>
      <c r="I4" s="85" t="e">
        <f aca="false">#REF!-'202208-12分_検証用1_関数積算'!I4</f>
        <v>#REF!</v>
      </c>
      <c r="J4" s="26" t="e">
        <f aca="false">#REF!-'202208-12分_検証用1_関数積算'!J4</f>
        <v>#REF!</v>
      </c>
      <c r="K4" s="26" t="e">
        <f aca="false">#REF!-'202208-12分_検証用1_関数積算'!K4</f>
        <v>#REF!</v>
      </c>
      <c r="L4" s="26" t="e">
        <f aca="false">#REF!-'202208-12分_検証用1_関数積算'!L4</f>
        <v>#REF!</v>
      </c>
      <c r="M4" s="85" t="e">
        <f aca="false">#REF!-'202208-12分_検証用1_関数積算'!M4</f>
        <v>#REF!</v>
      </c>
      <c r="N4" s="26" t="e">
        <f aca="false">#REF!-'202208-12分_検証用1_関数積算'!N4</f>
        <v>#REF!</v>
      </c>
      <c r="O4" s="26" t="e">
        <f aca="false">#REF!-'202208-12分_検証用1_関数積算'!O4</f>
        <v>#REF!</v>
      </c>
      <c r="P4" s="26" t="e">
        <f aca="false">#REF!-'202208-12分_検証用1_関数積算'!P4</f>
        <v>#REF!</v>
      </c>
      <c r="Q4" s="85" t="e">
        <f aca="false">#REF!-'202208-12分_検証用1_関数積算'!Q4</f>
        <v>#REF!</v>
      </c>
      <c r="R4" s="26" t="e">
        <f aca="false">#REF!-'202208-12分_検証用1_関数積算'!R4</f>
        <v>#REF!</v>
      </c>
      <c r="S4" s="26" t="e">
        <f aca="false">#REF!-'202208-12分_検証用1_関数積算'!S4</f>
        <v>#REF!</v>
      </c>
      <c r="T4" s="26" t="e">
        <f aca="false">#REF!-'202208-12分_検証用1_関数積算'!T4</f>
        <v>#REF!</v>
      </c>
      <c r="U4" s="85" t="e">
        <f aca="false">#REF!-'202208-12分_検証用1_関数積算'!U4</f>
        <v>#REF!</v>
      </c>
    </row>
    <row r="5" customFormat="false" ht="15.75" hidden="false" customHeight="true" outlineLevel="0" collapsed="false">
      <c r="A5" s="86" t="s">
        <v>18</v>
      </c>
      <c r="B5" s="31" t="e">
        <f aca="false">#REF!-'202208-12分_検証用1_関数積算'!B5</f>
        <v>#REF!</v>
      </c>
      <c r="C5" s="31" t="e">
        <f aca="false">#REF!-'202208-12分_検証用1_関数積算'!C5</f>
        <v>#REF!</v>
      </c>
      <c r="D5" s="31" t="e">
        <f aca="false">#REF!-'202208-12分_検証用1_関数積算'!D5</f>
        <v>#REF!</v>
      </c>
      <c r="E5" s="87" t="e">
        <f aca="false">#REF!-'202208-12分_検証用1_関数積算'!E5</f>
        <v>#REF!</v>
      </c>
      <c r="F5" s="31" t="e">
        <f aca="false">#REF!-'202208-12分_検証用1_関数積算'!F5</f>
        <v>#REF!</v>
      </c>
      <c r="G5" s="31" t="e">
        <f aca="false">#REF!-'202208-12分_検証用1_関数積算'!G5</f>
        <v>#REF!</v>
      </c>
      <c r="H5" s="31" t="e">
        <f aca="false">#REF!-'202208-12分_検証用1_関数積算'!H5</f>
        <v>#REF!</v>
      </c>
      <c r="I5" s="87" t="e">
        <f aca="false">#REF!-'202208-12分_検証用1_関数積算'!I5</f>
        <v>#REF!</v>
      </c>
      <c r="J5" s="31" t="e">
        <f aca="false">#REF!-'202208-12分_検証用1_関数積算'!J5</f>
        <v>#REF!</v>
      </c>
      <c r="K5" s="31" t="e">
        <f aca="false">#REF!-'202208-12分_検証用1_関数積算'!K5</f>
        <v>#REF!</v>
      </c>
      <c r="L5" s="31" t="e">
        <f aca="false">#REF!-'202208-12分_検証用1_関数積算'!L5</f>
        <v>#REF!</v>
      </c>
      <c r="M5" s="87" t="e">
        <f aca="false">#REF!-'202208-12分_検証用1_関数積算'!M5</f>
        <v>#REF!</v>
      </c>
      <c r="N5" s="31" t="e">
        <f aca="false">#REF!-'202208-12分_検証用1_関数積算'!N5</f>
        <v>#REF!</v>
      </c>
      <c r="O5" s="31" t="e">
        <f aca="false">#REF!-'202208-12分_検証用1_関数積算'!O5</f>
        <v>#REF!</v>
      </c>
      <c r="P5" s="31" t="e">
        <f aca="false">#REF!-'202208-12分_検証用1_関数積算'!P5</f>
        <v>#REF!</v>
      </c>
      <c r="Q5" s="87" t="e">
        <f aca="false">#REF!-'202208-12分_検証用1_関数積算'!Q5</f>
        <v>#REF!</v>
      </c>
      <c r="R5" s="31" t="e">
        <f aca="false">#REF!-'202208-12分_検証用1_関数積算'!R5</f>
        <v>#REF!</v>
      </c>
      <c r="S5" s="31" t="e">
        <f aca="false">#REF!-'202208-12分_検証用1_関数積算'!S5</f>
        <v>#REF!</v>
      </c>
      <c r="T5" s="31" t="e">
        <f aca="false">#REF!-'202208-12分_検証用1_関数積算'!T5</f>
        <v>#REF!</v>
      </c>
      <c r="U5" s="87" t="e">
        <f aca="false">#REF!-'202208-12分_検証用1_関数積算'!U5</f>
        <v>#REF!</v>
      </c>
    </row>
    <row r="6" customFormat="false" ht="15.75" hidden="false" customHeight="true" outlineLevel="0" collapsed="false">
      <c r="A6" s="86" t="s">
        <v>20</v>
      </c>
      <c r="B6" s="31" t="e">
        <f aca="false">#REF!-'202208-12分_検証用1_関数積算'!B6</f>
        <v>#REF!</v>
      </c>
      <c r="C6" s="31" t="e">
        <f aca="false">#REF!-'202208-12分_検証用1_関数積算'!C6</f>
        <v>#REF!</v>
      </c>
      <c r="D6" s="31" t="e">
        <f aca="false">#REF!-'202208-12分_検証用1_関数積算'!D6</f>
        <v>#REF!</v>
      </c>
      <c r="E6" s="87" t="e">
        <f aca="false">#REF!-'202208-12分_検証用1_関数積算'!E6</f>
        <v>#REF!</v>
      </c>
      <c r="F6" s="31" t="e">
        <f aca="false">#REF!-'202208-12分_検証用1_関数積算'!F6</f>
        <v>#REF!</v>
      </c>
      <c r="G6" s="31" t="e">
        <f aca="false">#REF!-'202208-12分_検証用1_関数積算'!G6</f>
        <v>#REF!</v>
      </c>
      <c r="H6" s="31" t="e">
        <f aca="false">#REF!-'202208-12分_検証用1_関数積算'!H6</f>
        <v>#REF!</v>
      </c>
      <c r="I6" s="87" t="e">
        <f aca="false">#REF!-'202208-12分_検証用1_関数積算'!I6</f>
        <v>#REF!</v>
      </c>
      <c r="J6" s="31" t="e">
        <f aca="false">#REF!-'202208-12分_検証用1_関数積算'!J6</f>
        <v>#REF!</v>
      </c>
      <c r="K6" s="31" t="e">
        <f aca="false">#REF!-'202208-12分_検証用1_関数積算'!K6</f>
        <v>#REF!</v>
      </c>
      <c r="L6" s="31" t="e">
        <f aca="false">#REF!-'202208-12分_検証用1_関数積算'!L6</f>
        <v>#REF!</v>
      </c>
      <c r="M6" s="87" t="e">
        <f aca="false">#REF!-'202208-12分_検証用1_関数積算'!M6</f>
        <v>#REF!</v>
      </c>
      <c r="N6" s="31" t="e">
        <f aca="false">#REF!-'202208-12分_検証用1_関数積算'!N6</f>
        <v>#REF!</v>
      </c>
      <c r="O6" s="31" t="e">
        <f aca="false">#REF!-'202208-12分_検証用1_関数積算'!O6</f>
        <v>#REF!</v>
      </c>
      <c r="P6" s="31" t="e">
        <f aca="false">#REF!-'202208-12分_検証用1_関数積算'!P6</f>
        <v>#REF!</v>
      </c>
      <c r="Q6" s="87" t="e">
        <f aca="false">#REF!-'202208-12分_検証用1_関数積算'!Q6</f>
        <v>#REF!</v>
      </c>
      <c r="R6" s="31" t="e">
        <f aca="false">#REF!-'202208-12分_検証用1_関数積算'!R6</f>
        <v>#REF!</v>
      </c>
      <c r="S6" s="31" t="e">
        <f aca="false">#REF!-'202208-12分_検証用1_関数積算'!S6</f>
        <v>#REF!</v>
      </c>
      <c r="T6" s="31" t="e">
        <f aca="false">#REF!-'202208-12分_検証用1_関数積算'!T6</f>
        <v>#REF!</v>
      </c>
      <c r="U6" s="87" t="e">
        <f aca="false">#REF!-'202208-12分_検証用1_関数積算'!U6</f>
        <v>#REF!</v>
      </c>
    </row>
    <row r="7" customFormat="false" ht="15.75" hidden="false" customHeight="true" outlineLevel="0" collapsed="false">
      <c r="A7" s="25" t="s">
        <v>21</v>
      </c>
      <c r="B7" s="26" t="e">
        <f aca="false">#REF!-'202208-12分_検証用1_関数積算'!B7</f>
        <v>#REF!</v>
      </c>
      <c r="C7" s="26" t="e">
        <f aca="false">#REF!-'202208-12分_検証用1_関数積算'!C7</f>
        <v>#REF!</v>
      </c>
      <c r="D7" s="26" t="e">
        <f aca="false">#REF!-'202208-12分_検証用1_関数積算'!D7</f>
        <v>#REF!</v>
      </c>
      <c r="E7" s="85" t="e">
        <f aca="false">#REF!-'202208-12分_検証用1_関数積算'!E7</f>
        <v>#REF!</v>
      </c>
      <c r="F7" s="26" t="e">
        <f aca="false">#REF!-'202208-12分_検証用1_関数積算'!F7</f>
        <v>#REF!</v>
      </c>
      <c r="G7" s="26" t="e">
        <f aca="false">#REF!-'202208-12分_検証用1_関数積算'!G7</f>
        <v>#REF!</v>
      </c>
      <c r="H7" s="26" t="e">
        <f aca="false">#REF!-'202208-12分_検証用1_関数積算'!H7</f>
        <v>#REF!</v>
      </c>
      <c r="I7" s="85" t="e">
        <f aca="false">#REF!-'202208-12分_検証用1_関数積算'!I7</f>
        <v>#REF!</v>
      </c>
      <c r="J7" s="26" t="e">
        <f aca="false">#REF!-'202208-12分_検証用1_関数積算'!J7</f>
        <v>#REF!</v>
      </c>
      <c r="K7" s="26" t="e">
        <f aca="false">#REF!-'202208-12分_検証用1_関数積算'!K7</f>
        <v>#REF!</v>
      </c>
      <c r="L7" s="26" t="e">
        <f aca="false">#REF!-'202208-12分_検証用1_関数積算'!L7</f>
        <v>#REF!</v>
      </c>
      <c r="M7" s="85" t="e">
        <f aca="false">#REF!-'202208-12分_検証用1_関数積算'!M7</f>
        <v>#REF!</v>
      </c>
      <c r="N7" s="26" t="e">
        <f aca="false">#REF!-'202208-12分_検証用1_関数積算'!N7</f>
        <v>#REF!</v>
      </c>
      <c r="O7" s="26" t="e">
        <f aca="false">#REF!-'202208-12分_検証用1_関数積算'!O7</f>
        <v>#REF!</v>
      </c>
      <c r="P7" s="26" t="e">
        <f aca="false">#REF!-'202208-12分_検証用1_関数積算'!P7</f>
        <v>#REF!</v>
      </c>
      <c r="Q7" s="85" t="e">
        <f aca="false">#REF!-'202208-12分_検証用1_関数積算'!Q7</f>
        <v>#REF!</v>
      </c>
      <c r="R7" s="26" t="e">
        <f aca="false">#REF!-'202208-12分_検証用1_関数積算'!R7</f>
        <v>#REF!</v>
      </c>
      <c r="S7" s="26" t="e">
        <f aca="false">#REF!-'202208-12分_検証用1_関数積算'!S7</f>
        <v>#REF!</v>
      </c>
      <c r="T7" s="26" t="e">
        <f aca="false">#REF!-'202208-12分_検証用1_関数積算'!T7</f>
        <v>#REF!</v>
      </c>
      <c r="U7" s="85" t="e">
        <f aca="false">#REF!-'202208-12分_検証用1_関数積算'!U7</f>
        <v>#REF!</v>
      </c>
    </row>
    <row r="8" customFormat="false" ht="15.75" hidden="false" customHeight="true" outlineLevel="0" collapsed="false">
      <c r="A8" s="25" t="s">
        <v>22</v>
      </c>
      <c r="B8" s="26" t="e">
        <f aca="false">#REF!-'202208-12分_検証用1_関数積算'!B8</f>
        <v>#REF!</v>
      </c>
      <c r="C8" s="26" t="e">
        <f aca="false">#REF!-'202208-12分_検証用1_関数積算'!C8</f>
        <v>#REF!</v>
      </c>
      <c r="D8" s="26" t="e">
        <f aca="false">#REF!-'202208-12分_検証用1_関数積算'!D8</f>
        <v>#REF!</v>
      </c>
      <c r="E8" s="85" t="e">
        <f aca="false">#REF!-'202208-12分_検証用1_関数積算'!E8</f>
        <v>#REF!</v>
      </c>
      <c r="F8" s="26" t="e">
        <f aca="false">#REF!-'202208-12分_検証用1_関数積算'!F8</f>
        <v>#REF!</v>
      </c>
      <c r="G8" s="26" t="e">
        <f aca="false">#REF!-'202208-12分_検証用1_関数積算'!G8</f>
        <v>#REF!</v>
      </c>
      <c r="H8" s="26" t="e">
        <f aca="false">#REF!-'202208-12分_検証用1_関数積算'!H8</f>
        <v>#REF!</v>
      </c>
      <c r="I8" s="85" t="e">
        <f aca="false">#REF!-'202208-12分_検証用1_関数積算'!I8</f>
        <v>#REF!</v>
      </c>
      <c r="J8" s="26" t="e">
        <f aca="false">#REF!-'202208-12分_検証用1_関数積算'!J8</f>
        <v>#REF!</v>
      </c>
      <c r="K8" s="26" t="e">
        <f aca="false">#REF!-'202208-12分_検証用1_関数積算'!K8</f>
        <v>#REF!</v>
      </c>
      <c r="L8" s="26" t="e">
        <f aca="false">#REF!-'202208-12分_検証用1_関数積算'!L8</f>
        <v>#REF!</v>
      </c>
      <c r="M8" s="85" t="e">
        <f aca="false">#REF!-'202208-12分_検証用1_関数積算'!M8</f>
        <v>#REF!</v>
      </c>
      <c r="N8" s="26" t="e">
        <f aca="false">#REF!-'202208-12分_検証用1_関数積算'!N8</f>
        <v>#REF!</v>
      </c>
      <c r="O8" s="26" t="e">
        <f aca="false">#REF!-'202208-12分_検証用1_関数積算'!O8</f>
        <v>#REF!</v>
      </c>
      <c r="P8" s="26" t="e">
        <f aca="false">#REF!-'202208-12分_検証用1_関数積算'!P8</f>
        <v>#REF!</v>
      </c>
      <c r="Q8" s="85" t="e">
        <f aca="false">#REF!-'202208-12分_検証用1_関数積算'!Q8</f>
        <v>#REF!</v>
      </c>
      <c r="R8" s="26" t="e">
        <f aca="false">#REF!-'202208-12分_検証用1_関数積算'!R8</f>
        <v>#REF!</v>
      </c>
      <c r="S8" s="26" t="e">
        <f aca="false">#REF!-'202208-12分_検証用1_関数積算'!S8</f>
        <v>#REF!</v>
      </c>
      <c r="T8" s="26" t="e">
        <f aca="false">#REF!-'202208-12分_検証用1_関数積算'!T8</f>
        <v>#REF!</v>
      </c>
      <c r="U8" s="85" t="e">
        <f aca="false">#REF!-'202208-12分_検証用1_関数積算'!U8</f>
        <v>#REF!</v>
      </c>
    </row>
    <row r="9" customFormat="false" ht="15.75" hidden="false" customHeight="true" outlineLevel="0" collapsed="false">
      <c r="A9" s="25" t="s">
        <v>23</v>
      </c>
      <c r="B9" s="26" t="e">
        <f aca="false">#REF!-'202208-12分_検証用1_関数積算'!B9</f>
        <v>#REF!</v>
      </c>
      <c r="C9" s="26" t="e">
        <f aca="false">#REF!-'202208-12分_検証用1_関数積算'!C9</f>
        <v>#REF!</v>
      </c>
      <c r="D9" s="26" t="e">
        <f aca="false">#REF!-'202208-12分_検証用1_関数積算'!D9</f>
        <v>#REF!</v>
      </c>
      <c r="E9" s="85" t="e">
        <f aca="false">#REF!-'202208-12分_検証用1_関数積算'!E9</f>
        <v>#REF!</v>
      </c>
      <c r="F9" s="26" t="e">
        <f aca="false">#REF!-'202208-12分_検証用1_関数積算'!F9</f>
        <v>#REF!</v>
      </c>
      <c r="G9" s="26" t="e">
        <f aca="false">#REF!-'202208-12分_検証用1_関数積算'!G9</f>
        <v>#REF!</v>
      </c>
      <c r="H9" s="26" t="e">
        <f aca="false">#REF!-'202208-12分_検証用1_関数積算'!H9</f>
        <v>#REF!</v>
      </c>
      <c r="I9" s="85" t="e">
        <f aca="false">#REF!-'202208-12分_検証用1_関数積算'!I9</f>
        <v>#REF!</v>
      </c>
      <c r="J9" s="26" t="e">
        <f aca="false">#REF!-'202208-12分_検証用1_関数積算'!J9</f>
        <v>#REF!</v>
      </c>
      <c r="K9" s="26" t="e">
        <f aca="false">#REF!-'202208-12分_検証用1_関数積算'!K9</f>
        <v>#REF!</v>
      </c>
      <c r="L9" s="26" t="e">
        <f aca="false">#REF!-'202208-12分_検証用1_関数積算'!L9</f>
        <v>#REF!</v>
      </c>
      <c r="M9" s="85" t="e">
        <f aca="false">#REF!-'202208-12分_検証用1_関数積算'!M9</f>
        <v>#REF!</v>
      </c>
      <c r="N9" s="26" t="e">
        <f aca="false">#REF!-'202208-12分_検証用1_関数積算'!N9</f>
        <v>#REF!</v>
      </c>
      <c r="O9" s="26" t="e">
        <f aca="false">#REF!-'202208-12分_検証用1_関数積算'!O9</f>
        <v>#REF!</v>
      </c>
      <c r="P9" s="26" t="e">
        <f aca="false">#REF!-'202208-12分_検証用1_関数積算'!P9</f>
        <v>#REF!</v>
      </c>
      <c r="Q9" s="85" t="e">
        <f aca="false">#REF!-'202208-12分_検証用1_関数積算'!Q9</f>
        <v>#REF!</v>
      </c>
      <c r="R9" s="26" t="e">
        <f aca="false">#REF!-'202208-12分_検証用1_関数積算'!R9</f>
        <v>#REF!</v>
      </c>
      <c r="S9" s="26" t="e">
        <f aca="false">#REF!-'202208-12分_検証用1_関数積算'!S9</f>
        <v>#REF!</v>
      </c>
      <c r="T9" s="26" t="e">
        <f aca="false">#REF!-'202208-12分_検証用1_関数積算'!T9</f>
        <v>#REF!</v>
      </c>
      <c r="U9" s="85" t="e">
        <f aca="false">#REF!-'202208-12分_検証用1_関数積算'!U9</f>
        <v>#REF!</v>
      </c>
    </row>
    <row r="10" customFormat="false" ht="15.75" hidden="false" customHeight="true" outlineLevel="0" collapsed="false">
      <c r="A10" s="88" t="s">
        <v>24</v>
      </c>
      <c r="B10" s="41" t="e">
        <f aca="false">#REF!-'202208-12分_検証用1_関数積算'!B10</f>
        <v>#REF!</v>
      </c>
      <c r="C10" s="41" t="e">
        <f aca="false">#REF!-'202208-12分_検証用1_関数積算'!C10</f>
        <v>#REF!</v>
      </c>
      <c r="D10" s="41" t="e">
        <f aca="false">#REF!-'202208-12分_検証用1_関数積算'!D10</f>
        <v>#REF!</v>
      </c>
      <c r="E10" s="89" t="e">
        <f aca="false">#REF!-'202208-12分_検証用1_関数積算'!E10</f>
        <v>#REF!</v>
      </c>
      <c r="F10" s="41" t="e">
        <f aca="false">#REF!-'202208-12分_検証用1_関数積算'!F10</f>
        <v>#REF!</v>
      </c>
      <c r="G10" s="41" t="e">
        <f aca="false">#REF!-'202208-12分_検証用1_関数積算'!G10</f>
        <v>#REF!</v>
      </c>
      <c r="H10" s="41" t="e">
        <f aca="false">#REF!-'202208-12分_検証用1_関数積算'!H10</f>
        <v>#REF!</v>
      </c>
      <c r="I10" s="89" t="e">
        <f aca="false">#REF!-'202208-12分_検証用1_関数積算'!I10</f>
        <v>#REF!</v>
      </c>
      <c r="J10" s="41" t="e">
        <f aca="false">#REF!-'202208-12分_検証用1_関数積算'!J10</f>
        <v>#REF!</v>
      </c>
      <c r="K10" s="41" t="e">
        <f aca="false">#REF!-'202208-12分_検証用1_関数積算'!K10</f>
        <v>#REF!</v>
      </c>
      <c r="L10" s="41" t="e">
        <f aca="false">#REF!-'202208-12分_検証用1_関数積算'!L10</f>
        <v>#REF!</v>
      </c>
      <c r="M10" s="89" t="e">
        <f aca="false">#REF!-'202208-12分_検証用1_関数積算'!M10</f>
        <v>#REF!</v>
      </c>
      <c r="N10" s="41" t="e">
        <f aca="false">#REF!-'202208-12分_検証用1_関数積算'!N10</f>
        <v>#REF!</v>
      </c>
      <c r="O10" s="41" t="e">
        <f aca="false">#REF!-'202208-12分_検証用1_関数積算'!O10</f>
        <v>#REF!</v>
      </c>
      <c r="P10" s="41" t="e">
        <f aca="false">#REF!-'202208-12分_検証用1_関数積算'!P10</f>
        <v>#REF!</v>
      </c>
      <c r="Q10" s="89" t="e">
        <f aca="false">#REF!-'202208-12分_検証用1_関数積算'!Q10</f>
        <v>#REF!</v>
      </c>
      <c r="R10" s="41" t="e">
        <f aca="false">#REF!-'202208-12分_検証用1_関数積算'!R10</f>
        <v>#REF!</v>
      </c>
      <c r="S10" s="41" t="e">
        <f aca="false">#REF!-'202208-12分_検証用1_関数積算'!S10</f>
        <v>#REF!</v>
      </c>
      <c r="T10" s="41" t="e">
        <f aca="false">#REF!-'202208-12分_検証用1_関数積算'!T10</f>
        <v>#REF!</v>
      </c>
      <c r="U10" s="89" t="e">
        <f aca="false">#REF!-'202208-12分_検証用1_関数積算'!U10</f>
        <v>#REF!</v>
      </c>
    </row>
    <row r="11" customFormat="false" ht="15.75" hidden="false" customHeight="true" outlineLevel="0" collapsed="false">
      <c r="A11" s="30" t="s">
        <v>87</v>
      </c>
      <c r="B11" s="31" t="e">
        <f aca="false">#REF!-'202208-12分_検証用1_関数積算'!B11</f>
        <v>#REF!</v>
      </c>
      <c r="C11" s="31" t="e">
        <f aca="false">#REF!-'202208-12分_検証用1_関数積算'!C11</f>
        <v>#REF!</v>
      </c>
      <c r="D11" s="31" t="e">
        <f aca="false">#REF!-'202208-12分_検証用1_関数積算'!D11</f>
        <v>#REF!</v>
      </c>
      <c r="E11" s="87" t="e">
        <f aca="false">#REF!-'202208-12分_検証用1_関数積算'!E11</f>
        <v>#REF!</v>
      </c>
      <c r="F11" s="31" t="e">
        <f aca="false">#REF!-'202208-12分_検証用1_関数積算'!F11</f>
        <v>#REF!</v>
      </c>
      <c r="G11" s="31" t="e">
        <f aca="false">#REF!-'202208-12分_検証用1_関数積算'!G11</f>
        <v>#REF!</v>
      </c>
      <c r="H11" s="31" t="e">
        <f aca="false">#REF!-'202208-12分_検証用1_関数積算'!H11</f>
        <v>#REF!</v>
      </c>
      <c r="I11" s="87" t="e">
        <f aca="false">#REF!-'202208-12分_検証用1_関数積算'!I11</f>
        <v>#REF!</v>
      </c>
      <c r="J11" s="31" t="e">
        <f aca="false">#REF!-'202208-12分_検証用1_関数積算'!J11</f>
        <v>#REF!</v>
      </c>
      <c r="K11" s="31" t="e">
        <f aca="false">#REF!-'202208-12分_検証用1_関数積算'!K11</f>
        <v>#REF!</v>
      </c>
      <c r="L11" s="31" t="e">
        <f aca="false">#REF!-'202208-12分_検証用1_関数積算'!L11</f>
        <v>#REF!</v>
      </c>
      <c r="M11" s="87" t="e">
        <f aca="false">#REF!-'202208-12分_検証用1_関数積算'!M11</f>
        <v>#REF!</v>
      </c>
      <c r="N11" s="31" t="e">
        <f aca="false">#REF!-'202208-12分_検証用1_関数積算'!N11</f>
        <v>#REF!</v>
      </c>
      <c r="O11" s="31" t="e">
        <f aca="false">#REF!-'202208-12分_検証用1_関数積算'!O11</f>
        <v>#REF!</v>
      </c>
      <c r="P11" s="31" t="e">
        <f aca="false">#REF!-'202208-12分_検証用1_関数積算'!P11</f>
        <v>#REF!</v>
      </c>
      <c r="Q11" s="87" t="e">
        <f aca="false">#REF!-'202208-12分_検証用1_関数積算'!Q11</f>
        <v>#REF!</v>
      </c>
      <c r="R11" s="31" t="e">
        <f aca="false">#REF!-'202208-12分_検証用1_関数積算'!R11</f>
        <v>#REF!</v>
      </c>
      <c r="S11" s="31" t="e">
        <f aca="false">#REF!-'202208-12分_検証用1_関数積算'!S11</f>
        <v>#REF!</v>
      </c>
      <c r="T11" s="31" t="e">
        <f aca="false">#REF!-'202208-12分_検証用1_関数積算'!T11</f>
        <v>#REF!</v>
      </c>
      <c r="U11" s="87" t="e">
        <f aca="false">#REF!-'202208-12分_検証用1_関数積算'!U11</f>
        <v>#REF!</v>
      </c>
    </row>
    <row r="12" customFormat="false" ht="15.75" hidden="false" customHeight="true" outlineLevel="0" collapsed="false">
      <c r="A12" s="30" t="s">
        <v>79</v>
      </c>
      <c r="B12" s="31" t="e">
        <f aca="false">#REF!-'202208-12分_検証用1_関数積算'!B12</f>
        <v>#REF!</v>
      </c>
      <c r="C12" s="31" t="e">
        <f aca="false">#REF!-'202208-12分_検証用1_関数積算'!C12</f>
        <v>#REF!</v>
      </c>
      <c r="D12" s="31" t="e">
        <f aca="false">#REF!-'202208-12分_検証用1_関数積算'!D12</f>
        <v>#REF!</v>
      </c>
      <c r="E12" s="87" t="e">
        <f aca="false">#REF!-'202208-12分_検証用1_関数積算'!E12</f>
        <v>#REF!</v>
      </c>
      <c r="F12" s="31" t="e">
        <f aca="false">#REF!-'202208-12分_検証用1_関数積算'!F12</f>
        <v>#REF!</v>
      </c>
      <c r="G12" s="31" t="e">
        <f aca="false">#REF!-'202208-12分_検証用1_関数積算'!G12</f>
        <v>#REF!</v>
      </c>
      <c r="H12" s="31" t="e">
        <f aca="false">#REF!-'202208-12分_検証用1_関数積算'!H12</f>
        <v>#REF!</v>
      </c>
      <c r="I12" s="87" t="e">
        <f aca="false">#REF!-'202208-12分_検証用1_関数積算'!I12</f>
        <v>#REF!</v>
      </c>
      <c r="J12" s="31" t="e">
        <f aca="false">#REF!-'202208-12分_検証用1_関数積算'!J12</f>
        <v>#REF!</v>
      </c>
      <c r="K12" s="31" t="e">
        <f aca="false">#REF!-'202208-12分_検証用1_関数積算'!K12</f>
        <v>#REF!</v>
      </c>
      <c r="L12" s="31" t="e">
        <f aca="false">#REF!-'202208-12分_検証用1_関数積算'!L12</f>
        <v>#REF!</v>
      </c>
      <c r="M12" s="87" t="e">
        <f aca="false">#REF!-'202208-12分_検証用1_関数積算'!M12</f>
        <v>#REF!</v>
      </c>
      <c r="N12" s="31" t="e">
        <f aca="false">#REF!-'202208-12分_検証用1_関数積算'!N12</f>
        <v>#REF!</v>
      </c>
      <c r="O12" s="31" t="e">
        <f aca="false">#REF!-'202208-12分_検証用1_関数積算'!O12</f>
        <v>#REF!</v>
      </c>
      <c r="P12" s="31" t="e">
        <f aca="false">#REF!-'202208-12分_検証用1_関数積算'!P12</f>
        <v>#REF!</v>
      </c>
      <c r="Q12" s="87" t="e">
        <f aca="false">#REF!-'202208-12分_検証用1_関数積算'!Q12</f>
        <v>#REF!</v>
      </c>
      <c r="R12" s="31" t="e">
        <f aca="false">#REF!-'202208-12分_検証用1_関数積算'!R12</f>
        <v>#REF!</v>
      </c>
      <c r="S12" s="31" t="e">
        <f aca="false">#REF!-'202208-12分_検証用1_関数積算'!S12</f>
        <v>#REF!</v>
      </c>
      <c r="T12" s="31" t="e">
        <f aca="false">#REF!-'202208-12分_検証用1_関数積算'!T12</f>
        <v>#REF!</v>
      </c>
      <c r="U12" s="87" t="e">
        <f aca="false">#REF!-'202208-12分_検証用1_関数積算'!U12</f>
        <v>#REF!</v>
      </c>
    </row>
    <row r="13" customFormat="false" ht="15.75" hidden="false" customHeight="true" outlineLevel="0" collapsed="false">
      <c r="A13" s="30" t="s">
        <v>80</v>
      </c>
      <c r="B13" s="31" t="e">
        <f aca="false">#REF!-'202208-12分_検証用1_関数積算'!B13</f>
        <v>#REF!</v>
      </c>
      <c r="C13" s="31" t="e">
        <f aca="false">#REF!-'202208-12分_検証用1_関数積算'!C13</f>
        <v>#REF!</v>
      </c>
      <c r="D13" s="31" t="e">
        <f aca="false">#REF!-'202208-12分_検証用1_関数積算'!D13</f>
        <v>#REF!</v>
      </c>
      <c r="E13" s="87" t="e">
        <f aca="false">#REF!-'202208-12分_検証用1_関数積算'!E13</f>
        <v>#REF!</v>
      </c>
      <c r="F13" s="31" t="e">
        <f aca="false">#REF!-'202208-12分_検証用1_関数積算'!F13</f>
        <v>#REF!</v>
      </c>
      <c r="G13" s="31" t="e">
        <f aca="false">#REF!-'202208-12分_検証用1_関数積算'!G13</f>
        <v>#REF!</v>
      </c>
      <c r="H13" s="31" t="e">
        <f aca="false">#REF!-'202208-12分_検証用1_関数積算'!H13</f>
        <v>#REF!</v>
      </c>
      <c r="I13" s="87" t="e">
        <f aca="false">#REF!-'202208-12分_検証用1_関数積算'!I13</f>
        <v>#REF!</v>
      </c>
      <c r="J13" s="31" t="e">
        <f aca="false">#REF!-'202208-12分_検証用1_関数積算'!J13</f>
        <v>#REF!</v>
      </c>
      <c r="K13" s="31" t="e">
        <f aca="false">#REF!-'202208-12分_検証用1_関数積算'!K13</f>
        <v>#REF!</v>
      </c>
      <c r="L13" s="31" t="e">
        <f aca="false">#REF!-'202208-12分_検証用1_関数積算'!L13</f>
        <v>#REF!</v>
      </c>
      <c r="M13" s="87" t="e">
        <f aca="false">#REF!-'202208-12分_検証用1_関数積算'!M13</f>
        <v>#REF!</v>
      </c>
      <c r="N13" s="31" t="e">
        <f aca="false">#REF!-'202208-12分_検証用1_関数積算'!N13</f>
        <v>#REF!</v>
      </c>
      <c r="O13" s="31" t="e">
        <f aca="false">#REF!-'202208-12分_検証用1_関数積算'!O13</f>
        <v>#REF!</v>
      </c>
      <c r="P13" s="31" t="e">
        <f aca="false">#REF!-'202208-12分_検証用1_関数積算'!P13</f>
        <v>#REF!</v>
      </c>
      <c r="Q13" s="87" t="e">
        <f aca="false">#REF!-'202208-12分_検証用1_関数積算'!Q13</f>
        <v>#REF!</v>
      </c>
      <c r="R13" s="31" t="e">
        <f aca="false">#REF!-'202208-12分_検証用1_関数積算'!R13</f>
        <v>#REF!</v>
      </c>
      <c r="S13" s="31" t="e">
        <f aca="false">#REF!-'202208-12分_検証用1_関数積算'!S13</f>
        <v>#REF!</v>
      </c>
      <c r="T13" s="31" t="e">
        <f aca="false">#REF!-'202208-12分_検証用1_関数積算'!T13</f>
        <v>#REF!</v>
      </c>
      <c r="U13" s="87" t="e">
        <f aca="false">#REF!-'202208-12分_検証用1_関数積算'!U13</f>
        <v>#REF!</v>
      </c>
    </row>
    <row r="14" customFormat="false" ht="15.75" hidden="false" customHeight="true" outlineLevel="0" collapsed="false">
      <c r="A14" s="30" t="s">
        <v>81</v>
      </c>
      <c r="B14" s="31" t="e">
        <f aca="false">#REF!-'202208-12分_検証用1_関数積算'!B14</f>
        <v>#REF!</v>
      </c>
      <c r="C14" s="31" t="e">
        <f aca="false">#REF!-'202208-12分_検証用1_関数積算'!C14</f>
        <v>#REF!</v>
      </c>
      <c r="D14" s="31" t="e">
        <f aca="false">#REF!-'202208-12分_検証用1_関数積算'!D14</f>
        <v>#REF!</v>
      </c>
      <c r="E14" s="87" t="e">
        <f aca="false">#REF!-'202208-12分_検証用1_関数積算'!E14</f>
        <v>#REF!</v>
      </c>
      <c r="F14" s="31" t="e">
        <f aca="false">#REF!-'202208-12分_検証用1_関数積算'!F14</f>
        <v>#REF!</v>
      </c>
      <c r="G14" s="31" t="e">
        <f aca="false">#REF!-'202208-12分_検証用1_関数積算'!G14</f>
        <v>#REF!</v>
      </c>
      <c r="H14" s="31" t="e">
        <f aca="false">#REF!-'202208-12分_検証用1_関数積算'!H14</f>
        <v>#REF!</v>
      </c>
      <c r="I14" s="87" t="e">
        <f aca="false">#REF!-'202208-12分_検証用1_関数積算'!I14</f>
        <v>#REF!</v>
      </c>
      <c r="J14" s="31" t="e">
        <f aca="false">#REF!-'202208-12分_検証用1_関数積算'!J14</f>
        <v>#REF!</v>
      </c>
      <c r="K14" s="31" t="e">
        <f aca="false">#REF!-'202208-12分_検証用1_関数積算'!K14</f>
        <v>#REF!</v>
      </c>
      <c r="L14" s="31" t="e">
        <f aca="false">#REF!-'202208-12分_検証用1_関数積算'!L14</f>
        <v>#REF!</v>
      </c>
      <c r="M14" s="87" t="e">
        <f aca="false">#REF!-'202208-12分_検証用1_関数積算'!M14</f>
        <v>#REF!</v>
      </c>
      <c r="N14" s="31" t="e">
        <f aca="false">#REF!-'202208-12分_検証用1_関数積算'!N14</f>
        <v>#REF!</v>
      </c>
      <c r="O14" s="31" t="e">
        <f aca="false">#REF!-'202208-12分_検証用1_関数積算'!O14</f>
        <v>#REF!</v>
      </c>
      <c r="P14" s="31" t="e">
        <f aca="false">#REF!-'202208-12分_検証用1_関数積算'!P14</f>
        <v>#REF!</v>
      </c>
      <c r="Q14" s="87" t="e">
        <f aca="false">#REF!-'202208-12分_検証用1_関数積算'!Q14</f>
        <v>#REF!</v>
      </c>
      <c r="R14" s="31" t="e">
        <f aca="false">#REF!-'202208-12分_検証用1_関数積算'!R14</f>
        <v>#REF!</v>
      </c>
      <c r="S14" s="31" t="e">
        <f aca="false">#REF!-'202208-12分_検証用1_関数積算'!S14</f>
        <v>#REF!</v>
      </c>
      <c r="T14" s="31" t="e">
        <f aca="false">#REF!-'202208-12分_検証用1_関数積算'!T14</f>
        <v>#REF!</v>
      </c>
      <c r="U14" s="87" t="e">
        <f aca="false">#REF!-'202208-12分_検証用1_関数積算'!U14</f>
        <v>#REF!</v>
      </c>
    </row>
    <row r="15" customFormat="false" ht="15.75" hidden="false" customHeight="true" outlineLevel="0" collapsed="false">
      <c r="A15" s="86" t="s">
        <v>33</v>
      </c>
      <c r="B15" s="31" t="e">
        <f aca="false">#REF!-'202208-12分_検証用1_関数積算'!B15</f>
        <v>#REF!</v>
      </c>
      <c r="C15" s="31" t="e">
        <f aca="false">#REF!-'202208-12分_検証用1_関数積算'!C15</f>
        <v>#REF!</v>
      </c>
      <c r="D15" s="31" t="e">
        <f aca="false">#REF!-'202208-12分_検証用1_関数積算'!D15</f>
        <v>#REF!</v>
      </c>
      <c r="E15" s="87" t="e">
        <f aca="false">#REF!-'202208-12分_検証用1_関数積算'!E15</f>
        <v>#REF!</v>
      </c>
      <c r="F15" s="31" t="e">
        <f aca="false">#REF!-'202208-12分_検証用1_関数積算'!F15</f>
        <v>#REF!</v>
      </c>
      <c r="G15" s="31" t="e">
        <f aca="false">#REF!-'202208-12分_検証用1_関数積算'!G15</f>
        <v>#REF!</v>
      </c>
      <c r="H15" s="31" t="e">
        <f aca="false">#REF!-'202208-12分_検証用1_関数積算'!H15</f>
        <v>#REF!</v>
      </c>
      <c r="I15" s="87" t="e">
        <f aca="false">#REF!-'202208-12分_検証用1_関数積算'!I15</f>
        <v>#REF!</v>
      </c>
      <c r="J15" s="31" t="e">
        <f aca="false">#REF!-'202208-12分_検証用1_関数積算'!J15</f>
        <v>#REF!</v>
      </c>
      <c r="K15" s="31" t="e">
        <f aca="false">#REF!-'202208-12分_検証用1_関数積算'!K15</f>
        <v>#REF!</v>
      </c>
      <c r="L15" s="31" t="e">
        <f aca="false">#REF!-'202208-12分_検証用1_関数積算'!L15</f>
        <v>#REF!</v>
      </c>
      <c r="M15" s="87" t="e">
        <f aca="false">#REF!-'202208-12分_検証用1_関数積算'!M15</f>
        <v>#REF!</v>
      </c>
      <c r="N15" s="31" t="e">
        <f aca="false">#REF!-'202208-12分_検証用1_関数積算'!N15</f>
        <v>#REF!</v>
      </c>
      <c r="O15" s="31" t="e">
        <f aca="false">#REF!-'202208-12分_検証用1_関数積算'!O15</f>
        <v>#REF!</v>
      </c>
      <c r="P15" s="31" t="e">
        <f aca="false">#REF!-'202208-12分_検証用1_関数積算'!P15</f>
        <v>#REF!</v>
      </c>
      <c r="Q15" s="87" t="e">
        <f aca="false">#REF!-'202208-12分_検証用1_関数積算'!Q15</f>
        <v>#REF!</v>
      </c>
      <c r="R15" s="31" t="e">
        <f aca="false">#REF!-'202208-12分_検証用1_関数積算'!R15</f>
        <v>#REF!</v>
      </c>
      <c r="S15" s="31" t="e">
        <f aca="false">#REF!-'202208-12分_検証用1_関数積算'!S15</f>
        <v>#REF!</v>
      </c>
      <c r="T15" s="31" t="e">
        <f aca="false">#REF!-'202208-12分_検証用1_関数積算'!T15</f>
        <v>#REF!</v>
      </c>
      <c r="U15" s="87" t="e">
        <f aca="false">#REF!-'202208-12分_検証用1_関数積算'!U15</f>
        <v>#REF!</v>
      </c>
    </row>
    <row r="16" customFormat="false" ht="15.75" hidden="false" customHeight="true" outlineLevel="0" collapsed="false">
      <c r="A16" s="86" t="s">
        <v>35</v>
      </c>
      <c r="B16" s="31" t="e">
        <f aca="false">#REF!-'202208-12分_検証用1_関数積算'!B16</f>
        <v>#REF!</v>
      </c>
      <c r="C16" s="31" t="e">
        <f aca="false">#REF!-'202208-12分_検証用1_関数積算'!C16</f>
        <v>#REF!</v>
      </c>
      <c r="D16" s="31" t="e">
        <f aca="false">#REF!-'202208-12分_検証用1_関数積算'!D16</f>
        <v>#REF!</v>
      </c>
      <c r="E16" s="87" t="e">
        <f aca="false">#REF!-'202208-12分_検証用1_関数積算'!E16</f>
        <v>#REF!</v>
      </c>
      <c r="F16" s="31" t="e">
        <f aca="false">#REF!-'202208-12分_検証用1_関数積算'!F16</f>
        <v>#REF!</v>
      </c>
      <c r="G16" s="31" t="e">
        <f aca="false">#REF!-'202208-12分_検証用1_関数積算'!G16</f>
        <v>#REF!</v>
      </c>
      <c r="H16" s="31" t="e">
        <f aca="false">#REF!-'202208-12分_検証用1_関数積算'!H16</f>
        <v>#REF!</v>
      </c>
      <c r="I16" s="87" t="e">
        <f aca="false">#REF!-'202208-12分_検証用1_関数積算'!I16</f>
        <v>#REF!</v>
      </c>
      <c r="J16" s="31" t="e">
        <f aca="false">#REF!-'202208-12分_検証用1_関数積算'!J16</f>
        <v>#REF!</v>
      </c>
      <c r="K16" s="31" t="e">
        <f aca="false">#REF!-'202208-12分_検証用1_関数積算'!K16</f>
        <v>#REF!</v>
      </c>
      <c r="L16" s="31" t="e">
        <f aca="false">#REF!-'202208-12分_検証用1_関数積算'!L16</f>
        <v>#REF!</v>
      </c>
      <c r="M16" s="87" t="e">
        <f aca="false">#REF!-'202208-12分_検証用1_関数積算'!M16</f>
        <v>#REF!</v>
      </c>
      <c r="N16" s="31" t="e">
        <f aca="false">#REF!-'202208-12分_検証用1_関数積算'!N16</f>
        <v>#REF!</v>
      </c>
      <c r="O16" s="31" t="e">
        <f aca="false">#REF!-'202208-12分_検証用1_関数積算'!O16</f>
        <v>#REF!</v>
      </c>
      <c r="P16" s="31" t="e">
        <f aca="false">#REF!-'202208-12分_検証用1_関数積算'!P16</f>
        <v>#REF!</v>
      </c>
      <c r="Q16" s="87" t="e">
        <f aca="false">#REF!-'202208-12分_検証用1_関数積算'!Q16</f>
        <v>#REF!</v>
      </c>
      <c r="R16" s="31" t="e">
        <f aca="false">#REF!-'202208-12分_検証用1_関数積算'!R16</f>
        <v>#REF!</v>
      </c>
      <c r="S16" s="31" t="e">
        <f aca="false">#REF!-'202208-12分_検証用1_関数積算'!S16</f>
        <v>#REF!</v>
      </c>
      <c r="T16" s="31" t="e">
        <f aca="false">#REF!-'202208-12分_検証用1_関数積算'!T16</f>
        <v>#REF!</v>
      </c>
      <c r="U16" s="87" t="e">
        <f aca="false">#REF!-'202208-12分_検証用1_関数積算'!U16</f>
        <v>#REF!</v>
      </c>
    </row>
    <row r="17" customFormat="false" ht="15.75" hidden="false" customHeight="true" outlineLevel="0" collapsed="false">
      <c r="A17" s="86" t="s">
        <v>37</v>
      </c>
      <c r="B17" s="31" t="e">
        <f aca="false">#REF!-'202208-12分_検証用1_関数積算'!B17</f>
        <v>#REF!</v>
      </c>
      <c r="C17" s="31" t="e">
        <f aca="false">#REF!-'202208-12分_検証用1_関数積算'!C17</f>
        <v>#REF!</v>
      </c>
      <c r="D17" s="31" t="e">
        <f aca="false">#REF!-'202208-12分_検証用1_関数積算'!D17</f>
        <v>#REF!</v>
      </c>
      <c r="E17" s="87" t="e">
        <f aca="false">#REF!-'202208-12分_検証用1_関数積算'!E17</f>
        <v>#REF!</v>
      </c>
      <c r="F17" s="31" t="e">
        <f aca="false">#REF!-'202208-12分_検証用1_関数積算'!F17</f>
        <v>#REF!</v>
      </c>
      <c r="G17" s="31" t="e">
        <f aca="false">#REF!-'202208-12分_検証用1_関数積算'!G17</f>
        <v>#REF!</v>
      </c>
      <c r="H17" s="31" t="e">
        <f aca="false">#REF!-'202208-12分_検証用1_関数積算'!H17</f>
        <v>#REF!</v>
      </c>
      <c r="I17" s="87" t="e">
        <f aca="false">#REF!-'202208-12分_検証用1_関数積算'!I17</f>
        <v>#REF!</v>
      </c>
      <c r="J17" s="31" t="e">
        <f aca="false">#REF!-'202208-12分_検証用1_関数積算'!J17</f>
        <v>#REF!</v>
      </c>
      <c r="K17" s="31" t="e">
        <f aca="false">#REF!-'202208-12分_検証用1_関数積算'!K17</f>
        <v>#REF!</v>
      </c>
      <c r="L17" s="31" t="e">
        <f aca="false">#REF!-'202208-12分_検証用1_関数積算'!L17</f>
        <v>#REF!</v>
      </c>
      <c r="M17" s="87" t="e">
        <f aca="false">#REF!-'202208-12分_検証用1_関数積算'!M17</f>
        <v>#REF!</v>
      </c>
      <c r="N17" s="31" t="e">
        <f aca="false">#REF!-'202208-12分_検証用1_関数積算'!N17</f>
        <v>#REF!</v>
      </c>
      <c r="O17" s="31" t="e">
        <f aca="false">#REF!-'202208-12分_検証用1_関数積算'!O17</f>
        <v>#REF!</v>
      </c>
      <c r="P17" s="31" t="e">
        <f aca="false">#REF!-'202208-12分_検証用1_関数積算'!P17</f>
        <v>#REF!</v>
      </c>
      <c r="Q17" s="87" t="e">
        <f aca="false">#REF!-'202208-12分_検証用1_関数積算'!Q17</f>
        <v>#REF!</v>
      </c>
      <c r="R17" s="31" t="e">
        <f aca="false">#REF!-'202208-12分_検証用1_関数積算'!R17</f>
        <v>#REF!</v>
      </c>
      <c r="S17" s="31" t="e">
        <f aca="false">#REF!-'202208-12分_検証用1_関数積算'!S17</f>
        <v>#REF!</v>
      </c>
      <c r="T17" s="31" t="e">
        <f aca="false">#REF!-'202208-12分_検証用1_関数積算'!T17</f>
        <v>#REF!</v>
      </c>
      <c r="U17" s="87" t="e">
        <f aca="false">#REF!-'202208-12分_検証用1_関数積算'!U17</f>
        <v>#REF!</v>
      </c>
    </row>
    <row r="18" customFormat="false" ht="15.75" hidden="false" customHeight="true" outlineLevel="0" collapsed="false">
      <c r="A18" s="86" t="s">
        <v>38</v>
      </c>
      <c r="B18" s="31" t="e">
        <f aca="false">#REF!-'202208-12分_検証用1_関数積算'!B18</f>
        <v>#REF!</v>
      </c>
      <c r="C18" s="31" t="e">
        <f aca="false">#REF!-'202208-12分_検証用1_関数積算'!C18</f>
        <v>#REF!</v>
      </c>
      <c r="D18" s="31" t="e">
        <f aca="false">#REF!-'202208-12分_検証用1_関数積算'!D18</f>
        <v>#REF!</v>
      </c>
      <c r="E18" s="87" t="e">
        <f aca="false">#REF!-'202208-12分_検証用1_関数積算'!E18</f>
        <v>#REF!</v>
      </c>
      <c r="F18" s="31" t="e">
        <f aca="false">#REF!-'202208-12分_検証用1_関数積算'!F18</f>
        <v>#REF!</v>
      </c>
      <c r="G18" s="31" t="e">
        <f aca="false">#REF!-'202208-12分_検証用1_関数積算'!G18</f>
        <v>#REF!</v>
      </c>
      <c r="H18" s="31" t="e">
        <f aca="false">#REF!-'202208-12分_検証用1_関数積算'!H18</f>
        <v>#REF!</v>
      </c>
      <c r="I18" s="87" t="e">
        <f aca="false">#REF!-'202208-12分_検証用1_関数積算'!I18</f>
        <v>#REF!</v>
      </c>
      <c r="J18" s="31" t="e">
        <f aca="false">#REF!-'202208-12分_検証用1_関数積算'!J18</f>
        <v>#REF!</v>
      </c>
      <c r="K18" s="31" t="e">
        <f aca="false">#REF!-'202208-12分_検証用1_関数積算'!K18</f>
        <v>#REF!</v>
      </c>
      <c r="L18" s="31" t="e">
        <f aca="false">#REF!-'202208-12分_検証用1_関数積算'!L18</f>
        <v>#REF!</v>
      </c>
      <c r="M18" s="87" t="e">
        <f aca="false">#REF!-'202208-12分_検証用1_関数積算'!M18</f>
        <v>#REF!</v>
      </c>
      <c r="N18" s="31" t="e">
        <f aca="false">#REF!-'202208-12分_検証用1_関数積算'!N18</f>
        <v>#REF!</v>
      </c>
      <c r="O18" s="31" t="e">
        <f aca="false">#REF!-'202208-12分_検証用1_関数積算'!O18</f>
        <v>#REF!</v>
      </c>
      <c r="P18" s="31" t="e">
        <f aca="false">#REF!-'202208-12分_検証用1_関数積算'!P18</f>
        <v>#REF!</v>
      </c>
      <c r="Q18" s="87" t="e">
        <f aca="false">#REF!-'202208-12分_検証用1_関数積算'!Q18</f>
        <v>#REF!</v>
      </c>
      <c r="R18" s="31" t="e">
        <f aca="false">#REF!-'202208-12分_検証用1_関数積算'!R18</f>
        <v>#REF!</v>
      </c>
      <c r="S18" s="31" t="e">
        <f aca="false">#REF!-'202208-12分_検証用1_関数積算'!S18</f>
        <v>#REF!</v>
      </c>
      <c r="T18" s="31" t="e">
        <f aca="false">#REF!-'202208-12分_検証用1_関数積算'!T18</f>
        <v>#REF!</v>
      </c>
      <c r="U18" s="87" t="e">
        <f aca="false">#REF!-'202208-12分_検証用1_関数積算'!U18</f>
        <v>#REF!</v>
      </c>
    </row>
    <row r="19" customFormat="false" ht="15.75" hidden="false" customHeight="true" outlineLevel="0" collapsed="false">
      <c r="A19" s="86" t="s">
        <v>41</v>
      </c>
      <c r="B19" s="31" t="e">
        <f aca="false">#REF!-'202208-12分_検証用1_関数積算'!B19</f>
        <v>#REF!</v>
      </c>
      <c r="C19" s="31" t="e">
        <f aca="false">#REF!-'202208-12分_検証用1_関数積算'!C19</f>
        <v>#REF!</v>
      </c>
      <c r="D19" s="31" t="e">
        <f aca="false">#REF!-'202208-12分_検証用1_関数積算'!D19</f>
        <v>#REF!</v>
      </c>
      <c r="E19" s="87" t="e">
        <f aca="false">#REF!-'202208-12分_検証用1_関数積算'!E19</f>
        <v>#REF!</v>
      </c>
      <c r="F19" s="31" t="e">
        <f aca="false">#REF!-'202208-12分_検証用1_関数積算'!F19</f>
        <v>#REF!</v>
      </c>
      <c r="G19" s="31" t="e">
        <f aca="false">#REF!-'202208-12分_検証用1_関数積算'!G19</f>
        <v>#REF!</v>
      </c>
      <c r="H19" s="31" t="e">
        <f aca="false">#REF!-'202208-12分_検証用1_関数積算'!H19</f>
        <v>#REF!</v>
      </c>
      <c r="I19" s="87" t="e">
        <f aca="false">#REF!-'202208-12分_検証用1_関数積算'!I19</f>
        <v>#REF!</v>
      </c>
      <c r="J19" s="31" t="e">
        <f aca="false">#REF!-'202208-12分_検証用1_関数積算'!J19</f>
        <v>#REF!</v>
      </c>
      <c r="K19" s="31" t="e">
        <f aca="false">#REF!-'202208-12分_検証用1_関数積算'!K19</f>
        <v>#REF!</v>
      </c>
      <c r="L19" s="31" t="e">
        <f aca="false">#REF!-'202208-12分_検証用1_関数積算'!L19</f>
        <v>#REF!</v>
      </c>
      <c r="M19" s="87" t="e">
        <f aca="false">#REF!-'202208-12分_検証用1_関数積算'!M19</f>
        <v>#REF!</v>
      </c>
      <c r="N19" s="31" t="e">
        <f aca="false">#REF!-'202208-12分_検証用1_関数積算'!N19</f>
        <v>#REF!</v>
      </c>
      <c r="O19" s="31" t="e">
        <f aca="false">#REF!-'202208-12分_検証用1_関数積算'!O19</f>
        <v>#REF!</v>
      </c>
      <c r="P19" s="31" t="e">
        <f aca="false">#REF!-'202208-12分_検証用1_関数積算'!P19</f>
        <v>#REF!</v>
      </c>
      <c r="Q19" s="87" t="e">
        <f aca="false">#REF!-'202208-12分_検証用1_関数積算'!Q19</f>
        <v>#REF!</v>
      </c>
      <c r="R19" s="31" t="e">
        <f aca="false">#REF!-'202208-12分_検証用1_関数積算'!R19</f>
        <v>#REF!</v>
      </c>
      <c r="S19" s="31" t="e">
        <f aca="false">#REF!-'202208-12分_検証用1_関数積算'!S19</f>
        <v>#REF!</v>
      </c>
      <c r="T19" s="31" t="e">
        <f aca="false">#REF!-'202208-12分_検証用1_関数積算'!T19</f>
        <v>#REF!</v>
      </c>
      <c r="U19" s="87" t="e">
        <f aca="false">#REF!-'202208-12分_検証用1_関数積算'!U19</f>
        <v>#REF!</v>
      </c>
    </row>
    <row r="20" customFormat="false" ht="15.75" hidden="false" customHeight="true" outlineLevel="0" collapsed="false">
      <c r="A20" s="86" t="s">
        <v>43</v>
      </c>
      <c r="B20" s="31" t="e">
        <f aca="false">#REF!-'202208-12分_検証用1_関数積算'!B20</f>
        <v>#REF!</v>
      </c>
      <c r="C20" s="31" t="e">
        <f aca="false">#REF!-'202208-12分_検証用1_関数積算'!C20</f>
        <v>#REF!</v>
      </c>
      <c r="D20" s="31" t="e">
        <f aca="false">#REF!-'202208-12分_検証用1_関数積算'!D20</f>
        <v>#REF!</v>
      </c>
      <c r="E20" s="87" t="e">
        <f aca="false">#REF!-'202208-12分_検証用1_関数積算'!E20</f>
        <v>#REF!</v>
      </c>
      <c r="F20" s="31" t="e">
        <f aca="false">#REF!-'202208-12分_検証用1_関数積算'!F20</f>
        <v>#REF!</v>
      </c>
      <c r="G20" s="31" t="e">
        <f aca="false">#REF!-'202208-12分_検証用1_関数積算'!G20</f>
        <v>#REF!</v>
      </c>
      <c r="H20" s="31" t="e">
        <f aca="false">#REF!-'202208-12分_検証用1_関数積算'!H20</f>
        <v>#REF!</v>
      </c>
      <c r="I20" s="87" t="e">
        <f aca="false">#REF!-'202208-12分_検証用1_関数積算'!I20</f>
        <v>#REF!</v>
      </c>
      <c r="J20" s="31" t="e">
        <f aca="false">#REF!-'202208-12分_検証用1_関数積算'!J20</f>
        <v>#REF!</v>
      </c>
      <c r="K20" s="31" t="e">
        <f aca="false">#REF!-'202208-12分_検証用1_関数積算'!K20</f>
        <v>#REF!</v>
      </c>
      <c r="L20" s="31" t="e">
        <f aca="false">#REF!-'202208-12分_検証用1_関数積算'!L20</f>
        <v>#REF!</v>
      </c>
      <c r="M20" s="87" t="e">
        <f aca="false">#REF!-'202208-12分_検証用1_関数積算'!M20</f>
        <v>#REF!</v>
      </c>
      <c r="N20" s="31" t="e">
        <f aca="false">#REF!-'202208-12分_検証用1_関数積算'!N20</f>
        <v>#REF!</v>
      </c>
      <c r="O20" s="31" t="e">
        <f aca="false">#REF!-'202208-12分_検証用1_関数積算'!O20</f>
        <v>#REF!</v>
      </c>
      <c r="P20" s="31" t="e">
        <f aca="false">#REF!-'202208-12分_検証用1_関数積算'!P20</f>
        <v>#REF!</v>
      </c>
      <c r="Q20" s="87" t="e">
        <f aca="false">#REF!-'202208-12分_検証用1_関数積算'!Q20</f>
        <v>#REF!</v>
      </c>
      <c r="R20" s="31" t="e">
        <f aca="false">#REF!-'202208-12分_検証用1_関数積算'!R20</f>
        <v>#REF!</v>
      </c>
      <c r="S20" s="31" t="e">
        <f aca="false">#REF!-'202208-12分_検証用1_関数積算'!S20</f>
        <v>#REF!</v>
      </c>
      <c r="T20" s="31" t="e">
        <f aca="false">#REF!-'202208-12分_検証用1_関数積算'!T20</f>
        <v>#REF!</v>
      </c>
      <c r="U20" s="87" t="e">
        <f aca="false">#REF!-'202208-12分_検証用1_関数積算'!U20</f>
        <v>#REF!</v>
      </c>
    </row>
    <row r="21" customFormat="false" ht="15.75" hidden="false" customHeight="true" outlineLevel="0" collapsed="false">
      <c r="A21" s="86" t="s">
        <v>45</v>
      </c>
      <c r="B21" s="31" t="e">
        <f aca="false">#REF!-'202208-12分_検証用1_関数積算'!B21</f>
        <v>#REF!</v>
      </c>
      <c r="C21" s="31" t="e">
        <f aca="false">#REF!-'202208-12分_検証用1_関数積算'!C21</f>
        <v>#REF!</v>
      </c>
      <c r="D21" s="31" t="e">
        <f aca="false">#REF!-'202208-12分_検証用1_関数積算'!D21</f>
        <v>#REF!</v>
      </c>
      <c r="E21" s="87" t="e">
        <f aca="false">#REF!-'202208-12分_検証用1_関数積算'!E21</f>
        <v>#REF!</v>
      </c>
      <c r="F21" s="31" t="e">
        <f aca="false">#REF!-'202208-12分_検証用1_関数積算'!F21</f>
        <v>#REF!</v>
      </c>
      <c r="G21" s="31" t="e">
        <f aca="false">#REF!-'202208-12分_検証用1_関数積算'!G21</f>
        <v>#REF!</v>
      </c>
      <c r="H21" s="31" t="e">
        <f aca="false">#REF!-'202208-12分_検証用1_関数積算'!H21</f>
        <v>#REF!</v>
      </c>
      <c r="I21" s="87" t="e">
        <f aca="false">#REF!-'202208-12分_検証用1_関数積算'!I21</f>
        <v>#REF!</v>
      </c>
      <c r="J21" s="31" t="e">
        <f aca="false">#REF!-'202208-12分_検証用1_関数積算'!J21</f>
        <v>#REF!</v>
      </c>
      <c r="K21" s="31" t="e">
        <f aca="false">#REF!-'202208-12分_検証用1_関数積算'!K21</f>
        <v>#REF!</v>
      </c>
      <c r="L21" s="31" t="e">
        <f aca="false">#REF!-'202208-12分_検証用1_関数積算'!L21</f>
        <v>#REF!</v>
      </c>
      <c r="M21" s="87" t="e">
        <f aca="false">#REF!-'202208-12分_検証用1_関数積算'!M21</f>
        <v>#REF!</v>
      </c>
      <c r="N21" s="31" t="e">
        <f aca="false">#REF!-'202208-12分_検証用1_関数積算'!N21</f>
        <v>#REF!</v>
      </c>
      <c r="O21" s="31" t="e">
        <f aca="false">#REF!-'202208-12分_検証用1_関数積算'!O21</f>
        <v>#REF!</v>
      </c>
      <c r="P21" s="31" t="e">
        <f aca="false">#REF!-'202208-12分_検証用1_関数積算'!P21</f>
        <v>#REF!</v>
      </c>
      <c r="Q21" s="87" t="e">
        <f aca="false">#REF!-'202208-12分_検証用1_関数積算'!Q21</f>
        <v>#REF!</v>
      </c>
      <c r="R21" s="31" t="e">
        <f aca="false">#REF!-'202208-12分_検証用1_関数積算'!R21</f>
        <v>#REF!</v>
      </c>
      <c r="S21" s="31" t="e">
        <f aca="false">#REF!-'202208-12分_検証用1_関数積算'!S21</f>
        <v>#REF!</v>
      </c>
      <c r="T21" s="31" t="e">
        <f aca="false">#REF!-'202208-12分_検証用1_関数積算'!T21</f>
        <v>#REF!</v>
      </c>
      <c r="U21" s="87" t="e">
        <f aca="false">#REF!-'202208-12分_検証用1_関数積算'!U21</f>
        <v>#REF!</v>
      </c>
    </row>
    <row r="22" customFormat="false" ht="15.75" hidden="false" customHeight="true" outlineLevel="0" collapsed="false">
      <c r="A22" s="86" t="s">
        <v>47</v>
      </c>
      <c r="B22" s="31" t="e">
        <f aca="false">#REF!-'202208-12分_検証用1_関数積算'!B22</f>
        <v>#REF!</v>
      </c>
      <c r="C22" s="31" t="e">
        <f aca="false">#REF!-'202208-12分_検証用1_関数積算'!C22</f>
        <v>#REF!</v>
      </c>
      <c r="D22" s="31" t="e">
        <f aca="false">#REF!-'202208-12分_検証用1_関数積算'!D22</f>
        <v>#REF!</v>
      </c>
      <c r="E22" s="87" t="e">
        <f aca="false">#REF!-'202208-12分_検証用1_関数積算'!E22</f>
        <v>#REF!</v>
      </c>
      <c r="F22" s="31" t="e">
        <f aca="false">#REF!-'202208-12分_検証用1_関数積算'!F22</f>
        <v>#REF!</v>
      </c>
      <c r="G22" s="31" t="e">
        <f aca="false">#REF!-'202208-12分_検証用1_関数積算'!G22</f>
        <v>#REF!</v>
      </c>
      <c r="H22" s="31" t="e">
        <f aca="false">#REF!-'202208-12分_検証用1_関数積算'!H22</f>
        <v>#REF!</v>
      </c>
      <c r="I22" s="87" t="e">
        <f aca="false">#REF!-'202208-12分_検証用1_関数積算'!I22</f>
        <v>#REF!</v>
      </c>
      <c r="J22" s="31" t="e">
        <f aca="false">#REF!-'202208-12分_検証用1_関数積算'!J22</f>
        <v>#REF!</v>
      </c>
      <c r="K22" s="31" t="e">
        <f aca="false">#REF!-'202208-12分_検証用1_関数積算'!K22</f>
        <v>#REF!</v>
      </c>
      <c r="L22" s="31" t="e">
        <f aca="false">#REF!-'202208-12分_検証用1_関数積算'!L22</f>
        <v>#REF!</v>
      </c>
      <c r="M22" s="87" t="e">
        <f aca="false">#REF!-'202208-12分_検証用1_関数積算'!M22</f>
        <v>#REF!</v>
      </c>
      <c r="N22" s="31" t="e">
        <f aca="false">#REF!-'202208-12分_検証用1_関数積算'!N22</f>
        <v>#REF!</v>
      </c>
      <c r="O22" s="31" t="e">
        <f aca="false">#REF!-'202208-12分_検証用1_関数積算'!O22</f>
        <v>#REF!</v>
      </c>
      <c r="P22" s="31" t="e">
        <f aca="false">#REF!-'202208-12分_検証用1_関数積算'!P22</f>
        <v>#REF!</v>
      </c>
      <c r="Q22" s="87" t="e">
        <f aca="false">#REF!-'202208-12分_検証用1_関数積算'!Q22</f>
        <v>#REF!</v>
      </c>
      <c r="R22" s="31" t="e">
        <f aca="false">#REF!-'202208-12分_検証用1_関数積算'!R22</f>
        <v>#REF!</v>
      </c>
      <c r="S22" s="31" t="e">
        <f aca="false">#REF!-'202208-12分_検証用1_関数積算'!S22</f>
        <v>#REF!</v>
      </c>
      <c r="T22" s="31" t="e">
        <f aca="false">#REF!-'202208-12分_検証用1_関数積算'!T22</f>
        <v>#REF!</v>
      </c>
      <c r="U22" s="87" t="e">
        <f aca="false">#REF!-'202208-12分_検証用1_関数積算'!U22</f>
        <v>#REF!</v>
      </c>
    </row>
    <row r="23" customFormat="false" ht="15.75" hidden="false" customHeight="true" outlineLevel="0" collapsed="false">
      <c r="A23" s="86" t="s">
        <v>48</v>
      </c>
      <c r="B23" s="31" t="e">
        <f aca="false">#REF!-'202208-12分_検証用1_関数積算'!B23</f>
        <v>#REF!</v>
      </c>
      <c r="C23" s="31" t="e">
        <f aca="false">#REF!-'202208-12分_検証用1_関数積算'!C23</f>
        <v>#REF!</v>
      </c>
      <c r="D23" s="31" t="e">
        <f aca="false">#REF!-'202208-12分_検証用1_関数積算'!D23</f>
        <v>#REF!</v>
      </c>
      <c r="E23" s="87" t="e">
        <f aca="false">#REF!-'202208-12分_検証用1_関数積算'!E23</f>
        <v>#REF!</v>
      </c>
      <c r="F23" s="31" t="e">
        <f aca="false">#REF!-'202208-12分_検証用1_関数積算'!F23</f>
        <v>#REF!</v>
      </c>
      <c r="G23" s="31" t="e">
        <f aca="false">#REF!-'202208-12分_検証用1_関数積算'!G23</f>
        <v>#REF!</v>
      </c>
      <c r="H23" s="31" t="e">
        <f aca="false">#REF!-'202208-12分_検証用1_関数積算'!H23</f>
        <v>#REF!</v>
      </c>
      <c r="I23" s="87" t="e">
        <f aca="false">#REF!-'202208-12分_検証用1_関数積算'!I23</f>
        <v>#REF!</v>
      </c>
      <c r="J23" s="31" t="e">
        <f aca="false">#REF!-'202208-12分_検証用1_関数積算'!J23</f>
        <v>#REF!</v>
      </c>
      <c r="K23" s="31" t="e">
        <f aca="false">#REF!-'202208-12分_検証用1_関数積算'!K23</f>
        <v>#REF!</v>
      </c>
      <c r="L23" s="31" t="e">
        <f aca="false">#REF!-'202208-12分_検証用1_関数積算'!L23</f>
        <v>#REF!</v>
      </c>
      <c r="M23" s="87" t="e">
        <f aca="false">#REF!-'202208-12分_検証用1_関数積算'!M23</f>
        <v>#REF!</v>
      </c>
      <c r="N23" s="31" t="e">
        <f aca="false">#REF!-'202208-12分_検証用1_関数積算'!N23</f>
        <v>#REF!</v>
      </c>
      <c r="O23" s="31" t="e">
        <f aca="false">#REF!-'202208-12分_検証用1_関数積算'!O23</f>
        <v>#REF!</v>
      </c>
      <c r="P23" s="31" t="e">
        <f aca="false">#REF!-'202208-12分_検証用1_関数積算'!P23</f>
        <v>#REF!</v>
      </c>
      <c r="Q23" s="87" t="e">
        <f aca="false">#REF!-'202208-12分_検証用1_関数積算'!Q23</f>
        <v>#REF!</v>
      </c>
      <c r="R23" s="31" t="e">
        <f aca="false">#REF!-'202208-12分_検証用1_関数積算'!R23</f>
        <v>#REF!</v>
      </c>
      <c r="S23" s="31" t="e">
        <f aca="false">#REF!-'202208-12分_検証用1_関数積算'!S23</f>
        <v>#REF!</v>
      </c>
      <c r="T23" s="31" t="e">
        <f aca="false">#REF!-'202208-12分_検証用1_関数積算'!T23</f>
        <v>#REF!</v>
      </c>
      <c r="U23" s="87" t="e">
        <f aca="false">#REF!-'202208-12分_検証用1_関数積算'!U23</f>
        <v>#REF!</v>
      </c>
    </row>
    <row r="24" customFormat="false" ht="15.75" hidden="false" customHeight="true" outlineLevel="0" collapsed="false">
      <c r="A24" s="86" t="s">
        <v>50</v>
      </c>
      <c r="B24" s="31" t="e">
        <f aca="false">#REF!-'202208-12分_検証用1_関数積算'!B24</f>
        <v>#REF!</v>
      </c>
      <c r="C24" s="31" t="e">
        <f aca="false">#REF!-'202208-12分_検証用1_関数積算'!C24</f>
        <v>#REF!</v>
      </c>
      <c r="D24" s="31" t="e">
        <f aca="false">#REF!-'202208-12分_検証用1_関数積算'!D24</f>
        <v>#REF!</v>
      </c>
      <c r="E24" s="87" t="e">
        <f aca="false">#REF!-'202208-12分_検証用1_関数積算'!E24</f>
        <v>#REF!</v>
      </c>
      <c r="F24" s="31" t="e">
        <f aca="false">#REF!-'202208-12分_検証用1_関数積算'!F24</f>
        <v>#REF!</v>
      </c>
      <c r="G24" s="31" t="e">
        <f aca="false">#REF!-'202208-12分_検証用1_関数積算'!G24</f>
        <v>#REF!</v>
      </c>
      <c r="H24" s="31" t="e">
        <f aca="false">#REF!-'202208-12分_検証用1_関数積算'!H24</f>
        <v>#REF!</v>
      </c>
      <c r="I24" s="87" t="e">
        <f aca="false">#REF!-'202208-12分_検証用1_関数積算'!I24</f>
        <v>#REF!</v>
      </c>
      <c r="J24" s="31" t="e">
        <f aca="false">#REF!-'202208-12分_検証用1_関数積算'!J24</f>
        <v>#REF!</v>
      </c>
      <c r="K24" s="31" t="e">
        <f aca="false">#REF!-'202208-12分_検証用1_関数積算'!K24</f>
        <v>#REF!</v>
      </c>
      <c r="L24" s="31" t="e">
        <f aca="false">#REF!-'202208-12分_検証用1_関数積算'!L24</f>
        <v>#REF!</v>
      </c>
      <c r="M24" s="87" t="e">
        <f aca="false">#REF!-'202208-12分_検証用1_関数積算'!M24</f>
        <v>#REF!</v>
      </c>
      <c r="N24" s="31" t="e">
        <f aca="false">#REF!-'202208-12分_検証用1_関数積算'!N24</f>
        <v>#REF!</v>
      </c>
      <c r="O24" s="31" t="e">
        <f aca="false">#REF!-'202208-12分_検証用1_関数積算'!O24</f>
        <v>#REF!</v>
      </c>
      <c r="P24" s="31" t="e">
        <f aca="false">#REF!-'202208-12分_検証用1_関数積算'!P24</f>
        <v>#REF!</v>
      </c>
      <c r="Q24" s="87" t="e">
        <f aca="false">#REF!-'202208-12分_検証用1_関数積算'!Q24</f>
        <v>#REF!</v>
      </c>
      <c r="R24" s="31" t="e">
        <f aca="false">#REF!-'202208-12分_検証用1_関数積算'!R24</f>
        <v>#REF!</v>
      </c>
      <c r="S24" s="31" t="e">
        <f aca="false">#REF!-'202208-12分_検証用1_関数積算'!S24</f>
        <v>#REF!</v>
      </c>
      <c r="T24" s="31" t="e">
        <f aca="false">#REF!-'202208-12分_検証用1_関数積算'!T24</f>
        <v>#REF!</v>
      </c>
      <c r="U24" s="87" t="e">
        <f aca="false">#REF!-'202208-12分_検証用1_関数積算'!U24</f>
        <v>#REF!</v>
      </c>
    </row>
    <row r="25" customFormat="false" ht="15.75" hidden="false" customHeight="true" outlineLevel="0" collapsed="false">
      <c r="A25" s="86" t="s">
        <v>51</v>
      </c>
      <c r="B25" s="31" t="e">
        <f aca="false">#REF!-'202208-12分_検証用1_関数積算'!B25</f>
        <v>#REF!</v>
      </c>
      <c r="C25" s="31" t="e">
        <f aca="false">#REF!-'202208-12分_検証用1_関数積算'!C25</f>
        <v>#REF!</v>
      </c>
      <c r="D25" s="31" t="e">
        <f aca="false">#REF!-'202208-12分_検証用1_関数積算'!D25</f>
        <v>#REF!</v>
      </c>
      <c r="E25" s="87" t="e">
        <f aca="false">#REF!-'202208-12分_検証用1_関数積算'!E25</f>
        <v>#REF!</v>
      </c>
      <c r="F25" s="31" t="e">
        <f aca="false">#REF!-'202208-12分_検証用1_関数積算'!F25</f>
        <v>#REF!</v>
      </c>
      <c r="G25" s="31" t="e">
        <f aca="false">#REF!-'202208-12分_検証用1_関数積算'!G25</f>
        <v>#REF!</v>
      </c>
      <c r="H25" s="31" t="e">
        <f aca="false">#REF!-'202208-12分_検証用1_関数積算'!H25</f>
        <v>#REF!</v>
      </c>
      <c r="I25" s="87" t="e">
        <f aca="false">#REF!-'202208-12分_検証用1_関数積算'!I25</f>
        <v>#REF!</v>
      </c>
      <c r="J25" s="31" t="e">
        <f aca="false">#REF!-'202208-12分_検証用1_関数積算'!J25</f>
        <v>#REF!</v>
      </c>
      <c r="K25" s="31" t="e">
        <f aca="false">#REF!-'202208-12分_検証用1_関数積算'!K25</f>
        <v>#REF!</v>
      </c>
      <c r="L25" s="31" t="e">
        <f aca="false">#REF!-'202208-12分_検証用1_関数積算'!L25</f>
        <v>#REF!</v>
      </c>
      <c r="M25" s="87" t="e">
        <f aca="false">#REF!-'202208-12分_検証用1_関数積算'!M25</f>
        <v>#REF!</v>
      </c>
      <c r="N25" s="31" t="e">
        <f aca="false">#REF!-'202208-12分_検証用1_関数積算'!N25</f>
        <v>#REF!</v>
      </c>
      <c r="O25" s="31" t="e">
        <f aca="false">#REF!-'202208-12分_検証用1_関数積算'!O25</f>
        <v>#REF!</v>
      </c>
      <c r="P25" s="31" t="e">
        <f aca="false">#REF!-'202208-12分_検証用1_関数積算'!P25</f>
        <v>#REF!</v>
      </c>
      <c r="Q25" s="87" t="e">
        <f aca="false">#REF!-'202208-12分_検証用1_関数積算'!Q25</f>
        <v>#REF!</v>
      </c>
      <c r="R25" s="31" t="e">
        <f aca="false">#REF!-'202208-12分_検証用1_関数積算'!R25</f>
        <v>#REF!</v>
      </c>
      <c r="S25" s="31" t="e">
        <f aca="false">#REF!-'202208-12分_検証用1_関数積算'!S25</f>
        <v>#REF!</v>
      </c>
      <c r="T25" s="31" t="e">
        <f aca="false">#REF!-'202208-12分_検証用1_関数積算'!T25</f>
        <v>#REF!</v>
      </c>
      <c r="U25" s="87" t="e">
        <f aca="false">#REF!-'202208-12分_検証用1_関数積算'!U25</f>
        <v>#REF!</v>
      </c>
    </row>
    <row r="26" customFormat="false" ht="15.75" hidden="false" customHeight="true" outlineLevel="0" collapsed="false">
      <c r="A26" s="86" t="s">
        <v>52</v>
      </c>
      <c r="B26" s="31" t="e">
        <f aca="false">#REF!-'202208-12分_検証用1_関数積算'!B26</f>
        <v>#REF!</v>
      </c>
      <c r="C26" s="31" t="e">
        <f aca="false">#REF!-'202208-12分_検証用1_関数積算'!C26</f>
        <v>#REF!</v>
      </c>
      <c r="D26" s="31" t="e">
        <f aca="false">#REF!-'202208-12分_検証用1_関数積算'!D26</f>
        <v>#REF!</v>
      </c>
      <c r="E26" s="87" t="e">
        <f aca="false">#REF!-'202208-12分_検証用1_関数積算'!E26</f>
        <v>#REF!</v>
      </c>
      <c r="F26" s="31" t="e">
        <f aca="false">#REF!-'202208-12分_検証用1_関数積算'!F26</f>
        <v>#REF!</v>
      </c>
      <c r="G26" s="31" t="e">
        <f aca="false">#REF!-'202208-12分_検証用1_関数積算'!G26</f>
        <v>#REF!</v>
      </c>
      <c r="H26" s="31" t="e">
        <f aca="false">#REF!-'202208-12分_検証用1_関数積算'!H26</f>
        <v>#REF!</v>
      </c>
      <c r="I26" s="87" t="e">
        <f aca="false">#REF!-'202208-12分_検証用1_関数積算'!I26</f>
        <v>#REF!</v>
      </c>
      <c r="J26" s="31" t="e">
        <f aca="false">#REF!-'202208-12分_検証用1_関数積算'!J26</f>
        <v>#REF!</v>
      </c>
      <c r="K26" s="31" t="e">
        <f aca="false">#REF!-'202208-12分_検証用1_関数積算'!K26</f>
        <v>#REF!</v>
      </c>
      <c r="L26" s="31" t="e">
        <f aca="false">#REF!-'202208-12分_検証用1_関数積算'!L26</f>
        <v>#REF!</v>
      </c>
      <c r="M26" s="87" t="e">
        <f aca="false">#REF!-'202208-12分_検証用1_関数積算'!M26</f>
        <v>#REF!</v>
      </c>
      <c r="N26" s="31" t="e">
        <f aca="false">#REF!-'202208-12分_検証用1_関数積算'!N26</f>
        <v>#REF!</v>
      </c>
      <c r="O26" s="31" t="e">
        <f aca="false">#REF!-'202208-12分_検証用1_関数積算'!O26</f>
        <v>#REF!</v>
      </c>
      <c r="P26" s="31" t="e">
        <f aca="false">#REF!-'202208-12分_検証用1_関数積算'!P26</f>
        <v>#REF!</v>
      </c>
      <c r="Q26" s="87" t="e">
        <f aca="false">#REF!-'202208-12分_検証用1_関数積算'!Q26</f>
        <v>#REF!</v>
      </c>
      <c r="R26" s="31" t="e">
        <f aca="false">#REF!-'202208-12分_検証用1_関数積算'!R26</f>
        <v>#REF!</v>
      </c>
      <c r="S26" s="31" t="e">
        <f aca="false">#REF!-'202208-12分_検証用1_関数積算'!S26</f>
        <v>#REF!</v>
      </c>
      <c r="T26" s="31" t="e">
        <f aca="false">#REF!-'202208-12分_検証用1_関数積算'!T26</f>
        <v>#REF!</v>
      </c>
      <c r="U26" s="87" t="e">
        <f aca="false">#REF!-'202208-12分_検証用1_関数積算'!U26</f>
        <v>#REF!</v>
      </c>
    </row>
    <row r="27" customFormat="false" ht="15.75" hidden="false" customHeight="true" outlineLevel="0" collapsed="false">
      <c r="A27" s="86" t="s">
        <v>53</v>
      </c>
      <c r="B27" s="31" t="e">
        <f aca="false">#REF!-'202208-12分_検証用1_関数積算'!B27</f>
        <v>#REF!</v>
      </c>
      <c r="C27" s="31" t="e">
        <f aca="false">#REF!-'202208-12分_検証用1_関数積算'!C27</f>
        <v>#REF!</v>
      </c>
      <c r="D27" s="31" t="e">
        <f aca="false">#REF!-'202208-12分_検証用1_関数積算'!D27</f>
        <v>#REF!</v>
      </c>
      <c r="E27" s="87" t="e">
        <f aca="false">#REF!-'202208-12分_検証用1_関数積算'!E27</f>
        <v>#REF!</v>
      </c>
      <c r="F27" s="31" t="e">
        <f aca="false">#REF!-'202208-12分_検証用1_関数積算'!F27</f>
        <v>#REF!</v>
      </c>
      <c r="G27" s="31" t="e">
        <f aca="false">#REF!-'202208-12分_検証用1_関数積算'!G27</f>
        <v>#REF!</v>
      </c>
      <c r="H27" s="31" t="e">
        <f aca="false">#REF!-'202208-12分_検証用1_関数積算'!H27</f>
        <v>#REF!</v>
      </c>
      <c r="I27" s="87" t="e">
        <f aca="false">#REF!-'202208-12分_検証用1_関数積算'!I27</f>
        <v>#REF!</v>
      </c>
      <c r="J27" s="31" t="e">
        <f aca="false">#REF!-'202208-12分_検証用1_関数積算'!J27</f>
        <v>#REF!</v>
      </c>
      <c r="K27" s="31" t="e">
        <f aca="false">#REF!-'202208-12分_検証用1_関数積算'!K27</f>
        <v>#REF!</v>
      </c>
      <c r="L27" s="31" t="e">
        <f aca="false">#REF!-'202208-12分_検証用1_関数積算'!L27</f>
        <v>#REF!</v>
      </c>
      <c r="M27" s="87" t="e">
        <f aca="false">#REF!-'202208-12分_検証用1_関数積算'!M27</f>
        <v>#REF!</v>
      </c>
      <c r="N27" s="31" t="e">
        <f aca="false">#REF!-'202208-12分_検証用1_関数積算'!N27</f>
        <v>#REF!</v>
      </c>
      <c r="O27" s="31" t="e">
        <f aca="false">#REF!-'202208-12分_検証用1_関数積算'!O27</f>
        <v>#REF!</v>
      </c>
      <c r="P27" s="31" t="e">
        <f aca="false">#REF!-'202208-12分_検証用1_関数積算'!P27</f>
        <v>#REF!</v>
      </c>
      <c r="Q27" s="87" t="e">
        <f aca="false">#REF!-'202208-12分_検証用1_関数積算'!Q27</f>
        <v>#REF!</v>
      </c>
      <c r="R27" s="31" t="e">
        <f aca="false">#REF!-'202208-12分_検証用1_関数積算'!R27</f>
        <v>#REF!</v>
      </c>
      <c r="S27" s="31" t="e">
        <f aca="false">#REF!-'202208-12分_検証用1_関数積算'!S27</f>
        <v>#REF!</v>
      </c>
      <c r="T27" s="31" t="e">
        <f aca="false">#REF!-'202208-12分_検証用1_関数積算'!T27</f>
        <v>#REF!</v>
      </c>
      <c r="U27" s="87" t="e">
        <f aca="false">#REF!-'202208-12分_検証用1_関数積算'!U27</f>
        <v>#REF!</v>
      </c>
    </row>
    <row r="28" customFormat="false" ht="15.75" hidden="false" customHeight="true" outlineLevel="0" collapsed="false">
      <c r="A28" s="86" t="s">
        <v>54</v>
      </c>
      <c r="B28" s="31" t="e">
        <f aca="false">#REF!-'202208-12分_検証用1_関数積算'!B28</f>
        <v>#REF!</v>
      </c>
      <c r="C28" s="31" t="e">
        <f aca="false">#REF!-'202208-12分_検証用1_関数積算'!C28</f>
        <v>#REF!</v>
      </c>
      <c r="D28" s="31" t="e">
        <f aca="false">#REF!-'202208-12分_検証用1_関数積算'!D28</f>
        <v>#REF!</v>
      </c>
      <c r="E28" s="87" t="e">
        <f aca="false">#REF!-'202208-12分_検証用1_関数積算'!E28</f>
        <v>#REF!</v>
      </c>
      <c r="F28" s="31" t="e">
        <f aca="false">#REF!-'202208-12分_検証用1_関数積算'!F28</f>
        <v>#REF!</v>
      </c>
      <c r="G28" s="31" t="e">
        <f aca="false">#REF!-'202208-12分_検証用1_関数積算'!G28</f>
        <v>#REF!</v>
      </c>
      <c r="H28" s="31" t="e">
        <f aca="false">#REF!-'202208-12分_検証用1_関数積算'!H28</f>
        <v>#REF!</v>
      </c>
      <c r="I28" s="87" t="e">
        <f aca="false">#REF!-'202208-12分_検証用1_関数積算'!I28</f>
        <v>#REF!</v>
      </c>
      <c r="J28" s="31" t="e">
        <f aca="false">#REF!-'202208-12分_検証用1_関数積算'!J28</f>
        <v>#REF!</v>
      </c>
      <c r="K28" s="31" t="e">
        <f aca="false">#REF!-'202208-12分_検証用1_関数積算'!K28</f>
        <v>#REF!</v>
      </c>
      <c r="L28" s="31" t="e">
        <f aca="false">#REF!-'202208-12分_検証用1_関数積算'!L28</f>
        <v>#REF!</v>
      </c>
      <c r="M28" s="87" t="e">
        <f aca="false">#REF!-'202208-12分_検証用1_関数積算'!M28</f>
        <v>#REF!</v>
      </c>
      <c r="N28" s="31" t="e">
        <f aca="false">#REF!-'202208-12分_検証用1_関数積算'!N28</f>
        <v>#REF!</v>
      </c>
      <c r="O28" s="31" t="e">
        <f aca="false">#REF!-'202208-12分_検証用1_関数積算'!O28</f>
        <v>#REF!</v>
      </c>
      <c r="P28" s="31" t="e">
        <f aca="false">#REF!-'202208-12分_検証用1_関数積算'!P28</f>
        <v>#REF!</v>
      </c>
      <c r="Q28" s="87" t="e">
        <f aca="false">#REF!-'202208-12分_検証用1_関数積算'!Q28</f>
        <v>#REF!</v>
      </c>
      <c r="R28" s="31" t="e">
        <f aca="false">#REF!-'202208-12分_検証用1_関数積算'!R28</f>
        <v>#REF!</v>
      </c>
      <c r="S28" s="31" t="e">
        <f aca="false">#REF!-'202208-12分_検証用1_関数積算'!S28</f>
        <v>#REF!</v>
      </c>
      <c r="T28" s="31" t="e">
        <f aca="false">#REF!-'202208-12分_検証用1_関数積算'!T28</f>
        <v>#REF!</v>
      </c>
      <c r="U28" s="87" t="e">
        <f aca="false">#REF!-'202208-12分_検証用1_関数積算'!U28</f>
        <v>#REF!</v>
      </c>
    </row>
    <row r="29" customFormat="false" ht="15.75" hidden="false" customHeight="true" outlineLevel="0" collapsed="false">
      <c r="A29" s="86" t="s">
        <v>55</v>
      </c>
      <c r="B29" s="31" t="e">
        <f aca="false">#REF!-'202208-12分_検証用1_関数積算'!B29</f>
        <v>#REF!</v>
      </c>
      <c r="C29" s="31" t="e">
        <f aca="false">#REF!-'202208-12分_検証用1_関数積算'!C29</f>
        <v>#REF!</v>
      </c>
      <c r="D29" s="31" t="e">
        <f aca="false">#REF!-'202208-12分_検証用1_関数積算'!D29</f>
        <v>#REF!</v>
      </c>
      <c r="E29" s="87" t="e">
        <f aca="false">#REF!-'202208-12分_検証用1_関数積算'!E29</f>
        <v>#REF!</v>
      </c>
      <c r="F29" s="31" t="e">
        <f aca="false">#REF!-'202208-12分_検証用1_関数積算'!F29</f>
        <v>#REF!</v>
      </c>
      <c r="G29" s="31" t="e">
        <f aca="false">#REF!-'202208-12分_検証用1_関数積算'!G29</f>
        <v>#REF!</v>
      </c>
      <c r="H29" s="31" t="e">
        <f aca="false">#REF!-'202208-12分_検証用1_関数積算'!H29</f>
        <v>#REF!</v>
      </c>
      <c r="I29" s="87" t="e">
        <f aca="false">#REF!-'202208-12分_検証用1_関数積算'!I29</f>
        <v>#REF!</v>
      </c>
      <c r="J29" s="31" t="e">
        <f aca="false">#REF!-'202208-12分_検証用1_関数積算'!J29</f>
        <v>#REF!</v>
      </c>
      <c r="K29" s="31" t="e">
        <f aca="false">#REF!-'202208-12分_検証用1_関数積算'!K29</f>
        <v>#REF!</v>
      </c>
      <c r="L29" s="31" t="e">
        <f aca="false">#REF!-'202208-12分_検証用1_関数積算'!L29</f>
        <v>#REF!</v>
      </c>
      <c r="M29" s="87" t="e">
        <f aca="false">#REF!-'202208-12分_検証用1_関数積算'!M29</f>
        <v>#REF!</v>
      </c>
      <c r="N29" s="31" t="e">
        <f aca="false">#REF!-'202208-12分_検証用1_関数積算'!N29</f>
        <v>#REF!</v>
      </c>
      <c r="O29" s="31" t="e">
        <f aca="false">#REF!-'202208-12分_検証用1_関数積算'!O29</f>
        <v>#REF!</v>
      </c>
      <c r="P29" s="31" t="e">
        <f aca="false">#REF!-'202208-12分_検証用1_関数積算'!P29</f>
        <v>#REF!</v>
      </c>
      <c r="Q29" s="87" t="e">
        <f aca="false">#REF!-'202208-12分_検証用1_関数積算'!Q29</f>
        <v>#REF!</v>
      </c>
      <c r="R29" s="31" t="e">
        <f aca="false">#REF!-'202208-12分_検証用1_関数積算'!R29</f>
        <v>#REF!</v>
      </c>
      <c r="S29" s="31" t="e">
        <f aca="false">#REF!-'202208-12分_検証用1_関数積算'!S29</f>
        <v>#REF!</v>
      </c>
      <c r="T29" s="31" t="e">
        <f aca="false">#REF!-'202208-12分_検証用1_関数積算'!T29</f>
        <v>#REF!</v>
      </c>
      <c r="U29" s="87" t="e">
        <f aca="false">#REF!-'202208-12分_検証用1_関数積算'!U29</f>
        <v>#REF!</v>
      </c>
    </row>
    <row r="30" customFormat="false" ht="15.75" hidden="false" customHeight="true" outlineLevel="0" collapsed="false">
      <c r="A30" s="86" t="s">
        <v>56</v>
      </c>
      <c r="B30" s="31" t="e">
        <f aca="false">#REF!-'202208-12分_検証用1_関数積算'!B30</f>
        <v>#REF!</v>
      </c>
      <c r="C30" s="31" t="e">
        <f aca="false">#REF!-'202208-12分_検証用1_関数積算'!C30</f>
        <v>#REF!</v>
      </c>
      <c r="D30" s="31" t="e">
        <f aca="false">#REF!-'202208-12分_検証用1_関数積算'!D30</f>
        <v>#REF!</v>
      </c>
      <c r="E30" s="87" t="e">
        <f aca="false">#REF!-'202208-12分_検証用1_関数積算'!E30</f>
        <v>#REF!</v>
      </c>
      <c r="F30" s="31" t="e">
        <f aca="false">#REF!-'202208-12分_検証用1_関数積算'!F30</f>
        <v>#REF!</v>
      </c>
      <c r="G30" s="31" t="e">
        <f aca="false">#REF!-'202208-12分_検証用1_関数積算'!G30</f>
        <v>#REF!</v>
      </c>
      <c r="H30" s="31" t="e">
        <f aca="false">#REF!-'202208-12分_検証用1_関数積算'!H30</f>
        <v>#REF!</v>
      </c>
      <c r="I30" s="87" t="e">
        <f aca="false">#REF!-'202208-12分_検証用1_関数積算'!I30</f>
        <v>#REF!</v>
      </c>
      <c r="J30" s="31" t="e">
        <f aca="false">#REF!-'202208-12分_検証用1_関数積算'!J30</f>
        <v>#REF!</v>
      </c>
      <c r="K30" s="31" t="e">
        <f aca="false">#REF!-'202208-12分_検証用1_関数積算'!K30</f>
        <v>#REF!</v>
      </c>
      <c r="L30" s="31" t="e">
        <f aca="false">#REF!-'202208-12分_検証用1_関数積算'!L30</f>
        <v>#REF!</v>
      </c>
      <c r="M30" s="87" t="e">
        <f aca="false">#REF!-'202208-12分_検証用1_関数積算'!M30</f>
        <v>#REF!</v>
      </c>
      <c r="N30" s="31" t="e">
        <f aca="false">#REF!-'202208-12分_検証用1_関数積算'!N30</f>
        <v>#REF!</v>
      </c>
      <c r="O30" s="31" t="e">
        <f aca="false">#REF!-'202208-12分_検証用1_関数積算'!O30</f>
        <v>#REF!</v>
      </c>
      <c r="P30" s="31" t="e">
        <f aca="false">#REF!-'202208-12分_検証用1_関数積算'!P30</f>
        <v>#REF!</v>
      </c>
      <c r="Q30" s="87" t="e">
        <f aca="false">#REF!-'202208-12分_検証用1_関数積算'!Q30</f>
        <v>#REF!</v>
      </c>
      <c r="R30" s="31" t="e">
        <f aca="false">#REF!-'202208-12分_検証用1_関数積算'!R30</f>
        <v>#REF!</v>
      </c>
      <c r="S30" s="31" t="e">
        <f aca="false">#REF!-'202208-12分_検証用1_関数積算'!S30</f>
        <v>#REF!</v>
      </c>
      <c r="T30" s="31" t="e">
        <f aca="false">#REF!-'202208-12分_検証用1_関数積算'!T30</f>
        <v>#REF!</v>
      </c>
      <c r="U30" s="87" t="e">
        <f aca="false">#REF!-'202208-12分_検証用1_関数積算'!U30</f>
        <v>#REF!</v>
      </c>
    </row>
    <row r="31" customFormat="false" ht="15.75" hidden="false" customHeight="true" outlineLevel="0" collapsed="false">
      <c r="A31" s="86" t="s">
        <v>58</v>
      </c>
      <c r="B31" s="31" t="e">
        <f aca="false">#REF!-'202208-12分_検証用1_関数積算'!B31</f>
        <v>#REF!</v>
      </c>
      <c r="C31" s="31" t="e">
        <f aca="false">#REF!-'202208-12分_検証用1_関数積算'!C31</f>
        <v>#REF!</v>
      </c>
      <c r="D31" s="31" t="e">
        <f aca="false">#REF!-'202208-12分_検証用1_関数積算'!D31</f>
        <v>#REF!</v>
      </c>
      <c r="E31" s="87" t="e">
        <f aca="false">#REF!-'202208-12分_検証用1_関数積算'!E31</f>
        <v>#REF!</v>
      </c>
      <c r="F31" s="31" t="e">
        <f aca="false">#REF!-'202208-12分_検証用1_関数積算'!F31</f>
        <v>#REF!</v>
      </c>
      <c r="G31" s="31" t="e">
        <f aca="false">#REF!-'202208-12分_検証用1_関数積算'!G31</f>
        <v>#REF!</v>
      </c>
      <c r="H31" s="31" t="e">
        <f aca="false">#REF!-'202208-12分_検証用1_関数積算'!H31</f>
        <v>#REF!</v>
      </c>
      <c r="I31" s="87" t="e">
        <f aca="false">#REF!-'202208-12分_検証用1_関数積算'!I31</f>
        <v>#REF!</v>
      </c>
      <c r="J31" s="31" t="e">
        <f aca="false">#REF!-'202208-12分_検証用1_関数積算'!J31</f>
        <v>#REF!</v>
      </c>
      <c r="K31" s="31" t="e">
        <f aca="false">#REF!-'202208-12分_検証用1_関数積算'!K31</f>
        <v>#REF!</v>
      </c>
      <c r="L31" s="31" t="e">
        <f aca="false">#REF!-'202208-12分_検証用1_関数積算'!L31</f>
        <v>#REF!</v>
      </c>
      <c r="M31" s="87" t="e">
        <f aca="false">#REF!-'202208-12分_検証用1_関数積算'!M31</f>
        <v>#REF!</v>
      </c>
      <c r="N31" s="31" t="e">
        <f aca="false">#REF!-'202208-12分_検証用1_関数積算'!N31</f>
        <v>#REF!</v>
      </c>
      <c r="O31" s="31" t="e">
        <f aca="false">#REF!-'202208-12分_検証用1_関数積算'!O31</f>
        <v>#REF!</v>
      </c>
      <c r="P31" s="31" t="e">
        <f aca="false">#REF!-'202208-12分_検証用1_関数積算'!P31</f>
        <v>#REF!</v>
      </c>
      <c r="Q31" s="87" t="e">
        <f aca="false">#REF!-'202208-12分_検証用1_関数積算'!Q31</f>
        <v>#REF!</v>
      </c>
      <c r="R31" s="31" t="e">
        <f aca="false">#REF!-'202208-12分_検証用1_関数積算'!R31</f>
        <v>#REF!</v>
      </c>
      <c r="S31" s="31" t="e">
        <f aca="false">#REF!-'202208-12分_検証用1_関数積算'!S31</f>
        <v>#REF!</v>
      </c>
      <c r="T31" s="31" t="e">
        <f aca="false">#REF!-'202208-12分_検証用1_関数積算'!T31</f>
        <v>#REF!</v>
      </c>
      <c r="U31" s="87" t="e">
        <f aca="false">#REF!-'202208-12分_検証用1_関数積算'!U31</f>
        <v>#REF!</v>
      </c>
    </row>
    <row r="32" customFormat="false" ht="15.75" hidden="false" customHeight="true" outlineLevel="0" collapsed="false">
      <c r="A32" s="86" t="s">
        <v>60</v>
      </c>
      <c r="B32" s="31" t="e">
        <f aca="false">#REF!-'202208-12分_検証用1_関数積算'!B32</f>
        <v>#REF!</v>
      </c>
      <c r="C32" s="31" t="e">
        <f aca="false">#REF!-'202208-12分_検証用1_関数積算'!C32</f>
        <v>#REF!</v>
      </c>
      <c r="D32" s="31" t="e">
        <f aca="false">#REF!-'202208-12分_検証用1_関数積算'!D32</f>
        <v>#REF!</v>
      </c>
      <c r="E32" s="87" t="e">
        <f aca="false">#REF!-'202208-12分_検証用1_関数積算'!E32</f>
        <v>#REF!</v>
      </c>
      <c r="F32" s="31" t="e">
        <f aca="false">#REF!-'202208-12分_検証用1_関数積算'!F32</f>
        <v>#REF!</v>
      </c>
      <c r="G32" s="31" t="e">
        <f aca="false">#REF!-'202208-12分_検証用1_関数積算'!G32</f>
        <v>#REF!</v>
      </c>
      <c r="H32" s="31" t="e">
        <f aca="false">#REF!-'202208-12分_検証用1_関数積算'!H32</f>
        <v>#REF!</v>
      </c>
      <c r="I32" s="87" t="e">
        <f aca="false">#REF!-'202208-12分_検証用1_関数積算'!I32</f>
        <v>#REF!</v>
      </c>
      <c r="J32" s="31" t="e">
        <f aca="false">#REF!-'202208-12分_検証用1_関数積算'!J32</f>
        <v>#REF!</v>
      </c>
      <c r="K32" s="31" t="e">
        <f aca="false">#REF!-'202208-12分_検証用1_関数積算'!K32</f>
        <v>#REF!</v>
      </c>
      <c r="L32" s="31" t="e">
        <f aca="false">#REF!-'202208-12分_検証用1_関数積算'!L32</f>
        <v>#REF!</v>
      </c>
      <c r="M32" s="87" t="e">
        <f aca="false">#REF!-'202208-12分_検証用1_関数積算'!M32</f>
        <v>#REF!</v>
      </c>
      <c r="N32" s="31" t="e">
        <f aca="false">#REF!-'202208-12分_検証用1_関数積算'!N32</f>
        <v>#REF!</v>
      </c>
      <c r="O32" s="31" t="e">
        <f aca="false">#REF!-'202208-12分_検証用1_関数積算'!O32</f>
        <v>#REF!</v>
      </c>
      <c r="P32" s="31" t="e">
        <f aca="false">#REF!-'202208-12分_検証用1_関数積算'!P32</f>
        <v>#REF!</v>
      </c>
      <c r="Q32" s="87" t="e">
        <f aca="false">#REF!-'202208-12分_検証用1_関数積算'!Q32</f>
        <v>#REF!</v>
      </c>
      <c r="R32" s="31" t="e">
        <f aca="false">#REF!-'202208-12分_検証用1_関数積算'!R32</f>
        <v>#REF!</v>
      </c>
      <c r="S32" s="31" t="e">
        <f aca="false">#REF!-'202208-12分_検証用1_関数積算'!S32</f>
        <v>#REF!</v>
      </c>
      <c r="T32" s="31" t="e">
        <f aca="false">#REF!-'202208-12分_検証用1_関数積算'!T32</f>
        <v>#REF!</v>
      </c>
      <c r="U32" s="87" t="e">
        <f aca="false">#REF!-'202208-12分_検証用1_関数積算'!U32</f>
        <v>#REF!</v>
      </c>
    </row>
    <row r="33" customFormat="false" ht="15.75" hidden="false" customHeight="true" outlineLevel="0" collapsed="false">
      <c r="A33" s="86" t="s">
        <v>61</v>
      </c>
      <c r="B33" s="31" t="e">
        <f aca="false">#REF!-'202208-12分_検証用1_関数積算'!B33</f>
        <v>#REF!</v>
      </c>
      <c r="C33" s="31" t="e">
        <f aca="false">#REF!-'202208-12分_検証用1_関数積算'!C33</f>
        <v>#REF!</v>
      </c>
      <c r="D33" s="31" t="e">
        <f aca="false">#REF!-'202208-12分_検証用1_関数積算'!D33</f>
        <v>#REF!</v>
      </c>
      <c r="E33" s="87" t="e">
        <f aca="false">#REF!-'202208-12分_検証用1_関数積算'!E33</f>
        <v>#REF!</v>
      </c>
      <c r="F33" s="31" t="e">
        <f aca="false">#REF!-'202208-12分_検証用1_関数積算'!F33</f>
        <v>#REF!</v>
      </c>
      <c r="G33" s="31" t="e">
        <f aca="false">#REF!-'202208-12分_検証用1_関数積算'!G33</f>
        <v>#REF!</v>
      </c>
      <c r="H33" s="31" t="e">
        <f aca="false">#REF!-'202208-12分_検証用1_関数積算'!H33</f>
        <v>#REF!</v>
      </c>
      <c r="I33" s="87" t="e">
        <f aca="false">#REF!-'202208-12分_検証用1_関数積算'!I33</f>
        <v>#REF!</v>
      </c>
      <c r="J33" s="31" t="e">
        <f aca="false">#REF!-'202208-12分_検証用1_関数積算'!J33</f>
        <v>#REF!</v>
      </c>
      <c r="K33" s="31" t="e">
        <f aca="false">#REF!-'202208-12分_検証用1_関数積算'!K33</f>
        <v>#REF!</v>
      </c>
      <c r="L33" s="31" t="e">
        <f aca="false">#REF!-'202208-12分_検証用1_関数積算'!L33</f>
        <v>#REF!</v>
      </c>
      <c r="M33" s="87" t="e">
        <f aca="false">#REF!-'202208-12分_検証用1_関数積算'!M33</f>
        <v>#REF!</v>
      </c>
      <c r="N33" s="31" t="e">
        <f aca="false">#REF!-'202208-12分_検証用1_関数積算'!N33</f>
        <v>#REF!</v>
      </c>
      <c r="O33" s="31" t="e">
        <f aca="false">#REF!-'202208-12分_検証用1_関数積算'!O33</f>
        <v>#REF!</v>
      </c>
      <c r="P33" s="31" t="e">
        <f aca="false">#REF!-'202208-12分_検証用1_関数積算'!P33</f>
        <v>#REF!</v>
      </c>
      <c r="Q33" s="87" t="e">
        <f aca="false">#REF!-'202208-12分_検証用1_関数積算'!Q33</f>
        <v>#REF!</v>
      </c>
      <c r="R33" s="31" t="e">
        <f aca="false">#REF!-'202208-12分_検証用1_関数積算'!R33</f>
        <v>#REF!</v>
      </c>
      <c r="S33" s="31" t="e">
        <f aca="false">#REF!-'202208-12分_検証用1_関数積算'!S33</f>
        <v>#REF!</v>
      </c>
      <c r="T33" s="31" t="e">
        <f aca="false">#REF!-'202208-12分_検証用1_関数積算'!T33</f>
        <v>#REF!</v>
      </c>
      <c r="U33" s="87" t="e">
        <f aca="false">#REF!-'202208-12分_検証用1_関数積算'!U33</f>
        <v>#REF!</v>
      </c>
    </row>
    <row r="34" customFormat="false" ht="15.75" hidden="false" customHeight="true" outlineLevel="0" collapsed="false">
      <c r="A34" s="86" t="s">
        <v>62</v>
      </c>
      <c r="B34" s="31" t="e">
        <f aca="false">#REF!-'202208-12分_検証用1_関数積算'!B34</f>
        <v>#REF!</v>
      </c>
      <c r="C34" s="31" t="e">
        <f aca="false">#REF!-'202208-12分_検証用1_関数積算'!C34</f>
        <v>#REF!</v>
      </c>
      <c r="D34" s="31" t="e">
        <f aca="false">#REF!-'202208-12分_検証用1_関数積算'!D34</f>
        <v>#REF!</v>
      </c>
      <c r="E34" s="87" t="e">
        <f aca="false">#REF!-'202208-12分_検証用1_関数積算'!E34</f>
        <v>#REF!</v>
      </c>
      <c r="F34" s="31" t="e">
        <f aca="false">#REF!-'202208-12分_検証用1_関数積算'!F34</f>
        <v>#REF!</v>
      </c>
      <c r="G34" s="31" t="e">
        <f aca="false">#REF!-'202208-12分_検証用1_関数積算'!G34</f>
        <v>#REF!</v>
      </c>
      <c r="H34" s="31" t="e">
        <f aca="false">#REF!-'202208-12分_検証用1_関数積算'!H34</f>
        <v>#REF!</v>
      </c>
      <c r="I34" s="87" t="e">
        <f aca="false">#REF!-'202208-12分_検証用1_関数積算'!I34</f>
        <v>#REF!</v>
      </c>
      <c r="J34" s="31" t="e">
        <f aca="false">#REF!-'202208-12分_検証用1_関数積算'!J34</f>
        <v>#REF!</v>
      </c>
      <c r="K34" s="31" t="e">
        <f aca="false">#REF!-'202208-12分_検証用1_関数積算'!K34</f>
        <v>#REF!</v>
      </c>
      <c r="L34" s="31" t="e">
        <f aca="false">#REF!-'202208-12分_検証用1_関数積算'!L34</f>
        <v>#REF!</v>
      </c>
      <c r="M34" s="87" t="e">
        <f aca="false">#REF!-'202208-12分_検証用1_関数積算'!M34</f>
        <v>#REF!</v>
      </c>
      <c r="N34" s="31" t="e">
        <f aca="false">#REF!-'202208-12分_検証用1_関数積算'!N34</f>
        <v>#REF!</v>
      </c>
      <c r="O34" s="31" t="e">
        <f aca="false">#REF!-'202208-12分_検証用1_関数積算'!O34</f>
        <v>#REF!</v>
      </c>
      <c r="P34" s="31" t="e">
        <f aca="false">#REF!-'202208-12分_検証用1_関数積算'!P34</f>
        <v>#REF!</v>
      </c>
      <c r="Q34" s="87" t="e">
        <f aca="false">#REF!-'202208-12分_検証用1_関数積算'!Q34</f>
        <v>#REF!</v>
      </c>
      <c r="R34" s="31" t="e">
        <f aca="false">#REF!-'202208-12分_検証用1_関数積算'!R34</f>
        <v>#REF!</v>
      </c>
      <c r="S34" s="31" t="e">
        <f aca="false">#REF!-'202208-12分_検証用1_関数積算'!S34</f>
        <v>#REF!</v>
      </c>
      <c r="T34" s="31" t="e">
        <f aca="false">#REF!-'202208-12分_検証用1_関数積算'!T34</f>
        <v>#REF!</v>
      </c>
      <c r="U34" s="87" t="e">
        <f aca="false">#REF!-'202208-12分_検証用1_関数積算'!U34</f>
        <v>#REF!</v>
      </c>
    </row>
    <row r="35" customFormat="false" ht="15.75" hidden="false" customHeight="true" outlineLevel="0" collapsed="false">
      <c r="A35" s="86" t="s">
        <v>63</v>
      </c>
      <c r="B35" s="31" t="e">
        <f aca="false">#REF!-'202208-12分_検証用1_関数積算'!B35</f>
        <v>#REF!</v>
      </c>
      <c r="C35" s="31" t="e">
        <f aca="false">#REF!-'202208-12分_検証用1_関数積算'!C35</f>
        <v>#REF!</v>
      </c>
      <c r="D35" s="31" t="e">
        <f aca="false">#REF!-'202208-12分_検証用1_関数積算'!D35</f>
        <v>#REF!</v>
      </c>
      <c r="E35" s="87" t="e">
        <f aca="false">#REF!-'202208-12分_検証用1_関数積算'!E35</f>
        <v>#REF!</v>
      </c>
      <c r="F35" s="31" t="e">
        <f aca="false">#REF!-'202208-12分_検証用1_関数積算'!F35</f>
        <v>#REF!</v>
      </c>
      <c r="G35" s="31" t="e">
        <f aca="false">#REF!-'202208-12分_検証用1_関数積算'!G35</f>
        <v>#REF!</v>
      </c>
      <c r="H35" s="31" t="e">
        <f aca="false">#REF!-'202208-12分_検証用1_関数積算'!H35</f>
        <v>#REF!</v>
      </c>
      <c r="I35" s="87" t="e">
        <f aca="false">#REF!-'202208-12分_検証用1_関数積算'!I35</f>
        <v>#REF!</v>
      </c>
      <c r="J35" s="31" t="e">
        <f aca="false">#REF!-'202208-12分_検証用1_関数積算'!J35</f>
        <v>#REF!</v>
      </c>
      <c r="K35" s="31" t="e">
        <f aca="false">#REF!-'202208-12分_検証用1_関数積算'!K35</f>
        <v>#REF!</v>
      </c>
      <c r="L35" s="31" t="e">
        <f aca="false">#REF!-'202208-12分_検証用1_関数積算'!L35</f>
        <v>#REF!</v>
      </c>
      <c r="M35" s="87" t="e">
        <f aca="false">#REF!-'202208-12分_検証用1_関数積算'!M35</f>
        <v>#REF!</v>
      </c>
      <c r="N35" s="31" t="e">
        <f aca="false">#REF!-'202208-12分_検証用1_関数積算'!N35</f>
        <v>#REF!</v>
      </c>
      <c r="O35" s="31" t="e">
        <f aca="false">#REF!-'202208-12分_検証用1_関数積算'!O35</f>
        <v>#REF!</v>
      </c>
      <c r="P35" s="31" t="e">
        <f aca="false">#REF!-'202208-12分_検証用1_関数積算'!P35</f>
        <v>#REF!</v>
      </c>
      <c r="Q35" s="87" t="e">
        <f aca="false">#REF!-'202208-12分_検証用1_関数積算'!Q35</f>
        <v>#REF!</v>
      </c>
      <c r="R35" s="31" t="e">
        <f aca="false">#REF!-'202208-12分_検証用1_関数積算'!R35</f>
        <v>#REF!</v>
      </c>
      <c r="S35" s="31" t="e">
        <f aca="false">#REF!-'202208-12分_検証用1_関数積算'!S35</f>
        <v>#REF!</v>
      </c>
      <c r="T35" s="31" t="e">
        <f aca="false">#REF!-'202208-12分_検証用1_関数積算'!T35</f>
        <v>#REF!</v>
      </c>
      <c r="U35" s="87" t="e">
        <f aca="false">#REF!-'202208-12分_検証用1_関数積算'!U35</f>
        <v>#REF!</v>
      </c>
    </row>
    <row r="36" customFormat="false" ht="15.75" hidden="false" customHeight="true" outlineLevel="0" collapsed="false">
      <c r="A36" s="86" t="s">
        <v>64</v>
      </c>
      <c r="B36" s="31" t="e">
        <f aca="false">#REF!-'202208-12分_検証用1_関数積算'!B36</f>
        <v>#REF!</v>
      </c>
      <c r="C36" s="31" t="e">
        <f aca="false">#REF!-'202208-12分_検証用1_関数積算'!C36</f>
        <v>#REF!</v>
      </c>
      <c r="D36" s="31" t="e">
        <f aca="false">#REF!-'202208-12分_検証用1_関数積算'!D36</f>
        <v>#REF!</v>
      </c>
      <c r="E36" s="87" t="e">
        <f aca="false">#REF!-'202208-12分_検証用1_関数積算'!E36</f>
        <v>#REF!</v>
      </c>
      <c r="F36" s="31" t="e">
        <f aca="false">#REF!-'202208-12分_検証用1_関数積算'!F36</f>
        <v>#REF!</v>
      </c>
      <c r="G36" s="31" t="e">
        <f aca="false">#REF!-'202208-12分_検証用1_関数積算'!G36</f>
        <v>#REF!</v>
      </c>
      <c r="H36" s="31" t="e">
        <f aca="false">#REF!-'202208-12分_検証用1_関数積算'!H36</f>
        <v>#REF!</v>
      </c>
      <c r="I36" s="87" t="e">
        <f aca="false">#REF!-'202208-12分_検証用1_関数積算'!I36</f>
        <v>#REF!</v>
      </c>
      <c r="J36" s="31" t="e">
        <f aca="false">#REF!-'202208-12分_検証用1_関数積算'!J36</f>
        <v>#REF!</v>
      </c>
      <c r="K36" s="31" t="e">
        <f aca="false">#REF!-'202208-12分_検証用1_関数積算'!K36</f>
        <v>#REF!</v>
      </c>
      <c r="L36" s="31" t="e">
        <f aca="false">#REF!-'202208-12分_検証用1_関数積算'!L36</f>
        <v>#REF!</v>
      </c>
      <c r="M36" s="87" t="e">
        <f aca="false">#REF!-'202208-12分_検証用1_関数積算'!M36</f>
        <v>#REF!</v>
      </c>
      <c r="N36" s="31" t="e">
        <f aca="false">#REF!-'202208-12分_検証用1_関数積算'!N36</f>
        <v>#REF!</v>
      </c>
      <c r="O36" s="31" t="e">
        <f aca="false">#REF!-'202208-12分_検証用1_関数積算'!O36</f>
        <v>#REF!</v>
      </c>
      <c r="P36" s="31" t="e">
        <f aca="false">#REF!-'202208-12分_検証用1_関数積算'!P36</f>
        <v>#REF!</v>
      </c>
      <c r="Q36" s="87" t="e">
        <f aca="false">#REF!-'202208-12分_検証用1_関数積算'!Q36</f>
        <v>#REF!</v>
      </c>
      <c r="R36" s="31" t="e">
        <f aca="false">#REF!-'202208-12分_検証用1_関数積算'!R36</f>
        <v>#REF!</v>
      </c>
      <c r="S36" s="31" t="e">
        <f aca="false">#REF!-'202208-12分_検証用1_関数積算'!S36</f>
        <v>#REF!</v>
      </c>
      <c r="T36" s="31" t="e">
        <f aca="false">#REF!-'202208-12分_検証用1_関数積算'!T36</f>
        <v>#REF!</v>
      </c>
      <c r="U36" s="87" t="e">
        <f aca="false">#REF!-'202208-12分_検証用1_関数積算'!U36</f>
        <v>#REF!</v>
      </c>
    </row>
    <row r="37" customFormat="false" ht="15.75" hidden="false" customHeight="true" outlineLevel="0" collapsed="false">
      <c r="A37" s="86" t="s">
        <v>65</v>
      </c>
      <c r="B37" s="31" t="e">
        <f aca="false">#REF!-'202208-12分_検証用1_関数積算'!B37</f>
        <v>#REF!</v>
      </c>
      <c r="C37" s="31" t="e">
        <f aca="false">#REF!-'202208-12分_検証用1_関数積算'!C37</f>
        <v>#REF!</v>
      </c>
      <c r="D37" s="31" t="e">
        <f aca="false">#REF!-'202208-12分_検証用1_関数積算'!D37</f>
        <v>#REF!</v>
      </c>
      <c r="E37" s="87" t="e">
        <f aca="false">#REF!-'202208-12分_検証用1_関数積算'!E37</f>
        <v>#REF!</v>
      </c>
      <c r="F37" s="31" t="e">
        <f aca="false">#REF!-'202208-12分_検証用1_関数積算'!F37</f>
        <v>#REF!</v>
      </c>
      <c r="G37" s="31" t="e">
        <f aca="false">#REF!-'202208-12分_検証用1_関数積算'!G37</f>
        <v>#REF!</v>
      </c>
      <c r="H37" s="31" t="e">
        <f aca="false">#REF!-'202208-12分_検証用1_関数積算'!H37</f>
        <v>#REF!</v>
      </c>
      <c r="I37" s="87" t="e">
        <f aca="false">#REF!-'202208-12分_検証用1_関数積算'!I37</f>
        <v>#REF!</v>
      </c>
      <c r="J37" s="31" t="e">
        <f aca="false">#REF!-'202208-12分_検証用1_関数積算'!J37</f>
        <v>#REF!</v>
      </c>
      <c r="K37" s="31" t="e">
        <f aca="false">#REF!-'202208-12分_検証用1_関数積算'!K37</f>
        <v>#REF!</v>
      </c>
      <c r="L37" s="31" t="e">
        <f aca="false">#REF!-'202208-12分_検証用1_関数積算'!L37</f>
        <v>#REF!</v>
      </c>
      <c r="M37" s="87" t="e">
        <f aca="false">#REF!-'202208-12分_検証用1_関数積算'!M37</f>
        <v>#REF!</v>
      </c>
      <c r="N37" s="31" t="e">
        <f aca="false">#REF!-'202208-12分_検証用1_関数積算'!N37</f>
        <v>#REF!</v>
      </c>
      <c r="O37" s="31" t="e">
        <f aca="false">#REF!-'202208-12分_検証用1_関数積算'!O37</f>
        <v>#REF!</v>
      </c>
      <c r="P37" s="31" t="e">
        <f aca="false">#REF!-'202208-12分_検証用1_関数積算'!P37</f>
        <v>#REF!</v>
      </c>
      <c r="Q37" s="87" t="e">
        <f aca="false">#REF!-'202208-12分_検証用1_関数積算'!Q37</f>
        <v>#REF!</v>
      </c>
      <c r="R37" s="31" t="e">
        <f aca="false">#REF!-'202208-12分_検証用1_関数積算'!R37</f>
        <v>#REF!</v>
      </c>
      <c r="S37" s="31" t="e">
        <f aca="false">#REF!-'202208-12分_検証用1_関数積算'!S37</f>
        <v>#REF!</v>
      </c>
      <c r="T37" s="31" t="e">
        <f aca="false">#REF!-'202208-12分_検証用1_関数積算'!T37</f>
        <v>#REF!</v>
      </c>
      <c r="U37" s="87" t="e">
        <f aca="false">#REF!-'202208-12分_検証用1_関数積算'!U37</f>
        <v>#REF!</v>
      </c>
    </row>
    <row r="38" customFormat="false" ht="15.75" hidden="false" customHeight="true" outlineLevel="0" collapsed="false">
      <c r="A38" s="86" t="s">
        <v>70</v>
      </c>
      <c r="B38" s="31" t="e">
        <f aca="false">#REF!-'202208-12分_検証用1_関数積算'!B38</f>
        <v>#REF!</v>
      </c>
      <c r="C38" s="31" t="e">
        <f aca="false">#REF!-'202208-12分_検証用1_関数積算'!C38</f>
        <v>#REF!</v>
      </c>
      <c r="D38" s="31" t="e">
        <f aca="false">#REF!-'202208-12分_検証用1_関数積算'!D38</f>
        <v>#REF!</v>
      </c>
      <c r="E38" s="87" t="e">
        <f aca="false">#REF!-'202208-12分_検証用1_関数積算'!E38</f>
        <v>#REF!</v>
      </c>
      <c r="F38" s="31" t="e">
        <f aca="false">#REF!-'202208-12分_検証用1_関数積算'!F38</f>
        <v>#REF!</v>
      </c>
      <c r="G38" s="31" t="e">
        <f aca="false">#REF!-'202208-12分_検証用1_関数積算'!G38</f>
        <v>#REF!</v>
      </c>
      <c r="H38" s="31" t="e">
        <f aca="false">#REF!-'202208-12分_検証用1_関数積算'!H38</f>
        <v>#REF!</v>
      </c>
      <c r="I38" s="87" t="e">
        <f aca="false">#REF!-'202208-12分_検証用1_関数積算'!I38</f>
        <v>#REF!</v>
      </c>
      <c r="J38" s="31" t="e">
        <f aca="false">#REF!-'202208-12分_検証用1_関数積算'!J38</f>
        <v>#REF!</v>
      </c>
      <c r="K38" s="31" t="e">
        <f aca="false">#REF!-'202208-12分_検証用1_関数積算'!K38</f>
        <v>#REF!</v>
      </c>
      <c r="L38" s="31" t="e">
        <f aca="false">#REF!-'202208-12分_検証用1_関数積算'!L38</f>
        <v>#REF!</v>
      </c>
      <c r="M38" s="87" t="e">
        <f aca="false">#REF!-'202208-12分_検証用1_関数積算'!M38</f>
        <v>#REF!</v>
      </c>
      <c r="N38" s="31" t="e">
        <f aca="false">#REF!-'202208-12分_検証用1_関数積算'!N38</f>
        <v>#REF!</v>
      </c>
      <c r="O38" s="31" t="e">
        <f aca="false">#REF!-'202208-12分_検証用1_関数積算'!O38</f>
        <v>#REF!</v>
      </c>
      <c r="P38" s="31" t="e">
        <f aca="false">#REF!-'202208-12分_検証用1_関数積算'!P38</f>
        <v>#REF!</v>
      </c>
      <c r="Q38" s="87" t="e">
        <f aca="false">#REF!-'202208-12分_検証用1_関数積算'!Q38</f>
        <v>#REF!</v>
      </c>
      <c r="R38" s="31" t="e">
        <f aca="false">#REF!-'202208-12分_検証用1_関数積算'!R38</f>
        <v>#REF!</v>
      </c>
      <c r="S38" s="31" t="e">
        <f aca="false">#REF!-'202208-12分_検証用1_関数積算'!S38</f>
        <v>#REF!</v>
      </c>
      <c r="T38" s="31" t="e">
        <f aca="false">#REF!-'202208-12分_検証用1_関数積算'!T38</f>
        <v>#REF!</v>
      </c>
      <c r="U38" s="87" t="e">
        <f aca="false">#REF!-'202208-12分_検証用1_関数積算'!U38</f>
        <v>#REF!</v>
      </c>
    </row>
    <row r="39" customFormat="false" ht="15.75" hidden="false" customHeight="true" outlineLevel="0" collapsed="false">
      <c r="A39" s="25" t="s">
        <v>71</v>
      </c>
      <c r="B39" s="31" t="e">
        <f aca="false">#REF!-'202208-12分_検証用1_関数積算'!B39</f>
        <v>#REF!</v>
      </c>
      <c r="C39" s="31" t="e">
        <f aca="false">#REF!-'202208-12分_検証用1_関数積算'!C39</f>
        <v>#REF!</v>
      </c>
      <c r="D39" s="31" t="e">
        <f aca="false">#REF!-'202208-12分_検証用1_関数積算'!D39</f>
        <v>#REF!</v>
      </c>
      <c r="E39" s="87" t="e">
        <f aca="false">#REF!-'202208-12分_検証用1_関数積算'!E39</f>
        <v>#REF!</v>
      </c>
      <c r="F39" s="31" t="e">
        <f aca="false">#REF!-'202208-12分_検証用1_関数積算'!F39</f>
        <v>#REF!</v>
      </c>
      <c r="G39" s="31" t="e">
        <f aca="false">#REF!-'202208-12分_検証用1_関数積算'!G39</f>
        <v>#REF!</v>
      </c>
      <c r="H39" s="31" t="e">
        <f aca="false">#REF!-'202208-12分_検証用1_関数積算'!H39</f>
        <v>#REF!</v>
      </c>
      <c r="I39" s="87" t="e">
        <f aca="false">#REF!-'202208-12分_検証用1_関数積算'!I39</f>
        <v>#REF!</v>
      </c>
      <c r="J39" s="31" t="e">
        <f aca="false">#REF!-'202208-12分_検証用1_関数積算'!J39</f>
        <v>#REF!</v>
      </c>
      <c r="K39" s="31" t="e">
        <f aca="false">#REF!-'202208-12分_検証用1_関数積算'!K39</f>
        <v>#REF!</v>
      </c>
      <c r="L39" s="31" t="e">
        <f aca="false">#REF!-'202208-12分_検証用1_関数積算'!L39</f>
        <v>#REF!</v>
      </c>
      <c r="M39" s="87" t="e">
        <f aca="false">#REF!-'202208-12分_検証用1_関数積算'!M39</f>
        <v>#REF!</v>
      </c>
      <c r="N39" s="31" t="e">
        <f aca="false">#REF!-'202208-12分_検証用1_関数積算'!N39</f>
        <v>#REF!</v>
      </c>
      <c r="O39" s="31" t="e">
        <f aca="false">#REF!-'202208-12分_検証用1_関数積算'!O39</f>
        <v>#REF!</v>
      </c>
      <c r="P39" s="31" t="e">
        <f aca="false">#REF!-'202208-12分_検証用1_関数積算'!P39</f>
        <v>#REF!</v>
      </c>
      <c r="Q39" s="87" t="e">
        <f aca="false">#REF!-'202208-12分_検証用1_関数積算'!Q39</f>
        <v>#REF!</v>
      </c>
      <c r="R39" s="31" t="e">
        <f aca="false">#REF!-'202208-12分_検証用1_関数積算'!R39</f>
        <v>#REF!</v>
      </c>
      <c r="S39" s="31" t="e">
        <f aca="false">#REF!-'202208-12分_検証用1_関数積算'!S39</f>
        <v>#REF!</v>
      </c>
      <c r="T39" s="31" t="e">
        <f aca="false">#REF!-'202208-12分_検証用1_関数積算'!T39</f>
        <v>#REF!</v>
      </c>
      <c r="U39" s="87" t="e">
        <f aca="false">#REF!-'202208-12分_検証用1_関数積算'!U39</f>
        <v>#REF!</v>
      </c>
    </row>
    <row r="40" customFormat="false" ht="15.75" hidden="false" customHeight="true" outlineLevel="0" collapsed="false">
      <c r="A40" s="25" t="s">
        <v>88</v>
      </c>
      <c r="B40" s="26" t="e">
        <f aca="false">#REF!-'202208-12分_検証用1_関数積算'!B40</f>
        <v>#REF!</v>
      </c>
      <c r="C40" s="26" t="e">
        <f aca="false">#REF!-'202208-12分_検証用1_関数積算'!C40</f>
        <v>#REF!</v>
      </c>
      <c r="D40" s="26" t="e">
        <f aca="false">#REF!-'202208-12分_検証用1_関数積算'!D40</f>
        <v>#REF!</v>
      </c>
      <c r="E40" s="85" t="e">
        <f aca="false">#REF!-'202208-12分_検証用1_関数積算'!E40</f>
        <v>#REF!</v>
      </c>
      <c r="F40" s="26" t="e">
        <f aca="false">#REF!-'202208-12分_検証用1_関数積算'!F40</f>
        <v>#REF!</v>
      </c>
      <c r="G40" s="26" t="e">
        <f aca="false">#REF!-'202208-12分_検証用1_関数積算'!G40</f>
        <v>#REF!</v>
      </c>
      <c r="H40" s="26" t="e">
        <f aca="false">#REF!-'202208-12分_検証用1_関数積算'!H40</f>
        <v>#REF!</v>
      </c>
      <c r="I40" s="85" t="e">
        <f aca="false">#REF!-'202208-12分_検証用1_関数積算'!I40</f>
        <v>#REF!</v>
      </c>
      <c r="J40" s="26" t="e">
        <f aca="false">#REF!-'202208-12分_検証用1_関数積算'!J40</f>
        <v>#REF!</v>
      </c>
      <c r="K40" s="26" t="e">
        <f aca="false">#REF!-'202208-12分_検証用1_関数積算'!K40</f>
        <v>#REF!</v>
      </c>
      <c r="L40" s="26" t="e">
        <f aca="false">#REF!-'202208-12分_検証用1_関数積算'!L40</f>
        <v>#REF!</v>
      </c>
      <c r="M40" s="85" t="e">
        <f aca="false">#REF!-'202208-12分_検証用1_関数積算'!M40</f>
        <v>#REF!</v>
      </c>
      <c r="N40" s="26" t="e">
        <f aca="false">#REF!-'202208-12分_検証用1_関数積算'!N40</f>
        <v>#REF!</v>
      </c>
      <c r="O40" s="26" t="e">
        <f aca="false">#REF!-'202208-12分_検証用1_関数積算'!O40</f>
        <v>#REF!</v>
      </c>
      <c r="P40" s="26" t="e">
        <f aca="false">#REF!-'202208-12分_検証用1_関数積算'!P40</f>
        <v>#REF!</v>
      </c>
      <c r="Q40" s="85" t="e">
        <f aca="false">#REF!-'202208-12分_検証用1_関数積算'!Q40</f>
        <v>#REF!</v>
      </c>
      <c r="R40" s="26" t="e">
        <f aca="false">#REF!-'202208-12分_検証用1_関数積算'!R40</f>
        <v>#REF!</v>
      </c>
      <c r="S40" s="26" t="e">
        <f aca="false">#REF!-'202208-12分_検証用1_関数積算'!S40</f>
        <v>#REF!</v>
      </c>
      <c r="T40" s="26" t="e">
        <f aca="false">#REF!-'202208-12分_検証用1_関数積算'!T40</f>
        <v>#REF!</v>
      </c>
      <c r="U40" s="85" t="e">
        <f aca="false">#REF!-'202208-12分_検証用1_関数積算'!U40</f>
        <v>#REF!</v>
      </c>
    </row>
    <row r="41" customFormat="false" ht="15.75" hidden="false" customHeight="true" outlineLevel="0" collapsed="false">
      <c r="A41" s="86" t="s">
        <v>89</v>
      </c>
      <c r="B41" s="31" t="e">
        <f aca="false">#REF!-'202208-12分_検証用1_関数積算'!B41</f>
        <v>#REF!</v>
      </c>
      <c r="C41" s="31" t="e">
        <f aca="false">#REF!-'202208-12分_検証用1_関数積算'!C41</f>
        <v>#REF!</v>
      </c>
      <c r="D41" s="31" t="e">
        <f aca="false">#REF!-'202208-12分_検証用1_関数積算'!D41</f>
        <v>#REF!</v>
      </c>
      <c r="E41" s="87" t="e">
        <f aca="false">#REF!-'202208-12分_検証用1_関数積算'!E41</f>
        <v>#REF!</v>
      </c>
      <c r="F41" s="31" t="e">
        <f aca="false">#REF!-'202208-12分_検証用1_関数積算'!F41</f>
        <v>#REF!</v>
      </c>
      <c r="G41" s="31" t="e">
        <f aca="false">#REF!-'202208-12分_検証用1_関数積算'!G41</f>
        <v>#REF!</v>
      </c>
      <c r="H41" s="31" t="e">
        <f aca="false">#REF!-'202208-12分_検証用1_関数積算'!H41</f>
        <v>#REF!</v>
      </c>
      <c r="I41" s="87" t="e">
        <f aca="false">#REF!-'202208-12分_検証用1_関数積算'!I41</f>
        <v>#REF!</v>
      </c>
      <c r="J41" s="31" t="e">
        <f aca="false">#REF!-'202208-12分_検証用1_関数積算'!J41</f>
        <v>#REF!</v>
      </c>
      <c r="K41" s="31" t="e">
        <f aca="false">#REF!-'202208-12分_検証用1_関数積算'!K41</f>
        <v>#REF!</v>
      </c>
      <c r="L41" s="31" t="e">
        <f aca="false">#REF!-'202208-12分_検証用1_関数積算'!L41</f>
        <v>#REF!</v>
      </c>
      <c r="M41" s="87" t="e">
        <f aca="false">#REF!-'202208-12分_検証用1_関数積算'!M41</f>
        <v>#REF!</v>
      </c>
      <c r="N41" s="31" t="e">
        <f aca="false">#REF!-'202208-12分_検証用1_関数積算'!N41</f>
        <v>#REF!</v>
      </c>
      <c r="O41" s="31" t="e">
        <f aca="false">#REF!-'202208-12分_検証用1_関数積算'!O41</f>
        <v>#REF!</v>
      </c>
      <c r="P41" s="31" t="e">
        <f aca="false">#REF!-'202208-12分_検証用1_関数積算'!P41</f>
        <v>#REF!</v>
      </c>
      <c r="Q41" s="87" t="e">
        <f aca="false">#REF!-'202208-12分_検証用1_関数積算'!Q41</f>
        <v>#REF!</v>
      </c>
      <c r="R41" s="31" t="e">
        <f aca="false">#REF!-'202208-12分_検証用1_関数積算'!R41</f>
        <v>#REF!</v>
      </c>
      <c r="S41" s="31" t="e">
        <f aca="false">#REF!-'202208-12分_検証用1_関数積算'!S41</f>
        <v>#REF!</v>
      </c>
      <c r="T41" s="31" t="e">
        <f aca="false">#REF!-'202208-12分_検証用1_関数積算'!T41</f>
        <v>#REF!</v>
      </c>
      <c r="U41" s="87" t="e">
        <f aca="false">#REF!-'202208-12分_検証用1_関数積算'!U41</f>
        <v>#REF!</v>
      </c>
    </row>
    <row r="42" customFormat="false" ht="15.75" hidden="false" customHeight="true" outlineLevel="0" collapsed="false">
      <c r="A42" s="86" t="s">
        <v>90</v>
      </c>
      <c r="B42" s="31" t="e">
        <f aca="false">#REF!-'202208-12分_検証用1_関数積算'!B42</f>
        <v>#REF!</v>
      </c>
      <c r="C42" s="31" t="e">
        <f aca="false">#REF!-'202208-12分_検証用1_関数積算'!C42</f>
        <v>#REF!</v>
      </c>
      <c r="D42" s="31" t="e">
        <f aca="false">#REF!-'202208-12分_検証用1_関数積算'!D42</f>
        <v>#REF!</v>
      </c>
      <c r="E42" s="87" t="e">
        <f aca="false">#REF!-'202208-12分_検証用1_関数積算'!E42</f>
        <v>#REF!</v>
      </c>
      <c r="F42" s="31" t="e">
        <f aca="false">#REF!-'202208-12分_検証用1_関数積算'!F42</f>
        <v>#REF!</v>
      </c>
      <c r="G42" s="31" t="e">
        <f aca="false">#REF!-'202208-12分_検証用1_関数積算'!G42</f>
        <v>#REF!</v>
      </c>
      <c r="H42" s="31" t="e">
        <f aca="false">#REF!-'202208-12分_検証用1_関数積算'!H42</f>
        <v>#REF!</v>
      </c>
      <c r="I42" s="87" t="e">
        <f aca="false">#REF!-'202208-12分_検証用1_関数積算'!I42</f>
        <v>#REF!</v>
      </c>
      <c r="J42" s="31" t="e">
        <f aca="false">#REF!-'202208-12分_検証用1_関数積算'!J42</f>
        <v>#REF!</v>
      </c>
      <c r="K42" s="31" t="e">
        <f aca="false">#REF!-'202208-12分_検証用1_関数積算'!K42</f>
        <v>#REF!</v>
      </c>
      <c r="L42" s="31" t="e">
        <f aca="false">#REF!-'202208-12分_検証用1_関数積算'!L42</f>
        <v>#REF!</v>
      </c>
      <c r="M42" s="87" t="e">
        <f aca="false">#REF!-'202208-12分_検証用1_関数積算'!M42</f>
        <v>#REF!</v>
      </c>
      <c r="N42" s="31" t="e">
        <f aca="false">#REF!-'202208-12分_検証用1_関数積算'!N42</f>
        <v>#REF!</v>
      </c>
      <c r="O42" s="31" t="e">
        <f aca="false">#REF!-'202208-12分_検証用1_関数積算'!O42</f>
        <v>#REF!</v>
      </c>
      <c r="P42" s="31" t="e">
        <f aca="false">#REF!-'202208-12分_検証用1_関数積算'!P42</f>
        <v>#REF!</v>
      </c>
      <c r="Q42" s="87" t="e">
        <f aca="false">#REF!-'202208-12分_検証用1_関数積算'!Q42</f>
        <v>#REF!</v>
      </c>
      <c r="R42" s="31" t="e">
        <f aca="false">#REF!-'202208-12分_検証用1_関数積算'!R42</f>
        <v>#REF!</v>
      </c>
      <c r="S42" s="31" t="e">
        <f aca="false">#REF!-'202208-12分_検証用1_関数積算'!S42</f>
        <v>#REF!</v>
      </c>
      <c r="T42" s="31" t="e">
        <f aca="false">#REF!-'202208-12分_検証用1_関数積算'!T42</f>
        <v>#REF!</v>
      </c>
      <c r="U42" s="87" t="e">
        <f aca="false">#REF!-'202208-12分_検証用1_関数積算'!U42</f>
        <v>#REF!</v>
      </c>
    </row>
    <row r="43" customFormat="false" ht="15.75" hidden="false" customHeight="true" outlineLevel="0" collapsed="false">
      <c r="A43" s="25" t="s">
        <v>91</v>
      </c>
      <c r="B43" s="26" t="e">
        <f aca="false">#REF!-'202208-12分_検証用1_関数積算'!B43</f>
        <v>#REF!</v>
      </c>
      <c r="C43" s="26" t="e">
        <f aca="false">#REF!-'202208-12分_検証用1_関数積算'!C43</f>
        <v>#REF!</v>
      </c>
      <c r="D43" s="26" t="e">
        <f aca="false">#REF!-'202208-12分_検証用1_関数積算'!D43</f>
        <v>#REF!</v>
      </c>
      <c r="E43" s="85" t="e">
        <f aca="false">#REF!-'202208-12分_検証用1_関数積算'!E43</f>
        <v>#REF!</v>
      </c>
      <c r="F43" s="26" t="e">
        <f aca="false">#REF!-'202208-12分_検証用1_関数積算'!F43</f>
        <v>#REF!</v>
      </c>
      <c r="G43" s="26" t="e">
        <f aca="false">#REF!-'202208-12分_検証用1_関数積算'!G43</f>
        <v>#REF!</v>
      </c>
      <c r="H43" s="26" t="e">
        <f aca="false">#REF!-'202208-12分_検証用1_関数積算'!H43</f>
        <v>#REF!</v>
      </c>
      <c r="I43" s="85" t="e">
        <f aca="false">#REF!-'202208-12分_検証用1_関数積算'!I43</f>
        <v>#REF!</v>
      </c>
      <c r="J43" s="26" t="e">
        <f aca="false">#REF!-'202208-12分_検証用1_関数積算'!J43</f>
        <v>#REF!</v>
      </c>
      <c r="K43" s="26" t="e">
        <f aca="false">#REF!-'202208-12分_検証用1_関数積算'!K43</f>
        <v>#REF!</v>
      </c>
      <c r="L43" s="26" t="e">
        <f aca="false">#REF!-'202208-12分_検証用1_関数積算'!L43</f>
        <v>#REF!</v>
      </c>
      <c r="M43" s="85" t="e">
        <f aca="false">#REF!-'202208-12分_検証用1_関数積算'!M43</f>
        <v>#REF!</v>
      </c>
      <c r="N43" s="26" t="e">
        <f aca="false">#REF!-'202208-12分_検証用1_関数積算'!N43</f>
        <v>#REF!</v>
      </c>
      <c r="O43" s="26" t="e">
        <f aca="false">#REF!-'202208-12分_検証用1_関数積算'!O43</f>
        <v>#REF!</v>
      </c>
      <c r="P43" s="26" t="e">
        <f aca="false">#REF!-'202208-12分_検証用1_関数積算'!P43</f>
        <v>#REF!</v>
      </c>
      <c r="Q43" s="85" t="e">
        <f aca="false">#REF!-'202208-12分_検証用1_関数積算'!Q43</f>
        <v>#REF!</v>
      </c>
      <c r="R43" s="26" t="e">
        <f aca="false">#REF!-'202208-12分_検証用1_関数積算'!R43</f>
        <v>#REF!</v>
      </c>
      <c r="S43" s="26" t="e">
        <f aca="false">#REF!-'202208-12分_検証用1_関数積算'!S43</f>
        <v>#REF!</v>
      </c>
      <c r="T43" s="26" t="e">
        <f aca="false">#REF!-'202208-12分_検証用1_関数積算'!T43</f>
        <v>#REF!</v>
      </c>
      <c r="U43" s="85" t="e">
        <f aca="false">#REF!-'202208-12分_検証用1_関数積算'!U43</f>
        <v>#REF!</v>
      </c>
    </row>
    <row r="44" customFormat="false" ht="15.75" hidden="false" customHeight="true" outlineLevel="0" collapsed="false">
      <c r="A44" s="86" t="s">
        <v>92</v>
      </c>
      <c r="B44" s="31" t="e">
        <f aca="false">#REF!-'202208-12分_検証用1_関数積算'!B44</f>
        <v>#REF!</v>
      </c>
      <c r="C44" s="31" t="e">
        <f aca="false">#REF!-'202208-12分_検証用1_関数積算'!C44</f>
        <v>#REF!</v>
      </c>
      <c r="D44" s="31" t="e">
        <f aca="false">#REF!-'202208-12分_検証用1_関数積算'!D44</f>
        <v>#REF!</v>
      </c>
      <c r="E44" s="87" t="e">
        <f aca="false">#REF!-'202208-12分_検証用1_関数積算'!E44</f>
        <v>#REF!</v>
      </c>
      <c r="F44" s="31" t="e">
        <f aca="false">#REF!-'202208-12分_検証用1_関数積算'!F44</f>
        <v>#REF!</v>
      </c>
      <c r="G44" s="31" t="e">
        <f aca="false">#REF!-'202208-12分_検証用1_関数積算'!G44</f>
        <v>#REF!</v>
      </c>
      <c r="H44" s="31" t="e">
        <f aca="false">#REF!-'202208-12分_検証用1_関数積算'!H44</f>
        <v>#REF!</v>
      </c>
      <c r="I44" s="87" t="e">
        <f aca="false">#REF!-'202208-12分_検証用1_関数積算'!I44</f>
        <v>#REF!</v>
      </c>
      <c r="J44" s="31" t="e">
        <f aca="false">#REF!-'202208-12分_検証用1_関数積算'!J44</f>
        <v>#REF!</v>
      </c>
      <c r="K44" s="31" t="e">
        <f aca="false">#REF!-'202208-12分_検証用1_関数積算'!K44</f>
        <v>#REF!</v>
      </c>
      <c r="L44" s="31" t="e">
        <f aca="false">#REF!-'202208-12分_検証用1_関数積算'!L44</f>
        <v>#REF!</v>
      </c>
      <c r="M44" s="87" t="e">
        <f aca="false">#REF!-'202208-12分_検証用1_関数積算'!M44</f>
        <v>#REF!</v>
      </c>
      <c r="N44" s="31" t="e">
        <f aca="false">#REF!-'202208-12分_検証用1_関数積算'!N44</f>
        <v>#REF!</v>
      </c>
      <c r="O44" s="31" t="e">
        <f aca="false">#REF!-'202208-12分_検証用1_関数積算'!O44</f>
        <v>#REF!</v>
      </c>
      <c r="P44" s="31" t="e">
        <f aca="false">#REF!-'202208-12分_検証用1_関数積算'!P44</f>
        <v>#REF!</v>
      </c>
      <c r="Q44" s="87" t="e">
        <f aca="false">#REF!-'202208-12分_検証用1_関数積算'!Q44</f>
        <v>#REF!</v>
      </c>
      <c r="R44" s="31" t="e">
        <f aca="false">#REF!-'202208-12分_検証用1_関数積算'!R44</f>
        <v>#REF!</v>
      </c>
      <c r="S44" s="31" t="e">
        <f aca="false">#REF!-'202208-12分_検証用1_関数積算'!S44</f>
        <v>#REF!</v>
      </c>
      <c r="T44" s="31" t="e">
        <f aca="false">#REF!-'202208-12分_検証用1_関数積算'!T44</f>
        <v>#REF!</v>
      </c>
      <c r="U44" s="87" t="e">
        <f aca="false">#REF!-'202208-12分_検証用1_関数積算'!U44</f>
        <v>#REF!</v>
      </c>
    </row>
    <row r="45" customFormat="false" ht="15.75" hidden="false" customHeight="true" outlineLevel="0" collapsed="false">
      <c r="A45" s="86" t="s">
        <v>93</v>
      </c>
      <c r="B45" s="31" t="e">
        <f aca="false">#REF!-'202208-12分_検証用1_関数積算'!B45</f>
        <v>#REF!</v>
      </c>
      <c r="C45" s="31" t="e">
        <f aca="false">#REF!-'202208-12分_検証用1_関数積算'!C45</f>
        <v>#REF!</v>
      </c>
      <c r="D45" s="31" t="e">
        <f aca="false">#REF!-'202208-12分_検証用1_関数積算'!D45</f>
        <v>#REF!</v>
      </c>
      <c r="E45" s="87" t="e">
        <f aca="false">#REF!-'202208-12分_検証用1_関数積算'!E45</f>
        <v>#REF!</v>
      </c>
      <c r="F45" s="31" t="e">
        <f aca="false">#REF!-'202208-12分_検証用1_関数積算'!F45</f>
        <v>#REF!</v>
      </c>
      <c r="G45" s="31" t="e">
        <f aca="false">#REF!-'202208-12分_検証用1_関数積算'!G45</f>
        <v>#REF!</v>
      </c>
      <c r="H45" s="31" t="e">
        <f aca="false">#REF!-'202208-12分_検証用1_関数積算'!H45</f>
        <v>#REF!</v>
      </c>
      <c r="I45" s="87" t="e">
        <f aca="false">#REF!-'202208-12分_検証用1_関数積算'!I45</f>
        <v>#REF!</v>
      </c>
      <c r="J45" s="31" t="e">
        <f aca="false">#REF!-'202208-12分_検証用1_関数積算'!J45</f>
        <v>#REF!</v>
      </c>
      <c r="K45" s="31" t="e">
        <f aca="false">#REF!-'202208-12分_検証用1_関数積算'!K45</f>
        <v>#REF!</v>
      </c>
      <c r="L45" s="31" t="e">
        <f aca="false">#REF!-'202208-12分_検証用1_関数積算'!L45</f>
        <v>#REF!</v>
      </c>
      <c r="M45" s="87" t="e">
        <f aca="false">#REF!-'202208-12分_検証用1_関数積算'!M45</f>
        <v>#REF!</v>
      </c>
      <c r="N45" s="31" t="e">
        <f aca="false">#REF!-'202208-12分_検証用1_関数積算'!N45</f>
        <v>#REF!</v>
      </c>
      <c r="O45" s="31" t="e">
        <f aca="false">#REF!-'202208-12分_検証用1_関数積算'!O45</f>
        <v>#REF!</v>
      </c>
      <c r="P45" s="31" t="e">
        <f aca="false">#REF!-'202208-12分_検証用1_関数積算'!P45</f>
        <v>#REF!</v>
      </c>
      <c r="Q45" s="87" t="e">
        <f aca="false">#REF!-'202208-12分_検証用1_関数積算'!Q45</f>
        <v>#REF!</v>
      </c>
      <c r="R45" s="31" t="e">
        <f aca="false">#REF!-'202208-12分_検証用1_関数積算'!R45</f>
        <v>#REF!</v>
      </c>
      <c r="S45" s="31" t="e">
        <f aca="false">#REF!-'202208-12分_検証用1_関数積算'!S45</f>
        <v>#REF!</v>
      </c>
      <c r="T45" s="31" t="e">
        <f aca="false">#REF!-'202208-12分_検証用1_関数積算'!T45</f>
        <v>#REF!</v>
      </c>
      <c r="U45" s="87" t="e">
        <f aca="false">#REF!-'202208-12分_検証用1_関数積算'!U45</f>
        <v>#REF!</v>
      </c>
    </row>
    <row r="46" customFormat="false" ht="15.75" hidden="false" customHeight="true" outlineLevel="0" collapsed="false">
      <c r="A46" s="25" t="s">
        <v>94</v>
      </c>
      <c r="B46" s="26" t="e">
        <f aca="false">#REF!-'202208-12分_検証用1_関数積算'!B46</f>
        <v>#REF!</v>
      </c>
      <c r="C46" s="26" t="e">
        <f aca="false">#REF!-'202208-12分_検証用1_関数積算'!C46</f>
        <v>#REF!</v>
      </c>
      <c r="D46" s="26" t="e">
        <f aca="false">#REF!-'202208-12分_検証用1_関数積算'!D46</f>
        <v>#REF!</v>
      </c>
      <c r="E46" s="85" t="e">
        <f aca="false">#REF!-'202208-12分_検証用1_関数積算'!E46</f>
        <v>#REF!</v>
      </c>
      <c r="F46" s="26" t="e">
        <f aca="false">#REF!-'202208-12分_検証用1_関数積算'!F46</f>
        <v>#REF!</v>
      </c>
      <c r="G46" s="26" t="e">
        <f aca="false">#REF!-'202208-12分_検証用1_関数積算'!G46</f>
        <v>#REF!</v>
      </c>
      <c r="H46" s="26" t="e">
        <f aca="false">#REF!-'202208-12分_検証用1_関数積算'!H46</f>
        <v>#REF!</v>
      </c>
      <c r="I46" s="85" t="e">
        <f aca="false">#REF!-'202208-12分_検証用1_関数積算'!I46</f>
        <v>#REF!</v>
      </c>
      <c r="J46" s="26" t="e">
        <f aca="false">#REF!-'202208-12分_検証用1_関数積算'!J46</f>
        <v>#REF!</v>
      </c>
      <c r="K46" s="26" t="e">
        <f aca="false">#REF!-'202208-12分_検証用1_関数積算'!K46</f>
        <v>#REF!</v>
      </c>
      <c r="L46" s="26" t="e">
        <f aca="false">#REF!-'202208-12分_検証用1_関数積算'!L46</f>
        <v>#REF!</v>
      </c>
      <c r="M46" s="85" t="e">
        <f aca="false">#REF!-'202208-12分_検証用1_関数積算'!M46</f>
        <v>#REF!</v>
      </c>
      <c r="N46" s="26" t="e">
        <f aca="false">#REF!-'202208-12分_検証用1_関数積算'!N46</f>
        <v>#REF!</v>
      </c>
      <c r="O46" s="26" t="e">
        <f aca="false">#REF!-'202208-12分_検証用1_関数積算'!O46</f>
        <v>#REF!</v>
      </c>
      <c r="P46" s="26" t="e">
        <f aca="false">#REF!-'202208-12分_検証用1_関数積算'!P46</f>
        <v>#REF!</v>
      </c>
      <c r="Q46" s="85" t="e">
        <f aca="false">#REF!-'202208-12分_検証用1_関数積算'!Q46</f>
        <v>#REF!</v>
      </c>
      <c r="R46" s="26" t="e">
        <f aca="false">#REF!-'202208-12分_検証用1_関数積算'!R46</f>
        <v>#REF!</v>
      </c>
      <c r="S46" s="26" t="e">
        <f aca="false">#REF!-'202208-12分_検証用1_関数積算'!S46</f>
        <v>#REF!</v>
      </c>
      <c r="T46" s="26" t="e">
        <f aca="false">#REF!-'202208-12分_検証用1_関数積算'!T46</f>
        <v>#REF!</v>
      </c>
      <c r="U46" s="85" t="e">
        <f aca="false">#REF!-'202208-12分_検証用1_関数積算'!U46</f>
        <v>#REF!</v>
      </c>
    </row>
    <row r="47" customFormat="false" ht="15.75" hidden="false" customHeight="true" outlineLevel="0" collapsed="false">
      <c r="A47" s="25" t="s">
        <v>95</v>
      </c>
      <c r="B47" s="26" t="e">
        <f aca="false">#REF!-'202208-12分_検証用1_関数積算'!B47</f>
        <v>#REF!</v>
      </c>
      <c r="C47" s="26" t="e">
        <f aca="false">#REF!-'202208-12分_検証用1_関数積算'!C47</f>
        <v>#REF!</v>
      </c>
      <c r="D47" s="26" t="e">
        <f aca="false">#REF!-'202208-12分_検証用1_関数積算'!D47</f>
        <v>#REF!</v>
      </c>
      <c r="E47" s="85" t="e">
        <f aca="false">#REF!-'202208-12分_検証用1_関数積算'!E47</f>
        <v>#REF!</v>
      </c>
      <c r="F47" s="26" t="e">
        <f aca="false">#REF!-'202208-12分_検証用1_関数積算'!F47</f>
        <v>#REF!</v>
      </c>
      <c r="G47" s="26" t="e">
        <f aca="false">#REF!-'202208-12分_検証用1_関数積算'!G47</f>
        <v>#REF!</v>
      </c>
      <c r="H47" s="26" t="e">
        <f aca="false">#REF!-'202208-12分_検証用1_関数積算'!H47</f>
        <v>#REF!</v>
      </c>
      <c r="I47" s="85" t="e">
        <f aca="false">#REF!-'202208-12分_検証用1_関数積算'!I47</f>
        <v>#REF!</v>
      </c>
      <c r="J47" s="26" t="e">
        <f aca="false">#REF!-'202208-12分_検証用1_関数積算'!J47</f>
        <v>#REF!</v>
      </c>
      <c r="K47" s="26" t="e">
        <f aca="false">#REF!-'202208-12分_検証用1_関数積算'!K47</f>
        <v>#REF!</v>
      </c>
      <c r="L47" s="26" t="e">
        <f aca="false">#REF!-'202208-12分_検証用1_関数積算'!L47</f>
        <v>#REF!</v>
      </c>
      <c r="M47" s="85" t="e">
        <f aca="false">#REF!-'202208-12分_検証用1_関数積算'!M47</f>
        <v>#REF!</v>
      </c>
      <c r="N47" s="26" t="e">
        <f aca="false">#REF!-'202208-12分_検証用1_関数積算'!N47</f>
        <v>#REF!</v>
      </c>
      <c r="O47" s="26" t="e">
        <f aca="false">#REF!-'202208-12分_検証用1_関数積算'!O47</f>
        <v>#REF!</v>
      </c>
      <c r="P47" s="26" t="e">
        <f aca="false">#REF!-'202208-12分_検証用1_関数積算'!P47</f>
        <v>#REF!</v>
      </c>
      <c r="Q47" s="85" t="e">
        <f aca="false">#REF!-'202208-12分_検証用1_関数積算'!Q47</f>
        <v>#REF!</v>
      </c>
      <c r="R47" s="26" t="e">
        <f aca="false">#REF!-'202208-12分_検証用1_関数積算'!R47</f>
        <v>#REF!</v>
      </c>
      <c r="S47" s="26" t="e">
        <f aca="false">#REF!-'202208-12分_検証用1_関数積算'!S47</f>
        <v>#REF!</v>
      </c>
      <c r="T47" s="26" t="e">
        <f aca="false">#REF!-'202208-12分_検証用1_関数積算'!T47</f>
        <v>#REF!</v>
      </c>
      <c r="U47" s="85" t="e">
        <f aca="false">#REF!-'202208-12分_検証用1_関数積算'!U47</f>
        <v>#REF!</v>
      </c>
    </row>
    <row r="48" customFormat="false" ht="15.75" hidden="false" customHeight="true" outlineLevel="0" collapsed="false">
      <c r="A48" s="25" t="s">
        <v>96</v>
      </c>
      <c r="B48" s="26" t="e">
        <f aca="false">#REF!-'202208-12分_検証用1_関数積算'!B48</f>
        <v>#REF!</v>
      </c>
      <c r="C48" s="26" t="e">
        <f aca="false">#REF!-'202208-12分_検証用1_関数積算'!C48</f>
        <v>#REF!</v>
      </c>
      <c r="D48" s="26" t="e">
        <f aca="false">#REF!-'202208-12分_検証用1_関数積算'!D48</f>
        <v>#REF!</v>
      </c>
      <c r="E48" s="85" t="e">
        <f aca="false">#REF!-'202208-12分_検証用1_関数積算'!E48</f>
        <v>#REF!</v>
      </c>
      <c r="F48" s="26" t="e">
        <f aca="false">#REF!-'202208-12分_検証用1_関数積算'!F48</f>
        <v>#REF!</v>
      </c>
      <c r="G48" s="26" t="e">
        <f aca="false">#REF!-'202208-12分_検証用1_関数積算'!G48</f>
        <v>#REF!</v>
      </c>
      <c r="H48" s="26" t="e">
        <f aca="false">#REF!-'202208-12分_検証用1_関数積算'!H48</f>
        <v>#REF!</v>
      </c>
      <c r="I48" s="85" t="e">
        <f aca="false">#REF!-'202208-12分_検証用1_関数積算'!I48</f>
        <v>#REF!</v>
      </c>
      <c r="J48" s="26" t="e">
        <f aca="false">#REF!-'202208-12分_検証用1_関数積算'!J48</f>
        <v>#REF!</v>
      </c>
      <c r="K48" s="26" t="e">
        <f aca="false">#REF!-'202208-12分_検証用1_関数積算'!K48</f>
        <v>#REF!</v>
      </c>
      <c r="L48" s="26" t="e">
        <f aca="false">#REF!-'202208-12分_検証用1_関数積算'!L48</f>
        <v>#REF!</v>
      </c>
      <c r="M48" s="85" t="e">
        <f aca="false">#REF!-'202208-12分_検証用1_関数積算'!M48</f>
        <v>#REF!</v>
      </c>
      <c r="N48" s="26" t="e">
        <f aca="false">#REF!-'202208-12分_検証用1_関数積算'!N48</f>
        <v>#REF!</v>
      </c>
      <c r="O48" s="26" t="e">
        <f aca="false">#REF!-'202208-12分_検証用1_関数積算'!O48</f>
        <v>#REF!</v>
      </c>
      <c r="P48" s="26" t="e">
        <f aca="false">#REF!-'202208-12分_検証用1_関数積算'!P48</f>
        <v>#REF!</v>
      </c>
      <c r="Q48" s="85" t="e">
        <f aca="false">#REF!-'202208-12分_検証用1_関数積算'!Q48</f>
        <v>#REF!</v>
      </c>
      <c r="R48" s="26" t="e">
        <f aca="false">#REF!-'202208-12分_検証用1_関数積算'!R48</f>
        <v>#REF!</v>
      </c>
      <c r="S48" s="26" t="e">
        <f aca="false">#REF!-'202208-12分_検証用1_関数積算'!S48</f>
        <v>#REF!</v>
      </c>
      <c r="T48" s="26" t="e">
        <f aca="false">#REF!-'202208-12分_検証用1_関数積算'!T48</f>
        <v>#REF!</v>
      </c>
      <c r="U48" s="85" t="e">
        <f aca="false">#REF!-'202208-12分_検証用1_関数積算'!U48</f>
        <v>#REF!</v>
      </c>
    </row>
    <row r="49" customFormat="false" ht="15.75" hidden="false" customHeight="true" outlineLevel="0" collapsed="false">
      <c r="A49" s="25" t="s">
        <v>97</v>
      </c>
      <c r="B49" s="26" t="e">
        <f aca="false">#REF!-'202208-12分_検証用1_関数積算'!B49</f>
        <v>#REF!</v>
      </c>
      <c r="C49" s="26" t="e">
        <f aca="false">#REF!-'202208-12分_検証用1_関数積算'!C49</f>
        <v>#REF!</v>
      </c>
      <c r="D49" s="26" t="e">
        <f aca="false">#REF!-'202208-12分_検証用1_関数積算'!D49</f>
        <v>#REF!</v>
      </c>
      <c r="E49" s="85" t="e">
        <f aca="false">#REF!-'202208-12分_検証用1_関数積算'!E49</f>
        <v>#REF!</v>
      </c>
      <c r="F49" s="26" t="e">
        <f aca="false">#REF!-'202208-12分_検証用1_関数積算'!F49</f>
        <v>#REF!</v>
      </c>
      <c r="G49" s="26" t="e">
        <f aca="false">#REF!-'202208-12分_検証用1_関数積算'!G49</f>
        <v>#REF!</v>
      </c>
      <c r="H49" s="26" t="e">
        <f aca="false">#REF!-'202208-12分_検証用1_関数積算'!H49</f>
        <v>#REF!</v>
      </c>
      <c r="I49" s="85" t="e">
        <f aca="false">#REF!-'202208-12分_検証用1_関数積算'!I49</f>
        <v>#REF!</v>
      </c>
      <c r="J49" s="26" t="e">
        <f aca="false">#REF!-'202208-12分_検証用1_関数積算'!J49</f>
        <v>#REF!</v>
      </c>
      <c r="K49" s="26" t="e">
        <f aca="false">#REF!-'202208-12分_検証用1_関数積算'!K49</f>
        <v>#REF!</v>
      </c>
      <c r="L49" s="26" t="e">
        <f aca="false">#REF!-'202208-12分_検証用1_関数積算'!L49</f>
        <v>#REF!</v>
      </c>
      <c r="M49" s="85" t="e">
        <f aca="false">#REF!-'202208-12分_検証用1_関数積算'!M49</f>
        <v>#REF!</v>
      </c>
      <c r="N49" s="26" t="e">
        <f aca="false">#REF!-'202208-12分_検証用1_関数積算'!N49</f>
        <v>#REF!</v>
      </c>
      <c r="O49" s="26" t="e">
        <f aca="false">#REF!-'202208-12分_検証用1_関数積算'!O49</f>
        <v>#REF!</v>
      </c>
      <c r="P49" s="26" t="e">
        <f aca="false">#REF!-'202208-12分_検証用1_関数積算'!P49</f>
        <v>#REF!</v>
      </c>
      <c r="Q49" s="85" t="e">
        <f aca="false">#REF!-'202208-12分_検証用1_関数積算'!Q49</f>
        <v>#REF!</v>
      </c>
      <c r="R49" s="26" t="e">
        <f aca="false">#REF!-'202208-12分_検証用1_関数積算'!R49</f>
        <v>#REF!</v>
      </c>
      <c r="S49" s="26" t="e">
        <f aca="false">#REF!-'202208-12分_検証用1_関数積算'!S49</f>
        <v>#REF!</v>
      </c>
      <c r="T49" s="26" t="e">
        <f aca="false">#REF!-'202208-12分_検証用1_関数積算'!T49</f>
        <v>#REF!</v>
      </c>
      <c r="U49" s="85" t="e">
        <f aca="false">#REF!-'202208-12分_検証用1_関数積算'!U49</f>
        <v>#REF!</v>
      </c>
    </row>
    <row r="50" customFormat="false" ht="15.75" hidden="false" customHeight="true" outlineLevel="0" collapsed="false">
      <c r="A50" s="25" t="s">
        <v>98</v>
      </c>
      <c r="B50" s="26" t="e">
        <f aca="false">#REF!-'202208-12分_検証用1_関数積算'!B50</f>
        <v>#REF!</v>
      </c>
      <c r="C50" s="26" t="e">
        <f aca="false">#REF!-'202208-12分_検証用1_関数積算'!C50</f>
        <v>#REF!</v>
      </c>
      <c r="D50" s="26" t="e">
        <f aca="false">#REF!-'202208-12分_検証用1_関数積算'!D50</f>
        <v>#REF!</v>
      </c>
      <c r="E50" s="85" t="e">
        <f aca="false">#REF!-'202208-12分_検証用1_関数積算'!E50</f>
        <v>#REF!</v>
      </c>
      <c r="F50" s="26" t="e">
        <f aca="false">#REF!-'202208-12分_検証用1_関数積算'!F50</f>
        <v>#REF!</v>
      </c>
      <c r="G50" s="26" t="e">
        <f aca="false">#REF!-'202208-12分_検証用1_関数積算'!G50</f>
        <v>#REF!</v>
      </c>
      <c r="H50" s="26" t="e">
        <f aca="false">#REF!-'202208-12分_検証用1_関数積算'!H50</f>
        <v>#REF!</v>
      </c>
      <c r="I50" s="85" t="e">
        <f aca="false">#REF!-'202208-12分_検証用1_関数積算'!I50</f>
        <v>#REF!</v>
      </c>
      <c r="J50" s="26" t="e">
        <f aca="false">#REF!-'202208-12分_検証用1_関数積算'!J50</f>
        <v>#REF!</v>
      </c>
      <c r="K50" s="26" t="e">
        <f aca="false">#REF!-'202208-12分_検証用1_関数積算'!K50</f>
        <v>#REF!</v>
      </c>
      <c r="L50" s="26" t="e">
        <f aca="false">#REF!-'202208-12分_検証用1_関数積算'!L50</f>
        <v>#REF!</v>
      </c>
      <c r="M50" s="85" t="e">
        <f aca="false">#REF!-'202208-12分_検証用1_関数積算'!M50</f>
        <v>#REF!</v>
      </c>
      <c r="N50" s="26" t="e">
        <f aca="false">#REF!-'202208-12分_検証用1_関数積算'!N50</f>
        <v>#REF!</v>
      </c>
      <c r="O50" s="26" t="e">
        <f aca="false">#REF!-'202208-12分_検証用1_関数積算'!O50</f>
        <v>#REF!</v>
      </c>
      <c r="P50" s="26" t="e">
        <f aca="false">#REF!-'202208-12分_検証用1_関数積算'!P50</f>
        <v>#REF!</v>
      </c>
      <c r="Q50" s="85" t="e">
        <f aca="false">#REF!-'202208-12分_検証用1_関数積算'!Q50</f>
        <v>#REF!</v>
      </c>
      <c r="R50" s="26" t="e">
        <f aca="false">#REF!-'202208-12分_検証用1_関数積算'!R50</f>
        <v>#REF!</v>
      </c>
      <c r="S50" s="26" t="e">
        <f aca="false">#REF!-'202208-12分_検証用1_関数積算'!S50</f>
        <v>#REF!</v>
      </c>
      <c r="T50" s="26" t="e">
        <f aca="false">#REF!-'202208-12分_検証用1_関数積算'!T50</f>
        <v>#REF!</v>
      </c>
      <c r="U50" s="85" t="e">
        <f aca="false">#REF!-'202208-12分_検証用1_関数積算'!U50</f>
        <v>#REF!</v>
      </c>
    </row>
    <row r="51" customFormat="false" ht="15.75" hidden="false" customHeight="true" outlineLevel="0" collapsed="false">
      <c r="A51" s="25" t="s">
        <v>99</v>
      </c>
      <c r="B51" s="26" t="e">
        <f aca="false">#REF!-'202208-12分_検証用1_関数積算'!B51</f>
        <v>#REF!</v>
      </c>
      <c r="C51" s="26" t="e">
        <f aca="false">#REF!-'202208-12分_検証用1_関数積算'!C51</f>
        <v>#REF!</v>
      </c>
      <c r="D51" s="26" t="e">
        <f aca="false">#REF!-'202208-12分_検証用1_関数積算'!D51</f>
        <v>#REF!</v>
      </c>
      <c r="E51" s="85" t="e">
        <f aca="false">#REF!-'202208-12分_検証用1_関数積算'!E51</f>
        <v>#REF!</v>
      </c>
      <c r="F51" s="26" t="e">
        <f aca="false">#REF!-'202208-12分_検証用1_関数積算'!F51</f>
        <v>#REF!</v>
      </c>
      <c r="G51" s="26" t="e">
        <f aca="false">#REF!-'202208-12分_検証用1_関数積算'!G51</f>
        <v>#REF!</v>
      </c>
      <c r="H51" s="26" t="e">
        <f aca="false">#REF!-'202208-12分_検証用1_関数積算'!H51</f>
        <v>#REF!</v>
      </c>
      <c r="I51" s="85" t="e">
        <f aca="false">#REF!-'202208-12分_検証用1_関数積算'!I51</f>
        <v>#REF!</v>
      </c>
      <c r="J51" s="26" t="e">
        <f aca="false">#REF!-'202208-12分_検証用1_関数積算'!J51</f>
        <v>#REF!</v>
      </c>
      <c r="K51" s="26" t="e">
        <f aca="false">#REF!-'202208-12分_検証用1_関数積算'!K51</f>
        <v>#REF!</v>
      </c>
      <c r="L51" s="26" t="e">
        <f aca="false">#REF!-'202208-12分_検証用1_関数積算'!L51</f>
        <v>#REF!</v>
      </c>
      <c r="M51" s="85" t="e">
        <f aca="false">#REF!-'202208-12分_検証用1_関数積算'!M51</f>
        <v>#REF!</v>
      </c>
      <c r="N51" s="26" t="e">
        <f aca="false">#REF!-'202208-12分_検証用1_関数積算'!N51</f>
        <v>#REF!</v>
      </c>
      <c r="O51" s="26" t="e">
        <f aca="false">#REF!-'202208-12分_検証用1_関数積算'!O51</f>
        <v>#REF!</v>
      </c>
      <c r="P51" s="26" t="e">
        <f aca="false">#REF!-'202208-12分_検証用1_関数積算'!P51</f>
        <v>#REF!</v>
      </c>
      <c r="Q51" s="85" t="e">
        <f aca="false">#REF!-'202208-12分_検証用1_関数積算'!Q51</f>
        <v>#REF!</v>
      </c>
      <c r="R51" s="26" t="e">
        <f aca="false">#REF!-'202208-12分_検証用1_関数積算'!R51</f>
        <v>#REF!</v>
      </c>
      <c r="S51" s="26" t="e">
        <f aca="false">#REF!-'202208-12分_検証用1_関数積算'!S51</f>
        <v>#REF!</v>
      </c>
      <c r="T51" s="26" t="e">
        <f aca="false">#REF!-'202208-12分_検証用1_関数積算'!T51</f>
        <v>#REF!</v>
      </c>
      <c r="U51" s="85" t="e">
        <f aca="false">#REF!-'202208-12分_検証用1_関数積算'!U51</f>
        <v>#REF!</v>
      </c>
    </row>
    <row r="52" customFormat="false" ht="15.75" hidden="false" customHeight="true" outlineLevel="0" collapsed="false">
      <c r="A52" s="90" t="s">
        <v>100</v>
      </c>
      <c r="B52" s="91" t="e">
        <f aca="false">#REF!-'202208-12分_検証用1_関数積算'!B52</f>
        <v>#REF!</v>
      </c>
      <c r="C52" s="91" t="e">
        <f aca="false">#REF!-'202208-12分_検証用1_関数積算'!C52</f>
        <v>#REF!</v>
      </c>
      <c r="D52" s="91" t="e">
        <f aca="false">#REF!-'202208-12分_検証用1_関数積算'!D52</f>
        <v>#REF!</v>
      </c>
      <c r="E52" s="92" t="e">
        <f aca="false">#REF!-'202208-12分_検証用1_関数積算'!E52</f>
        <v>#REF!</v>
      </c>
      <c r="F52" s="91" t="e">
        <f aca="false">#REF!-'202208-12分_検証用1_関数積算'!F52</f>
        <v>#REF!</v>
      </c>
      <c r="G52" s="91" t="e">
        <f aca="false">#REF!-'202208-12分_検証用1_関数積算'!G52</f>
        <v>#REF!</v>
      </c>
      <c r="H52" s="91" t="e">
        <f aca="false">#REF!-'202208-12分_検証用1_関数積算'!H52</f>
        <v>#REF!</v>
      </c>
      <c r="I52" s="92" t="e">
        <f aca="false">#REF!-'202208-12分_検証用1_関数積算'!I52</f>
        <v>#REF!</v>
      </c>
      <c r="J52" s="91" t="e">
        <f aca="false">#REF!-'202208-12分_検証用1_関数積算'!J52</f>
        <v>#REF!</v>
      </c>
      <c r="K52" s="91" t="e">
        <f aca="false">#REF!-'202208-12分_検証用1_関数積算'!K52</f>
        <v>#REF!</v>
      </c>
      <c r="L52" s="91" t="e">
        <f aca="false">#REF!-'202208-12分_検証用1_関数積算'!L52</f>
        <v>#REF!</v>
      </c>
      <c r="M52" s="92" t="e">
        <f aca="false">#REF!-'202208-12分_検証用1_関数積算'!M52</f>
        <v>#REF!</v>
      </c>
      <c r="N52" s="91" t="e">
        <f aca="false">#REF!-'202208-12分_検証用1_関数積算'!N52</f>
        <v>#REF!</v>
      </c>
      <c r="O52" s="91" t="e">
        <f aca="false">#REF!-'202208-12分_検証用1_関数積算'!O52</f>
        <v>#REF!</v>
      </c>
      <c r="P52" s="91" t="e">
        <f aca="false">#REF!-'202208-12分_検証用1_関数積算'!P52</f>
        <v>#REF!</v>
      </c>
      <c r="Q52" s="92" t="e">
        <f aca="false">#REF!-'202208-12分_検証用1_関数積算'!Q52</f>
        <v>#REF!</v>
      </c>
      <c r="R52" s="91" t="e">
        <f aca="false">#REF!-'202208-12分_検証用1_関数積算'!R52</f>
        <v>#REF!</v>
      </c>
      <c r="S52" s="91" t="e">
        <f aca="false">#REF!-'202208-12分_検証用1_関数積算'!S52</f>
        <v>#REF!</v>
      </c>
      <c r="T52" s="91" t="e">
        <f aca="false">#REF!-'202208-12分_検証用1_関数積算'!T52</f>
        <v>#REF!</v>
      </c>
      <c r="U52" s="92" t="e">
        <f aca="false">#REF!-'202208-12分_検証用1_関数積算'!U52</f>
        <v>#REF!</v>
      </c>
    </row>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sheetData>
  <mergeCells count="6">
    <mergeCell ref="A2:A3"/>
    <mergeCell ref="B2:E2"/>
    <mergeCell ref="F2:I2"/>
    <mergeCell ref="J2:M2"/>
    <mergeCell ref="N2:Q2"/>
    <mergeCell ref="R2:U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2023-01-19T01:15:02Z</dcterms:created>
  <dc:creator/>
  <dc:description/>
  <dc:language>en-US</dc:language>
  <cp:lastModifiedBy/>
  <dcterms:modified xsi:type="dcterms:W3CDTF">2026-07-30T02:48:10Z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0x01010017CB4231AAE12B41A5E97E962AA58740</vt:lpwstr>
  </property>
  <property fmtid="{D5CDD505-2E9C-101B-9397-08002B2CF9AE}" pid="3" name="MediaServiceImageTags">
    <vt:lpwstr/>
  </property>
</Properties>
</file>