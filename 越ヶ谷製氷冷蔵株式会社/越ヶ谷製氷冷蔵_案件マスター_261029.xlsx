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29.xml" ContentType="application/vnd.openxmlformats-officedocument.spreadsheetml.worksheet+xml"/>
  <Override PartName="/xl/worksheets/sheet28.xml" ContentType="application/vnd.openxmlformats-officedocument.spreadsheetml.worksheet+xml"/>
  <Override PartName="/xl/worksheets/sheet27.xml" ContentType="application/vnd.openxmlformats-officedocument.spreadsheetml.worksheet+xml"/>
  <Override PartName="/xl/worksheets/sheet26.xml" ContentType="application/vnd.openxmlformats-officedocument.spreadsheetml.worksheet+xml"/>
  <Override PartName="/xl/worksheets/sheet25.xml" ContentType="application/vnd.openxmlformats-officedocument.spreadsheetml.worksheet+xml"/>
  <Override PartName="/xl/worksheets/sheet24.xml" ContentType="application/vnd.openxmlformats-officedocument.spreadsheetml.worksheet+xml"/>
  <Override PartName="/xl/worksheets/sheet23.xml" ContentType="application/vnd.openxmlformats-officedocument.spreadsheetml.worksheet+xml"/>
  <Override PartName="/xl/worksheets/sheet22.xml" ContentType="application/vnd.openxmlformats-officedocument.spreadsheetml.worksheet+xml"/>
  <Override PartName="/xl/worksheets/sheet21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18.xml" ContentType="application/vnd.openxmlformats-officedocument.spreadsheetml.worksheet+xml"/>
  <Override PartName="/xl/worksheets/sheet1.xml" ContentType="application/vnd.openxmlformats-officedocument.spreadsheetml.worksheet+xml"/>
  <Override PartName="/xl/worksheets/sheet17.xml" ContentType="application/vnd.openxmlformats-officedocument.spreadsheetml.worksheet+xml"/>
  <Override PartName="/xl/worksheets/sheet16.xml" ContentType="application/vnd.openxmlformats-officedocument.spreadsheetml.worksheet+xml"/>
  <Override PartName="/xl/worksheets/sheet15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40.xml" ContentType="application/vnd.openxmlformats-officedocument.spreadsheetml.worksheet+xml"/>
  <Override PartName="/xl/worksheets/sheet39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.xml" ContentType="application/vnd.openxmlformats-officedocument.spreadsheetml.worksheet+xml"/>
  <Override PartName="/xl/worksheets/sheet45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34.xml" ContentType="application/vnd.openxmlformats-officedocument.spreadsheetml.worksheet+xml"/>
  <Override PartName="/xl/worksheets/sheet46.xml" ContentType="application/vnd.openxmlformats-officedocument.spreadsheetml.worksheet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33.xml" ContentType="application/vnd.openxmlformats-officedocument.spreadsheetml.worksheet+xml"/>
  <Override PartName="/xl/worksheets/sheet32.xml" ContentType="application/vnd.openxmlformats-officedocument.spreadsheetml.worksheet+xml"/>
  <Override PartName="/xl/worksheets/sheet31.xml" ContentType="application/vnd.openxmlformats-officedocument.spreadsheetml.worksheet+xml"/>
  <Override PartName="/xl/worksheets/sheet9.xml" ContentType="application/vnd.openxmlformats-officedocument.spreadsheetml.worksheet+xml"/>
  <Override PartName="/xl/worksheets/sheet14.xml" ContentType="application/vnd.openxmlformats-officedocument.spreadsheetml.worksheet+xml"/>
  <Override PartName="/xl/worksheets/sheet30.xml" ContentType="application/vnd.openxmlformats-officedocument.spreadsheetml.worksheet+xml"/>
  <Override PartName="/xl/worksheets/sheet8.xml" ContentType="application/vnd.openxmlformats-officedocument.spreadsheetml.worksheet+xml"/>
  <Override PartName="/xl/worksheets/sheet13.xml" ContentType="application/vnd.openxmlformats-officedocument.spreadsheetml.worksheet+xml"/>
  <Override PartName="/xl/worksheets/sheet7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ルール" sheetId="1" state="visible" r:id="rId3"/>
    <sheet name="財務入力→" sheetId="2" state="visible" r:id="rId4"/>
    <sheet name="BS(借方)" sheetId="3" state="visible" r:id="rId5"/>
    <sheet name="BS (貸方)" sheetId="4" state="visible" r:id="rId6"/>
    <sheet name="PL" sheetId="5" state="visible" r:id="rId7"/>
    <sheet name="CR" sheetId="6" state="visible" r:id="rId8"/>
    <sheet name="SGA" sheetId="7" state="visible" r:id="rId9"/>
    <sheet name="VR→" sheetId="8" state="visible" r:id="rId10"/>
    <sheet name="株式価値 " sheetId="9" state="visible" r:id="rId11"/>
    <sheet name="修正BS(借方)" sheetId="10" state="visible" r:id="rId12"/>
    <sheet name="修正BS(貸方) " sheetId="11" state="visible" r:id="rId13"/>
    <sheet name="売掛・棚卸" sheetId="12" state="visible" r:id="rId14"/>
    <sheet name="減価償却" sheetId="13" state="visible" r:id="rId15"/>
    <sheet name="土地" sheetId="14" state="visible" r:id="rId16"/>
    <sheet name="保険" sheetId="15" state="visible" r:id="rId17"/>
    <sheet name="有価証券" sheetId="16" state="visible" r:id="rId18"/>
    <sheet name="未払人件費・賞与" sheetId="17" state="visible" r:id="rId19"/>
    <sheet name="退職金" sheetId="18" state="visible" r:id="rId20"/>
    <sheet name="税効果" sheetId="19" state="visible" r:id="rId21"/>
    <sheet name="ネットキャッシュ" sheetId="20" state="visible" r:id="rId22"/>
    <sheet name="修正PL" sheetId="21" state="visible" r:id="rId23"/>
    <sheet name="修正SGA" sheetId="22" state="visible" r:id="rId24"/>
    <sheet name="修正CR" sheetId="23" state="visible" r:id="rId25"/>
    <sheet name="年買法" sheetId="24" state="visible" r:id="rId26"/>
    <sheet name="EV EBITDAマルチプル" sheetId="25" state="visible" r:id="rId27"/>
    <sheet name="参照企業" sheetId="26" state="visible" r:id="rId28"/>
    <sheet name="IM→" sheetId="27" state="visible" r:id="rId29"/>
    <sheet name="案件サマリー" sheetId="28" state="visible" r:id="rId30"/>
    <sheet name="会社概要" sheetId="29" state="visible" r:id="rId31"/>
    <sheet name="PLハイライト" sheetId="30" state="visible" r:id="rId32"/>
    <sheet name="BSハイライト" sheetId="31" state="visible" r:id="rId33"/>
    <sheet name="取引先" sheetId="32" state="visible" r:id="rId34"/>
    <sheet name="仕入先" sheetId="33" state="visible" r:id="rId35"/>
    <sheet name="外注先" sheetId="34" state="visible" r:id="rId36"/>
    <sheet name="株主" sheetId="35" state="visible" r:id="rId37"/>
    <sheet name="取締役" sheetId="36" state="visible" r:id="rId38"/>
    <sheet name="従業員" sheetId="37" state="visible" r:id="rId39"/>
    <sheet name="拠点(本社等)" sheetId="38" state="visible" r:id="rId40"/>
    <sheet name="不動産(賃借) " sheetId="39" state="visible" r:id="rId41"/>
    <sheet name="不動産(所有)" sheetId="40" state="visible" r:id="rId42"/>
    <sheet name="設備" sheetId="41" state="visible" r:id="rId43"/>
    <sheet name="借入金" sheetId="42" state="visible" r:id="rId44"/>
    <sheet name="月次売上" sheetId="43" state="visible" r:id="rId45"/>
    <sheet name="許認可" sheetId="44" state="visible" r:id="rId46"/>
    <sheet name="沿革" sheetId="45" state="visible" r:id="rId47"/>
    <sheet name="その他" sheetId="46" state="visible" r:id="rId4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<sst xmlns="http://schemas.openxmlformats.org/spreadsheetml/2006/main" count="1104" uniqueCount="782">
  <si>
    <t xml:space="preserve">案件マスター 作成ルール</t>
  </si>
  <si>
    <r>
      <rPr>
        <sz val="10"/>
        <rFont val="游ゴシック"/>
        <family val="0"/>
        <charset val="1"/>
      </rPr>
      <t xml:space="preserve">1. </t>
    </r>
    <r>
      <rPr>
        <sz val="10"/>
        <rFont val="WenQuanYi Zen Hei"/>
        <family val="2"/>
      </rPr>
      <t xml:space="preserve">文字は「游ゴシック」、数字は「</t>
    </r>
    <r>
      <rPr>
        <sz val="10"/>
        <rFont val="游ゴシック"/>
        <family val="0"/>
        <charset val="1"/>
      </rPr>
      <t xml:space="preserve">Arial</t>
    </r>
    <r>
      <rPr>
        <sz val="10"/>
        <rFont val="WenQuanYi Zen Hei"/>
        <family val="2"/>
      </rPr>
      <t xml:space="preserve">」。備考欄などの細かい文章は「游ゴシック </t>
    </r>
    <r>
      <rPr>
        <sz val="10"/>
        <rFont val="游ゴシック"/>
        <family val="0"/>
        <charset val="1"/>
      </rPr>
      <t xml:space="preserve">Medium</t>
    </r>
    <r>
      <rPr>
        <sz val="10"/>
        <rFont val="WenQuanYi Zen Hei"/>
        <family val="2"/>
      </rPr>
      <t xml:space="preserve">」</t>
    </r>
  </si>
  <si>
    <r>
      <rPr>
        <sz val="10"/>
        <rFont val="游ゴシック"/>
        <family val="0"/>
        <charset val="1"/>
      </rPr>
      <t xml:space="preserve">2. </t>
    </r>
    <r>
      <rPr>
        <sz val="10"/>
        <rFont val="WenQuanYi Zen Hei"/>
        <family val="2"/>
      </rPr>
      <t xml:space="preserve">タイトル・合計欄は太字</t>
    </r>
  </si>
  <si>
    <r>
      <rPr>
        <sz val="10"/>
        <rFont val="游ゴシック"/>
        <family val="0"/>
        <charset val="1"/>
      </rPr>
      <t xml:space="preserve">3. </t>
    </r>
    <r>
      <rPr>
        <sz val="10"/>
        <rFont val="WenQuanYi Zen Hei"/>
        <family val="2"/>
      </rPr>
      <t xml:space="preserve">数字は円単位で入力する。表示は千円単位に設定済み（千円で入力しないこと）</t>
    </r>
  </si>
  <si>
    <r>
      <rPr>
        <sz val="10"/>
        <rFont val="游ゴシック"/>
        <family val="0"/>
        <charset val="1"/>
      </rPr>
      <t xml:space="preserve">4. </t>
    </r>
    <r>
      <rPr>
        <sz val="10"/>
        <rFont val="WenQuanYi Zen Hei"/>
        <family val="2"/>
      </rPr>
      <t xml:space="preserve">背景は紺・水色・グレー・白・青。線は紺・白・青</t>
    </r>
  </si>
  <si>
    <r>
      <rPr>
        <sz val="10"/>
        <rFont val="游ゴシック"/>
        <family val="0"/>
        <charset val="1"/>
      </rPr>
      <t xml:space="preserve">5. </t>
    </r>
    <r>
      <rPr>
        <sz val="10"/>
        <rFont val="WenQuanYi Zen Hei"/>
        <family val="2"/>
      </rPr>
      <t xml:space="preserve">数値の原本は本ファイルのみ。概要書・評価書・ノンネームシートは本ファイルから転記する</t>
    </r>
  </si>
  <si>
    <r>
      <rPr>
        <sz val="10"/>
        <rFont val="游ゴシック"/>
        <family val="0"/>
        <charset val="1"/>
      </rPr>
      <t xml:space="preserve">6. </t>
    </r>
    <r>
      <rPr>
        <sz val="10"/>
        <rFont val="WenQuanYi Zen Hei"/>
        <family val="2"/>
      </rPr>
      <t xml:space="preserve">未確認事項は推測で埋めず「要確認」と記載し、「その他」シートに集約する</t>
    </r>
  </si>
  <si>
    <t xml:space="preserve">【本ファイルの出所】</t>
  </si>
  <si>
    <r>
      <rPr>
        <sz val="10"/>
        <rFont val="WenQuanYi Zen Hei"/>
        <family val="2"/>
      </rPr>
      <t xml:space="preserve">・第</t>
    </r>
    <r>
      <rPr>
        <sz val="10"/>
        <rFont val="游ゴシック"/>
        <family val="0"/>
        <charset val="1"/>
      </rPr>
      <t xml:space="preserve">64</t>
    </r>
    <r>
      <rPr>
        <sz val="10"/>
        <rFont val="WenQuanYi Zen Hei"/>
        <family val="2"/>
      </rPr>
      <t xml:space="preserve">〜</t>
    </r>
    <r>
      <rPr>
        <sz val="10"/>
        <rFont val="游ゴシック"/>
        <family val="0"/>
        <charset val="1"/>
      </rPr>
      <t xml:space="preserve">66</t>
    </r>
    <r>
      <rPr>
        <sz val="10"/>
        <rFont val="WenQuanYi Zen Hei"/>
        <family val="2"/>
      </rPr>
      <t xml:space="preserve">期（</t>
    </r>
    <r>
      <rPr>
        <sz val="10"/>
        <rFont val="游ゴシック"/>
        <family val="0"/>
        <charset val="1"/>
      </rPr>
      <t xml:space="preserve">2023</t>
    </r>
    <r>
      <rPr>
        <sz val="10"/>
        <rFont val="WenQuanYi Zen Hei"/>
        <family val="2"/>
      </rPr>
      <t xml:space="preserve">年</t>
    </r>
    <r>
      <rPr>
        <sz val="10"/>
        <rFont val="游ゴシック"/>
        <family val="0"/>
        <charset val="1"/>
      </rPr>
      <t xml:space="preserve">3</t>
    </r>
    <r>
      <rPr>
        <sz val="10"/>
        <rFont val="WenQuanYi Zen Hei"/>
        <family val="2"/>
      </rPr>
      <t xml:space="preserve">月期〜</t>
    </r>
    <r>
      <rPr>
        <sz val="10"/>
        <rFont val="游ゴシック"/>
        <family val="0"/>
        <charset val="1"/>
      </rPr>
      <t xml:space="preserve">2025</t>
    </r>
    <r>
      <rPr>
        <sz val="10"/>
        <rFont val="WenQuanYi Zen Hei"/>
        <family val="2"/>
      </rPr>
      <t xml:space="preserve">年</t>
    </r>
    <r>
      <rPr>
        <sz val="10"/>
        <rFont val="游ゴシック"/>
        <family val="0"/>
        <charset val="1"/>
      </rPr>
      <t xml:space="preserve">3</t>
    </r>
    <r>
      <rPr>
        <sz val="10"/>
        <rFont val="WenQuanYi Zen Hei"/>
        <family val="2"/>
      </rPr>
      <t xml:space="preserve">月期）の決算数値：受領した既存の企業概要書（財務表）から転記</t>
    </r>
  </si>
  <si>
    <r>
      <rPr>
        <sz val="10"/>
        <rFont val="WenQuanYi Zen Hei"/>
        <family val="2"/>
      </rPr>
      <t xml:space="preserve">・第</t>
    </r>
    <r>
      <rPr>
        <sz val="10"/>
        <rFont val="游ゴシック"/>
        <family val="0"/>
        <charset val="1"/>
      </rPr>
      <t xml:space="preserve">67</t>
    </r>
    <r>
      <rPr>
        <sz val="10"/>
        <rFont val="WenQuanYi Zen Hei"/>
        <family val="2"/>
      </rPr>
      <t xml:space="preserve">期（</t>
    </r>
    <r>
      <rPr>
        <sz val="10"/>
        <rFont val="游ゴシック"/>
        <family val="0"/>
        <charset val="1"/>
      </rPr>
      <t xml:space="preserve">2026</t>
    </r>
    <r>
      <rPr>
        <sz val="10"/>
        <rFont val="WenQuanYi Zen Hei"/>
        <family val="2"/>
      </rPr>
      <t xml:space="preserve">年</t>
    </r>
    <r>
      <rPr>
        <sz val="10"/>
        <rFont val="游ゴシック"/>
        <family val="0"/>
        <charset val="1"/>
      </rPr>
      <t xml:space="preserve">3</t>
    </r>
    <r>
      <rPr>
        <sz val="10"/>
        <rFont val="WenQuanYi Zen Hei"/>
        <family val="2"/>
      </rPr>
      <t xml:space="preserve">月期）の決算数値：第</t>
    </r>
    <r>
      <rPr>
        <sz val="10"/>
        <rFont val="游ゴシック"/>
        <family val="0"/>
        <charset val="1"/>
      </rPr>
      <t xml:space="preserve">67</t>
    </r>
    <r>
      <rPr>
        <sz val="10"/>
        <rFont val="WenQuanYi Zen Hei"/>
        <family val="2"/>
      </rPr>
      <t xml:space="preserve">期決算報告書・勘定科目内訳書・法人税申告書から転記</t>
    </r>
  </si>
  <si>
    <r>
      <rPr>
        <sz val="10"/>
        <rFont val="WenQuanYi Zen Hei"/>
        <family val="2"/>
      </rPr>
      <t xml:space="preserve">・減価償却：第</t>
    </r>
    <r>
      <rPr>
        <sz val="10"/>
        <rFont val="游ゴシック"/>
        <family val="0"/>
        <charset val="1"/>
      </rPr>
      <t xml:space="preserve">67</t>
    </r>
    <r>
      <rPr>
        <sz val="10"/>
        <rFont val="WenQuanYi Zen Hei"/>
        <family val="2"/>
      </rPr>
      <t xml:space="preserve">期 減価償却計算書（合計表・明細）</t>
    </r>
  </si>
  <si>
    <r>
      <rPr>
        <sz val="10"/>
        <rFont val="WenQuanYi Zen Hei"/>
        <family val="2"/>
      </rPr>
      <t xml:space="preserve">・登記情報：履歴事項（</t>
    </r>
    <r>
      <rPr>
        <sz val="10"/>
        <rFont val="游ゴシック"/>
        <family val="0"/>
        <charset val="1"/>
      </rPr>
      <t xml:space="preserve">2026</t>
    </r>
    <r>
      <rPr>
        <sz val="10"/>
        <rFont val="WenQuanYi Zen Hei"/>
        <family val="2"/>
      </rPr>
      <t xml:space="preserve">年</t>
    </r>
    <r>
      <rPr>
        <sz val="10"/>
        <rFont val="游ゴシック"/>
        <family val="0"/>
        <charset val="1"/>
      </rPr>
      <t xml:space="preserve">9</t>
    </r>
    <r>
      <rPr>
        <sz val="10"/>
        <rFont val="WenQuanYi Zen Hei"/>
        <family val="2"/>
      </rPr>
      <t xml:space="preserve">月</t>
    </r>
    <r>
      <rPr>
        <sz val="10"/>
        <rFont val="游ゴシック"/>
        <family val="0"/>
        <charset val="1"/>
      </rPr>
      <t xml:space="preserve">9</t>
    </r>
    <r>
      <rPr>
        <sz val="10"/>
        <rFont val="WenQuanYi Zen Hei"/>
        <family val="2"/>
      </rPr>
      <t xml:space="preserve">日現在）</t>
    </r>
  </si>
  <si>
    <r>
      <rPr>
        <sz val="10"/>
        <rFont val="WenQuanYi Zen Hei"/>
        <family val="2"/>
      </rPr>
      <t xml:space="preserve">・転記後、</t>
    </r>
    <r>
      <rPr>
        <sz val="10"/>
        <rFont val="游ゴシック"/>
        <family val="0"/>
        <charset val="1"/>
      </rPr>
      <t xml:space="preserve">4</t>
    </r>
    <r>
      <rPr>
        <sz val="10"/>
        <rFont val="WenQuanYi Zen Hei"/>
        <family val="2"/>
      </rPr>
      <t xml:space="preserve">期すべてで資産合計・負債純資産合計・営業利益〜当期純利益・純資産の期間連続性が決算書記載値と一致することを確認済み</t>
    </r>
  </si>
  <si>
    <t xml:space="preserve">財務入力 セクション</t>
  </si>
  <si>
    <t xml:space="preserve">貸借対照表（資産の部）　単位：千円（入力は円）</t>
  </si>
  <si>
    <r>
      <rPr>
        <sz val="8"/>
        <color rgb="FF404040"/>
        <rFont val="WenQuanYi Zen Hei"/>
        <family val="2"/>
      </rPr>
      <t xml:space="preserve">第</t>
    </r>
    <r>
      <rPr>
        <sz val="8"/>
        <color rgb="FF404040"/>
        <rFont val="游ゴシック Medium"/>
        <family val="0"/>
        <charset val="1"/>
      </rPr>
      <t xml:space="preserve">64</t>
    </r>
    <r>
      <rPr>
        <sz val="8"/>
        <color rgb="FF404040"/>
        <rFont val="WenQuanYi Zen Hei"/>
        <family val="2"/>
      </rPr>
      <t xml:space="preserve">期</t>
    </r>
  </si>
  <si>
    <r>
      <rPr>
        <sz val="8"/>
        <color rgb="FF404040"/>
        <rFont val="WenQuanYi Zen Hei"/>
        <family val="2"/>
      </rPr>
      <t xml:space="preserve">第</t>
    </r>
    <r>
      <rPr>
        <sz val="8"/>
        <color rgb="FF404040"/>
        <rFont val="游ゴシック Medium"/>
        <family val="0"/>
        <charset val="1"/>
      </rPr>
      <t xml:space="preserve">65</t>
    </r>
    <r>
      <rPr>
        <sz val="8"/>
        <color rgb="FF404040"/>
        <rFont val="WenQuanYi Zen Hei"/>
        <family val="2"/>
      </rPr>
      <t xml:space="preserve">期</t>
    </r>
  </si>
  <si>
    <r>
      <rPr>
        <sz val="8"/>
        <color rgb="FF404040"/>
        <rFont val="WenQuanYi Zen Hei"/>
        <family val="2"/>
      </rPr>
      <t xml:space="preserve">第</t>
    </r>
    <r>
      <rPr>
        <sz val="8"/>
        <color rgb="FF404040"/>
        <rFont val="游ゴシック Medium"/>
        <family val="0"/>
        <charset val="1"/>
      </rPr>
      <t xml:space="preserve">66</t>
    </r>
    <r>
      <rPr>
        <sz val="8"/>
        <color rgb="FF404040"/>
        <rFont val="WenQuanYi Zen Hei"/>
        <family val="2"/>
      </rPr>
      <t xml:space="preserve">期</t>
    </r>
  </si>
  <si>
    <r>
      <rPr>
        <sz val="8"/>
        <color rgb="FF404040"/>
        <rFont val="WenQuanYi Zen Hei"/>
        <family val="2"/>
      </rPr>
      <t xml:space="preserve">第</t>
    </r>
    <r>
      <rPr>
        <sz val="8"/>
        <color rgb="FF404040"/>
        <rFont val="游ゴシック Medium"/>
        <family val="0"/>
        <charset val="1"/>
      </rPr>
      <t xml:space="preserve">67</t>
    </r>
    <r>
      <rPr>
        <sz val="8"/>
        <color rgb="FF404040"/>
        <rFont val="WenQuanYi Zen Hei"/>
        <family val="2"/>
      </rPr>
      <t xml:space="preserve">期</t>
    </r>
  </si>
  <si>
    <t xml:space="preserve">科目</t>
  </si>
  <si>
    <r>
      <rPr>
        <b val="true"/>
        <sz val="9"/>
        <color rgb="FFFFFFFF"/>
        <rFont val="游ゴシック"/>
        <family val="0"/>
        <charset val="1"/>
      </rPr>
      <t xml:space="preserve">2023</t>
    </r>
    <r>
      <rPr>
        <b val="true"/>
        <sz val="9"/>
        <color rgb="FFFFFFFF"/>
        <rFont val="WenQuanYi Zen Hei"/>
        <family val="2"/>
      </rPr>
      <t xml:space="preserve">年</t>
    </r>
    <r>
      <rPr>
        <b val="true"/>
        <sz val="9"/>
        <color rgb="FFFFFFFF"/>
        <rFont val="游ゴシック"/>
        <family val="0"/>
        <charset val="1"/>
      </rPr>
      <t xml:space="preserve">3</t>
    </r>
    <r>
      <rPr>
        <b val="true"/>
        <sz val="9"/>
        <color rgb="FFFFFFFF"/>
        <rFont val="WenQuanYi Zen Hei"/>
        <family val="2"/>
      </rPr>
      <t xml:space="preserve">月期</t>
    </r>
  </si>
  <si>
    <r>
      <rPr>
        <b val="true"/>
        <sz val="9"/>
        <color rgb="FFFFFFFF"/>
        <rFont val="游ゴシック"/>
        <family val="0"/>
        <charset val="1"/>
      </rPr>
      <t xml:space="preserve">2024</t>
    </r>
    <r>
      <rPr>
        <b val="true"/>
        <sz val="9"/>
        <color rgb="FFFFFFFF"/>
        <rFont val="WenQuanYi Zen Hei"/>
        <family val="2"/>
      </rPr>
      <t xml:space="preserve">年</t>
    </r>
    <r>
      <rPr>
        <b val="true"/>
        <sz val="9"/>
        <color rgb="FFFFFFFF"/>
        <rFont val="游ゴシック"/>
        <family val="0"/>
        <charset val="1"/>
      </rPr>
      <t xml:space="preserve">3</t>
    </r>
    <r>
      <rPr>
        <b val="true"/>
        <sz val="9"/>
        <color rgb="FFFFFFFF"/>
        <rFont val="WenQuanYi Zen Hei"/>
        <family val="2"/>
      </rPr>
      <t xml:space="preserve">月期</t>
    </r>
  </si>
  <si>
    <r>
      <rPr>
        <b val="true"/>
        <sz val="9"/>
        <color rgb="FFFFFFFF"/>
        <rFont val="游ゴシック"/>
        <family val="0"/>
        <charset val="1"/>
      </rPr>
      <t xml:space="preserve">2025</t>
    </r>
    <r>
      <rPr>
        <b val="true"/>
        <sz val="9"/>
        <color rgb="FFFFFFFF"/>
        <rFont val="WenQuanYi Zen Hei"/>
        <family val="2"/>
      </rPr>
      <t xml:space="preserve">年</t>
    </r>
    <r>
      <rPr>
        <b val="true"/>
        <sz val="9"/>
        <color rgb="FFFFFFFF"/>
        <rFont val="游ゴシック"/>
        <family val="0"/>
        <charset val="1"/>
      </rPr>
      <t xml:space="preserve">3</t>
    </r>
    <r>
      <rPr>
        <b val="true"/>
        <sz val="9"/>
        <color rgb="FFFFFFFF"/>
        <rFont val="WenQuanYi Zen Hei"/>
        <family val="2"/>
      </rPr>
      <t xml:space="preserve">月期</t>
    </r>
  </si>
  <si>
    <r>
      <rPr>
        <b val="true"/>
        <sz val="9"/>
        <color rgb="FFFFFFFF"/>
        <rFont val="游ゴシック"/>
        <family val="0"/>
        <charset val="1"/>
      </rPr>
      <t xml:space="preserve">2026</t>
    </r>
    <r>
      <rPr>
        <b val="true"/>
        <sz val="9"/>
        <color rgb="FFFFFFFF"/>
        <rFont val="WenQuanYi Zen Hei"/>
        <family val="2"/>
      </rPr>
      <t xml:space="preserve">年</t>
    </r>
    <r>
      <rPr>
        <b val="true"/>
        <sz val="9"/>
        <color rgb="FFFFFFFF"/>
        <rFont val="游ゴシック"/>
        <family val="0"/>
        <charset val="1"/>
      </rPr>
      <t xml:space="preserve">3</t>
    </r>
    <r>
      <rPr>
        <b val="true"/>
        <sz val="9"/>
        <color rgb="FFFFFFFF"/>
        <rFont val="WenQuanYi Zen Hei"/>
        <family val="2"/>
      </rPr>
      <t xml:space="preserve">月期</t>
    </r>
  </si>
  <si>
    <r>
      <rPr>
        <b val="true"/>
        <sz val="9"/>
        <color rgb="FFFFFFFF"/>
        <rFont val="WenQuanYi Zen Hei"/>
        <family val="2"/>
      </rPr>
      <t xml:space="preserve">進行期</t>
    </r>
    <r>
      <rPr>
        <b val="true"/>
        <sz val="9"/>
        <color rgb="FFFFFFFF"/>
        <rFont val="游ゴシック"/>
        <family val="0"/>
        <charset val="1"/>
      </rPr>
      <t xml:space="preserve">TB</t>
    </r>
  </si>
  <si>
    <t xml:space="preserve">備考</t>
  </si>
  <si>
    <t xml:space="preserve">（現金・預金）</t>
  </si>
  <si>
    <t xml:space="preserve">現金</t>
  </si>
  <si>
    <t xml:space="preserve">当座預金</t>
  </si>
  <si>
    <t xml:space="preserve">普通預金</t>
  </si>
  <si>
    <t xml:space="preserve">定期預金</t>
  </si>
  <si>
    <r>
      <rPr>
        <sz val="8"/>
        <color rgb="FF404040"/>
        <rFont val="游ゴシック Medium"/>
        <family val="0"/>
        <charset val="1"/>
      </rPr>
      <t xml:space="preserve">67</t>
    </r>
    <r>
      <rPr>
        <sz val="8"/>
        <color rgb="FF404040"/>
        <rFont val="WenQuanYi Zen Hei"/>
        <family val="2"/>
      </rPr>
      <t xml:space="preserve">期：預貯金内訳書の定期預金計</t>
    </r>
    <r>
      <rPr>
        <sz val="8"/>
        <color rgb="FF404040"/>
        <rFont val="游ゴシック Medium"/>
        <family val="0"/>
        <charset val="1"/>
      </rPr>
      <t xml:space="preserve">19,601,032</t>
    </r>
    <r>
      <rPr>
        <sz val="8"/>
        <color rgb="FF404040"/>
        <rFont val="WenQuanYi Zen Hei"/>
        <family val="2"/>
      </rPr>
      <t xml:space="preserve">円と差異</t>
    </r>
    <r>
      <rPr>
        <sz val="8"/>
        <color rgb="FF404040"/>
        <rFont val="游ゴシック Medium"/>
        <family val="0"/>
        <charset val="1"/>
      </rPr>
      <t xml:space="preserve">6,800,000</t>
    </r>
    <r>
      <rPr>
        <sz val="8"/>
        <color rgb="FF404040"/>
        <rFont val="WenQuanYi Zen Hei"/>
        <family val="2"/>
      </rPr>
      <t xml:space="preserve">円（受取利息内訳では栃木銀行定期</t>
    </r>
    <r>
      <rPr>
        <sz val="8"/>
        <color rgb="FF404040"/>
        <rFont val="游ゴシック Medium"/>
        <family val="0"/>
        <charset val="1"/>
      </rPr>
      <t xml:space="preserve">10,400,000</t>
    </r>
    <r>
      <rPr>
        <sz val="8"/>
        <color rgb="FF404040"/>
        <rFont val="WenQuanYi Zen Hei"/>
        <family val="2"/>
      </rPr>
      <t xml:space="preserve">円）→要確認</t>
    </r>
  </si>
  <si>
    <t xml:space="preserve">定期積金</t>
  </si>
  <si>
    <t xml:space="preserve">諸掛金（生命保険積立）</t>
  </si>
  <si>
    <r>
      <rPr>
        <sz val="8"/>
        <color rgb="FF404040"/>
        <rFont val="游ゴシック Medium"/>
        <family val="0"/>
        <charset val="1"/>
      </rPr>
      <t xml:space="preserve">67</t>
    </r>
    <r>
      <rPr>
        <sz val="8"/>
        <color rgb="FF404040"/>
        <rFont val="WenQuanYi Zen Hei"/>
        <family val="2"/>
      </rPr>
      <t xml:space="preserve">期内訳書：大同生命</t>
    </r>
    <r>
      <rPr>
        <sz val="8"/>
        <color rgb="FF404040"/>
        <rFont val="游ゴシック Medium"/>
        <family val="0"/>
        <charset val="1"/>
      </rPr>
      <t xml:space="preserve">8,461,965</t>
    </r>
    <r>
      <rPr>
        <sz val="8"/>
        <color rgb="FF404040"/>
        <rFont val="WenQuanYi Zen Hei"/>
        <family val="2"/>
      </rPr>
      <t xml:space="preserve">円・第一生命</t>
    </r>
    <r>
      <rPr>
        <sz val="8"/>
        <color rgb="FF404040"/>
        <rFont val="游ゴシック Medium"/>
        <family val="0"/>
        <charset val="1"/>
      </rPr>
      <t xml:space="preserve">900,529</t>
    </r>
    <r>
      <rPr>
        <sz val="8"/>
        <color rgb="FF404040"/>
        <rFont val="WenQuanYi Zen Hei"/>
        <family val="2"/>
      </rPr>
      <t xml:space="preserve">円。現預金に含めて表示されているが実態は保険積立金</t>
    </r>
  </si>
  <si>
    <t xml:space="preserve">（当座資産）</t>
  </si>
  <si>
    <t xml:space="preserve">受取手形</t>
  </si>
  <si>
    <t xml:space="preserve">売掛金</t>
  </si>
  <si>
    <r>
      <rPr>
        <sz val="8"/>
        <color rgb="FF404040"/>
        <rFont val="游ゴシック Medium"/>
        <family val="0"/>
        <charset val="1"/>
      </rPr>
      <t xml:space="preserve">67</t>
    </r>
    <r>
      <rPr>
        <sz val="8"/>
        <color rgb="FF404040"/>
        <rFont val="WenQuanYi Zen Hei"/>
        <family val="2"/>
      </rPr>
      <t xml:space="preserve">期内訳書：上位</t>
    </r>
    <r>
      <rPr>
        <sz val="8"/>
        <color rgb="FF404040"/>
        <rFont val="游ゴシック Medium"/>
        <family val="0"/>
        <charset val="1"/>
      </rPr>
      <t xml:space="preserve">7</t>
    </r>
    <r>
      <rPr>
        <sz val="8"/>
        <color rgb="FF404040"/>
        <rFont val="WenQuanYi Zen Hei"/>
        <family val="2"/>
      </rPr>
      <t xml:space="preserve">社＋その他。合計が残高を</t>
    </r>
    <r>
      <rPr>
        <sz val="8"/>
        <color rgb="FF404040"/>
        <rFont val="游ゴシック Medium"/>
        <family val="0"/>
        <charset val="1"/>
      </rPr>
      <t xml:space="preserve">1,723,680</t>
    </r>
    <r>
      <rPr>
        <sz val="8"/>
        <color rgb="FF404040"/>
        <rFont val="WenQuanYi Zen Hei"/>
        <family val="2"/>
      </rPr>
      <t xml:space="preserve">円超過（</t>
    </r>
    <r>
      <rPr>
        <sz val="8"/>
        <color rgb="FF404040"/>
        <rFont val="游ゴシック Medium"/>
        <family val="0"/>
        <charset val="1"/>
      </rPr>
      <t xml:space="preserve">(</t>
    </r>
    <r>
      <rPr>
        <sz val="8"/>
        <color rgb="FF404040"/>
        <rFont val="WenQuanYi Zen Hei"/>
        <family val="2"/>
      </rPr>
      <t xml:space="preserve">株</t>
    </r>
    <r>
      <rPr>
        <sz val="8"/>
        <color rgb="FF404040"/>
        <rFont val="游ゴシック Medium"/>
        <family val="0"/>
        <charset val="1"/>
      </rPr>
      <t xml:space="preserve">)</t>
    </r>
    <r>
      <rPr>
        <sz val="8"/>
        <color rgb="FF404040"/>
        <rFont val="WenQuanYi Zen Hei"/>
        <family val="2"/>
      </rPr>
      <t xml:space="preserve">小野田商店の重複計上と推察）→要確認</t>
    </r>
  </si>
  <si>
    <t xml:space="preserve">（棚卸資産）</t>
  </si>
  <si>
    <t xml:space="preserve">棚卸商品</t>
  </si>
  <si>
    <t xml:space="preserve">棚卸原材料</t>
  </si>
  <si>
    <t xml:space="preserve">仕掛品</t>
  </si>
  <si>
    <t xml:space="preserve">貯蔵品</t>
  </si>
  <si>
    <t xml:space="preserve">（流動資産諸口）</t>
  </si>
  <si>
    <t xml:space="preserve">前渡金</t>
  </si>
  <si>
    <t xml:space="preserve">仮払金</t>
  </si>
  <si>
    <t xml:space="preserve">貸付金</t>
  </si>
  <si>
    <t xml:space="preserve">従業員への生活資金貸付</t>
  </si>
  <si>
    <t xml:space="preserve">預け金</t>
  </si>
  <si>
    <t xml:space="preserve">立替金</t>
  </si>
  <si>
    <t xml:space="preserve">未収金</t>
  </si>
  <si>
    <r>
      <rPr>
        <sz val="8"/>
        <color rgb="FF404040"/>
        <rFont val="游ゴシック Medium"/>
        <family val="0"/>
        <charset val="1"/>
      </rPr>
      <t xml:space="preserve">67</t>
    </r>
    <r>
      <rPr>
        <sz val="8"/>
        <color rgb="FF404040"/>
        <rFont val="WenQuanYi Zen Hei"/>
        <family val="2"/>
      </rPr>
      <t xml:space="preserve">期：消費税還付等</t>
    </r>
  </si>
  <si>
    <t xml:space="preserve">前払費用</t>
  </si>
  <si>
    <t xml:space="preserve">流動資産合計</t>
  </si>
  <si>
    <t xml:space="preserve">（有形固定資産）</t>
  </si>
  <si>
    <t xml:space="preserve">建物</t>
  </si>
  <si>
    <r>
      <rPr>
        <sz val="8"/>
        <color rgb="FF404040"/>
        <rFont val="游ゴシック Medium"/>
        <family val="0"/>
        <charset val="1"/>
      </rPr>
      <t xml:space="preserve">67</t>
    </r>
    <r>
      <rPr>
        <sz val="8"/>
        <color rgb="FF404040"/>
        <rFont val="WenQuanYi Zen Hei"/>
        <family val="2"/>
      </rPr>
      <t xml:space="preserve">期は償却計上なし（償却不足額</t>
    </r>
    <r>
      <rPr>
        <sz val="8"/>
        <color rgb="FF404040"/>
        <rFont val="游ゴシック Medium"/>
        <family val="0"/>
        <charset val="1"/>
      </rPr>
      <t xml:space="preserve">21,745,406</t>
    </r>
    <r>
      <rPr>
        <sz val="8"/>
        <color rgb="FF404040"/>
        <rFont val="WenQuanYi Zen Hei"/>
        <family val="2"/>
      </rPr>
      <t xml:space="preserve">円）。主たる工場建物は</t>
    </r>
    <r>
      <rPr>
        <sz val="8"/>
        <color rgb="FF404040"/>
        <rFont val="游ゴシック Medium"/>
        <family val="0"/>
        <charset val="1"/>
      </rPr>
      <t xml:space="preserve">1991</t>
    </r>
    <r>
      <rPr>
        <sz val="8"/>
        <color rgb="FF404040"/>
        <rFont val="WenQuanYi Zen Hei"/>
        <family val="2"/>
      </rPr>
      <t xml:space="preserve">年取得</t>
    </r>
  </si>
  <si>
    <t xml:space="preserve">構築物</t>
  </si>
  <si>
    <r>
      <rPr>
        <sz val="8"/>
        <color rgb="FF404040"/>
        <rFont val="游ゴシック Medium"/>
        <family val="0"/>
        <charset val="1"/>
      </rPr>
      <t xml:space="preserve">67</t>
    </r>
    <r>
      <rPr>
        <sz val="8"/>
        <color rgb="FF404040"/>
        <rFont val="WenQuanYi Zen Hei"/>
        <family val="2"/>
      </rPr>
      <t xml:space="preserve">期は償却計上なし（償却不足額</t>
    </r>
    <r>
      <rPr>
        <sz val="8"/>
        <color rgb="FF404040"/>
        <rFont val="游ゴシック Medium"/>
        <family val="0"/>
        <charset val="1"/>
      </rPr>
      <t xml:space="preserve">447,749</t>
    </r>
    <r>
      <rPr>
        <sz val="8"/>
        <color rgb="FF404040"/>
        <rFont val="WenQuanYi Zen Hei"/>
        <family val="2"/>
      </rPr>
      <t xml:space="preserve">円）</t>
    </r>
  </si>
  <si>
    <t xml:space="preserve">機械</t>
  </si>
  <si>
    <r>
      <rPr>
        <sz val="8"/>
        <color rgb="FF404040"/>
        <rFont val="游ゴシック Medium"/>
        <family val="0"/>
        <charset val="1"/>
      </rPr>
      <t xml:space="preserve">67</t>
    </r>
    <r>
      <rPr>
        <sz val="8"/>
        <color rgb="FF404040"/>
        <rFont val="WenQuanYi Zen Hei"/>
        <family val="2"/>
      </rPr>
      <t xml:space="preserve">期償却不足額</t>
    </r>
    <r>
      <rPr>
        <sz val="8"/>
        <color rgb="FF404040"/>
        <rFont val="游ゴシック Medium"/>
        <family val="0"/>
        <charset val="1"/>
      </rPr>
      <t xml:space="preserve">3,092,403</t>
    </r>
    <r>
      <rPr>
        <sz val="8"/>
        <color rgb="FF404040"/>
        <rFont val="WenQuanYi Zen Hei"/>
        <family val="2"/>
      </rPr>
      <t xml:space="preserve">円</t>
    </r>
  </si>
  <si>
    <t xml:space="preserve">車両運搬具</t>
  </si>
  <si>
    <t xml:space="preserve">器具備品</t>
  </si>
  <si>
    <t xml:space="preserve">土地</t>
  </si>
  <si>
    <t xml:space="preserve">（無形固定資産）</t>
  </si>
  <si>
    <t xml:space="preserve">特許商標権</t>
  </si>
  <si>
    <t xml:space="preserve">（投資その他の資産）</t>
  </si>
  <si>
    <t xml:space="preserve">出資金</t>
  </si>
  <si>
    <r>
      <rPr>
        <sz val="8"/>
        <color rgb="FF404040"/>
        <rFont val="WenQuanYi Zen Hei"/>
        <family val="2"/>
      </rPr>
      <t xml:space="preserve">越谷市工業団地組合</t>
    </r>
    <r>
      <rPr>
        <sz val="8"/>
        <color rgb="FF404040"/>
        <rFont val="游ゴシック Medium"/>
        <family val="0"/>
        <charset val="1"/>
      </rPr>
      <t xml:space="preserve">800,000</t>
    </r>
    <r>
      <rPr>
        <sz val="8"/>
        <color rgb="FF404040"/>
        <rFont val="WenQuanYi Zen Hei"/>
        <family val="2"/>
      </rPr>
      <t xml:space="preserve">円ほか</t>
    </r>
  </si>
  <si>
    <t xml:space="preserve">長期貸付金</t>
  </si>
  <si>
    <t xml:space="preserve">固定資産合計</t>
  </si>
  <si>
    <t xml:space="preserve">資産合計</t>
  </si>
  <si>
    <t xml:space="preserve">（参考）決算書記載の資産合計</t>
  </si>
  <si>
    <t xml:space="preserve">借貸一致チェック（資産合計＝負債純資産合計）</t>
  </si>
  <si>
    <t xml:space="preserve">決算書記載値との一致チェック</t>
  </si>
  <si>
    <t xml:space="preserve">貸借対照表（負債・純資産の部）　単位：千円（入力は円）</t>
  </si>
  <si>
    <t xml:space="preserve">（流動負債）</t>
  </si>
  <si>
    <t xml:space="preserve">支払手形</t>
  </si>
  <si>
    <t xml:space="preserve">買掛金</t>
  </si>
  <si>
    <t xml:space="preserve">短期借入金</t>
  </si>
  <si>
    <r>
      <rPr>
        <sz val="8"/>
        <color rgb="FF404040"/>
        <rFont val="游ゴシック Medium"/>
        <family val="0"/>
        <charset val="1"/>
      </rPr>
      <t xml:space="preserve">67</t>
    </r>
    <r>
      <rPr>
        <sz val="8"/>
        <color rgb="FF404040"/>
        <rFont val="WenQuanYi Zen Hei"/>
        <family val="2"/>
      </rPr>
      <t xml:space="preserve">期：借入金内訳書（短期・長期合計</t>
    </r>
    <r>
      <rPr>
        <sz val="8"/>
        <color rgb="FF404040"/>
        <rFont val="游ゴシック Medium"/>
        <family val="0"/>
        <charset val="1"/>
      </rPr>
      <t xml:space="preserve">461,024</t>
    </r>
    <r>
      <rPr>
        <sz val="8"/>
        <color rgb="FF404040"/>
        <rFont val="WenQuanYi Zen Hei"/>
        <family val="2"/>
      </rPr>
      <t xml:space="preserve">千円、うち代表者借入</t>
    </r>
    <r>
      <rPr>
        <sz val="8"/>
        <color rgb="FF404040"/>
        <rFont val="游ゴシック Medium"/>
        <family val="0"/>
        <charset val="1"/>
      </rPr>
      <t xml:space="preserve">14,000</t>
    </r>
    <r>
      <rPr>
        <sz val="8"/>
        <color rgb="FF404040"/>
        <rFont val="WenQuanYi Zen Hei"/>
        <family val="2"/>
      </rPr>
      <t xml:space="preserve">千円）</t>
    </r>
  </si>
  <si>
    <t xml:space="preserve">未払金</t>
  </si>
  <si>
    <r>
      <rPr>
        <sz val="8"/>
        <color rgb="FF404040"/>
        <rFont val="游ゴシック Medium"/>
        <family val="0"/>
        <charset val="1"/>
      </rPr>
      <t xml:space="preserve">67</t>
    </r>
    <r>
      <rPr>
        <sz val="8"/>
        <color rgb="FF404040"/>
        <rFont val="WenQuanYi Zen Hei"/>
        <family val="2"/>
      </rPr>
      <t xml:space="preserve">期内訳書計</t>
    </r>
    <r>
      <rPr>
        <sz val="8"/>
        <color rgb="FF404040"/>
        <rFont val="游ゴシック Medium"/>
        <family val="0"/>
        <charset val="1"/>
      </rPr>
      <t xml:space="preserve">15,715,659</t>
    </r>
    <r>
      <rPr>
        <sz val="8"/>
        <color rgb="FF404040"/>
        <rFont val="WenQuanYi Zen Hei"/>
        <family val="2"/>
      </rPr>
      <t xml:space="preserve">円と</t>
    </r>
    <r>
      <rPr>
        <sz val="8"/>
        <color rgb="FF404040"/>
        <rFont val="游ゴシック Medium"/>
        <family val="0"/>
        <charset val="1"/>
      </rPr>
      <t xml:space="preserve">BS</t>
    </r>
    <r>
      <rPr>
        <sz val="8"/>
        <color rgb="FF404040"/>
        <rFont val="WenQuanYi Zen Hei"/>
        <family val="2"/>
      </rPr>
      <t xml:space="preserve">残高に</t>
    </r>
    <r>
      <rPr>
        <sz val="8"/>
        <color rgb="FF404040"/>
        <rFont val="游ゴシック Medium"/>
        <family val="0"/>
        <charset val="1"/>
      </rPr>
      <t xml:space="preserve">5,398</t>
    </r>
    <r>
      <rPr>
        <sz val="8"/>
        <color rgb="FF404040"/>
        <rFont val="WenQuanYi Zen Hei"/>
        <family val="2"/>
      </rPr>
      <t xml:space="preserve">円差異。</t>
    </r>
    <r>
      <rPr>
        <sz val="8"/>
        <color rgb="FF404040"/>
        <rFont val="游ゴシック Medium"/>
        <family val="0"/>
        <charset val="1"/>
      </rPr>
      <t xml:space="preserve">3</t>
    </r>
    <r>
      <rPr>
        <sz val="8"/>
        <color rgb="FF404040"/>
        <rFont val="WenQuanYi Zen Hei"/>
        <family val="2"/>
      </rPr>
      <t xml:space="preserve">月分給与</t>
    </r>
    <r>
      <rPr>
        <sz val="8"/>
        <color rgb="FF404040"/>
        <rFont val="游ゴシック Medium"/>
        <family val="0"/>
        <charset val="1"/>
      </rPr>
      <t xml:space="preserve">5,720,681</t>
    </r>
    <r>
      <rPr>
        <sz val="8"/>
        <color rgb="FF404040"/>
        <rFont val="WenQuanYi Zen Hei"/>
        <family val="2"/>
      </rPr>
      <t xml:space="preserve">円・未払消費税</t>
    </r>
    <r>
      <rPr>
        <sz val="8"/>
        <color rgb="FF404040"/>
        <rFont val="游ゴシック Medium"/>
        <family val="0"/>
        <charset val="1"/>
      </rPr>
      <t xml:space="preserve">1,676,200</t>
    </r>
    <r>
      <rPr>
        <sz val="8"/>
        <color rgb="FF404040"/>
        <rFont val="WenQuanYi Zen Hei"/>
        <family val="2"/>
      </rPr>
      <t xml:space="preserve">円を含む</t>
    </r>
  </si>
  <si>
    <t xml:space="preserve">預り金</t>
  </si>
  <si>
    <t xml:space="preserve">仮受金</t>
  </si>
  <si>
    <t xml:space="preserve">税金引当金（未払法人税等）</t>
  </si>
  <si>
    <t xml:space="preserve">（固定負債）</t>
  </si>
  <si>
    <t xml:space="preserve">長期借入金</t>
  </si>
  <si>
    <r>
      <rPr>
        <sz val="8"/>
        <color rgb="FF404040"/>
        <rFont val="WenQuanYi Zen Hei"/>
        <family val="2"/>
      </rPr>
      <t xml:space="preserve">うち日本政策金融公庫の資本性ローン</t>
    </r>
    <r>
      <rPr>
        <sz val="8"/>
        <color rgb="FF404040"/>
        <rFont val="游ゴシック Medium"/>
        <family val="0"/>
        <charset val="1"/>
      </rPr>
      <t xml:space="preserve">105,420</t>
    </r>
    <r>
      <rPr>
        <sz val="8"/>
        <color rgb="FF404040"/>
        <rFont val="WenQuanYi Zen Hei"/>
        <family val="2"/>
      </rPr>
      <t xml:space="preserve">千円（</t>
    </r>
    <r>
      <rPr>
        <sz val="8"/>
        <color rgb="FF404040"/>
        <rFont val="游ゴシック Medium"/>
        <family val="0"/>
        <charset val="1"/>
      </rPr>
      <t xml:space="preserve">67</t>
    </r>
    <r>
      <rPr>
        <sz val="8"/>
        <color rgb="FF404040"/>
        <rFont val="WenQuanYi Zen Hei"/>
        <family val="2"/>
      </rPr>
      <t xml:space="preserve">期）</t>
    </r>
  </si>
  <si>
    <t xml:space="preserve">負債合計</t>
  </si>
  <si>
    <t xml:space="preserve">（純資産の部）</t>
  </si>
  <si>
    <t xml:space="preserve">資本金</t>
  </si>
  <si>
    <r>
      <rPr>
        <sz val="8"/>
        <color rgb="FF404040"/>
        <rFont val="游ゴシック Medium"/>
        <family val="0"/>
        <charset val="1"/>
      </rPr>
      <t xml:space="preserve">2026</t>
    </r>
    <r>
      <rPr>
        <sz val="8"/>
        <color rgb="FF404040"/>
        <rFont val="WenQuanYi Zen Hei"/>
        <family val="2"/>
      </rPr>
      <t xml:space="preserve">年</t>
    </r>
    <r>
      <rPr>
        <sz val="8"/>
        <color rgb="FF404040"/>
        <rFont val="游ゴシック Medium"/>
        <family val="0"/>
        <charset val="1"/>
      </rPr>
      <t xml:space="preserve">5</t>
    </r>
    <r>
      <rPr>
        <sz val="8"/>
        <color rgb="FF404040"/>
        <rFont val="WenQuanYi Zen Hei"/>
        <family val="2"/>
      </rPr>
      <t xml:space="preserve">月</t>
    </r>
    <r>
      <rPr>
        <sz val="8"/>
        <color rgb="FF404040"/>
        <rFont val="游ゴシック Medium"/>
        <family val="0"/>
        <charset val="1"/>
      </rPr>
      <t xml:space="preserve">15</t>
    </r>
    <r>
      <rPr>
        <sz val="8"/>
        <color rgb="FF404040"/>
        <rFont val="WenQuanYi Zen Hei"/>
        <family val="2"/>
      </rPr>
      <t xml:space="preserve">日付で</t>
    </r>
    <r>
      <rPr>
        <sz val="8"/>
        <color rgb="FF404040"/>
        <rFont val="游ゴシック Medium"/>
        <family val="0"/>
        <charset val="1"/>
      </rPr>
      <t xml:space="preserve">10,000</t>
    </r>
    <r>
      <rPr>
        <sz val="8"/>
        <color rgb="FF404040"/>
        <rFont val="WenQuanYi Zen Hei"/>
        <family val="2"/>
      </rPr>
      <t xml:space="preserve">千円に減資（登記）</t>
    </r>
  </si>
  <si>
    <t xml:space="preserve">利益準備金</t>
  </si>
  <si>
    <t xml:space="preserve">別途積立金</t>
  </si>
  <si>
    <t xml:space="preserve">繰越利益剰余金</t>
  </si>
  <si>
    <t xml:space="preserve">純資産合計</t>
  </si>
  <si>
    <t xml:space="preserve">負債・純資産合計</t>
  </si>
  <si>
    <t xml:space="preserve">有利子負債合計（短期＋長期借入金）</t>
  </si>
  <si>
    <r>
      <rPr>
        <b val="true"/>
        <sz val="14"/>
        <color rgb="FF0B3041"/>
        <rFont val="WenQuanYi Zen Hei"/>
        <family val="2"/>
      </rPr>
      <t xml:space="preserve">損益計算書　単位：千円（入力は円）　※</t>
    </r>
    <r>
      <rPr>
        <b val="true"/>
        <sz val="14"/>
        <color rgb="FF0B3041"/>
        <rFont val="游ゴシック"/>
        <family val="0"/>
        <charset val="1"/>
      </rPr>
      <t xml:space="preserve">2</t>
    </r>
    <r>
      <rPr>
        <b val="true"/>
        <sz val="14"/>
        <color rgb="FF0B3041"/>
        <rFont val="WenQuanYi Zen Hei"/>
        <family val="2"/>
      </rPr>
      <t xml:space="preserve">列</t>
    </r>
    <r>
      <rPr>
        <b val="true"/>
        <sz val="14"/>
        <color rgb="FF0B3041"/>
        <rFont val="游ゴシック"/>
        <family val="0"/>
        <charset val="1"/>
      </rPr>
      <t xml:space="preserve">1</t>
    </r>
    <r>
      <rPr>
        <b val="true"/>
        <sz val="14"/>
        <color rgb="FF0B3041"/>
        <rFont val="WenQuanYi Zen Hei"/>
        <family val="2"/>
      </rPr>
      <t xml:space="preserve">組（帳簿価額／売上高比）</t>
    </r>
  </si>
  <si>
    <t xml:space="preserve">売上高</t>
  </si>
  <si>
    <t xml:space="preserve">売上（製氷・加工氷・商品）</t>
  </si>
  <si>
    <t xml:space="preserve">保管料（冷蔵保管）</t>
  </si>
  <si>
    <t xml:space="preserve">受入手数料</t>
  </si>
  <si>
    <t xml:space="preserve">売上原価</t>
  </si>
  <si>
    <t xml:space="preserve">期首商品棚卸高</t>
  </si>
  <si>
    <t xml:space="preserve">商品仕入高</t>
  </si>
  <si>
    <t xml:space="preserve">期末商品棚卸高</t>
  </si>
  <si>
    <t xml:space="preserve">商品売上原価</t>
  </si>
  <si>
    <t xml:space="preserve">当期製品製造原価</t>
  </si>
  <si>
    <t xml:space="preserve">売上総利益</t>
  </si>
  <si>
    <t xml:space="preserve">販売費及び一般管理費</t>
  </si>
  <si>
    <t xml:space="preserve">給与関係費</t>
  </si>
  <si>
    <t xml:space="preserve">資産管理費</t>
  </si>
  <si>
    <t xml:space="preserve">輸送関係費</t>
  </si>
  <si>
    <t xml:space="preserve">交際販売関係費</t>
  </si>
  <si>
    <t xml:space="preserve">事務処理費</t>
  </si>
  <si>
    <t xml:space="preserve">その他</t>
  </si>
  <si>
    <t xml:space="preserve">支払手数料（一般業務費）</t>
  </si>
  <si>
    <r>
      <rPr>
        <sz val="8"/>
        <color rgb="FF404040"/>
        <rFont val="游ゴシック Medium"/>
        <family val="0"/>
        <charset val="1"/>
      </rPr>
      <t xml:space="preserve">66</t>
    </r>
    <r>
      <rPr>
        <sz val="8"/>
        <color rgb="FF404040"/>
        <rFont val="WenQuanYi Zen Hei"/>
        <family val="2"/>
      </rPr>
      <t xml:space="preserve">期から計上。内容（一過性の専門家報酬等か）は要確認</t>
    </r>
  </si>
  <si>
    <t xml:space="preserve">営業利益</t>
  </si>
  <si>
    <t xml:space="preserve">営業外収益</t>
  </si>
  <si>
    <t xml:space="preserve">受取利息</t>
  </si>
  <si>
    <t xml:space="preserve">受取配当金</t>
  </si>
  <si>
    <t xml:space="preserve">雑収入</t>
  </si>
  <si>
    <r>
      <rPr>
        <sz val="8"/>
        <color rgb="FF404040"/>
        <rFont val="游ゴシック Medium"/>
        <family val="0"/>
        <charset val="1"/>
      </rPr>
      <t xml:space="preserve">67</t>
    </r>
    <r>
      <rPr>
        <sz val="8"/>
        <color rgb="FF404040"/>
        <rFont val="WenQuanYi Zen Hei"/>
        <family val="2"/>
      </rPr>
      <t xml:space="preserve">期：無配当保険満期返戻金</t>
    </r>
    <r>
      <rPr>
        <sz val="8"/>
        <color rgb="FF404040"/>
        <rFont val="游ゴシック Medium"/>
        <family val="0"/>
        <charset val="1"/>
      </rPr>
      <t xml:space="preserve">2,295,725</t>
    </r>
    <r>
      <rPr>
        <sz val="8"/>
        <color rgb="FF404040"/>
        <rFont val="WenQuanYi Zen Hei"/>
        <family val="2"/>
      </rPr>
      <t xml:space="preserve">円を含む（非経常）。</t>
    </r>
    <r>
      <rPr>
        <sz val="8"/>
        <color rgb="FF404040"/>
        <rFont val="游ゴシック Medium"/>
        <family val="0"/>
        <charset val="1"/>
      </rPr>
      <t xml:space="preserve">65</t>
    </r>
    <r>
      <rPr>
        <sz val="8"/>
        <color rgb="FF404040"/>
        <rFont val="WenQuanYi Zen Hei"/>
        <family val="2"/>
      </rPr>
      <t xml:space="preserve">期</t>
    </r>
    <r>
      <rPr>
        <sz val="8"/>
        <color rgb="FF404040"/>
        <rFont val="游ゴシック Medium"/>
        <family val="0"/>
        <charset val="1"/>
      </rPr>
      <t xml:space="preserve">8,482,408</t>
    </r>
    <r>
      <rPr>
        <sz val="8"/>
        <color rgb="FF404040"/>
        <rFont val="WenQuanYi Zen Hei"/>
        <family val="2"/>
      </rPr>
      <t xml:space="preserve">円の内容は要確認</t>
    </r>
  </si>
  <si>
    <t xml:space="preserve">有価証券売却益</t>
  </si>
  <si>
    <t xml:space="preserve">営業外費用</t>
  </si>
  <si>
    <t xml:space="preserve">支払利息</t>
  </si>
  <si>
    <t xml:space="preserve">雑損</t>
  </si>
  <si>
    <r>
      <rPr>
        <sz val="8"/>
        <color rgb="FF404040"/>
        <rFont val="游ゴシック Medium"/>
        <family val="0"/>
        <charset val="1"/>
      </rPr>
      <t xml:space="preserve">65</t>
    </r>
    <r>
      <rPr>
        <sz val="8"/>
        <color rgb="FF404040"/>
        <rFont val="WenQuanYi Zen Hei"/>
        <family val="2"/>
      </rPr>
      <t xml:space="preserve">期</t>
    </r>
    <r>
      <rPr>
        <sz val="8"/>
        <color rgb="FF404040"/>
        <rFont val="游ゴシック Medium"/>
        <family val="0"/>
        <charset val="1"/>
      </rPr>
      <t xml:space="preserve">5,192,049</t>
    </r>
    <r>
      <rPr>
        <sz val="8"/>
        <color rgb="FF404040"/>
        <rFont val="WenQuanYi Zen Hei"/>
        <family val="2"/>
      </rPr>
      <t xml:space="preserve">円の内容は要確認。</t>
    </r>
    <r>
      <rPr>
        <sz val="8"/>
        <color rgb="FF404040"/>
        <rFont val="游ゴシック Medium"/>
        <family val="0"/>
        <charset val="1"/>
      </rPr>
      <t xml:space="preserve">67</t>
    </r>
    <r>
      <rPr>
        <sz val="8"/>
        <color rgb="FF404040"/>
        <rFont val="WenQuanYi Zen Hei"/>
        <family val="2"/>
      </rPr>
      <t xml:space="preserve">期は資産廃棄</t>
    </r>
  </si>
  <si>
    <t xml:space="preserve">有価証券売却損</t>
  </si>
  <si>
    <t xml:space="preserve">経常利益</t>
  </si>
  <si>
    <t xml:space="preserve">特別利益</t>
  </si>
  <si>
    <t xml:space="preserve">特別損失</t>
  </si>
  <si>
    <t xml:space="preserve">税引前当期純利益</t>
  </si>
  <si>
    <t xml:space="preserve">法人税等</t>
  </si>
  <si>
    <r>
      <rPr>
        <sz val="8"/>
        <color rgb="FF404040"/>
        <rFont val="WenQuanYi Zen Hei"/>
        <family val="2"/>
      </rPr>
      <t xml:space="preserve">均等割中心。</t>
    </r>
    <r>
      <rPr>
        <sz val="8"/>
        <color rgb="FF404040"/>
        <rFont val="游ゴシック Medium"/>
        <family val="0"/>
        <charset val="1"/>
      </rPr>
      <t xml:space="preserve">67</t>
    </r>
    <r>
      <rPr>
        <sz val="8"/>
        <color rgb="FF404040"/>
        <rFont val="WenQuanYi Zen Hei"/>
        <family val="2"/>
      </rPr>
      <t xml:space="preserve">期は繰越欠損金</t>
    </r>
    <r>
      <rPr>
        <sz val="8"/>
        <color rgb="FF404040"/>
        <rFont val="游ゴシック Medium"/>
        <family val="0"/>
        <charset val="1"/>
      </rPr>
      <t xml:space="preserve">1,356,059</t>
    </r>
    <r>
      <rPr>
        <sz val="8"/>
        <color rgb="FF404040"/>
        <rFont val="WenQuanYi Zen Hei"/>
        <family val="2"/>
      </rPr>
      <t xml:space="preserve">円を使用し所得</t>
    </r>
    <r>
      <rPr>
        <sz val="8"/>
        <color rgb="FF404040"/>
        <rFont val="游ゴシック Medium"/>
        <family val="0"/>
        <charset val="1"/>
      </rPr>
      <t xml:space="preserve">517,708</t>
    </r>
    <r>
      <rPr>
        <sz val="8"/>
        <color rgb="FF404040"/>
        <rFont val="WenQuanYi Zen Hei"/>
        <family val="2"/>
      </rPr>
      <t xml:space="preserve">円</t>
    </r>
  </si>
  <si>
    <t xml:space="preserve">当期純利益</t>
  </si>
  <si>
    <t xml:space="preserve">（参考）減価償却費（製造原価＋販管費）</t>
  </si>
  <si>
    <r>
      <rPr>
        <b val="true"/>
        <sz val="9"/>
        <rFont val="WenQuanYi Zen Hei"/>
        <family val="2"/>
      </rPr>
      <t xml:space="preserve">（参考）</t>
    </r>
    <r>
      <rPr>
        <b val="true"/>
        <sz val="9"/>
        <rFont val="游ゴシック"/>
        <family val="0"/>
        <charset val="1"/>
      </rPr>
      <t xml:space="preserve">EBITDA</t>
    </r>
    <r>
      <rPr>
        <b val="true"/>
        <sz val="9"/>
        <rFont val="WenQuanYi Zen Hei"/>
        <family val="2"/>
      </rPr>
      <t xml:space="preserve">（営業利益＋減価償却費）</t>
    </r>
  </si>
  <si>
    <t xml:space="preserve">当期純利益の整合チェック（純資産増減＝当期純利益）</t>
  </si>
  <si>
    <t xml:space="preserve">営業利益の決算書記載値チェック</t>
  </si>
  <si>
    <t xml:space="preserve">製造原価報告書　単位：千円（入力は円）</t>
  </si>
  <si>
    <t xml:space="preserve">【原材料費】</t>
  </si>
  <si>
    <t xml:space="preserve">原材料期首棚卸高</t>
  </si>
  <si>
    <t xml:space="preserve">原材料仕入高</t>
  </si>
  <si>
    <t xml:space="preserve">原材料期末棚卸高</t>
  </si>
  <si>
    <t xml:space="preserve">【労務費】</t>
  </si>
  <si>
    <t xml:space="preserve">給与</t>
  </si>
  <si>
    <t xml:space="preserve">賞与</t>
  </si>
  <si>
    <t xml:space="preserve">退職給与</t>
  </si>
  <si>
    <r>
      <rPr>
        <sz val="8"/>
        <color rgb="FF404040"/>
        <rFont val="游ゴシック Medium"/>
        <family val="0"/>
        <charset val="1"/>
      </rPr>
      <t xml:space="preserve">67</t>
    </r>
    <r>
      <rPr>
        <sz val="8"/>
        <color rgb="FF404040"/>
        <rFont val="WenQuanYi Zen Hei"/>
        <family val="2"/>
      </rPr>
      <t xml:space="preserve">期</t>
    </r>
    <r>
      <rPr>
        <sz val="8"/>
        <color rgb="FF404040"/>
        <rFont val="游ゴシック Medium"/>
        <family val="0"/>
        <charset val="1"/>
      </rPr>
      <t xml:space="preserve">6,177,985</t>
    </r>
    <r>
      <rPr>
        <sz val="8"/>
        <color rgb="FF404040"/>
        <rFont val="WenQuanYi Zen Hei"/>
        <family val="2"/>
      </rPr>
      <t xml:space="preserve">円は過去</t>
    </r>
    <r>
      <rPr>
        <sz val="8"/>
        <color rgb="FF404040"/>
        <rFont val="游ゴシック Medium"/>
        <family val="0"/>
        <charset val="1"/>
      </rPr>
      <t xml:space="preserve">3</t>
    </r>
    <r>
      <rPr>
        <sz val="8"/>
        <color rgb="FF404040"/>
        <rFont val="WenQuanYi Zen Hei"/>
        <family val="2"/>
      </rPr>
      <t xml:space="preserve">期に発生のない臨時的支出と推察（退職者・規程は要確認）</t>
    </r>
  </si>
  <si>
    <t xml:space="preserve">法定福利費</t>
  </si>
  <si>
    <t xml:space="preserve">厚生福利費</t>
  </si>
  <si>
    <t xml:space="preserve">通勤費</t>
  </si>
  <si>
    <t xml:space="preserve">【製造経費】</t>
  </si>
  <si>
    <t xml:space="preserve">設備保守料</t>
  </si>
  <si>
    <t xml:space="preserve">損害保険料</t>
  </si>
  <si>
    <t xml:space="preserve">備品費</t>
  </si>
  <si>
    <t xml:space="preserve">地代家賃</t>
  </si>
  <si>
    <t xml:space="preserve">借上料</t>
  </si>
  <si>
    <t xml:space="preserve">修繕費</t>
  </si>
  <si>
    <t xml:space="preserve">光熱費</t>
  </si>
  <si>
    <t xml:space="preserve">動力費</t>
  </si>
  <si>
    <r>
      <rPr>
        <sz val="8"/>
        <color rgb="FF404040"/>
        <rFont val="WenQuanYi Zen Hei"/>
        <family val="2"/>
      </rPr>
      <t xml:space="preserve">電力料。</t>
    </r>
    <r>
      <rPr>
        <sz val="8"/>
        <color rgb="FF404040"/>
        <rFont val="游ゴシック Medium"/>
        <family val="0"/>
        <charset val="1"/>
      </rPr>
      <t xml:space="preserve">64</t>
    </r>
    <r>
      <rPr>
        <sz val="8"/>
        <color rgb="FF404040"/>
        <rFont val="WenQuanYi Zen Hei"/>
        <family val="2"/>
      </rPr>
      <t xml:space="preserve">期は電気料金高騰期</t>
    </r>
  </si>
  <si>
    <t xml:space="preserve">薬品諸油費</t>
  </si>
  <si>
    <t xml:space="preserve">消耗品費</t>
  </si>
  <si>
    <t xml:space="preserve">衛生費</t>
  </si>
  <si>
    <t xml:space="preserve">原水処理費</t>
  </si>
  <si>
    <t xml:space="preserve">車輛関係費</t>
  </si>
  <si>
    <t xml:space="preserve">車輛保険料</t>
  </si>
  <si>
    <t xml:space="preserve">事務関係費</t>
  </si>
  <si>
    <t xml:space="preserve">通信費</t>
  </si>
  <si>
    <t xml:space="preserve">新聞図書費</t>
  </si>
  <si>
    <t xml:space="preserve">旅費交通費</t>
  </si>
  <si>
    <t xml:space="preserve">会議研修費</t>
  </si>
  <si>
    <t xml:space="preserve">組合費</t>
  </si>
  <si>
    <t xml:space="preserve">雑費</t>
  </si>
  <si>
    <t xml:space="preserve">税金公課</t>
  </si>
  <si>
    <t xml:space="preserve">減価償却費</t>
  </si>
  <si>
    <r>
      <rPr>
        <sz val="8"/>
        <color rgb="FF404040"/>
        <rFont val="游ゴシック Medium"/>
        <family val="0"/>
        <charset val="1"/>
      </rPr>
      <t xml:space="preserve">64</t>
    </r>
    <r>
      <rPr>
        <sz val="8"/>
        <color rgb="FF404040"/>
        <rFont val="WenQuanYi Zen Hei"/>
        <family val="2"/>
      </rPr>
      <t xml:space="preserve">期はほぼ償却計上なし（</t>
    </r>
    <r>
      <rPr>
        <sz val="8"/>
        <color rgb="FF404040"/>
        <rFont val="游ゴシック Medium"/>
        <family val="0"/>
        <charset val="1"/>
      </rPr>
      <t xml:space="preserve">19,763</t>
    </r>
    <r>
      <rPr>
        <sz val="8"/>
        <color rgb="FF404040"/>
        <rFont val="WenQuanYi Zen Hei"/>
        <family val="2"/>
      </rPr>
      <t xml:space="preserve">円）</t>
    </r>
  </si>
  <si>
    <t xml:space="preserve">【外注加工費】</t>
  </si>
  <si>
    <t xml:space="preserve">外注作業費</t>
  </si>
  <si>
    <t xml:space="preserve">【製造勘定】</t>
  </si>
  <si>
    <t xml:space="preserve">期首仕掛品</t>
  </si>
  <si>
    <t xml:space="preserve">期末仕掛品</t>
  </si>
  <si>
    <t xml:space="preserve">販売費及び一般管理費　単位：千円（入力は円）</t>
  </si>
  <si>
    <t xml:space="preserve">（給与関係費）</t>
  </si>
  <si>
    <t xml:space="preserve">役員報酬</t>
  </si>
  <si>
    <r>
      <rPr>
        <sz val="8"/>
        <color rgb="FF404040"/>
        <rFont val="WenQuanYi Zen Hei"/>
        <family val="2"/>
      </rPr>
      <t xml:space="preserve">代表取締役 小野田洋 月額</t>
    </r>
    <r>
      <rPr>
        <sz val="8"/>
        <color rgb="FF404040"/>
        <rFont val="游ゴシック Medium"/>
        <family val="0"/>
        <charset val="1"/>
      </rPr>
      <t xml:space="preserve">600</t>
    </r>
    <r>
      <rPr>
        <sz val="8"/>
        <color rgb="FF404040"/>
        <rFont val="WenQuanYi Zen Hei"/>
        <family val="2"/>
      </rPr>
      <t xml:space="preserve">千円</t>
    </r>
  </si>
  <si>
    <t xml:space="preserve">退職共済金</t>
  </si>
  <si>
    <t xml:space="preserve">福利厚生費</t>
  </si>
  <si>
    <t xml:space="preserve">（資産管理費）</t>
  </si>
  <si>
    <r>
      <rPr>
        <sz val="8"/>
        <color rgb="FF404040"/>
        <rFont val="WenQuanYi Zen Hei"/>
        <family val="2"/>
      </rPr>
      <t xml:space="preserve">駐車場（代表者から賃借）</t>
    </r>
    <r>
      <rPr>
        <sz val="8"/>
        <color rgb="FF404040"/>
        <rFont val="游ゴシック Medium"/>
        <family val="0"/>
        <charset val="1"/>
      </rPr>
      <t xml:space="preserve">545,460</t>
    </r>
    <r>
      <rPr>
        <sz val="8"/>
        <color rgb="FF404040"/>
        <rFont val="WenQuanYi Zen Hei"/>
        <family val="2"/>
      </rPr>
      <t xml:space="preserve">円＋松戸営業所店舗</t>
    </r>
    <r>
      <rPr>
        <sz val="8"/>
        <color rgb="FF404040"/>
        <rFont val="游ゴシック Medium"/>
        <family val="0"/>
        <charset val="1"/>
      </rPr>
      <t xml:space="preserve">1,200,000</t>
    </r>
    <r>
      <rPr>
        <sz val="8"/>
        <color rgb="FF404040"/>
        <rFont val="WenQuanYi Zen Hei"/>
        <family val="2"/>
      </rPr>
      <t xml:space="preserve">円</t>
    </r>
  </si>
  <si>
    <t xml:space="preserve">水道料</t>
  </si>
  <si>
    <t xml:space="preserve">（輸送関係費）</t>
  </si>
  <si>
    <t xml:space="preserve">車輛借上料</t>
  </si>
  <si>
    <t xml:space="preserve">運賃</t>
  </si>
  <si>
    <t xml:space="preserve">配送委託（倉橋運送・鴻池運輸等）</t>
  </si>
  <si>
    <t xml:space="preserve">（交際販売関係費）</t>
  </si>
  <si>
    <t xml:space="preserve">交際接待費</t>
  </si>
  <si>
    <t xml:space="preserve">販売関係費</t>
  </si>
  <si>
    <t xml:space="preserve">広告宣伝費</t>
  </si>
  <si>
    <t xml:space="preserve">（事務処理費）</t>
  </si>
  <si>
    <t xml:space="preserve">（その他）</t>
  </si>
  <si>
    <t xml:space="preserve">販売費及び一般管理費 合計</t>
  </si>
  <si>
    <r>
      <rPr>
        <b val="true"/>
        <sz val="14"/>
        <color rgb="FF0B3041"/>
        <rFont val="游ゴシック"/>
        <family val="0"/>
        <charset val="1"/>
      </rPr>
      <t xml:space="preserve">VR </t>
    </r>
    <r>
      <rPr>
        <b val="true"/>
        <sz val="14"/>
        <color rgb="FF0B3041"/>
        <rFont val="WenQuanYi Zen Hei"/>
        <family val="2"/>
      </rPr>
      <t xml:space="preserve">セクション</t>
    </r>
  </si>
  <si>
    <t xml:space="preserve">株式価値の試算結果（サマリー）　単位：千円</t>
  </si>
  <si>
    <t xml:space="preserve">手法</t>
  </si>
  <si>
    <t xml:space="preserve">下限</t>
  </si>
  <si>
    <t xml:space="preserve">中央</t>
  </si>
  <si>
    <t xml:space="preserve">上限</t>
  </si>
  <si>
    <t xml:space="preserve">コストアプローチ（年買法）</t>
  </si>
  <si>
    <t xml:space="preserve">時価純資産がマイナスのため、営業権を加算しても株式価値はマイナス</t>
  </si>
  <si>
    <r>
      <rPr>
        <sz val="9"/>
        <rFont val="WenQuanYi Zen Hei"/>
        <family val="2"/>
      </rPr>
      <t xml:space="preserve">マーケットアプローチ（</t>
    </r>
    <r>
      <rPr>
        <sz val="9"/>
        <rFont val="游ゴシック"/>
        <family val="0"/>
        <charset val="1"/>
      </rPr>
      <t xml:space="preserve">EV/EBITDA</t>
    </r>
    <r>
      <rPr>
        <sz val="9"/>
        <rFont val="WenQuanYi Zen Hei"/>
        <family val="2"/>
      </rPr>
      <t xml:space="preserve">法）</t>
    </r>
  </si>
  <si>
    <r>
      <rPr>
        <sz val="9"/>
        <rFont val="WenQuanYi Zen Hei"/>
        <family val="2"/>
      </rPr>
      <t xml:space="preserve">有利子負債（</t>
    </r>
    <r>
      <rPr>
        <sz val="9"/>
        <rFont val="游ゴシック"/>
        <family val="0"/>
        <charset val="1"/>
      </rPr>
      <t xml:space="preserve">461,024</t>
    </r>
    <r>
      <rPr>
        <sz val="9"/>
        <rFont val="WenQuanYi Zen Hei"/>
        <family val="2"/>
      </rPr>
      <t xml:space="preserve">千円）が事業価値を上回るためマイナス</t>
    </r>
  </si>
  <si>
    <t xml:space="preserve">（参考）時価純資産</t>
  </si>
  <si>
    <t xml:space="preserve">（参考）簿価純資産</t>
  </si>
  <si>
    <r>
      <rPr>
        <sz val="9"/>
        <rFont val="WenQuanYi Zen Hei"/>
        <family val="2"/>
      </rPr>
      <t xml:space="preserve">（参考）事業価値</t>
    </r>
    <r>
      <rPr>
        <sz val="9"/>
        <rFont val="游ゴシック"/>
        <family val="0"/>
        <charset val="1"/>
      </rPr>
      <t xml:space="preserve">EV</t>
    </r>
    <r>
      <rPr>
        <sz val="9"/>
        <rFont val="WenQuanYi Zen Hei"/>
        <family val="2"/>
      </rPr>
      <t xml:space="preserve">（ディスカウント後）</t>
    </r>
  </si>
  <si>
    <t xml:space="preserve">（参考）ネットデット</t>
  </si>
  <si>
    <t xml:space="preserve">（感応度）年買法・建物簿価評価の場合</t>
  </si>
  <si>
    <t xml:space="preserve">建物の評価替えを行わない場合。買手が建物の残存価値をどう見るかで大きく変動</t>
  </si>
  <si>
    <t xml:space="preserve">結論：算定上の株式価値</t>
  </si>
  <si>
    <r>
      <rPr>
        <sz val="9"/>
        <rFont val="WenQuanYi Zen Hei"/>
        <family val="2"/>
      </rPr>
      <t xml:space="preserve">基本ケース（建物＝固定資産税評価額）では両手法とも算定上マイナスで、株式価値は備忘価額程度。ただし建物を簿価評価すると年買法はプラス（</t>
    </r>
    <r>
      <rPr>
        <sz val="9"/>
        <rFont val="游ゴシック"/>
        <family val="0"/>
        <charset val="1"/>
      </rPr>
      <t xml:space="preserve">11</t>
    </r>
    <r>
      <rPr>
        <sz val="9"/>
        <rFont val="WenQuanYi Zen Hei"/>
        <family val="2"/>
      </rPr>
      <t xml:space="preserve">行）に転じるため、建物時価の検証が最重要。実質的な交渉論点は有利子負債の承継・代表者保証の解除・担保差替え</t>
    </r>
  </si>
  <si>
    <r>
      <rPr>
        <b val="true"/>
        <sz val="14"/>
        <color rgb="FF0B3041"/>
        <rFont val="WenQuanYi Zen Hei"/>
        <family val="2"/>
      </rPr>
      <t xml:space="preserve">修正貸借対照表（資産の部）　評価基準日：</t>
    </r>
    <r>
      <rPr>
        <b val="true"/>
        <sz val="14"/>
        <color rgb="FF0B3041"/>
        <rFont val="游ゴシック"/>
        <family val="0"/>
        <charset val="1"/>
      </rPr>
      <t xml:space="preserve">2026</t>
    </r>
    <r>
      <rPr>
        <b val="true"/>
        <sz val="14"/>
        <color rgb="FF0B3041"/>
        <rFont val="WenQuanYi Zen Hei"/>
        <family val="2"/>
      </rPr>
      <t xml:space="preserve">年</t>
    </r>
    <r>
      <rPr>
        <b val="true"/>
        <sz val="14"/>
        <color rgb="FF0B3041"/>
        <rFont val="游ゴシック"/>
        <family val="0"/>
        <charset val="1"/>
      </rPr>
      <t xml:space="preserve">3</t>
    </r>
    <r>
      <rPr>
        <b val="true"/>
        <sz val="14"/>
        <color rgb="FF0B3041"/>
        <rFont val="WenQuanYi Zen Hei"/>
        <family val="2"/>
      </rPr>
      <t xml:space="preserve">月</t>
    </r>
    <r>
      <rPr>
        <b val="true"/>
        <sz val="14"/>
        <color rgb="FF0B3041"/>
        <rFont val="游ゴシック"/>
        <family val="0"/>
        <charset val="1"/>
      </rPr>
      <t xml:space="preserve">31</t>
    </r>
    <r>
      <rPr>
        <b val="true"/>
        <sz val="14"/>
        <color rgb="FF0B3041"/>
        <rFont val="WenQuanYi Zen Hei"/>
        <family val="2"/>
      </rPr>
      <t xml:space="preserve">日　単位：千円</t>
    </r>
  </si>
  <si>
    <t xml:space="preserve">簿価</t>
  </si>
  <si>
    <t xml:space="preserve">修正額</t>
  </si>
  <si>
    <t xml:space="preserve">修正後</t>
  </si>
  <si>
    <t xml:space="preserve">修正内容</t>
  </si>
  <si>
    <t xml:space="preserve">現金及び預金（保険積立除く）</t>
  </si>
  <si>
    <r>
      <rPr>
        <sz val="9"/>
        <rFont val="WenQuanYi Zen Hei"/>
        <family val="2"/>
      </rPr>
      <t xml:space="preserve">定期預金の内訳差異</t>
    </r>
    <r>
      <rPr>
        <sz val="9"/>
        <rFont val="游ゴシック"/>
        <family val="0"/>
        <charset val="1"/>
      </rPr>
      <t xml:space="preserve">6,800</t>
    </r>
    <r>
      <rPr>
        <sz val="9"/>
        <rFont val="WenQuanYi Zen Hei"/>
        <family val="2"/>
      </rPr>
      <t xml:space="preserve">千円は要確認</t>
    </r>
  </si>
  <si>
    <t xml:space="preserve">年齢表未受領のため簿価</t>
  </si>
  <si>
    <t xml:space="preserve">棚卸資産</t>
  </si>
  <si>
    <t xml:space="preserve">滞留在庫は要確認のため簿価</t>
  </si>
  <si>
    <t xml:space="preserve">その他流動資産</t>
  </si>
  <si>
    <t xml:space="preserve">従業員貸付金・未収金・前払費用等</t>
  </si>
  <si>
    <t xml:space="preserve">保険積立金</t>
  </si>
  <si>
    <t xml:space="preserve">解約返戻金未受領のため簿価（要確認）</t>
  </si>
  <si>
    <t xml:space="preserve">固定資産税評価額へ評価替え</t>
  </si>
  <si>
    <t xml:space="preserve">当期償却不足額を減額</t>
  </si>
  <si>
    <t xml:space="preserve">車両運搬具・器具備品</t>
  </si>
  <si>
    <t xml:space="preserve">償却不足なし</t>
  </si>
  <si>
    <r>
      <rPr>
        <sz val="9"/>
        <rFont val="WenQuanYi Zen Hei"/>
        <family val="2"/>
      </rPr>
      <t xml:space="preserve">固定資産税評価額</t>
    </r>
    <r>
      <rPr>
        <sz val="9"/>
        <rFont val="游ゴシック"/>
        <family val="0"/>
        <charset val="1"/>
      </rPr>
      <t xml:space="preserve">÷0.7</t>
    </r>
  </si>
  <si>
    <t xml:space="preserve">簿価（商標の内容は要確認）</t>
  </si>
  <si>
    <r>
      <rPr>
        <sz val="9"/>
        <rFont val="WenQuanYi Zen Hei"/>
        <family val="2"/>
      </rPr>
      <t xml:space="preserve">簿価の検算（</t>
    </r>
    <r>
      <rPr>
        <sz val="9"/>
        <rFont val="游ゴシック"/>
        <family val="0"/>
        <charset val="1"/>
      </rPr>
      <t xml:space="preserve">BS</t>
    </r>
    <r>
      <rPr>
        <sz val="9"/>
        <rFont val="WenQuanYi Zen Hei"/>
        <family val="2"/>
      </rPr>
      <t xml:space="preserve">資産合計との一致）</t>
    </r>
  </si>
  <si>
    <r>
      <rPr>
        <b val="true"/>
        <sz val="14"/>
        <color rgb="FF0B3041"/>
        <rFont val="WenQuanYi Zen Hei"/>
        <family val="2"/>
      </rPr>
      <t xml:space="preserve">修正貸借対照表（負債・純資産の部）　評価基準日：</t>
    </r>
    <r>
      <rPr>
        <b val="true"/>
        <sz val="14"/>
        <color rgb="FF0B3041"/>
        <rFont val="游ゴシック"/>
        <family val="0"/>
        <charset val="1"/>
      </rPr>
      <t xml:space="preserve">2026</t>
    </r>
    <r>
      <rPr>
        <b val="true"/>
        <sz val="14"/>
        <color rgb="FF0B3041"/>
        <rFont val="WenQuanYi Zen Hei"/>
        <family val="2"/>
      </rPr>
      <t xml:space="preserve">年</t>
    </r>
    <r>
      <rPr>
        <b val="true"/>
        <sz val="14"/>
        <color rgb="FF0B3041"/>
        <rFont val="游ゴシック"/>
        <family val="0"/>
        <charset val="1"/>
      </rPr>
      <t xml:space="preserve">3</t>
    </r>
    <r>
      <rPr>
        <b val="true"/>
        <sz val="14"/>
        <color rgb="FF0B3041"/>
        <rFont val="WenQuanYi Zen Hei"/>
        <family val="2"/>
      </rPr>
      <t xml:space="preserve">月</t>
    </r>
    <r>
      <rPr>
        <b val="true"/>
        <sz val="14"/>
        <color rgb="FF0B3041"/>
        <rFont val="游ゴシック"/>
        <family val="0"/>
        <charset val="1"/>
      </rPr>
      <t xml:space="preserve">31</t>
    </r>
    <r>
      <rPr>
        <b val="true"/>
        <sz val="14"/>
        <color rgb="FF0B3041"/>
        <rFont val="WenQuanYi Zen Hei"/>
        <family val="2"/>
      </rPr>
      <t xml:space="preserve">日　単位：千円</t>
    </r>
  </si>
  <si>
    <t xml:space="preserve">支払手形・買掛金</t>
  </si>
  <si>
    <t xml:space="preserve">—</t>
  </si>
  <si>
    <t xml:space="preserve">借入金（短期・長期）</t>
  </si>
  <si>
    <r>
      <rPr>
        <sz val="9"/>
        <rFont val="WenQuanYi Zen Hei"/>
        <family val="2"/>
      </rPr>
      <t xml:space="preserve">代表者借入</t>
    </r>
    <r>
      <rPr>
        <sz val="9"/>
        <rFont val="游ゴシック"/>
        <family val="0"/>
        <charset val="1"/>
      </rPr>
      <t xml:space="preserve">14,000</t>
    </r>
    <r>
      <rPr>
        <sz val="9"/>
        <rFont val="WenQuanYi Zen Hei"/>
        <family val="2"/>
      </rPr>
      <t xml:space="preserve">千円・公庫資本性ローン</t>
    </r>
    <r>
      <rPr>
        <sz val="9"/>
        <rFont val="游ゴシック"/>
        <family val="0"/>
        <charset val="1"/>
      </rPr>
      <t xml:space="preserve">105,420</t>
    </r>
    <r>
      <rPr>
        <sz val="9"/>
        <rFont val="WenQuanYi Zen Hei"/>
        <family val="2"/>
      </rPr>
      <t xml:space="preserve">千円を含む</t>
    </r>
  </si>
  <si>
    <r>
      <rPr>
        <sz val="9"/>
        <rFont val="游ゴシック"/>
        <family val="0"/>
        <charset val="1"/>
      </rPr>
      <t xml:space="preserve">3</t>
    </r>
    <r>
      <rPr>
        <sz val="9"/>
        <rFont val="WenQuanYi Zen Hei"/>
        <family val="2"/>
      </rPr>
      <t xml:space="preserve">月分給与・未払消費税を含む</t>
    </r>
  </si>
  <si>
    <t xml:space="preserve">未払法人税等</t>
  </si>
  <si>
    <t xml:space="preserve">その他流動負債</t>
  </si>
  <si>
    <t xml:space="preserve">賞与引当金</t>
  </si>
  <si>
    <t xml:space="preserve">支給規程未確認のため未計上（要確認）</t>
  </si>
  <si>
    <t xml:space="preserve">退職給付引当金</t>
  </si>
  <si>
    <t xml:space="preserve">退職金規程未確認のため未計上（要確認）</t>
  </si>
  <si>
    <t xml:space="preserve">評価差額に係る税効果</t>
  </si>
  <si>
    <t xml:space="preserve">「税効果」シート参照</t>
  </si>
  <si>
    <t xml:space="preserve">純資産（時価純資産）</t>
  </si>
  <si>
    <r>
      <rPr>
        <sz val="9"/>
        <rFont val="WenQuanYi Zen Hei"/>
        <family val="2"/>
      </rPr>
      <t xml:space="preserve">簿価純資産の検算（</t>
    </r>
    <r>
      <rPr>
        <sz val="9"/>
        <rFont val="游ゴシック"/>
        <family val="0"/>
        <charset val="1"/>
      </rPr>
      <t xml:space="preserve">BS</t>
    </r>
    <r>
      <rPr>
        <sz val="9"/>
        <rFont val="WenQuanYi Zen Hei"/>
        <family val="2"/>
      </rPr>
      <t xml:space="preserve">純資産との一致）</t>
    </r>
  </si>
  <si>
    <t xml:space="preserve">売掛金・棚卸資産の評価</t>
  </si>
  <si>
    <t xml:space="preserve">売掛金：年齢表・補助残高一覧が未受領のため簿価評価（要確認）。月末締め翌月末回収（法人事業概況説明書）。</t>
  </si>
  <si>
    <r>
      <rPr>
        <sz val="9"/>
        <rFont val="WenQuanYi Zen Hei"/>
        <family val="2"/>
      </rPr>
      <t xml:space="preserve">　</t>
    </r>
    <r>
      <rPr>
        <sz val="9"/>
        <rFont val="游ゴシック"/>
        <family val="0"/>
        <charset val="1"/>
      </rPr>
      <t xml:space="preserve">67</t>
    </r>
    <r>
      <rPr>
        <sz val="9"/>
        <rFont val="WenQuanYi Zen Hei"/>
        <family val="2"/>
      </rPr>
      <t xml:space="preserve">期内訳書の上位先合計が残高を</t>
    </r>
    <r>
      <rPr>
        <sz val="9"/>
        <rFont val="游ゴシック"/>
        <family val="0"/>
        <charset val="1"/>
      </rPr>
      <t xml:space="preserve">1,723,680</t>
    </r>
    <r>
      <rPr>
        <sz val="9"/>
        <rFont val="WenQuanYi Zen Hei"/>
        <family val="2"/>
      </rPr>
      <t xml:space="preserve">円超過しており、</t>
    </r>
    <r>
      <rPr>
        <sz val="9"/>
        <rFont val="游ゴシック"/>
        <family val="0"/>
        <charset val="1"/>
      </rPr>
      <t xml:space="preserve">(</t>
    </r>
    <r>
      <rPr>
        <sz val="9"/>
        <rFont val="WenQuanYi Zen Hei"/>
        <family val="2"/>
      </rPr>
      <t xml:space="preserve">株</t>
    </r>
    <r>
      <rPr>
        <sz val="9"/>
        <rFont val="游ゴシック"/>
        <family val="0"/>
        <charset val="1"/>
      </rPr>
      <t xml:space="preserve">)</t>
    </r>
    <r>
      <rPr>
        <sz val="9"/>
        <rFont val="WenQuanYi Zen Hei"/>
        <family val="2"/>
      </rPr>
      <t xml:space="preserve">小野田商店の計上区分を確認する（要確認）。</t>
    </r>
  </si>
  <si>
    <r>
      <rPr>
        <sz val="9"/>
        <rFont val="WenQuanYi Zen Hei"/>
        <family val="2"/>
      </rPr>
      <t xml:space="preserve">　</t>
    </r>
    <r>
      <rPr>
        <sz val="9"/>
        <rFont val="游ゴシック"/>
        <family val="0"/>
        <charset val="1"/>
      </rPr>
      <t xml:space="preserve">(</t>
    </r>
    <r>
      <rPr>
        <sz val="9"/>
        <rFont val="WenQuanYi Zen Hei"/>
        <family val="2"/>
      </rPr>
      <t xml:space="preserve">株</t>
    </r>
    <r>
      <rPr>
        <sz val="9"/>
        <rFont val="游ゴシック"/>
        <family val="0"/>
        <charset val="1"/>
      </rPr>
      <t xml:space="preserve">)</t>
    </r>
    <r>
      <rPr>
        <sz val="9"/>
        <rFont val="WenQuanYi Zen Hei"/>
        <family val="2"/>
      </rPr>
      <t xml:space="preserve">小野田商店は代表者と同姓であり、関連当事者取引か否かを確認する（要確認）。</t>
    </r>
  </si>
  <si>
    <r>
      <rPr>
        <sz val="9"/>
        <rFont val="WenQuanYi Zen Hei"/>
        <family val="2"/>
      </rPr>
      <t xml:space="preserve">棚卸資産：実地棚卸（</t>
    </r>
    <r>
      <rPr>
        <sz val="9"/>
        <rFont val="游ゴシック"/>
        <family val="0"/>
        <charset val="1"/>
      </rPr>
      <t xml:space="preserve">2026</t>
    </r>
    <r>
      <rPr>
        <sz val="9"/>
        <rFont val="WenQuanYi Zen Hei"/>
        <family val="2"/>
      </rPr>
      <t xml:space="preserve">年</t>
    </r>
    <r>
      <rPr>
        <sz val="9"/>
        <rFont val="游ゴシック"/>
        <family val="0"/>
        <charset val="1"/>
      </rPr>
      <t xml:space="preserve">3</t>
    </r>
    <r>
      <rPr>
        <sz val="9"/>
        <rFont val="WenQuanYi Zen Hei"/>
        <family val="2"/>
      </rPr>
      <t xml:space="preserve">月</t>
    </r>
    <r>
      <rPr>
        <sz val="9"/>
        <rFont val="游ゴシック"/>
        <family val="0"/>
        <charset val="1"/>
      </rPr>
      <t xml:space="preserve">31</t>
    </r>
    <r>
      <rPr>
        <sz val="9"/>
        <rFont val="WenQuanYi Zen Hei"/>
        <family val="2"/>
      </rPr>
      <t xml:space="preserve">日実施）に基づく計上。商品</t>
    </r>
    <r>
      <rPr>
        <sz val="9"/>
        <rFont val="游ゴシック"/>
        <family val="0"/>
        <charset val="1"/>
      </rPr>
      <t xml:space="preserve">20,661</t>
    </r>
    <r>
      <rPr>
        <sz val="9"/>
        <rFont val="WenQuanYi Zen Hei"/>
        <family val="2"/>
      </rPr>
      <t xml:space="preserve">千円（加工氷・袋氷等）、原材料</t>
    </r>
    <r>
      <rPr>
        <sz val="9"/>
        <rFont val="游ゴシック"/>
        <family val="0"/>
        <charset val="1"/>
      </rPr>
      <t xml:space="preserve">12,953</t>
    </r>
    <r>
      <rPr>
        <sz val="9"/>
        <rFont val="WenQuanYi Zen Hei"/>
        <family val="2"/>
      </rPr>
      <t xml:space="preserve">千円（ロール・段ボール・ビニール袋等）。滞留・陳腐化の有無は要確認のため簿価評価。</t>
    </r>
  </si>
  <si>
    <r>
      <rPr>
        <b val="true"/>
        <sz val="14"/>
        <color rgb="FF0B3041"/>
        <rFont val="WenQuanYi Zen Hei"/>
        <family val="2"/>
      </rPr>
      <t xml:space="preserve">減価償却資産の検討（評価基準日：</t>
    </r>
    <r>
      <rPr>
        <b val="true"/>
        <sz val="14"/>
        <color rgb="FF0B3041"/>
        <rFont val="游ゴシック"/>
        <family val="0"/>
        <charset val="1"/>
      </rPr>
      <t xml:space="preserve">2026</t>
    </r>
    <r>
      <rPr>
        <b val="true"/>
        <sz val="14"/>
        <color rgb="FF0B3041"/>
        <rFont val="WenQuanYi Zen Hei"/>
        <family val="2"/>
      </rPr>
      <t xml:space="preserve">年</t>
    </r>
    <r>
      <rPr>
        <b val="true"/>
        <sz val="14"/>
        <color rgb="FF0B3041"/>
        <rFont val="游ゴシック"/>
        <family val="0"/>
        <charset val="1"/>
      </rPr>
      <t xml:space="preserve">3</t>
    </r>
    <r>
      <rPr>
        <b val="true"/>
        <sz val="14"/>
        <color rgb="FF0B3041"/>
        <rFont val="WenQuanYi Zen Hei"/>
        <family val="2"/>
      </rPr>
      <t xml:space="preserve">月</t>
    </r>
    <r>
      <rPr>
        <b val="true"/>
        <sz val="14"/>
        <color rgb="FF0B3041"/>
        <rFont val="游ゴシック"/>
        <family val="0"/>
        <charset val="1"/>
      </rPr>
      <t xml:space="preserve">31</t>
    </r>
    <r>
      <rPr>
        <b val="true"/>
        <sz val="14"/>
        <color rgb="FF0B3041"/>
        <rFont val="WenQuanYi Zen Hei"/>
        <family val="2"/>
      </rPr>
      <t xml:space="preserve">日）</t>
    </r>
  </si>
  <si>
    <t xml:space="preserve">件数</t>
  </si>
  <si>
    <t xml:space="preserve">取得価額</t>
  </si>
  <si>
    <t xml:space="preserve">期末簿価</t>
  </si>
  <si>
    <t xml:space="preserve">当期償却額</t>
  </si>
  <si>
    <t xml:space="preserve">当期償却不足額</t>
  </si>
  <si>
    <t xml:space="preserve">償却累計額</t>
  </si>
  <si>
    <t xml:space="preserve">評価の考え方</t>
  </si>
  <si>
    <t xml:space="preserve">「土地」シートで固定資産税評価額へ評価替え（本シートでは修正しない）</t>
  </si>
  <si>
    <t xml:space="preserve">当期償却不足額を減額（累積不足額は資料不足のため未反映・要確認）</t>
  </si>
  <si>
    <t xml:space="preserve">償却不足なし。簿価評価</t>
  </si>
  <si>
    <t xml:space="preserve">合計</t>
  </si>
  <si>
    <r>
      <rPr>
        <sz val="8"/>
        <color rgb="FF404040"/>
        <rFont val="WenQuanYi Zen Hei"/>
        <family val="2"/>
      </rPr>
      <t xml:space="preserve">※主たる工場建物（越谷工場本体、</t>
    </r>
    <r>
      <rPr>
        <sz val="8"/>
        <color rgb="FF404040"/>
        <rFont val="游ゴシック Medium"/>
        <family val="0"/>
        <charset val="1"/>
      </rPr>
      <t xml:space="preserve">1991</t>
    </r>
    <r>
      <rPr>
        <sz val="8"/>
        <color rgb="FF404040"/>
        <rFont val="WenQuanYi Zen Hei"/>
        <family val="2"/>
      </rPr>
      <t xml:space="preserve">年</t>
    </r>
    <r>
      <rPr>
        <sz val="8"/>
        <color rgb="FF404040"/>
        <rFont val="游ゴシック Medium"/>
        <family val="0"/>
        <charset val="1"/>
      </rPr>
      <t xml:space="preserve">3</t>
    </r>
    <r>
      <rPr>
        <sz val="8"/>
        <color rgb="FF404040"/>
        <rFont val="WenQuanYi Zen Hei"/>
        <family val="2"/>
      </rPr>
      <t xml:space="preserve">月取得、取得価額</t>
    </r>
    <r>
      <rPr>
        <sz val="8"/>
        <color rgb="FF404040"/>
        <rFont val="游ゴシック Medium"/>
        <family val="0"/>
        <charset val="1"/>
      </rPr>
      <t xml:space="preserve">302,052</t>
    </r>
    <r>
      <rPr>
        <sz val="8"/>
        <color rgb="FF404040"/>
        <rFont val="WenQuanYi Zen Hei"/>
        <family val="2"/>
      </rPr>
      <t xml:space="preserve">千円、旧定率法・耐用年数</t>
    </r>
    <r>
      <rPr>
        <sz val="8"/>
        <color rgb="FF404040"/>
        <rFont val="游ゴシック Medium"/>
        <family val="0"/>
        <charset val="1"/>
      </rPr>
      <t xml:space="preserve">26</t>
    </r>
    <r>
      <rPr>
        <sz val="8"/>
        <color rgb="FF404040"/>
        <rFont val="WenQuanYi Zen Hei"/>
        <family val="2"/>
      </rPr>
      <t xml:space="preserve">年）は償却累計額</t>
    </r>
    <r>
      <rPr>
        <sz val="8"/>
        <color rgb="FF404040"/>
        <rFont val="游ゴシック Medium"/>
        <family val="0"/>
        <charset val="1"/>
      </rPr>
      <t xml:space="preserve">55,762</t>
    </r>
    <r>
      <rPr>
        <sz val="8"/>
        <color rgb="FF404040"/>
        <rFont val="WenQuanYi Zen Hei"/>
        <family val="2"/>
      </rPr>
      <t xml:space="preserve">千円にとどまり、税務上の償却可能限度に対し大幅な償却不足の状態。</t>
    </r>
  </si>
  <si>
    <r>
      <rPr>
        <sz val="8"/>
        <color rgb="FF404040"/>
        <rFont val="WenQuanYi Zen Hei"/>
        <family val="2"/>
      </rPr>
      <t xml:space="preserve">※機械の当期償却額は管理費</t>
    </r>
    <r>
      <rPr>
        <sz val="8"/>
        <color rgb="FF404040"/>
        <rFont val="游ゴシック Medium"/>
        <family val="0"/>
        <charset val="1"/>
      </rPr>
      <t xml:space="preserve">108,503</t>
    </r>
    <r>
      <rPr>
        <sz val="8"/>
        <color rgb="FF404040"/>
        <rFont val="WenQuanYi Zen Hei"/>
        <family val="2"/>
      </rPr>
      <t xml:space="preserve">円＋製造費</t>
    </r>
    <r>
      <rPr>
        <sz val="8"/>
        <color rgb="FF404040"/>
        <rFont val="游ゴシック Medium"/>
        <family val="0"/>
        <charset val="1"/>
      </rPr>
      <t xml:space="preserve">18,980,507</t>
    </r>
    <r>
      <rPr>
        <sz val="8"/>
        <color rgb="FF404040"/>
        <rFont val="WenQuanYi Zen Hei"/>
        <family val="2"/>
      </rPr>
      <t xml:space="preserve">円。当期償却額合計</t>
    </r>
    <r>
      <rPr>
        <sz val="8"/>
        <color rgb="FF404040"/>
        <rFont val="游ゴシック Medium"/>
        <family val="0"/>
        <charset val="1"/>
      </rPr>
      <t xml:space="preserve">22,335,325</t>
    </r>
    <r>
      <rPr>
        <sz val="8"/>
        <color rgb="FF404040"/>
        <rFont val="WenQuanYi Zen Hei"/>
        <family val="2"/>
      </rPr>
      <t xml:space="preserve">円は</t>
    </r>
    <r>
      <rPr>
        <sz val="8"/>
        <color rgb="FF404040"/>
        <rFont val="游ゴシック Medium"/>
        <family val="0"/>
        <charset val="1"/>
      </rPr>
      <t xml:space="preserve">PL</t>
    </r>
    <r>
      <rPr>
        <sz val="8"/>
        <color rgb="FF404040"/>
        <rFont val="WenQuanYi Zen Hei"/>
        <family val="2"/>
      </rPr>
      <t xml:space="preserve">の減価償却費（製造</t>
    </r>
    <r>
      <rPr>
        <sz val="8"/>
        <color rgb="FF404040"/>
        <rFont val="游ゴシック Medium"/>
        <family val="0"/>
        <charset val="1"/>
      </rPr>
      <t xml:space="preserve">19,820,169</t>
    </r>
    <r>
      <rPr>
        <sz val="8"/>
        <color rgb="FF404040"/>
        <rFont val="WenQuanYi Zen Hei"/>
        <family val="2"/>
      </rPr>
      <t xml:space="preserve">円＋販管</t>
    </r>
    <r>
      <rPr>
        <sz val="8"/>
        <color rgb="FF404040"/>
        <rFont val="游ゴシック Medium"/>
        <family val="0"/>
        <charset val="1"/>
      </rPr>
      <t xml:space="preserve">2,515,156</t>
    </r>
    <r>
      <rPr>
        <sz val="8"/>
        <color rgb="FF404040"/>
        <rFont val="WenQuanYi Zen Hei"/>
        <family val="2"/>
      </rPr>
      <t xml:space="preserve">円）と一致。</t>
    </r>
  </si>
  <si>
    <t xml:space="preserve">不動産（土地・建物）の時価評価</t>
  </si>
  <si>
    <t xml:space="preserve">種類</t>
  </si>
  <si>
    <t xml:space="preserve">区分</t>
  </si>
  <si>
    <t xml:space="preserve">所在地</t>
  </si>
  <si>
    <t xml:space="preserve">面積（㎡）</t>
  </si>
  <si>
    <t xml:space="preserve">固定資産税評価額</t>
  </si>
  <si>
    <t xml:space="preserve">割戻率</t>
  </si>
  <si>
    <t xml:space="preserve">時価</t>
  </si>
  <si>
    <t xml:space="preserve">越谷工場</t>
  </si>
  <si>
    <r>
      <rPr>
        <sz val="9"/>
        <rFont val="WenQuanYi Zen Hei"/>
        <family val="2"/>
      </rPr>
      <t xml:space="preserve">埼玉県越谷市大字平方</t>
    </r>
    <r>
      <rPr>
        <sz val="9"/>
        <rFont val="游ゴシック"/>
        <family val="0"/>
        <charset val="1"/>
      </rPr>
      <t xml:space="preserve">999-4</t>
    </r>
  </si>
  <si>
    <r>
      <rPr>
        <sz val="9"/>
        <rFont val="WenQuanYi Zen Hei"/>
        <family val="2"/>
      </rPr>
      <t xml:space="preserve">固定資産税評価額は公示価格水準の概ね</t>
    </r>
    <r>
      <rPr>
        <sz val="9"/>
        <rFont val="游ゴシック"/>
        <family val="0"/>
        <charset val="1"/>
      </rPr>
      <t xml:space="preserve">7</t>
    </r>
    <r>
      <rPr>
        <sz val="9"/>
        <rFont val="WenQuanYi Zen Hei"/>
        <family val="2"/>
      </rPr>
      <t xml:space="preserve">割とされるため</t>
    </r>
    <r>
      <rPr>
        <sz val="9"/>
        <rFont val="游ゴシック"/>
        <family val="0"/>
        <charset val="1"/>
      </rPr>
      <t xml:space="preserve">÷0.7</t>
    </r>
    <r>
      <rPr>
        <sz val="9"/>
        <rFont val="WenQuanYi Zen Hei"/>
        <family val="2"/>
      </rPr>
      <t xml:space="preserve">で時価を推計。路線価による検証は要確認</t>
    </r>
  </si>
  <si>
    <t xml:space="preserve">建物は固定資産税評価額を時価相当額とみなす（再調達原価法による検証は未実施）。簿価は会計上の償却停止により実態を大きく上回る</t>
  </si>
  <si>
    <r>
      <rPr>
        <sz val="8"/>
        <color rgb="FF404040"/>
        <rFont val="WenQuanYi Zen Hei"/>
        <family val="2"/>
      </rPr>
      <t xml:space="preserve">※固定資産税評価額は受領資料（</t>
    </r>
    <r>
      <rPr>
        <sz val="8"/>
        <color rgb="FF404040"/>
        <rFont val="游ゴシック Medium"/>
        <family val="0"/>
        <charset val="1"/>
      </rPr>
      <t xml:space="preserve">2025</t>
    </r>
    <r>
      <rPr>
        <sz val="8"/>
        <color rgb="FF404040"/>
        <rFont val="WenQuanYi Zen Hei"/>
        <family val="2"/>
      </rPr>
      <t xml:space="preserve">年</t>
    </r>
    <r>
      <rPr>
        <sz val="8"/>
        <color rgb="FF404040"/>
        <rFont val="游ゴシック Medium"/>
        <family val="0"/>
        <charset val="1"/>
      </rPr>
      <t xml:space="preserve">3</t>
    </r>
    <r>
      <rPr>
        <sz val="8"/>
        <color rgb="FF404040"/>
        <rFont val="WenQuanYi Zen Hei"/>
        <family val="2"/>
      </rPr>
      <t xml:space="preserve">月期時点の所有物件一覧）記載値。最新年度の評価証明書で更新要。建物の面積は登記</t>
    </r>
    <r>
      <rPr>
        <sz val="8"/>
        <color rgb="FF404040"/>
        <rFont val="游ゴシック Medium"/>
        <family val="0"/>
        <charset val="1"/>
      </rPr>
      <t xml:space="preserve">2,093.87</t>
    </r>
    <r>
      <rPr>
        <sz val="8"/>
        <color rgb="FF404040"/>
        <rFont val="WenQuanYi Zen Hei"/>
        <family val="2"/>
      </rPr>
      <t xml:space="preserve">㎡／内訳書</t>
    </r>
    <r>
      <rPr>
        <sz val="8"/>
        <color rgb="FF404040"/>
        <rFont val="游ゴシック Medium"/>
        <family val="0"/>
        <charset val="1"/>
      </rPr>
      <t xml:space="preserve">2,065.00</t>
    </r>
    <r>
      <rPr>
        <sz val="8"/>
        <color rgb="FF404040"/>
        <rFont val="WenQuanYi Zen Hei"/>
        <family val="2"/>
      </rPr>
      <t xml:space="preserve">㎡で差異あり（要確認）。</t>
    </r>
  </si>
  <si>
    <t xml:space="preserve">※代表者個人所有の土地（栃木銀行・商工中金の担保提供）は会社資産ではないため評価対象外。所在地・面積・譲渡後の取扱いは要確認。</t>
  </si>
  <si>
    <t xml:space="preserve">保険積立金の評価</t>
  </si>
  <si>
    <t xml:space="preserve">保険会社</t>
  </si>
  <si>
    <t xml:space="preserve">解約返戻金</t>
  </si>
  <si>
    <t xml:space="preserve">大同生命保険</t>
  </si>
  <si>
    <t xml:space="preserve">解約返戻金額の資料未受領のため簿価評価（要確認）。被保険者・契約形態も要確認</t>
  </si>
  <si>
    <t xml:space="preserve">第一生命保険</t>
  </si>
  <si>
    <r>
      <rPr>
        <sz val="8"/>
        <color rgb="FF404040"/>
        <rFont val="游ゴシック Medium"/>
        <family val="0"/>
        <charset val="1"/>
      </rPr>
      <t xml:space="preserve">※BS</t>
    </r>
    <r>
      <rPr>
        <sz val="8"/>
        <color rgb="FF404040"/>
        <rFont val="WenQuanYi Zen Hei"/>
        <family val="2"/>
      </rPr>
      <t xml:space="preserve">上は現預金の「諸掛金」に含めて表示。評価上は保険積立金として区分する。</t>
    </r>
    <r>
      <rPr>
        <sz val="8"/>
        <color rgb="FF404040"/>
        <rFont val="游ゴシック Medium"/>
        <family val="0"/>
        <charset val="1"/>
      </rPr>
      <t xml:space="preserve">67</t>
    </r>
    <r>
      <rPr>
        <sz val="8"/>
        <color rgb="FF404040"/>
        <rFont val="WenQuanYi Zen Hei"/>
        <family val="2"/>
      </rPr>
      <t xml:space="preserve">期に無配当満期定期保険の返戻金</t>
    </r>
    <r>
      <rPr>
        <sz val="8"/>
        <color rgb="FF404040"/>
        <rFont val="游ゴシック Medium"/>
        <family val="0"/>
        <charset val="1"/>
      </rPr>
      <t xml:space="preserve">2,295,725</t>
    </r>
    <r>
      <rPr>
        <sz val="8"/>
        <color rgb="FF404040"/>
        <rFont val="WenQuanYi Zen Hei"/>
        <family val="2"/>
      </rPr>
      <t xml:space="preserve">円を雑収入計上。</t>
    </r>
  </si>
  <si>
    <t xml:space="preserve">有価証券の評価</t>
  </si>
  <si>
    <t xml:space="preserve">該当なし：上場有価証券の保有なし。</t>
  </si>
  <si>
    <r>
      <rPr>
        <sz val="9"/>
        <rFont val="WenQuanYi Zen Hei"/>
        <family val="2"/>
      </rPr>
      <t xml:space="preserve">出資金</t>
    </r>
    <r>
      <rPr>
        <sz val="9"/>
        <rFont val="游ゴシック"/>
        <family val="0"/>
        <charset val="1"/>
      </rPr>
      <t xml:space="preserve">820,000</t>
    </r>
    <r>
      <rPr>
        <sz val="9"/>
        <rFont val="WenQuanYi Zen Hei"/>
        <family val="2"/>
      </rPr>
      <t xml:space="preserve">円（越谷市工業団地組合</t>
    </r>
    <r>
      <rPr>
        <sz val="9"/>
        <rFont val="游ゴシック"/>
        <family val="0"/>
        <charset val="1"/>
      </rPr>
      <t xml:space="preserve">800,000</t>
    </r>
    <r>
      <rPr>
        <sz val="9"/>
        <rFont val="WenQuanYi Zen Hei"/>
        <family val="2"/>
      </rPr>
      <t xml:space="preserve">円、埼玉縣信用金庫</t>
    </r>
    <r>
      <rPr>
        <sz val="9"/>
        <rFont val="游ゴシック"/>
        <family val="0"/>
        <charset val="1"/>
      </rPr>
      <t xml:space="preserve">10,000</t>
    </r>
    <r>
      <rPr>
        <sz val="9"/>
        <rFont val="WenQuanYi Zen Hei"/>
        <family val="2"/>
      </rPr>
      <t xml:space="preserve">円ほか）は換金性に乏しいが少額のため簿価評価。</t>
    </r>
  </si>
  <si>
    <t xml:space="preserve">未払人件費・賞与引当の検討</t>
  </si>
  <si>
    <r>
      <rPr>
        <sz val="9"/>
        <rFont val="WenQuanYi Zen Hei"/>
        <family val="2"/>
      </rPr>
      <t xml:space="preserve">給与：月末締め翌月</t>
    </r>
    <r>
      <rPr>
        <sz val="9"/>
        <rFont val="游ゴシック"/>
        <family val="0"/>
        <charset val="1"/>
      </rPr>
      <t xml:space="preserve">20</t>
    </r>
    <r>
      <rPr>
        <sz val="9"/>
        <rFont val="WenQuanYi Zen Hei"/>
        <family val="2"/>
      </rPr>
      <t xml:space="preserve">日払い。</t>
    </r>
    <r>
      <rPr>
        <sz val="9"/>
        <rFont val="游ゴシック"/>
        <family val="0"/>
        <charset val="1"/>
      </rPr>
      <t xml:space="preserve">3</t>
    </r>
    <r>
      <rPr>
        <sz val="9"/>
        <rFont val="WenQuanYi Zen Hei"/>
        <family val="2"/>
      </rPr>
      <t xml:space="preserve">月分給与</t>
    </r>
    <r>
      <rPr>
        <sz val="9"/>
        <rFont val="游ゴシック"/>
        <family val="0"/>
        <charset val="1"/>
      </rPr>
      <t xml:space="preserve">5,720,681</t>
    </r>
    <r>
      <rPr>
        <sz val="9"/>
        <rFont val="WenQuanYi Zen Hei"/>
        <family val="2"/>
      </rPr>
      <t xml:space="preserve">円は未払金に計上済みのため追加計上なし。</t>
    </r>
  </si>
  <si>
    <t xml:space="preserve">賞与：賞与引当金の計上なし。支給時期・支給対象期間が未確認のため評価上も未計上（要確認：支給規程・夏季賞与の算定期間）。</t>
  </si>
  <si>
    <t xml:space="preserve">退職給付債務の検討</t>
  </si>
  <si>
    <r>
      <rPr>
        <sz val="9"/>
        <rFont val="WenQuanYi Zen Hei"/>
        <family val="2"/>
      </rPr>
      <t xml:space="preserve">退職給付引当金の計上なし。販管費に退職共済金</t>
    </r>
    <r>
      <rPr>
        <sz val="9"/>
        <rFont val="游ゴシック"/>
        <family val="0"/>
        <charset val="1"/>
      </rPr>
      <t xml:space="preserve">120,000</t>
    </r>
    <r>
      <rPr>
        <sz val="9"/>
        <rFont val="WenQuanYi Zen Hei"/>
        <family val="2"/>
      </rPr>
      <t xml:space="preserve">円／年（中小企業退職金共済と推察）。</t>
    </r>
  </si>
  <si>
    <r>
      <rPr>
        <sz val="9"/>
        <rFont val="游ゴシック"/>
        <family val="0"/>
        <charset val="1"/>
      </rPr>
      <t xml:space="preserve">67</t>
    </r>
    <r>
      <rPr>
        <sz val="9"/>
        <rFont val="WenQuanYi Zen Hei"/>
        <family val="2"/>
      </rPr>
      <t xml:space="preserve">期に製造原価の退職給与</t>
    </r>
    <r>
      <rPr>
        <sz val="9"/>
        <rFont val="游ゴシック"/>
        <family val="0"/>
        <charset val="1"/>
      </rPr>
      <t xml:space="preserve">6,177,985</t>
    </r>
    <r>
      <rPr>
        <sz val="9"/>
        <rFont val="WenQuanYi Zen Hei"/>
        <family val="2"/>
      </rPr>
      <t xml:space="preserve">円が発生（過去</t>
    </r>
    <r>
      <rPr>
        <sz val="9"/>
        <rFont val="游ゴシック"/>
        <family val="0"/>
        <charset val="1"/>
      </rPr>
      <t xml:space="preserve">3</t>
    </r>
    <r>
      <rPr>
        <sz val="9"/>
        <rFont val="WenQuanYi Zen Hei"/>
        <family val="2"/>
      </rPr>
      <t xml:space="preserve">期は発生なし）。退職金規程の有無・社内積立部分の要支給額は未確認のため、評価上は債務計上せず（要確認）。</t>
    </r>
  </si>
  <si>
    <t xml:space="preserve">評価差額（資産修正額合計－負債修正額合計）</t>
  </si>
  <si>
    <t xml:space="preserve">実効税率</t>
  </si>
  <si>
    <t xml:space="preserve">税効果（評価益の場合のみ繰延税金負債を認識）</t>
  </si>
  <si>
    <r>
      <rPr>
        <b val="true"/>
        <sz val="9"/>
        <rFont val="WenQuanYi Zen Hei"/>
        <family val="2"/>
      </rPr>
      <t xml:space="preserve">修正</t>
    </r>
    <r>
      <rPr>
        <b val="true"/>
        <sz val="9"/>
        <rFont val="游ゴシック"/>
        <family val="0"/>
        <charset val="1"/>
      </rPr>
      <t xml:space="preserve">BS</t>
    </r>
    <r>
      <rPr>
        <b val="true"/>
        <sz val="9"/>
        <rFont val="WenQuanYi Zen Hei"/>
        <family val="2"/>
      </rPr>
      <t xml:space="preserve">へ反映する税効果（負債）</t>
    </r>
  </si>
  <si>
    <t xml:space="preserve">評価差額が純額で評価損（含み損）となる場合、繰延税金資産の回収可能性（課税所得の見込み）が不確実なため保守的に認識しない。土地の評価益に対応する税効果は建物の評価損と相殺して判定。</t>
  </si>
  <si>
    <r>
      <rPr>
        <b val="true"/>
        <sz val="14"/>
        <color rgb="FF0B3041"/>
        <rFont val="WenQuanYi Zen Hei"/>
        <family val="2"/>
      </rPr>
      <t xml:space="preserve">ネットキャッシュの算定（評価基準日：</t>
    </r>
    <r>
      <rPr>
        <b val="true"/>
        <sz val="14"/>
        <color rgb="FF0B3041"/>
        <rFont val="游ゴシック"/>
        <family val="0"/>
        <charset val="1"/>
      </rPr>
      <t xml:space="preserve">2026</t>
    </r>
    <r>
      <rPr>
        <b val="true"/>
        <sz val="14"/>
        <color rgb="FF0B3041"/>
        <rFont val="WenQuanYi Zen Hei"/>
        <family val="2"/>
      </rPr>
      <t xml:space="preserve">年</t>
    </r>
    <r>
      <rPr>
        <b val="true"/>
        <sz val="14"/>
        <color rgb="FF0B3041"/>
        <rFont val="游ゴシック"/>
        <family val="0"/>
        <charset val="1"/>
      </rPr>
      <t xml:space="preserve">3</t>
    </r>
    <r>
      <rPr>
        <b val="true"/>
        <sz val="14"/>
        <color rgb="FF0B3041"/>
        <rFont val="WenQuanYi Zen Hei"/>
        <family val="2"/>
      </rPr>
      <t xml:space="preserve">月</t>
    </r>
    <r>
      <rPr>
        <b val="true"/>
        <sz val="14"/>
        <color rgb="FF0B3041"/>
        <rFont val="游ゴシック"/>
        <family val="0"/>
        <charset val="1"/>
      </rPr>
      <t xml:space="preserve">31</t>
    </r>
    <r>
      <rPr>
        <b val="true"/>
        <sz val="14"/>
        <color rgb="FF0B3041"/>
        <rFont val="WenQuanYi Zen Hei"/>
        <family val="2"/>
      </rPr>
      <t xml:space="preserve">日）</t>
    </r>
  </si>
  <si>
    <t xml:space="preserve">項目</t>
  </si>
  <si>
    <t xml:space="preserve">金額</t>
  </si>
  <si>
    <t xml:space="preserve">判断根拠</t>
  </si>
  <si>
    <t xml:space="preserve">キャッシュライク</t>
  </si>
  <si>
    <t xml:space="preserve">換金可能な非事業用資産としてキャッシュライク（解約返戻金で要更新）</t>
  </si>
  <si>
    <t xml:space="preserve">キャッシュライク計</t>
  </si>
  <si>
    <t xml:space="preserve">借入金（金融機関）</t>
  </si>
  <si>
    <r>
      <rPr>
        <sz val="9"/>
        <rFont val="WenQuanYi Zen Hei"/>
        <family val="2"/>
      </rPr>
      <t xml:space="preserve">有利子負債。うち日本公庫資本性ローン</t>
    </r>
    <r>
      <rPr>
        <sz val="9"/>
        <rFont val="游ゴシック"/>
        <family val="0"/>
        <charset val="1"/>
      </rPr>
      <t xml:space="preserve">105,420</t>
    </r>
    <r>
      <rPr>
        <sz val="9"/>
        <rFont val="WenQuanYi Zen Hei"/>
        <family val="2"/>
      </rPr>
      <t xml:space="preserve">千円を含む</t>
    </r>
  </si>
  <si>
    <t xml:space="preserve">代表者借入金</t>
  </si>
  <si>
    <t xml:space="preserve">代表者からの借入。クロージング時の返済／放棄の取扱いは要協議</t>
  </si>
  <si>
    <t xml:space="preserve">デットライク</t>
  </si>
  <si>
    <t xml:space="preserve">デットライク計</t>
  </si>
  <si>
    <t xml:space="preserve">ネットキャッシュ（△はネットデット）</t>
  </si>
  <si>
    <t xml:space="preserve">（参考）資本性ローンを資本とみなした場合のネットキャッシュ</t>
  </si>
  <si>
    <t xml:space="preserve">※日本政策金融公庫の資本性ローンは金融機関の債務者区分上は自己資本とみなされるが、期限一括返済の債務であり評価上は有利子負債として扱う。</t>
  </si>
  <si>
    <t xml:space="preserve">正常収益力の算定（修正損益計算書）　単位：千円</t>
  </si>
  <si>
    <t xml:space="preserve">帳簿価額</t>
  </si>
  <si>
    <t xml:space="preserve">EBITDA</t>
  </si>
  <si>
    <t xml:space="preserve">【調整項目】（＋は利益に加算）</t>
  </si>
  <si>
    <t xml:space="preserve">退職給与（製造原価・販管費）</t>
  </si>
  <si>
    <t xml:space="preserve">退職者に対する臨時的な支出と推察し加算（退職金規程・対象者は要確認）</t>
  </si>
  <si>
    <t xml:space="preserve">役員報酬（新体制の標準報酬へ置換）</t>
  </si>
  <si>
    <r>
      <rPr>
        <sz val="9"/>
        <rFont val="WenQuanYi Zen Hei"/>
        <family val="2"/>
      </rPr>
      <t xml:space="preserve">現行</t>
    </r>
    <r>
      <rPr>
        <sz val="9"/>
        <rFont val="游ゴシック"/>
        <family val="0"/>
        <charset val="1"/>
      </rPr>
      <t xml:space="preserve">7,200</t>
    </r>
    <r>
      <rPr>
        <sz val="9"/>
        <rFont val="WenQuanYi Zen Hei"/>
        <family val="2"/>
      </rPr>
      <t xml:space="preserve">千円／年は経営者報酬として過大ではなく、後任経営者の標準報酬と同水準と想定し調整なし</t>
    </r>
  </si>
  <si>
    <t xml:space="preserve">調整額合計</t>
  </si>
  <si>
    <t xml:space="preserve">検算（調整額合計＝営業利益の修正額）</t>
  </si>
  <si>
    <t xml:space="preserve">【調整しなかった項目と理由】</t>
  </si>
  <si>
    <r>
      <rPr>
        <sz val="9"/>
        <color rgb="FF404040"/>
        <rFont val="WenQuanYi Zen Hei"/>
        <family val="2"/>
      </rPr>
      <t xml:space="preserve">・減価償却費：建物は会計上償却を停止しており、営業利益ベースの収益力は償却負担を過少に織り込んでいる可能性がある。このため</t>
    </r>
    <r>
      <rPr>
        <sz val="9"/>
        <color rgb="FF404040"/>
        <rFont val="游ゴシック Medium"/>
        <family val="0"/>
        <charset val="1"/>
      </rPr>
      <t xml:space="preserve">EBITDA</t>
    </r>
    <r>
      <rPr>
        <sz val="9"/>
        <color rgb="FF404040"/>
        <rFont val="WenQuanYi Zen Hei"/>
        <family val="2"/>
      </rPr>
      <t xml:space="preserve">ベースのマーケットアプローチを重視する。</t>
    </r>
  </si>
  <si>
    <r>
      <rPr>
        <sz val="9"/>
        <color rgb="FF404040"/>
        <rFont val="WenQuanYi Zen Hei"/>
        <family val="2"/>
      </rPr>
      <t xml:space="preserve">・支払手数料（</t>
    </r>
    <r>
      <rPr>
        <sz val="9"/>
        <color rgb="FF404040"/>
        <rFont val="游ゴシック Medium"/>
        <family val="0"/>
        <charset val="1"/>
      </rPr>
      <t xml:space="preserve">66</t>
    </r>
    <r>
      <rPr>
        <sz val="9"/>
        <color rgb="FF404040"/>
        <rFont val="WenQuanYi Zen Hei"/>
        <family val="2"/>
      </rPr>
      <t xml:space="preserve">期</t>
    </r>
    <r>
      <rPr>
        <sz val="9"/>
        <color rgb="FF404040"/>
        <rFont val="游ゴシック Medium"/>
        <family val="0"/>
        <charset val="1"/>
      </rPr>
      <t xml:space="preserve">3,155,869</t>
    </r>
    <r>
      <rPr>
        <sz val="9"/>
        <color rgb="FF404040"/>
        <rFont val="WenQuanYi Zen Hei"/>
        <family val="2"/>
      </rPr>
      <t xml:space="preserve">円・</t>
    </r>
    <r>
      <rPr>
        <sz val="9"/>
        <color rgb="FF404040"/>
        <rFont val="游ゴシック Medium"/>
        <family val="0"/>
        <charset val="1"/>
      </rPr>
      <t xml:space="preserve">67</t>
    </r>
    <r>
      <rPr>
        <sz val="9"/>
        <color rgb="FF404040"/>
        <rFont val="WenQuanYi Zen Hei"/>
        <family val="2"/>
      </rPr>
      <t xml:space="preserve">期</t>
    </r>
    <r>
      <rPr>
        <sz val="9"/>
        <color rgb="FF404040"/>
        <rFont val="游ゴシック Medium"/>
        <family val="0"/>
        <charset val="1"/>
      </rPr>
      <t xml:space="preserve">1,764,661</t>
    </r>
    <r>
      <rPr>
        <sz val="9"/>
        <color rgb="FF404040"/>
        <rFont val="WenQuanYi Zen Hei"/>
        <family val="2"/>
      </rPr>
      <t xml:space="preserve">円）：内容未確認のため調整せず。一過性の専門家報酬等であれば加算余地あり（要確認）。</t>
    </r>
  </si>
  <si>
    <r>
      <rPr>
        <sz val="9"/>
        <color rgb="FF404040"/>
        <rFont val="WenQuanYi Zen Hei"/>
        <family val="2"/>
      </rPr>
      <t xml:space="preserve">・地代家賃（代表者からの駐車場賃借</t>
    </r>
    <r>
      <rPr>
        <sz val="9"/>
        <color rgb="FF404040"/>
        <rFont val="游ゴシック Medium"/>
        <family val="0"/>
        <charset val="1"/>
      </rPr>
      <t xml:space="preserve">545,460</t>
    </r>
    <r>
      <rPr>
        <sz val="9"/>
        <color rgb="FF404040"/>
        <rFont val="WenQuanYi Zen Hei"/>
        <family val="2"/>
      </rPr>
      <t xml:space="preserve">円／年）：譲渡後も継続利用を前提に調整せず。条件は要協議。</t>
    </r>
  </si>
  <si>
    <r>
      <rPr>
        <sz val="9"/>
        <color rgb="FF404040"/>
        <rFont val="WenQuanYi Zen Hei"/>
        <family val="2"/>
      </rPr>
      <t xml:space="preserve">・雑収入の保険返戻金（</t>
    </r>
    <r>
      <rPr>
        <sz val="9"/>
        <color rgb="FF404040"/>
        <rFont val="游ゴシック Medium"/>
        <family val="0"/>
        <charset val="1"/>
      </rPr>
      <t xml:space="preserve">67</t>
    </r>
    <r>
      <rPr>
        <sz val="9"/>
        <color rgb="FF404040"/>
        <rFont val="WenQuanYi Zen Hei"/>
        <family val="2"/>
      </rPr>
      <t xml:space="preserve">期</t>
    </r>
    <r>
      <rPr>
        <sz val="9"/>
        <color rgb="FF404040"/>
        <rFont val="游ゴシック Medium"/>
        <family val="0"/>
        <charset val="1"/>
      </rPr>
      <t xml:space="preserve">2,295,725</t>
    </r>
    <r>
      <rPr>
        <sz val="9"/>
        <color rgb="FF404040"/>
        <rFont val="WenQuanYi Zen Hei"/>
        <family val="2"/>
      </rPr>
      <t xml:space="preserve">円）：営業外項目のため営業利益・</t>
    </r>
    <r>
      <rPr>
        <sz val="9"/>
        <color rgb="FF404040"/>
        <rFont val="游ゴシック Medium"/>
        <family val="0"/>
        <charset val="1"/>
      </rPr>
      <t xml:space="preserve">EBITDA</t>
    </r>
    <r>
      <rPr>
        <sz val="9"/>
        <color rgb="FF404040"/>
        <rFont val="WenQuanYi Zen Hei"/>
        <family val="2"/>
      </rPr>
      <t xml:space="preserve">に影響なし。</t>
    </r>
  </si>
  <si>
    <t xml:space="preserve">販売費及び一般管理費の修正　単位：千円</t>
  </si>
  <si>
    <t xml:space="preserve">修正理由</t>
  </si>
  <si>
    <t xml:space="preserve">給与関係費／役員報酬</t>
  </si>
  <si>
    <t xml:space="preserve">給与関係費／給与</t>
  </si>
  <si>
    <t xml:space="preserve">給与関係費／賞与</t>
  </si>
  <si>
    <t xml:space="preserve">給与関係費／退職給与</t>
  </si>
  <si>
    <t xml:space="preserve">臨時的な退職金支出として控除（要確認）</t>
  </si>
  <si>
    <t xml:space="preserve">給与関係費／法定福利費</t>
  </si>
  <si>
    <t xml:space="preserve">給与関係費／退職共済金</t>
  </si>
  <si>
    <t xml:space="preserve">給与関係費／福利厚生費</t>
  </si>
  <si>
    <t xml:space="preserve">給与関係費／通勤費</t>
  </si>
  <si>
    <t xml:space="preserve">資産管理費／設備保守料</t>
  </si>
  <si>
    <t xml:space="preserve">資産管理費／損害保険料</t>
  </si>
  <si>
    <t xml:space="preserve">資産管理費／備品費</t>
  </si>
  <si>
    <t xml:space="preserve">資産管理費／地代家賃</t>
  </si>
  <si>
    <t xml:space="preserve">資産管理費／借上料</t>
  </si>
  <si>
    <t xml:space="preserve">資産管理費／修繕費</t>
  </si>
  <si>
    <t xml:space="preserve">資産管理費／水道料</t>
  </si>
  <si>
    <t xml:space="preserve">資産管理費／光熱費</t>
  </si>
  <si>
    <t xml:space="preserve">資産管理費／動力費</t>
  </si>
  <si>
    <t xml:space="preserve">資産管理費／消耗品費</t>
  </si>
  <si>
    <t xml:space="preserve">輸送関係費／車輛関係費</t>
  </si>
  <si>
    <t xml:space="preserve">輸送関係費／車輛保険料</t>
  </si>
  <si>
    <t xml:space="preserve">輸送関係費／車輛借上料</t>
  </si>
  <si>
    <t xml:space="preserve">輸送関係費／運賃</t>
  </si>
  <si>
    <t xml:space="preserve">交際販売関係費／交際接待費</t>
  </si>
  <si>
    <t xml:space="preserve">交際販売関係費／販売関係費</t>
  </si>
  <si>
    <t xml:space="preserve">交際販売関係費／広告宣伝費</t>
  </si>
  <si>
    <t xml:space="preserve">事務処理費／事務関係費</t>
  </si>
  <si>
    <t xml:space="preserve">事務処理費／通信費</t>
  </si>
  <si>
    <t xml:space="preserve">事務処理費／新聞図書費</t>
  </si>
  <si>
    <t xml:space="preserve">事務処理費／旅費交通費</t>
  </si>
  <si>
    <t xml:space="preserve">事務処理費／会議研修費</t>
  </si>
  <si>
    <t xml:space="preserve">事務処理費／組合費</t>
  </si>
  <si>
    <t xml:space="preserve">事務処理費／雑費</t>
  </si>
  <si>
    <t xml:space="preserve">その他／税金公課</t>
  </si>
  <si>
    <t xml:space="preserve">その他／減価償却費</t>
  </si>
  <si>
    <t xml:space="preserve">検算（帳簿価額合計＝原本シート）</t>
  </si>
  <si>
    <t xml:space="preserve">製造原価の修正　単位：千円</t>
  </si>
  <si>
    <t xml:space="preserve">原材料費／原材料期首棚卸高</t>
  </si>
  <si>
    <t xml:space="preserve">原材料費／原材料仕入高</t>
  </si>
  <si>
    <t xml:space="preserve">原材料費／原材料期末棚卸高</t>
  </si>
  <si>
    <t xml:space="preserve">労務費／給与</t>
  </si>
  <si>
    <t xml:space="preserve">労務費／賞与</t>
  </si>
  <si>
    <t xml:space="preserve">労務費／退職給与</t>
  </si>
  <si>
    <t xml:space="preserve">労務費／法定福利費</t>
  </si>
  <si>
    <t xml:space="preserve">労務費／厚生福利費</t>
  </si>
  <si>
    <t xml:space="preserve">労務費／通勤費</t>
  </si>
  <si>
    <t xml:space="preserve">製造経費／設備保守料</t>
  </si>
  <si>
    <t xml:space="preserve">製造経費／損害保険料</t>
  </si>
  <si>
    <t xml:space="preserve">製造経費／備品費</t>
  </si>
  <si>
    <t xml:space="preserve">製造経費／地代家賃</t>
  </si>
  <si>
    <t xml:space="preserve">製造経費／借上料</t>
  </si>
  <si>
    <t xml:space="preserve">製造経費／修繕費</t>
  </si>
  <si>
    <t xml:space="preserve">製造経費／光熱費</t>
  </si>
  <si>
    <t xml:space="preserve">製造経費／動力費</t>
  </si>
  <si>
    <t xml:space="preserve">製造経費／薬品諸油費</t>
  </si>
  <si>
    <t xml:space="preserve">製造経費／消耗品費</t>
  </si>
  <si>
    <t xml:space="preserve">製造経費／衛生費</t>
  </si>
  <si>
    <t xml:space="preserve">製造経費／原水処理費</t>
  </si>
  <si>
    <t xml:space="preserve">製造経費／車輛関係費</t>
  </si>
  <si>
    <t xml:space="preserve">製造経費／車輛保険料</t>
  </si>
  <si>
    <t xml:space="preserve">製造経費／事務関係費</t>
  </si>
  <si>
    <t xml:space="preserve">製造経費／通信費</t>
  </si>
  <si>
    <t xml:space="preserve">製造経費／新聞図書費</t>
  </si>
  <si>
    <t xml:space="preserve">製造経費／旅費交通費</t>
  </si>
  <si>
    <t xml:space="preserve">製造経費／会議研修費</t>
  </si>
  <si>
    <t xml:space="preserve">製造経費／組合費</t>
  </si>
  <si>
    <t xml:space="preserve">製造経費／雑費</t>
  </si>
  <si>
    <t xml:space="preserve">製造経費／税金公課</t>
  </si>
  <si>
    <t xml:space="preserve">製造経費／減価償却費</t>
  </si>
  <si>
    <t xml:space="preserve">外注加工費／外注作業費</t>
  </si>
  <si>
    <t xml:space="preserve">製造勘定／期首仕掛品</t>
  </si>
  <si>
    <t xml:space="preserve">製造勘定／期末仕掛品</t>
  </si>
  <si>
    <t xml:space="preserve">製造原価合計</t>
  </si>
  <si>
    <t xml:space="preserve">年買法（時価純資産＋営業権）　単位：千円</t>
  </si>
  <si>
    <t xml:space="preserve">合計／備考</t>
  </si>
  <si>
    <t xml:space="preserve">修正後営業利益</t>
  </si>
  <si>
    <r>
      <rPr>
        <sz val="9"/>
        <rFont val="WenQuanYi Zen Hei"/>
        <family val="2"/>
      </rPr>
      <t xml:space="preserve">税考慮額（△</t>
    </r>
    <r>
      <rPr>
        <sz val="9"/>
        <rFont val="游ゴシック"/>
        <family val="0"/>
        <charset val="1"/>
      </rPr>
      <t xml:space="preserve">34%</t>
    </r>
    <r>
      <rPr>
        <sz val="9"/>
        <rFont val="WenQuanYi Zen Hei"/>
        <family val="2"/>
      </rPr>
      <t xml:space="preserve">）</t>
    </r>
  </si>
  <si>
    <t xml:space="preserve">税考慮後営業利益</t>
  </si>
  <si>
    <t xml:space="preserve">加重</t>
  </si>
  <si>
    <t xml:space="preserve">加重後</t>
  </si>
  <si>
    <t xml:space="preserve">基準営業利益（加重平均）</t>
  </si>
  <si>
    <r>
      <rPr>
        <sz val="9"/>
        <rFont val="WenQuanYi Zen Hei"/>
        <family val="2"/>
      </rPr>
      <t xml:space="preserve">加重平均は加重後の行（</t>
    </r>
    <r>
      <rPr>
        <sz val="9"/>
        <rFont val="游ゴシック"/>
        <family val="0"/>
        <charset val="1"/>
      </rPr>
      <t xml:space="preserve">9</t>
    </r>
    <r>
      <rPr>
        <sz val="9"/>
        <rFont val="WenQuanYi Zen Hei"/>
        <family val="2"/>
      </rPr>
      <t xml:space="preserve">行）のみを合計（修正額行を含めない）</t>
    </r>
  </si>
  <si>
    <r>
      <rPr>
        <b val="true"/>
        <sz val="9"/>
        <color rgb="FFFFFFFF"/>
        <rFont val="WenQuanYi Zen Hei"/>
        <family val="2"/>
      </rPr>
      <t xml:space="preserve">下限（</t>
    </r>
    <r>
      <rPr>
        <b val="true"/>
        <sz val="9"/>
        <color rgb="FFFFFFFF"/>
        <rFont val="游ゴシック"/>
        <family val="0"/>
        <charset val="1"/>
      </rPr>
      <t xml:space="preserve">1</t>
    </r>
    <r>
      <rPr>
        <b val="true"/>
        <sz val="9"/>
        <color rgb="FFFFFFFF"/>
        <rFont val="WenQuanYi Zen Hei"/>
        <family val="2"/>
      </rPr>
      <t xml:space="preserve">年）</t>
    </r>
  </si>
  <si>
    <r>
      <rPr>
        <b val="true"/>
        <sz val="9"/>
        <color rgb="FFFFFFFF"/>
        <rFont val="WenQuanYi Zen Hei"/>
        <family val="2"/>
      </rPr>
      <t xml:space="preserve">中央（</t>
    </r>
    <r>
      <rPr>
        <b val="true"/>
        <sz val="9"/>
        <color rgb="FFFFFFFF"/>
        <rFont val="游ゴシック"/>
        <family val="0"/>
        <charset val="1"/>
      </rPr>
      <t xml:space="preserve">2</t>
    </r>
    <r>
      <rPr>
        <b val="true"/>
        <sz val="9"/>
        <color rgb="FFFFFFFF"/>
        <rFont val="WenQuanYi Zen Hei"/>
        <family val="2"/>
      </rPr>
      <t xml:space="preserve">年）</t>
    </r>
  </si>
  <si>
    <r>
      <rPr>
        <b val="true"/>
        <sz val="9"/>
        <color rgb="FFFFFFFF"/>
        <rFont val="WenQuanYi Zen Hei"/>
        <family val="2"/>
      </rPr>
      <t xml:space="preserve">上限（</t>
    </r>
    <r>
      <rPr>
        <b val="true"/>
        <sz val="9"/>
        <color rgb="FFFFFFFF"/>
        <rFont val="游ゴシック"/>
        <family val="0"/>
        <charset val="1"/>
      </rPr>
      <t xml:space="preserve">3</t>
    </r>
    <r>
      <rPr>
        <b val="true"/>
        <sz val="9"/>
        <color rgb="FFFFFFFF"/>
        <rFont val="WenQuanYi Zen Hei"/>
        <family val="2"/>
      </rPr>
      <t xml:space="preserve">年）</t>
    </r>
  </si>
  <si>
    <t xml:space="preserve">営業権倍率（年）</t>
  </si>
  <si>
    <t xml:space="preserve">営業権</t>
  </si>
  <si>
    <t xml:space="preserve">時価純資産</t>
  </si>
  <si>
    <t xml:space="preserve">想定株式価値（時価純資産＋営業権）</t>
  </si>
  <si>
    <r>
      <rPr>
        <b val="true"/>
        <sz val="9"/>
        <rFont val="WenQuanYi Zen Hei"/>
        <family val="2"/>
      </rPr>
      <t xml:space="preserve">株式価値（マイナスは</t>
    </r>
    <r>
      <rPr>
        <b val="true"/>
        <sz val="9"/>
        <rFont val="游ゴシック"/>
        <family val="0"/>
        <charset val="1"/>
      </rPr>
      <t xml:space="preserve">0</t>
    </r>
    <r>
      <rPr>
        <b val="true"/>
        <sz val="9"/>
        <rFont val="WenQuanYi Zen Hei"/>
        <family val="2"/>
      </rPr>
      <t xml:space="preserve">円表示）</t>
    </r>
  </si>
  <si>
    <r>
      <rPr>
        <sz val="8"/>
        <color rgb="FF404040"/>
        <rFont val="WenQuanYi Zen Hei"/>
        <family val="2"/>
      </rPr>
      <t xml:space="preserve">※営業権倍率</t>
    </r>
    <r>
      <rPr>
        <sz val="8"/>
        <color rgb="FF404040"/>
        <rFont val="游ゴシック Medium"/>
        <family val="0"/>
        <charset val="1"/>
      </rPr>
      <t xml:space="preserve">1</t>
    </r>
    <r>
      <rPr>
        <sz val="8"/>
        <color rgb="FF404040"/>
        <rFont val="WenQuanYi Zen Hei"/>
        <family val="2"/>
      </rPr>
      <t xml:space="preserve">〜</t>
    </r>
    <r>
      <rPr>
        <sz val="8"/>
        <color rgb="FF404040"/>
        <rFont val="游ゴシック Medium"/>
        <family val="0"/>
        <charset val="1"/>
      </rPr>
      <t xml:space="preserve">3</t>
    </r>
    <r>
      <rPr>
        <sz val="8"/>
        <color rgb="FF404040"/>
        <rFont val="WenQuanYi Zen Hei"/>
        <family val="2"/>
      </rPr>
      <t xml:space="preserve">年は国内中小企業</t>
    </r>
    <r>
      <rPr>
        <sz val="8"/>
        <color rgb="FF404040"/>
        <rFont val="游ゴシック Medium"/>
        <family val="0"/>
        <charset val="1"/>
      </rPr>
      <t xml:space="preserve">M&amp;A</t>
    </r>
    <r>
      <rPr>
        <sz val="8"/>
        <color rgb="FF404040"/>
        <rFont val="WenQuanYi Zen Hei"/>
        <family val="2"/>
      </rPr>
      <t xml:space="preserve">のボリュームゾーン。加重は直近期</t>
    </r>
    <r>
      <rPr>
        <sz val="8"/>
        <color rgb="FF404040"/>
        <rFont val="游ゴシック Medium"/>
        <family val="0"/>
        <charset val="1"/>
      </rPr>
      <t xml:space="preserve">50%</t>
    </r>
    <r>
      <rPr>
        <sz val="8"/>
        <color rgb="FF404040"/>
        <rFont val="WenQuanYi Zen Hei"/>
        <family val="2"/>
      </rPr>
      <t xml:space="preserve">・前期</t>
    </r>
    <r>
      <rPr>
        <sz val="8"/>
        <color rgb="FF404040"/>
        <rFont val="游ゴシック Medium"/>
        <family val="0"/>
        <charset val="1"/>
      </rPr>
      <t xml:space="preserve">30%</t>
    </r>
    <r>
      <rPr>
        <sz val="8"/>
        <color rgb="FF404040"/>
        <rFont val="WenQuanYi Zen Hei"/>
        <family val="2"/>
      </rPr>
      <t xml:space="preserve">・前々期</t>
    </r>
    <r>
      <rPr>
        <sz val="8"/>
        <color rgb="FF404040"/>
        <rFont val="游ゴシック Medium"/>
        <family val="0"/>
        <charset val="1"/>
      </rPr>
      <t xml:space="preserve">20%</t>
    </r>
    <r>
      <rPr>
        <sz val="8"/>
        <color rgb="FF404040"/>
        <rFont val="WenQuanYi Zen Hei"/>
        <family val="2"/>
      </rPr>
      <t xml:space="preserve">。税考慮は営業利益がマイナスの期は</t>
    </r>
    <r>
      <rPr>
        <sz val="8"/>
        <color rgb="FF404040"/>
        <rFont val="游ゴシック Medium"/>
        <family val="0"/>
        <charset val="1"/>
      </rPr>
      <t xml:space="preserve">0</t>
    </r>
    <r>
      <rPr>
        <sz val="8"/>
        <color rgb="FF404040"/>
        <rFont val="WenQuanYi Zen Hei"/>
        <family val="2"/>
      </rPr>
      <t xml:space="preserve">。</t>
    </r>
  </si>
  <si>
    <t xml:space="preserve">（感応度）建物を簿価で評価した場合の時価純資産</t>
  </si>
  <si>
    <t xml:space="preserve">（感応度）同 想定株式価値</t>
  </si>
  <si>
    <t xml:space="preserve">※建物の評価方法（固定資産税評価額／簿価）が結論を左右するため感応度を併記。簿価は会計上の償却停止により過大であり、本評価の基本ケースは固定資産税評価額。</t>
  </si>
  <si>
    <r>
      <rPr>
        <b val="true"/>
        <sz val="14"/>
        <color rgb="FF0B3041"/>
        <rFont val="游ゴシック"/>
        <family val="0"/>
        <charset val="1"/>
      </rPr>
      <t xml:space="preserve">EV/EBITDA</t>
    </r>
    <r>
      <rPr>
        <b val="true"/>
        <sz val="14"/>
        <color rgb="FF0B3041"/>
        <rFont val="WenQuanYi Zen Hei"/>
        <family val="2"/>
      </rPr>
      <t xml:space="preserve">マルチプル法　単位：千円</t>
    </r>
  </si>
  <si>
    <r>
      <rPr>
        <sz val="9"/>
        <rFont val="WenQuanYi Zen Hei"/>
        <family val="2"/>
      </rPr>
      <t xml:space="preserve">修正後</t>
    </r>
    <r>
      <rPr>
        <sz val="9"/>
        <rFont val="游ゴシック"/>
        <family val="0"/>
        <charset val="1"/>
      </rPr>
      <t xml:space="preserve">EBITDA</t>
    </r>
  </si>
  <si>
    <r>
      <rPr>
        <b val="true"/>
        <sz val="9"/>
        <rFont val="WenQuanYi Zen Hei"/>
        <family val="2"/>
      </rPr>
      <t xml:space="preserve">基準</t>
    </r>
    <r>
      <rPr>
        <b val="true"/>
        <sz val="9"/>
        <rFont val="游ゴシック"/>
        <family val="0"/>
        <charset val="1"/>
      </rPr>
      <t xml:space="preserve">EBITDA</t>
    </r>
    <r>
      <rPr>
        <b val="true"/>
        <sz val="9"/>
        <rFont val="WenQuanYi Zen Hei"/>
        <family val="2"/>
      </rPr>
      <t xml:space="preserve">（加重平均）</t>
    </r>
  </si>
  <si>
    <r>
      <rPr>
        <sz val="9"/>
        <rFont val="WenQuanYi Zen Hei"/>
        <family val="2"/>
      </rPr>
      <t xml:space="preserve">（参考）修正後</t>
    </r>
    <r>
      <rPr>
        <sz val="9"/>
        <rFont val="游ゴシック"/>
        <family val="0"/>
        <charset val="1"/>
      </rPr>
      <t xml:space="preserve">EBITDA 3</t>
    </r>
    <r>
      <rPr>
        <sz val="9"/>
        <rFont val="WenQuanYi Zen Hei"/>
        <family val="2"/>
      </rPr>
      <t xml:space="preserve">期単純平均</t>
    </r>
  </si>
  <si>
    <r>
      <rPr>
        <b val="true"/>
        <sz val="9"/>
        <color rgb="FFFFFFFF"/>
        <rFont val="WenQuanYi Zen Hei"/>
        <family val="2"/>
      </rPr>
      <t xml:space="preserve">下限（</t>
    </r>
    <r>
      <rPr>
        <b val="true"/>
        <sz val="9"/>
        <color rgb="FFFFFFFF"/>
        <rFont val="游ゴシック"/>
        <family val="0"/>
        <charset val="1"/>
      </rPr>
      <t xml:space="preserve">3</t>
    </r>
    <r>
      <rPr>
        <b val="true"/>
        <sz val="9"/>
        <color rgb="FFFFFFFF"/>
        <rFont val="WenQuanYi Zen Hei"/>
        <family val="2"/>
      </rPr>
      <t xml:space="preserve">倍）</t>
    </r>
  </si>
  <si>
    <r>
      <rPr>
        <b val="true"/>
        <sz val="9"/>
        <color rgb="FFFFFFFF"/>
        <rFont val="WenQuanYi Zen Hei"/>
        <family val="2"/>
      </rPr>
      <t xml:space="preserve">中央（</t>
    </r>
    <r>
      <rPr>
        <b val="true"/>
        <sz val="9"/>
        <color rgb="FFFFFFFF"/>
        <rFont val="游ゴシック"/>
        <family val="0"/>
        <charset val="1"/>
      </rPr>
      <t xml:space="preserve">4</t>
    </r>
    <r>
      <rPr>
        <b val="true"/>
        <sz val="9"/>
        <color rgb="FFFFFFFF"/>
        <rFont val="WenQuanYi Zen Hei"/>
        <family val="2"/>
      </rPr>
      <t xml:space="preserve">倍）</t>
    </r>
  </si>
  <si>
    <r>
      <rPr>
        <b val="true"/>
        <sz val="9"/>
        <color rgb="FFFFFFFF"/>
        <rFont val="WenQuanYi Zen Hei"/>
        <family val="2"/>
      </rPr>
      <t xml:space="preserve">上限（</t>
    </r>
    <r>
      <rPr>
        <b val="true"/>
        <sz val="9"/>
        <color rgb="FFFFFFFF"/>
        <rFont val="游ゴシック"/>
        <family val="0"/>
        <charset val="1"/>
      </rPr>
      <t xml:space="preserve">5</t>
    </r>
    <r>
      <rPr>
        <b val="true"/>
        <sz val="9"/>
        <color rgb="FFFFFFFF"/>
        <rFont val="WenQuanYi Zen Hei"/>
        <family val="2"/>
      </rPr>
      <t xml:space="preserve">倍）</t>
    </r>
  </si>
  <si>
    <r>
      <rPr>
        <sz val="9"/>
        <rFont val="游ゴシック"/>
        <family val="0"/>
        <charset val="1"/>
      </rPr>
      <t xml:space="preserve">EV/EBITDA</t>
    </r>
    <r>
      <rPr>
        <sz val="9"/>
        <rFont val="WenQuanYi Zen Hei"/>
        <family val="2"/>
      </rPr>
      <t xml:space="preserve">倍率</t>
    </r>
  </si>
  <si>
    <r>
      <rPr>
        <sz val="9"/>
        <rFont val="WenQuanYi Zen Hei"/>
        <family val="2"/>
      </rPr>
      <t xml:space="preserve">事業価値（</t>
    </r>
    <r>
      <rPr>
        <sz val="9"/>
        <rFont val="游ゴシック"/>
        <family val="0"/>
        <charset val="1"/>
      </rPr>
      <t xml:space="preserve">EV</t>
    </r>
    <r>
      <rPr>
        <sz val="9"/>
        <rFont val="WenQuanYi Zen Hei"/>
        <family val="2"/>
      </rPr>
      <t xml:space="preserve">）</t>
    </r>
  </si>
  <si>
    <r>
      <rPr>
        <sz val="9"/>
        <rFont val="WenQuanYi Zen Hei"/>
        <family val="2"/>
      </rPr>
      <t xml:space="preserve">非流動性ディスカウント（△</t>
    </r>
    <r>
      <rPr>
        <sz val="9"/>
        <rFont val="游ゴシック"/>
        <family val="0"/>
        <charset val="1"/>
      </rPr>
      <t xml:space="preserve">30%</t>
    </r>
    <r>
      <rPr>
        <sz val="9"/>
        <rFont val="WenQuanYi Zen Hei"/>
        <family val="2"/>
      </rPr>
      <t xml:space="preserve">）</t>
    </r>
  </si>
  <si>
    <t xml:space="preserve">ディスカウント後事業価値</t>
  </si>
  <si>
    <t xml:space="preserve">想定株式価値</t>
  </si>
  <si>
    <t xml:space="preserve">（参考）資本性ローンを資本とみなした場合の株式価値</t>
  </si>
  <si>
    <t xml:space="preserve">※非流動性ディスカウント：上場会社の株価倍率には市場性（流動性）が織込まれているため、非上場株式への適用にあたり控除。コストアプローチには適用しない。</t>
  </si>
  <si>
    <r>
      <rPr>
        <b val="true"/>
        <sz val="14"/>
        <color rgb="FF0B3041"/>
        <rFont val="WenQuanYi Zen Hei"/>
        <family val="2"/>
      </rPr>
      <t xml:space="preserve">類似上場会社（</t>
    </r>
    <r>
      <rPr>
        <b val="true"/>
        <sz val="14"/>
        <color rgb="FF0B3041"/>
        <rFont val="游ゴシック"/>
        <family val="0"/>
        <charset val="1"/>
      </rPr>
      <t xml:space="preserve">EV/EBITDA</t>
    </r>
    <r>
      <rPr>
        <b val="true"/>
        <sz val="14"/>
        <color rgb="FF0B3041"/>
        <rFont val="WenQuanYi Zen Hei"/>
        <family val="2"/>
      </rPr>
      <t xml:space="preserve">倍率の参照）</t>
    </r>
  </si>
  <si>
    <t xml:space="preserve">コード</t>
  </si>
  <si>
    <t xml:space="preserve">会社名</t>
  </si>
  <si>
    <t xml:space="preserve">事業</t>
  </si>
  <si>
    <t xml:space="preserve">EV/EBITDA</t>
  </si>
  <si>
    <t xml:space="preserve">2874</t>
  </si>
  <si>
    <r>
      <rPr>
        <sz val="9"/>
        <rFont val="游ゴシック"/>
        <family val="0"/>
        <charset val="1"/>
      </rPr>
      <t xml:space="preserve">(</t>
    </r>
    <r>
      <rPr>
        <sz val="9"/>
        <rFont val="WenQuanYi Zen Hei"/>
        <family val="2"/>
      </rPr>
      <t xml:space="preserve">株</t>
    </r>
    <r>
      <rPr>
        <sz val="9"/>
        <rFont val="游ゴシック"/>
        <family val="0"/>
        <charset val="1"/>
      </rPr>
      <t xml:space="preserve">)</t>
    </r>
    <r>
      <rPr>
        <sz val="9"/>
        <rFont val="WenQuanYi Zen Hei"/>
        <family val="2"/>
      </rPr>
      <t xml:space="preserve">ヨコレイ</t>
    </r>
  </si>
  <si>
    <t xml:space="preserve">冷蔵倉庫・食品販売</t>
  </si>
  <si>
    <t xml:space="preserve">要更新</t>
  </si>
  <si>
    <t xml:space="preserve">算定日時点の株価・直近決算で更新する</t>
  </si>
  <si>
    <t xml:space="preserve">2871</t>
  </si>
  <si>
    <r>
      <rPr>
        <sz val="9"/>
        <rFont val="游ゴシック"/>
        <family val="0"/>
        <charset val="1"/>
      </rPr>
      <t xml:space="preserve">(</t>
    </r>
    <r>
      <rPr>
        <sz val="9"/>
        <rFont val="WenQuanYi Zen Hei"/>
        <family val="2"/>
      </rPr>
      <t xml:space="preserve">株</t>
    </r>
    <r>
      <rPr>
        <sz val="9"/>
        <rFont val="游ゴシック"/>
        <family val="0"/>
        <charset val="1"/>
      </rPr>
      <t xml:space="preserve">)</t>
    </r>
    <r>
      <rPr>
        <sz val="9"/>
        <rFont val="WenQuanYi Zen Hei"/>
        <family val="2"/>
      </rPr>
      <t xml:space="preserve">ニチレイ</t>
    </r>
  </si>
  <si>
    <t xml:space="preserve">低温物流・加工食品</t>
  </si>
  <si>
    <t xml:space="preserve">9369</t>
  </si>
  <si>
    <r>
      <rPr>
        <sz val="9"/>
        <rFont val="游ゴシック"/>
        <family val="0"/>
        <charset val="1"/>
      </rPr>
      <t xml:space="preserve">(</t>
    </r>
    <r>
      <rPr>
        <sz val="9"/>
        <rFont val="WenQuanYi Zen Hei"/>
        <family val="2"/>
      </rPr>
      <t xml:space="preserve">株</t>
    </r>
    <r>
      <rPr>
        <sz val="9"/>
        <rFont val="游ゴシック"/>
        <family val="0"/>
        <charset val="1"/>
      </rPr>
      <t xml:space="preserve">)</t>
    </r>
    <r>
      <rPr>
        <sz val="9"/>
        <rFont val="WenQuanYi Zen Hei"/>
        <family val="2"/>
      </rPr>
      <t xml:space="preserve">キユーソー流通システム</t>
    </r>
  </si>
  <si>
    <t xml:space="preserve">食品物流（低温）</t>
  </si>
  <si>
    <t xml:space="preserve">9351</t>
  </si>
  <si>
    <r>
      <rPr>
        <sz val="9"/>
        <rFont val="WenQuanYi Zen Hei"/>
        <family val="2"/>
      </rPr>
      <t xml:space="preserve">東洋埠頭</t>
    </r>
    <r>
      <rPr>
        <sz val="9"/>
        <rFont val="游ゴシック"/>
        <family val="0"/>
        <charset val="1"/>
      </rPr>
      <t xml:space="preserve">(</t>
    </r>
    <r>
      <rPr>
        <sz val="9"/>
        <rFont val="WenQuanYi Zen Hei"/>
        <family val="2"/>
      </rPr>
      <t xml:space="preserve">株</t>
    </r>
    <r>
      <rPr>
        <sz val="9"/>
        <rFont val="游ゴシック"/>
        <family val="0"/>
        <charset val="1"/>
      </rPr>
      <t xml:space="preserve">)</t>
    </r>
  </si>
  <si>
    <t xml:space="preserve">冷蔵倉庫・港湾</t>
  </si>
  <si>
    <t xml:space="preserve">2884</t>
  </si>
  <si>
    <r>
      <rPr>
        <sz val="9"/>
        <rFont val="WenQuanYi Zen Hei"/>
        <family val="2"/>
      </rPr>
      <t xml:space="preserve">ヨシムラ・フード・</t>
    </r>
    <r>
      <rPr>
        <sz val="9"/>
        <rFont val="游ゴシック"/>
        <family val="0"/>
        <charset val="1"/>
      </rPr>
      <t xml:space="preserve">HD</t>
    </r>
  </si>
  <si>
    <r>
      <rPr>
        <sz val="9"/>
        <rFont val="WenQuanYi Zen Hei"/>
        <family val="2"/>
      </rPr>
      <t xml:space="preserve">食品製造（中小企業</t>
    </r>
    <r>
      <rPr>
        <sz val="9"/>
        <rFont val="游ゴシック"/>
        <family val="0"/>
        <charset val="1"/>
      </rPr>
      <t xml:space="preserve">M&amp;A</t>
    </r>
    <r>
      <rPr>
        <sz val="9"/>
        <rFont val="WenQuanYi Zen Hei"/>
        <family val="2"/>
      </rPr>
      <t xml:space="preserve">型）</t>
    </r>
  </si>
  <si>
    <r>
      <rPr>
        <sz val="8"/>
        <color rgb="FF404040"/>
        <rFont val="WenQuanYi Zen Hei"/>
        <family val="2"/>
      </rPr>
      <t xml:space="preserve">※製氷専業の上場会社は存在しないため、低温物流・食品製造を参照。倍率は算定日時点で更新する前提であり、本試算では中小企業</t>
    </r>
    <r>
      <rPr>
        <sz val="8"/>
        <color rgb="FF404040"/>
        <rFont val="游ゴシック Medium"/>
        <family val="0"/>
        <charset val="1"/>
      </rPr>
      <t xml:space="preserve">M&amp;A</t>
    </r>
    <r>
      <rPr>
        <sz val="8"/>
        <color rgb="FF404040"/>
        <rFont val="WenQuanYi Zen Hei"/>
        <family val="2"/>
      </rPr>
      <t xml:space="preserve">の実務レンジ</t>
    </r>
    <r>
      <rPr>
        <sz val="8"/>
        <color rgb="FF404040"/>
        <rFont val="游ゴシック Medium"/>
        <family val="0"/>
        <charset val="1"/>
      </rPr>
      <t xml:space="preserve">3</t>
    </r>
    <r>
      <rPr>
        <sz val="8"/>
        <color rgb="FF404040"/>
        <rFont val="WenQuanYi Zen Hei"/>
        <family val="2"/>
      </rPr>
      <t xml:space="preserve">〜</t>
    </r>
    <r>
      <rPr>
        <sz val="8"/>
        <color rgb="FF404040"/>
        <rFont val="游ゴシック Medium"/>
        <family val="0"/>
        <charset val="1"/>
      </rPr>
      <t xml:space="preserve">5</t>
    </r>
    <r>
      <rPr>
        <sz val="8"/>
        <color rgb="FF404040"/>
        <rFont val="WenQuanYi Zen Hei"/>
        <family val="2"/>
      </rPr>
      <t xml:space="preserve">倍を採用。</t>
    </r>
  </si>
  <si>
    <r>
      <rPr>
        <b val="true"/>
        <sz val="14"/>
        <color rgb="FF0B3041"/>
        <rFont val="游ゴシック"/>
        <family val="0"/>
        <charset val="1"/>
      </rPr>
      <t xml:space="preserve">IM </t>
    </r>
    <r>
      <rPr>
        <b val="true"/>
        <sz val="14"/>
        <color rgb="FF0B3041"/>
        <rFont val="WenQuanYi Zen Hei"/>
        <family val="2"/>
      </rPr>
      <t xml:space="preserve">セクション</t>
    </r>
  </si>
  <si>
    <t xml:space="preserve">案件サマリー（概要書「基本情報」「財務ハイライト」の貼付元）</t>
  </si>
  <si>
    <t xml:space="preserve">財務サマリー（千円）</t>
  </si>
  <si>
    <t xml:space="preserve">会社概要</t>
  </si>
  <si>
    <t xml:space="preserve">本店所在地</t>
  </si>
  <si>
    <t xml:space="preserve">工場・営業所</t>
  </si>
  <si>
    <t xml:space="preserve">設立</t>
  </si>
  <si>
    <t xml:space="preserve">代表者</t>
  </si>
  <si>
    <r>
      <rPr>
        <b val="true"/>
        <sz val="9"/>
        <rFont val="WenQuanYi Zen Hei"/>
        <family val="2"/>
      </rPr>
      <t xml:space="preserve">調整後</t>
    </r>
    <r>
      <rPr>
        <b val="true"/>
        <sz val="9"/>
        <rFont val="游ゴシック"/>
        <family val="0"/>
        <charset val="1"/>
      </rPr>
      <t xml:space="preserve">EBITDA</t>
    </r>
  </si>
  <si>
    <t xml:space="preserve">株主</t>
  </si>
  <si>
    <t xml:space="preserve">総資産</t>
  </si>
  <si>
    <t xml:space="preserve">従業員数</t>
  </si>
  <si>
    <t xml:space="preserve">純資産</t>
  </si>
  <si>
    <t xml:space="preserve">事業内容</t>
  </si>
  <si>
    <t xml:space="preserve">借入金</t>
  </si>
  <si>
    <t xml:space="preserve">主要取引先</t>
  </si>
  <si>
    <t xml:space="preserve">現預金</t>
  </si>
  <si>
    <t xml:space="preserve">主要設備</t>
  </si>
  <si>
    <r>
      <rPr>
        <b val="true"/>
        <sz val="9"/>
        <rFont val="WenQuanYi Zen Hei"/>
        <family val="2"/>
      </rPr>
      <t xml:space="preserve">調整後</t>
    </r>
    <r>
      <rPr>
        <b val="true"/>
        <sz val="9"/>
        <rFont val="游ゴシック"/>
        <family val="0"/>
        <charset val="1"/>
      </rPr>
      <t xml:space="preserve">EBITDA </t>
    </r>
    <r>
      <rPr>
        <b val="true"/>
        <sz val="9"/>
        <rFont val="WenQuanYi Zen Hei"/>
        <family val="2"/>
      </rPr>
      <t xml:space="preserve">直近</t>
    </r>
    <r>
      <rPr>
        <b val="true"/>
        <sz val="9"/>
        <rFont val="游ゴシック"/>
        <family val="0"/>
        <charset val="1"/>
      </rPr>
      <t xml:space="preserve">3</t>
    </r>
    <r>
      <rPr>
        <b val="true"/>
        <sz val="9"/>
        <rFont val="WenQuanYi Zen Hei"/>
        <family val="2"/>
      </rPr>
      <t xml:space="preserve">期平均</t>
    </r>
  </si>
  <si>
    <t xml:space="preserve">譲渡理由</t>
  </si>
  <si>
    <t xml:space="preserve">譲渡スキーム</t>
  </si>
  <si>
    <t xml:space="preserve">内容</t>
  </si>
  <si>
    <t xml:space="preserve">出所</t>
  </si>
  <si>
    <t xml:space="preserve">越ヶ谷製氷冷蔵株式会社</t>
  </si>
  <si>
    <t xml:space="preserve">登記</t>
  </si>
  <si>
    <t xml:space="preserve">ブランド</t>
  </si>
  <si>
    <t xml:space="preserve">純氷「キングアイス」</t>
  </si>
  <si>
    <r>
      <rPr>
        <sz val="8"/>
        <rFont val="WenQuanYi Zen Hei"/>
        <family val="2"/>
      </rPr>
      <t xml:space="preserve">公式サイト（</t>
    </r>
    <r>
      <rPr>
        <sz val="8"/>
        <rFont val="游ゴシック"/>
        <family val="0"/>
        <charset val="1"/>
      </rPr>
      <t xml:space="preserve">king-ice.com</t>
    </r>
    <r>
      <rPr>
        <sz val="8"/>
        <rFont val="WenQuanYi Zen Hei"/>
        <family val="2"/>
      </rPr>
      <t xml:space="preserve">）</t>
    </r>
  </si>
  <si>
    <r>
      <rPr>
        <sz val="9"/>
        <rFont val="WenQuanYi Zen Hei"/>
        <family val="2"/>
      </rPr>
      <t xml:space="preserve">埼玉県越谷市蒲生寿町</t>
    </r>
    <r>
      <rPr>
        <sz val="9"/>
        <rFont val="游ゴシック"/>
        <family val="0"/>
        <charset val="1"/>
      </rPr>
      <t xml:space="preserve">19</t>
    </r>
    <r>
      <rPr>
        <sz val="9"/>
        <rFont val="WenQuanYi Zen Hei"/>
        <family val="2"/>
      </rPr>
      <t xml:space="preserve">番</t>
    </r>
    <r>
      <rPr>
        <sz val="9"/>
        <rFont val="游ゴシック"/>
        <family val="0"/>
        <charset val="1"/>
      </rPr>
      <t xml:space="preserve">15</t>
    </r>
    <r>
      <rPr>
        <sz val="9"/>
        <rFont val="WenQuanYi Zen Hei"/>
        <family val="2"/>
      </rPr>
      <t xml:space="preserve">号</t>
    </r>
  </si>
  <si>
    <r>
      <rPr>
        <sz val="9"/>
        <rFont val="WenQuanYi Zen Hei"/>
        <family val="2"/>
      </rPr>
      <t xml:space="preserve">越谷工場：埼玉県越谷市大字平方</t>
    </r>
    <r>
      <rPr>
        <sz val="9"/>
        <rFont val="游ゴシック"/>
        <family val="0"/>
        <charset val="1"/>
      </rPr>
      <t xml:space="preserve">999-4</t>
    </r>
    <r>
      <rPr>
        <sz val="9"/>
        <rFont val="WenQuanYi Zen Hei"/>
        <family val="2"/>
      </rPr>
      <t xml:space="preserve">（平方工業団地内）／松戸営業所：千葉県松戸市稔台</t>
    </r>
    <r>
      <rPr>
        <sz val="9"/>
        <rFont val="游ゴシック"/>
        <family val="0"/>
        <charset val="1"/>
      </rPr>
      <t xml:space="preserve">5-14-3</t>
    </r>
  </si>
  <si>
    <t xml:space="preserve">勘定科目内訳書</t>
  </si>
  <si>
    <r>
      <rPr>
        <sz val="9"/>
        <rFont val="游ゴシック"/>
        <family val="0"/>
        <charset val="1"/>
      </rPr>
      <t xml:space="preserve">1960</t>
    </r>
    <r>
      <rPr>
        <sz val="9"/>
        <rFont val="WenQuanYi Zen Hei"/>
        <family val="2"/>
      </rPr>
      <t xml:space="preserve">年（昭和</t>
    </r>
    <r>
      <rPr>
        <sz val="9"/>
        <rFont val="游ゴシック"/>
        <family val="0"/>
        <charset val="1"/>
      </rPr>
      <t xml:space="preserve">35</t>
    </r>
    <r>
      <rPr>
        <sz val="9"/>
        <rFont val="WenQuanYi Zen Hei"/>
        <family val="2"/>
      </rPr>
      <t xml:space="preserve">年）</t>
    </r>
    <r>
      <rPr>
        <sz val="9"/>
        <rFont val="游ゴシック"/>
        <family val="0"/>
        <charset val="1"/>
      </rPr>
      <t xml:space="preserve">3</t>
    </r>
    <r>
      <rPr>
        <sz val="9"/>
        <rFont val="WenQuanYi Zen Hei"/>
        <family val="2"/>
      </rPr>
      <t xml:space="preserve">月</t>
    </r>
    <r>
      <rPr>
        <sz val="9"/>
        <rFont val="游ゴシック"/>
        <family val="0"/>
        <charset val="1"/>
      </rPr>
      <t xml:space="preserve">18</t>
    </r>
    <r>
      <rPr>
        <sz val="9"/>
        <rFont val="WenQuanYi Zen Hei"/>
        <family val="2"/>
      </rPr>
      <t xml:space="preserve">日</t>
    </r>
  </si>
  <si>
    <r>
      <rPr>
        <sz val="9"/>
        <rFont val="游ゴシック"/>
        <family val="0"/>
        <charset val="1"/>
      </rPr>
      <t xml:space="preserve">10,000</t>
    </r>
    <r>
      <rPr>
        <sz val="9"/>
        <rFont val="WenQuanYi Zen Hei"/>
        <family val="2"/>
      </rPr>
      <t xml:space="preserve">千円（</t>
    </r>
    <r>
      <rPr>
        <sz val="9"/>
        <rFont val="游ゴシック"/>
        <family val="0"/>
        <charset val="1"/>
      </rPr>
      <t xml:space="preserve">2026</t>
    </r>
    <r>
      <rPr>
        <sz val="9"/>
        <rFont val="WenQuanYi Zen Hei"/>
        <family val="2"/>
      </rPr>
      <t xml:space="preserve">年</t>
    </r>
    <r>
      <rPr>
        <sz val="9"/>
        <rFont val="游ゴシック"/>
        <family val="0"/>
        <charset val="1"/>
      </rPr>
      <t xml:space="preserve">5</t>
    </r>
    <r>
      <rPr>
        <sz val="9"/>
        <rFont val="WenQuanYi Zen Hei"/>
        <family val="2"/>
      </rPr>
      <t xml:space="preserve">月</t>
    </r>
    <r>
      <rPr>
        <sz val="9"/>
        <rFont val="游ゴシック"/>
        <family val="0"/>
        <charset val="1"/>
      </rPr>
      <t xml:space="preserve">15</t>
    </r>
    <r>
      <rPr>
        <sz val="9"/>
        <rFont val="WenQuanYi Zen Hei"/>
        <family val="2"/>
      </rPr>
      <t xml:space="preserve">日に</t>
    </r>
    <r>
      <rPr>
        <sz val="9"/>
        <rFont val="游ゴシック"/>
        <family val="0"/>
        <charset val="1"/>
      </rPr>
      <t xml:space="preserve">11,000</t>
    </r>
    <r>
      <rPr>
        <sz val="9"/>
        <rFont val="WenQuanYi Zen Hei"/>
        <family val="2"/>
      </rPr>
      <t xml:space="preserve">千円から減資）</t>
    </r>
  </si>
  <si>
    <t xml:space="preserve">代表取締役 小野田 洋</t>
  </si>
  <si>
    <r>
      <rPr>
        <sz val="9"/>
        <rFont val="WenQuanYi Zen Hei"/>
        <family val="2"/>
      </rPr>
      <t xml:space="preserve">小野田 洋 </t>
    </r>
    <r>
      <rPr>
        <sz val="9"/>
        <rFont val="游ゴシック"/>
        <family val="0"/>
        <charset val="1"/>
      </rPr>
      <t xml:space="preserve">100%</t>
    </r>
    <r>
      <rPr>
        <sz val="9"/>
        <rFont val="WenQuanYi Zen Hei"/>
        <family val="2"/>
      </rPr>
      <t xml:space="preserve">（発行済株式数は登記</t>
    </r>
    <r>
      <rPr>
        <sz val="9"/>
        <rFont val="游ゴシック"/>
        <family val="0"/>
        <charset val="1"/>
      </rPr>
      <t xml:space="preserve">22,000</t>
    </r>
    <r>
      <rPr>
        <sz val="9"/>
        <rFont val="WenQuanYi Zen Hei"/>
        <family val="2"/>
      </rPr>
      <t xml:space="preserve">株／申告書</t>
    </r>
    <r>
      <rPr>
        <sz val="9"/>
        <rFont val="游ゴシック"/>
        <family val="0"/>
        <charset val="1"/>
      </rPr>
      <t xml:space="preserve">220</t>
    </r>
    <r>
      <rPr>
        <sz val="9"/>
        <rFont val="WenQuanYi Zen Hei"/>
        <family val="2"/>
      </rPr>
      <t xml:space="preserve">株で相違・要確認）</t>
    </r>
  </si>
  <si>
    <t xml:space="preserve">登記・法人税申告書</t>
  </si>
  <si>
    <t xml:space="preserve">役員</t>
  </si>
  <si>
    <r>
      <rPr>
        <sz val="9"/>
        <rFont val="WenQuanYi Zen Hei"/>
        <family val="2"/>
      </rPr>
      <t xml:space="preserve">取締役</t>
    </r>
    <r>
      <rPr>
        <sz val="9"/>
        <rFont val="游ゴシック"/>
        <family val="0"/>
        <charset val="1"/>
      </rPr>
      <t xml:space="preserve">1</t>
    </r>
    <r>
      <rPr>
        <sz val="9"/>
        <rFont val="WenQuanYi Zen Hei"/>
        <family val="2"/>
      </rPr>
      <t xml:space="preserve">名（代表取締役のみ）／取締役会・監査役 設置なし</t>
    </r>
  </si>
  <si>
    <r>
      <rPr>
        <sz val="9"/>
        <rFont val="游ゴシック"/>
        <family val="0"/>
        <charset val="1"/>
      </rPr>
      <t xml:space="preserve">25</t>
    </r>
    <r>
      <rPr>
        <sz val="9"/>
        <rFont val="WenQuanYi Zen Hei"/>
        <family val="2"/>
      </rPr>
      <t xml:space="preserve">名（常勤役員</t>
    </r>
    <r>
      <rPr>
        <sz val="9"/>
        <rFont val="游ゴシック"/>
        <family val="0"/>
        <charset val="1"/>
      </rPr>
      <t xml:space="preserve">1</t>
    </r>
    <r>
      <rPr>
        <sz val="9"/>
        <rFont val="WenQuanYi Zen Hei"/>
        <family val="2"/>
      </rPr>
      <t xml:space="preserve">名・従業員</t>
    </r>
    <r>
      <rPr>
        <sz val="9"/>
        <rFont val="游ゴシック"/>
        <family val="0"/>
        <charset val="1"/>
      </rPr>
      <t xml:space="preserve">24</t>
    </r>
    <r>
      <rPr>
        <sz val="9"/>
        <rFont val="WenQuanYi Zen Hei"/>
        <family val="2"/>
      </rPr>
      <t xml:space="preserve">名、</t>
    </r>
    <r>
      <rPr>
        <sz val="9"/>
        <rFont val="游ゴシック"/>
        <family val="0"/>
        <charset val="1"/>
      </rPr>
      <t xml:space="preserve">2026</t>
    </r>
    <r>
      <rPr>
        <sz val="9"/>
        <rFont val="WenQuanYi Zen Hei"/>
        <family val="2"/>
      </rPr>
      <t xml:space="preserve">年</t>
    </r>
    <r>
      <rPr>
        <sz val="9"/>
        <rFont val="游ゴシック"/>
        <family val="0"/>
        <charset val="1"/>
      </rPr>
      <t xml:space="preserve">3</t>
    </r>
    <r>
      <rPr>
        <sz val="9"/>
        <rFont val="WenQuanYi Zen Hei"/>
        <family val="2"/>
      </rPr>
      <t xml:space="preserve">月期末）</t>
    </r>
  </si>
  <si>
    <t xml:space="preserve">法人事業概況説明書</t>
  </si>
  <si>
    <t xml:space="preserve">純氷（角氷・加工氷・袋氷・特殊氷）の製造及び卸小売販売、ドライアイス等の商品販売、冷蔵保管</t>
  </si>
  <si>
    <t xml:space="preserve">登記・概況説明書</t>
  </si>
  <si>
    <r>
      <rPr>
        <sz val="9"/>
        <rFont val="游ゴシック"/>
        <family val="0"/>
        <charset val="1"/>
      </rPr>
      <t xml:space="preserve">(</t>
    </r>
    <r>
      <rPr>
        <sz val="9"/>
        <rFont val="WenQuanYi Zen Hei"/>
        <family val="2"/>
      </rPr>
      <t xml:space="preserve">株</t>
    </r>
    <r>
      <rPr>
        <sz val="9"/>
        <rFont val="游ゴシック"/>
        <family val="0"/>
        <charset val="1"/>
      </rPr>
      <t xml:space="preserve">)</t>
    </r>
    <r>
      <rPr>
        <sz val="9"/>
        <rFont val="WenQuanYi Zen Hei"/>
        <family val="2"/>
      </rPr>
      <t xml:space="preserve">日本アクセス／</t>
    </r>
    <r>
      <rPr>
        <sz val="9"/>
        <rFont val="游ゴシック"/>
        <family val="0"/>
        <charset val="1"/>
      </rPr>
      <t xml:space="preserve">(</t>
    </r>
    <r>
      <rPr>
        <sz val="9"/>
        <rFont val="WenQuanYi Zen Hei"/>
        <family val="2"/>
      </rPr>
      <t xml:space="preserve">株</t>
    </r>
    <r>
      <rPr>
        <sz val="9"/>
        <rFont val="游ゴシック"/>
        <family val="0"/>
        <charset val="1"/>
      </rPr>
      <t xml:space="preserve">)</t>
    </r>
    <r>
      <rPr>
        <sz val="9"/>
        <rFont val="WenQuanYi Zen Hei"/>
        <family val="2"/>
      </rPr>
      <t xml:space="preserve">日本橋冷凍手島商店／三菱食品</t>
    </r>
    <r>
      <rPr>
        <sz val="9"/>
        <rFont val="游ゴシック"/>
        <family val="0"/>
        <charset val="1"/>
      </rPr>
      <t xml:space="preserve">(</t>
    </r>
    <r>
      <rPr>
        <sz val="9"/>
        <rFont val="WenQuanYi Zen Hei"/>
        <family val="2"/>
      </rPr>
      <t xml:space="preserve">株</t>
    </r>
    <r>
      <rPr>
        <sz val="9"/>
        <rFont val="游ゴシック"/>
        <family val="0"/>
        <charset val="1"/>
      </rPr>
      <t xml:space="preserve">)</t>
    </r>
    <r>
      <rPr>
        <sz val="9"/>
        <rFont val="WenQuanYi Zen Hei"/>
        <family val="2"/>
      </rPr>
      <t xml:space="preserve">／金木屋商事</t>
    </r>
    <r>
      <rPr>
        <sz val="9"/>
        <rFont val="游ゴシック"/>
        <family val="0"/>
        <charset val="1"/>
      </rPr>
      <t xml:space="preserve">(</t>
    </r>
    <r>
      <rPr>
        <sz val="9"/>
        <rFont val="WenQuanYi Zen Hei"/>
        <family val="2"/>
      </rPr>
      <t xml:space="preserve">株</t>
    </r>
    <r>
      <rPr>
        <sz val="9"/>
        <rFont val="游ゴシック"/>
        <family val="0"/>
        <charset val="1"/>
      </rPr>
      <t xml:space="preserve">)</t>
    </r>
    <r>
      <rPr>
        <sz val="9"/>
        <rFont val="WenQuanYi Zen Hei"/>
        <family val="2"/>
      </rPr>
      <t xml:space="preserve">／</t>
    </r>
    <r>
      <rPr>
        <sz val="9"/>
        <rFont val="游ゴシック"/>
        <family val="0"/>
        <charset val="1"/>
      </rPr>
      <t xml:space="preserve">(</t>
    </r>
    <r>
      <rPr>
        <sz val="9"/>
        <rFont val="WenQuanYi Zen Hei"/>
        <family val="2"/>
      </rPr>
      <t xml:space="preserve">株</t>
    </r>
    <r>
      <rPr>
        <sz val="9"/>
        <rFont val="游ゴシック"/>
        <family val="0"/>
        <charset val="1"/>
      </rPr>
      <t xml:space="preserve">)</t>
    </r>
    <r>
      <rPr>
        <sz val="9"/>
        <rFont val="WenQuanYi Zen Hei"/>
        <family val="2"/>
      </rPr>
      <t xml:space="preserve">クールテックサガワ　他</t>
    </r>
  </si>
  <si>
    <r>
      <rPr>
        <sz val="9"/>
        <rFont val="WenQuanYi Zen Hei"/>
        <family val="2"/>
      </rPr>
      <t xml:space="preserve">製氷設備</t>
    </r>
    <r>
      <rPr>
        <sz val="9"/>
        <rFont val="游ゴシック"/>
        <family val="0"/>
        <charset val="1"/>
      </rPr>
      <t xml:space="preserve">4</t>
    </r>
    <r>
      <rPr>
        <sz val="9"/>
        <rFont val="WenQuanYi Zen Hei"/>
        <family val="2"/>
      </rPr>
      <t xml:space="preserve">台（日産</t>
    </r>
    <r>
      <rPr>
        <sz val="9"/>
        <rFont val="游ゴシック"/>
        <family val="0"/>
        <charset val="1"/>
      </rPr>
      <t xml:space="preserve">40</t>
    </r>
    <r>
      <rPr>
        <sz val="9"/>
        <rFont val="WenQuanYi Zen Hei"/>
        <family val="2"/>
      </rPr>
      <t xml:space="preserve">トン）、袋詰砕氷設備</t>
    </r>
    <r>
      <rPr>
        <sz val="9"/>
        <rFont val="游ゴシック"/>
        <family val="0"/>
        <charset val="1"/>
      </rPr>
      <t xml:space="preserve">1</t>
    </r>
    <r>
      <rPr>
        <sz val="9"/>
        <rFont val="WenQuanYi Zen Hei"/>
        <family val="2"/>
      </rPr>
      <t xml:space="preserve">台（日産</t>
    </r>
    <r>
      <rPr>
        <sz val="9"/>
        <rFont val="游ゴシック"/>
        <family val="0"/>
        <charset val="1"/>
      </rPr>
      <t xml:space="preserve">2,500</t>
    </r>
    <r>
      <rPr>
        <sz val="9"/>
        <rFont val="WenQuanYi Zen Hei"/>
        <family val="2"/>
      </rPr>
      <t xml:space="preserve">ケース）、冷蔵設備</t>
    </r>
    <r>
      <rPr>
        <sz val="9"/>
        <rFont val="游ゴシック"/>
        <family val="0"/>
        <charset val="1"/>
      </rPr>
      <t xml:space="preserve">3</t>
    </r>
    <r>
      <rPr>
        <sz val="9"/>
        <rFont val="WenQuanYi Zen Hei"/>
        <family val="2"/>
      </rPr>
      <t xml:space="preserve">台（</t>
    </r>
    <r>
      <rPr>
        <sz val="9"/>
        <rFont val="游ゴシック"/>
        <family val="0"/>
        <charset val="1"/>
      </rPr>
      <t xml:space="preserve">F</t>
    </r>
    <r>
      <rPr>
        <sz val="9"/>
        <rFont val="WenQuanYi Zen Hei"/>
        <family val="2"/>
      </rPr>
      <t xml:space="preserve">級</t>
    </r>
    <r>
      <rPr>
        <sz val="9"/>
        <rFont val="游ゴシック"/>
        <family val="0"/>
        <charset val="1"/>
      </rPr>
      <t xml:space="preserve">1,000</t>
    </r>
    <r>
      <rPr>
        <sz val="9"/>
        <rFont val="WenQuanYi Zen Hei"/>
        <family val="2"/>
      </rPr>
      <t xml:space="preserve">トン）</t>
    </r>
  </si>
  <si>
    <t xml:space="preserve">許認可</t>
  </si>
  <si>
    <t xml:space="preserve">営業許可（氷雪製造業）、食品営業許可（氷雪販売業）</t>
  </si>
  <si>
    <t xml:space="preserve">受領資料</t>
  </si>
  <si>
    <r>
      <rPr>
        <sz val="8"/>
        <rFont val="WenQuanYi Zen Hei"/>
        <family val="2"/>
      </rPr>
      <t xml:space="preserve">マスター</t>
    </r>
    <r>
      <rPr>
        <sz val="8"/>
        <rFont val="游ゴシック"/>
        <family val="0"/>
        <charset val="1"/>
      </rPr>
      <t xml:space="preserve">PL</t>
    </r>
  </si>
  <si>
    <t xml:space="preserve">取引金融機関</t>
  </si>
  <si>
    <t xml:space="preserve">日本政策金融公庫、栃木銀行、商工組合中央金庫、足利銀行、埼玉縣信用金庫、埼玉りそな銀行</t>
  </si>
  <si>
    <t xml:space="preserve">借入金内訳書</t>
  </si>
  <si>
    <t xml:space="preserve">後継者不在</t>
  </si>
  <si>
    <t xml:space="preserve">ヒアリング（受領資料）</t>
  </si>
  <si>
    <r>
      <rPr>
        <sz val="9"/>
        <rFont val="WenQuanYi Zen Hei"/>
        <family val="2"/>
      </rPr>
      <t xml:space="preserve">株式</t>
    </r>
    <r>
      <rPr>
        <sz val="9"/>
        <rFont val="游ゴシック"/>
        <family val="0"/>
        <charset val="1"/>
      </rPr>
      <t xml:space="preserve">100%</t>
    </r>
    <r>
      <rPr>
        <sz val="9"/>
        <rFont val="WenQuanYi Zen Hei"/>
        <family val="2"/>
      </rPr>
      <t xml:space="preserve">譲渡</t>
    </r>
  </si>
  <si>
    <t xml:space="preserve">同上</t>
  </si>
  <si>
    <r>
      <rPr>
        <b val="true"/>
        <sz val="14"/>
        <color rgb="FF0B3041"/>
        <rFont val="游ゴシック"/>
        <family val="0"/>
        <charset val="1"/>
      </rPr>
      <t xml:space="preserve">PL</t>
    </r>
    <r>
      <rPr>
        <b val="true"/>
        <sz val="14"/>
        <color rgb="FF0B3041"/>
        <rFont val="WenQuanYi Zen Hei"/>
        <family val="2"/>
      </rPr>
      <t xml:space="preserve">ハイライト　単位：千円</t>
    </r>
  </si>
  <si>
    <t xml:space="preserve">　前期比</t>
  </si>
  <si>
    <t xml:space="preserve">　売上総利益率</t>
  </si>
  <si>
    <t xml:space="preserve">　営業利益率</t>
  </si>
  <si>
    <t xml:space="preserve">　経常利益率</t>
  </si>
  <si>
    <r>
      <rPr>
        <b val="true"/>
        <sz val="9"/>
        <rFont val="游ゴシック"/>
        <family val="0"/>
        <charset val="1"/>
      </rPr>
      <t xml:space="preserve">EBITDA</t>
    </r>
    <r>
      <rPr>
        <b val="true"/>
        <sz val="9"/>
        <rFont val="WenQuanYi Zen Hei"/>
        <family val="2"/>
      </rPr>
      <t xml:space="preserve">（営業利益＋減価償却費）</t>
    </r>
  </si>
  <si>
    <t xml:space="preserve">【調整項目】</t>
  </si>
  <si>
    <t xml:space="preserve">　退職給与（臨時的支出）</t>
  </si>
  <si>
    <t xml:space="preserve">　役員報酬</t>
  </si>
  <si>
    <r>
      <rPr>
        <sz val="9"/>
        <rFont val="WenQuanYi Zen Hei"/>
        <family val="2"/>
      </rPr>
      <t xml:space="preserve">調整後</t>
    </r>
    <r>
      <rPr>
        <sz val="9"/>
        <rFont val="游ゴシック"/>
        <family val="0"/>
        <charset val="1"/>
      </rPr>
      <t xml:space="preserve">EBITDA </t>
    </r>
    <r>
      <rPr>
        <sz val="9"/>
        <rFont val="WenQuanYi Zen Hei"/>
        <family val="2"/>
      </rPr>
      <t xml:space="preserve">直近</t>
    </r>
    <r>
      <rPr>
        <sz val="9"/>
        <rFont val="游ゴシック"/>
        <family val="0"/>
        <charset val="1"/>
      </rPr>
      <t xml:space="preserve">2</t>
    </r>
    <r>
      <rPr>
        <sz val="9"/>
        <rFont val="WenQuanYi Zen Hei"/>
        <family val="2"/>
      </rPr>
      <t xml:space="preserve">期平均</t>
    </r>
  </si>
  <si>
    <r>
      <rPr>
        <sz val="9"/>
        <rFont val="WenQuanYi Zen Hei"/>
        <family val="2"/>
      </rPr>
      <t xml:space="preserve">検算（</t>
    </r>
    <r>
      <rPr>
        <sz val="9"/>
        <rFont val="游ゴシック"/>
        <family val="0"/>
        <charset val="1"/>
      </rPr>
      <t xml:space="preserve">26/3</t>
    </r>
    <r>
      <rPr>
        <sz val="9"/>
        <rFont val="WenQuanYi Zen Hei"/>
        <family val="2"/>
      </rPr>
      <t xml:space="preserve">期 調整後</t>
    </r>
    <r>
      <rPr>
        <sz val="9"/>
        <rFont val="游ゴシック"/>
        <family val="0"/>
        <charset val="1"/>
      </rPr>
      <t xml:space="preserve">EBITDA</t>
    </r>
    <r>
      <rPr>
        <sz val="9"/>
        <rFont val="WenQuanYi Zen Hei"/>
        <family val="2"/>
      </rPr>
      <t xml:space="preserve">＝修正</t>
    </r>
    <r>
      <rPr>
        <sz val="9"/>
        <rFont val="游ゴシック"/>
        <family val="0"/>
        <charset val="1"/>
      </rPr>
      <t xml:space="preserve">PL</t>
    </r>
    <r>
      <rPr>
        <sz val="9"/>
        <rFont val="WenQuanYi Zen Hei"/>
        <family val="2"/>
      </rPr>
      <t xml:space="preserve">の修正後</t>
    </r>
    <r>
      <rPr>
        <sz val="9"/>
        <rFont val="游ゴシック"/>
        <family val="0"/>
        <charset val="1"/>
      </rPr>
      <t xml:space="preserve">EBITDA</t>
    </r>
    <r>
      <rPr>
        <sz val="9"/>
        <rFont val="WenQuanYi Zen Hei"/>
        <family val="2"/>
      </rPr>
      <t xml:space="preserve">）</t>
    </r>
  </si>
  <si>
    <r>
      <rPr>
        <sz val="8"/>
        <color rgb="FF404040"/>
        <rFont val="WenQuanYi Zen Hei"/>
        <family val="2"/>
      </rPr>
      <t xml:space="preserve">※調整方針は評価書（修正</t>
    </r>
    <r>
      <rPr>
        <sz val="8"/>
        <color rgb="FF404040"/>
        <rFont val="游ゴシック Medium"/>
        <family val="0"/>
        <charset val="1"/>
      </rPr>
      <t xml:space="preserve">PL</t>
    </r>
    <r>
      <rPr>
        <sz val="8"/>
        <color rgb="FF404040"/>
        <rFont val="WenQuanYi Zen Hei"/>
        <family val="2"/>
      </rPr>
      <t xml:space="preserve">）と同一。</t>
    </r>
    <r>
      <rPr>
        <sz val="8"/>
        <color rgb="FF404040"/>
        <rFont val="游ゴシック Medium"/>
        <family val="0"/>
        <charset val="1"/>
      </rPr>
      <t xml:space="preserve">23/3</t>
    </r>
    <r>
      <rPr>
        <sz val="8"/>
        <color rgb="FF404040"/>
        <rFont val="WenQuanYi Zen Hei"/>
        <family val="2"/>
      </rPr>
      <t xml:space="preserve">期は評価の対象期間外のため調整なし。</t>
    </r>
  </si>
  <si>
    <r>
      <rPr>
        <b val="true"/>
        <sz val="14"/>
        <color rgb="FF0B3041"/>
        <rFont val="游ゴシック"/>
        <family val="0"/>
        <charset val="1"/>
      </rPr>
      <t xml:space="preserve">BS</t>
    </r>
    <r>
      <rPr>
        <b val="true"/>
        <sz val="14"/>
        <color rgb="FF0B3041"/>
        <rFont val="WenQuanYi Zen Hei"/>
        <family val="2"/>
      </rPr>
      <t xml:space="preserve">ハイライト　単位：千円</t>
    </r>
  </si>
  <si>
    <t xml:space="preserve">現預金（保険積立除く）</t>
  </si>
  <si>
    <t xml:space="preserve">建物・構築物</t>
  </si>
  <si>
    <t xml:space="preserve">機械・車両・器具</t>
  </si>
  <si>
    <t xml:space="preserve">無形固定資産・投資等</t>
  </si>
  <si>
    <t xml:space="preserve">その他負債</t>
  </si>
  <si>
    <t xml:space="preserve">自己資本比率</t>
  </si>
  <si>
    <t xml:space="preserve">ネット有利子負債（借入金－現預金）</t>
  </si>
  <si>
    <t xml:space="preserve">時価純資産（評価基準日）</t>
  </si>
  <si>
    <t xml:space="preserve">主要販売先（期末売掛金残高ベース）　単位：千円</t>
  </si>
  <si>
    <t xml:space="preserve">取引先</t>
  </si>
  <si>
    <r>
      <rPr>
        <sz val="9"/>
        <rFont val="游ゴシック"/>
        <family val="0"/>
        <charset val="1"/>
      </rPr>
      <t xml:space="preserve">(</t>
    </r>
    <r>
      <rPr>
        <sz val="9"/>
        <rFont val="WenQuanYi Zen Hei"/>
        <family val="2"/>
      </rPr>
      <t xml:space="preserve">株</t>
    </r>
    <r>
      <rPr>
        <sz val="9"/>
        <rFont val="游ゴシック"/>
        <family val="0"/>
        <charset val="1"/>
      </rPr>
      <t xml:space="preserve">)</t>
    </r>
    <r>
      <rPr>
        <sz val="9"/>
        <rFont val="WenQuanYi Zen Hei"/>
        <family val="2"/>
      </rPr>
      <t xml:space="preserve">日本アクセス</t>
    </r>
  </si>
  <si>
    <r>
      <rPr>
        <sz val="9"/>
        <rFont val="游ゴシック"/>
        <family val="0"/>
        <charset val="1"/>
      </rPr>
      <t xml:space="preserve">(</t>
    </r>
    <r>
      <rPr>
        <sz val="9"/>
        <rFont val="WenQuanYi Zen Hei"/>
        <family val="2"/>
      </rPr>
      <t xml:space="preserve">株</t>
    </r>
    <r>
      <rPr>
        <sz val="9"/>
        <rFont val="游ゴシック"/>
        <family val="0"/>
        <charset val="1"/>
      </rPr>
      <t xml:space="preserve">)</t>
    </r>
    <r>
      <rPr>
        <sz val="9"/>
        <rFont val="WenQuanYi Zen Hei"/>
        <family val="2"/>
      </rPr>
      <t xml:space="preserve">日本橋冷凍手島商店</t>
    </r>
  </si>
  <si>
    <t xml:space="preserve">資材の仕入先でもある</t>
  </si>
  <si>
    <r>
      <rPr>
        <sz val="9"/>
        <rFont val="WenQuanYi Zen Hei"/>
        <family val="2"/>
      </rPr>
      <t xml:space="preserve">三菱食品</t>
    </r>
    <r>
      <rPr>
        <sz val="9"/>
        <rFont val="游ゴシック"/>
        <family val="0"/>
        <charset val="1"/>
      </rPr>
      <t xml:space="preserve">(</t>
    </r>
    <r>
      <rPr>
        <sz val="9"/>
        <rFont val="WenQuanYi Zen Hei"/>
        <family val="2"/>
      </rPr>
      <t xml:space="preserve">株</t>
    </r>
    <r>
      <rPr>
        <sz val="9"/>
        <rFont val="游ゴシック"/>
        <family val="0"/>
        <charset val="1"/>
      </rPr>
      <t xml:space="preserve">)</t>
    </r>
  </si>
  <si>
    <r>
      <rPr>
        <sz val="9"/>
        <rFont val="游ゴシック"/>
        <family val="0"/>
        <charset val="1"/>
      </rPr>
      <t xml:space="preserve">(</t>
    </r>
    <r>
      <rPr>
        <sz val="9"/>
        <rFont val="WenQuanYi Zen Hei"/>
        <family val="2"/>
      </rPr>
      <t xml:space="preserve">株</t>
    </r>
    <r>
      <rPr>
        <sz val="9"/>
        <rFont val="游ゴシック"/>
        <family val="0"/>
        <charset val="1"/>
      </rPr>
      <t xml:space="preserve">)</t>
    </r>
    <r>
      <rPr>
        <sz val="9"/>
        <rFont val="WenQuanYi Zen Hei"/>
        <family val="2"/>
      </rPr>
      <t xml:space="preserve">クールテックサガワ</t>
    </r>
  </si>
  <si>
    <r>
      <rPr>
        <sz val="9"/>
        <rFont val="WenQuanYi Zen Hei"/>
        <family val="2"/>
      </rPr>
      <t xml:space="preserve">金木屋商事</t>
    </r>
    <r>
      <rPr>
        <sz val="9"/>
        <rFont val="游ゴシック"/>
        <family val="0"/>
        <charset val="1"/>
      </rPr>
      <t xml:space="preserve">(</t>
    </r>
    <r>
      <rPr>
        <sz val="9"/>
        <rFont val="WenQuanYi Zen Hei"/>
        <family val="2"/>
      </rPr>
      <t xml:space="preserve">株</t>
    </r>
    <r>
      <rPr>
        <sz val="9"/>
        <rFont val="游ゴシック"/>
        <family val="0"/>
        <charset val="1"/>
      </rPr>
      <t xml:space="preserve">)</t>
    </r>
  </si>
  <si>
    <r>
      <rPr>
        <sz val="9"/>
        <rFont val="游ゴシック"/>
        <family val="0"/>
        <charset val="1"/>
      </rPr>
      <t xml:space="preserve">(</t>
    </r>
    <r>
      <rPr>
        <sz val="9"/>
        <rFont val="WenQuanYi Zen Hei"/>
        <family val="2"/>
      </rPr>
      <t xml:space="preserve">株</t>
    </r>
    <r>
      <rPr>
        <sz val="9"/>
        <rFont val="游ゴシック"/>
        <family val="0"/>
        <charset val="1"/>
      </rPr>
      <t xml:space="preserve">)</t>
    </r>
    <r>
      <rPr>
        <sz val="9"/>
        <rFont val="WenQuanYi Zen Hei"/>
        <family val="2"/>
      </rPr>
      <t xml:space="preserve">ニチレイ・アイス</t>
    </r>
  </si>
  <si>
    <r>
      <rPr>
        <sz val="9"/>
        <rFont val="游ゴシック"/>
        <family val="0"/>
        <charset val="1"/>
      </rPr>
      <t xml:space="preserve">(</t>
    </r>
    <r>
      <rPr>
        <sz val="9"/>
        <rFont val="WenQuanYi Zen Hei"/>
        <family val="2"/>
      </rPr>
      <t xml:space="preserve">株</t>
    </r>
    <r>
      <rPr>
        <sz val="9"/>
        <rFont val="游ゴシック"/>
        <family val="0"/>
        <charset val="1"/>
      </rPr>
      <t xml:space="preserve">)</t>
    </r>
    <r>
      <rPr>
        <sz val="9"/>
        <rFont val="WenQuanYi Zen Hei"/>
        <family val="2"/>
      </rPr>
      <t xml:space="preserve">小野田商店</t>
    </r>
  </si>
  <si>
    <t xml:space="preserve">代表者と同姓。関連当事者か要確認</t>
  </si>
  <si>
    <r>
      <rPr>
        <sz val="9"/>
        <rFont val="游ゴシック"/>
        <family val="0"/>
        <charset val="1"/>
      </rPr>
      <t xml:space="preserve">(</t>
    </r>
    <r>
      <rPr>
        <sz val="9"/>
        <rFont val="WenQuanYi Zen Hei"/>
        <family val="2"/>
      </rPr>
      <t xml:space="preserve">株</t>
    </r>
    <r>
      <rPr>
        <sz val="9"/>
        <rFont val="游ゴシック"/>
        <family val="0"/>
        <charset val="1"/>
      </rPr>
      <t xml:space="preserve">)</t>
    </r>
    <r>
      <rPr>
        <sz val="9"/>
        <rFont val="WenQuanYi Zen Hei"/>
        <family val="2"/>
      </rPr>
      <t xml:space="preserve">双日食品</t>
    </r>
  </si>
  <si>
    <t xml:space="preserve">その他（複数社）</t>
  </si>
  <si>
    <t xml:space="preserve">期末売掛金 合計</t>
  </si>
  <si>
    <t xml:space="preserve">※取引先別の売上高データは未受領（要確認）。期末売掛金残高（月末締め翌月末回収）を取引規模の代理指標として表示。</t>
  </si>
  <si>
    <r>
      <rPr>
        <sz val="8"/>
        <color rgb="FF404040"/>
        <rFont val="WenQuanYi Zen Hei"/>
        <family val="2"/>
      </rPr>
      <t xml:space="preserve">※その他は売掛金残高との差額。</t>
    </r>
    <r>
      <rPr>
        <sz val="8"/>
        <color rgb="FF404040"/>
        <rFont val="游ゴシック Medium"/>
        <family val="0"/>
        <charset val="1"/>
      </rPr>
      <t xml:space="preserve">67</t>
    </r>
    <r>
      <rPr>
        <sz val="8"/>
        <color rgb="FF404040"/>
        <rFont val="WenQuanYi Zen Hei"/>
        <family val="2"/>
      </rPr>
      <t xml:space="preserve">期内訳書は上位先合計が残高を</t>
    </r>
    <r>
      <rPr>
        <sz val="8"/>
        <color rgb="FF404040"/>
        <rFont val="游ゴシック Medium"/>
        <family val="0"/>
        <charset val="1"/>
      </rPr>
      <t xml:space="preserve">1,723,680</t>
    </r>
    <r>
      <rPr>
        <sz val="8"/>
        <color rgb="FF404040"/>
        <rFont val="WenQuanYi Zen Hei"/>
        <family val="2"/>
      </rPr>
      <t xml:space="preserve">円超過しており、</t>
    </r>
    <r>
      <rPr>
        <sz val="8"/>
        <color rgb="FF404040"/>
        <rFont val="游ゴシック Medium"/>
        <family val="0"/>
        <charset val="1"/>
      </rPr>
      <t xml:space="preserve">(</t>
    </r>
    <r>
      <rPr>
        <sz val="8"/>
        <color rgb="FF404040"/>
        <rFont val="WenQuanYi Zen Hei"/>
        <family val="2"/>
      </rPr>
      <t xml:space="preserve">株</t>
    </r>
    <r>
      <rPr>
        <sz val="8"/>
        <color rgb="FF404040"/>
        <rFont val="游ゴシック Medium"/>
        <family val="0"/>
        <charset val="1"/>
      </rPr>
      <t xml:space="preserve">)</t>
    </r>
    <r>
      <rPr>
        <sz val="8"/>
        <color rgb="FF404040"/>
        <rFont val="WenQuanYi Zen Hei"/>
        <family val="2"/>
      </rPr>
      <t xml:space="preserve">小野田商店の重複計上と推察（要確認）。</t>
    </r>
  </si>
  <si>
    <r>
      <rPr>
        <b val="true"/>
        <sz val="14"/>
        <color rgb="FF0B3041"/>
        <rFont val="WenQuanYi Zen Hei"/>
        <family val="2"/>
      </rPr>
      <t xml:space="preserve">主要仕入先・主要経費支払先（</t>
    </r>
    <r>
      <rPr>
        <b val="true"/>
        <sz val="14"/>
        <color rgb="FF0B3041"/>
        <rFont val="游ゴシック"/>
        <family val="0"/>
        <charset val="1"/>
      </rPr>
      <t xml:space="preserve">2026</t>
    </r>
    <r>
      <rPr>
        <b val="true"/>
        <sz val="14"/>
        <color rgb="FF0B3041"/>
        <rFont val="WenQuanYi Zen Hei"/>
        <family val="2"/>
      </rPr>
      <t xml:space="preserve">年</t>
    </r>
    <r>
      <rPr>
        <b val="true"/>
        <sz val="14"/>
        <color rgb="FF0B3041"/>
        <rFont val="游ゴシック"/>
        <family val="0"/>
        <charset val="1"/>
      </rPr>
      <t xml:space="preserve">3</t>
    </r>
    <r>
      <rPr>
        <b val="true"/>
        <sz val="14"/>
        <color rgb="FF0B3041"/>
        <rFont val="WenQuanYi Zen Hei"/>
        <family val="2"/>
      </rPr>
      <t xml:space="preserve">月期末残高）　単位：千円</t>
    </r>
  </si>
  <si>
    <t xml:space="preserve">仕入先（買掛金）</t>
  </si>
  <si>
    <t xml:space="preserve">期末残高</t>
  </si>
  <si>
    <t xml:space="preserve">構成比</t>
  </si>
  <si>
    <r>
      <rPr>
        <sz val="9"/>
        <rFont val="WenQuanYi Zen Hei"/>
        <family val="2"/>
      </rPr>
      <t xml:space="preserve">鈴木段ボール工業</t>
    </r>
    <r>
      <rPr>
        <sz val="9"/>
        <rFont val="游ゴシック"/>
        <family val="0"/>
        <charset val="1"/>
      </rPr>
      <t xml:space="preserve">(</t>
    </r>
    <r>
      <rPr>
        <sz val="9"/>
        <rFont val="WenQuanYi Zen Hei"/>
        <family val="2"/>
      </rPr>
      <t xml:space="preserve">株</t>
    </r>
    <r>
      <rPr>
        <sz val="9"/>
        <rFont val="游ゴシック"/>
        <family val="0"/>
        <charset val="1"/>
      </rPr>
      <t xml:space="preserve">)</t>
    </r>
  </si>
  <si>
    <t xml:space="preserve">資材（段ボール）</t>
  </si>
  <si>
    <r>
      <rPr>
        <sz val="9"/>
        <rFont val="WenQuanYi Zen Hei"/>
        <family val="2"/>
      </rPr>
      <t xml:space="preserve">大三紙業</t>
    </r>
    <r>
      <rPr>
        <sz val="9"/>
        <rFont val="游ゴシック"/>
        <family val="0"/>
        <charset val="1"/>
      </rPr>
      <t xml:space="preserve">(</t>
    </r>
    <r>
      <rPr>
        <sz val="9"/>
        <rFont val="WenQuanYi Zen Hei"/>
        <family val="2"/>
      </rPr>
      <t xml:space="preserve">株</t>
    </r>
    <r>
      <rPr>
        <sz val="9"/>
        <rFont val="游ゴシック"/>
        <family val="0"/>
        <charset val="1"/>
      </rPr>
      <t xml:space="preserve">)</t>
    </r>
  </si>
  <si>
    <t xml:space="preserve">資材</t>
  </si>
  <si>
    <r>
      <rPr>
        <sz val="9"/>
        <rFont val="WenQuanYi Zen Hei"/>
        <family val="2"/>
      </rPr>
      <t xml:space="preserve">日本液炭</t>
    </r>
    <r>
      <rPr>
        <sz val="9"/>
        <rFont val="游ゴシック"/>
        <family val="0"/>
        <charset val="1"/>
      </rPr>
      <t xml:space="preserve">(</t>
    </r>
    <r>
      <rPr>
        <sz val="9"/>
        <rFont val="WenQuanYi Zen Hei"/>
        <family val="2"/>
      </rPr>
      <t xml:space="preserve">株</t>
    </r>
    <r>
      <rPr>
        <sz val="9"/>
        <rFont val="游ゴシック"/>
        <family val="0"/>
        <charset val="1"/>
      </rPr>
      <t xml:space="preserve">)</t>
    </r>
  </si>
  <si>
    <t xml:space="preserve">商品（ドライアイス等）</t>
  </si>
  <si>
    <t xml:space="preserve">越谷松伏水道企業団</t>
  </si>
  <si>
    <r>
      <rPr>
        <sz val="9"/>
        <rFont val="游ゴシック"/>
        <family val="0"/>
        <charset val="1"/>
      </rPr>
      <t xml:space="preserve">(</t>
    </r>
    <r>
      <rPr>
        <sz val="9"/>
        <rFont val="WenQuanYi Zen Hei"/>
        <family val="2"/>
      </rPr>
      <t xml:space="preserve">株</t>
    </r>
    <r>
      <rPr>
        <sz val="9"/>
        <rFont val="游ゴシック"/>
        <family val="0"/>
        <charset val="1"/>
      </rPr>
      <t xml:space="preserve">)</t>
    </r>
    <r>
      <rPr>
        <sz val="9"/>
        <rFont val="WenQuanYi Zen Hei"/>
        <family val="2"/>
      </rPr>
      <t xml:space="preserve">シモジマ</t>
    </r>
  </si>
  <si>
    <t xml:space="preserve">資材（包装資材）</t>
  </si>
  <si>
    <r>
      <rPr>
        <sz val="9"/>
        <rFont val="游ゴシック"/>
        <family val="0"/>
        <charset val="1"/>
      </rPr>
      <t xml:space="preserve">(</t>
    </r>
    <r>
      <rPr>
        <sz val="9"/>
        <rFont val="WenQuanYi Zen Hei"/>
        <family val="2"/>
      </rPr>
      <t xml:space="preserve">株</t>
    </r>
    <r>
      <rPr>
        <sz val="9"/>
        <rFont val="游ゴシック"/>
        <family val="0"/>
        <charset val="1"/>
      </rPr>
      <t xml:space="preserve">)</t>
    </r>
    <r>
      <rPr>
        <sz val="9"/>
        <rFont val="WenQuanYi Zen Hei"/>
        <family val="2"/>
      </rPr>
      <t xml:space="preserve">一陽パック</t>
    </r>
  </si>
  <si>
    <t xml:space="preserve">買掛金 合計</t>
  </si>
  <si>
    <t xml:space="preserve">主な経費支払先（未払金）</t>
  </si>
  <si>
    <r>
      <rPr>
        <sz val="9"/>
        <rFont val="WenQuanYi Zen Hei"/>
        <family val="2"/>
      </rPr>
      <t xml:space="preserve">大森工業</t>
    </r>
    <r>
      <rPr>
        <sz val="9"/>
        <rFont val="游ゴシック"/>
        <family val="0"/>
        <charset val="1"/>
      </rPr>
      <t xml:space="preserve">(</t>
    </r>
    <r>
      <rPr>
        <sz val="9"/>
        <rFont val="WenQuanYi Zen Hei"/>
        <family val="2"/>
      </rPr>
      <t xml:space="preserve">株</t>
    </r>
    <r>
      <rPr>
        <sz val="9"/>
        <rFont val="游ゴシック"/>
        <family val="0"/>
        <charset val="1"/>
      </rPr>
      <t xml:space="preserve">)</t>
    </r>
  </si>
  <si>
    <t xml:space="preserve">缶グリッド部品一式</t>
  </si>
  <si>
    <t xml:space="preserve">バンブーパワートレーディング合同会社</t>
  </si>
  <si>
    <t xml:space="preserve">電気料</t>
  </si>
  <si>
    <r>
      <rPr>
        <sz val="9"/>
        <rFont val="游ゴシック"/>
        <family val="0"/>
        <charset val="1"/>
      </rPr>
      <t xml:space="preserve">(</t>
    </r>
    <r>
      <rPr>
        <sz val="9"/>
        <rFont val="WenQuanYi Zen Hei"/>
        <family val="2"/>
      </rPr>
      <t xml:space="preserve">株</t>
    </r>
    <r>
      <rPr>
        <sz val="9"/>
        <rFont val="游ゴシック"/>
        <family val="0"/>
        <charset val="1"/>
      </rPr>
      <t xml:space="preserve">)</t>
    </r>
    <r>
      <rPr>
        <sz val="9"/>
        <rFont val="WenQuanYi Zen Hei"/>
        <family val="2"/>
      </rPr>
      <t xml:space="preserve">ヒューマンアイ</t>
    </r>
  </si>
  <si>
    <t xml:space="preserve">人材派遣料</t>
  </si>
  <si>
    <r>
      <rPr>
        <sz val="9"/>
        <rFont val="WenQuanYi Zen Hei"/>
        <family val="2"/>
      </rPr>
      <t xml:space="preserve">鴻池運輸</t>
    </r>
    <r>
      <rPr>
        <sz val="9"/>
        <rFont val="游ゴシック"/>
        <family val="0"/>
        <charset val="1"/>
      </rPr>
      <t xml:space="preserve">(</t>
    </r>
    <r>
      <rPr>
        <sz val="9"/>
        <rFont val="WenQuanYi Zen Hei"/>
        <family val="2"/>
      </rPr>
      <t xml:space="preserve">株</t>
    </r>
    <r>
      <rPr>
        <sz val="9"/>
        <rFont val="游ゴシック"/>
        <family val="0"/>
        <charset val="1"/>
      </rPr>
      <t xml:space="preserve">)</t>
    </r>
  </si>
  <si>
    <t xml:space="preserve">配送料</t>
  </si>
  <si>
    <r>
      <rPr>
        <sz val="9"/>
        <rFont val="WenQuanYi Zen Hei"/>
        <family val="2"/>
      </rPr>
      <t xml:space="preserve">南日本日野自動車</t>
    </r>
    <r>
      <rPr>
        <sz val="9"/>
        <rFont val="游ゴシック"/>
        <family val="0"/>
        <charset val="1"/>
      </rPr>
      <t xml:space="preserve">(</t>
    </r>
    <r>
      <rPr>
        <sz val="9"/>
        <rFont val="WenQuanYi Zen Hei"/>
        <family val="2"/>
      </rPr>
      <t xml:space="preserve">株</t>
    </r>
    <r>
      <rPr>
        <sz val="9"/>
        <rFont val="游ゴシック"/>
        <family val="0"/>
        <charset val="1"/>
      </rPr>
      <t xml:space="preserve">)</t>
    </r>
  </si>
  <si>
    <t xml:space="preserve">車両整備費</t>
  </si>
  <si>
    <r>
      <rPr>
        <sz val="9"/>
        <rFont val="WenQuanYi Zen Hei"/>
        <family val="2"/>
      </rPr>
      <t xml:space="preserve">ロジスネクスト東京</t>
    </r>
    <r>
      <rPr>
        <sz val="9"/>
        <rFont val="游ゴシック"/>
        <family val="0"/>
        <charset val="1"/>
      </rPr>
      <t xml:space="preserve">(</t>
    </r>
    <r>
      <rPr>
        <sz val="9"/>
        <rFont val="WenQuanYi Zen Hei"/>
        <family val="2"/>
      </rPr>
      <t xml:space="preserve">株</t>
    </r>
    <r>
      <rPr>
        <sz val="9"/>
        <rFont val="游ゴシック"/>
        <family val="0"/>
        <charset val="1"/>
      </rPr>
      <t xml:space="preserve">)</t>
    </r>
  </si>
  <si>
    <t xml:space="preserve">倉橋運送</t>
  </si>
  <si>
    <r>
      <rPr>
        <sz val="9"/>
        <rFont val="WenQuanYi Zen Hei"/>
        <family val="2"/>
      </rPr>
      <t xml:space="preserve">三浦工業</t>
    </r>
    <r>
      <rPr>
        <sz val="9"/>
        <rFont val="游ゴシック"/>
        <family val="0"/>
        <charset val="1"/>
      </rPr>
      <t xml:space="preserve">(</t>
    </r>
    <r>
      <rPr>
        <sz val="9"/>
        <rFont val="WenQuanYi Zen Hei"/>
        <family val="2"/>
      </rPr>
      <t xml:space="preserve">株</t>
    </r>
    <r>
      <rPr>
        <sz val="9"/>
        <rFont val="游ゴシック"/>
        <family val="0"/>
        <charset val="1"/>
      </rPr>
      <t xml:space="preserve">)</t>
    </r>
  </si>
  <si>
    <t xml:space="preserve">水処理装置</t>
  </si>
  <si>
    <r>
      <rPr>
        <sz val="9"/>
        <rFont val="WenQuanYi Zen Hei"/>
        <family val="2"/>
      </rPr>
      <t xml:space="preserve">出光クレジット</t>
    </r>
    <r>
      <rPr>
        <sz val="9"/>
        <rFont val="游ゴシック"/>
        <family val="0"/>
        <charset val="1"/>
      </rPr>
      <t xml:space="preserve">(</t>
    </r>
    <r>
      <rPr>
        <sz val="9"/>
        <rFont val="WenQuanYi Zen Hei"/>
        <family val="2"/>
      </rPr>
      <t xml:space="preserve">株</t>
    </r>
    <r>
      <rPr>
        <sz val="9"/>
        <rFont val="游ゴシック"/>
        <family val="0"/>
        <charset val="1"/>
      </rPr>
      <t xml:space="preserve">)</t>
    </r>
  </si>
  <si>
    <t xml:space="preserve">車両燃料費</t>
  </si>
  <si>
    <r>
      <rPr>
        <sz val="9"/>
        <rFont val="WenQuanYi Zen Hei"/>
        <family val="2"/>
      </rPr>
      <t xml:space="preserve">守谷輸送機工業</t>
    </r>
    <r>
      <rPr>
        <sz val="9"/>
        <rFont val="游ゴシック"/>
        <family val="0"/>
        <charset val="1"/>
      </rPr>
      <t xml:space="preserve">(</t>
    </r>
    <r>
      <rPr>
        <sz val="9"/>
        <rFont val="WenQuanYi Zen Hei"/>
        <family val="2"/>
      </rPr>
      <t xml:space="preserve">株</t>
    </r>
    <r>
      <rPr>
        <sz val="9"/>
        <rFont val="游ゴシック"/>
        <family val="0"/>
        <charset val="1"/>
      </rPr>
      <t xml:space="preserve">)</t>
    </r>
  </si>
  <si>
    <t xml:space="preserve">保守費用・修繕費</t>
  </si>
  <si>
    <r>
      <rPr>
        <sz val="8"/>
        <color rgb="FF404040"/>
        <rFont val="WenQuanYi Zen Hei"/>
        <family val="2"/>
      </rPr>
      <t xml:space="preserve">※原材料（ロール・段ボール・ビニール袋等の包装資材）の年間仕入高は</t>
    </r>
    <r>
      <rPr>
        <sz val="8"/>
        <color rgb="FF404040"/>
        <rFont val="游ゴシック Medium"/>
        <family val="0"/>
        <charset val="1"/>
      </rPr>
      <t xml:space="preserve">77,113</t>
    </r>
    <r>
      <rPr>
        <sz val="8"/>
        <color rgb="FF404040"/>
        <rFont val="WenQuanYi Zen Hei"/>
        <family val="2"/>
      </rPr>
      <t xml:space="preserve">千円（</t>
    </r>
    <r>
      <rPr>
        <sz val="8"/>
        <color rgb="FF404040"/>
        <rFont val="游ゴシック Medium"/>
        <family val="0"/>
        <charset val="1"/>
      </rPr>
      <t xml:space="preserve">67</t>
    </r>
    <r>
      <rPr>
        <sz val="8"/>
        <color rgb="FF404040"/>
        <rFont val="WenQuanYi Zen Hei"/>
        <family val="2"/>
      </rPr>
      <t xml:space="preserve">期）。電力（動力費 製造</t>
    </r>
    <r>
      <rPr>
        <sz val="8"/>
        <color rgb="FF404040"/>
        <rFont val="游ゴシック Medium"/>
        <family val="0"/>
        <charset val="1"/>
      </rPr>
      <t xml:space="preserve">33,685</t>
    </r>
    <r>
      <rPr>
        <sz val="8"/>
        <color rgb="FF404040"/>
        <rFont val="WenQuanYi Zen Hei"/>
        <family val="2"/>
      </rPr>
      <t xml:space="preserve">千円）、配送運賃（</t>
    </r>
    <r>
      <rPr>
        <sz val="8"/>
        <color rgb="FF404040"/>
        <rFont val="游ゴシック Medium"/>
        <family val="0"/>
        <charset val="1"/>
      </rPr>
      <t xml:space="preserve">27,570</t>
    </r>
    <r>
      <rPr>
        <sz val="8"/>
        <color rgb="FF404040"/>
        <rFont val="WenQuanYi Zen Hei"/>
        <family val="2"/>
      </rPr>
      <t xml:space="preserve">千円）が主要な費用。</t>
    </r>
  </si>
  <si>
    <t xml:space="preserve">外注先</t>
  </si>
  <si>
    <r>
      <rPr>
        <sz val="9"/>
        <rFont val="WenQuanYi Zen Hei"/>
        <family val="2"/>
      </rPr>
      <t xml:space="preserve">外注作業費 </t>
    </r>
    <r>
      <rPr>
        <sz val="9"/>
        <rFont val="游ゴシック"/>
        <family val="0"/>
        <charset val="1"/>
      </rPr>
      <t xml:space="preserve">11,434,787</t>
    </r>
    <r>
      <rPr>
        <sz val="9"/>
        <rFont val="WenQuanYi Zen Hei"/>
        <family val="2"/>
      </rPr>
      <t xml:space="preserve">円（</t>
    </r>
    <r>
      <rPr>
        <sz val="9"/>
        <rFont val="游ゴシック"/>
        <family val="0"/>
        <charset val="1"/>
      </rPr>
      <t xml:space="preserve">67</t>
    </r>
    <r>
      <rPr>
        <sz val="9"/>
        <rFont val="WenQuanYi Zen Hei"/>
        <family val="2"/>
      </rPr>
      <t xml:space="preserve">期）。外注先の内訳は未受領（要確認）。人材派遣（</t>
    </r>
    <r>
      <rPr>
        <sz val="9"/>
        <rFont val="游ゴシック"/>
        <family val="0"/>
        <charset val="1"/>
      </rPr>
      <t xml:space="preserve">(</t>
    </r>
    <r>
      <rPr>
        <sz val="9"/>
        <rFont val="WenQuanYi Zen Hei"/>
        <family val="2"/>
      </rPr>
      <t xml:space="preserve">株</t>
    </r>
    <r>
      <rPr>
        <sz val="9"/>
        <rFont val="游ゴシック"/>
        <family val="0"/>
        <charset val="1"/>
      </rPr>
      <t xml:space="preserve">)</t>
    </r>
    <r>
      <rPr>
        <sz val="9"/>
        <rFont val="WenQuanYi Zen Hei"/>
        <family val="2"/>
      </rPr>
      <t xml:space="preserve">スタッフサービス、</t>
    </r>
    <r>
      <rPr>
        <sz val="9"/>
        <rFont val="游ゴシック"/>
        <family val="0"/>
        <charset val="1"/>
      </rPr>
      <t xml:space="preserve">(</t>
    </r>
    <r>
      <rPr>
        <sz val="9"/>
        <rFont val="WenQuanYi Zen Hei"/>
        <family val="2"/>
      </rPr>
      <t xml:space="preserve">株</t>
    </r>
    <r>
      <rPr>
        <sz val="9"/>
        <rFont val="游ゴシック"/>
        <family val="0"/>
        <charset val="1"/>
      </rPr>
      <t xml:space="preserve">)</t>
    </r>
    <r>
      <rPr>
        <sz val="9"/>
        <rFont val="WenQuanYi Zen Hei"/>
        <family val="2"/>
      </rPr>
      <t xml:space="preserve">ヒューマンアイ、ランスタッド</t>
    </r>
    <r>
      <rPr>
        <sz val="9"/>
        <rFont val="游ゴシック"/>
        <family val="0"/>
        <charset val="1"/>
      </rPr>
      <t xml:space="preserve">(</t>
    </r>
    <r>
      <rPr>
        <sz val="9"/>
        <rFont val="WenQuanYi Zen Hei"/>
        <family val="2"/>
      </rPr>
      <t xml:space="preserve">株</t>
    </r>
    <r>
      <rPr>
        <sz val="9"/>
        <rFont val="游ゴシック"/>
        <family val="0"/>
        <charset val="1"/>
      </rPr>
      <t xml:space="preserve">)</t>
    </r>
    <r>
      <rPr>
        <sz val="9"/>
        <rFont val="WenQuanYi Zen Hei"/>
        <family val="2"/>
      </rPr>
      <t xml:space="preserve">）の利用あり。</t>
    </r>
  </si>
  <si>
    <t xml:space="preserve">氏名</t>
  </si>
  <si>
    <t xml:space="preserve">保有株式数</t>
  </si>
  <si>
    <t xml:space="preserve">比率</t>
  </si>
  <si>
    <t xml:space="preserve">役職</t>
  </si>
  <si>
    <t xml:space="preserve">小野田 洋</t>
  </si>
  <si>
    <t xml:space="preserve">代表取締役</t>
  </si>
  <si>
    <r>
      <rPr>
        <sz val="9"/>
        <rFont val="WenQuanYi Zen Hei"/>
        <family val="2"/>
      </rPr>
      <t xml:space="preserve">発行済株式数：登記</t>
    </r>
    <r>
      <rPr>
        <sz val="9"/>
        <rFont val="游ゴシック"/>
        <family val="0"/>
        <charset val="1"/>
      </rPr>
      <t xml:space="preserve">22,000</t>
    </r>
    <r>
      <rPr>
        <sz val="9"/>
        <rFont val="WenQuanYi Zen Hei"/>
        <family val="2"/>
      </rPr>
      <t xml:space="preserve">株（</t>
    </r>
    <r>
      <rPr>
        <sz val="9"/>
        <rFont val="游ゴシック"/>
        <family val="0"/>
        <charset val="1"/>
      </rPr>
      <t xml:space="preserve">2012</t>
    </r>
    <r>
      <rPr>
        <sz val="9"/>
        <rFont val="WenQuanYi Zen Hei"/>
        <family val="2"/>
      </rPr>
      <t xml:space="preserve">年</t>
    </r>
    <r>
      <rPr>
        <sz val="9"/>
        <rFont val="游ゴシック"/>
        <family val="0"/>
        <charset val="1"/>
      </rPr>
      <t xml:space="preserve">4</t>
    </r>
    <r>
      <rPr>
        <sz val="9"/>
        <rFont val="WenQuanYi Zen Hei"/>
        <family val="2"/>
      </rPr>
      <t xml:space="preserve">月</t>
    </r>
    <r>
      <rPr>
        <sz val="9"/>
        <rFont val="游ゴシック"/>
        <family val="0"/>
        <charset val="1"/>
      </rPr>
      <t xml:space="preserve">30</t>
    </r>
    <r>
      <rPr>
        <sz val="9"/>
        <rFont val="WenQuanYi Zen Hei"/>
        <family val="2"/>
      </rPr>
      <t xml:space="preserve">日変更）／第</t>
    </r>
    <r>
      <rPr>
        <sz val="9"/>
        <rFont val="游ゴシック"/>
        <family val="0"/>
        <charset val="1"/>
      </rPr>
      <t xml:space="preserve">67</t>
    </r>
    <r>
      <rPr>
        <sz val="9"/>
        <rFont val="WenQuanYi Zen Hei"/>
        <family val="2"/>
      </rPr>
      <t xml:space="preserve">期株主資本等変動計算書注記</t>
    </r>
    <r>
      <rPr>
        <sz val="9"/>
        <rFont val="游ゴシック"/>
        <family val="0"/>
        <charset val="1"/>
      </rPr>
      <t xml:space="preserve">200</t>
    </r>
    <r>
      <rPr>
        <sz val="9"/>
        <rFont val="WenQuanYi Zen Hei"/>
        <family val="2"/>
      </rPr>
      <t xml:space="preserve">株／法人税申告書別表二</t>
    </r>
    <r>
      <rPr>
        <sz val="9"/>
        <rFont val="游ゴシック"/>
        <family val="0"/>
        <charset val="1"/>
      </rPr>
      <t xml:space="preserve">220</t>
    </r>
    <r>
      <rPr>
        <sz val="9"/>
        <rFont val="WenQuanYi Zen Hei"/>
        <family val="2"/>
      </rPr>
      <t xml:space="preserve">株と相違 → 株主名簿で要確認</t>
    </r>
  </si>
  <si>
    <t xml:space="preserve">株券発行会社（定款の定め）。株式譲渡には株券の交付を要するため、株券の現存状況を要確認。譲渡制限あり（株主総会の承認）。</t>
  </si>
  <si>
    <t xml:space="preserve">取締役</t>
  </si>
  <si>
    <t xml:space="preserve">就任（重任）</t>
  </si>
  <si>
    <t xml:space="preserve">役員報酬（年）</t>
  </si>
  <si>
    <r>
      <rPr>
        <b val="true"/>
        <sz val="9"/>
        <color rgb="FFFFFFFF"/>
        <rFont val="游ゴシック"/>
        <family val="0"/>
        <charset val="1"/>
      </rPr>
      <t xml:space="preserve">M&amp;A</t>
    </r>
    <r>
      <rPr>
        <b val="true"/>
        <sz val="9"/>
        <color rgb="FFFFFFFF"/>
        <rFont val="WenQuanYi Zen Hei"/>
        <family val="2"/>
      </rPr>
      <t xml:space="preserve">後の進退</t>
    </r>
  </si>
  <si>
    <r>
      <rPr>
        <sz val="9"/>
        <rFont val="游ゴシック"/>
        <family val="0"/>
        <charset val="1"/>
      </rPr>
      <t xml:space="preserve">2020</t>
    </r>
    <r>
      <rPr>
        <sz val="9"/>
        <rFont val="WenQuanYi Zen Hei"/>
        <family val="2"/>
      </rPr>
      <t xml:space="preserve">年</t>
    </r>
    <r>
      <rPr>
        <sz val="9"/>
        <rFont val="游ゴシック"/>
        <family val="0"/>
        <charset val="1"/>
      </rPr>
      <t xml:space="preserve">5</t>
    </r>
    <r>
      <rPr>
        <sz val="9"/>
        <rFont val="WenQuanYi Zen Hei"/>
        <family val="2"/>
      </rPr>
      <t xml:space="preserve">月</t>
    </r>
    <r>
      <rPr>
        <sz val="9"/>
        <rFont val="游ゴシック"/>
        <family val="0"/>
        <charset val="1"/>
      </rPr>
      <t xml:space="preserve">25</t>
    </r>
    <r>
      <rPr>
        <sz val="9"/>
        <rFont val="WenQuanYi Zen Hei"/>
        <family val="2"/>
      </rPr>
      <t xml:space="preserve">日重任</t>
    </r>
  </si>
  <si>
    <t xml:space="preserve">引継ぎ後に退任予定</t>
  </si>
  <si>
    <t xml:space="preserve">引継ぎ期間・条件は譲受企業と協議。年齢・経歴は要確認</t>
  </si>
  <si>
    <t xml:space="preserve">従業員・組織</t>
  </si>
  <si>
    <t xml:space="preserve">人数</t>
  </si>
  <si>
    <t xml:space="preserve">常勤役員</t>
  </si>
  <si>
    <t xml:space="preserve">従業員（越谷工場）</t>
  </si>
  <si>
    <t xml:space="preserve">工場長（鈴木直則氏）が本社・工場・松戸営業所の責任者を兼務</t>
  </si>
  <si>
    <t xml:space="preserve">従業員（松戸営業所）</t>
  </si>
  <si>
    <r>
      <rPr>
        <sz val="9"/>
        <rFont val="游ゴシック"/>
        <family val="0"/>
        <charset val="1"/>
      </rPr>
      <t xml:space="preserve">2026</t>
    </r>
    <r>
      <rPr>
        <sz val="9"/>
        <rFont val="WenQuanYi Zen Hei"/>
        <family val="2"/>
      </rPr>
      <t xml:space="preserve">年</t>
    </r>
    <r>
      <rPr>
        <sz val="9"/>
        <rFont val="游ゴシック"/>
        <family val="0"/>
        <charset val="1"/>
      </rPr>
      <t xml:space="preserve">3</t>
    </r>
    <r>
      <rPr>
        <sz val="9"/>
        <rFont val="WenQuanYi Zen Hei"/>
        <family val="2"/>
      </rPr>
      <t xml:space="preserve">月期末（法人事業概況説明書）。月別従事員数は</t>
    </r>
    <r>
      <rPr>
        <sz val="9"/>
        <rFont val="游ゴシック"/>
        <family val="0"/>
        <charset val="1"/>
      </rPr>
      <t xml:space="preserve">23</t>
    </r>
    <r>
      <rPr>
        <sz val="9"/>
        <rFont val="WenQuanYi Zen Hei"/>
        <family val="2"/>
      </rPr>
      <t xml:space="preserve">〜</t>
    </r>
    <r>
      <rPr>
        <sz val="9"/>
        <rFont val="游ゴシック"/>
        <family val="0"/>
        <charset val="1"/>
      </rPr>
      <t xml:space="preserve">26</t>
    </r>
    <r>
      <rPr>
        <sz val="9"/>
        <rFont val="WenQuanYi Zen Hei"/>
        <family val="2"/>
      </rPr>
      <t xml:space="preserve">名</t>
    </r>
  </si>
  <si>
    <t xml:space="preserve">組織（受領資料ベース）：代表取締役／工場長（鈴木）／財務・経理・総務（千葉・関根、一部外部委託）／営業（森谷）／越谷工場：製造（揚氷：林、加工：増渕）・配送（駒崎）・品質検査（社長）／松戸営業所（森）</t>
  </si>
  <si>
    <r>
      <rPr>
        <sz val="9"/>
        <rFont val="WenQuanYi Zen Hei"/>
        <family val="2"/>
      </rPr>
      <t xml:space="preserve">従業員一覧（年齢・勤続・資格・雇用形態・給与）は未受領（要確認）。人件費（</t>
    </r>
    <r>
      <rPr>
        <sz val="9"/>
        <rFont val="游ゴシック"/>
        <family val="0"/>
        <charset val="1"/>
      </rPr>
      <t xml:space="preserve">67</t>
    </r>
    <r>
      <rPr>
        <sz val="9"/>
        <rFont val="WenQuanYi Zen Hei"/>
        <family val="2"/>
      </rPr>
      <t xml:space="preserve">期）：役員報酬</t>
    </r>
    <r>
      <rPr>
        <sz val="9"/>
        <rFont val="游ゴシック"/>
        <family val="0"/>
        <charset val="1"/>
      </rPr>
      <t xml:space="preserve">7,200</t>
    </r>
    <r>
      <rPr>
        <sz val="9"/>
        <rFont val="WenQuanYi Zen Hei"/>
        <family val="2"/>
      </rPr>
      <t xml:space="preserve">千円、給料手当</t>
    </r>
    <r>
      <rPr>
        <sz val="9"/>
        <rFont val="游ゴシック"/>
        <family val="0"/>
        <charset val="1"/>
      </rPr>
      <t xml:space="preserve">12,920</t>
    </r>
    <r>
      <rPr>
        <sz val="9"/>
        <rFont val="WenQuanYi Zen Hei"/>
        <family val="2"/>
      </rPr>
      <t xml:space="preserve">千円、賃金手当</t>
    </r>
    <r>
      <rPr>
        <sz val="9"/>
        <rFont val="游ゴシック"/>
        <family val="0"/>
        <charset val="1"/>
      </rPr>
      <t xml:space="preserve">78,160</t>
    </r>
    <r>
      <rPr>
        <sz val="9"/>
        <rFont val="WenQuanYi Zen Hei"/>
        <family val="2"/>
      </rPr>
      <t xml:space="preserve">千円。</t>
    </r>
  </si>
  <si>
    <t xml:space="preserve">拠点</t>
  </si>
  <si>
    <r>
      <rPr>
        <b val="true"/>
        <sz val="9"/>
        <color rgb="FFFFFFFF"/>
        <rFont val="WenQuanYi Zen Hei"/>
        <family val="2"/>
      </rPr>
      <t xml:space="preserve">売上高（</t>
    </r>
    <r>
      <rPr>
        <b val="true"/>
        <sz val="9"/>
        <color rgb="FFFFFFFF"/>
        <rFont val="游ゴシック"/>
        <family val="0"/>
        <charset val="1"/>
      </rPr>
      <t xml:space="preserve">67</t>
    </r>
    <r>
      <rPr>
        <b val="true"/>
        <sz val="9"/>
        <color rgb="FFFFFFFF"/>
        <rFont val="WenQuanYi Zen Hei"/>
        <family val="2"/>
      </rPr>
      <t xml:space="preserve">期）</t>
    </r>
  </si>
  <si>
    <t xml:space="preserve">従業員</t>
  </si>
  <si>
    <t xml:space="preserve">延床（㎡）</t>
  </si>
  <si>
    <t xml:space="preserve">本社（登記上本店）</t>
  </si>
  <si>
    <r>
      <rPr>
        <sz val="9"/>
        <rFont val="WenQuanYi Zen Hei"/>
        <family val="2"/>
      </rPr>
      <t xml:space="preserve">埼玉県越谷市蒲生寿町</t>
    </r>
    <r>
      <rPr>
        <sz val="9"/>
        <rFont val="游ゴシック"/>
        <family val="0"/>
        <charset val="1"/>
      </rPr>
      <t xml:space="preserve">19-15</t>
    </r>
  </si>
  <si>
    <t xml:space="preserve">管理</t>
  </si>
  <si>
    <t xml:space="preserve">登記上の本店。代表者住所と同一（実務上の拠点は越谷工場）</t>
  </si>
  <si>
    <t xml:space="preserve">角氷・加工氷・特殊氷・保管料</t>
  </si>
  <si>
    <t xml:space="preserve">自社所有（土地・建物）。製氷・加工・保管</t>
  </si>
  <si>
    <t xml:space="preserve">松戸営業所</t>
  </si>
  <si>
    <r>
      <rPr>
        <sz val="9"/>
        <rFont val="WenQuanYi Zen Hei"/>
        <family val="2"/>
      </rPr>
      <t xml:space="preserve">千葉県松戸市稔台</t>
    </r>
    <r>
      <rPr>
        <sz val="9"/>
        <rFont val="游ゴシック"/>
        <family val="0"/>
        <charset val="1"/>
      </rPr>
      <t xml:space="preserve">5-14-3</t>
    </r>
  </si>
  <si>
    <t xml:space="preserve">角氷・加工氷・凍氷雑品</t>
  </si>
  <si>
    <r>
      <rPr>
        <sz val="9"/>
        <rFont val="WenQuanYi Zen Hei"/>
        <family val="2"/>
      </rPr>
      <t xml:space="preserve">賃借（年</t>
    </r>
    <r>
      <rPr>
        <sz val="9"/>
        <rFont val="游ゴシック"/>
        <family val="0"/>
        <charset val="1"/>
      </rPr>
      <t xml:space="preserve">1,200</t>
    </r>
    <r>
      <rPr>
        <sz val="9"/>
        <rFont val="WenQuanYi Zen Hei"/>
        <family val="2"/>
      </rPr>
      <t xml:space="preserve">千円）</t>
    </r>
  </si>
  <si>
    <t xml:space="preserve">不動産（賃借）</t>
  </si>
  <si>
    <t xml:space="preserve">貸主</t>
  </si>
  <si>
    <t xml:space="preserve">年間賃料</t>
  </si>
  <si>
    <t xml:space="preserve">駐車場</t>
  </si>
  <si>
    <t xml:space="preserve">小野田 洋（代表者）</t>
  </si>
  <si>
    <t xml:space="preserve">代表者からの賃借</t>
  </si>
  <si>
    <t xml:space="preserve">店舗（松戸営業所）</t>
  </si>
  <si>
    <r>
      <rPr>
        <sz val="9"/>
        <rFont val="WenQuanYi Zen Hei"/>
        <family val="2"/>
      </rPr>
      <t xml:space="preserve">アラベスク</t>
    </r>
    <r>
      <rPr>
        <sz val="9"/>
        <rFont val="游ゴシック"/>
        <family val="0"/>
        <charset val="1"/>
      </rPr>
      <t xml:space="preserve">(</t>
    </r>
    <r>
      <rPr>
        <sz val="9"/>
        <rFont val="WenQuanYi Zen Hei"/>
        <family val="2"/>
      </rPr>
      <t xml:space="preserve">株</t>
    </r>
    <r>
      <rPr>
        <sz val="9"/>
        <rFont val="游ゴシック"/>
        <family val="0"/>
        <charset val="1"/>
      </rPr>
      <t xml:space="preserve">)</t>
    </r>
  </si>
  <si>
    <t xml:space="preserve">不動産（所有）</t>
  </si>
  <si>
    <t xml:space="preserve">宅地（非住宅）</t>
  </si>
  <si>
    <r>
      <rPr>
        <sz val="9"/>
        <rFont val="WenQuanYi Zen Hei"/>
        <family val="2"/>
      </rPr>
      <t xml:space="preserve">鉄筋コンクリート造。内訳書記載の簿価</t>
    </r>
    <r>
      <rPr>
        <sz val="9"/>
        <rFont val="游ゴシック"/>
        <family val="0"/>
        <charset val="1"/>
      </rPr>
      <t xml:space="preserve">280,673,009</t>
    </r>
    <r>
      <rPr>
        <sz val="9"/>
        <rFont val="WenQuanYi Zen Hei"/>
        <family val="2"/>
      </rPr>
      <t xml:space="preserve">円と</t>
    </r>
    <r>
      <rPr>
        <sz val="9"/>
        <rFont val="游ゴシック"/>
        <family val="0"/>
        <charset val="1"/>
      </rPr>
      <t xml:space="preserve">BS</t>
    </r>
    <r>
      <rPr>
        <sz val="9"/>
        <rFont val="WenQuanYi Zen Hei"/>
        <family val="2"/>
      </rPr>
      <t xml:space="preserve">建物残高に差異（要確認）</t>
    </r>
  </si>
  <si>
    <t xml:space="preserve">保有設備</t>
  </si>
  <si>
    <t xml:space="preserve">台数</t>
  </si>
  <si>
    <t xml:space="preserve">能力</t>
  </si>
  <si>
    <t xml:space="preserve">製氷設備</t>
  </si>
  <si>
    <r>
      <rPr>
        <sz val="9"/>
        <rFont val="游ゴシック"/>
        <family val="0"/>
        <charset val="1"/>
      </rPr>
      <t xml:space="preserve">4</t>
    </r>
    <r>
      <rPr>
        <sz val="9"/>
        <rFont val="WenQuanYi Zen Hei"/>
        <family val="2"/>
      </rPr>
      <t xml:space="preserve">台</t>
    </r>
  </si>
  <si>
    <r>
      <rPr>
        <sz val="9"/>
        <rFont val="WenQuanYi Zen Hei"/>
        <family val="2"/>
      </rPr>
      <t xml:space="preserve">日産</t>
    </r>
    <r>
      <rPr>
        <sz val="9"/>
        <rFont val="游ゴシック"/>
        <family val="0"/>
        <charset val="1"/>
      </rPr>
      <t xml:space="preserve">40</t>
    </r>
    <r>
      <rPr>
        <sz val="9"/>
        <rFont val="WenQuanYi Zen Hei"/>
        <family val="2"/>
      </rPr>
      <t xml:space="preserve">トン</t>
    </r>
  </si>
  <si>
    <r>
      <rPr>
        <sz val="9"/>
        <rFont val="WenQuanYi Zen Hei"/>
        <family val="2"/>
      </rPr>
      <t xml:space="preserve">法人事業概況説明書（</t>
    </r>
    <r>
      <rPr>
        <sz val="9"/>
        <rFont val="游ゴシック"/>
        <family val="0"/>
        <charset val="1"/>
      </rPr>
      <t xml:space="preserve">67</t>
    </r>
    <r>
      <rPr>
        <sz val="9"/>
        <rFont val="WenQuanYi Zen Hei"/>
        <family val="2"/>
      </rPr>
      <t xml:space="preserve">期）</t>
    </r>
  </si>
  <si>
    <t xml:space="preserve">袋詰砕氷設備</t>
  </si>
  <si>
    <r>
      <rPr>
        <sz val="9"/>
        <rFont val="游ゴシック"/>
        <family val="0"/>
        <charset val="1"/>
      </rPr>
      <t xml:space="preserve">1</t>
    </r>
    <r>
      <rPr>
        <sz val="9"/>
        <rFont val="WenQuanYi Zen Hei"/>
        <family val="2"/>
      </rPr>
      <t xml:space="preserve">台</t>
    </r>
  </si>
  <si>
    <r>
      <rPr>
        <sz val="9"/>
        <rFont val="WenQuanYi Zen Hei"/>
        <family val="2"/>
      </rPr>
      <t xml:space="preserve">日産</t>
    </r>
    <r>
      <rPr>
        <sz val="9"/>
        <rFont val="游ゴシック"/>
        <family val="0"/>
        <charset val="1"/>
      </rPr>
      <t xml:space="preserve">2,500</t>
    </r>
    <r>
      <rPr>
        <sz val="9"/>
        <rFont val="WenQuanYi Zen Hei"/>
        <family val="2"/>
      </rPr>
      <t xml:space="preserve">ケース</t>
    </r>
  </si>
  <si>
    <t xml:space="preserve">冷蔵設備</t>
  </si>
  <si>
    <r>
      <rPr>
        <sz val="9"/>
        <rFont val="游ゴシック"/>
        <family val="0"/>
        <charset val="1"/>
      </rPr>
      <t xml:space="preserve">3</t>
    </r>
    <r>
      <rPr>
        <sz val="9"/>
        <rFont val="WenQuanYi Zen Hei"/>
        <family val="2"/>
      </rPr>
      <t xml:space="preserve">台</t>
    </r>
  </si>
  <si>
    <r>
      <rPr>
        <sz val="9"/>
        <rFont val="游ゴシック"/>
        <family val="0"/>
        <charset val="1"/>
      </rPr>
      <t xml:space="preserve">F</t>
    </r>
    <r>
      <rPr>
        <sz val="9"/>
        <rFont val="WenQuanYi Zen Hei"/>
        <family val="2"/>
      </rPr>
      <t xml:space="preserve">級 </t>
    </r>
    <r>
      <rPr>
        <sz val="9"/>
        <rFont val="游ゴシック"/>
        <family val="0"/>
        <charset val="1"/>
      </rPr>
      <t xml:space="preserve">1,000</t>
    </r>
    <r>
      <rPr>
        <sz val="9"/>
        <rFont val="WenQuanYi Zen Hei"/>
        <family val="2"/>
      </rPr>
      <t xml:space="preserve">トン</t>
    </r>
  </si>
  <si>
    <t xml:space="preserve">償却資産（科目）</t>
  </si>
  <si>
    <t xml:space="preserve">償却不足額</t>
  </si>
  <si>
    <r>
      <rPr>
        <sz val="8"/>
        <color rgb="FF404040"/>
        <rFont val="WenQuanYi Zen Hei"/>
        <family val="2"/>
      </rPr>
      <t xml:space="preserve">※減価償却計算書（</t>
    </r>
    <r>
      <rPr>
        <sz val="8"/>
        <color rgb="FF404040"/>
        <rFont val="游ゴシック Medium"/>
        <family val="0"/>
        <charset val="1"/>
      </rPr>
      <t xml:space="preserve">185</t>
    </r>
    <r>
      <rPr>
        <sz val="8"/>
        <color rgb="FF404040"/>
        <rFont val="WenQuanYi Zen Hei"/>
        <family val="2"/>
      </rPr>
      <t xml:space="preserve">件）の明細は別途データルームで開示予定。主要設備の更新時期・修繕計画は要確認。</t>
    </r>
  </si>
  <si>
    <r>
      <rPr>
        <b val="true"/>
        <sz val="14"/>
        <color rgb="FF0B3041"/>
        <rFont val="WenQuanYi Zen Hei"/>
        <family val="2"/>
      </rPr>
      <t xml:space="preserve">借入金の状況（</t>
    </r>
    <r>
      <rPr>
        <b val="true"/>
        <sz val="14"/>
        <color rgb="FF0B3041"/>
        <rFont val="游ゴシック"/>
        <family val="0"/>
        <charset val="1"/>
      </rPr>
      <t xml:space="preserve">2026</t>
    </r>
    <r>
      <rPr>
        <b val="true"/>
        <sz val="14"/>
        <color rgb="FF0B3041"/>
        <rFont val="WenQuanYi Zen Hei"/>
        <family val="2"/>
      </rPr>
      <t xml:space="preserve">年</t>
    </r>
    <r>
      <rPr>
        <b val="true"/>
        <sz val="14"/>
        <color rgb="FF0B3041"/>
        <rFont val="游ゴシック"/>
        <family val="0"/>
        <charset val="1"/>
      </rPr>
      <t xml:space="preserve">3</t>
    </r>
    <r>
      <rPr>
        <b val="true"/>
        <sz val="14"/>
        <color rgb="FF0B3041"/>
        <rFont val="WenQuanYi Zen Hei"/>
        <family val="2"/>
      </rPr>
      <t xml:space="preserve">月期末）</t>
    </r>
  </si>
  <si>
    <t xml:space="preserve">借入先</t>
  </si>
  <si>
    <t xml:space="preserve">支払利息（年）</t>
  </si>
  <si>
    <t xml:space="preserve">担保・備考</t>
  </si>
  <si>
    <t xml:space="preserve">栃木銀行 弥十郎支店</t>
  </si>
  <si>
    <t xml:space="preserve">社長所有土地</t>
  </si>
  <si>
    <t xml:space="preserve">日本政策金融公庫 池袋支店</t>
  </si>
  <si>
    <r>
      <rPr>
        <sz val="9"/>
        <rFont val="WenQuanYi Zen Hei"/>
        <family val="2"/>
      </rPr>
      <t xml:space="preserve">工場土地・建物（うち資本性ローン</t>
    </r>
    <r>
      <rPr>
        <sz val="9"/>
        <rFont val="游ゴシック"/>
        <family val="0"/>
        <charset val="1"/>
      </rPr>
      <t xml:space="preserve">105,420</t>
    </r>
    <r>
      <rPr>
        <sz val="9"/>
        <rFont val="WenQuanYi Zen Hei"/>
        <family val="2"/>
      </rPr>
      <t xml:space="preserve">千円）</t>
    </r>
  </si>
  <si>
    <t xml:space="preserve">商工組合中央金庫 本店</t>
  </si>
  <si>
    <t xml:space="preserve">足利銀行 越谷支店</t>
  </si>
  <si>
    <t xml:space="preserve">埼玉縣信用金庫 春日部支店</t>
  </si>
  <si>
    <t xml:space="preserve">埼玉りそな銀行 越谷支店</t>
  </si>
  <si>
    <t xml:space="preserve">代表者からの借入金</t>
  </si>
  <si>
    <t xml:space="preserve">埼玉県信用保証協会（保証料）</t>
  </si>
  <si>
    <t xml:space="preserve">保証料</t>
  </si>
  <si>
    <r>
      <rPr>
        <sz val="9"/>
        <rFont val="WenQuanYi Zen Hei"/>
        <family val="2"/>
      </rPr>
      <t xml:space="preserve">検算（</t>
    </r>
    <r>
      <rPr>
        <sz val="9"/>
        <rFont val="游ゴシック"/>
        <family val="0"/>
        <charset val="1"/>
      </rPr>
      <t xml:space="preserve">BS</t>
    </r>
    <r>
      <rPr>
        <sz val="9"/>
        <rFont val="WenQuanYi Zen Hei"/>
        <family val="2"/>
      </rPr>
      <t xml:space="preserve">有利子負債／</t>
    </r>
    <r>
      <rPr>
        <sz val="9"/>
        <rFont val="游ゴシック"/>
        <family val="0"/>
        <charset val="1"/>
      </rPr>
      <t xml:space="preserve">PL</t>
    </r>
    <r>
      <rPr>
        <sz val="9"/>
        <rFont val="WenQuanYi Zen Hei"/>
        <family val="2"/>
      </rPr>
      <t xml:space="preserve">支払利息との一致）</t>
    </r>
  </si>
  <si>
    <r>
      <rPr>
        <sz val="8"/>
        <color rgb="FF404040"/>
        <rFont val="WenQuanYi Zen Hei"/>
        <family val="2"/>
      </rPr>
      <t xml:space="preserve">※代表者は金融機関借入について連帯保証・個人所有土地の担保提供を行っている（受領資料）。</t>
    </r>
    <r>
      <rPr>
        <sz val="8"/>
        <color rgb="FF404040"/>
        <rFont val="游ゴシック Medium"/>
        <family val="0"/>
        <charset val="1"/>
      </rPr>
      <t xml:space="preserve">M&amp;A</t>
    </r>
    <r>
      <rPr>
        <sz val="8"/>
        <color rgb="FF404040"/>
        <rFont val="WenQuanYi Zen Hei"/>
        <family val="2"/>
      </rPr>
      <t xml:space="preserve">実行後の保証解除・担保差替えが譲渡条件。</t>
    </r>
  </si>
  <si>
    <r>
      <rPr>
        <b val="true"/>
        <sz val="14"/>
        <color rgb="FF0B3041"/>
        <rFont val="WenQuanYi Zen Hei"/>
        <family val="2"/>
      </rPr>
      <t xml:space="preserve">月別売上高（</t>
    </r>
    <r>
      <rPr>
        <b val="true"/>
        <sz val="14"/>
        <color rgb="FF0B3041"/>
        <rFont val="游ゴシック"/>
        <family val="0"/>
        <charset val="1"/>
      </rPr>
      <t xml:space="preserve">2026</t>
    </r>
    <r>
      <rPr>
        <b val="true"/>
        <sz val="14"/>
        <color rgb="FF0B3041"/>
        <rFont val="WenQuanYi Zen Hei"/>
        <family val="2"/>
      </rPr>
      <t xml:space="preserve">年</t>
    </r>
    <r>
      <rPr>
        <b val="true"/>
        <sz val="14"/>
        <color rgb="FF0B3041"/>
        <rFont val="游ゴシック"/>
        <family val="0"/>
        <charset val="1"/>
      </rPr>
      <t xml:space="preserve">3</t>
    </r>
    <r>
      <rPr>
        <b val="true"/>
        <sz val="14"/>
        <color rgb="FF0B3041"/>
        <rFont val="WenQuanYi Zen Hei"/>
        <family val="2"/>
      </rPr>
      <t xml:space="preserve">月期）　単位：千円</t>
    </r>
  </si>
  <si>
    <r>
      <rPr>
        <b val="true"/>
        <sz val="9"/>
        <color rgb="FFFFFFFF"/>
        <rFont val="游ゴシック"/>
        <family val="0"/>
        <charset val="1"/>
      </rPr>
      <t xml:space="preserve">4</t>
    </r>
    <r>
      <rPr>
        <b val="true"/>
        <sz val="9"/>
        <color rgb="FFFFFFFF"/>
        <rFont val="WenQuanYi Zen Hei"/>
        <family val="2"/>
      </rPr>
      <t xml:space="preserve">月</t>
    </r>
  </si>
  <si>
    <r>
      <rPr>
        <b val="true"/>
        <sz val="9"/>
        <color rgb="FFFFFFFF"/>
        <rFont val="游ゴシック"/>
        <family val="0"/>
        <charset val="1"/>
      </rPr>
      <t xml:space="preserve">5</t>
    </r>
    <r>
      <rPr>
        <b val="true"/>
        <sz val="9"/>
        <color rgb="FFFFFFFF"/>
        <rFont val="WenQuanYi Zen Hei"/>
        <family val="2"/>
      </rPr>
      <t xml:space="preserve">月</t>
    </r>
  </si>
  <si>
    <r>
      <rPr>
        <b val="true"/>
        <sz val="9"/>
        <color rgb="FFFFFFFF"/>
        <rFont val="游ゴシック"/>
        <family val="0"/>
        <charset val="1"/>
      </rPr>
      <t xml:space="preserve">6</t>
    </r>
    <r>
      <rPr>
        <b val="true"/>
        <sz val="9"/>
        <color rgb="FFFFFFFF"/>
        <rFont val="WenQuanYi Zen Hei"/>
        <family val="2"/>
      </rPr>
      <t xml:space="preserve">月</t>
    </r>
  </si>
  <si>
    <r>
      <rPr>
        <b val="true"/>
        <sz val="9"/>
        <color rgb="FFFFFFFF"/>
        <rFont val="游ゴシック"/>
        <family val="0"/>
        <charset val="1"/>
      </rPr>
      <t xml:space="preserve">7</t>
    </r>
    <r>
      <rPr>
        <b val="true"/>
        <sz val="9"/>
        <color rgb="FFFFFFFF"/>
        <rFont val="WenQuanYi Zen Hei"/>
        <family val="2"/>
      </rPr>
      <t xml:space="preserve">月</t>
    </r>
  </si>
  <si>
    <r>
      <rPr>
        <b val="true"/>
        <sz val="9"/>
        <color rgb="FFFFFFFF"/>
        <rFont val="游ゴシック"/>
        <family val="0"/>
        <charset val="1"/>
      </rPr>
      <t xml:space="preserve">8</t>
    </r>
    <r>
      <rPr>
        <b val="true"/>
        <sz val="9"/>
        <color rgb="FFFFFFFF"/>
        <rFont val="WenQuanYi Zen Hei"/>
        <family val="2"/>
      </rPr>
      <t xml:space="preserve">月</t>
    </r>
  </si>
  <si>
    <r>
      <rPr>
        <b val="true"/>
        <sz val="9"/>
        <color rgb="FFFFFFFF"/>
        <rFont val="游ゴシック"/>
        <family val="0"/>
        <charset val="1"/>
      </rPr>
      <t xml:space="preserve">9</t>
    </r>
    <r>
      <rPr>
        <b val="true"/>
        <sz val="9"/>
        <color rgb="FFFFFFFF"/>
        <rFont val="WenQuanYi Zen Hei"/>
        <family val="2"/>
      </rPr>
      <t xml:space="preserve">月</t>
    </r>
  </si>
  <si>
    <r>
      <rPr>
        <b val="true"/>
        <sz val="9"/>
        <color rgb="FFFFFFFF"/>
        <rFont val="游ゴシック"/>
        <family val="0"/>
        <charset val="1"/>
      </rPr>
      <t xml:space="preserve">10</t>
    </r>
    <r>
      <rPr>
        <b val="true"/>
        <sz val="9"/>
        <color rgb="FFFFFFFF"/>
        <rFont val="WenQuanYi Zen Hei"/>
        <family val="2"/>
      </rPr>
      <t xml:space="preserve">月</t>
    </r>
  </si>
  <si>
    <r>
      <rPr>
        <b val="true"/>
        <sz val="9"/>
        <color rgb="FFFFFFFF"/>
        <rFont val="游ゴシック"/>
        <family val="0"/>
        <charset val="1"/>
      </rPr>
      <t xml:space="preserve">11</t>
    </r>
    <r>
      <rPr>
        <b val="true"/>
        <sz val="9"/>
        <color rgb="FFFFFFFF"/>
        <rFont val="WenQuanYi Zen Hei"/>
        <family val="2"/>
      </rPr>
      <t xml:space="preserve">月</t>
    </r>
  </si>
  <si>
    <r>
      <rPr>
        <b val="true"/>
        <sz val="9"/>
        <color rgb="FFFFFFFF"/>
        <rFont val="游ゴシック"/>
        <family val="0"/>
        <charset val="1"/>
      </rPr>
      <t xml:space="preserve">12</t>
    </r>
    <r>
      <rPr>
        <b val="true"/>
        <sz val="9"/>
        <color rgb="FFFFFFFF"/>
        <rFont val="WenQuanYi Zen Hei"/>
        <family val="2"/>
      </rPr>
      <t xml:space="preserve">月</t>
    </r>
  </si>
  <si>
    <r>
      <rPr>
        <b val="true"/>
        <sz val="9"/>
        <color rgb="FFFFFFFF"/>
        <rFont val="游ゴシック"/>
        <family val="0"/>
        <charset val="1"/>
      </rPr>
      <t xml:space="preserve">1</t>
    </r>
    <r>
      <rPr>
        <b val="true"/>
        <sz val="9"/>
        <color rgb="FFFFFFFF"/>
        <rFont val="WenQuanYi Zen Hei"/>
        <family val="2"/>
      </rPr>
      <t xml:space="preserve">月</t>
    </r>
  </si>
  <si>
    <r>
      <rPr>
        <b val="true"/>
        <sz val="9"/>
        <color rgb="FFFFFFFF"/>
        <rFont val="游ゴシック"/>
        <family val="0"/>
        <charset val="1"/>
      </rPr>
      <t xml:space="preserve">2</t>
    </r>
    <r>
      <rPr>
        <b val="true"/>
        <sz val="9"/>
        <color rgb="FFFFFFFF"/>
        <rFont val="WenQuanYi Zen Hei"/>
        <family val="2"/>
      </rPr>
      <t xml:space="preserve">月</t>
    </r>
  </si>
  <si>
    <r>
      <rPr>
        <b val="true"/>
        <sz val="9"/>
        <color rgb="FFFFFFFF"/>
        <rFont val="游ゴシック"/>
        <family val="0"/>
        <charset val="1"/>
      </rPr>
      <t xml:space="preserve">3</t>
    </r>
    <r>
      <rPr>
        <b val="true"/>
        <sz val="9"/>
        <color rgb="FFFFFFFF"/>
        <rFont val="WenQuanYi Zen Hei"/>
        <family val="2"/>
      </rPr>
      <t xml:space="preserve">月</t>
    </r>
  </si>
  <si>
    <t xml:space="preserve">売上（凍氷）</t>
  </si>
  <si>
    <t xml:space="preserve">保管料</t>
  </si>
  <si>
    <t xml:space="preserve">原材料仕入</t>
  </si>
  <si>
    <t xml:space="preserve">外注費</t>
  </si>
  <si>
    <t xml:space="preserve">人件費</t>
  </si>
  <si>
    <t xml:space="preserve">従事員数</t>
  </si>
  <si>
    <r>
      <rPr>
        <sz val="8"/>
        <color rgb="FF404040"/>
        <rFont val="WenQuanYi Zen Hei"/>
        <family val="2"/>
      </rPr>
      <t xml:space="preserve">※出所：第</t>
    </r>
    <r>
      <rPr>
        <sz val="8"/>
        <color rgb="FF404040"/>
        <rFont val="游ゴシック Medium"/>
        <family val="0"/>
        <charset val="1"/>
      </rPr>
      <t xml:space="preserve">67</t>
    </r>
    <r>
      <rPr>
        <sz val="8"/>
        <color rgb="FF404040"/>
        <rFont val="WenQuanYi Zen Hei"/>
        <family val="2"/>
      </rPr>
      <t xml:space="preserve">期 法人事業概況説明書。</t>
    </r>
    <r>
      <rPr>
        <sz val="8"/>
        <color rgb="FF404040"/>
        <rFont val="游ゴシック Medium"/>
        <family val="0"/>
        <charset val="1"/>
      </rPr>
      <t xml:space="preserve">7</t>
    </r>
    <r>
      <rPr>
        <sz val="8"/>
        <color rgb="FF404040"/>
        <rFont val="WenQuanYi Zen Hei"/>
        <family val="2"/>
      </rPr>
      <t xml:space="preserve">〜</t>
    </r>
    <r>
      <rPr>
        <sz val="8"/>
        <color rgb="FF404040"/>
        <rFont val="游ゴシック Medium"/>
        <family val="0"/>
        <charset val="1"/>
      </rPr>
      <t xml:space="preserve">8</t>
    </r>
    <r>
      <rPr>
        <sz val="8"/>
        <color rgb="FF404040"/>
        <rFont val="WenQuanYi Zen Hei"/>
        <family val="2"/>
      </rPr>
      <t xml:space="preserve">月の盛夏期に年間売上の約</t>
    </r>
    <r>
      <rPr>
        <sz val="8"/>
        <color rgb="FF404040"/>
        <rFont val="游ゴシック Medium"/>
        <family val="0"/>
        <charset val="1"/>
      </rPr>
      <t xml:space="preserve">3</t>
    </r>
    <r>
      <rPr>
        <sz val="8"/>
        <color rgb="FF404040"/>
        <rFont val="WenQuanYi Zen Hei"/>
        <family val="2"/>
      </rPr>
      <t xml:space="preserve">割が集中する季節性の高い事業。</t>
    </r>
  </si>
  <si>
    <t xml:space="preserve">名称</t>
  </si>
  <si>
    <t xml:space="preserve">番号</t>
  </si>
  <si>
    <t xml:space="preserve">許可日</t>
  </si>
  <si>
    <t xml:space="preserve">営業許可書（氷雪製造業）</t>
  </si>
  <si>
    <r>
      <rPr>
        <sz val="9"/>
        <rFont val="WenQuanYi Zen Hei"/>
        <family val="2"/>
      </rPr>
      <t xml:space="preserve">指令保生食第</t>
    </r>
    <r>
      <rPr>
        <sz val="9"/>
        <rFont val="游ゴシック"/>
        <family val="0"/>
        <charset val="1"/>
      </rPr>
      <t xml:space="preserve">792</t>
    </r>
    <r>
      <rPr>
        <sz val="9"/>
        <rFont val="WenQuanYi Zen Hei"/>
        <family val="2"/>
      </rPr>
      <t xml:space="preserve">号</t>
    </r>
  </si>
  <si>
    <r>
      <rPr>
        <sz val="9"/>
        <rFont val="游ゴシック"/>
        <family val="0"/>
        <charset val="1"/>
      </rPr>
      <t xml:space="preserve">2021</t>
    </r>
    <r>
      <rPr>
        <sz val="9"/>
        <rFont val="WenQuanYi Zen Hei"/>
        <family val="2"/>
      </rPr>
      <t xml:space="preserve">年</t>
    </r>
    <r>
      <rPr>
        <sz val="9"/>
        <rFont val="游ゴシック"/>
        <family val="0"/>
        <charset val="1"/>
      </rPr>
      <t xml:space="preserve">3</t>
    </r>
    <r>
      <rPr>
        <sz val="9"/>
        <rFont val="WenQuanYi Zen Hei"/>
        <family val="2"/>
      </rPr>
      <t xml:space="preserve">月</t>
    </r>
    <r>
      <rPr>
        <sz val="9"/>
        <rFont val="游ゴシック"/>
        <family val="0"/>
        <charset val="1"/>
      </rPr>
      <t xml:space="preserve">3</t>
    </r>
    <r>
      <rPr>
        <sz val="9"/>
        <rFont val="WenQuanYi Zen Hei"/>
        <family val="2"/>
      </rPr>
      <t xml:space="preserve">日</t>
    </r>
  </si>
  <si>
    <t xml:space="preserve">有効期限・更新状況 要確認</t>
  </si>
  <si>
    <t xml:space="preserve">食品営業許可証（氷雪販売業）</t>
  </si>
  <si>
    <r>
      <rPr>
        <sz val="9"/>
        <rFont val="WenQuanYi Zen Hei"/>
        <family val="2"/>
      </rPr>
      <t xml:space="preserve">第</t>
    </r>
    <r>
      <rPr>
        <sz val="9"/>
        <rFont val="游ゴシック"/>
        <family val="0"/>
        <charset val="1"/>
      </rPr>
      <t xml:space="preserve">2020-1</t>
    </r>
    <r>
      <rPr>
        <sz val="9"/>
        <rFont val="WenQuanYi Zen Hei"/>
        <family val="2"/>
      </rPr>
      <t xml:space="preserve">号</t>
    </r>
  </si>
  <si>
    <r>
      <rPr>
        <sz val="9"/>
        <rFont val="游ゴシック"/>
        <family val="0"/>
        <charset val="1"/>
      </rPr>
      <t xml:space="preserve">2021</t>
    </r>
    <r>
      <rPr>
        <sz val="9"/>
        <rFont val="WenQuanYi Zen Hei"/>
        <family val="2"/>
      </rPr>
      <t xml:space="preserve">年</t>
    </r>
    <r>
      <rPr>
        <sz val="9"/>
        <rFont val="游ゴシック"/>
        <family val="0"/>
        <charset val="1"/>
      </rPr>
      <t xml:space="preserve">1</t>
    </r>
    <r>
      <rPr>
        <sz val="9"/>
        <rFont val="WenQuanYi Zen Hei"/>
        <family val="2"/>
      </rPr>
      <t xml:space="preserve">月</t>
    </r>
    <r>
      <rPr>
        <sz val="9"/>
        <rFont val="游ゴシック"/>
        <family val="0"/>
        <charset val="1"/>
      </rPr>
      <t xml:space="preserve">15</t>
    </r>
    <r>
      <rPr>
        <sz val="9"/>
        <rFont val="WenQuanYi Zen Hei"/>
        <family val="2"/>
      </rPr>
      <t xml:space="preserve">日</t>
    </r>
  </si>
  <si>
    <r>
      <rPr>
        <sz val="9"/>
        <rFont val="游ゴシック"/>
        <family val="0"/>
        <charset val="1"/>
      </rPr>
      <t xml:space="preserve">5</t>
    </r>
    <r>
      <rPr>
        <sz val="9"/>
        <rFont val="WenQuanYi Zen Hei"/>
        <family val="2"/>
      </rPr>
      <t xml:space="preserve">年更新（</t>
    </r>
    <r>
      <rPr>
        <sz val="9"/>
        <rFont val="游ゴシック"/>
        <family val="0"/>
        <charset val="1"/>
      </rPr>
      <t xml:space="preserve">2026</t>
    </r>
    <r>
      <rPr>
        <sz val="9"/>
        <rFont val="WenQuanYi Zen Hei"/>
        <family val="2"/>
      </rPr>
      <t xml:space="preserve">年</t>
    </r>
    <r>
      <rPr>
        <sz val="9"/>
        <rFont val="游ゴシック"/>
        <family val="0"/>
        <charset val="1"/>
      </rPr>
      <t xml:space="preserve">1</t>
    </r>
    <r>
      <rPr>
        <sz val="9"/>
        <rFont val="WenQuanYi Zen Hei"/>
        <family val="2"/>
      </rPr>
      <t xml:space="preserve">月が更新期限）→更新状況 要確認</t>
    </r>
  </si>
  <si>
    <t xml:space="preserve">沿革</t>
  </si>
  <si>
    <t xml:space="preserve">年月</t>
  </si>
  <si>
    <t xml:space="preserve">主な出来事</t>
  </si>
  <si>
    <r>
      <rPr>
        <sz val="9"/>
        <rFont val="游ゴシック"/>
        <family val="0"/>
        <charset val="1"/>
      </rPr>
      <t xml:space="preserve">1960</t>
    </r>
    <r>
      <rPr>
        <sz val="9"/>
        <rFont val="WenQuanYi Zen Hei"/>
        <family val="2"/>
      </rPr>
      <t xml:space="preserve">年（昭和</t>
    </r>
    <r>
      <rPr>
        <sz val="9"/>
        <rFont val="游ゴシック"/>
        <family val="0"/>
        <charset val="1"/>
      </rPr>
      <t xml:space="preserve">35</t>
    </r>
    <r>
      <rPr>
        <sz val="9"/>
        <rFont val="WenQuanYi Zen Hei"/>
        <family val="2"/>
      </rPr>
      <t xml:space="preserve">年）</t>
    </r>
    <r>
      <rPr>
        <sz val="9"/>
        <rFont val="游ゴシック"/>
        <family val="0"/>
        <charset val="1"/>
      </rPr>
      <t xml:space="preserve">3</t>
    </r>
    <r>
      <rPr>
        <sz val="9"/>
        <rFont val="WenQuanYi Zen Hei"/>
        <family val="2"/>
      </rPr>
      <t xml:space="preserve">月</t>
    </r>
  </si>
  <si>
    <t xml:space="preserve">越ヶ谷製氷冷蔵株式会社を設立。越谷工場で操業開始</t>
  </si>
  <si>
    <r>
      <rPr>
        <sz val="8"/>
        <rFont val="WenQuanYi Zen Hei"/>
        <family val="2"/>
      </rPr>
      <t xml:space="preserve">公式サイト・</t>
    </r>
    <r>
      <rPr>
        <sz val="8"/>
        <rFont val="游ゴシック"/>
        <family val="0"/>
        <charset val="1"/>
      </rPr>
      <t xml:space="preserve">Web</t>
    </r>
    <r>
      <rPr>
        <sz val="8"/>
        <rFont val="WenQuanYi Zen Hei"/>
        <family val="2"/>
      </rPr>
      <t xml:space="preserve">掲載情報</t>
    </r>
  </si>
  <si>
    <r>
      <rPr>
        <sz val="9"/>
        <rFont val="游ゴシック"/>
        <family val="0"/>
        <charset val="1"/>
      </rPr>
      <t xml:space="preserve">1964</t>
    </r>
    <r>
      <rPr>
        <sz val="9"/>
        <rFont val="WenQuanYi Zen Hei"/>
        <family val="2"/>
      </rPr>
      <t xml:space="preserve">年（昭和</t>
    </r>
    <r>
      <rPr>
        <sz val="9"/>
        <rFont val="游ゴシック"/>
        <family val="0"/>
        <charset val="1"/>
      </rPr>
      <t xml:space="preserve">39</t>
    </r>
    <r>
      <rPr>
        <sz val="9"/>
        <rFont val="WenQuanYi Zen Hei"/>
        <family val="2"/>
      </rPr>
      <t xml:space="preserve">年）</t>
    </r>
  </si>
  <si>
    <t xml:space="preserve">越谷工場に純水装置（イオン交換方式）を導入</t>
  </si>
  <si>
    <r>
      <rPr>
        <sz val="9"/>
        <rFont val="游ゴシック"/>
        <family val="0"/>
        <charset val="1"/>
      </rPr>
      <t xml:space="preserve">1972</t>
    </r>
    <r>
      <rPr>
        <sz val="9"/>
        <rFont val="WenQuanYi Zen Hei"/>
        <family val="2"/>
      </rPr>
      <t xml:space="preserve">年（昭和</t>
    </r>
    <r>
      <rPr>
        <sz val="9"/>
        <rFont val="游ゴシック"/>
        <family val="0"/>
        <charset val="1"/>
      </rPr>
      <t xml:space="preserve">47</t>
    </r>
    <r>
      <rPr>
        <sz val="9"/>
        <rFont val="WenQuanYi Zen Hei"/>
        <family val="2"/>
      </rPr>
      <t xml:space="preserve">年）</t>
    </r>
  </si>
  <si>
    <t xml:space="preserve">本社を越谷市蒲生寿町へ移転</t>
  </si>
  <si>
    <r>
      <rPr>
        <sz val="9"/>
        <rFont val="游ゴシック"/>
        <family val="0"/>
        <charset val="1"/>
      </rPr>
      <t xml:space="preserve">1990</t>
    </r>
    <r>
      <rPr>
        <sz val="9"/>
        <rFont val="WenQuanYi Zen Hei"/>
        <family val="2"/>
      </rPr>
      <t xml:space="preserve">年（平成</t>
    </r>
    <r>
      <rPr>
        <sz val="9"/>
        <rFont val="游ゴシック"/>
        <family val="0"/>
        <charset val="1"/>
      </rPr>
      <t xml:space="preserve">2</t>
    </r>
    <r>
      <rPr>
        <sz val="9"/>
        <rFont val="WenQuanYi Zen Hei"/>
        <family val="2"/>
      </rPr>
      <t xml:space="preserve">年）</t>
    </r>
  </si>
  <si>
    <r>
      <rPr>
        <sz val="9"/>
        <rFont val="WenQuanYi Zen Hei"/>
        <family val="2"/>
      </rPr>
      <t xml:space="preserve">逆浸透膜（</t>
    </r>
    <r>
      <rPr>
        <sz val="9"/>
        <rFont val="游ゴシック"/>
        <family val="0"/>
        <charset val="1"/>
      </rPr>
      <t xml:space="preserve">RO</t>
    </r>
    <r>
      <rPr>
        <sz val="9"/>
        <rFont val="WenQuanYi Zen Hei"/>
        <family val="2"/>
      </rPr>
      <t xml:space="preserve">）ろ過装置を導入</t>
    </r>
  </si>
  <si>
    <r>
      <rPr>
        <sz val="9"/>
        <rFont val="游ゴシック"/>
        <family val="0"/>
        <charset val="1"/>
      </rPr>
      <t xml:space="preserve">1991</t>
    </r>
    <r>
      <rPr>
        <sz val="9"/>
        <rFont val="WenQuanYi Zen Hei"/>
        <family val="2"/>
      </rPr>
      <t xml:space="preserve">年（平成</t>
    </r>
    <r>
      <rPr>
        <sz val="9"/>
        <rFont val="游ゴシック"/>
        <family val="0"/>
        <charset val="1"/>
      </rPr>
      <t xml:space="preserve">3</t>
    </r>
    <r>
      <rPr>
        <sz val="9"/>
        <rFont val="WenQuanYi Zen Hei"/>
        <family val="2"/>
      </rPr>
      <t xml:space="preserve">年）</t>
    </r>
    <r>
      <rPr>
        <sz val="9"/>
        <rFont val="游ゴシック"/>
        <family val="0"/>
        <charset val="1"/>
      </rPr>
      <t xml:space="preserve">3</t>
    </r>
    <r>
      <rPr>
        <sz val="9"/>
        <rFont val="WenQuanYi Zen Hei"/>
        <family val="2"/>
      </rPr>
      <t xml:space="preserve">月</t>
    </r>
  </si>
  <si>
    <t xml:space="preserve">越谷工場（現工場棟）を建設</t>
  </si>
  <si>
    <t xml:space="preserve">減価償却計算書</t>
  </si>
  <si>
    <r>
      <rPr>
        <sz val="9"/>
        <rFont val="游ゴシック"/>
        <family val="0"/>
        <charset val="1"/>
      </rPr>
      <t xml:space="preserve">2008</t>
    </r>
    <r>
      <rPr>
        <sz val="9"/>
        <rFont val="WenQuanYi Zen Hei"/>
        <family val="2"/>
      </rPr>
      <t xml:space="preserve">年（平成</t>
    </r>
    <r>
      <rPr>
        <sz val="9"/>
        <rFont val="游ゴシック"/>
        <family val="0"/>
        <charset val="1"/>
      </rPr>
      <t xml:space="preserve">20</t>
    </r>
    <r>
      <rPr>
        <sz val="9"/>
        <rFont val="WenQuanYi Zen Hei"/>
        <family val="2"/>
      </rPr>
      <t xml:space="preserve">年）</t>
    </r>
  </si>
  <si>
    <t xml:space="preserve">越谷工場 外壁塗装工事</t>
  </si>
  <si>
    <r>
      <rPr>
        <sz val="9"/>
        <rFont val="游ゴシック"/>
        <family val="0"/>
        <charset val="1"/>
      </rPr>
      <t xml:space="preserve">2012</t>
    </r>
    <r>
      <rPr>
        <sz val="9"/>
        <rFont val="WenQuanYi Zen Hei"/>
        <family val="2"/>
      </rPr>
      <t xml:space="preserve">年（平成</t>
    </r>
    <r>
      <rPr>
        <sz val="9"/>
        <rFont val="游ゴシック"/>
        <family val="0"/>
        <charset val="1"/>
      </rPr>
      <t xml:space="preserve">24</t>
    </r>
    <r>
      <rPr>
        <sz val="9"/>
        <rFont val="WenQuanYi Zen Hei"/>
        <family val="2"/>
      </rPr>
      <t xml:space="preserve">年）</t>
    </r>
    <r>
      <rPr>
        <sz val="9"/>
        <rFont val="游ゴシック"/>
        <family val="0"/>
        <charset val="1"/>
      </rPr>
      <t xml:space="preserve">4</t>
    </r>
    <r>
      <rPr>
        <sz val="9"/>
        <rFont val="WenQuanYi Zen Hei"/>
        <family val="2"/>
      </rPr>
      <t xml:space="preserve">月</t>
    </r>
  </si>
  <si>
    <r>
      <rPr>
        <sz val="9"/>
        <rFont val="WenQuanYi Zen Hei"/>
        <family val="2"/>
      </rPr>
      <t xml:space="preserve">増資により資本金</t>
    </r>
    <r>
      <rPr>
        <sz val="9"/>
        <rFont val="游ゴシック"/>
        <family val="0"/>
        <charset val="1"/>
      </rPr>
      <t xml:space="preserve">11,000</t>
    </r>
    <r>
      <rPr>
        <sz val="9"/>
        <rFont val="WenQuanYi Zen Hei"/>
        <family val="2"/>
      </rPr>
      <t xml:space="preserve">千円</t>
    </r>
  </si>
  <si>
    <r>
      <rPr>
        <sz val="9"/>
        <rFont val="游ゴシック"/>
        <family val="0"/>
        <charset val="1"/>
      </rPr>
      <t xml:space="preserve">2020</t>
    </r>
    <r>
      <rPr>
        <sz val="9"/>
        <rFont val="WenQuanYi Zen Hei"/>
        <family val="2"/>
      </rPr>
      <t xml:space="preserve">年（令和</t>
    </r>
    <r>
      <rPr>
        <sz val="9"/>
        <rFont val="游ゴシック"/>
        <family val="0"/>
        <charset val="1"/>
      </rPr>
      <t xml:space="preserve">2</t>
    </r>
    <r>
      <rPr>
        <sz val="9"/>
        <rFont val="WenQuanYi Zen Hei"/>
        <family val="2"/>
      </rPr>
      <t xml:space="preserve">年）</t>
    </r>
    <r>
      <rPr>
        <sz val="9"/>
        <rFont val="游ゴシック"/>
        <family val="0"/>
        <charset val="1"/>
      </rPr>
      <t xml:space="preserve">5</t>
    </r>
    <r>
      <rPr>
        <sz val="9"/>
        <rFont val="WenQuanYi Zen Hei"/>
        <family val="2"/>
      </rPr>
      <t xml:space="preserve">月</t>
    </r>
  </si>
  <si>
    <t xml:space="preserve">株式の譲渡制限に関する規定を変更</t>
  </si>
  <si>
    <r>
      <rPr>
        <sz val="9"/>
        <rFont val="游ゴシック"/>
        <family val="0"/>
        <charset val="1"/>
      </rPr>
      <t xml:space="preserve">2026</t>
    </r>
    <r>
      <rPr>
        <sz val="9"/>
        <rFont val="WenQuanYi Zen Hei"/>
        <family val="2"/>
      </rPr>
      <t xml:space="preserve">年（令和</t>
    </r>
    <r>
      <rPr>
        <sz val="9"/>
        <rFont val="游ゴシック"/>
        <family val="0"/>
        <charset val="1"/>
      </rPr>
      <t xml:space="preserve">8</t>
    </r>
    <r>
      <rPr>
        <sz val="9"/>
        <rFont val="WenQuanYi Zen Hei"/>
        <family val="2"/>
      </rPr>
      <t xml:space="preserve">年）</t>
    </r>
    <r>
      <rPr>
        <sz val="9"/>
        <rFont val="游ゴシック"/>
        <family val="0"/>
        <charset val="1"/>
      </rPr>
      <t xml:space="preserve">5</t>
    </r>
    <r>
      <rPr>
        <sz val="9"/>
        <rFont val="WenQuanYi Zen Hei"/>
        <family val="2"/>
      </rPr>
      <t xml:space="preserve">月</t>
    </r>
  </si>
  <si>
    <r>
      <rPr>
        <sz val="9"/>
        <rFont val="WenQuanYi Zen Hei"/>
        <family val="2"/>
      </rPr>
      <t xml:space="preserve">減資により資本金</t>
    </r>
    <r>
      <rPr>
        <sz val="9"/>
        <rFont val="游ゴシック"/>
        <family val="0"/>
        <charset val="1"/>
      </rPr>
      <t xml:space="preserve">10,000</t>
    </r>
    <r>
      <rPr>
        <sz val="9"/>
        <rFont val="WenQuanYi Zen Hei"/>
        <family val="2"/>
      </rPr>
      <t xml:space="preserve">千円</t>
    </r>
  </si>
  <si>
    <t xml:space="preserve">要確認事項・ネクストステップ（ヒアリング項目一覧の原本）</t>
  </si>
  <si>
    <t xml:space="preserve">No.</t>
  </si>
  <si>
    <t xml:space="preserve">分野</t>
  </si>
  <si>
    <t xml:space="preserve">確認事項</t>
  </si>
  <si>
    <t xml:space="preserve">優先度</t>
  </si>
  <si>
    <t xml:space="preserve">株主・資本</t>
  </si>
  <si>
    <r>
      <rPr>
        <sz val="9"/>
        <rFont val="WenQuanYi Zen Hei"/>
        <family val="2"/>
      </rPr>
      <t xml:space="preserve">発行済株式数の確定（登記</t>
    </r>
    <r>
      <rPr>
        <sz val="9"/>
        <rFont val="游ゴシック"/>
        <family val="0"/>
        <charset val="1"/>
      </rPr>
      <t xml:space="preserve">22,000</t>
    </r>
    <r>
      <rPr>
        <sz val="9"/>
        <rFont val="WenQuanYi Zen Hei"/>
        <family val="2"/>
      </rPr>
      <t xml:space="preserve">株／決算注記</t>
    </r>
    <r>
      <rPr>
        <sz val="9"/>
        <rFont val="游ゴシック"/>
        <family val="0"/>
        <charset val="1"/>
      </rPr>
      <t xml:space="preserve">200</t>
    </r>
    <r>
      <rPr>
        <sz val="9"/>
        <rFont val="WenQuanYi Zen Hei"/>
        <family val="2"/>
      </rPr>
      <t xml:space="preserve">株／別表二</t>
    </r>
    <r>
      <rPr>
        <sz val="9"/>
        <rFont val="游ゴシック"/>
        <family val="0"/>
        <charset val="1"/>
      </rPr>
      <t xml:space="preserve">220</t>
    </r>
    <r>
      <rPr>
        <sz val="9"/>
        <rFont val="WenQuanYi Zen Hei"/>
        <family val="2"/>
      </rPr>
      <t xml:space="preserve">株）と株主名簿・株券の現存状況（株券発行会社）</t>
    </r>
  </si>
  <si>
    <t xml:space="preserve">高</t>
  </si>
  <si>
    <r>
      <rPr>
        <sz val="9"/>
        <rFont val="游ゴシック"/>
        <family val="0"/>
        <charset val="1"/>
      </rPr>
      <t xml:space="preserve">2026</t>
    </r>
    <r>
      <rPr>
        <sz val="9"/>
        <rFont val="WenQuanYi Zen Hei"/>
        <family val="2"/>
      </rPr>
      <t xml:space="preserve">年</t>
    </r>
    <r>
      <rPr>
        <sz val="9"/>
        <rFont val="游ゴシック"/>
        <family val="0"/>
        <charset val="1"/>
      </rPr>
      <t xml:space="preserve">5</t>
    </r>
    <r>
      <rPr>
        <sz val="9"/>
        <rFont val="WenQuanYi Zen Hei"/>
        <family val="2"/>
      </rPr>
      <t xml:space="preserve">月の減資（</t>
    </r>
    <r>
      <rPr>
        <sz val="9"/>
        <rFont val="游ゴシック"/>
        <family val="0"/>
        <charset val="1"/>
      </rPr>
      <t xml:space="preserve">11,000</t>
    </r>
    <r>
      <rPr>
        <sz val="9"/>
        <rFont val="WenQuanYi Zen Hei"/>
        <family val="2"/>
      </rPr>
      <t xml:space="preserve">千円→</t>
    </r>
    <r>
      <rPr>
        <sz val="9"/>
        <rFont val="游ゴシック"/>
        <family val="0"/>
        <charset val="1"/>
      </rPr>
      <t xml:space="preserve">10,000</t>
    </r>
    <r>
      <rPr>
        <sz val="9"/>
        <rFont val="WenQuanYi Zen Hei"/>
        <family val="2"/>
      </rPr>
      <t xml:space="preserve">千円）の目的・手続（欠損填補か払戻しか）</t>
    </r>
  </si>
  <si>
    <t xml:space="preserve">中</t>
  </si>
  <si>
    <t xml:space="preserve">譲渡条件</t>
  </si>
  <si>
    <r>
      <rPr>
        <sz val="9"/>
        <rFont val="WenQuanYi Zen Hei"/>
        <family val="2"/>
      </rPr>
      <t xml:space="preserve">代表者の連帯保証・個人所有土地の担保提供（栃木銀行・商工中金）の解除方法、代表者借入金</t>
    </r>
    <r>
      <rPr>
        <sz val="9"/>
        <rFont val="游ゴシック"/>
        <family val="0"/>
        <charset val="1"/>
      </rPr>
      <t xml:space="preserve">14,000</t>
    </r>
    <r>
      <rPr>
        <sz val="9"/>
        <rFont val="WenQuanYi Zen Hei"/>
        <family val="2"/>
      </rPr>
      <t xml:space="preserve">千円の取扱い</t>
    </r>
  </si>
  <si>
    <t xml:space="preserve">代表者の引継ぎ期間・退任後の関与形態、代表者所有駐車場の賃貸借の継続</t>
  </si>
  <si>
    <t xml:space="preserve">財務</t>
  </si>
  <si>
    <r>
      <rPr>
        <sz val="9"/>
        <rFont val="WenQuanYi Zen Hei"/>
        <family val="2"/>
      </rPr>
      <t xml:space="preserve">建物の会計上の償却停止の経緯（償却不足額 当期</t>
    </r>
    <r>
      <rPr>
        <sz val="9"/>
        <rFont val="游ゴシック"/>
        <family val="0"/>
        <charset val="1"/>
      </rPr>
      <t xml:space="preserve">21,745</t>
    </r>
    <r>
      <rPr>
        <sz val="9"/>
        <rFont val="WenQuanYi Zen Hei"/>
        <family val="2"/>
      </rPr>
      <t xml:space="preserve">千円）と建物簿価（</t>
    </r>
    <r>
      <rPr>
        <sz val="9"/>
        <rFont val="游ゴシック"/>
        <family val="0"/>
        <charset val="1"/>
      </rPr>
      <t xml:space="preserve">BS259,242</t>
    </r>
    <r>
      <rPr>
        <sz val="9"/>
        <rFont val="WenQuanYi Zen Hei"/>
        <family val="2"/>
      </rPr>
      <t xml:space="preserve">千円／内訳書</t>
    </r>
    <r>
      <rPr>
        <sz val="9"/>
        <rFont val="游ゴシック"/>
        <family val="0"/>
        <charset val="1"/>
      </rPr>
      <t xml:space="preserve">280,673</t>
    </r>
    <r>
      <rPr>
        <sz val="9"/>
        <rFont val="WenQuanYi Zen Hei"/>
        <family val="2"/>
      </rPr>
      <t xml:space="preserve">千円）の差異</t>
    </r>
  </si>
  <si>
    <r>
      <rPr>
        <sz val="9"/>
        <rFont val="WenQuanYi Zen Hei"/>
        <family val="2"/>
      </rPr>
      <t xml:space="preserve">定期預金残高の内訳差異</t>
    </r>
    <r>
      <rPr>
        <sz val="9"/>
        <rFont val="游ゴシック"/>
        <family val="0"/>
        <charset val="1"/>
      </rPr>
      <t xml:space="preserve">6,800</t>
    </r>
    <r>
      <rPr>
        <sz val="9"/>
        <rFont val="WenQuanYi Zen Hei"/>
        <family val="2"/>
      </rPr>
      <t xml:space="preserve">千円（預貯金内訳</t>
    </r>
    <r>
      <rPr>
        <sz val="9"/>
        <rFont val="游ゴシック"/>
        <family val="0"/>
        <charset val="1"/>
      </rPr>
      <t xml:space="preserve">19,601</t>
    </r>
    <r>
      <rPr>
        <sz val="9"/>
        <rFont val="WenQuanYi Zen Hei"/>
        <family val="2"/>
      </rPr>
      <t xml:space="preserve">千円／</t>
    </r>
    <r>
      <rPr>
        <sz val="9"/>
        <rFont val="游ゴシック"/>
        <family val="0"/>
        <charset val="1"/>
      </rPr>
      <t xml:space="preserve">BS26,401</t>
    </r>
    <r>
      <rPr>
        <sz val="9"/>
        <rFont val="WenQuanYi Zen Hei"/>
        <family val="2"/>
      </rPr>
      <t xml:space="preserve">千円）、担保差入の有無</t>
    </r>
  </si>
  <si>
    <r>
      <rPr>
        <sz val="9"/>
        <rFont val="WenQuanYi Zen Hei"/>
        <family val="2"/>
      </rPr>
      <t xml:space="preserve">売掛金内訳の合計超過</t>
    </r>
    <r>
      <rPr>
        <sz val="9"/>
        <rFont val="游ゴシック"/>
        <family val="0"/>
        <charset val="1"/>
      </rPr>
      <t xml:space="preserve">1,723,680</t>
    </r>
    <r>
      <rPr>
        <sz val="9"/>
        <rFont val="WenQuanYi Zen Hei"/>
        <family val="2"/>
      </rPr>
      <t xml:space="preserve">円（</t>
    </r>
    <r>
      <rPr>
        <sz val="9"/>
        <rFont val="游ゴシック"/>
        <family val="0"/>
        <charset val="1"/>
      </rPr>
      <t xml:space="preserve">(</t>
    </r>
    <r>
      <rPr>
        <sz val="9"/>
        <rFont val="WenQuanYi Zen Hei"/>
        <family val="2"/>
      </rPr>
      <t xml:space="preserve">株</t>
    </r>
    <r>
      <rPr>
        <sz val="9"/>
        <rFont val="游ゴシック"/>
        <family val="0"/>
        <charset val="1"/>
      </rPr>
      <t xml:space="preserve">)</t>
    </r>
    <r>
      <rPr>
        <sz val="9"/>
        <rFont val="WenQuanYi Zen Hei"/>
        <family val="2"/>
      </rPr>
      <t xml:space="preserve">小野田商店）と同社との関係（関連当事者か）</t>
    </r>
  </si>
  <si>
    <r>
      <rPr>
        <sz val="9"/>
        <rFont val="WenQuanYi Zen Hei"/>
        <family val="2"/>
      </rPr>
      <t xml:space="preserve">退職給与</t>
    </r>
    <r>
      <rPr>
        <sz val="9"/>
        <rFont val="游ゴシック"/>
        <family val="0"/>
        <charset val="1"/>
      </rPr>
      <t xml:space="preserve">6,178</t>
    </r>
    <r>
      <rPr>
        <sz val="9"/>
        <rFont val="WenQuanYi Zen Hei"/>
        <family val="2"/>
      </rPr>
      <t xml:space="preserve">千円（</t>
    </r>
    <r>
      <rPr>
        <sz val="9"/>
        <rFont val="游ゴシック"/>
        <family val="0"/>
        <charset val="1"/>
      </rPr>
      <t xml:space="preserve">67</t>
    </r>
    <r>
      <rPr>
        <sz val="9"/>
        <rFont val="WenQuanYi Zen Hei"/>
        <family val="2"/>
      </rPr>
      <t xml:space="preserve">期）の対象者・退職金規程・中退共加入状況、今後の退職予定者</t>
    </r>
  </si>
  <si>
    <t xml:space="preserve">生命保険（大同生命・第一生命）の解約返戻金額・被保険者</t>
  </si>
  <si>
    <r>
      <rPr>
        <sz val="9"/>
        <rFont val="游ゴシック"/>
        <family val="0"/>
        <charset val="1"/>
      </rPr>
      <t xml:space="preserve">65</t>
    </r>
    <r>
      <rPr>
        <sz val="9"/>
        <rFont val="WenQuanYi Zen Hei"/>
        <family val="2"/>
      </rPr>
      <t xml:space="preserve">期の雑収入</t>
    </r>
    <r>
      <rPr>
        <sz val="9"/>
        <rFont val="游ゴシック"/>
        <family val="0"/>
        <charset val="1"/>
      </rPr>
      <t xml:space="preserve">8,482</t>
    </r>
    <r>
      <rPr>
        <sz val="9"/>
        <rFont val="WenQuanYi Zen Hei"/>
        <family val="2"/>
      </rPr>
      <t xml:space="preserve">千円・雑損</t>
    </r>
    <r>
      <rPr>
        <sz val="9"/>
        <rFont val="游ゴシック"/>
        <family val="0"/>
        <charset val="1"/>
      </rPr>
      <t xml:space="preserve">5,192</t>
    </r>
    <r>
      <rPr>
        <sz val="9"/>
        <rFont val="WenQuanYi Zen Hei"/>
        <family val="2"/>
      </rPr>
      <t xml:space="preserve">千円の内容</t>
    </r>
  </si>
  <si>
    <r>
      <rPr>
        <sz val="9"/>
        <rFont val="WenQuanYi Zen Hei"/>
        <family val="2"/>
      </rPr>
      <t xml:space="preserve">支払手数料（</t>
    </r>
    <r>
      <rPr>
        <sz val="9"/>
        <rFont val="游ゴシック"/>
        <family val="0"/>
        <charset val="1"/>
      </rPr>
      <t xml:space="preserve">66</t>
    </r>
    <r>
      <rPr>
        <sz val="9"/>
        <rFont val="WenQuanYi Zen Hei"/>
        <family val="2"/>
      </rPr>
      <t xml:space="preserve">期</t>
    </r>
    <r>
      <rPr>
        <sz val="9"/>
        <rFont val="游ゴシック"/>
        <family val="0"/>
        <charset val="1"/>
      </rPr>
      <t xml:space="preserve">3,156</t>
    </r>
    <r>
      <rPr>
        <sz val="9"/>
        <rFont val="WenQuanYi Zen Hei"/>
        <family val="2"/>
      </rPr>
      <t xml:space="preserve">千円・</t>
    </r>
    <r>
      <rPr>
        <sz val="9"/>
        <rFont val="游ゴシック"/>
        <family val="0"/>
        <charset val="1"/>
      </rPr>
      <t xml:space="preserve">67</t>
    </r>
    <r>
      <rPr>
        <sz val="9"/>
        <rFont val="WenQuanYi Zen Hei"/>
        <family val="2"/>
      </rPr>
      <t xml:space="preserve">期</t>
    </r>
    <r>
      <rPr>
        <sz val="9"/>
        <rFont val="游ゴシック"/>
        <family val="0"/>
        <charset val="1"/>
      </rPr>
      <t xml:space="preserve">1,765</t>
    </r>
    <r>
      <rPr>
        <sz val="9"/>
        <rFont val="WenQuanYi Zen Hei"/>
        <family val="2"/>
      </rPr>
      <t xml:space="preserve">千円）の内容</t>
    </r>
  </si>
  <si>
    <t xml:space="preserve">賞与の支給時期・算定期間（賞与引当の要否）</t>
  </si>
  <si>
    <t xml:space="preserve">取引先別・商品別（角氷／加工氷／袋氷／ドライアイス／保管）の売上高・数量・単価</t>
  </si>
  <si>
    <t xml:space="preserve">電力契約（新電力：バンブーパワートレーディング）の条件と電気料金の感応度</t>
  </si>
  <si>
    <r>
      <rPr>
        <sz val="9"/>
        <rFont val="WenQuanYi Zen Hei"/>
        <family val="2"/>
      </rPr>
      <t xml:space="preserve">主要設備（製氷設備・冷凍機）の更新時期・修繕計画、缶グリッド部品更新（大森工業 </t>
    </r>
    <r>
      <rPr>
        <sz val="9"/>
        <rFont val="游ゴシック"/>
        <family val="0"/>
        <charset val="1"/>
      </rPr>
      <t xml:space="preserve">2,633</t>
    </r>
    <r>
      <rPr>
        <sz val="9"/>
        <rFont val="WenQuanYi Zen Hei"/>
        <family val="2"/>
      </rPr>
      <t xml:space="preserve">千円）の位置づけ</t>
    </r>
  </si>
  <si>
    <t xml:space="preserve">組織</t>
  </si>
  <si>
    <t xml:space="preserve">従業員一覧（年齢・勤続・資格・雇用形態・給与）、工場長の継続意向</t>
  </si>
  <si>
    <r>
      <rPr>
        <sz val="9"/>
        <rFont val="WenQuanYi Zen Hei"/>
        <family val="2"/>
      </rPr>
      <t xml:space="preserve">食品営業許可（氷雪販売業、</t>
    </r>
    <r>
      <rPr>
        <sz val="9"/>
        <rFont val="游ゴシック"/>
        <family val="0"/>
        <charset val="1"/>
      </rPr>
      <t xml:space="preserve">2021</t>
    </r>
    <r>
      <rPr>
        <sz val="9"/>
        <rFont val="WenQuanYi Zen Hei"/>
        <family val="2"/>
      </rPr>
      <t xml:space="preserve">年</t>
    </r>
    <r>
      <rPr>
        <sz val="9"/>
        <rFont val="游ゴシック"/>
        <family val="0"/>
        <charset val="1"/>
      </rPr>
      <t xml:space="preserve">1</t>
    </r>
    <r>
      <rPr>
        <sz val="9"/>
        <rFont val="WenQuanYi Zen Hei"/>
        <family val="2"/>
      </rPr>
      <t xml:space="preserve">月</t>
    </r>
    <r>
      <rPr>
        <sz val="9"/>
        <rFont val="游ゴシック"/>
        <family val="0"/>
        <charset val="1"/>
      </rPr>
      <t xml:space="preserve">15</t>
    </r>
    <r>
      <rPr>
        <sz val="9"/>
        <rFont val="WenQuanYi Zen Hei"/>
        <family val="2"/>
      </rPr>
      <t xml:space="preserve">日・</t>
    </r>
    <r>
      <rPr>
        <sz val="9"/>
        <rFont val="游ゴシック"/>
        <family val="0"/>
        <charset val="1"/>
      </rPr>
      <t xml:space="preserve">5</t>
    </r>
    <r>
      <rPr>
        <sz val="9"/>
        <rFont val="WenQuanYi Zen Hei"/>
        <family val="2"/>
      </rPr>
      <t xml:space="preserve">年更新）の更新状況</t>
    </r>
  </si>
  <si>
    <t xml:space="preserve">不動産</t>
  </si>
  <si>
    <r>
      <rPr>
        <sz val="9"/>
        <rFont val="WenQuanYi Zen Hei"/>
        <family val="2"/>
      </rPr>
      <t xml:space="preserve">工場土地・建物の最新固定資産税評価額、建物面積（</t>
    </r>
    <r>
      <rPr>
        <sz val="9"/>
        <rFont val="游ゴシック"/>
        <family val="0"/>
        <charset val="1"/>
      </rPr>
      <t xml:space="preserve">2,093.87</t>
    </r>
    <r>
      <rPr>
        <sz val="9"/>
        <rFont val="WenQuanYi Zen Hei"/>
        <family val="2"/>
      </rPr>
      <t xml:space="preserve">㎡／</t>
    </r>
    <r>
      <rPr>
        <sz val="9"/>
        <rFont val="游ゴシック"/>
        <family val="0"/>
        <charset val="1"/>
      </rPr>
      <t xml:space="preserve">2,065.00</t>
    </r>
    <r>
      <rPr>
        <sz val="9"/>
        <rFont val="WenQuanYi Zen Hei"/>
        <family val="2"/>
      </rPr>
      <t xml:space="preserve">㎡）の差異、代表者個人所有土地の明細</t>
    </r>
  </si>
  <si>
    <t xml:space="preserve">プロセス関連（社内確認事項）</t>
  </si>
  <si>
    <t xml:space="preserve">※本項は社内確認事項であり、買手候補への開示資料には記載しない。</t>
  </si>
  <si>
    <r>
      <rPr>
        <sz val="9"/>
        <color rgb="FF404040"/>
        <rFont val="WenQuanYi Zen Hei"/>
        <family val="2"/>
      </rPr>
      <t xml:space="preserve">・本件は先行して他の仲介会社が企業概要書を作成済み（</t>
    </r>
    <r>
      <rPr>
        <sz val="9"/>
        <color rgb="FF404040"/>
        <rFont val="游ゴシック Medium"/>
        <family val="0"/>
        <charset val="1"/>
      </rPr>
      <t xml:space="preserve">2025</t>
    </r>
    <r>
      <rPr>
        <sz val="9"/>
        <color rgb="FF404040"/>
        <rFont val="WenQuanYi Zen Hei"/>
        <family val="2"/>
      </rPr>
      <t xml:space="preserve">年</t>
    </r>
    <r>
      <rPr>
        <sz val="9"/>
        <color rgb="FF404040"/>
        <rFont val="游ゴシック Medium"/>
        <family val="0"/>
        <charset val="1"/>
      </rPr>
      <t xml:space="preserve">10</t>
    </r>
    <r>
      <rPr>
        <sz val="9"/>
        <color rgb="FF404040"/>
        <rFont val="WenQuanYi Zen Hei"/>
        <family val="2"/>
      </rPr>
      <t xml:space="preserve">月時点）。当該資料の買手候補への配布範囲・先行打診先の有無を確認し、重複打診を避ける。</t>
    </r>
  </si>
  <si>
    <r>
      <rPr>
        <sz val="9"/>
        <color rgb="FF404040"/>
        <rFont val="WenQuanYi Zen Hei"/>
        <family val="2"/>
      </rPr>
      <t xml:space="preserve">・第</t>
    </r>
    <r>
      <rPr>
        <sz val="9"/>
        <color rgb="FF404040"/>
        <rFont val="游ゴシック Medium"/>
        <family val="0"/>
        <charset val="1"/>
      </rPr>
      <t xml:space="preserve">64</t>
    </r>
    <r>
      <rPr>
        <sz val="9"/>
        <color rgb="FF404040"/>
        <rFont val="WenQuanYi Zen Hei"/>
        <family val="2"/>
      </rPr>
      <t xml:space="preserve">〜</t>
    </r>
    <r>
      <rPr>
        <sz val="9"/>
        <color rgb="FF404040"/>
        <rFont val="游ゴシック Medium"/>
        <family val="0"/>
        <charset val="1"/>
      </rPr>
      <t xml:space="preserve">66</t>
    </r>
    <r>
      <rPr>
        <sz val="9"/>
        <color rgb="FF404040"/>
        <rFont val="WenQuanYi Zen Hei"/>
        <family val="2"/>
      </rPr>
      <t xml:space="preserve">期の財務数値は当該資料から転記。原本（決算書）の受領と照合を行う。</t>
    </r>
  </si>
  <si>
    <r>
      <rPr>
        <sz val="9"/>
        <color rgb="FF404040"/>
        <rFont val="WenQuanYi Zen Hei"/>
        <family val="2"/>
      </rPr>
      <t xml:space="preserve">・</t>
    </r>
    <r>
      <rPr>
        <sz val="9"/>
        <color rgb="FF404040"/>
        <rFont val="游ゴシック Medium"/>
        <family val="0"/>
        <charset val="1"/>
      </rPr>
      <t xml:space="preserve">Web</t>
    </r>
    <r>
      <rPr>
        <sz val="9"/>
        <color rgb="FF404040"/>
        <rFont val="WenQuanYi Zen Hei"/>
        <family val="2"/>
      </rPr>
      <t xml:space="preserve">掲載画像（公式サイト </t>
    </r>
    <r>
      <rPr>
        <sz val="9"/>
        <color rgb="FF404040"/>
        <rFont val="游ゴシック Medium"/>
        <family val="0"/>
        <charset val="1"/>
      </rPr>
      <t xml:space="preserve">king-ice.com</t>
    </r>
    <r>
      <rPr>
        <sz val="9"/>
        <color rgb="FF404040"/>
        <rFont val="WenQuanYi Zen Hei"/>
        <family val="2"/>
      </rPr>
      <t xml:space="preserve">）の概要書への使用は売主了承済み（担当者確認）。</t>
    </r>
  </si>
  <si>
    <r>
      <rPr>
        <sz val="9"/>
        <color rgb="FF404040"/>
        <rFont val="WenQuanYi Zen Hei"/>
        <family val="2"/>
      </rPr>
      <t xml:space="preserve">・必要資料：決算書（</t>
    </r>
    <r>
      <rPr>
        <sz val="9"/>
        <color rgb="FF404040"/>
        <rFont val="游ゴシック Medium"/>
        <family val="0"/>
        <charset val="1"/>
      </rPr>
      <t xml:space="preserve">64</t>
    </r>
    <r>
      <rPr>
        <sz val="9"/>
        <color rgb="FF404040"/>
        <rFont val="WenQuanYi Zen Hei"/>
        <family val="2"/>
      </rPr>
      <t xml:space="preserve">〜</t>
    </r>
    <r>
      <rPr>
        <sz val="9"/>
        <color rgb="FF404040"/>
        <rFont val="游ゴシック Medium"/>
        <family val="0"/>
        <charset val="1"/>
      </rPr>
      <t xml:space="preserve">66</t>
    </r>
    <r>
      <rPr>
        <sz val="9"/>
        <color rgb="FF404040"/>
        <rFont val="WenQuanYi Zen Hei"/>
        <family val="2"/>
      </rPr>
      <t xml:space="preserve">期原本）、株主名簿、定款、従業員一覧、取引先別売上、設備台帳、賃貸借契約書、保険証券、退職金規程</t>
    </r>
  </si>
</sst>
</file>

<file path=xl/styles.xml><?xml version="1.0" encoding="utf-8"?>
<styleSheet xmlns="http://schemas.openxmlformats.org/spreadsheetml/2006/main">
  <numFmts count="13">
    <numFmt numFmtId="164" formatCode="General"/>
    <numFmt numFmtId="165" formatCode="#,##0,;\△#,##0,;\-"/>
    <numFmt numFmtId="166" formatCode="General"/>
    <numFmt numFmtId="167" formatCode="0.0%;\△0.0%;\-"/>
    <numFmt numFmtId="168" formatCode="0"/>
    <numFmt numFmtId="169" formatCode="#,##0.00"/>
    <numFmt numFmtId="170" formatCode="0.0"/>
    <numFmt numFmtId="171" formatCode="0%"/>
    <numFmt numFmtId="172" formatCode="0.0\倍"/>
    <numFmt numFmtId="173" formatCode="#,##0\株"/>
    <numFmt numFmtId="174" formatCode="0\名"/>
    <numFmt numFmtId="175" formatCode="#,##0"/>
    <numFmt numFmtId="176" formatCode="0\件"/>
  </numFmts>
  <fonts count="2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name val="WenQuanYi Zen Hei"/>
      <family val="2"/>
    </font>
    <font>
      <sz val="10"/>
      <name val="游ゴシック"/>
      <family val="0"/>
      <charset val="1"/>
    </font>
    <font>
      <sz val="10"/>
      <name val="WenQuanYi Zen Hei"/>
      <family val="2"/>
    </font>
    <font>
      <b val="true"/>
      <sz val="10"/>
      <name val="WenQuanYi Zen Hei"/>
      <family val="2"/>
    </font>
    <font>
      <b val="true"/>
      <sz val="14"/>
      <color rgb="FF0B3041"/>
      <name val="WenQuanYi Zen Hei"/>
      <family val="2"/>
    </font>
    <font>
      <sz val="8"/>
      <color rgb="FF404040"/>
      <name val="WenQuanYi Zen Hei"/>
      <family val="2"/>
    </font>
    <font>
      <sz val="8"/>
      <color rgb="FF404040"/>
      <name val="游ゴシック Medium"/>
      <family val="0"/>
      <charset val="1"/>
    </font>
    <font>
      <b val="true"/>
      <sz val="9"/>
      <color rgb="FFFFFFFF"/>
      <name val="WenQuanYi Zen Hei"/>
      <family val="2"/>
    </font>
    <font>
      <b val="true"/>
      <sz val="9"/>
      <color rgb="FFFFFFFF"/>
      <name val="游ゴシック"/>
      <family val="0"/>
      <charset val="1"/>
    </font>
    <font>
      <b val="true"/>
      <sz val="9"/>
      <name val="WenQuanYi Zen Hei"/>
      <family val="2"/>
    </font>
    <font>
      <b val="true"/>
      <sz val="9"/>
      <name val="Arial"/>
      <family val="0"/>
      <charset val="1"/>
    </font>
    <font>
      <sz val="9"/>
      <name val="WenQuanYi Zen Hei"/>
      <family val="2"/>
    </font>
    <font>
      <sz val="9"/>
      <name val="Arial"/>
      <family val="0"/>
      <charset val="1"/>
    </font>
    <font>
      <b val="true"/>
      <sz val="14"/>
      <color rgb="FF0B3041"/>
      <name val="游ゴシック"/>
      <family val="0"/>
      <charset val="1"/>
    </font>
    <font>
      <sz val="8"/>
      <color rgb="FF595959"/>
      <name val="Arial"/>
      <family val="0"/>
      <charset val="1"/>
    </font>
    <font>
      <b val="true"/>
      <sz val="9"/>
      <name val="游ゴシック"/>
      <family val="0"/>
      <charset val="1"/>
    </font>
    <font>
      <sz val="9"/>
      <name val="游ゴシック"/>
      <family val="0"/>
      <charset val="1"/>
    </font>
    <font>
      <sz val="9"/>
      <color rgb="FF404040"/>
      <name val="WenQuanYi Zen Hei"/>
      <family val="2"/>
    </font>
    <font>
      <sz val="9"/>
      <color rgb="FF404040"/>
      <name val="游ゴシック Medium"/>
      <family val="0"/>
      <charset val="1"/>
    </font>
    <font>
      <sz val="8"/>
      <name val="WenQuanYi Zen Hei"/>
      <family val="2"/>
    </font>
    <font>
      <sz val="8"/>
      <name val="游ゴシック"/>
      <family val="0"/>
      <charset val="1"/>
    </font>
    <font>
      <sz val="8"/>
      <name val="Arial"/>
      <family val="0"/>
      <charset val="1"/>
    </font>
    <font>
      <sz val="8"/>
      <name val="游ゴシック Medium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0B3041"/>
        <bgColor rgb="FF003300"/>
      </patternFill>
    </fill>
    <fill>
      <patternFill patternType="solid">
        <fgColor rgb="FFE3E7E9"/>
        <bgColor rgb="FFE1F3FB"/>
      </patternFill>
    </fill>
    <fill>
      <patternFill patternType="solid">
        <fgColor rgb="FFE1F3FB"/>
        <bgColor rgb="FFE3E7E9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A6A6A6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2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3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5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general" vertical="center" textRotation="0" wrapText="false" indent="1" shrinkToFit="false"/>
      <protection locked="true" hidden="false"/>
    </xf>
    <xf numFmtId="165" fontId="1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3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5" fontId="14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4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5" fontId="14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6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2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8" fontId="1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1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1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9" fillId="4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72" fontId="1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23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1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9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7" fontId="2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1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1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5" fontId="1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6" fontId="1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6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5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E1F3FB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3E7E9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A6A6A6"/>
      <rgbColor rgb="FF0B3041"/>
      <rgbColor rgb="FF339966"/>
      <rgbColor rgb="FF003300"/>
      <rgbColor rgb="FF333300"/>
      <rgbColor rgb="FF993300"/>
      <rgbColor rgb="FF993366"/>
      <rgbColor rgb="FF333399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worksheet" Target="worksheets/sheet19.xml"/><Relationship Id="rId22" Type="http://schemas.openxmlformats.org/officeDocument/2006/relationships/worksheet" Target="worksheets/sheet20.xml"/><Relationship Id="rId23" Type="http://schemas.openxmlformats.org/officeDocument/2006/relationships/worksheet" Target="worksheets/sheet21.xml"/><Relationship Id="rId24" Type="http://schemas.openxmlformats.org/officeDocument/2006/relationships/worksheet" Target="worksheets/sheet22.xml"/><Relationship Id="rId25" Type="http://schemas.openxmlformats.org/officeDocument/2006/relationships/worksheet" Target="worksheets/sheet23.xml"/><Relationship Id="rId26" Type="http://schemas.openxmlformats.org/officeDocument/2006/relationships/worksheet" Target="worksheets/sheet24.xml"/><Relationship Id="rId27" Type="http://schemas.openxmlformats.org/officeDocument/2006/relationships/worksheet" Target="worksheets/sheet25.xml"/><Relationship Id="rId28" Type="http://schemas.openxmlformats.org/officeDocument/2006/relationships/worksheet" Target="worksheets/sheet26.xml"/><Relationship Id="rId29" Type="http://schemas.openxmlformats.org/officeDocument/2006/relationships/worksheet" Target="worksheets/sheet27.xml"/><Relationship Id="rId30" Type="http://schemas.openxmlformats.org/officeDocument/2006/relationships/worksheet" Target="worksheets/sheet28.xml"/><Relationship Id="rId31" Type="http://schemas.openxmlformats.org/officeDocument/2006/relationships/worksheet" Target="worksheets/sheet29.xml"/><Relationship Id="rId32" Type="http://schemas.openxmlformats.org/officeDocument/2006/relationships/worksheet" Target="worksheets/sheet30.xml"/><Relationship Id="rId33" Type="http://schemas.openxmlformats.org/officeDocument/2006/relationships/worksheet" Target="worksheets/sheet31.xml"/><Relationship Id="rId34" Type="http://schemas.openxmlformats.org/officeDocument/2006/relationships/worksheet" Target="worksheets/sheet32.xml"/><Relationship Id="rId35" Type="http://schemas.openxmlformats.org/officeDocument/2006/relationships/worksheet" Target="worksheets/sheet33.xml"/><Relationship Id="rId36" Type="http://schemas.openxmlformats.org/officeDocument/2006/relationships/worksheet" Target="worksheets/sheet34.xml"/><Relationship Id="rId37" Type="http://schemas.openxmlformats.org/officeDocument/2006/relationships/worksheet" Target="worksheets/sheet35.xml"/><Relationship Id="rId38" Type="http://schemas.openxmlformats.org/officeDocument/2006/relationships/worksheet" Target="worksheets/sheet36.xml"/><Relationship Id="rId39" Type="http://schemas.openxmlformats.org/officeDocument/2006/relationships/worksheet" Target="worksheets/sheet37.xml"/><Relationship Id="rId40" Type="http://schemas.openxmlformats.org/officeDocument/2006/relationships/worksheet" Target="worksheets/sheet38.xml"/><Relationship Id="rId41" Type="http://schemas.openxmlformats.org/officeDocument/2006/relationships/worksheet" Target="worksheets/sheet39.xml"/><Relationship Id="rId42" Type="http://schemas.openxmlformats.org/officeDocument/2006/relationships/worksheet" Target="worksheets/sheet40.xml"/><Relationship Id="rId43" Type="http://schemas.openxmlformats.org/officeDocument/2006/relationships/worksheet" Target="worksheets/sheet41.xml"/><Relationship Id="rId44" Type="http://schemas.openxmlformats.org/officeDocument/2006/relationships/worksheet" Target="worksheets/sheet42.xml"/><Relationship Id="rId45" Type="http://schemas.openxmlformats.org/officeDocument/2006/relationships/worksheet" Target="worksheets/sheet43.xml"/><Relationship Id="rId46" Type="http://schemas.openxmlformats.org/officeDocument/2006/relationships/worksheet" Target="worksheets/sheet44.xml"/><Relationship Id="rId47" Type="http://schemas.openxmlformats.org/officeDocument/2006/relationships/worksheet" Target="worksheets/sheet45.xml"/><Relationship Id="rId48" Type="http://schemas.openxmlformats.org/officeDocument/2006/relationships/worksheet" Target="worksheets/sheet46.xml"/><Relationship Id="rId4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B15"/>
  <sheetViews>
    <sheetView showFormulas="false" showGridLines="false" showRowColHeaders="true" showZeros="true" rightToLeft="false" tabSelected="true" showOutlineSymbols="true" defaultGridColor="true" view="normal" topLeftCell="A1" colorId="64" zoomScale="90" zoomScaleNormal="9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2" style="0" width="120"/>
  </cols>
  <sheetData>
    <row r="2" customFormat="false" ht="15" hidden="false" customHeight="false" outlineLevel="0" collapsed="false">
      <c r="B2" s="1" t="s">
        <v>0</v>
      </c>
    </row>
    <row r="3" customFormat="false" ht="15" hidden="false" customHeight="false" outlineLevel="0" collapsed="false">
      <c r="B3" s="2" t="s">
        <v>1</v>
      </c>
    </row>
    <row r="4" customFormat="false" ht="15" hidden="false" customHeight="false" outlineLevel="0" collapsed="false">
      <c r="B4" s="2" t="s">
        <v>2</v>
      </c>
    </row>
    <row r="5" customFormat="false" ht="15" hidden="false" customHeight="false" outlineLevel="0" collapsed="false">
      <c r="B5" s="2" t="s">
        <v>3</v>
      </c>
    </row>
    <row r="6" customFormat="false" ht="15" hidden="false" customHeight="false" outlineLevel="0" collapsed="false">
      <c r="B6" s="2" t="s">
        <v>4</v>
      </c>
    </row>
    <row r="7" customFormat="false" ht="15" hidden="false" customHeight="false" outlineLevel="0" collapsed="false">
      <c r="B7" s="2" t="s">
        <v>5</v>
      </c>
    </row>
    <row r="8" customFormat="false" ht="15" hidden="false" customHeight="false" outlineLevel="0" collapsed="false">
      <c r="B8" s="2" t="s">
        <v>6</v>
      </c>
    </row>
    <row r="9" customFormat="false" ht="15" hidden="false" customHeight="false" outlineLevel="0" collapsed="false">
      <c r="B9" s="2"/>
    </row>
    <row r="10" customFormat="false" ht="15" hidden="false" customHeight="false" outlineLevel="0" collapsed="false">
      <c r="B10" s="3" t="s">
        <v>7</v>
      </c>
    </row>
    <row r="11" customFormat="false" ht="15" hidden="false" customHeight="false" outlineLevel="0" collapsed="false">
      <c r="B11" s="4" t="s">
        <v>8</v>
      </c>
    </row>
    <row r="12" customFormat="false" ht="15" hidden="false" customHeight="false" outlineLevel="0" collapsed="false">
      <c r="B12" s="4" t="s">
        <v>9</v>
      </c>
    </row>
    <row r="13" customFormat="false" ht="15" hidden="false" customHeight="false" outlineLevel="0" collapsed="false">
      <c r="B13" s="4" t="s">
        <v>10</v>
      </c>
    </row>
    <row r="14" customFormat="false" ht="15" hidden="false" customHeight="false" outlineLevel="0" collapsed="false">
      <c r="B14" s="4" t="s">
        <v>11</v>
      </c>
    </row>
    <row r="15" customFormat="false" ht="15" hidden="false" customHeight="false" outlineLevel="0" collapsed="false">
      <c r="B15" s="4" t="s">
        <v>12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B3041"/>
    <pageSetUpPr fitToPage="false"/>
  </sheetPr>
  <dimension ref="B2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2" customFormat="false" ht="17.35" hidden="false" customHeight="false" outlineLevel="0" collapsed="false">
      <c r="B2" s="5" t="s">
        <v>13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H64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30"/>
    <col collapsed="false" customWidth="true" hidden="false" outlineLevel="0" max="7" min="3" style="0" width="15"/>
    <col collapsed="false" customWidth="true" hidden="false" outlineLevel="0" max="8" min="8" style="0" width="40"/>
  </cols>
  <sheetData>
    <row r="2" customFormat="false" ht="17.35" hidden="false" customHeight="false" outlineLevel="0" collapsed="false">
      <c r="B2" s="5" t="s">
        <v>14</v>
      </c>
    </row>
    <row r="3" customFormat="false" ht="15" hidden="false" customHeight="false" outlineLevel="0" collapsed="false">
      <c r="C3" s="6" t="s">
        <v>15</v>
      </c>
      <c r="D3" s="6" t="s">
        <v>16</v>
      </c>
      <c r="E3" s="6" t="s">
        <v>17</v>
      </c>
      <c r="F3" s="6" t="s">
        <v>18</v>
      </c>
    </row>
    <row r="4" customFormat="false" ht="15" hidden="false" customHeight="false" outlineLevel="0" collapsed="false">
      <c r="B4" s="7" t="s">
        <v>19</v>
      </c>
      <c r="C4" s="8" t="s">
        <v>20</v>
      </c>
      <c r="D4" s="8" t="s">
        <v>21</v>
      </c>
      <c r="E4" s="8" t="s">
        <v>22</v>
      </c>
      <c r="F4" s="8" t="s">
        <v>23</v>
      </c>
      <c r="G4" s="7" t="s">
        <v>24</v>
      </c>
      <c r="H4" s="7" t="s">
        <v>25</v>
      </c>
    </row>
    <row r="5" customFormat="false" ht="15" hidden="false" customHeight="false" outlineLevel="0" collapsed="false">
      <c r="B5" s="9" t="s">
        <v>26</v>
      </c>
      <c r="C5" s="10" t="n">
        <f aca="false">SUM(C6:C11)</f>
        <v>122956747</v>
      </c>
      <c r="D5" s="10" t="n">
        <f aca="false">SUM(D6:D11)</f>
        <v>119371880</v>
      </c>
      <c r="E5" s="10" t="n">
        <f aca="false">SUM(E6:E11)</f>
        <v>84662407</v>
      </c>
      <c r="F5" s="10" t="n">
        <f aca="false">SUM(F6:F11)</f>
        <v>75962050</v>
      </c>
    </row>
    <row r="6" customFormat="false" ht="15" hidden="false" customHeight="false" outlineLevel="0" collapsed="false">
      <c r="B6" s="11" t="s">
        <v>27</v>
      </c>
      <c r="C6" s="12" t="n">
        <v>1522482</v>
      </c>
      <c r="D6" s="12" t="n">
        <v>3464228</v>
      </c>
      <c r="E6" s="12" t="n">
        <v>2183725</v>
      </c>
      <c r="F6" s="12" t="n">
        <v>3077481</v>
      </c>
    </row>
    <row r="7" customFormat="false" ht="15" hidden="false" customHeight="false" outlineLevel="0" collapsed="false">
      <c r="B7" s="11" t="s">
        <v>28</v>
      </c>
      <c r="C7" s="12" t="n">
        <v>25178691</v>
      </c>
      <c r="D7" s="12" t="n">
        <v>18567463</v>
      </c>
      <c r="E7" s="12" t="n">
        <v>28531948</v>
      </c>
      <c r="F7" s="12" t="n">
        <v>17248373</v>
      </c>
    </row>
    <row r="8" customFormat="false" ht="15" hidden="false" customHeight="false" outlineLevel="0" collapsed="false">
      <c r="B8" s="11" t="s">
        <v>29</v>
      </c>
      <c r="C8" s="12" t="n">
        <v>39607004</v>
      </c>
      <c r="D8" s="12" t="n">
        <v>54198593</v>
      </c>
      <c r="E8" s="12" t="n">
        <v>15944998</v>
      </c>
      <c r="F8" s="12" t="n">
        <v>19872670</v>
      </c>
    </row>
    <row r="9" customFormat="false" ht="15" hidden="false" customHeight="false" outlineLevel="0" collapsed="false">
      <c r="B9" s="11" t="s">
        <v>30</v>
      </c>
      <c r="C9" s="12" t="n">
        <v>16400786</v>
      </c>
      <c r="D9" s="12" t="n">
        <v>16400803</v>
      </c>
      <c r="E9" s="12" t="n">
        <v>26400820</v>
      </c>
      <c r="F9" s="12" t="n">
        <v>26401032</v>
      </c>
      <c r="H9" s="13" t="s">
        <v>31</v>
      </c>
    </row>
    <row r="10" customFormat="false" ht="15" hidden="false" customHeight="false" outlineLevel="0" collapsed="false">
      <c r="B10" s="11" t="s">
        <v>32</v>
      </c>
      <c r="C10" s="12" t="n">
        <v>23253671</v>
      </c>
      <c r="D10" s="12" t="n">
        <v>16203941</v>
      </c>
      <c r="E10" s="12" t="n">
        <v>0</v>
      </c>
      <c r="F10" s="12" t="n">
        <v>0</v>
      </c>
    </row>
    <row r="11" customFormat="false" ht="15" hidden="false" customHeight="false" outlineLevel="0" collapsed="false">
      <c r="B11" s="11" t="s">
        <v>33</v>
      </c>
      <c r="C11" s="12" t="n">
        <v>16994113</v>
      </c>
      <c r="D11" s="12" t="n">
        <v>10536852</v>
      </c>
      <c r="E11" s="12" t="n">
        <v>11600916</v>
      </c>
      <c r="F11" s="12" t="n">
        <v>9362494</v>
      </c>
      <c r="H11" s="13" t="s">
        <v>34</v>
      </c>
    </row>
    <row r="12" customFormat="false" ht="15" hidden="false" customHeight="false" outlineLevel="0" collapsed="false">
      <c r="B12" s="9" t="s">
        <v>35</v>
      </c>
      <c r="C12" s="10" t="n">
        <f aca="false">SUM(C13:C14)</f>
        <v>21685368</v>
      </c>
      <c r="D12" s="10" t="n">
        <f aca="false">SUM(D13:D14)</f>
        <v>29802902</v>
      </c>
      <c r="E12" s="10" t="n">
        <f aca="false">SUM(E13:E14)</f>
        <v>28300741</v>
      </c>
      <c r="F12" s="10" t="n">
        <f aca="false">SUM(F13:F14)</f>
        <v>28798405</v>
      </c>
    </row>
    <row r="13" customFormat="false" ht="15" hidden="false" customHeight="false" outlineLevel="0" collapsed="false">
      <c r="B13" s="11" t="s">
        <v>36</v>
      </c>
      <c r="C13" s="12" t="n">
        <v>0</v>
      </c>
      <c r="D13" s="12" t="n">
        <v>0</v>
      </c>
      <c r="E13" s="12" t="n">
        <v>0</v>
      </c>
      <c r="F13" s="12" t="n">
        <v>0</v>
      </c>
    </row>
    <row r="14" customFormat="false" ht="15" hidden="false" customHeight="false" outlineLevel="0" collapsed="false">
      <c r="B14" s="11" t="s">
        <v>37</v>
      </c>
      <c r="C14" s="12" t="n">
        <v>21685368</v>
      </c>
      <c r="D14" s="12" t="n">
        <v>29802902</v>
      </c>
      <c r="E14" s="12" t="n">
        <v>28300741</v>
      </c>
      <c r="F14" s="12" t="n">
        <v>28798405</v>
      </c>
      <c r="H14" s="13" t="s">
        <v>38</v>
      </c>
    </row>
    <row r="15" customFormat="false" ht="15" hidden="false" customHeight="false" outlineLevel="0" collapsed="false">
      <c r="B15" s="9" t="s">
        <v>39</v>
      </c>
      <c r="C15" s="10" t="n">
        <f aca="false">SUM(C16:C19)</f>
        <v>27194459</v>
      </c>
      <c r="D15" s="10" t="n">
        <f aca="false">SUM(D16:D19)</f>
        <v>30950673</v>
      </c>
      <c r="E15" s="10" t="n">
        <f aca="false">SUM(E16:E19)</f>
        <v>36589789</v>
      </c>
      <c r="F15" s="10" t="n">
        <f aca="false">SUM(F16:F19)</f>
        <v>34490885</v>
      </c>
    </row>
    <row r="16" customFormat="false" ht="15" hidden="false" customHeight="false" outlineLevel="0" collapsed="false">
      <c r="B16" s="11" t="s">
        <v>40</v>
      </c>
      <c r="C16" s="12" t="n">
        <v>14642199</v>
      </c>
      <c r="D16" s="12" t="n">
        <v>15901958</v>
      </c>
      <c r="E16" s="12" t="n">
        <v>13824517</v>
      </c>
      <c r="F16" s="12" t="n">
        <v>20660679</v>
      </c>
    </row>
    <row r="17" customFormat="false" ht="15" hidden="false" customHeight="false" outlineLevel="0" collapsed="false">
      <c r="B17" s="11" t="s">
        <v>41</v>
      </c>
      <c r="C17" s="12" t="n">
        <v>11853408</v>
      </c>
      <c r="D17" s="12" t="n">
        <v>14319679</v>
      </c>
      <c r="E17" s="12" t="n">
        <v>22007284</v>
      </c>
      <c r="F17" s="12" t="n">
        <v>12953022</v>
      </c>
    </row>
    <row r="18" customFormat="false" ht="15" hidden="false" customHeight="false" outlineLevel="0" collapsed="false">
      <c r="B18" s="11" t="s">
        <v>42</v>
      </c>
      <c r="C18" s="12" t="n">
        <v>698852</v>
      </c>
      <c r="D18" s="12" t="n">
        <v>729036</v>
      </c>
      <c r="E18" s="12" t="n">
        <v>757988</v>
      </c>
      <c r="F18" s="12" t="n">
        <v>877184</v>
      </c>
    </row>
    <row r="19" customFormat="false" ht="15" hidden="false" customHeight="false" outlineLevel="0" collapsed="false">
      <c r="B19" s="11" t="s">
        <v>43</v>
      </c>
      <c r="C19" s="12" t="n">
        <v>0</v>
      </c>
      <c r="D19" s="12" t="n">
        <v>0</v>
      </c>
      <c r="E19" s="12" t="n">
        <v>0</v>
      </c>
      <c r="F19" s="12" t="n">
        <v>0</v>
      </c>
    </row>
    <row r="20" customFormat="false" ht="15" hidden="false" customHeight="false" outlineLevel="0" collapsed="false">
      <c r="B20" s="9" t="s">
        <v>44</v>
      </c>
      <c r="C20" s="10" t="n">
        <f aca="false">SUM(C21:C27)</f>
        <v>4369613</v>
      </c>
      <c r="D20" s="10" t="n">
        <f aca="false">SUM(D21:D27)</f>
        <v>4806979</v>
      </c>
      <c r="E20" s="10" t="n">
        <f aca="false">SUM(E21:E27)</f>
        <v>4572512</v>
      </c>
      <c r="F20" s="10" t="n">
        <f aca="false">SUM(F21:F27)</f>
        <v>3063104</v>
      </c>
    </row>
    <row r="21" customFormat="false" ht="15" hidden="false" customHeight="false" outlineLevel="0" collapsed="false">
      <c r="B21" s="11" t="s">
        <v>45</v>
      </c>
      <c r="C21" s="12" t="n">
        <v>0</v>
      </c>
      <c r="D21" s="12" t="n">
        <v>638000</v>
      </c>
      <c r="E21" s="12" t="n">
        <v>638000</v>
      </c>
      <c r="F21" s="12" t="n">
        <v>0</v>
      </c>
    </row>
    <row r="22" customFormat="false" ht="15" hidden="false" customHeight="false" outlineLevel="0" collapsed="false">
      <c r="B22" s="11" t="s">
        <v>46</v>
      </c>
      <c r="C22" s="12" t="n">
        <v>0</v>
      </c>
      <c r="D22" s="12" t="n">
        <v>4932</v>
      </c>
      <c r="E22" s="12" t="n">
        <v>0</v>
      </c>
      <c r="F22" s="12" t="n">
        <v>0</v>
      </c>
    </row>
    <row r="23" customFormat="false" ht="15" hidden="false" customHeight="false" outlineLevel="0" collapsed="false">
      <c r="B23" s="11" t="s">
        <v>47</v>
      </c>
      <c r="C23" s="12" t="n">
        <v>0</v>
      </c>
      <c r="D23" s="12" t="n">
        <v>390000</v>
      </c>
      <c r="E23" s="12" t="n">
        <v>578745</v>
      </c>
      <c r="F23" s="12" t="n">
        <v>214933</v>
      </c>
      <c r="H23" s="6" t="s">
        <v>48</v>
      </c>
    </row>
    <row r="24" customFormat="false" ht="15" hidden="false" customHeight="false" outlineLevel="0" collapsed="false">
      <c r="B24" s="11" t="s">
        <v>49</v>
      </c>
      <c r="C24" s="12" t="n">
        <v>200000</v>
      </c>
      <c r="D24" s="12" t="n">
        <v>200000</v>
      </c>
      <c r="E24" s="12" t="n">
        <v>200000</v>
      </c>
      <c r="F24" s="12" t="n">
        <v>200000</v>
      </c>
    </row>
    <row r="25" customFormat="false" ht="15" hidden="false" customHeight="false" outlineLevel="0" collapsed="false">
      <c r="B25" s="11" t="s">
        <v>50</v>
      </c>
      <c r="C25" s="12" t="n">
        <v>0</v>
      </c>
      <c r="D25" s="12" t="n">
        <v>0</v>
      </c>
      <c r="E25" s="12" t="n">
        <v>0</v>
      </c>
      <c r="F25" s="12" t="n">
        <v>0</v>
      </c>
    </row>
    <row r="26" customFormat="false" ht="15" hidden="false" customHeight="false" outlineLevel="0" collapsed="false">
      <c r="B26" s="11" t="s">
        <v>51</v>
      </c>
      <c r="C26" s="12" t="n">
        <v>1780000</v>
      </c>
      <c r="D26" s="12" t="n">
        <v>2441235</v>
      </c>
      <c r="E26" s="12" t="n">
        <v>2333092</v>
      </c>
      <c r="F26" s="12" t="n">
        <v>2354696</v>
      </c>
      <c r="H26" s="13" t="s">
        <v>52</v>
      </c>
    </row>
    <row r="27" customFormat="false" ht="15" hidden="false" customHeight="false" outlineLevel="0" collapsed="false">
      <c r="B27" s="11" t="s">
        <v>53</v>
      </c>
      <c r="C27" s="12" t="n">
        <v>2389613</v>
      </c>
      <c r="D27" s="12" t="n">
        <v>1132812</v>
      </c>
      <c r="E27" s="12" t="n">
        <v>822675</v>
      </c>
      <c r="F27" s="12" t="n">
        <v>293475</v>
      </c>
    </row>
    <row r="28" customFormat="false" ht="15" hidden="false" customHeight="false" outlineLevel="0" collapsed="false">
      <c r="B28" s="14" t="s">
        <v>54</v>
      </c>
      <c r="C28" s="15" t="n">
        <f aca="false">C5+C12+C15+C20</f>
        <v>176206187</v>
      </c>
      <c r="D28" s="15" t="n">
        <f aca="false">D5+D12+D15+D20</f>
        <v>184932434</v>
      </c>
      <c r="E28" s="15" t="n">
        <f aca="false">E5+E12+E15+E20</f>
        <v>154125449</v>
      </c>
      <c r="F28" s="15" t="n">
        <f aca="false">F5+F12+F15+F20</f>
        <v>142314444</v>
      </c>
    </row>
    <row r="29" customFormat="false" ht="15" hidden="false" customHeight="false" outlineLevel="0" collapsed="false">
      <c r="B29" s="9" t="s">
        <v>55</v>
      </c>
      <c r="C29" s="10" t="n">
        <f aca="false">SUM(C30:C35)</f>
        <v>410452212</v>
      </c>
      <c r="D29" s="10" t="n">
        <f aca="false">SUM(D30:D35)</f>
        <v>416750652</v>
      </c>
      <c r="E29" s="10" t="n">
        <f aca="false">SUM(E30:E35)</f>
        <v>406411950</v>
      </c>
      <c r="F29" s="10" t="n">
        <f aca="false">SUM(F30:F35)</f>
        <v>409715275</v>
      </c>
    </row>
    <row r="30" customFormat="false" ht="15" hidden="false" customHeight="false" outlineLevel="0" collapsed="false">
      <c r="B30" s="11" t="s">
        <v>56</v>
      </c>
      <c r="C30" s="12" t="n">
        <v>259241627</v>
      </c>
      <c r="D30" s="12" t="n">
        <v>259241627</v>
      </c>
      <c r="E30" s="12" t="n">
        <v>259241627</v>
      </c>
      <c r="F30" s="12" t="n">
        <v>259241627</v>
      </c>
      <c r="H30" s="13" t="s">
        <v>57</v>
      </c>
    </row>
    <row r="31" customFormat="false" ht="15" hidden="false" customHeight="false" outlineLevel="0" collapsed="false">
      <c r="B31" s="11" t="s">
        <v>58</v>
      </c>
      <c r="C31" s="12" t="n">
        <v>2116299</v>
      </c>
      <c r="D31" s="12" t="n">
        <v>2116299</v>
      </c>
      <c r="E31" s="12" t="n">
        <v>2116299</v>
      </c>
      <c r="F31" s="12" t="n">
        <v>2116299</v>
      </c>
      <c r="H31" s="13" t="s">
        <v>59</v>
      </c>
    </row>
    <row r="32" customFormat="false" ht="15" hidden="false" customHeight="false" outlineLevel="0" collapsed="false">
      <c r="B32" s="11" t="s">
        <v>60</v>
      </c>
      <c r="C32" s="12" t="n">
        <v>96493939</v>
      </c>
      <c r="D32" s="12" t="n">
        <v>103379540</v>
      </c>
      <c r="E32" s="12" t="n">
        <v>94933538</v>
      </c>
      <c r="F32" s="12" t="n">
        <v>99691427</v>
      </c>
      <c r="H32" s="13" t="s">
        <v>61</v>
      </c>
    </row>
    <row r="33" customFormat="false" ht="15" hidden="false" customHeight="false" outlineLevel="0" collapsed="false">
      <c r="B33" s="11" t="s">
        <v>62</v>
      </c>
      <c r="C33" s="12" t="n">
        <v>8635754</v>
      </c>
      <c r="D33" s="12" t="n">
        <v>6374671</v>
      </c>
      <c r="E33" s="12" t="n">
        <v>5554052</v>
      </c>
      <c r="F33" s="12" t="n">
        <v>4905291</v>
      </c>
    </row>
    <row r="34" customFormat="false" ht="15" hidden="false" customHeight="false" outlineLevel="0" collapsed="false">
      <c r="B34" s="11" t="s">
        <v>63</v>
      </c>
      <c r="C34" s="12" t="n">
        <v>3522674</v>
      </c>
      <c r="D34" s="12" t="n">
        <v>5196596</v>
      </c>
      <c r="E34" s="12" t="n">
        <v>4124515</v>
      </c>
      <c r="F34" s="12" t="n">
        <v>3318712</v>
      </c>
    </row>
    <row r="35" customFormat="false" ht="15" hidden="false" customHeight="false" outlineLevel="0" collapsed="false">
      <c r="B35" s="11" t="s">
        <v>64</v>
      </c>
      <c r="C35" s="12" t="n">
        <v>40441919</v>
      </c>
      <c r="D35" s="12" t="n">
        <v>40441919</v>
      </c>
      <c r="E35" s="12" t="n">
        <v>40441919</v>
      </c>
      <c r="F35" s="12" t="n">
        <v>40441919</v>
      </c>
    </row>
    <row r="36" customFormat="false" ht="15" hidden="false" customHeight="false" outlineLevel="0" collapsed="false">
      <c r="B36" s="9" t="s">
        <v>65</v>
      </c>
      <c r="C36" s="10" t="n">
        <f aca="false">SUM(C37:C37)</f>
        <v>354300</v>
      </c>
      <c r="D36" s="10" t="n">
        <f aca="false">SUM(D37:D37)</f>
        <v>354300</v>
      </c>
      <c r="E36" s="10" t="n">
        <f aca="false">SUM(E37:E37)</f>
        <v>354300</v>
      </c>
      <c r="F36" s="10" t="n">
        <f aca="false">SUM(F37:F37)</f>
        <v>354300</v>
      </c>
    </row>
    <row r="37" customFormat="false" ht="15" hidden="false" customHeight="false" outlineLevel="0" collapsed="false">
      <c r="B37" s="11" t="s">
        <v>66</v>
      </c>
      <c r="C37" s="12" t="n">
        <v>354300</v>
      </c>
      <c r="D37" s="12" t="n">
        <v>354300</v>
      </c>
      <c r="E37" s="12" t="n">
        <v>354300</v>
      </c>
      <c r="F37" s="12" t="n">
        <v>354300</v>
      </c>
    </row>
    <row r="38" customFormat="false" ht="15" hidden="false" customHeight="false" outlineLevel="0" collapsed="false">
      <c r="B38" s="9" t="s">
        <v>67</v>
      </c>
      <c r="C38" s="10" t="n">
        <f aca="false">SUM(C39:C40)</f>
        <v>2945000</v>
      </c>
      <c r="D38" s="10" t="n">
        <f aca="false">SUM(D39:D40)</f>
        <v>820000</v>
      </c>
      <c r="E38" s="10" t="n">
        <f aca="false">SUM(E39:E40)</f>
        <v>820000</v>
      </c>
      <c r="F38" s="10" t="n">
        <f aca="false">SUM(F39:F40)</f>
        <v>820000</v>
      </c>
    </row>
    <row r="39" customFormat="false" ht="15" hidden="false" customHeight="false" outlineLevel="0" collapsed="false">
      <c r="B39" s="11" t="s">
        <v>68</v>
      </c>
      <c r="C39" s="12" t="n">
        <v>2945000</v>
      </c>
      <c r="D39" s="12" t="n">
        <v>820000</v>
      </c>
      <c r="E39" s="12" t="n">
        <v>820000</v>
      </c>
      <c r="F39" s="12" t="n">
        <v>820000</v>
      </c>
      <c r="H39" s="6" t="s">
        <v>69</v>
      </c>
    </row>
    <row r="40" customFormat="false" ht="15" hidden="false" customHeight="false" outlineLevel="0" collapsed="false">
      <c r="B40" s="11" t="s">
        <v>70</v>
      </c>
      <c r="C40" s="12" t="n">
        <v>0</v>
      </c>
      <c r="D40" s="12" t="n">
        <v>0</v>
      </c>
      <c r="E40" s="12" t="n">
        <v>0</v>
      </c>
      <c r="F40" s="12" t="n">
        <v>0</v>
      </c>
    </row>
    <row r="41" customFormat="false" ht="15" hidden="false" customHeight="false" outlineLevel="0" collapsed="false">
      <c r="B41" s="14" t="s">
        <v>71</v>
      </c>
      <c r="C41" s="15" t="n">
        <f aca="false">C29+C36+C38</f>
        <v>413751512</v>
      </c>
      <c r="D41" s="15" t="n">
        <f aca="false">D29+D36+D38</f>
        <v>417924952</v>
      </c>
      <c r="E41" s="15" t="n">
        <f aca="false">E29+E36+E38</f>
        <v>407586250</v>
      </c>
      <c r="F41" s="15" t="n">
        <f aca="false">F29+F36+F38</f>
        <v>410889575</v>
      </c>
    </row>
    <row r="42" customFormat="false" ht="15" hidden="false" customHeight="false" outlineLevel="0" collapsed="false">
      <c r="B42" s="16" t="s">
        <v>72</v>
      </c>
      <c r="C42" s="17" t="n">
        <f aca="false">C28+C41</f>
        <v>589957699</v>
      </c>
      <c r="D42" s="17" t="n">
        <f aca="false">D28+D41</f>
        <v>602857386</v>
      </c>
      <c r="E42" s="17" t="n">
        <f aca="false">E28+E41</f>
        <v>561711699</v>
      </c>
      <c r="F42" s="17" t="n">
        <f aca="false">F28+F41</f>
        <v>553204019</v>
      </c>
    </row>
    <row r="43" customFormat="false" ht="15" hidden="false" customHeight="false" outlineLevel="0" collapsed="false">
      <c r="B43" s="18" t="s">
        <v>73</v>
      </c>
      <c r="C43" s="12" t="n">
        <v>589957699</v>
      </c>
      <c r="D43" s="12" t="n">
        <v>602857386</v>
      </c>
      <c r="E43" s="12" t="n">
        <v>561711699</v>
      </c>
      <c r="F43" s="12" t="n">
        <v>553204019</v>
      </c>
    </row>
    <row r="63" customFormat="false" ht="15" hidden="false" customHeight="false" outlineLevel="0" collapsed="false">
      <c r="B63" s="9" t="s">
        <v>74</v>
      </c>
      <c r="C63" s="19" t="b">
        <f aca="false">EXACT(C42,'BS (貸方)'!C22)</f>
        <v>1</v>
      </c>
      <c r="D63" s="19" t="b">
        <f aca="false">EXACT(D42,'BS (貸方)'!D22)</f>
        <v>1</v>
      </c>
      <c r="E63" s="19" t="b">
        <f aca="false">EXACT(E42,'BS (貸方)'!E22)</f>
        <v>1</v>
      </c>
      <c r="F63" s="19" t="b">
        <f aca="false">EXACT(F42,'BS (貸方)'!F22)</f>
        <v>1</v>
      </c>
    </row>
    <row r="64" customFormat="false" ht="15" hidden="false" customHeight="false" outlineLevel="0" collapsed="false">
      <c r="B64" s="18" t="s">
        <v>75</v>
      </c>
      <c r="C64" s="20" t="b">
        <f aca="false">EXACT(C42,C43)</f>
        <v>1</v>
      </c>
      <c r="D64" s="20" t="b">
        <f aca="false">EXACT(D42,D43)</f>
        <v>1</v>
      </c>
      <c r="E64" s="20" t="b">
        <f aca="false">EXACT(E42,E43)</f>
        <v>1</v>
      </c>
      <c r="F64" s="20" t="b">
        <f aca="false">EXACT(F42,F43)</f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H24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30"/>
    <col collapsed="false" customWidth="true" hidden="false" outlineLevel="0" max="7" min="3" style="0" width="15"/>
    <col collapsed="false" customWidth="true" hidden="false" outlineLevel="0" max="8" min="8" style="0" width="40"/>
  </cols>
  <sheetData>
    <row r="2" customFormat="false" ht="17.35" hidden="false" customHeight="false" outlineLevel="0" collapsed="false">
      <c r="B2" s="5" t="s">
        <v>76</v>
      </c>
    </row>
    <row r="4" customFormat="false" ht="15" hidden="false" customHeight="false" outlineLevel="0" collapsed="false">
      <c r="B4" s="7" t="s">
        <v>19</v>
      </c>
      <c r="C4" s="7" t="str">
        <f aca="false">'BS(借方)'!C4</f>
        <v>2023年3月期</v>
      </c>
      <c r="D4" s="7" t="str">
        <f aca="false">'BS(借方)'!D4</f>
        <v>2024年3月期</v>
      </c>
      <c r="E4" s="7" t="str">
        <f aca="false">'BS(借方)'!E4</f>
        <v>2025年3月期</v>
      </c>
      <c r="F4" s="7" t="str">
        <f aca="false">'BS(借方)'!F4</f>
        <v>2026年3月期</v>
      </c>
      <c r="G4" s="7" t="s">
        <v>24</v>
      </c>
      <c r="H4" s="7" t="s">
        <v>25</v>
      </c>
    </row>
    <row r="5" customFormat="false" ht="15" hidden="false" customHeight="false" outlineLevel="0" collapsed="false">
      <c r="B5" s="9" t="s">
        <v>77</v>
      </c>
      <c r="C5" s="10" t="n">
        <f aca="false">SUM(C6:C12)</f>
        <v>119983523</v>
      </c>
      <c r="D5" s="10" t="n">
        <f aca="false">SUM(D6:D12)</f>
        <v>157820031</v>
      </c>
      <c r="E5" s="10" t="n">
        <f aca="false">SUM(E6:E12)</f>
        <v>114978167</v>
      </c>
      <c r="F5" s="10" t="n">
        <f aca="false">SUM(F6:F12)</f>
        <v>122891823</v>
      </c>
    </row>
    <row r="6" customFormat="false" ht="15" hidden="false" customHeight="false" outlineLevel="0" collapsed="false">
      <c r="B6" s="11" t="s">
        <v>78</v>
      </c>
      <c r="C6" s="12" t="n">
        <v>15964813</v>
      </c>
      <c r="D6" s="12" t="n">
        <v>20349325</v>
      </c>
      <c r="E6" s="12" t="n">
        <v>16479666</v>
      </c>
      <c r="F6" s="12" t="n">
        <v>16135488</v>
      </c>
    </row>
    <row r="7" customFormat="false" ht="15" hidden="false" customHeight="false" outlineLevel="0" collapsed="false">
      <c r="B7" s="11" t="s">
        <v>79</v>
      </c>
      <c r="C7" s="12" t="n">
        <v>9398537</v>
      </c>
      <c r="D7" s="12" t="n">
        <v>6615198</v>
      </c>
      <c r="E7" s="12" t="n">
        <v>4781682</v>
      </c>
      <c r="F7" s="12" t="n">
        <v>8358184</v>
      </c>
    </row>
    <row r="8" customFormat="false" ht="15" hidden="false" customHeight="false" outlineLevel="0" collapsed="false">
      <c r="B8" s="11" t="s">
        <v>80</v>
      </c>
      <c r="C8" s="12" t="n">
        <v>80000000</v>
      </c>
      <c r="D8" s="12" t="n">
        <v>110000000</v>
      </c>
      <c r="E8" s="12" t="n">
        <v>80000000</v>
      </c>
      <c r="F8" s="12" t="n">
        <v>80000000</v>
      </c>
      <c r="H8" s="13" t="s">
        <v>81</v>
      </c>
    </row>
    <row r="9" customFormat="false" ht="15" hidden="false" customHeight="false" outlineLevel="0" collapsed="false">
      <c r="B9" s="11" t="s">
        <v>82</v>
      </c>
      <c r="C9" s="12" t="n">
        <v>11656596</v>
      </c>
      <c r="D9" s="12" t="n">
        <v>17794210</v>
      </c>
      <c r="E9" s="12" t="n">
        <v>10599418</v>
      </c>
      <c r="F9" s="12" t="n">
        <v>15721057</v>
      </c>
      <c r="H9" s="13" t="s">
        <v>83</v>
      </c>
    </row>
    <row r="10" customFormat="false" ht="15" hidden="false" customHeight="false" outlineLevel="0" collapsed="false">
      <c r="B10" s="11" t="s">
        <v>84</v>
      </c>
      <c r="C10" s="12" t="n">
        <v>2598077</v>
      </c>
      <c r="D10" s="12" t="n">
        <v>2698218</v>
      </c>
      <c r="E10" s="12" t="n">
        <v>2754101</v>
      </c>
      <c r="F10" s="12" t="n">
        <v>2189894</v>
      </c>
    </row>
    <row r="11" customFormat="false" ht="15" hidden="false" customHeight="false" outlineLevel="0" collapsed="false">
      <c r="B11" s="11" t="s">
        <v>85</v>
      </c>
      <c r="C11" s="12" t="n">
        <v>5500</v>
      </c>
      <c r="D11" s="12" t="n">
        <v>3080</v>
      </c>
      <c r="E11" s="12" t="n">
        <v>3300</v>
      </c>
      <c r="F11" s="12" t="n">
        <v>0</v>
      </c>
    </row>
    <row r="12" customFormat="false" ht="15" hidden="false" customHeight="false" outlineLevel="0" collapsed="false">
      <c r="B12" s="11" t="s">
        <v>86</v>
      </c>
      <c r="C12" s="12" t="n">
        <v>360000</v>
      </c>
      <c r="D12" s="12" t="n">
        <v>360000</v>
      </c>
      <c r="E12" s="12" t="n">
        <v>360000</v>
      </c>
      <c r="F12" s="12" t="n">
        <v>487200</v>
      </c>
    </row>
    <row r="13" customFormat="false" ht="15" hidden="false" customHeight="false" outlineLevel="0" collapsed="false">
      <c r="B13" s="9" t="s">
        <v>87</v>
      </c>
      <c r="C13" s="10" t="n">
        <f aca="false">SUM(C14:C14)</f>
        <v>450156000</v>
      </c>
      <c r="D13" s="10" t="n">
        <f aca="false">SUM(D14:D14)</f>
        <v>402787000</v>
      </c>
      <c r="E13" s="10" t="n">
        <f aca="false">SUM(E14:E14)</f>
        <v>398822000</v>
      </c>
      <c r="F13" s="10" t="n">
        <f aca="false">SUM(F14:F14)</f>
        <v>381024000</v>
      </c>
    </row>
    <row r="14" customFormat="false" ht="15" hidden="false" customHeight="false" outlineLevel="0" collapsed="false">
      <c r="B14" s="11" t="s">
        <v>88</v>
      </c>
      <c r="C14" s="12" t="n">
        <v>450156000</v>
      </c>
      <c r="D14" s="12" t="n">
        <v>402787000</v>
      </c>
      <c r="E14" s="12" t="n">
        <v>398822000</v>
      </c>
      <c r="F14" s="12" t="n">
        <v>381024000</v>
      </c>
      <c r="H14" s="6" t="s">
        <v>89</v>
      </c>
    </row>
    <row r="15" customFormat="false" ht="15" hidden="false" customHeight="false" outlineLevel="0" collapsed="false">
      <c r="B15" s="14" t="s">
        <v>90</v>
      </c>
      <c r="C15" s="15" t="n">
        <f aca="false">C5+C13</f>
        <v>570139523</v>
      </c>
      <c r="D15" s="15" t="n">
        <f aca="false">D5+D13</f>
        <v>560607031</v>
      </c>
      <c r="E15" s="15" t="n">
        <f aca="false">E5+E13</f>
        <v>513800167</v>
      </c>
      <c r="F15" s="15" t="n">
        <f aca="false">F5+F13</f>
        <v>503915823</v>
      </c>
    </row>
    <row r="16" customFormat="false" ht="15" hidden="false" customHeight="false" outlineLevel="0" collapsed="false">
      <c r="B16" s="9" t="s">
        <v>91</v>
      </c>
    </row>
    <row r="17" customFormat="false" ht="15" hidden="false" customHeight="false" outlineLevel="0" collapsed="false">
      <c r="B17" s="11" t="s">
        <v>92</v>
      </c>
      <c r="C17" s="12" t="n">
        <v>11000000</v>
      </c>
      <c r="D17" s="12" t="n">
        <v>11000000</v>
      </c>
      <c r="E17" s="12" t="n">
        <v>11000000</v>
      </c>
      <c r="F17" s="12" t="n">
        <v>11000000</v>
      </c>
      <c r="H17" s="13" t="s">
        <v>93</v>
      </c>
    </row>
    <row r="18" customFormat="false" ht="15" hidden="false" customHeight="false" outlineLevel="0" collapsed="false">
      <c r="B18" s="11" t="s">
        <v>94</v>
      </c>
      <c r="C18" s="12" t="n">
        <v>5000000</v>
      </c>
      <c r="D18" s="12" t="n">
        <v>5000000</v>
      </c>
      <c r="E18" s="12" t="n">
        <v>5000000</v>
      </c>
      <c r="F18" s="12" t="n">
        <v>5000000</v>
      </c>
    </row>
    <row r="19" customFormat="false" ht="15" hidden="false" customHeight="false" outlineLevel="0" collapsed="false">
      <c r="B19" s="11" t="s">
        <v>95</v>
      </c>
      <c r="C19" s="12" t="n">
        <v>10000000</v>
      </c>
      <c r="D19" s="12" t="n">
        <v>10000000</v>
      </c>
      <c r="E19" s="12" t="n">
        <v>10000000</v>
      </c>
      <c r="F19" s="12" t="n">
        <v>10000000</v>
      </c>
    </row>
    <row r="20" customFormat="false" ht="15" hidden="false" customHeight="false" outlineLevel="0" collapsed="false">
      <c r="B20" s="11" t="s">
        <v>96</v>
      </c>
      <c r="C20" s="12" t="n">
        <v>-6181824</v>
      </c>
      <c r="D20" s="12" t="n">
        <v>16250355</v>
      </c>
      <c r="E20" s="12" t="n">
        <v>21911532</v>
      </c>
      <c r="F20" s="12" t="n">
        <v>23288196</v>
      </c>
    </row>
    <row r="21" customFormat="false" ht="15" hidden="false" customHeight="false" outlineLevel="0" collapsed="false">
      <c r="B21" s="14" t="s">
        <v>97</v>
      </c>
      <c r="C21" s="15" t="n">
        <f aca="false">SUM(C17:C20)</f>
        <v>19818176</v>
      </c>
      <c r="D21" s="15" t="n">
        <f aca="false">SUM(D17:D20)</f>
        <v>42250355</v>
      </c>
      <c r="E21" s="15" t="n">
        <f aca="false">SUM(E17:E20)</f>
        <v>47911532</v>
      </c>
      <c r="F21" s="15" t="n">
        <f aca="false">SUM(F17:F20)</f>
        <v>49288196</v>
      </c>
    </row>
    <row r="22" customFormat="false" ht="15" hidden="false" customHeight="false" outlineLevel="0" collapsed="false">
      <c r="B22" s="16" t="s">
        <v>98</v>
      </c>
      <c r="C22" s="17" t="n">
        <f aca="false">C15+C21</f>
        <v>589957699</v>
      </c>
      <c r="D22" s="17" t="n">
        <f aca="false">D15+D21</f>
        <v>602857386</v>
      </c>
      <c r="E22" s="17" t="n">
        <f aca="false">E15+E21</f>
        <v>561711699</v>
      </c>
      <c r="F22" s="17" t="n">
        <f aca="false">F15+F21</f>
        <v>553204019</v>
      </c>
    </row>
    <row r="24" customFormat="false" ht="15" hidden="false" customHeight="false" outlineLevel="0" collapsed="false">
      <c r="B24" s="9" t="s">
        <v>99</v>
      </c>
      <c r="C24" s="10" t="n">
        <f aca="false">C8+C14</f>
        <v>530156000</v>
      </c>
      <c r="D24" s="10" t="n">
        <f aca="false">D8+D14</f>
        <v>512787000</v>
      </c>
      <c r="E24" s="10" t="n">
        <f aca="false">E8+E14</f>
        <v>478822000</v>
      </c>
      <c r="F24" s="10" t="n">
        <f aca="false">F8+F14</f>
        <v>461024000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K64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30"/>
    <col collapsed="false" customWidth="true" hidden="false" outlineLevel="0" max="3" min="3" style="0" width="14"/>
    <col collapsed="false" customWidth="true" hidden="false" outlineLevel="0" max="4" min="4" style="0" width="8"/>
    <col collapsed="false" customWidth="true" hidden="false" outlineLevel="0" max="5" min="5" style="0" width="14"/>
    <col collapsed="false" customWidth="true" hidden="false" outlineLevel="0" max="6" min="6" style="0" width="8"/>
    <col collapsed="false" customWidth="true" hidden="false" outlineLevel="0" max="7" min="7" style="0" width="14"/>
    <col collapsed="false" customWidth="true" hidden="false" outlineLevel="0" max="8" min="8" style="0" width="8"/>
    <col collapsed="false" customWidth="true" hidden="false" outlineLevel="0" max="9" min="9" style="0" width="14"/>
    <col collapsed="false" customWidth="true" hidden="false" outlineLevel="0" max="10" min="10" style="0" width="8"/>
    <col collapsed="false" customWidth="true" hidden="false" outlineLevel="0" max="11" min="11" style="0" width="40"/>
  </cols>
  <sheetData>
    <row r="2" customFormat="false" ht="19.4" hidden="false" customHeight="false" outlineLevel="0" collapsed="false">
      <c r="B2" s="5" t="s">
        <v>100</v>
      </c>
    </row>
    <row r="4" customFormat="false" ht="15" hidden="false" customHeight="false" outlineLevel="0" collapsed="false">
      <c r="B4" s="7" t="s">
        <v>19</v>
      </c>
      <c r="C4" s="21" t="str">
        <f aca="false">'BS(借方)'!C4</f>
        <v>2023年3月期</v>
      </c>
      <c r="D4" s="21"/>
      <c r="E4" s="21" t="str">
        <f aca="false">'BS(借方)'!D4</f>
        <v>2024年3月期</v>
      </c>
      <c r="F4" s="21"/>
      <c r="G4" s="21" t="str">
        <f aca="false">'BS(借方)'!E4</f>
        <v>2025年3月期</v>
      </c>
      <c r="H4" s="21"/>
      <c r="I4" s="21" t="str">
        <f aca="false">'BS(借方)'!F4</f>
        <v>2026年3月期</v>
      </c>
      <c r="J4" s="21"/>
      <c r="K4" s="7" t="s">
        <v>25</v>
      </c>
    </row>
    <row r="5" customFormat="false" ht="15" hidden="false" customHeight="false" outlineLevel="0" collapsed="false">
      <c r="B5" s="14" t="s">
        <v>101</v>
      </c>
      <c r="C5" s="15" t="n">
        <f aca="false">SUM(C6:C8)</f>
        <v>284840729</v>
      </c>
      <c r="D5" s="22" t="n">
        <f aca="false">IFERROR(C5/C$5,0)</f>
        <v>1</v>
      </c>
      <c r="E5" s="15" t="n">
        <f aca="false">SUM(E6:E8)</f>
        <v>376221193</v>
      </c>
      <c r="F5" s="22" t="n">
        <f aca="false">IFERROR(E5/E$5,0)</f>
        <v>1</v>
      </c>
      <c r="G5" s="15" t="n">
        <f aca="false">SUM(G6:G8)</f>
        <v>382684537</v>
      </c>
      <c r="H5" s="22" t="n">
        <f aca="false">IFERROR(G5/G$5,0)</f>
        <v>1</v>
      </c>
      <c r="I5" s="15" t="n">
        <f aca="false">SUM(I6:I8)</f>
        <v>405963400</v>
      </c>
      <c r="J5" s="22" t="n">
        <f aca="false">IFERROR(I5/I$5,0)</f>
        <v>1</v>
      </c>
    </row>
    <row r="6" customFormat="false" ht="15" hidden="false" customHeight="false" outlineLevel="0" collapsed="false">
      <c r="B6" s="11" t="s">
        <v>102</v>
      </c>
      <c r="C6" s="12" t="n">
        <v>278785769</v>
      </c>
      <c r="D6" s="22" t="n">
        <f aca="false">IFERROR(C6/C$5,0)</f>
        <v>0.978742646737153</v>
      </c>
      <c r="E6" s="12" t="n">
        <v>369928091</v>
      </c>
      <c r="F6" s="22" t="n">
        <f aca="false">IFERROR(E6/E$5,0)</f>
        <v>0.983272866821195</v>
      </c>
      <c r="G6" s="12" t="n">
        <v>376242652</v>
      </c>
      <c r="H6" s="22" t="n">
        <f aca="false">IFERROR(G6/G$5,0)</f>
        <v>0.983166591860491</v>
      </c>
      <c r="I6" s="12" t="n">
        <v>399993563</v>
      </c>
      <c r="J6" s="22" t="n">
        <f aca="false">IFERROR(I6/I$5,0)</f>
        <v>0.985294642324899</v>
      </c>
    </row>
    <row r="7" customFormat="false" ht="15" hidden="false" customHeight="false" outlineLevel="0" collapsed="false">
      <c r="B7" s="11" t="s">
        <v>103</v>
      </c>
      <c r="C7" s="12" t="n">
        <v>6025110</v>
      </c>
      <c r="D7" s="22" t="n">
        <f aca="false">IFERROR(C7/C$5,0)</f>
        <v>0.0211525578562889</v>
      </c>
      <c r="E7" s="12" t="n">
        <v>6273202</v>
      </c>
      <c r="F7" s="22" t="n">
        <f aca="false">IFERROR(E7/E$5,0)</f>
        <v>0.0166742387635776</v>
      </c>
      <c r="G7" s="12" t="n">
        <v>6441885</v>
      </c>
      <c r="H7" s="22" t="n">
        <f aca="false">IFERROR(G7/G$5,0)</f>
        <v>0.0168334081395089</v>
      </c>
      <c r="I7" s="12" t="n">
        <v>5969837</v>
      </c>
      <c r="J7" s="22" t="n">
        <f aca="false">IFERROR(I7/I$5,0)</f>
        <v>0.0147053576751008</v>
      </c>
    </row>
    <row r="8" customFormat="false" ht="15" hidden="false" customHeight="false" outlineLevel="0" collapsed="false">
      <c r="B8" s="11" t="s">
        <v>104</v>
      </c>
      <c r="C8" s="12" t="n">
        <v>29850</v>
      </c>
      <c r="D8" s="22" t="n">
        <f aca="false">IFERROR(C8/C$5,0)</f>
        <v>0.000104795406558589</v>
      </c>
      <c r="E8" s="12" t="n">
        <v>19900</v>
      </c>
      <c r="F8" s="22" t="n">
        <f aca="false">IFERROR(E8/E$5,0)</f>
        <v>5.28944152276929E-005</v>
      </c>
      <c r="G8" s="12" t="n">
        <v>0</v>
      </c>
      <c r="H8" s="22" t="n">
        <f aca="false">IFERROR(G8/G$5,0)</f>
        <v>0</v>
      </c>
      <c r="I8" s="12" t="n">
        <v>0</v>
      </c>
      <c r="J8" s="22" t="n">
        <f aca="false">IFERROR(I8/I$5,0)</f>
        <v>0</v>
      </c>
    </row>
    <row r="9" customFormat="false" ht="15" hidden="false" customHeight="false" outlineLevel="0" collapsed="false">
      <c r="B9" s="9" t="s">
        <v>105</v>
      </c>
      <c r="C9" s="10" t="n">
        <f aca="false">C13+C14</f>
        <v>238592970</v>
      </c>
      <c r="D9" s="22" t="n">
        <f aca="false">IFERROR(C9/C$5,0)</f>
        <v>0.837636425231871</v>
      </c>
      <c r="E9" s="10" t="n">
        <f aca="false">E13+E14</f>
        <v>279653851</v>
      </c>
      <c r="F9" s="22" t="n">
        <f aca="false">IFERROR(E9/E$5,0)</f>
        <v>0.743322960543586</v>
      </c>
      <c r="G9" s="10" t="n">
        <f aca="false">G13+G14</f>
        <v>297300134</v>
      </c>
      <c r="H9" s="22" t="n">
        <f aca="false">IFERROR(G9/G$5,0)</f>
        <v>0.776880446570017</v>
      </c>
      <c r="I9" s="10" t="n">
        <f aca="false">I13+I14</f>
        <v>316589415</v>
      </c>
      <c r="J9" s="22" t="n">
        <f aca="false">IFERROR(I9/I$5,0)</f>
        <v>0.779847185731522</v>
      </c>
    </row>
    <row r="10" customFormat="false" ht="15" hidden="false" customHeight="false" outlineLevel="0" collapsed="false">
      <c r="B10" s="11" t="s">
        <v>106</v>
      </c>
      <c r="C10" s="12" t="n">
        <v>14945432</v>
      </c>
      <c r="D10" s="22" t="n">
        <f aca="false">IFERROR(C10/C$5,0)</f>
        <v>0.0524694345940956</v>
      </c>
      <c r="E10" s="12" t="n">
        <v>14642199</v>
      </c>
      <c r="F10" s="22" t="n">
        <f aca="false">IFERROR(E10/E$5,0)</f>
        <v>0.0389191233041462</v>
      </c>
      <c r="G10" s="12" t="n">
        <v>15901958</v>
      </c>
      <c r="H10" s="22" t="n">
        <f aca="false">IFERROR(G10/G$5,0)</f>
        <v>0.0415536988368046</v>
      </c>
      <c r="I10" s="12" t="n">
        <v>13824517</v>
      </c>
      <c r="J10" s="22" t="n">
        <f aca="false">IFERROR(I10/I$5,0)</f>
        <v>0.0340536043397016</v>
      </c>
    </row>
    <row r="11" customFormat="false" ht="15" hidden="false" customHeight="false" outlineLevel="0" collapsed="false">
      <c r="B11" s="11" t="s">
        <v>107</v>
      </c>
      <c r="C11" s="12" t="n">
        <v>15151075</v>
      </c>
      <c r="D11" s="22" t="n">
        <f aca="false">IFERROR(C11/C$5,0)</f>
        <v>0.0531913924430379</v>
      </c>
      <c r="E11" s="12" t="n">
        <v>32597105</v>
      </c>
      <c r="F11" s="22" t="n">
        <f aca="false">IFERROR(E11/E$5,0)</f>
        <v>0.086643457642749</v>
      </c>
      <c r="G11" s="12" t="n">
        <v>42388144</v>
      </c>
      <c r="H11" s="22" t="n">
        <f aca="false">IFERROR(G11/G$5,0)</f>
        <v>0.11076523847108</v>
      </c>
      <c r="I11" s="12" t="n">
        <v>41445951</v>
      </c>
      <c r="J11" s="22" t="n">
        <f aca="false">IFERROR(I11/I$5,0)</f>
        <v>0.102092826594713</v>
      </c>
    </row>
    <row r="12" customFormat="false" ht="15" hidden="false" customHeight="false" outlineLevel="0" collapsed="false">
      <c r="B12" s="11" t="s">
        <v>108</v>
      </c>
      <c r="C12" s="12" t="n">
        <f aca="false">'BS(借方)'!C16</f>
        <v>14642199</v>
      </c>
      <c r="D12" s="22" t="n">
        <f aca="false">IFERROR(C12/C$5,0)</f>
        <v>0.0514048642250175</v>
      </c>
      <c r="E12" s="12" t="n">
        <f aca="false">'BS(借方)'!D16</f>
        <v>15901958</v>
      </c>
      <c r="F12" s="22" t="n">
        <f aca="false">IFERROR(E12/E$5,0)</f>
        <v>0.0422675763510218</v>
      </c>
      <c r="G12" s="12" t="n">
        <f aca="false">'BS(借方)'!E16</f>
        <v>13824517</v>
      </c>
      <c r="H12" s="22" t="n">
        <f aca="false">IFERROR(G12/G$5,0)</f>
        <v>0.036125099562097</v>
      </c>
      <c r="I12" s="12" t="n">
        <f aca="false">'BS(借方)'!F16</f>
        <v>20660679</v>
      </c>
      <c r="J12" s="22" t="n">
        <f aca="false">IFERROR(I12/I$5,0)</f>
        <v>0.0508929598086921</v>
      </c>
    </row>
    <row r="13" customFormat="false" ht="15" hidden="false" customHeight="false" outlineLevel="0" collapsed="false">
      <c r="B13" s="11" t="s">
        <v>109</v>
      </c>
      <c r="C13" s="12" t="n">
        <f aca="false">C10+C11-C12</f>
        <v>15454308</v>
      </c>
      <c r="D13" s="22" t="n">
        <f aca="false">IFERROR(C13/C$5,0)</f>
        <v>0.054255962812116</v>
      </c>
      <c r="E13" s="12" t="n">
        <f aca="false">E10+E11-E12</f>
        <v>31337346</v>
      </c>
      <c r="F13" s="22" t="n">
        <f aca="false">IFERROR(E13/E$5,0)</f>
        <v>0.0832950045958735</v>
      </c>
      <c r="G13" s="12" t="n">
        <f aca="false">G10+G11-G12</f>
        <v>44465585</v>
      </c>
      <c r="H13" s="22" t="n">
        <f aca="false">IFERROR(G13/G$5,0)</f>
        <v>0.116193837745788</v>
      </c>
      <c r="I13" s="12" t="n">
        <f aca="false">I10+I11-I12</f>
        <v>34609789</v>
      </c>
      <c r="J13" s="22" t="n">
        <f aca="false">IFERROR(I13/I$5,0)</f>
        <v>0.0852534711257222</v>
      </c>
    </row>
    <row r="14" customFormat="false" ht="15" hidden="false" customHeight="false" outlineLevel="0" collapsed="false">
      <c r="B14" s="11" t="s">
        <v>110</v>
      </c>
      <c r="C14" s="12" t="n">
        <f aca="false">CR!C45</f>
        <v>223138662</v>
      </c>
      <c r="D14" s="22" t="n">
        <f aca="false">IFERROR(C14/C$5,0)</f>
        <v>0.783380462419755</v>
      </c>
      <c r="E14" s="12" t="n">
        <f aca="false">CR!D45</f>
        <v>248316505</v>
      </c>
      <c r="F14" s="22" t="n">
        <f aca="false">IFERROR(E14/E$5,0)</f>
        <v>0.660027955947713</v>
      </c>
      <c r="G14" s="12" t="n">
        <f aca="false">CR!E45</f>
        <v>252834549</v>
      </c>
      <c r="H14" s="22" t="n">
        <f aca="false">IFERROR(G14/G$5,0)</f>
        <v>0.660686608824229</v>
      </c>
      <c r="I14" s="12" t="n">
        <f aca="false">CR!F45</f>
        <v>281979626</v>
      </c>
      <c r="J14" s="22" t="n">
        <f aca="false">IFERROR(I14/I$5,0)</f>
        <v>0.694593714605799</v>
      </c>
    </row>
    <row r="15" customFormat="false" ht="15" hidden="false" customHeight="false" outlineLevel="0" collapsed="false">
      <c r="B15" s="14" t="s">
        <v>111</v>
      </c>
      <c r="C15" s="15" t="n">
        <f aca="false">C5-C9</f>
        <v>46247759</v>
      </c>
      <c r="D15" s="22" t="n">
        <f aca="false">IFERROR(C15/C$5,0)</f>
        <v>0.162363574768129</v>
      </c>
      <c r="E15" s="15" t="n">
        <f aca="false">E5-E9</f>
        <v>96567342</v>
      </c>
      <c r="F15" s="22" t="n">
        <f aca="false">IFERROR(E15/E$5,0)</f>
        <v>0.256677039456414</v>
      </c>
      <c r="G15" s="15" t="n">
        <f aca="false">G5-G9</f>
        <v>85384403</v>
      </c>
      <c r="H15" s="22" t="n">
        <f aca="false">IFERROR(G15/G$5,0)</f>
        <v>0.223119553429984</v>
      </c>
      <c r="I15" s="15" t="n">
        <f aca="false">I5-I9</f>
        <v>89373985</v>
      </c>
      <c r="J15" s="22" t="n">
        <f aca="false">IFERROR(I15/I$5,0)</f>
        <v>0.220152814268478</v>
      </c>
    </row>
    <row r="16" customFormat="false" ht="15" hidden="false" customHeight="false" outlineLevel="0" collapsed="false">
      <c r="B16" s="9" t="s">
        <v>112</v>
      </c>
      <c r="C16" s="10" t="n">
        <f aca="false">SUM(C17:C23)</f>
        <v>54495280</v>
      </c>
      <c r="D16" s="22" t="n">
        <f aca="false">IFERROR(C16/C$5,0)</f>
        <v>0.191318426235316</v>
      </c>
      <c r="E16" s="10" t="n">
        <f aca="false">SUM(E17:E23)</f>
        <v>71242323</v>
      </c>
      <c r="F16" s="22" t="n">
        <f aca="false">IFERROR(E16/E$5,0)</f>
        <v>0.189362865052634</v>
      </c>
      <c r="G16" s="10" t="n">
        <f aca="false">SUM(G17:G23)</f>
        <v>71725529</v>
      </c>
      <c r="H16" s="22" t="n">
        <f aca="false">IFERROR(G16/G$5,0)</f>
        <v>0.18742729863684</v>
      </c>
      <c r="I16" s="10" t="n">
        <f aca="false">SUM(I17:I23)</f>
        <v>81348592</v>
      </c>
      <c r="J16" s="22" t="n">
        <f aca="false">IFERROR(I16/I$5,0)</f>
        <v>0.20038405432608</v>
      </c>
    </row>
    <row r="17" customFormat="false" ht="15" hidden="false" customHeight="false" outlineLevel="0" collapsed="false">
      <c r="B17" s="11" t="s">
        <v>113</v>
      </c>
      <c r="C17" s="12" t="n">
        <f aca="false">SGA!C5</f>
        <v>21464143</v>
      </c>
      <c r="D17" s="22" t="n">
        <f aca="false">IFERROR(C17/C$5,0)</f>
        <v>0.0753548942082647</v>
      </c>
      <c r="E17" s="12" t="n">
        <f aca="false">SGA!D5</f>
        <v>21065469</v>
      </c>
      <c r="F17" s="22" t="n">
        <f aca="false">IFERROR(E17/E$5,0)</f>
        <v>0.0559922444347786</v>
      </c>
      <c r="G17" s="12" t="n">
        <f aca="false">SGA!E5</f>
        <v>23458472</v>
      </c>
      <c r="H17" s="22" t="n">
        <f aca="false">IFERROR(G17/G$5,0)</f>
        <v>0.0612997645107359</v>
      </c>
      <c r="I17" s="12" t="n">
        <f aca="false">SGA!F5</f>
        <v>23527651</v>
      </c>
      <c r="J17" s="22" t="n">
        <f aca="false">IFERROR(I17/I$5,0)</f>
        <v>0.0579551038344836</v>
      </c>
    </row>
    <row r="18" customFormat="false" ht="15" hidden="false" customHeight="false" outlineLevel="0" collapsed="false">
      <c r="B18" s="11" t="s">
        <v>114</v>
      </c>
      <c r="C18" s="12" t="n">
        <f aca="false">SGA!C14</f>
        <v>5426413</v>
      </c>
      <c r="D18" s="22" t="n">
        <f aca="false">IFERROR(C18/C$5,0)</f>
        <v>0.019050692009709</v>
      </c>
      <c r="E18" s="12" t="n">
        <f aca="false">SGA!D14</f>
        <v>5193598</v>
      </c>
      <c r="F18" s="22" t="n">
        <f aca="false">IFERROR(E18/E$5,0)</f>
        <v>0.0138046396551616</v>
      </c>
      <c r="G18" s="12" t="n">
        <f aca="false">SGA!E14</f>
        <v>5119422</v>
      </c>
      <c r="H18" s="22" t="n">
        <f aca="false">IFERROR(G18/G$5,0)</f>
        <v>0.0133776557582728</v>
      </c>
      <c r="I18" s="12" t="n">
        <f aca="false">SGA!F14</f>
        <v>6634973</v>
      </c>
      <c r="J18" s="22" t="n">
        <f aca="false">IFERROR(I18/I$5,0)</f>
        <v>0.0163437713843169</v>
      </c>
    </row>
    <row r="19" customFormat="false" ht="15" hidden="false" customHeight="false" outlineLevel="0" collapsed="false">
      <c r="B19" s="11" t="s">
        <v>115</v>
      </c>
      <c r="C19" s="12" t="n">
        <f aca="false">SGA!C25</f>
        <v>20950477</v>
      </c>
      <c r="D19" s="22" t="n">
        <f aca="false">IFERROR(C19/C$5,0)</f>
        <v>0.0735515495749205</v>
      </c>
      <c r="E19" s="12" t="n">
        <f aca="false">SGA!D25</f>
        <v>33504224</v>
      </c>
      <c r="F19" s="22" t="n">
        <f aca="false">IFERROR(E19/E$5,0)</f>
        <v>0.08905458975566</v>
      </c>
      <c r="G19" s="12" t="n">
        <f aca="false">SGA!E25</f>
        <v>29684699</v>
      </c>
      <c r="H19" s="22" t="n">
        <f aca="false">IFERROR(G19/G$5,0)</f>
        <v>0.0775696327651723</v>
      </c>
      <c r="I19" s="12" t="n">
        <f aca="false">SGA!F25</f>
        <v>37540944</v>
      </c>
      <c r="J19" s="22" t="n">
        <f aca="false">IFERROR(I19/I$5,0)</f>
        <v>0.0924737156108162</v>
      </c>
    </row>
    <row r="20" customFormat="false" ht="15" hidden="false" customHeight="false" outlineLevel="0" collapsed="false">
      <c r="B20" s="11" t="s">
        <v>116</v>
      </c>
      <c r="C20" s="12" t="n">
        <f aca="false">SGA!C30</f>
        <v>799841</v>
      </c>
      <c r="D20" s="22" t="n">
        <f aca="false">IFERROR(C20/C$5,0)</f>
        <v>0.00280802890375976</v>
      </c>
      <c r="E20" s="12" t="n">
        <f aca="false">SGA!D30</f>
        <v>950969</v>
      </c>
      <c r="F20" s="22" t="n">
        <f aca="false">IFERROR(E20/E$5,0)</f>
        <v>0.00252768588716904</v>
      </c>
      <c r="G20" s="12" t="n">
        <f aca="false">SGA!E30</f>
        <v>964692</v>
      </c>
      <c r="H20" s="22" t="n">
        <f aca="false">IFERROR(G20/G$5,0)</f>
        <v>0.00252085440285245</v>
      </c>
      <c r="I20" s="12" t="n">
        <f aca="false">SGA!F30</f>
        <v>830503</v>
      </c>
      <c r="J20" s="22" t="n">
        <f aca="false">IFERROR(I20/I$5,0)</f>
        <v>0.00204575831220253</v>
      </c>
    </row>
    <row r="21" customFormat="false" ht="15" hidden="false" customHeight="false" outlineLevel="0" collapsed="false">
      <c r="B21" s="11" t="s">
        <v>117</v>
      </c>
      <c r="C21" s="12" t="n">
        <f aca="false">SGA!C34</f>
        <v>4117984</v>
      </c>
      <c r="D21" s="22" t="n">
        <f aca="false">IFERROR(C21/C$5,0)</f>
        <v>0.0144571459792887</v>
      </c>
      <c r="E21" s="12" t="n">
        <f aca="false">SGA!D34</f>
        <v>5359472</v>
      </c>
      <c r="F21" s="22" t="n">
        <f aca="false">IFERROR(E21/E$5,0)</f>
        <v>0.0142455345411655</v>
      </c>
      <c r="G21" s="12" t="n">
        <f aca="false">SGA!E34</f>
        <v>4946870</v>
      </c>
      <c r="H21" s="22" t="n">
        <f aca="false">IFERROR(G21/G$5,0)</f>
        <v>0.0129267569543841</v>
      </c>
      <c r="I21" s="12" t="n">
        <f aca="false">SGA!F34</f>
        <v>6820643</v>
      </c>
      <c r="J21" s="22" t="n">
        <f aca="false">IFERROR(I21/I$5,0)</f>
        <v>0.0168011278849276</v>
      </c>
    </row>
    <row r="22" customFormat="false" ht="15" hidden="false" customHeight="false" outlineLevel="0" collapsed="false">
      <c r="B22" s="11" t="s">
        <v>118</v>
      </c>
      <c r="C22" s="12" t="n">
        <f aca="false">SGA!C42</f>
        <v>1736422</v>
      </c>
      <c r="D22" s="22" t="n">
        <f aca="false">IFERROR(C22/C$5,0)</f>
        <v>0.00609611555937283</v>
      </c>
      <c r="E22" s="12" t="n">
        <f aca="false">SGA!D42</f>
        <v>5168591</v>
      </c>
      <c r="F22" s="22" t="n">
        <f aca="false">IFERROR(E22/E$5,0)</f>
        <v>0.0137381707786993</v>
      </c>
      <c r="G22" s="12" t="n">
        <f aca="false">SGA!E42</f>
        <v>4395505</v>
      </c>
      <c r="H22" s="22" t="n">
        <f aca="false">IFERROR(G22/G$5,0)</f>
        <v>0.0114859749350155</v>
      </c>
      <c r="I22" s="12" t="n">
        <f aca="false">SGA!F42</f>
        <v>4229217</v>
      </c>
      <c r="J22" s="22" t="n">
        <f aca="false">IFERROR(I22/I$5,0)</f>
        <v>0.0104177297756399</v>
      </c>
    </row>
    <row r="23" customFormat="false" ht="15" hidden="false" customHeight="false" outlineLevel="0" collapsed="false">
      <c r="B23" s="11" t="s">
        <v>119</v>
      </c>
      <c r="C23" s="12" t="n">
        <v>0</v>
      </c>
      <c r="D23" s="22" t="n">
        <f aca="false">IFERROR(C23/C$5,0)</f>
        <v>0</v>
      </c>
      <c r="E23" s="12" t="n">
        <v>0</v>
      </c>
      <c r="F23" s="22" t="n">
        <f aca="false">IFERROR(E23/E$5,0)</f>
        <v>0</v>
      </c>
      <c r="G23" s="12" t="n">
        <v>3155869</v>
      </c>
      <c r="H23" s="22" t="n">
        <f aca="false">IFERROR(G23/G$5,0)</f>
        <v>0.00824665931040741</v>
      </c>
      <c r="I23" s="12" t="n">
        <v>1764661</v>
      </c>
      <c r="J23" s="22" t="n">
        <f aca="false">IFERROR(I23/I$5,0)</f>
        <v>0.00434684752369302</v>
      </c>
      <c r="K23" s="13" t="s">
        <v>120</v>
      </c>
    </row>
    <row r="24" customFormat="false" ht="15" hidden="false" customHeight="false" outlineLevel="0" collapsed="false">
      <c r="B24" s="16" t="s">
        <v>121</v>
      </c>
      <c r="C24" s="17" t="n">
        <f aca="false">C15-C16</f>
        <v>-8247521</v>
      </c>
      <c r="D24" s="22" t="n">
        <f aca="false">IFERROR(C24/C$5,0)</f>
        <v>-0.0289548514671861</v>
      </c>
      <c r="E24" s="17" t="n">
        <f aca="false">E15-E16</f>
        <v>25325019</v>
      </c>
      <c r="F24" s="22" t="n">
        <f aca="false">IFERROR(E24/E$5,0)</f>
        <v>0.0673141744037795</v>
      </c>
      <c r="G24" s="17" t="n">
        <f aca="false">G15-G16</f>
        <v>13658874</v>
      </c>
      <c r="H24" s="22" t="n">
        <f aca="false">IFERROR(G24/G$5,0)</f>
        <v>0.0356922547931431</v>
      </c>
      <c r="I24" s="17" t="n">
        <f aca="false">I15-I16</f>
        <v>8025393</v>
      </c>
      <c r="J24" s="22" t="n">
        <f aca="false">IFERROR(I24/I$5,0)</f>
        <v>0.0197687599423988</v>
      </c>
    </row>
    <row r="25" customFormat="false" ht="15" hidden="false" customHeight="false" outlineLevel="0" collapsed="false">
      <c r="B25" s="9" t="s">
        <v>122</v>
      </c>
      <c r="C25" s="10" t="n">
        <f aca="false">SUM(C26:C29)</f>
        <v>1258409</v>
      </c>
      <c r="D25" s="22" t="n">
        <f aca="false">IFERROR(C25/C$5,0)</f>
        <v>0.00441793912133963</v>
      </c>
      <c r="E25" s="10" t="n">
        <f aca="false">SUM(E26:E29)</f>
        <v>8814192</v>
      </c>
      <c r="F25" s="22" t="n">
        <f aca="false">IFERROR(E25/E$5,0)</f>
        <v>0.0234282176655583</v>
      </c>
      <c r="G25" s="10" t="n">
        <f aca="false">SUM(G26:G29)</f>
        <v>380769</v>
      </c>
      <c r="H25" s="22" t="n">
        <f aca="false">IFERROR(G25/G$5,0)</f>
        <v>0.000994994475044598</v>
      </c>
      <c r="I25" s="10" t="n">
        <f aca="false">SUM(I26:I29)</f>
        <v>2783309</v>
      </c>
      <c r="J25" s="22" t="n">
        <f aca="false">IFERROR(I25/I$5,0)</f>
        <v>0.00685605894521526</v>
      </c>
    </row>
    <row r="26" customFormat="false" ht="15" hidden="false" customHeight="false" outlineLevel="0" collapsed="false">
      <c r="B26" s="11" t="s">
        <v>123</v>
      </c>
      <c r="C26" s="12" t="n">
        <v>7377</v>
      </c>
      <c r="D26" s="22" t="n">
        <f aca="false">IFERROR(C26/C$5,0)</f>
        <v>2.58986838922182E-005</v>
      </c>
      <c r="E26" s="12" t="n">
        <v>331584</v>
      </c>
      <c r="F26" s="22" t="n">
        <f aca="false">IFERROR(E26/E$5,0)</f>
        <v>0.000881353858234137</v>
      </c>
      <c r="G26" s="12" t="n">
        <v>38636</v>
      </c>
      <c r="H26" s="22" t="n">
        <f aca="false">IFERROR(G26/G$5,0)</f>
        <v>0.000100960441994551</v>
      </c>
      <c r="I26" s="12" t="n">
        <v>96106</v>
      </c>
      <c r="J26" s="22" t="n">
        <f aca="false">IFERROR(I26/I$5,0)</f>
        <v>0.000236735626906268</v>
      </c>
    </row>
    <row r="27" customFormat="false" ht="15" hidden="false" customHeight="false" outlineLevel="0" collapsed="false">
      <c r="B27" s="11" t="s">
        <v>124</v>
      </c>
      <c r="C27" s="12" t="n">
        <v>200</v>
      </c>
      <c r="D27" s="22" t="n">
        <f aca="false">IFERROR(C27/C$5,0)</f>
        <v>7.0214677761199E-007</v>
      </c>
      <c r="E27" s="12" t="n">
        <v>200</v>
      </c>
      <c r="F27" s="22" t="n">
        <f aca="false">IFERROR(E27/E$5,0)</f>
        <v>5.31602163092391E-007</v>
      </c>
      <c r="G27" s="12" t="n">
        <v>200</v>
      </c>
      <c r="H27" s="22" t="n">
        <f aca="false">IFERROR(G27/G$5,0)</f>
        <v>5.22623677371108E-007</v>
      </c>
      <c r="I27" s="12" t="n">
        <v>200</v>
      </c>
      <c r="J27" s="22" t="n">
        <f aca="false">IFERROR(I27/I$5,0)</f>
        <v>4.92655249217048E-007</v>
      </c>
    </row>
    <row r="28" customFormat="false" ht="15" hidden="false" customHeight="false" outlineLevel="0" collapsed="false">
      <c r="B28" s="11" t="s">
        <v>125</v>
      </c>
      <c r="C28" s="12" t="n">
        <v>1250832</v>
      </c>
      <c r="D28" s="22" t="n">
        <f aca="false">IFERROR(C28/C$5,0)</f>
        <v>0.0043913382906698</v>
      </c>
      <c r="E28" s="12" t="n">
        <v>8482408</v>
      </c>
      <c r="F28" s="22" t="n">
        <f aca="false">IFERROR(E28/E$5,0)</f>
        <v>0.022546332205161</v>
      </c>
      <c r="G28" s="12" t="n">
        <v>341933</v>
      </c>
      <c r="H28" s="22" t="n">
        <f aca="false">IFERROR(G28/G$5,0)</f>
        <v>0.000893511409372676</v>
      </c>
      <c r="I28" s="12" t="n">
        <v>2687003</v>
      </c>
      <c r="J28" s="22" t="n">
        <f aca="false">IFERROR(I28/I$5,0)</f>
        <v>0.00661883066305977</v>
      </c>
      <c r="K28" s="13" t="s">
        <v>126</v>
      </c>
    </row>
    <row r="29" customFormat="false" ht="15" hidden="false" customHeight="false" outlineLevel="0" collapsed="false">
      <c r="B29" s="11" t="s">
        <v>127</v>
      </c>
      <c r="C29" s="12" t="n">
        <v>0</v>
      </c>
      <c r="D29" s="22" t="n">
        <f aca="false">IFERROR(C29/C$5,0)</f>
        <v>0</v>
      </c>
      <c r="E29" s="12" t="n">
        <v>0</v>
      </c>
      <c r="F29" s="22" t="n">
        <f aca="false">IFERROR(E29/E$5,0)</f>
        <v>0</v>
      </c>
      <c r="G29" s="12" t="n">
        <v>0</v>
      </c>
      <c r="H29" s="22" t="n">
        <f aca="false">IFERROR(G29/G$5,0)</f>
        <v>0</v>
      </c>
      <c r="I29" s="12" t="n">
        <v>0</v>
      </c>
      <c r="J29" s="22" t="n">
        <f aca="false">IFERROR(I29/I$5,0)</f>
        <v>0</v>
      </c>
    </row>
    <row r="30" customFormat="false" ht="15" hidden="false" customHeight="false" outlineLevel="0" collapsed="false">
      <c r="B30" s="9" t="s">
        <v>128</v>
      </c>
      <c r="C30" s="10" t="n">
        <f aca="false">SUM(C31:C33)</f>
        <v>6275611</v>
      </c>
      <c r="D30" s="22" t="n">
        <f aca="false">IFERROR(C30/C$5,0)</f>
        <v>0.0220320002059818</v>
      </c>
      <c r="E30" s="10" t="n">
        <f aca="false">SUM(E31:E33)</f>
        <v>11347032</v>
      </c>
      <c r="F30" s="22" t="n">
        <f aca="false">IFERROR(E30/E$5,0)</f>
        <v>0.0301605337793929</v>
      </c>
      <c r="G30" s="10" t="n">
        <f aca="false">SUM(G31:G33)</f>
        <v>8018466</v>
      </c>
      <c r="H30" s="22" t="n">
        <f aca="false">IFERROR(G30/G$5,0)</f>
        <v>0.020953200938976</v>
      </c>
      <c r="I30" s="10" t="n">
        <f aca="false">SUM(I31:I33)</f>
        <v>8944838</v>
      </c>
      <c r="J30" s="22" t="n">
        <f aca="false">IFERROR(I30/I$5,0)</f>
        <v>0.0220336069704806</v>
      </c>
    </row>
    <row r="31" customFormat="false" ht="15" hidden="false" customHeight="false" outlineLevel="0" collapsed="false">
      <c r="B31" s="11" t="s">
        <v>129</v>
      </c>
      <c r="C31" s="12" t="n">
        <v>6117321</v>
      </c>
      <c r="D31" s="22" t="n">
        <f aca="false">IFERROR(C31/C$5,0)</f>
        <v>0.0214762861388408</v>
      </c>
      <c r="E31" s="12" t="n">
        <v>6154983</v>
      </c>
      <c r="F31" s="22" t="n">
        <f aca="false">IFERROR(E31/E$5,0)</f>
        <v>0.0163600113829845</v>
      </c>
      <c r="G31" s="12" t="n">
        <v>8018466</v>
      </c>
      <c r="H31" s="22" t="n">
        <f aca="false">IFERROR(G31/G$5,0)</f>
        <v>0.020953200938976</v>
      </c>
      <c r="I31" s="12" t="n">
        <v>8406588</v>
      </c>
      <c r="J31" s="22" t="n">
        <f aca="false">IFERROR(I31/I$5,0)</f>
        <v>0.0207077485310252</v>
      </c>
    </row>
    <row r="32" customFormat="false" ht="15" hidden="false" customHeight="false" outlineLevel="0" collapsed="false">
      <c r="B32" s="11" t="s">
        <v>130</v>
      </c>
      <c r="C32" s="12" t="n">
        <v>158290</v>
      </c>
      <c r="D32" s="22" t="n">
        <f aca="false">IFERROR(C32/C$5,0)</f>
        <v>0.000555714067141009</v>
      </c>
      <c r="E32" s="12" t="n">
        <v>5192049</v>
      </c>
      <c r="F32" s="22" t="n">
        <f aca="false">IFERROR(E32/E$5,0)</f>
        <v>0.0138005223964084</v>
      </c>
      <c r="G32" s="12" t="n">
        <v>0</v>
      </c>
      <c r="H32" s="22" t="n">
        <f aca="false">IFERROR(G32/G$5,0)</f>
        <v>0</v>
      </c>
      <c r="I32" s="12" t="n">
        <v>538250</v>
      </c>
      <c r="J32" s="22" t="n">
        <f aca="false">IFERROR(I32/I$5,0)</f>
        <v>0.00132585843945538</v>
      </c>
      <c r="K32" s="13" t="s">
        <v>131</v>
      </c>
    </row>
    <row r="33" customFormat="false" ht="15" hidden="false" customHeight="false" outlineLevel="0" collapsed="false">
      <c r="B33" s="11" t="s">
        <v>132</v>
      </c>
      <c r="C33" s="12" t="n">
        <v>0</v>
      </c>
      <c r="D33" s="22" t="n">
        <f aca="false">IFERROR(C33/C$5,0)</f>
        <v>0</v>
      </c>
      <c r="E33" s="12" t="n">
        <v>0</v>
      </c>
      <c r="F33" s="22" t="n">
        <f aca="false">IFERROR(E33/E$5,0)</f>
        <v>0</v>
      </c>
      <c r="G33" s="12" t="n">
        <v>0</v>
      </c>
      <c r="H33" s="22" t="n">
        <f aca="false">IFERROR(G33/G$5,0)</f>
        <v>0</v>
      </c>
      <c r="I33" s="12" t="n">
        <v>0</v>
      </c>
      <c r="J33" s="22" t="n">
        <f aca="false">IFERROR(I33/I$5,0)</f>
        <v>0</v>
      </c>
    </row>
    <row r="34" customFormat="false" ht="15" hidden="false" customHeight="false" outlineLevel="0" collapsed="false">
      <c r="B34" s="16" t="s">
        <v>133</v>
      </c>
      <c r="C34" s="17" t="n">
        <f aca="false">C24+C25-C30</f>
        <v>-13264723</v>
      </c>
      <c r="D34" s="22" t="n">
        <f aca="false">IFERROR(C34/C$5,0)</f>
        <v>-0.0465689125518282</v>
      </c>
      <c r="E34" s="17" t="n">
        <f aca="false">E24+E25-E30</f>
        <v>22792179</v>
      </c>
      <c r="F34" s="22" t="n">
        <f aca="false">IFERROR(E34/E$5,0)</f>
        <v>0.0605818582899449</v>
      </c>
      <c r="G34" s="17" t="n">
        <f aca="false">G24+G25-G30</f>
        <v>6021177</v>
      </c>
      <c r="H34" s="22" t="n">
        <f aca="false">IFERROR(G34/G$5,0)</f>
        <v>0.0157340483292117</v>
      </c>
      <c r="I34" s="17" t="n">
        <f aca="false">I24+I25-I30</f>
        <v>1863864</v>
      </c>
      <c r="J34" s="22" t="n">
        <f aca="false">IFERROR(I34/I$5,0)</f>
        <v>0.00459121191713342</v>
      </c>
    </row>
    <row r="35" customFormat="false" ht="15" hidden="false" customHeight="false" outlineLevel="0" collapsed="false">
      <c r="B35" s="18" t="s">
        <v>134</v>
      </c>
      <c r="C35" s="12" t="n">
        <v>0</v>
      </c>
      <c r="D35" s="22" t="n">
        <f aca="false">IFERROR(C35/C$5,0)</f>
        <v>0</v>
      </c>
      <c r="E35" s="12" t="n">
        <v>0</v>
      </c>
      <c r="F35" s="22" t="n">
        <f aca="false">IFERROR(E35/E$5,0)</f>
        <v>0</v>
      </c>
      <c r="G35" s="12" t="n">
        <v>0</v>
      </c>
      <c r="H35" s="22" t="n">
        <f aca="false">IFERROR(G35/G$5,0)</f>
        <v>0</v>
      </c>
      <c r="I35" s="12" t="n">
        <v>0</v>
      </c>
      <c r="J35" s="22" t="n">
        <f aca="false">IFERROR(I35/I$5,0)</f>
        <v>0</v>
      </c>
    </row>
    <row r="36" customFormat="false" ht="15" hidden="false" customHeight="false" outlineLevel="0" collapsed="false">
      <c r="B36" s="18" t="s">
        <v>135</v>
      </c>
      <c r="C36" s="12" t="n">
        <v>0</v>
      </c>
      <c r="D36" s="22" t="n">
        <f aca="false">IFERROR(C36/C$5,0)</f>
        <v>0</v>
      </c>
      <c r="E36" s="12" t="n">
        <v>0</v>
      </c>
      <c r="F36" s="22" t="n">
        <f aca="false">IFERROR(E36/E$5,0)</f>
        <v>0</v>
      </c>
      <c r="G36" s="12" t="n">
        <v>0</v>
      </c>
      <c r="H36" s="22" t="n">
        <f aca="false">IFERROR(G36/G$5,0)</f>
        <v>0</v>
      </c>
      <c r="I36" s="12" t="n">
        <v>0</v>
      </c>
      <c r="J36" s="22" t="n">
        <f aca="false">IFERROR(I36/I$5,0)</f>
        <v>0</v>
      </c>
    </row>
    <row r="37" customFormat="false" ht="15" hidden="false" customHeight="false" outlineLevel="0" collapsed="false">
      <c r="B37" s="9" t="s">
        <v>136</v>
      </c>
      <c r="C37" s="10" t="n">
        <f aca="false">C34+C35-C36</f>
        <v>-13264723</v>
      </c>
      <c r="D37" s="22" t="n">
        <f aca="false">IFERROR(C37/C$5,0)</f>
        <v>-0.0465689125518282</v>
      </c>
      <c r="E37" s="10" t="n">
        <f aca="false">E34+E35-E36</f>
        <v>22792179</v>
      </c>
      <c r="F37" s="22" t="n">
        <f aca="false">IFERROR(E37/E$5,0)</f>
        <v>0.0605818582899449</v>
      </c>
      <c r="G37" s="10" t="n">
        <f aca="false">G34+G35-G36</f>
        <v>6021177</v>
      </c>
      <c r="H37" s="22" t="n">
        <f aca="false">IFERROR(G37/G$5,0)</f>
        <v>0.0157340483292117</v>
      </c>
      <c r="I37" s="10" t="n">
        <f aca="false">I34+I35-I36</f>
        <v>1863864</v>
      </c>
      <c r="J37" s="22" t="n">
        <f aca="false">IFERROR(I37/I$5,0)</f>
        <v>0.00459121191713342</v>
      </c>
    </row>
    <row r="38" customFormat="false" ht="15" hidden="false" customHeight="false" outlineLevel="0" collapsed="false">
      <c r="B38" s="18" t="s">
        <v>137</v>
      </c>
      <c r="C38" s="12" t="n">
        <v>360000</v>
      </c>
      <c r="D38" s="22" t="n">
        <f aca="false">IFERROR(C38/C$5,0)</f>
        <v>0.00126386419970158</v>
      </c>
      <c r="E38" s="12" t="n">
        <v>360000</v>
      </c>
      <c r="F38" s="22" t="n">
        <f aca="false">IFERROR(E38/E$5,0)</f>
        <v>0.000956883893566304</v>
      </c>
      <c r="G38" s="12" t="n">
        <v>360000</v>
      </c>
      <c r="H38" s="22" t="n">
        <f aca="false">IFERROR(G38/G$5,0)</f>
        <v>0.000940722619267995</v>
      </c>
      <c r="I38" s="12" t="n">
        <v>487200</v>
      </c>
      <c r="J38" s="22" t="n">
        <f aca="false">IFERROR(I38/I$5,0)</f>
        <v>0.00120010818709273</v>
      </c>
      <c r="K38" s="6" t="s">
        <v>138</v>
      </c>
    </row>
    <row r="39" customFormat="false" ht="15" hidden="false" customHeight="false" outlineLevel="0" collapsed="false">
      <c r="B39" s="16" t="s">
        <v>139</v>
      </c>
      <c r="C39" s="17" t="n">
        <f aca="false">C37-C38</f>
        <v>-13624723</v>
      </c>
      <c r="D39" s="22" t="n">
        <f aca="false">IFERROR(C39/C$5,0)</f>
        <v>-0.0478327767515298</v>
      </c>
      <c r="E39" s="17" t="n">
        <f aca="false">E37-E38</f>
        <v>22432179</v>
      </c>
      <c r="F39" s="22" t="n">
        <f aca="false">IFERROR(E39/E$5,0)</f>
        <v>0.0596249743963786</v>
      </c>
      <c r="G39" s="17" t="n">
        <f aca="false">G37-G38</f>
        <v>5661177</v>
      </c>
      <c r="H39" s="22" t="n">
        <f aca="false">IFERROR(G39/G$5,0)</f>
        <v>0.0147933257099437</v>
      </c>
      <c r="I39" s="17" t="n">
        <f aca="false">I37-I38</f>
        <v>1376664</v>
      </c>
      <c r="J39" s="22" t="n">
        <f aca="false">IFERROR(I39/I$5,0)</f>
        <v>0.00339110373004069</v>
      </c>
    </row>
    <row r="41" customFormat="false" ht="15" hidden="false" customHeight="false" outlineLevel="0" collapsed="false">
      <c r="B41" s="18" t="s">
        <v>140</v>
      </c>
      <c r="C41" s="12" t="n">
        <f aca="false">CR!C39+SGA!C44</f>
        <v>19763</v>
      </c>
      <c r="D41" s="22" t="n">
        <f aca="false">IFERROR(C41/C$5,0)</f>
        <v>6.93826338297288E-005</v>
      </c>
      <c r="E41" s="12" t="n">
        <f aca="false">CR!D39+SGA!D44</f>
        <v>11322083</v>
      </c>
      <c r="F41" s="22" t="n">
        <f aca="false">IFERROR(E41/E$5,0)</f>
        <v>0.030094219067558</v>
      </c>
      <c r="G41" s="12" t="n">
        <f aca="false">CR!E39+SGA!E44</f>
        <v>20417838</v>
      </c>
      <c r="H41" s="22" t="n">
        <f aca="false">IFERROR(G41/G$5,0)</f>
        <v>0.0533542278976378</v>
      </c>
      <c r="I41" s="12" t="n">
        <f aca="false">CR!F39+SGA!F44</f>
        <v>22335325</v>
      </c>
      <c r="J41" s="22" t="n">
        <f aca="false">IFERROR(I41/I$5,0)</f>
        <v>0.0550180755210938</v>
      </c>
    </row>
    <row r="42" customFormat="false" ht="15" hidden="false" customHeight="false" outlineLevel="0" collapsed="false">
      <c r="B42" s="9" t="s">
        <v>141</v>
      </c>
      <c r="C42" s="10" t="n">
        <f aca="false">C24+C41</f>
        <v>-8227758</v>
      </c>
      <c r="D42" s="22" t="n">
        <f aca="false">IFERROR(C42/C$5,0)</f>
        <v>-0.0288854688333563</v>
      </c>
      <c r="E42" s="10" t="n">
        <f aca="false">E24+E41</f>
        <v>36647102</v>
      </c>
      <c r="F42" s="22" t="n">
        <f aca="false">IFERROR(E42/E$5,0)</f>
        <v>0.0974083934713375</v>
      </c>
      <c r="G42" s="10" t="n">
        <f aca="false">G24+G41</f>
        <v>34076712</v>
      </c>
      <c r="H42" s="22" t="n">
        <f aca="false">IFERROR(G42/G$5,0)</f>
        <v>0.0890464826907809</v>
      </c>
      <c r="I42" s="10" t="n">
        <f aca="false">I24+I41</f>
        <v>30360718</v>
      </c>
      <c r="J42" s="22" t="n">
        <f aca="false">IFERROR(I42/I$5,0)</f>
        <v>0.0747868354634925</v>
      </c>
    </row>
    <row r="63" customFormat="false" ht="15" hidden="false" customHeight="false" outlineLevel="0" collapsed="false">
      <c r="B63" s="9" t="s">
        <v>142</v>
      </c>
      <c r="C63" s="19" t="b">
        <f aca="false">EXACT(C39,-13624723)</f>
        <v>1</v>
      </c>
      <c r="E63" s="19" t="b">
        <f aca="false">EXACT(E39,'BS (貸方)'!D21-'BS (貸方)'!C21)</f>
        <v>1</v>
      </c>
      <c r="G63" s="19" t="b">
        <f aca="false">EXACT(G39,'BS (貸方)'!E21-'BS (貸方)'!D21)</f>
        <v>1</v>
      </c>
      <c r="I63" s="19" t="b">
        <f aca="false">EXACT(I39,'BS (貸方)'!F21-'BS (貸方)'!E21)</f>
        <v>1</v>
      </c>
    </row>
    <row r="64" customFormat="false" ht="15" hidden="false" customHeight="false" outlineLevel="0" collapsed="false">
      <c r="B64" s="18" t="s">
        <v>143</v>
      </c>
      <c r="C64" s="20" t="b">
        <f aca="false">EXACT(C24,-8247521)</f>
        <v>1</v>
      </c>
      <c r="E64" s="20" t="b">
        <f aca="false">EXACT(E24,25325019)</f>
        <v>1</v>
      </c>
      <c r="G64" s="20" t="b">
        <f aca="false">EXACT(G24,13658874)</f>
        <v>1</v>
      </c>
      <c r="I64" s="20" t="b">
        <f aca="false">EXACT(I24,8025393)</f>
        <v>1</v>
      </c>
    </row>
  </sheetData>
  <mergeCells count="4">
    <mergeCell ref="C4:D4"/>
    <mergeCell ref="E4:F4"/>
    <mergeCell ref="G4:H4"/>
    <mergeCell ref="I4:J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G45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30"/>
    <col collapsed="false" customWidth="true" hidden="false" outlineLevel="0" max="6" min="3" style="0" width="15"/>
    <col collapsed="false" customWidth="true" hidden="false" outlineLevel="0" max="7" min="7" style="0" width="40"/>
  </cols>
  <sheetData>
    <row r="2" customFormat="false" ht="17.35" hidden="false" customHeight="false" outlineLevel="0" collapsed="false">
      <c r="B2" s="5" t="s">
        <v>144</v>
      </c>
    </row>
    <row r="4" customFormat="false" ht="15" hidden="false" customHeight="false" outlineLevel="0" collapsed="false">
      <c r="B4" s="7" t="s">
        <v>19</v>
      </c>
      <c r="C4" s="7" t="str">
        <f aca="false">'BS(借方)'!C4</f>
        <v>2023年3月期</v>
      </c>
      <c r="D4" s="7" t="str">
        <f aca="false">'BS(借方)'!D4</f>
        <v>2024年3月期</v>
      </c>
      <c r="E4" s="7" t="str">
        <f aca="false">'BS(借方)'!E4</f>
        <v>2025年3月期</v>
      </c>
      <c r="F4" s="7" t="str">
        <f aca="false">'BS(借方)'!F4</f>
        <v>2026年3月期</v>
      </c>
      <c r="G4" s="7" t="s">
        <v>25</v>
      </c>
    </row>
    <row r="5" customFormat="false" ht="15" hidden="false" customHeight="false" outlineLevel="0" collapsed="false">
      <c r="B5" s="9" t="s">
        <v>145</v>
      </c>
      <c r="C5" s="10" t="n">
        <f aca="false">C6+C7-C8</f>
        <v>66758150</v>
      </c>
      <c r="D5" s="10" t="n">
        <f aca="false">D6+D7-D8</f>
        <v>80790239</v>
      </c>
      <c r="E5" s="10" t="n">
        <f aca="false">E6+E7-E8</f>
        <v>72296148</v>
      </c>
      <c r="F5" s="10" t="n">
        <f aca="false">F6+F7-F8</f>
        <v>86166769</v>
      </c>
    </row>
    <row r="6" customFormat="false" ht="15" hidden="false" customHeight="false" outlineLevel="0" collapsed="false">
      <c r="B6" s="11" t="s">
        <v>146</v>
      </c>
      <c r="C6" s="12" t="n">
        <v>11620024</v>
      </c>
      <c r="D6" s="12" t="n">
        <v>11853408</v>
      </c>
      <c r="E6" s="12" t="n">
        <v>14319679</v>
      </c>
      <c r="F6" s="12" t="n">
        <v>22007284</v>
      </c>
    </row>
    <row r="7" customFormat="false" ht="15" hidden="false" customHeight="false" outlineLevel="0" collapsed="false">
      <c r="B7" s="11" t="s">
        <v>147</v>
      </c>
      <c r="C7" s="12" t="n">
        <v>66991534</v>
      </c>
      <c r="D7" s="12" t="n">
        <v>83256510</v>
      </c>
      <c r="E7" s="12" t="n">
        <v>79983753</v>
      </c>
      <c r="F7" s="12" t="n">
        <v>77112507</v>
      </c>
    </row>
    <row r="8" customFormat="false" ht="15" hidden="false" customHeight="false" outlineLevel="0" collapsed="false">
      <c r="B8" s="11" t="s">
        <v>148</v>
      </c>
      <c r="C8" s="12" t="n">
        <v>11853408</v>
      </c>
      <c r="D8" s="12" t="n">
        <v>14319679</v>
      </c>
      <c r="E8" s="12" t="n">
        <v>22007284</v>
      </c>
      <c r="F8" s="12" t="n">
        <v>12953022</v>
      </c>
    </row>
    <row r="9" customFormat="false" ht="15" hidden="false" customHeight="false" outlineLevel="0" collapsed="false">
      <c r="B9" s="9" t="s">
        <v>149</v>
      </c>
      <c r="C9" s="10" t="n">
        <f aca="false">SUM(C10:C15)</f>
        <v>86672116</v>
      </c>
      <c r="D9" s="10" t="n">
        <f aca="false">SUM(D10:D15)</f>
        <v>96715793</v>
      </c>
      <c r="E9" s="10" t="n">
        <f aca="false">SUM(E10:E15)</f>
        <v>84347119</v>
      </c>
      <c r="F9" s="10" t="n">
        <f aca="false">SUM(F10:F15)</f>
        <v>99952707</v>
      </c>
    </row>
    <row r="10" customFormat="false" ht="15" hidden="false" customHeight="false" outlineLevel="0" collapsed="false">
      <c r="B10" s="11" t="s">
        <v>150</v>
      </c>
      <c r="C10" s="12" t="n">
        <v>66415913</v>
      </c>
      <c r="D10" s="12" t="n">
        <v>75755387</v>
      </c>
      <c r="E10" s="12" t="n">
        <v>63545229</v>
      </c>
      <c r="F10" s="12" t="n">
        <v>69596465</v>
      </c>
    </row>
    <row r="11" customFormat="false" ht="15" hidden="false" customHeight="false" outlineLevel="0" collapsed="false">
      <c r="B11" s="11" t="s">
        <v>151</v>
      </c>
      <c r="C11" s="12" t="n">
        <v>5935000</v>
      </c>
      <c r="D11" s="12" t="n">
        <v>5940000</v>
      </c>
      <c r="E11" s="12" t="n">
        <v>4920000</v>
      </c>
      <c r="F11" s="12" t="n">
        <v>8563512</v>
      </c>
    </row>
    <row r="12" customFormat="false" ht="15" hidden="false" customHeight="false" outlineLevel="0" collapsed="false">
      <c r="B12" s="11" t="s">
        <v>152</v>
      </c>
      <c r="C12" s="12" t="n">
        <v>0</v>
      </c>
      <c r="D12" s="12" t="n">
        <v>0</v>
      </c>
      <c r="E12" s="12" t="n">
        <v>0</v>
      </c>
      <c r="F12" s="12" t="n">
        <v>6177985</v>
      </c>
      <c r="G12" s="13" t="s">
        <v>153</v>
      </c>
    </row>
    <row r="13" customFormat="false" ht="15" hidden="false" customHeight="false" outlineLevel="0" collapsed="false">
      <c r="B13" s="11" t="s">
        <v>154</v>
      </c>
      <c r="C13" s="12" t="n">
        <v>11278957</v>
      </c>
      <c r="D13" s="12" t="n">
        <v>12199418</v>
      </c>
      <c r="E13" s="12" t="n">
        <v>12503714</v>
      </c>
      <c r="F13" s="12" t="n">
        <v>12962279</v>
      </c>
    </row>
    <row r="14" customFormat="false" ht="15" hidden="false" customHeight="false" outlineLevel="0" collapsed="false">
      <c r="B14" s="11" t="s">
        <v>155</v>
      </c>
      <c r="C14" s="12" t="n">
        <v>1758045</v>
      </c>
      <c r="D14" s="12" t="n">
        <v>1788084</v>
      </c>
      <c r="E14" s="12" t="n">
        <v>2220489</v>
      </c>
      <c r="F14" s="12" t="n">
        <v>1376127</v>
      </c>
    </row>
    <row r="15" customFormat="false" ht="15" hidden="false" customHeight="false" outlineLevel="0" collapsed="false">
      <c r="B15" s="11" t="s">
        <v>156</v>
      </c>
      <c r="C15" s="12" t="n">
        <v>1284201</v>
      </c>
      <c r="D15" s="12" t="n">
        <v>1032904</v>
      </c>
      <c r="E15" s="12" t="n">
        <v>1157687</v>
      </c>
      <c r="F15" s="12" t="n">
        <v>1276339</v>
      </c>
    </row>
    <row r="16" customFormat="false" ht="15" hidden="false" customHeight="false" outlineLevel="0" collapsed="false">
      <c r="B16" s="9" t="s">
        <v>157</v>
      </c>
      <c r="C16" s="10" t="n">
        <f aca="false">SUM(C17:C39)</f>
        <v>66816119</v>
      </c>
      <c r="D16" s="10" t="n">
        <f aca="false">SUM(D17:D39)</f>
        <v>65159918</v>
      </c>
      <c r="E16" s="10" t="n">
        <f aca="false">SUM(E17:E39)</f>
        <v>82593608</v>
      </c>
      <c r="F16" s="10" t="n">
        <f aca="false">SUM(F17:F39)</f>
        <v>84544559</v>
      </c>
    </row>
    <row r="17" customFormat="false" ht="15" hidden="false" customHeight="false" outlineLevel="0" collapsed="false">
      <c r="B17" s="11" t="s">
        <v>158</v>
      </c>
      <c r="C17" s="12" t="n">
        <v>2473700</v>
      </c>
      <c r="D17" s="12" t="n">
        <v>1779600</v>
      </c>
      <c r="E17" s="12" t="n">
        <v>1717600</v>
      </c>
      <c r="F17" s="12" t="n">
        <v>1768400</v>
      </c>
    </row>
    <row r="18" customFormat="false" ht="15" hidden="false" customHeight="false" outlineLevel="0" collapsed="false">
      <c r="B18" s="11" t="s">
        <v>159</v>
      </c>
      <c r="C18" s="12" t="n">
        <v>908176</v>
      </c>
      <c r="D18" s="12" t="n">
        <v>912237</v>
      </c>
      <c r="E18" s="12" t="n">
        <v>940667</v>
      </c>
      <c r="F18" s="12" t="n">
        <v>1191590</v>
      </c>
    </row>
    <row r="19" customFormat="false" ht="15" hidden="false" customHeight="false" outlineLevel="0" collapsed="false">
      <c r="B19" s="11" t="s">
        <v>160</v>
      </c>
      <c r="C19" s="12" t="n">
        <v>30000</v>
      </c>
      <c r="D19" s="12" t="n">
        <v>302800</v>
      </c>
      <c r="E19" s="12" t="n">
        <v>2764152</v>
      </c>
      <c r="F19" s="12" t="n">
        <v>2568782</v>
      </c>
    </row>
    <row r="20" customFormat="false" ht="15" hidden="false" customHeight="false" outlineLevel="0" collapsed="false">
      <c r="B20" s="11" t="s">
        <v>161</v>
      </c>
      <c r="C20" s="12" t="n">
        <v>0</v>
      </c>
      <c r="D20" s="12" t="n">
        <v>0</v>
      </c>
      <c r="E20" s="12" t="n">
        <v>0</v>
      </c>
      <c r="F20" s="12" t="n">
        <v>0</v>
      </c>
    </row>
    <row r="21" customFormat="false" ht="15" hidden="false" customHeight="false" outlineLevel="0" collapsed="false">
      <c r="B21" s="11" t="s">
        <v>162</v>
      </c>
      <c r="C21" s="12" t="n">
        <v>5244500</v>
      </c>
      <c r="D21" s="12" t="n">
        <v>5010000</v>
      </c>
      <c r="E21" s="12" t="n">
        <v>5010000</v>
      </c>
      <c r="F21" s="12" t="n">
        <v>5046600</v>
      </c>
    </row>
    <row r="22" customFormat="false" ht="15" hidden="false" customHeight="false" outlineLevel="0" collapsed="false">
      <c r="B22" s="11" t="s">
        <v>163</v>
      </c>
      <c r="C22" s="12" t="n">
        <v>3238944</v>
      </c>
      <c r="D22" s="12" t="n">
        <v>4172889</v>
      </c>
      <c r="E22" s="12" t="n">
        <v>6553786</v>
      </c>
      <c r="F22" s="12" t="n">
        <v>7541725</v>
      </c>
    </row>
    <row r="23" customFormat="false" ht="15" hidden="false" customHeight="false" outlineLevel="0" collapsed="false">
      <c r="B23" s="11" t="s">
        <v>164</v>
      </c>
      <c r="C23" s="12" t="n">
        <v>4000</v>
      </c>
      <c r="D23" s="12" t="n">
        <v>1372</v>
      </c>
      <c r="E23" s="12" t="n">
        <v>1233</v>
      </c>
      <c r="F23" s="12" t="n">
        <v>1530</v>
      </c>
    </row>
    <row r="24" customFormat="false" ht="15" hidden="false" customHeight="false" outlineLevel="0" collapsed="false">
      <c r="B24" s="11" t="s">
        <v>165</v>
      </c>
      <c r="C24" s="12" t="n">
        <v>42893945</v>
      </c>
      <c r="D24" s="12" t="n">
        <v>32385919</v>
      </c>
      <c r="E24" s="12" t="n">
        <v>33957442</v>
      </c>
      <c r="F24" s="12" t="n">
        <v>33684675</v>
      </c>
      <c r="G24" s="6" t="s">
        <v>166</v>
      </c>
    </row>
    <row r="25" customFormat="false" ht="15" hidden="false" customHeight="false" outlineLevel="0" collapsed="false">
      <c r="B25" s="11" t="s">
        <v>167</v>
      </c>
      <c r="C25" s="12" t="n">
        <v>2657460</v>
      </c>
      <c r="D25" s="12" t="n">
        <v>3426660</v>
      </c>
      <c r="E25" s="12" t="n">
        <v>3972450</v>
      </c>
      <c r="F25" s="12" t="n">
        <v>3512750</v>
      </c>
    </row>
    <row r="26" customFormat="false" ht="15" hidden="false" customHeight="false" outlineLevel="0" collapsed="false">
      <c r="B26" s="11" t="s">
        <v>168</v>
      </c>
      <c r="C26" s="12" t="n">
        <v>1563032</v>
      </c>
      <c r="D26" s="12" t="n">
        <v>597514</v>
      </c>
      <c r="E26" s="12" t="n">
        <v>745684</v>
      </c>
      <c r="F26" s="12" t="n">
        <v>1236794</v>
      </c>
    </row>
    <row r="27" customFormat="false" ht="15" hidden="false" customHeight="false" outlineLevel="0" collapsed="false">
      <c r="B27" s="11" t="s">
        <v>169</v>
      </c>
      <c r="C27" s="12" t="n">
        <v>1348895</v>
      </c>
      <c r="D27" s="12" t="n">
        <v>1311634</v>
      </c>
      <c r="E27" s="12" t="n">
        <v>1299930</v>
      </c>
      <c r="F27" s="12" t="n">
        <v>1077282</v>
      </c>
    </row>
    <row r="28" customFormat="false" ht="15" hidden="false" customHeight="false" outlineLevel="0" collapsed="false">
      <c r="B28" s="11" t="s">
        <v>170</v>
      </c>
      <c r="C28" s="12" t="n">
        <v>0</v>
      </c>
      <c r="D28" s="12" t="n">
        <v>0</v>
      </c>
      <c r="E28" s="12" t="n">
        <v>0</v>
      </c>
      <c r="F28" s="12" t="n">
        <v>0</v>
      </c>
    </row>
    <row r="29" customFormat="false" ht="15" hidden="false" customHeight="false" outlineLevel="0" collapsed="false">
      <c r="B29" s="11" t="s">
        <v>171</v>
      </c>
      <c r="C29" s="12" t="n">
        <v>937900</v>
      </c>
      <c r="D29" s="12" t="n">
        <v>2064340</v>
      </c>
      <c r="E29" s="12" t="n">
        <v>1566120</v>
      </c>
      <c r="F29" s="12" t="n">
        <v>1053620</v>
      </c>
    </row>
    <row r="30" customFormat="false" ht="15" hidden="false" customHeight="false" outlineLevel="0" collapsed="false">
      <c r="B30" s="11" t="s">
        <v>172</v>
      </c>
      <c r="C30" s="12" t="n">
        <v>73890</v>
      </c>
      <c r="D30" s="12" t="n">
        <v>74730</v>
      </c>
      <c r="E30" s="12" t="n">
        <v>77670</v>
      </c>
      <c r="F30" s="12" t="n">
        <v>81960</v>
      </c>
    </row>
    <row r="31" customFormat="false" ht="15" hidden="false" customHeight="false" outlineLevel="0" collapsed="false">
      <c r="B31" s="11" t="s">
        <v>173</v>
      </c>
      <c r="C31" s="12" t="n">
        <v>0</v>
      </c>
      <c r="D31" s="12" t="n">
        <v>0</v>
      </c>
      <c r="E31" s="12" t="n">
        <v>0</v>
      </c>
      <c r="F31" s="12" t="n">
        <v>0</v>
      </c>
    </row>
    <row r="32" customFormat="false" ht="15" hidden="false" customHeight="false" outlineLevel="0" collapsed="false">
      <c r="B32" s="11" t="s">
        <v>174</v>
      </c>
      <c r="C32" s="12" t="n">
        <v>7800</v>
      </c>
      <c r="D32" s="12" t="n">
        <v>6650</v>
      </c>
      <c r="E32" s="12" t="n">
        <v>6200</v>
      </c>
      <c r="F32" s="12" t="n">
        <v>11950</v>
      </c>
    </row>
    <row r="33" customFormat="false" ht="15" hidden="false" customHeight="false" outlineLevel="0" collapsed="false">
      <c r="B33" s="11" t="s">
        <v>175</v>
      </c>
      <c r="C33" s="12" t="n">
        <v>50004</v>
      </c>
      <c r="D33" s="12" t="n">
        <v>38159</v>
      </c>
      <c r="E33" s="12" t="n">
        <v>21489</v>
      </c>
      <c r="F33" s="12" t="n">
        <v>21488</v>
      </c>
    </row>
    <row r="34" customFormat="false" ht="15" hidden="false" customHeight="false" outlineLevel="0" collapsed="false">
      <c r="B34" s="11" t="s">
        <v>176</v>
      </c>
      <c r="C34" s="12" t="n">
        <v>0</v>
      </c>
      <c r="D34" s="12" t="n">
        <v>0</v>
      </c>
      <c r="E34" s="12" t="n">
        <v>0</v>
      </c>
      <c r="F34" s="12" t="n">
        <v>0</v>
      </c>
    </row>
    <row r="35" customFormat="false" ht="15" hidden="false" customHeight="false" outlineLevel="0" collapsed="false">
      <c r="B35" s="11" t="s">
        <v>177</v>
      </c>
      <c r="C35" s="12" t="n">
        <v>4111</v>
      </c>
      <c r="D35" s="12" t="n">
        <v>2140</v>
      </c>
      <c r="E35" s="12" t="n">
        <v>889</v>
      </c>
      <c r="F35" s="12" t="n">
        <v>167000</v>
      </c>
    </row>
    <row r="36" customFormat="false" ht="15" hidden="false" customHeight="false" outlineLevel="0" collapsed="false">
      <c r="B36" s="11" t="s">
        <v>178</v>
      </c>
      <c r="C36" s="12" t="n">
        <v>426573</v>
      </c>
      <c r="D36" s="12" t="n">
        <v>411300</v>
      </c>
      <c r="E36" s="12" t="n">
        <v>411600</v>
      </c>
      <c r="F36" s="12" t="n">
        <v>475100</v>
      </c>
    </row>
    <row r="37" customFormat="false" ht="15" hidden="false" customHeight="false" outlineLevel="0" collapsed="false">
      <c r="B37" s="11" t="s">
        <v>179</v>
      </c>
      <c r="C37" s="12" t="n">
        <v>1674526</v>
      </c>
      <c r="D37" s="12" t="n">
        <v>1083774</v>
      </c>
      <c r="E37" s="12" t="n">
        <v>2440537</v>
      </c>
      <c r="F37" s="12" t="n">
        <v>2054944</v>
      </c>
    </row>
    <row r="38" customFormat="false" ht="15" hidden="false" customHeight="false" outlineLevel="0" collapsed="false">
      <c r="B38" s="11" t="s">
        <v>180</v>
      </c>
      <c r="C38" s="12" t="n">
        <v>3258900</v>
      </c>
      <c r="D38" s="12" t="n">
        <v>3254700</v>
      </c>
      <c r="E38" s="12" t="n">
        <v>3212900</v>
      </c>
      <c r="F38" s="12" t="n">
        <v>3228200</v>
      </c>
    </row>
    <row r="39" customFormat="false" ht="15" hidden="false" customHeight="false" outlineLevel="0" collapsed="false">
      <c r="B39" s="11" t="s">
        <v>181</v>
      </c>
      <c r="C39" s="12" t="n">
        <v>19763</v>
      </c>
      <c r="D39" s="12" t="n">
        <v>8323500</v>
      </c>
      <c r="E39" s="12" t="n">
        <v>17893259</v>
      </c>
      <c r="F39" s="12" t="n">
        <v>19820169</v>
      </c>
      <c r="G39" s="13" t="s">
        <v>182</v>
      </c>
    </row>
    <row r="40" customFormat="false" ht="15" hidden="false" customHeight="false" outlineLevel="0" collapsed="false">
      <c r="B40" s="9" t="s">
        <v>183</v>
      </c>
      <c r="C40" s="10" t="n">
        <f aca="false">SUM(C41:C41)</f>
        <v>2915685</v>
      </c>
      <c r="D40" s="10" t="n">
        <f aca="false">SUM(D41:D41)</f>
        <v>5680739</v>
      </c>
      <c r="E40" s="10" t="n">
        <f aca="false">SUM(E41:E41)</f>
        <v>13626626</v>
      </c>
      <c r="F40" s="10" t="n">
        <f aca="false">SUM(F41:F41)</f>
        <v>11434787</v>
      </c>
    </row>
    <row r="41" customFormat="false" ht="15" hidden="false" customHeight="false" outlineLevel="0" collapsed="false">
      <c r="B41" s="11" t="s">
        <v>184</v>
      </c>
      <c r="C41" s="12" t="n">
        <v>2915685</v>
      </c>
      <c r="D41" s="12" t="n">
        <v>5680739</v>
      </c>
      <c r="E41" s="12" t="n">
        <v>13626626</v>
      </c>
      <c r="F41" s="12" t="n">
        <v>11434787</v>
      </c>
    </row>
    <row r="42" customFormat="false" ht="15" hidden="false" customHeight="false" outlineLevel="0" collapsed="false">
      <c r="B42" s="9" t="s">
        <v>185</v>
      </c>
      <c r="C42" s="10" t="n">
        <f aca="false">C43-C44</f>
        <v>-23408</v>
      </c>
      <c r="D42" s="10" t="n">
        <f aca="false">D43-D44</f>
        <v>-30184</v>
      </c>
      <c r="E42" s="10" t="n">
        <f aca="false">E43-E44</f>
        <v>-28952</v>
      </c>
      <c r="F42" s="10" t="n">
        <f aca="false">F43-F44</f>
        <v>-119196</v>
      </c>
    </row>
    <row r="43" customFormat="false" ht="15" hidden="false" customHeight="false" outlineLevel="0" collapsed="false">
      <c r="B43" s="11" t="s">
        <v>186</v>
      </c>
      <c r="C43" s="12" t="n">
        <v>675444</v>
      </c>
      <c r="D43" s="12" t="n">
        <v>698852</v>
      </c>
      <c r="E43" s="12" t="n">
        <v>729036</v>
      </c>
      <c r="F43" s="12" t="n">
        <v>757988</v>
      </c>
    </row>
    <row r="44" customFormat="false" ht="15" hidden="false" customHeight="false" outlineLevel="0" collapsed="false">
      <c r="B44" s="11" t="s">
        <v>187</v>
      </c>
      <c r="C44" s="12" t="n">
        <v>698852</v>
      </c>
      <c r="D44" s="12" t="n">
        <v>729036</v>
      </c>
      <c r="E44" s="12" t="n">
        <v>757988</v>
      </c>
      <c r="F44" s="12" t="n">
        <v>877184</v>
      </c>
    </row>
    <row r="45" customFormat="false" ht="15" hidden="false" customHeight="false" outlineLevel="0" collapsed="false">
      <c r="B45" s="16" t="s">
        <v>110</v>
      </c>
      <c r="C45" s="17" t="n">
        <f aca="false">C5+C9+C16+C40+C42</f>
        <v>223138662</v>
      </c>
      <c r="D45" s="17" t="n">
        <f aca="false">D5+D9+D16+D40+D42</f>
        <v>248316505</v>
      </c>
      <c r="E45" s="17" t="n">
        <f aca="false">E5+E9+E16+E40+E42</f>
        <v>252834549</v>
      </c>
      <c r="F45" s="17" t="n">
        <f aca="false">F5+F9+F16+F40+F42</f>
        <v>281979626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G45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30"/>
    <col collapsed="false" customWidth="true" hidden="false" outlineLevel="0" max="6" min="3" style="0" width="15"/>
    <col collapsed="false" customWidth="true" hidden="false" outlineLevel="0" max="7" min="7" style="0" width="40"/>
  </cols>
  <sheetData>
    <row r="2" customFormat="false" ht="17.35" hidden="false" customHeight="false" outlineLevel="0" collapsed="false">
      <c r="B2" s="5" t="s">
        <v>188</v>
      </c>
    </row>
    <row r="4" customFormat="false" ht="15" hidden="false" customHeight="false" outlineLevel="0" collapsed="false">
      <c r="B4" s="7" t="s">
        <v>19</v>
      </c>
      <c r="C4" s="7" t="str">
        <f aca="false">'BS(借方)'!C4</f>
        <v>2023年3月期</v>
      </c>
      <c r="D4" s="7" t="str">
        <f aca="false">'BS(借方)'!D4</f>
        <v>2024年3月期</v>
      </c>
      <c r="E4" s="7" t="str">
        <f aca="false">'BS(借方)'!E4</f>
        <v>2025年3月期</v>
      </c>
      <c r="F4" s="7" t="str">
        <f aca="false">'BS(借方)'!F4</f>
        <v>2026年3月期</v>
      </c>
      <c r="G4" s="7" t="s">
        <v>25</v>
      </c>
    </row>
    <row r="5" customFormat="false" ht="15" hidden="false" customHeight="false" outlineLevel="0" collapsed="false">
      <c r="B5" s="9" t="s">
        <v>189</v>
      </c>
      <c r="C5" s="10" t="n">
        <f aca="false">SUM(C6:C13)</f>
        <v>21464143</v>
      </c>
      <c r="D5" s="10" t="n">
        <f aca="false">SUM(D6:D13)</f>
        <v>21065469</v>
      </c>
      <c r="E5" s="10" t="n">
        <f aca="false">SUM(E6:E13)</f>
        <v>23458472</v>
      </c>
      <c r="F5" s="10" t="n">
        <f aca="false">SUM(F6:F13)</f>
        <v>23527651</v>
      </c>
    </row>
    <row r="6" customFormat="false" ht="15" hidden="false" customHeight="false" outlineLevel="0" collapsed="false">
      <c r="B6" s="11" t="s">
        <v>190</v>
      </c>
      <c r="C6" s="12" t="n">
        <v>7200000</v>
      </c>
      <c r="D6" s="12" t="n">
        <v>7200000</v>
      </c>
      <c r="E6" s="12" t="n">
        <v>7200000</v>
      </c>
      <c r="F6" s="12" t="n">
        <v>7200000</v>
      </c>
      <c r="G6" s="6" t="s">
        <v>191</v>
      </c>
    </row>
    <row r="7" customFormat="false" ht="15" hidden="false" customHeight="false" outlineLevel="0" collapsed="false">
      <c r="B7" s="11" t="s">
        <v>150</v>
      </c>
      <c r="C7" s="12" t="n">
        <v>10599473</v>
      </c>
      <c r="D7" s="12" t="n">
        <v>10109435</v>
      </c>
      <c r="E7" s="12" t="n">
        <v>11966797</v>
      </c>
      <c r="F7" s="12" t="n">
        <v>11506863</v>
      </c>
    </row>
    <row r="8" customFormat="false" ht="15" hidden="false" customHeight="false" outlineLevel="0" collapsed="false">
      <c r="B8" s="11" t="s">
        <v>151</v>
      </c>
      <c r="C8" s="12" t="n">
        <v>723000</v>
      </c>
      <c r="D8" s="12" t="n">
        <v>730000</v>
      </c>
      <c r="E8" s="12" t="n">
        <v>972000</v>
      </c>
      <c r="F8" s="12" t="n">
        <v>1413000</v>
      </c>
    </row>
    <row r="9" customFormat="false" ht="15" hidden="false" customHeight="false" outlineLevel="0" collapsed="false">
      <c r="B9" s="11" t="s">
        <v>152</v>
      </c>
      <c r="C9" s="12" t="n">
        <v>0</v>
      </c>
      <c r="D9" s="12" t="n">
        <v>307000</v>
      </c>
      <c r="E9" s="12" t="n">
        <v>0</v>
      </c>
      <c r="F9" s="12" t="n">
        <v>0</v>
      </c>
    </row>
    <row r="10" customFormat="false" ht="15" hidden="false" customHeight="false" outlineLevel="0" collapsed="false">
      <c r="B10" s="11" t="s">
        <v>154</v>
      </c>
      <c r="C10" s="12" t="n">
        <v>2715216</v>
      </c>
      <c r="D10" s="12" t="n">
        <v>2540936</v>
      </c>
      <c r="E10" s="12" t="n">
        <v>3066033</v>
      </c>
      <c r="F10" s="12" t="n">
        <v>3153781</v>
      </c>
    </row>
    <row r="11" customFormat="false" ht="15" hidden="false" customHeight="false" outlineLevel="0" collapsed="false">
      <c r="B11" s="11" t="s">
        <v>192</v>
      </c>
      <c r="C11" s="12" t="n">
        <v>120000</v>
      </c>
      <c r="D11" s="12" t="n">
        <v>120000</v>
      </c>
      <c r="E11" s="12" t="n">
        <v>120000</v>
      </c>
      <c r="F11" s="12" t="n">
        <v>120000</v>
      </c>
    </row>
    <row r="12" customFormat="false" ht="15" hidden="false" customHeight="false" outlineLevel="0" collapsed="false">
      <c r="B12" s="11" t="s">
        <v>193</v>
      </c>
      <c r="C12" s="12" t="n">
        <v>4720</v>
      </c>
      <c r="D12" s="12" t="n">
        <v>0</v>
      </c>
      <c r="E12" s="12" t="n">
        <v>0</v>
      </c>
      <c r="F12" s="12" t="n">
        <v>4802</v>
      </c>
    </row>
    <row r="13" customFormat="false" ht="15" hidden="false" customHeight="false" outlineLevel="0" collapsed="false">
      <c r="B13" s="11" t="s">
        <v>156</v>
      </c>
      <c r="C13" s="12" t="n">
        <v>101734</v>
      </c>
      <c r="D13" s="12" t="n">
        <v>58098</v>
      </c>
      <c r="E13" s="12" t="n">
        <v>133642</v>
      </c>
      <c r="F13" s="12" t="n">
        <v>129205</v>
      </c>
    </row>
    <row r="14" customFormat="false" ht="15" hidden="false" customHeight="false" outlineLevel="0" collapsed="false">
      <c r="B14" s="9" t="s">
        <v>194</v>
      </c>
      <c r="C14" s="10" t="n">
        <f aca="false">SUM(C15:C24)</f>
        <v>5426413</v>
      </c>
      <c r="D14" s="10" t="n">
        <f aca="false">SUM(D15:D24)</f>
        <v>5193598</v>
      </c>
      <c r="E14" s="10" t="n">
        <f aca="false">SUM(E15:E24)</f>
        <v>5119422</v>
      </c>
      <c r="F14" s="10" t="n">
        <f aca="false">SUM(F15:F24)</f>
        <v>6634973</v>
      </c>
    </row>
    <row r="15" customFormat="false" ht="15" hidden="false" customHeight="false" outlineLevel="0" collapsed="false">
      <c r="B15" s="11" t="s">
        <v>158</v>
      </c>
      <c r="C15" s="12" t="n">
        <v>104072</v>
      </c>
      <c r="D15" s="12" t="n">
        <v>225000</v>
      </c>
      <c r="E15" s="12" t="n">
        <v>30000</v>
      </c>
      <c r="F15" s="12" t="n">
        <v>45000</v>
      </c>
    </row>
    <row r="16" customFormat="false" ht="15" hidden="false" customHeight="false" outlineLevel="0" collapsed="false">
      <c r="B16" s="11" t="s">
        <v>159</v>
      </c>
      <c r="C16" s="12" t="n">
        <v>0</v>
      </c>
      <c r="D16" s="12" t="n">
        <v>0</v>
      </c>
      <c r="E16" s="12" t="n">
        <v>0</v>
      </c>
      <c r="F16" s="12" t="n">
        <v>0</v>
      </c>
    </row>
    <row r="17" customFormat="false" ht="15" hidden="false" customHeight="false" outlineLevel="0" collapsed="false">
      <c r="B17" s="11" t="s">
        <v>160</v>
      </c>
      <c r="C17" s="12" t="n">
        <v>165982</v>
      </c>
      <c r="D17" s="12" t="n">
        <v>522466</v>
      </c>
      <c r="E17" s="12" t="n">
        <v>14000</v>
      </c>
      <c r="F17" s="12" t="n">
        <v>260939</v>
      </c>
    </row>
    <row r="18" customFormat="false" ht="15" hidden="false" customHeight="false" outlineLevel="0" collapsed="false">
      <c r="B18" s="11" t="s">
        <v>161</v>
      </c>
      <c r="C18" s="12" t="n">
        <v>1745460</v>
      </c>
      <c r="D18" s="12" t="n">
        <v>1745460</v>
      </c>
      <c r="E18" s="12" t="n">
        <v>1745460</v>
      </c>
      <c r="F18" s="12" t="n">
        <v>1745460</v>
      </c>
      <c r="G18" s="6" t="s">
        <v>195</v>
      </c>
    </row>
    <row r="19" customFormat="false" ht="15" hidden="false" customHeight="false" outlineLevel="0" collapsed="false">
      <c r="B19" s="11" t="s">
        <v>162</v>
      </c>
      <c r="C19" s="12" t="n">
        <v>1036800</v>
      </c>
      <c r="D19" s="12" t="n">
        <v>352960</v>
      </c>
      <c r="E19" s="12" t="n">
        <v>935400</v>
      </c>
      <c r="F19" s="12" t="n">
        <v>1755600</v>
      </c>
    </row>
    <row r="20" customFormat="false" ht="15" hidden="false" customHeight="false" outlineLevel="0" collapsed="false">
      <c r="B20" s="11" t="s">
        <v>163</v>
      </c>
      <c r="C20" s="12" t="n">
        <v>47000</v>
      </c>
      <c r="D20" s="12" t="n">
        <v>679400</v>
      </c>
      <c r="E20" s="12" t="n">
        <v>183340</v>
      </c>
      <c r="F20" s="12" t="n">
        <v>1052000</v>
      </c>
    </row>
    <row r="21" customFormat="false" ht="15" hidden="false" customHeight="false" outlineLevel="0" collapsed="false">
      <c r="B21" s="11" t="s">
        <v>196</v>
      </c>
      <c r="C21" s="12" t="n">
        <v>14765</v>
      </c>
      <c r="D21" s="12" t="n">
        <v>16818</v>
      </c>
      <c r="E21" s="12" t="n">
        <v>16576</v>
      </c>
      <c r="F21" s="12" t="n">
        <v>27318</v>
      </c>
    </row>
    <row r="22" customFormat="false" ht="15" hidden="false" customHeight="false" outlineLevel="0" collapsed="false">
      <c r="B22" s="11" t="s">
        <v>164</v>
      </c>
      <c r="C22" s="12" t="n">
        <v>0</v>
      </c>
      <c r="D22" s="12" t="n">
        <v>0</v>
      </c>
      <c r="E22" s="12" t="n">
        <v>0</v>
      </c>
      <c r="F22" s="12" t="n">
        <v>0</v>
      </c>
    </row>
    <row r="23" customFormat="false" ht="15" hidden="false" customHeight="false" outlineLevel="0" collapsed="false">
      <c r="B23" s="11" t="s">
        <v>165</v>
      </c>
      <c r="C23" s="12" t="n">
        <v>2122258</v>
      </c>
      <c r="D23" s="12" t="n">
        <v>1597398</v>
      </c>
      <c r="E23" s="12" t="n">
        <v>1746387</v>
      </c>
      <c r="F23" s="12" t="n">
        <v>1702675</v>
      </c>
    </row>
    <row r="24" customFormat="false" ht="15" hidden="false" customHeight="false" outlineLevel="0" collapsed="false">
      <c r="B24" s="11" t="s">
        <v>168</v>
      </c>
      <c r="C24" s="12" t="n">
        <v>190076</v>
      </c>
      <c r="D24" s="12" t="n">
        <v>54096</v>
      </c>
      <c r="E24" s="12" t="n">
        <v>448259</v>
      </c>
      <c r="F24" s="12" t="n">
        <v>45981</v>
      </c>
    </row>
    <row r="25" customFormat="false" ht="15" hidden="false" customHeight="false" outlineLevel="0" collapsed="false">
      <c r="B25" s="9" t="s">
        <v>197</v>
      </c>
      <c r="C25" s="10" t="n">
        <f aca="false">SUM(C26:C29)</f>
        <v>20950477</v>
      </c>
      <c r="D25" s="10" t="n">
        <f aca="false">SUM(D26:D29)</f>
        <v>33504224</v>
      </c>
      <c r="E25" s="10" t="n">
        <f aca="false">SUM(E26:E29)</f>
        <v>29684699</v>
      </c>
      <c r="F25" s="10" t="n">
        <f aca="false">SUM(F26:F29)</f>
        <v>37540944</v>
      </c>
    </row>
    <row r="26" customFormat="false" ht="15" hidden="false" customHeight="false" outlineLevel="0" collapsed="false">
      <c r="B26" s="11" t="s">
        <v>171</v>
      </c>
      <c r="C26" s="12" t="n">
        <v>6731950</v>
      </c>
      <c r="D26" s="12" t="n">
        <v>9546435</v>
      </c>
      <c r="E26" s="12" t="n">
        <v>6157562</v>
      </c>
      <c r="F26" s="12" t="n">
        <v>8554275</v>
      </c>
    </row>
    <row r="27" customFormat="false" ht="15" hidden="false" customHeight="false" outlineLevel="0" collapsed="false">
      <c r="B27" s="11" t="s">
        <v>172</v>
      </c>
      <c r="C27" s="12" t="n">
        <v>865490</v>
      </c>
      <c r="D27" s="12" t="n">
        <v>864014</v>
      </c>
      <c r="E27" s="12" t="n">
        <v>676560</v>
      </c>
      <c r="F27" s="12" t="n">
        <v>626800</v>
      </c>
    </row>
    <row r="28" customFormat="false" ht="15" hidden="false" customHeight="false" outlineLevel="0" collapsed="false">
      <c r="B28" s="11" t="s">
        <v>198</v>
      </c>
      <c r="C28" s="12" t="n">
        <v>350000</v>
      </c>
      <c r="D28" s="12" t="n">
        <v>1050000</v>
      </c>
      <c r="E28" s="12" t="n">
        <v>1281000</v>
      </c>
      <c r="F28" s="12" t="n">
        <v>790000</v>
      </c>
    </row>
    <row r="29" customFormat="false" ht="15" hidden="false" customHeight="false" outlineLevel="0" collapsed="false">
      <c r="B29" s="11" t="s">
        <v>199</v>
      </c>
      <c r="C29" s="12" t="n">
        <v>13003037</v>
      </c>
      <c r="D29" s="12" t="n">
        <v>22043775</v>
      </c>
      <c r="E29" s="12" t="n">
        <v>21569577</v>
      </c>
      <c r="F29" s="12" t="n">
        <v>27569869</v>
      </c>
      <c r="G29" s="6" t="s">
        <v>200</v>
      </c>
    </row>
    <row r="30" customFormat="false" ht="15" hidden="false" customHeight="false" outlineLevel="0" collapsed="false">
      <c r="B30" s="9" t="s">
        <v>201</v>
      </c>
      <c r="C30" s="10" t="n">
        <f aca="false">SUM(C31:C33)</f>
        <v>799841</v>
      </c>
      <c r="D30" s="10" t="n">
        <f aca="false">SUM(D31:D33)</f>
        <v>950969</v>
      </c>
      <c r="E30" s="10" t="n">
        <f aca="false">SUM(E31:E33)</f>
        <v>964692</v>
      </c>
      <c r="F30" s="10" t="n">
        <f aca="false">SUM(F31:F33)</f>
        <v>830503</v>
      </c>
    </row>
    <row r="31" customFormat="false" ht="15" hidden="false" customHeight="false" outlineLevel="0" collapsed="false">
      <c r="B31" s="11" t="s">
        <v>202</v>
      </c>
      <c r="C31" s="12" t="n">
        <v>76950</v>
      </c>
      <c r="D31" s="12" t="n">
        <v>94000</v>
      </c>
      <c r="E31" s="12" t="n">
        <v>47000</v>
      </c>
      <c r="F31" s="12" t="n">
        <v>46000</v>
      </c>
    </row>
    <row r="32" customFormat="false" ht="15" hidden="false" customHeight="false" outlineLevel="0" collapsed="false">
      <c r="B32" s="11" t="s">
        <v>203</v>
      </c>
      <c r="C32" s="12" t="n">
        <v>80600</v>
      </c>
      <c r="D32" s="12" t="n">
        <v>91891</v>
      </c>
      <c r="E32" s="12" t="n">
        <v>33634</v>
      </c>
      <c r="F32" s="12" t="n">
        <v>65103</v>
      </c>
    </row>
    <row r="33" customFormat="false" ht="15" hidden="false" customHeight="false" outlineLevel="0" collapsed="false">
      <c r="B33" s="11" t="s">
        <v>204</v>
      </c>
      <c r="C33" s="12" t="n">
        <v>642291</v>
      </c>
      <c r="D33" s="12" t="n">
        <v>765078</v>
      </c>
      <c r="E33" s="12" t="n">
        <v>884058</v>
      </c>
      <c r="F33" s="12" t="n">
        <v>719400</v>
      </c>
    </row>
    <row r="34" customFormat="false" ht="15" hidden="false" customHeight="false" outlineLevel="0" collapsed="false">
      <c r="B34" s="9" t="s">
        <v>205</v>
      </c>
      <c r="C34" s="10" t="n">
        <f aca="false">SUM(C35:C41)</f>
        <v>4117984</v>
      </c>
      <c r="D34" s="10" t="n">
        <f aca="false">SUM(D35:D41)</f>
        <v>5359472</v>
      </c>
      <c r="E34" s="10" t="n">
        <f aca="false">SUM(E35:E41)</f>
        <v>4946870</v>
      </c>
      <c r="F34" s="10" t="n">
        <f aca="false">SUM(F35:F41)</f>
        <v>6820643</v>
      </c>
    </row>
    <row r="35" customFormat="false" ht="15" hidden="false" customHeight="false" outlineLevel="0" collapsed="false">
      <c r="B35" s="11" t="s">
        <v>173</v>
      </c>
      <c r="C35" s="12" t="n">
        <v>2036272</v>
      </c>
      <c r="D35" s="12" t="n">
        <v>2269239</v>
      </c>
      <c r="E35" s="12" t="n">
        <v>2256449</v>
      </c>
      <c r="F35" s="12" t="n">
        <v>4667404</v>
      </c>
    </row>
    <row r="36" customFormat="false" ht="15" hidden="false" customHeight="false" outlineLevel="0" collapsed="false">
      <c r="B36" s="11" t="s">
        <v>174</v>
      </c>
      <c r="C36" s="12" t="n">
        <v>1100453</v>
      </c>
      <c r="D36" s="12" t="n">
        <v>1250200</v>
      </c>
      <c r="E36" s="12" t="n">
        <v>1097345</v>
      </c>
      <c r="F36" s="12" t="n">
        <v>1272153</v>
      </c>
    </row>
    <row r="37" customFormat="false" ht="15" hidden="false" customHeight="false" outlineLevel="0" collapsed="false">
      <c r="B37" s="11" t="s">
        <v>175</v>
      </c>
      <c r="C37" s="12" t="n">
        <v>29483</v>
      </c>
      <c r="D37" s="12" t="n">
        <v>0</v>
      </c>
      <c r="E37" s="12" t="n">
        <v>0</v>
      </c>
      <c r="F37" s="12" t="n">
        <v>0</v>
      </c>
    </row>
    <row r="38" customFormat="false" ht="15" hidden="false" customHeight="false" outlineLevel="0" collapsed="false">
      <c r="B38" s="11" t="s">
        <v>176</v>
      </c>
      <c r="C38" s="12" t="n">
        <v>510856</v>
      </c>
      <c r="D38" s="12" t="n">
        <v>498435</v>
      </c>
      <c r="E38" s="12" t="n">
        <v>233772</v>
      </c>
      <c r="F38" s="12" t="n">
        <v>354877</v>
      </c>
    </row>
    <row r="39" customFormat="false" ht="15" hidden="false" customHeight="false" outlineLevel="0" collapsed="false">
      <c r="B39" s="11" t="s">
        <v>177</v>
      </c>
      <c r="C39" s="12" t="n">
        <v>322</v>
      </c>
      <c r="D39" s="12" t="n">
        <v>0</v>
      </c>
      <c r="E39" s="12" t="n">
        <v>0</v>
      </c>
      <c r="F39" s="12" t="n">
        <v>0</v>
      </c>
    </row>
    <row r="40" customFormat="false" ht="15" hidden="false" customHeight="false" outlineLevel="0" collapsed="false">
      <c r="B40" s="11" t="s">
        <v>178</v>
      </c>
      <c r="C40" s="12" t="n">
        <v>58000</v>
      </c>
      <c r="D40" s="12" t="n">
        <v>58000</v>
      </c>
      <c r="E40" s="12" t="n">
        <v>58000</v>
      </c>
      <c r="F40" s="12" t="n">
        <v>70000</v>
      </c>
    </row>
    <row r="41" customFormat="false" ht="15" hidden="false" customHeight="false" outlineLevel="0" collapsed="false">
      <c r="B41" s="11" t="s">
        <v>179</v>
      </c>
      <c r="C41" s="12" t="n">
        <v>382598</v>
      </c>
      <c r="D41" s="12" t="n">
        <v>1283598</v>
      </c>
      <c r="E41" s="12" t="n">
        <v>1301304</v>
      </c>
      <c r="F41" s="12" t="n">
        <v>456209</v>
      </c>
    </row>
    <row r="42" customFormat="false" ht="15" hidden="false" customHeight="false" outlineLevel="0" collapsed="false">
      <c r="B42" s="9" t="s">
        <v>206</v>
      </c>
      <c r="C42" s="10" t="n">
        <f aca="false">SUM(C43:C44)</f>
        <v>1736422</v>
      </c>
      <c r="D42" s="10" t="n">
        <f aca="false">SUM(D43:D44)</f>
        <v>5168591</v>
      </c>
      <c r="E42" s="10" t="n">
        <f aca="false">SUM(E43:E44)</f>
        <v>4395505</v>
      </c>
      <c r="F42" s="10" t="n">
        <f aca="false">SUM(F43:F44)</f>
        <v>4229217</v>
      </c>
    </row>
    <row r="43" customFormat="false" ht="15" hidden="false" customHeight="false" outlineLevel="0" collapsed="false">
      <c r="B43" s="11" t="s">
        <v>180</v>
      </c>
      <c r="C43" s="12" t="n">
        <v>1736422</v>
      </c>
      <c r="D43" s="12" t="n">
        <v>2170008</v>
      </c>
      <c r="E43" s="12" t="n">
        <v>1870926</v>
      </c>
      <c r="F43" s="12" t="n">
        <v>1714061</v>
      </c>
    </row>
    <row r="44" customFormat="false" ht="15" hidden="false" customHeight="false" outlineLevel="0" collapsed="false">
      <c r="B44" s="11" t="s">
        <v>181</v>
      </c>
      <c r="C44" s="12" t="n">
        <v>0</v>
      </c>
      <c r="D44" s="12" t="n">
        <v>2998583</v>
      </c>
      <c r="E44" s="12" t="n">
        <v>2524579</v>
      </c>
      <c r="F44" s="12" t="n">
        <v>2515156</v>
      </c>
    </row>
    <row r="45" customFormat="false" ht="15" hidden="false" customHeight="false" outlineLevel="0" collapsed="false">
      <c r="B45" s="16" t="s">
        <v>207</v>
      </c>
      <c r="C45" s="17" t="n">
        <f aca="false">C5+C14+C25+C30+C34+C42</f>
        <v>54495280</v>
      </c>
      <c r="D45" s="17" t="n">
        <f aca="false">D5+D14+D25+D30+D34+D42</f>
        <v>71242323</v>
      </c>
      <c r="E45" s="17" t="n">
        <f aca="false">E5+E14+E25+E30+E34+E42</f>
        <v>68569660</v>
      </c>
      <c r="F45" s="17" t="n">
        <f aca="false">F5+F14+F25+F30+F34+F42</f>
        <v>79583931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B3041"/>
    <pageSetUpPr fitToPage="false"/>
  </sheetPr>
  <dimension ref="B2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2" customFormat="false" ht="19.4" hidden="false" customHeight="false" outlineLevel="0" collapsed="false">
      <c r="B2" s="23" t="s">
        <v>208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12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44"/>
    <col collapsed="false" customWidth="true" hidden="false" outlineLevel="0" max="5" min="3" style="0" width="16"/>
    <col collapsed="false" customWidth="true" hidden="false" outlineLevel="0" max="6" min="6" style="0" width="60"/>
  </cols>
  <sheetData>
    <row r="2" customFormat="false" ht="17.35" hidden="false" customHeight="false" outlineLevel="0" collapsed="false">
      <c r="B2" s="5" t="s">
        <v>209</v>
      </c>
    </row>
    <row r="4" customFormat="false" ht="15" hidden="false" customHeight="false" outlineLevel="0" collapsed="false">
      <c r="B4" s="7" t="s">
        <v>210</v>
      </c>
      <c r="C4" s="7" t="s">
        <v>211</v>
      </c>
      <c r="D4" s="7" t="s">
        <v>212</v>
      </c>
      <c r="E4" s="7" t="s">
        <v>213</v>
      </c>
      <c r="F4" s="7" t="s">
        <v>25</v>
      </c>
    </row>
    <row r="5" customFormat="false" ht="15" hidden="false" customHeight="false" outlineLevel="0" collapsed="false">
      <c r="B5" s="18" t="s">
        <v>214</v>
      </c>
      <c r="C5" s="10" t="n">
        <f aca="false">年買法!C16</f>
        <v>-70667235</v>
      </c>
      <c r="D5" s="10" t="n">
        <f aca="false">年買法!D16</f>
        <v>-59892236</v>
      </c>
      <c r="E5" s="10" t="n">
        <f aca="false">年買法!E16</f>
        <v>-49117237</v>
      </c>
      <c r="F5" s="24" t="s">
        <v>215</v>
      </c>
    </row>
    <row r="6" customFormat="false" ht="15" hidden="false" customHeight="false" outlineLevel="0" collapsed="false">
      <c r="B6" s="18" t="s">
        <v>216</v>
      </c>
      <c r="C6" s="10" t="n">
        <f aca="false">'EV EBITDAマルチプル'!C17</f>
        <v>-310194459</v>
      </c>
      <c r="D6" s="10" t="n">
        <f aca="false">'EV EBITDAマルチプル'!D17</f>
        <v>-285076229</v>
      </c>
      <c r="E6" s="10" t="n">
        <f aca="false">'EV EBITDAマルチプル'!E17</f>
        <v>-259957999</v>
      </c>
      <c r="F6" s="24" t="s">
        <v>217</v>
      </c>
    </row>
    <row r="7" customFormat="false" ht="15" hidden="false" customHeight="false" outlineLevel="0" collapsed="false">
      <c r="B7" s="18" t="s">
        <v>218</v>
      </c>
      <c r="C7" s="12" t="n">
        <f aca="false">'修正BS(貸方) '!E14</f>
        <v>-81442234</v>
      </c>
      <c r="D7" s="12" t="n">
        <f aca="false">'修正BS(貸方) '!E14</f>
        <v>-81442234</v>
      </c>
      <c r="E7" s="12" t="n">
        <f aca="false">'修正BS(貸方) '!E14</f>
        <v>-81442234</v>
      </c>
    </row>
    <row r="8" customFormat="false" ht="15" hidden="false" customHeight="false" outlineLevel="0" collapsed="false">
      <c r="B8" s="18" t="s">
        <v>219</v>
      </c>
      <c r="C8" s="12" t="n">
        <f aca="false">'BS (貸方)'!F21</f>
        <v>49288196</v>
      </c>
      <c r="D8" s="12" t="n">
        <f aca="false">'BS (貸方)'!F21</f>
        <v>49288196</v>
      </c>
      <c r="E8" s="12" t="n">
        <f aca="false">'BS (貸方)'!F21</f>
        <v>49288196</v>
      </c>
    </row>
    <row r="9" customFormat="false" ht="15" hidden="false" customHeight="false" outlineLevel="0" collapsed="false">
      <c r="B9" s="18" t="s">
        <v>220</v>
      </c>
      <c r="C9" s="12" t="n">
        <f aca="false">'EV EBITDAマルチプル'!C15</f>
        <v>75354691</v>
      </c>
      <c r="D9" s="12" t="n">
        <f aca="false">'EV EBITDAマルチプル'!D15</f>
        <v>100472921</v>
      </c>
      <c r="E9" s="12" t="n">
        <f aca="false">'EV EBITDAマルチプル'!E15</f>
        <v>125591151</v>
      </c>
    </row>
    <row r="10" customFormat="false" ht="15" hidden="false" customHeight="false" outlineLevel="0" collapsed="false">
      <c r="B10" s="18" t="s">
        <v>221</v>
      </c>
      <c r="C10" s="12" t="n">
        <f aca="false">-ネットキャッシュ!C12</f>
        <v>385549150</v>
      </c>
      <c r="D10" s="12" t="n">
        <f aca="false">-ネットキャッシュ!C12</f>
        <v>385549150</v>
      </c>
      <c r="E10" s="12" t="n">
        <f aca="false">-ネットキャッシュ!C12</f>
        <v>385549150</v>
      </c>
    </row>
    <row r="11" customFormat="false" ht="25.35" hidden="false" customHeight="false" outlineLevel="0" collapsed="false">
      <c r="B11" s="18" t="s">
        <v>222</v>
      </c>
      <c r="C11" s="12" t="n">
        <f aca="false">年買法!C22</f>
        <v>97352800</v>
      </c>
      <c r="D11" s="12" t="n">
        <f aca="false">年買法!D22</f>
        <v>108127799</v>
      </c>
      <c r="E11" s="12" t="n">
        <f aca="false">年買法!E22</f>
        <v>118902798</v>
      </c>
      <c r="F11" s="24" t="s">
        <v>223</v>
      </c>
    </row>
    <row r="12" customFormat="false" ht="49.25" hidden="false" customHeight="false" outlineLevel="0" collapsed="false">
      <c r="B12" s="16" t="s">
        <v>224</v>
      </c>
      <c r="C12" s="17" t="n">
        <f aca="false">MAX(0,MAX(C5:E6))</f>
        <v>0</v>
      </c>
      <c r="F12" s="24" t="s">
        <v>225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18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30"/>
    <col collapsed="false" customWidth="true" hidden="false" outlineLevel="0" max="5" min="3" style="0" width="15"/>
    <col collapsed="false" customWidth="true" hidden="false" outlineLevel="0" max="6" min="6" style="0" width="55"/>
  </cols>
  <sheetData>
    <row r="2" customFormat="false" ht="19.4" hidden="false" customHeight="false" outlineLevel="0" collapsed="false">
      <c r="B2" s="5" t="s">
        <v>226</v>
      </c>
    </row>
    <row r="4" customFormat="false" ht="15" hidden="false" customHeight="false" outlineLevel="0" collapsed="false">
      <c r="B4" s="7" t="s">
        <v>19</v>
      </c>
      <c r="C4" s="7" t="s">
        <v>227</v>
      </c>
      <c r="D4" s="7" t="s">
        <v>228</v>
      </c>
      <c r="E4" s="7" t="s">
        <v>229</v>
      </c>
      <c r="F4" s="7" t="s">
        <v>230</v>
      </c>
    </row>
    <row r="5" customFormat="false" ht="15" hidden="false" customHeight="false" outlineLevel="0" collapsed="false">
      <c r="B5" s="18" t="s">
        <v>231</v>
      </c>
      <c r="C5" s="12" t="n">
        <f aca="false">'BS(借方)'!F6+'BS(借方)'!F7+'BS(借方)'!F8+'BS(借方)'!F9+'BS(借方)'!F10</f>
        <v>66599556</v>
      </c>
      <c r="D5" s="12" t="n">
        <v>0</v>
      </c>
      <c r="E5" s="10" t="n">
        <f aca="false">C5+D5</f>
        <v>66599556</v>
      </c>
      <c r="F5" s="24" t="s">
        <v>232</v>
      </c>
    </row>
    <row r="6" customFormat="false" ht="15" hidden="false" customHeight="false" outlineLevel="0" collapsed="false">
      <c r="B6" s="18" t="s">
        <v>37</v>
      </c>
      <c r="C6" s="12" t="n">
        <f aca="false">'BS(借方)'!F14</f>
        <v>28798405</v>
      </c>
      <c r="D6" s="12" t="n">
        <v>0</v>
      </c>
      <c r="E6" s="10" t="n">
        <f aca="false">C6+D6</f>
        <v>28798405</v>
      </c>
      <c r="F6" s="24" t="s">
        <v>233</v>
      </c>
    </row>
    <row r="7" customFormat="false" ht="15" hidden="false" customHeight="false" outlineLevel="0" collapsed="false">
      <c r="B7" s="18" t="s">
        <v>234</v>
      </c>
      <c r="C7" s="12" t="n">
        <f aca="false">'BS(借方)'!F15</f>
        <v>34490885</v>
      </c>
      <c r="D7" s="12" t="n">
        <v>0</v>
      </c>
      <c r="E7" s="10" t="n">
        <f aca="false">C7+D7</f>
        <v>34490885</v>
      </c>
      <c r="F7" s="24" t="s">
        <v>235</v>
      </c>
    </row>
    <row r="8" customFormat="false" ht="15" hidden="false" customHeight="false" outlineLevel="0" collapsed="false">
      <c r="B8" s="18" t="s">
        <v>236</v>
      </c>
      <c r="C8" s="12" t="n">
        <f aca="false">'BS(借方)'!F20</f>
        <v>3063104</v>
      </c>
      <c r="D8" s="12" t="n">
        <v>0</v>
      </c>
      <c r="E8" s="10" t="n">
        <f aca="false">C8+D8</f>
        <v>3063104</v>
      </c>
      <c r="F8" s="24" t="s">
        <v>237</v>
      </c>
    </row>
    <row r="9" customFormat="false" ht="15" hidden="false" customHeight="false" outlineLevel="0" collapsed="false">
      <c r="B9" s="18" t="s">
        <v>238</v>
      </c>
      <c r="C9" s="12" t="n">
        <f aca="false">'BS(借方)'!F11</f>
        <v>9362494</v>
      </c>
      <c r="D9" s="12" t="n">
        <f aca="false">保険!E7</f>
        <v>0</v>
      </c>
      <c r="E9" s="10" t="n">
        <f aca="false">C9+D9</f>
        <v>9362494</v>
      </c>
      <c r="F9" s="24" t="s">
        <v>239</v>
      </c>
    </row>
    <row r="10" customFormat="false" ht="15" hidden="false" customHeight="false" outlineLevel="0" collapsed="false">
      <c r="B10" s="18" t="s">
        <v>56</v>
      </c>
      <c r="C10" s="12" t="n">
        <f aca="false">'BS(借方)'!F30</f>
        <v>259241627</v>
      </c>
      <c r="D10" s="12" t="n">
        <f aca="false">土地!J6</f>
        <v>-168020035</v>
      </c>
      <c r="E10" s="10" t="n">
        <f aca="false">C10+D10</f>
        <v>91221592</v>
      </c>
      <c r="F10" s="24" t="s">
        <v>240</v>
      </c>
    </row>
    <row r="11" customFormat="false" ht="15" hidden="false" customHeight="false" outlineLevel="0" collapsed="false">
      <c r="B11" s="18" t="s">
        <v>58</v>
      </c>
      <c r="C11" s="12" t="n">
        <f aca="false">'BS(借方)'!F31</f>
        <v>2116299</v>
      </c>
      <c r="D11" s="12" t="n">
        <f aca="false">減価償却!I6</f>
        <v>-447749</v>
      </c>
      <c r="E11" s="10" t="n">
        <f aca="false">C11+D11</f>
        <v>1668550</v>
      </c>
      <c r="F11" s="24" t="s">
        <v>241</v>
      </c>
    </row>
    <row r="12" customFormat="false" ht="15" hidden="false" customHeight="false" outlineLevel="0" collapsed="false">
      <c r="B12" s="18" t="s">
        <v>60</v>
      </c>
      <c r="C12" s="12" t="n">
        <f aca="false">'BS(借方)'!F32</f>
        <v>99691427</v>
      </c>
      <c r="D12" s="12" t="n">
        <f aca="false">減価償却!I7</f>
        <v>-3092403</v>
      </c>
      <c r="E12" s="10" t="n">
        <f aca="false">C12+D12</f>
        <v>96599024</v>
      </c>
      <c r="F12" s="24" t="s">
        <v>241</v>
      </c>
    </row>
    <row r="13" customFormat="false" ht="15" hidden="false" customHeight="false" outlineLevel="0" collapsed="false">
      <c r="B13" s="18" t="s">
        <v>242</v>
      </c>
      <c r="C13" s="12" t="n">
        <f aca="false">'BS(借方)'!F33+'BS(借方)'!F34</f>
        <v>8224003</v>
      </c>
      <c r="D13" s="12" t="n">
        <v>0</v>
      </c>
      <c r="E13" s="10" t="n">
        <f aca="false">C13+D13</f>
        <v>8224003</v>
      </c>
      <c r="F13" s="24" t="s">
        <v>243</v>
      </c>
    </row>
    <row r="14" customFormat="false" ht="15" hidden="false" customHeight="false" outlineLevel="0" collapsed="false">
      <c r="B14" s="18" t="s">
        <v>64</v>
      </c>
      <c r="C14" s="12" t="n">
        <f aca="false">'BS(借方)'!F35</f>
        <v>40441919</v>
      </c>
      <c r="D14" s="12" t="n">
        <f aca="false">土地!J5</f>
        <v>40829757</v>
      </c>
      <c r="E14" s="10" t="n">
        <f aca="false">C14+D14</f>
        <v>81271676</v>
      </c>
      <c r="F14" s="24" t="s">
        <v>244</v>
      </c>
    </row>
    <row r="15" customFormat="false" ht="15" hidden="false" customHeight="false" outlineLevel="0" collapsed="false">
      <c r="B15" s="18" t="s">
        <v>66</v>
      </c>
      <c r="C15" s="12" t="n">
        <f aca="false">'BS(借方)'!F37</f>
        <v>354300</v>
      </c>
      <c r="D15" s="12" t="n">
        <v>0</v>
      </c>
      <c r="E15" s="10" t="n">
        <f aca="false">C15+D15</f>
        <v>354300</v>
      </c>
      <c r="F15" s="24" t="s">
        <v>245</v>
      </c>
    </row>
    <row r="16" customFormat="false" ht="15" hidden="false" customHeight="false" outlineLevel="0" collapsed="false">
      <c r="B16" s="18" t="s">
        <v>68</v>
      </c>
      <c r="C16" s="12" t="n">
        <f aca="false">'BS(借方)'!F39</f>
        <v>820000</v>
      </c>
      <c r="D16" s="12" t="n">
        <v>0</v>
      </c>
      <c r="E16" s="10" t="n">
        <f aca="false">C16+D16</f>
        <v>820000</v>
      </c>
      <c r="F16" s="24" t="s">
        <v>227</v>
      </c>
    </row>
    <row r="17" customFormat="false" ht="15" hidden="false" customHeight="false" outlineLevel="0" collapsed="false">
      <c r="B17" s="16" t="s">
        <v>72</v>
      </c>
      <c r="C17" s="17" t="n">
        <f aca="false">SUM(C5:C16)</f>
        <v>553204019</v>
      </c>
      <c r="D17" s="17" t="n">
        <f aca="false">SUM(D5:D16)</f>
        <v>-130730430</v>
      </c>
      <c r="E17" s="17" t="n">
        <f aca="false">SUM(E5:E16)</f>
        <v>422473589</v>
      </c>
    </row>
    <row r="18" customFormat="false" ht="15" hidden="false" customHeight="false" outlineLevel="0" collapsed="false">
      <c r="B18" s="18" t="s">
        <v>246</v>
      </c>
      <c r="C18" s="20" t="b">
        <f aca="false">EXACT(C17,'BS(借方)'!F42)</f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15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34"/>
    <col collapsed="false" customWidth="true" hidden="false" outlineLevel="0" max="5" min="3" style="0" width="15"/>
    <col collapsed="false" customWidth="true" hidden="false" outlineLevel="0" max="6" min="6" style="0" width="55"/>
  </cols>
  <sheetData>
    <row r="2" customFormat="false" ht="19.4" hidden="false" customHeight="false" outlineLevel="0" collapsed="false">
      <c r="B2" s="5" t="s">
        <v>247</v>
      </c>
    </row>
    <row r="4" customFormat="false" ht="15" hidden="false" customHeight="false" outlineLevel="0" collapsed="false">
      <c r="B4" s="7" t="s">
        <v>19</v>
      </c>
      <c r="C4" s="7" t="s">
        <v>227</v>
      </c>
      <c r="D4" s="7" t="s">
        <v>228</v>
      </c>
      <c r="E4" s="7" t="s">
        <v>229</v>
      </c>
      <c r="F4" s="7" t="s">
        <v>230</v>
      </c>
    </row>
    <row r="5" customFormat="false" ht="15" hidden="false" customHeight="false" outlineLevel="0" collapsed="false">
      <c r="B5" s="18" t="s">
        <v>248</v>
      </c>
      <c r="C5" s="12" t="n">
        <f aca="false">'BS (貸方)'!F6+'BS (貸方)'!F7</f>
        <v>24493672</v>
      </c>
      <c r="D5" s="12" t="n">
        <v>0</v>
      </c>
      <c r="E5" s="10" t="n">
        <f aca="false">C5+D5</f>
        <v>24493672</v>
      </c>
      <c r="F5" s="25" t="s">
        <v>249</v>
      </c>
    </row>
    <row r="6" customFormat="false" ht="15" hidden="false" customHeight="false" outlineLevel="0" collapsed="false">
      <c r="B6" s="18" t="s">
        <v>250</v>
      </c>
      <c r="C6" s="12" t="n">
        <f aca="false">'BS (貸方)'!F24</f>
        <v>461024000</v>
      </c>
      <c r="D6" s="12" t="n">
        <v>0</v>
      </c>
      <c r="E6" s="10" t="n">
        <f aca="false">C6+D6</f>
        <v>461024000</v>
      </c>
      <c r="F6" s="24" t="s">
        <v>251</v>
      </c>
    </row>
    <row r="7" customFormat="false" ht="15" hidden="false" customHeight="false" outlineLevel="0" collapsed="false">
      <c r="B7" s="18" t="s">
        <v>82</v>
      </c>
      <c r="C7" s="12" t="n">
        <f aca="false">'BS (貸方)'!F9</f>
        <v>15721057</v>
      </c>
      <c r="D7" s="12" t="n">
        <v>0</v>
      </c>
      <c r="E7" s="10" t="n">
        <f aca="false">C7+D7</f>
        <v>15721057</v>
      </c>
      <c r="F7" s="25" t="s">
        <v>252</v>
      </c>
    </row>
    <row r="8" customFormat="false" ht="15" hidden="false" customHeight="false" outlineLevel="0" collapsed="false">
      <c r="B8" s="18" t="s">
        <v>253</v>
      </c>
      <c r="C8" s="12" t="n">
        <f aca="false">'BS (貸方)'!F12</f>
        <v>487200</v>
      </c>
      <c r="D8" s="12" t="n">
        <v>0</v>
      </c>
      <c r="E8" s="10" t="n">
        <f aca="false">C8+D8</f>
        <v>487200</v>
      </c>
      <c r="F8" s="25" t="s">
        <v>249</v>
      </c>
    </row>
    <row r="9" customFormat="false" ht="15" hidden="false" customHeight="false" outlineLevel="0" collapsed="false">
      <c r="B9" s="18" t="s">
        <v>254</v>
      </c>
      <c r="C9" s="12" t="n">
        <f aca="false">'BS (貸方)'!F10+'BS (貸方)'!F11</f>
        <v>2189894</v>
      </c>
      <c r="D9" s="12" t="n">
        <v>0</v>
      </c>
      <c r="E9" s="10" t="n">
        <f aca="false">C9+D9</f>
        <v>2189894</v>
      </c>
      <c r="F9" s="25" t="s">
        <v>249</v>
      </c>
    </row>
    <row r="10" customFormat="false" ht="15" hidden="false" customHeight="false" outlineLevel="0" collapsed="false">
      <c r="B10" s="18" t="s">
        <v>255</v>
      </c>
      <c r="C10" s="12" t="n">
        <f aca="false">0</f>
        <v>0</v>
      </c>
      <c r="D10" s="12" t="n">
        <v>0</v>
      </c>
      <c r="E10" s="10" t="n">
        <f aca="false">C10+D10</f>
        <v>0</v>
      </c>
      <c r="F10" s="24" t="s">
        <v>256</v>
      </c>
    </row>
    <row r="11" customFormat="false" ht="15" hidden="false" customHeight="false" outlineLevel="0" collapsed="false">
      <c r="B11" s="18" t="s">
        <v>257</v>
      </c>
      <c r="C11" s="12" t="n">
        <f aca="false">0</f>
        <v>0</v>
      </c>
      <c r="D11" s="12" t="n">
        <v>0</v>
      </c>
      <c r="E11" s="10" t="n">
        <f aca="false">C11+D11</f>
        <v>0</v>
      </c>
      <c r="F11" s="24" t="s">
        <v>258</v>
      </c>
    </row>
    <row r="12" customFormat="false" ht="15" hidden="false" customHeight="false" outlineLevel="0" collapsed="false">
      <c r="B12" s="14" t="s">
        <v>90</v>
      </c>
      <c r="C12" s="15" t="n">
        <f aca="false">SUM(C5:C11)</f>
        <v>503915823</v>
      </c>
      <c r="D12" s="15" t="n">
        <f aca="false">SUM(D5:D11)</f>
        <v>0</v>
      </c>
      <c r="E12" s="15" t="n">
        <f aca="false">SUM(E5:E11)</f>
        <v>503915823</v>
      </c>
    </row>
    <row r="13" customFormat="false" ht="15" hidden="false" customHeight="false" outlineLevel="0" collapsed="false">
      <c r="B13" s="18" t="s">
        <v>259</v>
      </c>
      <c r="C13" s="12" t="n">
        <v>0</v>
      </c>
      <c r="D13" s="12" t="n">
        <f aca="false">税効果!C8</f>
        <v>0</v>
      </c>
      <c r="E13" s="10" t="n">
        <f aca="false">C13+D13</f>
        <v>0</v>
      </c>
      <c r="F13" s="24" t="s">
        <v>260</v>
      </c>
    </row>
    <row r="14" customFormat="false" ht="15" hidden="false" customHeight="false" outlineLevel="0" collapsed="false">
      <c r="B14" s="16" t="s">
        <v>261</v>
      </c>
      <c r="C14" s="17" t="n">
        <f aca="false">'修正BS(借方)'!C17-C12-C13</f>
        <v>49288196</v>
      </c>
      <c r="D14" s="17" t="n">
        <f aca="false">'修正BS(借方)'!D17-D12-D13</f>
        <v>-130730430</v>
      </c>
      <c r="E14" s="17" t="n">
        <f aca="false">'修正BS(借方)'!E17-E12-E13</f>
        <v>-81442234</v>
      </c>
    </row>
    <row r="15" customFormat="false" ht="15" hidden="false" customHeight="false" outlineLevel="0" collapsed="false">
      <c r="B15" s="18" t="s">
        <v>262</v>
      </c>
      <c r="C15" s="20" t="b">
        <f aca="false">EXACT(C14,'BS (貸方)'!F21)</f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B7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120"/>
  </cols>
  <sheetData>
    <row r="2" customFormat="false" ht="17.35" hidden="false" customHeight="false" outlineLevel="0" collapsed="false">
      <c r="B2" s="5" t="s">
        <v>263</v>
      </c>
    </row>
    <row r="4" customFormat="false" ht="15" hidden="false" customHeight="false" outlineLevel="0" collapsed="false">
      <c r="B4" s="24" t="s">
        <v>264</v>
      </c>
    </row>
    <row r="5" customFormat="false" ht="15" hidden="false" customHeight="false" outlineLevel="0" collapsed="false">
      <c r="B5" s="24" t="s">
        <v>265</v>
      </c>
    </row>
    <row r="6" customFormat="false" ht="15" hidden="false" customHeight="false" outlineLevel="0" collapsed="false">
      <c r="B6" s="24" t="s">
        <v>266</v>
      </c>
    </row>
    <row r="7" customFormat="false" ht="25.35" hidden="false" customHeight="false" outlineLevel="0" collapsed="false">
      <c r="B7" s="24" t="s">
        <v>267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J13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16"/>
    <col collapsed="false" customWidth="true" hidden="false" outlineLevel="0" max="3" min="3" style="0" width="8"/>
    <col collapsed="false" customWidth="true" hidden="false" outlineLevel="0" max="9" min="4" style="0" width="15"/>
    <col collapsed="false" customWidth="true" hidden="false" outlineLevel="0" max="10" min="10" style="0" width="50"/>
  </cols>
  <sheetData>
    <row r="2" customFormat="false" ht="19.4" hidden="false" customHeight="false" outlineLevel="0" collapsed="false">
      <c r="B2" s="5" t="s">
        <v>268</v>
      </c>
    </row>
    <row r="4" customFormat="false" ht="15" hidden="false" customHeight="false" outlineLevel="0" collapsed="false">
      <c r="B4" s="7" t="s">
        <v>19</v>
      </c>
      <c r="C4" s="7" t="s">
        <v>269</v>
      </c>
      <c r="D4" s="7" t="s">
        <v>270</v>
      </c>
      <c r="E4" s="7" t="s">
        <v>271</v>
      </c>
      <c r="F4" s="7" t="s">
        <v>272</v>
      </c>
      <c r="G4" s="7" t="s">
        <v>273</v>
      </c>
      <c r="H4" s="7" t="s">
        <v>274</v>
      </c>
      <c r="I4" s="7" t="s">
        <v>228</v>
      </c>
      <c r="J4" s="7" t="s">
        <v>275</v>
      </c>
    </row>
    <row r="5" customFormat="false" ht="25.35" hidden="false" customHeight="false" outlineLevel="0" collapsed="false">
      <c r="B5" s="18" t="s">
        <v>56</v>
      </c>
      <c r="C5" s="26" t="n">
        <v>5</v>
      </c>
      <c r="D5" s="12" t="n">
        <v>325235134</v>
      </c>
      <c r="E5" s="12" t="n">
        <v>259241627</v>
      </c>
      <c r="F5" s="12" t="n">
        <v>0</v>
      </c>
      <c r="G5" s="12" t="n">
        <v>21745406</v>
      </c>
      <c r="H5" s="12" t="n">
        <v>65993507</v>
      </c>
      <c r="I5" s="10" t="n">
        <v>0</v>
      </c>
      <c r="J5" s="24" t="s">
        <v>276</v>
      </c>
    </row>
    <row r="6" customFormat="false" ht="25.35" hidden="false" customHeight="false" outlineLevel="0" collapsed="false">
      <c r="B6" s="18" t="s">
        <v>58</v>
      </c>
      <c r="C6" s="26" t="n">
        <v>12</v>
      </c>
      <c r="D6" s="12" t="n">
        <v>14745890</v>
      </c>
      <c r="E6" s="12" t="n">
        <v>2116299</v>
      </c>
      <c r="F6" s="12" t="n">
        <v>0</v>
      </c>
      <c r="G6" s="12" t="n">
        <v>447749</v>
      </c>
      <c r="H6" s="12" t="n">
        <v>12629591</v>
      </c>
      <c r="I6" s="10" t="n">
        <f aca="false">-G6</f>
        <v>-447749</v>
      </c>
      <c r="J6" s="24" t="s">
        <v>277</v>
      </c>
    </row>
    <row r="7" customFormat="false" ht="25.35" hidden="false" customHeight="false" outlineLevel="0" collapsed="false">
      <c r="B7" s="18" t="s">
        <v>60</v>
      </c>
      <c r="C7" s="26" t="n">
        <v>127</v>
      </c>
      <c r="D7" s="12" t="n">
        <v>374955783</v>
      </c>
      <c r="E7" s="12" t="n">
        <v>99691427</v>
      </c>
      <c r="F7" s="12" t="n">
        <v>19089010</v>
      </c>
      <c r="G7" s="12" t="n">
        <v>3092403</v>
      </c>
      <c r="H7" s="12" t="n">
        <v>275264355</v>
      </c>
      <c r="I7" s="10" t="n">
        <f aca="false">-G7</f>
        <v>-3092403</v>
      </c>
      <c r="J7" s="24" t="s">
        <v>277</v>
      </c>
    </row>
    <row r="8" customFormat="false" ht="15" hidden="false" customHeight="false" outlineLevel="0" collapsed="false">
      <c r="B8" s="18" t="s">
        <v>62</v>
      </c>
      <c r="C8" s="26" t="n">
        <v>23</v>
      </c>
      <c r="D8" s="12" t="n">
        <v>49704921</v>
      </c>
      <c r="E8" s="12" t="n">
        <v>4905291</v>
      </c>
      <c r="F8" s="12" t="n">
        <v>2440512</v>
      </c>
      <c r="G8" s="12" t="n">
        <v>0</v>
      </c>
      <c r="H8" s="12" t="n">
        <v>44261381</v>
      </c>
      <c r="I8" s="10" t="n">
        <v>0</v>
      </c>
      <c r="J8" s="24" t="s">
        <v>278</v>
      </c>
    </row>
    <row r="9" customFormat="false" ht="15" hidden="false" customHeight="false" outlineLevel="0" collapsed="false">
      <c r="B9" s="18" t="s">
        <v>63</v>
      </c>
      <c r="C9" s="26" t="n">
        <v>18</v>
      </c>
      <c r="D9" s="12" t="n">
        <v>9896000</v>
      </c>
      <c r="E9" s="12" t="n">
        <v>3318712</v>
      </c>
      <c r="F9" s="12" t="n">
        <v>805803</v>
      </c>
      <c r="G9" s="12" t="n">
        <v>0</v>
      </c>
      <c r="H9" s="12" t="n">
        <v>6577288</v>
      </c>
      <c r="I9" s="10" t="n">
        <v>0</v>
      </c>
      <c r="J9" s="24" t="s">
        <v>278</v>
      </c>
    </row>
    <row r="10" customFormat="false" ht="15" hidden="false" customHeight="false" outlineLevel="0" collapsed="false">
      <c r="B10" s="14" t="s">
        <v>279</v>
      </c>
      <c r="D10" s="15" t="n">
        <f aca="false">SUM(D5:D9)</f>
        <v>774537728</v>
      </c>
      <c r="E10" s="15" t="n">
        <f aca="false">SUM(E5:E9)</f>
        <v>369273356</v>
      </c>
      <c r="F10" s="15" t="n">
        <f aca="false">SUM(F5:F9)</f>
        <v>22335325</v>
      </c>
      <c r="G10" s="15" t="n">
        <f aca="false">SUM(G5:G9)</f>
        <v>25285558</v>
      </c>
      <c r="H10" s="15" t="n">
        <f aca="false">SUM(H5:H9)</f>
        <v>404726122</v>
      </c>
      <c r="I10" s="15" t="n">
        <f aca="false">SUM(I5:I9)</f>
        <v>-3540152</v>
      </c>
    </row>
    <row r="12" customFormat="false" ht="15" hidden="false" customHeight="false" outlineLevel="0" collapsed="false">
      <c r="B12" s="6" t="s">
        <v>280</v>
      </c>
    </row>
    <row r="13" customFormat="false" ht="15" hidden="false" customHeight="false" outlineLevel="0" collapsed="false">
      <c r="B13" s="6" t="s">
        <v>281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K10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10"/>
    <col collapsed="false" customWidth="true" hidden="false" outlineLevel="0" max="3" min="3" style="0" width="14"/>
    <col collapsed="false" customWidth="true" hidden="false" outlineLevel="0" max="4" min="4" style="0" width="30"/>
    <col collapsed="false" customWidth="true" hidden="false" outlineLevel="0" max="5" min="5" style="0" width="12"/>
    <col collapsed="false" customWidth="true" hidden="false" outlineLevel="0" max="7" min="6" style="0" width="15"/>
    <col collapsed="false" customWidth="true" hidden="false" outlineLevel="0" max="8" min="8" style="0" width="10"/>
    <col collapsed="false" customWidth="true" hidden="false" outlineLevel="0" max="10" min="9" style="0" width="15"/>
    <col collapsed="false" customWidth="true" hidden="false" outlineLevel="0" max="11" min="11" style="0" width="50"/>
  </cols>
  <sheetData>
    <row r="2" customFormat="false" ht="17.35" hidden="false" customHeight="false" outlineLevel="0" collapsed="false">
      <c r="B2" s="5" t="s">
        <v>282</v>
      </c>
    </row>
    <row r="4" customFormat="false" ht="15" hidden="false" customHeight="false" outlineLevel="0" collapsed="false">
      <c r="B4" s="7" t="s">
        <v>283</v>
      </c>
      <c r="C4" s="7" t="s">
        <v>284</v>
      </c>
      <c r="D4" s="7" t="s">
        <v>285</v>
      </c>
      <c r="E4" s="7" t="s">
        <v>286</v>
      </c>
      <c r="F4" s="7" t="s">
        <v>227</v>
      </c>
      <c r="G4" s="7" t="s">
        <v>287</v>
      </c>
      <c r="H4" s="7" t="s">
        <v>288</v>
      </c>
      <c r="I4" s="7" t="s">
        <v>289</v>
      </c>
      <c r="J4" s="7" t="s">
        <v>228</v>
      </c>
      <c r="K4" s="7" t="s">
        <v>275</v>
      </c>
    </row>
    <row r="5" customFormat="false" ht="25.35" hidden="false" customHeight="false" outlineLevel="0" collapsed="false">
      <c r="B5" s="18" t="s">
        <v>64</v>
      </c>
      <c r="C5" s="24" t="s">
        <v>290</v>
      </c>
      <c r="D5" s="24" t="s">
        <v>291</v>
      </c>
      <c r="E5" s="27" t="n">
        <v>2145.18</v>
      </c>
      <c r="F5" s="12" t="n">
        <f aca="false">'BS(借方)'!F35</f>
        <v>40441919</v>
      </c>
      <c r="G5" s="12" t="n">
        <v>56890173</v>
      </c>
      <c r="H5" s="28" t="n">
        <v>0.7</v>
      </c>
      <c r="I5" s="12" t="n">
        <f aca="false">ROUND(G5/H5,0)</f>
        <v>81271676</v>
      </c>
      <c r="J5" s="10" t="n">
        <f aca="false">I5-F5</f>
        <v>40829757</v>
      </c>
      <c r="K5" s="24" t="s">
        <v>292</v>
      </c>
    </row>
    <row r="6" customFormat="false" ht="37.3" hidden="false" customHeight="false" outlineLevel="0" collapsed="false">
      <c r="B6" s="18" t="s">
        <v>56</v>
      </c>
      <c r="C6" s="24" t="s">
        <v>290</v>
      </c>
      <c r="D6" s="24" t="s">
        <v>291</v>
      </c>
      <c r="E6" s="27" t="n">
        <v>2093.87</v>
      </c>
      <c r="F6" s="12" t="n">
        <f aca="false">'BS(借方)'!F30</f>
        <v>259241627</v>
      </c>
      <c r="G6" s="12" t="n">
        <v>91221592</v>
      </c>
      <c r="H6" s="28" t="n">
        <v>1</v>
      </c>
      <c r="I6" s="12" t="n">
        <f aca="false">ROUND(G6/H6,0)</f>
        <v>91221592</v>
      </c>
      <c r="J6" s="10" t="n">
        <f aca="false">I6-F6</f>
        <v>-168020035</v>
      </c>
      <c r="K6" s="24" t="s">
        <v>293</v>
      </c>
    </row>
    <row r="7" customFormat="false" ht="15" hidden="false" customHeight="false" outlineLevel="0" collapsed="false">
      <c r="B7" s="14" t="s">
        <v>279</v>
      </c>
      <c r="F7" s="15" t="n">
        <f aca="false">SUM(F5:F6)</f>
        <v>299683546</v>
      </c>
      <c r="G7" s="15" t="n">
        <f aca="false">SUM(G5:G6)</f>
        <v>148111765</v>
      </c>
      <c r="I7" s="15" t="n">
        <f aca="false">SUM(I5:I6)</f>
        <v>172493268</v>
      </c>
      <c r="J7" s="15" t="n">
        <f aca="false">SUM(J5:J6)</f>
        <v>-127190278</v>
      </c>
    </row>
    <row r="9" customFormat="false" ht="15" hidden="false" customHeight="false" outlineLevel="0" collapsed="false">
      <c r="B9" s="6" t="s">
        <v>294</v>
      </c>
    </row>
    <row r="10" customFormat="false" ht="15" hidden="false" customHeight="false" outlineLevel="0" collapsed="false">
      <c r="B10" s="6" t="s">
        <v>295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9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22"/>
    <col collapsed="false" customWidth="true" hidden="false" outlineLevel="0" max="5" min="3" style="0" width="15"/>
    <col collapsed="false" customWidth="true" hidden="false" outlineLevel="0" max="6" min="6" style="0" width="55"/>
  </cols>
  <sheetData>
    <row r="2" customFormat="false" ht="17.35" hidden="false" customHeight="false" outlineLevel="0" collapsed="false">
      <c r="B2" s="5" t="s">
        <v>296</v>
      </c>
    </row>
    <row r="4" customFormat="false" ht="15" hidden="false" customHeight="false" outlineLevel="0" collapsed="false">
      <c r="B4" s="7" t="s">
        <v>297</v>
      </c>
      <c r="C4" s="7" t="s">
        <v>227</v>
      </c>
      <c r="D4" s="7" t="s">
        <v>298</v>
      </c>
      <c r="E4" s="7" t="s">
        <v>228</v>
      </c>
      <c r="F4" s="7" t="s">
        <v>25</v>
      </c>
    </row>
    <row r="5" customFormat="false" ht="25.35" hidden="false" customHeight="false" outlineLevel="0" collapsed="false">
      <c r="B5" s="18" t="s">
        <v>299</v>
      </c>
      <c r="C5" s="12" t="n">
        <v>8461965</v>
      </c>
      <c r="D5" s="12" t="n">
        <f aca="false">C5</f>
        <v>8461965</v>
      </c>
      <c r="E5" s="10" t="n">
        <f aca="false">D5-C5</f>
        <v>0</v>
      </c>
      <c r="F5" s="24" t="s">
        <v>300</v>
      </c>
    </row>
    <row r="6" customFormat="false" ht="25.35" hidden="false" customHeight="false" outlineLevel="0" collapsed="false">
      <c r="B6" s="18" t="s">
        <v>301</v>
      </c>
      <c r="C6" s="12" t="n">
        <v>900529</v>
      </c>
      <c r="D6" s="12" t="n">
        <f aca="false">C6</f>
        <v>900529</v>
      </c>
      <c r="E6" s="10" t="n">
        <f aca="false">D6-C6</f>
        <v>0</v>
      </c>
      <c r="F6" s="24" t="s">
        <v>300</v>
      </c>
    </row>
    <row r="7" customFormat="false" ht="15" hidden="false" customHeight="false" outlineLevel="0" collapsed="false">
      <c r="B7" s="14" t="s">
        <v>279</v>
      </c>
      <c r="C7" s="15" t="n">
        <f aca="false">SUM(C5:C6)</f>
        <v>9362494</v>
      </c>
      <c r="D7" s="15" t="n">
        <f aca="false">SUM(D5:D6)</f>
        <v>9362494</v>
      </c>
      <c r="E7" s="15" t="n">
        <f aca="false">SUM(E5:E6)</f>
        <v>0</v>
      </c>
    </row>
    <row r="9" customFormat="false" ht="15" hidden="false" customHeight="false" outlineLevel="0" collapsed="false">
      <c r="B9" s="13" t="s">
        <v>302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B5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120"/>
  </cols>
  <sheetData>
    <row r="2" customFormat="false" ht="17.35" hidden="false" customHeight="false" outlineLevel="0" collapsed="false">
      <c r="B2" s="5" t="s">
        <v>303</v>
      </c>
    </row>
    <row r="4" customFormat="false" ht="15" hidden="false" customHeight="false" outlineLevel="0" collapsed="false">
      <c r="B4" s="24" t="s">
        <v>304</v>
      </c>
    </row>
    <row r="5" customFormat="false" ht="15" hidden="false" customHeight="false" outlineLevel="0" collapsed="false">
      <c r="B5" s="24" t="s">
        <v>305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B5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120"/>
  </cols>
  <sheetData>
    <row r="2" customFormat="false" ht="17.35" hidden="false" customHeight="false" outlineLevel="0" collapsed="false">
      <c r="B2" s="5" t="s">
        <v>306</v>
      </c>
    </row>
    <row r="4" customFormat="false" ht="15" hidden="false" customHeight="false" outlineLevel="0" collapsed="false">
      <c r="B4" s="24" t="s">
        <v>307</v>
      </c>
    </row>
    <row r="5" customFormat="false" ht="15" hidden="false" customHeight="false" outlineLevel="0" collapsed="false">
      <c r="B5" s="24" t="s">
        <v>308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B5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120"/>
  </cols>
  <sheetData>
    <row r="2" customFormat="false" ht="17.35" hidden="false" customHeight="false" outlineLevel="0" collapsed="false">
      <c r="B2" s="5" t="s">
        <v>309</v>
      </c>
    </row>
    <row r="4" customFormat="false" ht="15" hidden="false" customHeight="false" outlineLevel="0" collapsed="false">
      <c r="B4" s="24" t="s">
        <v>310</v>
      </c>
    </row>
    <row r="5" customFormat="false" ht="25.35" hidden="false" customHeight="false" outlineLevel="0" collapsed="false">
      <c r="B5" s="25" t="s">
        <v>311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D11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40"/>
    <col collapsed="false" customWidth="true" hidden="false" outlineLevel="0" max="3" min="3" style="0" width="16"/>
    <col collapsed="false" customWidth="true" hidden="false" outlineLevel="0" max="4" min="4" style="0" width="60"/>
  </cols>
  <sheetData>
    <row r="2" customFormat="false" ht="17.35" hidden="false" customHeight="false" outlineLevel="0" collapsed="false">
      <c r="B2" s="5" t="s">
        <v>259</v>
      </c>
    </row>
    <row r="5" customFormat="false" ht="15" hidden="false" customHeight="false" outlineLevel="0" collapsed="false">
      <c r="B5" s="18" t="s">
        <v>312</v>
      </c>
      <c r="C5" s="12" t="n">
        <f aca="false">'修正BS(借方)'!D17-'修正BS(貸方) '!D12</f>
        <v>-130730430</v>
      </c>
    </row>
    <row r="6" customFormat="false" ht="15" hidden="false" customHeight="false" outlineLevel="0" collapsed="false">
      <c r="B6" s="18" t="s">
        <v>313</v>
      </c>
      <c r="C6" s="29" t="n">
        <v>0.34</v>
      </c>
    </row>
    <row r="7" customFormat="false" ht="15" hidden="false" customHeight="false" outlineLevel="0" collapsed="false">
      <c r="B7" s="18" t="s">
        <v>314</v>
      </c>
      <c r="C7" s="12" t="n">
        <f aca="false">IF(C5&gt;0,ROUND(C5*C6,0),0)</f>
        <v>0</v>
      </c>
    </row>
    <row r="8" customFormat="false" ht="15" hidden="false" customHeight="false" outlineLevel="0" collapsed="false">
      <c r="B8" s="9" t="s">
        <v>315</v>
      </c>
      <c r="C8" s="10" t="n">
        <f aca="false">C7</f>
        <v>0</v>
      </c>
    </row>
    <row r="10" customFormat="false" ht="15" hidden="false" customHeight="true" outlineLevel="0" collapsed="false">
      <c r="B10" s="24" t="s">
        <v>316</v>
      </c>
      <c r="C10" s="24"/>
      <c r="D10" s="24"/>
    </row>
    <row r="11" customFormat="false" ht="15" hidden="false" customHeight="false" outlineLevel="0" collapsed="false">
      <c r="B11" s="24"/>
      <c r="C11" s="24"/>
      <c r="D11" s="24"/>
    </row>
  </sheetData>
  <mergeCells count="1">
    <mergeCell ref="B10:D1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D15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40"/>
    <col collapsed="false" customWidth="true" hidden="false" outlineLevel="0" max="3" min="3" style="0" width="16"/>
    <col collapsed="false" customWidth="true" hidden="false" outlineLevel="0" max="4" min="4" style="0" width="60"/>
  </cols>
  <sheetData>
    <row r="2" customFormat="false" ht="19.4" hidden="false" customHeight="false" outlineLevel="0" collapsed="false">
      <c r="B2" s="5" t="s">
        <v>317</v>
      </c>
    </row>
    <row r="4" customFormat="false" ht="15" hidden="false" customHeight="false" outlineLevel="0" collapsed="false">
      <c r="B4" s="7" t="s">
        <v>318</v>
      </c>
      <c r="C4" s="7" t="s">
        <v>319</v>
      </c>
      <c r="D4" s="7" t="s">
        <v>320</v>
      </c>
    </row>
    <row r="5" customFormat="false" ht="15" hidden="false" customHeight="false" outlineLevel="0" collapsed="false">
      <c r="B5" s="18" t="s">
        <v>231</v>
      </c>
      <c r="C5" s="12" t="n">
        <f aca="false">'修正BS(借方)'!E5</f>
        <v>66599556</v>
      </c>
      <c r="D5" s="24" t="s">
        <v>321</v>
      </c>
    </row>
    <row r="6" customFormat="false" ht="15" hidden="false" customHeight="false" outlineLevel="0" collapsed="false">
      <c r="B6" s="18" t="s">
        <v>238</v>
      </c>
      <c r="C6" s="12" t="n">
        <f aca="false">'修正BS(借方)'!E9</f>
        <v>9362494</v>
      </c>
      <c r="D6" s="24" t="s">
        <v>322</v>
      </c>
    </row>
    <row r="7" customFormat="false" ht="15" hidden="false" customHeight="false" outlineLevel="0" collapsed="false">
      <c r="B7" s="9" t="s">
        <v>323</v>
      </c>
      <c r="C7" s="10" t="n">
        <f aca="false">C5+C6</f>
        <v>75962050</v>
      </c>
      <c r="D7" s="24"/>
    </row>
    <row r="8" customFormat="false" ht="15" hidden="false" customHeight="false" outlineLevel="0" collapsed="false">
      <c r="B8" s="18" t="s">
        <v>324</v>
      </c>
      <c r="C8" s="12" t="n">
        <f aca="false">'修正BS(貸方) '!E6-14000000</f>
        <v>447024000</v>
      </c>
      <c r="D8" s="24" t="s">
        <v>325</v>
      </c>
    </row>
    <row r="9" customFormat="false" ht="15" hidden="false" customHeight="false" outlineLevel="0" collapsed="false">
      <c r="B9" s="18" t="s">
        <v>326</v>
      </c>
      <c r="C9" s="12" t="n">
        <f aca="false">14000000</f>
        <v>14000000</v>
      </c>
      <c r="D9" s="24" t="s">
        <v>327</v>
      </c>
    </row>
    <row r="10" customFormat="false" ht="15" hidden="false" customHeight="false" outlineLevel="0" collapsed="false">
      <c r="B10" s="18" t="s">
        <v>253</v>
      </c>
      <c r="C10" s="12" t="n">
        <f aca="false">'修正BS(貸方) '!E8</f>
        <v>487200</v>
      </c>
      <c r="D10" s="24" t="s">
        <v>328</v>
      </c>
    </row>
    <row r="11" customFormat="false" ht="15" hidden="false" customHeight="false" outlineLevel="0" collapsed="false">
      <c r="B11" s="9" t="s">
        <v>329</v>
      </c>
      <c r="C11" s="10" t="n">
        <f aca="false">SUM(C8:C10)</f>
        <v>461511200</v>
      </c>
      <c r="D11" s="24"/>
    </row>
    <row r="12" customFormat="false" ht="15" hidden="false" customHeight="false" outlineLevel="0" collapsed="false">
      <c r="B12" s="16" t="s">
        <v>330</v>
      </c>
      <c r="C12" s="17" t="n">
        <f aca="false">C7-C11</f>
        <v>-385549150</v>
      </c>
    </row>
    <row r="14" customFormat="false" ht="15" hidden="false" customHeight="false" outlineLevel="0" collapsed="false">
      <c r="B14" s="18" t="s">
        <v>331</v>
      </c>
      <c r="C14" s="12" t="n">
        <f aca="false">C12+105420000</f>
        <v>-280129150</v>
      </c>
    </row>
    <row r="15" customFormat="false" ht="15" hidden="false" customHeight="false" outlineLevel="0" collapsed="false">
      <c r="B15" s="6" t="s">
        <v>332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L24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36"/>
    <col collapsed="false" customWidth="true" hidden="false" outlineLevel="0" max="11" min="3" style="0" width="13"/>
    <col collapsed="false" customWidth="true" hidden="false" outlineLevel="0" max="12" min="12" style="0" width="50"/>
  </cols>
  <sheetData>
    <row r="2" customFormat="false" ht="17.35" hidden="false" customHeight="false" outlineLevel="0" collapsed="false">
      <c r="B2" s="5" t="s">
        <v>333</v>
      </c>
    </row>
    <row r="4" customFormat="false" ht="15" hidden="false" customHeight="true" outlineLevel="0" collapsed="false">
      <c r="B4" s="7" t="s">
        <v>19</v>
      </c>
      <c r="C4" s="21" t="s">
        <v>21</v>
      </c>
      <c r="D4" s="21"/>
      <c r="E4" s="21"/>
      <c r="F4" s="21" t="s">
        <v>22</v>
      </c>
      <c r="G4" s="21"/>
      <c r="H4" s="21"/>
      <c r="I4" s="21" t="s">
        <v>23</v>
      </c>
      <c r="J4" s="21"/>
      <c r="K4" s="21"/>
      <c r="L4" s="7" t="s">
        <v>25</v>
      </c>
    </row>
    <row r="5" customFormat="false" ht="15" hidden="false" customHeight="false" outlineLevel="0" collapsed="false">
      <c r="B5" s="7"/>
      <c r="C5" s="7" t="s">
        <v>334</v>
      </c>
      <c r="D5" s="7" t="s">
        <v>228</v>
      </c>
      <c r="E5" s="7" t="s">
        <v>229</v>
      </c>
      <c r="F5" s="7" t="s">
        <v>334</v>
      </c>
      <c r="G5" s="7" t="s">
        <v>228</v>
      </c>
      <c r="H5" s="7" t="s">
        <v>229</v>
      </c>
      <c r="I5" s="7" t="s">
        <v>334</v>
      </c>
      <c r="J5" s="7" t="s">
        <v>228</v>
      </c>
      <c r="K5" s="7" t="s">
        <v>229</v>
      </c>
    </row>
    <row r="6" customFormat="false" ht="15" hidden="false" customHeight="false" outlineLevel="0" collapsed="false">
      <c r="B6" s="18" t="s">
        <v>101</v>
      </c>
      <c r="C6" s="12" t="n">
        <f aca="false">PL!E5</f>
        <v>376221193</v>
      </c>
      <c r="D6" s="12" t="n">
        <v>0</v>
      </c>
      <c r="E6" s="12" t="n">
        <f aca="false">C6+D6</f>
        <v>376221193</v>
      </c>
      <c r="F6" s="12" t="n">
        <f aca="false">PL!G5</f>
        <v>382684537</v>
      </c>
      <c r="G6" s="12" t="n">
        <v>0</v>
      </c>
      <c r="H6" s="12" t="n">
        <f aca="false">F6+G6</f>
        <v>382684537</v>
      </c>
      <c r="I6" s="12" t="n">
        <f aca="false">PL!I5</f>
        <v>405963400</v>
      </c>
      <c r="J6" s="12" t="n">
        <v>0</v>
      </c>
      <c r="K6" s="12" t="n">
        <f aca="false">I6+J6</f>
        <v>405963400</v>
      </c>
    </row>
    <row r="7" customFormat="false" ht="15" hidden="false" customHeight="false" outlineLevel="0" collapsed="false">
      <c r="B7" s="18" t="s">
        <v>105</v>
      </c>
      <c r="C7" s="12" t="n">
        <f aca="false">PL!E9</f>
        <v>279653851</v>
      </c>
      <c r="D7" s="12" t="n">
        <f aca="false">修正CR!D41</f>
        <v>0</v>
      </c>
      <c r="E7" s="12" t="n">
        <f aca="false">C7+D7</f>
        <v>279653851</v>
      </c>
      <c r="F7" s="12" t="n">
        <f aca="false">PL!G9</f>
        <v>297300134</v>
      </c>
      <c r="G7" s="12" t="n">
        <f aca="false">修正CR!G41</f>
        <v>0</v>
      </c>
      <c r="H7" s="12" t="n">
        <f aca="false">F7+G7</f>
        <v>297300134</v>
      </c>
      <c r="I7" s="12" t="n">
        <f aca="false">PL!I9</f>
        <v>316589415</v>
      </c>
      <c r="J7" s="12" t="n">
        <f aca="false">修正CR!J41</f>
        <v>-6177985</v>
      </c>
      <c r="K7" s="12" t="n">
        <f aca="false">I7+J7</f>
        <v>310411430</v>
      </c>
    </row>
    <row r="8" customFormat="false" ht="15" hidden="false" customHeight="false" outlineLevel="0" collapsed="false">
      <c r="B8" s="9" t="s">
        <v>111</v>
      </c>
      <c r="C8" s="12" t="n">
        <f aca="false">PL!E15</f>
        <v>96567342</v>
      </c>
      <c r="D8" s="12" t="n">
        <f aca="false">D6-D7</f>
        <v>0</v>
      </c>
      <c r="E8" s="10" t="n">
        <f aca="false">C8+D8</f>
        <v>96567342</v>
      </c>
      <c r="F8" s="12" t="n">
        <f aca="false">PL!G15</f>
        <v>85384403</v>
      </c>
      <c r="G8" s="12" t="n">
        <f aca="false">G6-G7</f>
        <v>0</v>
      </c>
      <c r="H8" s="10" t="n">
        <f aca="false">F8+G8</f>
        <v>85384403</v>
      </c>
      <c r="I8" s="12" t="n">
        <f aca="false">PL!I15</f>
        <v>89373985</v>
      </c>
      <c r="J8" s="12" t="n">
        <f aca="false">J6-J7</f>
        <v>6177985</v>
      </c>
      <c r="K8" s="10" t="n">
        <f aca="false">I8+J8</f>
        <v>95551970</v>
      </c>
    </row>
    <row r="9" customFormat="false" ht="15" hidden="false" customHeight="false" outlineLevel="0" collapsed="false">
      <c r="B9" s="18" t="s">
        <v>112</v>
      </c>
      <c r="C9" s="12" t="n">
        <f aca="false">PL!E16</f>
        <v>71242323</v>
      </c>
      <c r="D9" s="12" t="n">
        <f aca="false">修正SGA!D40</f>
        <v>-307000</v>
      </c>
      <c r="E9" s="12" t="n">
        <f aca="false">C9+D9</f>
        <v>70935323</v>
      </c>
      <c r="F9" s="12" t="n">
        <f aca="false">PL!G16</f>
        <v>71725529</v>
      </c>
      <c r="G9" s="12" t="n">
        <f aca="false">修正SGA!G40</f>
        <v>0</v>
      </c>
      <c r="H9" s="12" t="n">
        <f aca="false">F9+G9</f>
        <v>71725529</v>
      </c>
      <c r="I9" s="12" t="n">
        <f aca="false">PL!I16</f>
        <v>81348592</v>
      </c>
      <c r="J9" s="12" t="n">
        <f aca="false">修正SGA!J40</f>
        <v>0</v>
      </c>
      <c r="K9" s="12" t="n">
        <f aca="false">I9+J9</f>
        <v>81348592</v>
      </c>
    </row>
    <row r="10" customFormat="false" ht="15" hidden="false" customHeight="false" outlineLevel="0" collapsed="false">
      <c r="B10" s="16" t="s">
        <v>121</v>
      </c>
      <c r="C10" s="12" t="n">
        <f aca="false">PL!E24</f>
        <v>25325019</v>
      </c>
      <c r="D10" s="12" t="n">
        <f aca="false">D8-D9</f>
        <v>307000</v>
      </c>
      <c r="E10" s="10" t="n">
        <f aca="false">C10+D10</f>
        <v>25632019</v>
      </c>
      <c r="F10" s="12" t="n">
        <f aca="false">PL!G24</f>
        <v>13658874</v>
      </c>
      <c r="G10" s="12" t="n">
        <f aca="false">G8-G9</f>
        <v>0</v>
      </c>
      <c r="H10" s="10" t="n">
        <f aca="false">F10+G10</f>
        <v>13658874</v>
      </c>
      <c r="I10" s="12" t="n">
        <f aca="false">PL!I24</f>
        <v>8025393</v>
      </c>
      <c r="J10" s="12" t="n">
        <f aca="false">J8-J9</f>
        <v>6177985</v>
      </c>
      <c r="K10" s="10" t="n">
        <f aca="false">I10+J10</f>
        <v>14203378</v>
      </c>
    </row>
    <row r="11" customFormat="false" ht="15" hidden="false" customHeight="false" outlineLevel="0" collapsed="false">
      <c r="B11" s="18" t="s">
        <v>181</v>
      </c>
      <c r="C11" s="12" t="n">
        <f aca="false">PL!E41</f>
        <v>11322083</v>
      </c>
      <c r="D11" s="12" t="n">
        <v>0</v>
      </c>
      <c r="E11" s="12" t="n">
        <f aca="false">C11+D11</f>
        <v>11322083</v>
      </c>
      <c r="F11" s="12" t="n">
        <f aca="false">PL!G41</f>
        <v>20417838</v>
      </c>
      <c r="G11" s="12" t="n">
        <v>0</v>
      </c>
      <c r="H11" s="12" t="n">
        <f aca="false">F11+G11</f>
        <v>20417838</v>
      </c>
      <c r="I11" s="12" t="n">
        <f aca="false">PL!I41</f>
        <v>22335325</v>
      </c>
      <c r="J11" s="12" t="n">
        <v>0</v>
      </c>
      <c r="K11" s="12" t="n">
        <f aca="false">I11+J11</f>
        <v>22335325</v>
      </c>
    </row>
    <row r="12" customFormat="false" ht="15" hidden="false" customHeight="false" outlineLevel="0" collapsed="false">
      <c r="B12" s="30" t="s">
        <v>335</v>
      </c>
      <c r="C12" s="17" t="n">
        <f aca="false">C10+C11</f>
        <v>36647102</v>
      </c>
      <c r="D12" s="17" t="n">
        <f aca="false">D10+D11</f>
        <v>307000</v>
      </c>
      <c r="E12" s="17" t="n">
        <f aca="false">E10+E11</f>
        <v>36954102</v>
      </c>
      <c r="F12" s="17" t="n">
        <f aca="false">F10+F11</f>
        <v>34076712</v>
      </c>
      <c r="G12" s="17" t="n">
        <f aca="false">G10+G11</f>
        <v>0</v>
      </c>
      <c r="H12" s="17" t="n">
        <f aca="false">H10+H11</f>
        <v>34076712</v>
      </c>
      <c r="I12" s="17" t="n">
        <f aca="false">I10+I11</f>
        <v>30360718</v>
      </c>
      <c r="J12" s="17" t="n">
        <f aca="false">J10+J11</f>
        <v>6177985</v>
      </c>
      <c r="K12" s="17" t="n">
        <f aca="false">K10+K11</f>
        <v>36538703</v>
      </c>
    </row>
    <row r="14" customFormat="false" ht="15" hidden="false" customHeight="false" outlineLevel="0" collapsed="false">
      <c r="B14" s="9" t="s">
        <v>336</v>
      </c>
    </row>
    <row r="15" customFormat="false" ht="25.35" hidden="false" customHeight="false" outlineLevel="0" collapsed="false">
      <c r="B15" s="11" t="s">
        <v>337</v>
      </c>
      <c r="D15" s="12" t="n">
        <f aca="false">SGA!D9+CR!D12</f>
        <v>307000</v>
      </c>
      <c r="G15" s="12" t="n">
        <f aca="false">SGA!E9+CR!E12</f>
        <v>0</v>
      </c>
      <c r="J15" s="12" t="n">
        <f aca="false">SGA!F9+CR!F12</f>
        <v>6177985</v>
      </c>
      <c r="L15" s="24" t="s">
        <v>338</v>
      </c>
    </row>
    <row r="16" customFormat="false" ht="25.35" hidden="false" customHeight="false" outlineLevel="0" collapsed="false">
      <c r="B16" s="11" t="s">
        <v>339</v>
      </c>
      <c r="D16" s="12" t="n">
        <v>0</v>
      </c>
      <c r="G16" s="12" t="n">
        <v>0</v>
      </c>
      <c r="J16" s="12" t="n">
        <v>0</v>
      </c>
      <c r="L16" s="24" t="s">
        <v>340</v>
      </c>
    </row>
    <row r="17" customFormat="false" ht="15" hidden="false" customHeight="false" outlineLevel="0" collapsed="false">
      <c r="B17" s="9" t="s">
        <v>341</v>
      </c>
      <c r="D17" s="10" t="n">
        <f aca="false">SUM(D15:D16)</f>
        <v>307000</v>
      </c>
      <c r="G17" s="10" t="n">
        <f aca="false">SUM(G15:G16)</f>
        <v>0</v>
      </c>
      <c r="J17" s="10" t="n">
        <f aca="false">SUM(J15:J16)</f>
        <v>6177985</v>
      </c>
    </row>
    <row r="18" customFormat="false" ht="15" hidden="false" customHeight="false" outlineLevel="0" collapsed="false">
      <c r="B18" s="18" t="s">
        <v>342</v>
      </c>
      <c r="D18" s="20" t="b">
        <f aca="false">EXACT(D17,D10)</f>
        <v>1</v>
      </c>
      <c r="G18" s="20" t="b">
        <f aca="false">EXACT(G17,G10)</f>
        <v>1</v>
      </c>
      <c r="J18" s="20" t="b">
        <f aca="false">EXACT(J17,J10)</f>
        <v>1</v>
      </c>
    </row>
    <row r="20" customFormat="false" ht="15" hidden="false" customHeight="false" outlineLevel="0" collapsed="false">
      <c r="B20" s="31" t="s">
        <v>343</v>
      </c>
    </row>
    <row r="21" customFormat="false" ht="15" hidden="false" customHeight="false" outlineLevel="0" collapsed="false">
      <c r="B21" s="31" t="s">
        <v>344</v>
      </c>
    </row>
    <row r="22" customFormat="false" ht="15" hidden="false" customHeight="false" outlineLevel="0" collapsed="false">
      <c r="B22" s="31" t="s">
        <v>345</v>
      </c>
    </row>
    <row r="23" customFormat="false" ht="15" hidden="false" customHeight="false" outlineLevel="0" collapsed="false">
      <c r="B23" s="31" t="s">
        <v>346</v>
      </c>
    </row>
    <row r="24" customFormat="false" ht="15" hidden="false" customHeight="false" outlineLevel="0" collapsed="false">
      <c r="B24" s="31" t="s">
        <v>347</v>
      </c>
    </row>
  </sheetData>
  <mergeCells count="3">
    <mergeCell ref="C4:E4"/>
    <mergeCell ref="F4:H4"/>
    <mergeCell ref="I4:K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L41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30"/>
    <col collapsed="false" customWidth="true" hidden="false" outlineLevel="0" max="11" min="3" style="0" width="13"/>
    <col collapsed="false" customWidth="true" hidden="false" outlineLevel="0" max="12" min="12" style="0" width="40"/>
  </cols>
  <sheetData>
    <row r="2" customFormat="false" ht="17.35" hidden="false" customHeight="false" outlineLevel="0" collapsed="false">
      <c r="B2" s="5" t="s">
        <v>348</v>
      </c>
    </row>
    <row r="4" customFormat="false" ht="15" hidden="false" customHeight="true" outlineLevel="0" collapsed="false">
      <c r="B4" s="7" t="s">
        <v>19</v>
      </c>
      <c r="C4" s="21" t="s">
        <v>21</v>
      </c>
      <c r="D4" s="21"/>
      <c r="E4" s="21"/>
      <c r="F4" s="21" t="s">
        <v>22</v>
      </c>
      <c r="G4" s="21"/>
      <c r="H4" s="21"/>
      <c r="I4" s="21" t="s">
        <v>23</v>
      </c>
      <c r="J4" s="21"/>
      <c r="K4" s="21"/>
      <c r="L4" s="7" t="s">
        <v>349</v>
      </c>
    </row>
    <row r="5" customFormat="false" ht="15" hidden="false" customHeight="false" outlineLevel="0" collapsed="false">
      <c r="B5" s="7"/>
      <c r="C5" s="7" t="s">
        <v>334</v>
      </c>
      <c r="D5" s="7" t="s">
        <v>228</v>
      </c>
      <c r="E5" s="7" t="s">
        <v>229</v>
      </c>
      <c r="F5" s="7" t="s">
        <v>334</v>
      </c>
      <c r="G5" s="7" t="s">
        <v>228</v>
      </c>
      <c r="H5" s="7" t="s">
        <v>229</v>
      </c>
      <c r="I5" s="7" t="s">
        <v>334</v>
      </c>
      <c r="J5" s="7" t="s">
        <v>228</v>
      </c>
      <c r="K5" s="7" t="s">
        <v>229</v>
      </c>
    </row>
    <row r="6" customFormat="false" ht="15" hidden="false" customHeight="false" outlineLevel="0" collapsed="false">
      <c r="B6" s="18" t="s">
        <v>350</v>
      </c>
      <c r="C6" s="12" t="n">
        <f aca="false">SGA!D6</f>
        <v>7200000</v>
      </c>
      <c r="D6" s="12" t="n">
        <v>0</v>
      </c>
      <c r="E6" s="12" t="n">
        <f aca="false">C6+D6</f>
        <v>7200000</v>
      </c>
      <c r="F6" s="12" t="n">
        <f aca="false">SGA!E6</f>
        <v>7200000</v>
      </c>
      <c r="G6" s="12" t="n">
        <v>0</v>
      </c>
      <c r="H6" s="12" t="n">
        <f aca="false">F6+G6</f>
        <v>7200000</v>
      </c>
      <c r="I6" s="12" t="n">
        <f aca="false">SGA!F6</f>
        <v>7200000</v>
      </c>
      <c r="J6" s="12" t="n">
        <v>0</v>
      </c>
      <c r="K6" s="12" t="n">
        <f aca="false">I6+J6</f>
        <v>7200000</v>
      </c>
    </row>
    <row r="7" customFormat="false" ht="15" hidden="false" customHeight="false" outlineLevel="0" collapsed="false">
      <c r="B7" s="18" t="s">
        <v>351</v>
      </c>
      <c r="C7" s="12" t="n">
        <f aca="false">SGA!D7</f>
        <v>10109435</v>
      </c>
      <c r="D7" s="12" t="n">
        <v>0</v>
      </c>
      <c r="E7" s="12" t="n">
        <f aca="false">C7+D7</f>
        <v>10109435</v>
      </c>
      <c r="F7" s="12" t="n">
        <f aca="false">SGA!E7</f>
        <v>11966797</v>
      </c>
      <c r="G7" s="12" t="n">
        <v>0</v>
      </c>
      <c r="H7" s="12" t="n">
        <f aca="false">F7+G7</f>
        <v>11966797</v>
      </c>
      <c r="I7" s="12" t="n">
        <f aca="false">SGA!F7</f>
        <v>11506863</v>
      </c>
      <c r="J7" s="12" t="n">
        <v>0</v>
      </c>
      <c r="K7" s="12" t="n">
        <f aca="false">I7+J7</f>
        <v>11506863</v>
      </c>
    </row>
    <row r="8" customFormat="false" ht="15" hidden="false" customHeight="false" outlineLevel="0" collapsed="false">
      <c r="B8" s="18" t="s">
        <v>352</v>
      </c>
      <c r="C8" s="12" t="n">
        <f aca="false">SGA!D8</f>
        <v>730000</v>
      </c>
      <c r="D8" s="12" t="n">
        <v>0</v>
      </c>
      <c r="E8" s="12" t="n">
        <f aca="false">C8+D8</f>
        <v>730000</v>
      </c>
      <c r="F8" s="12" t="n">
        <f aca="false">SGA!E8</f>
        <v>972000</v>
      </c>
      <c r="G8" s="12" t="n">
        <v>0</v>
      </c>
      <c r="H8" s="12" t="n">
        <f aca="false">F8+G8</f>
        <v>972000</v>
      </c>
      <c r="I8" s="12" t="n">
        <f aca="false">SGA!F8</f>
        <v>1413000</v>
      </c>
      <c r="J8" s="12" t="n">
        <v>0</v>
      </c>
      <c r="K8" s="12" t="n">
        <f aca="false">I8+J8</f>
        <v>1413000</v>
      </c>
    </row>
    <row r="9" customFormat="false" ht="15" hidden="false" customHeight="false" outlineLevel="0" collapsed="false">
      <c r="B9" s="18" t="s">
        <v>353</v>
      </c>
      <c r="C9" s="12" t="n">
        <f aca="false">SGA!D9</f>
        <v>307000</v>
      </c>
      <c r="D9" s="12" t="n">
        <f aca="false">-C9</f>
        <v>-307000</v>
      </c>
      <c r="E9" s="12" t="n">
        <f aca="false">C9+D9</f>
        <v>0</v>
      </c>
      <c r="F9" s="12" t="n">
        <f aca="false">SGA!E9</f>
        <v>0</v>
      </c>
      <c r="G9" s="12" t="n">
        <f aca="false">-F9</f>
        <v>-0</v>
      </c>
      <c r="H9" s="12" t="n">
        <f aca="false">F9+G9</f>
        <v>0</v>
      </c>
      <c r="I9" s="12" t="n">
        <f aca="false">SGA!F9</f>
        <v>0</v>
      </c>
      <c r="J9" s="12" t="n">
        <f aca="false">-I9</f>
        <v>-0</v>
      </c>
      <c r="K9" s="12" t="n">
        <f aca="false">I9+J9</f>
        <v>0</v>
      </c>
      <c r="L9" s="24" t="s">
        <v>354</v>
      </c>
    </row>
    <row r="10" customFormat="false" ht="15" hidden="false" customHeight="false" outlineLevel="0" collapsed="false">
      <c r="B10" s="18" t="s">
        <v>355</v>
      </c>
      <c r="C10" s="12" t="n">
        <f aca="false">SGA!D10</f>
        <v>2540936</v>
      </c>
      <c r="D10" s="12" t="n">
        <v>0</v>
      </c>
      <c r="E10" s="12" t="n">
        <f aca="false">C10+D10</f>
        <v>2540936</v>
      </c>
      <c r="F10" s="12" t="n">
        <f aca="false">SGA!E10</f>
        <v>3066033</v>
      </c>
      <c r="G10" s="12" t="n">
        <v>0</v>
      </c>
      <c r="H10" s="12" t="n">
        <f aca="false">F10+G10</f>
        <v>3066033</v>
      </c>
      <c r="I10" s="12" t="n">
        <f aca="false">SGA!F10</f>
        <v>3153781</v>
      </c>
      <c r="J10" s="12" t="n">
        <v>0</v>
      </c>
      <c r="K10" s="12" t="n">
        <f aca="false">I10+J10</f>
        <v>3153781</v>
      </c>
    </row>
    <row r="11" customFormat="false" ht="15" hidden="false" customHeight="false" outlineLevel="0" collapsed="false">
      <c r="B11" s="18" t="s">
        <v>356</v>
      </c>
      <c r="C11" s="12" t="n">
        <f aca="false">SGA!D11</f>
        <v>120000</v>
      </c>
      <c r="D11" s="12" t="n">
        <v>0</v>
      </c>
      <c r="E11" s="12" t="n">
        <f aca="false">C11+D11</f>
        <v>120000</v>
      </c>
      <c r="F11" s="12" t="n">
        <f aca="false">SGA!E11</f>
        <v>120000</v>
      </c>
      <c r="G11" s="12" t="n">
        <v>0</v>
      </c>
      <c r="H11" s="12" t="n">
        <f aca="false">F11+G11</f>
        <v>120000</v>
      </c>
      <c r="I11" s="12" t="n">
        <f aca="false">SGA!F11</f>
        <v>120000</v>
      </c>
      <c r="J11" s="12" t="n">
        <v>0</v>
      </c>
      <c r="K11" s="12" t="n">
        <f aca="false">I11+J11</f>
        <v>120000</v>
      </c>
    </row>
    <row r="12" customFormat="false" ht="15" hidden="false" customHeight="false" outlineLevel="0" collapsed="false">
      <c r="B12" s="18" t="s">
        <v>357</v>
      </c>
      <c r="C12" s="12" t="n">
        <f aca="false">SGA!D12</f>
        <v>0</v>
      </c>
      <c r="D12" s="12" t="n">
        <v>0</v>
      </c>
      <c r="E12" s="12" t="n">
        <f aca="false">C12+D12</f>
        <v>0</v>
      </c>
      <c r="F12" s="12" t="n">
        <f aca="false">SGA!E12</f>
        <v>0</v>
      </c>
      <c r="G12" s="12" t="n">
        <v>0</v>
      </c>
      <c r="H12" s="12" t="n">
        <f aca="false">F12+G12</f>
        <v>0</v>
      </c>
      <c r="I12" s="12" t="n">
        <f aca="false">SGA!F12</f>
        <v>4802</v>
      </c>
      <c r="J12" s="12" t="n">
        <v>0</v>
      </c>
      <c r="K12" s="12" t="n">
        <f aca="false">I12+J12</f>
        <v>4802</v>
      </c>
    </row>
    <row r="13" customFormat="false" ht="15" hidden="false" customHeight="false" outlineLevel="0" collapsed="false">
      <c r="B13" s="18" t="s">
        <v>358</v>
      </c>
      <c r="C13" s="12" t="n">
        <f aca="false">SGA!D13</f>
        <v>58098</v>
      </c>
      <c r="D13" s="12" t="n">
        <v>0</v>
      </c>
      <c r="E13" s="12" t="n">
        <f aca="false">C13+D13</f>
        <v>58098</v>
      </c>
      <c r="F13" s="12" t="n">
        <f aca="false">SGA!E13</f>
        <v>133642</v>
      </c>
      <c r="G13" s="12" t="n">
        <v>0</v>
      </c>
      <c r="H13" s="12" t="n">
        <f aca="false">F13+G13</f>
        <v>133642</v>
      </c>
      <c r="I13" s="12" t="n">
        <f aca="false">SGA!F13</f>
        <v>129205</v>
      </c>
      <c r="J13" s="12" t="n">
        <v>0</v>
      </c>
      <c r="K13" s="12" t="n">
        <f aca="false">I13+J13</f>
        <v>129205</v>
      </c>
    </row>
    <row r="14" customFormat="false" ht="15" hidden="false" customHeight="false" outlineLevel="0" collapsed="false">
      <c r="B14" s="18" t="s">
        <v>359</v>
      </c>
      <c r="C14" s="12" t="n">
        <f aca="false">SGA!D15</f>
        <v>225000</v>
      </c>
      <c r="D14" s="12" t="n">
        <v>0</v>
      </c>
      <c r="E14" s="12" t="n">
        <f aca="false">C14+D14</f>
        <v>225000</v>
      </c>
      <c r="F14" s="12" t="n">
        <f aca="false">SGA!E15</f>
        <v>30000</v>
      </c>
      <c r="G14" s="12" t="n">
        <v>0</v>
      </c>
      <c r="H14" s="12" t="n">
        <f aca="false">F14+G14</f>
        <v>30000</v>
      </c>
      <c r="I14" s="12" t="n">
        <f aca="false">SGA!F15</f>
        <v>45000</v>
      </c>
      <c r="J14" s="12" t="n">
        <v>0</v>
      </c>
      <c r="K14" s="12" t="n">
        <f aca="false">I14+J14</f>
        <v>45000</v>
      </c>
    </row>
    <row r="15" customFormat="false" ht="15" hidden="false" customHeight="false" outlineLevel="0" collapsed="false">
      <c r="B15" s="18" t="s">
        <v>360</v>
      </c>
      <c r="C15" s="12" t="n">
        <f aca="false">SGA!D16</f>
        <v>0</v>
      </c>
      <c r="D15" s="12" t="n">
        <v>0</v>
      </c>
      <c r="E15" s="12" t="n">
        <f aca="false">C15+D15</f>
        <v>0</v>
      </c>
      <c r="F15" s="12" t="n">
        <f aca="false">SGA!E16</f>
        <v>0</v>
      </c>
      <c r="G15" s="12" t="n">
        <v>0</v>
      </c>
      <c r="H15" s="12" t="n">
        <f aca="false">F15+G15</f>
        <v>0</v>
      </c>
      <c r="I15" s="12" t="n">
        <f aca="false">SGA!F16</f>
        <v>0</v>
      </c>
      <c r="J15" s="12" t="n">
        <v>0</v>
      </c>
      <c r="K15" s="12" t="n">
        <f aca="false">I15+J15</f>
        <v>0</v>
      </c>
    </row>
    <row r="16" customFormat="false" ht="15" hidden="false" customHeight="false" outlineLevel="0" collapsed="false">
      <c r="B16" s="18" t="s">
        <v>361</v>
      </c>
      <c r="C16" s="12" t="n">
        <f aca="false">SGA!D17</f>
        <v>522466</v>
      </c>
      <c r="D16" s="12" t="n">
        <v>0</v>
      </c>
      <c r="E16" s="12" t="n">
        <f aca="false">C16+D16</f>
        <v>522466</v>
      </c>
      <c r="F16" s="12" t="n">
        <f aca="false">SGA!E17</f>
        <v>14000</v>
      </c>
      <c r="G16" s="12" t="n">
        <v>0</v>
      </c>
      <c r="H16" s="12" t="n">
        <f aca="false">F16+G16</f>
        <v>14000</v>
      </c>
      <c r="I16" s="12" t="n">
        <f aca="false">SGA!F17</f>
        <v>260939</v>
      </c>
      <c r="J16" s="12" t="n">
        <v>0</v>
      </c>
      <c r="K16" s="12" t="n">
        <f aca="false">I16+J16</f>
        <v>260939</v>
      </c>
    </row>
    <row r="17" customFormat="false" ht="15" hidden="false" customHeight="false" outlineLevel="0" collapsed="false">
      <c r="B17" s="18" t="s">
        <v>362</v>
      </c>
      <c r="C17" s="12" t="n">
        <f aca="false">SGA!D18</f>
        <v>1745460</v>
      </c>
      <c r="D17" s="12" t="n">
        <v>0</v>
      </c>
      <c r="E17" s="12" t="n">
        <f aca="false">C17+D17</f>
        <v>1745460</v>
      </c>
      <c r="F17" s="12" t="n">
        <f aca="false">SGA!E18</f>
        <v>1745460</v>
      </c>
      <c r="G17" s="12" t="n">
        <v>0</v>
      </c>
      <c r="H17" s="12" t="n">
        <f aca="false">F17+G17</f>
        <v>1745460</v>
      </c>
      <c r="I17" s="12" t="n">
        <f aca="false">SGA!F18</f>
        <v>1745460</v>
      </c>
      <c r="J17" s="12" t="n">
        <v>0</v>
      </c>
      <c r="K17" s="12" t="n">
        <f aca="false">I17+J17</f>
        <v>1745460</v>
      </c>
    </row>
    <row r="18" customFormat="false" ht="15" hidden="false" customHeight="false" outlineLevel="0" collapsed="false">
      <c r="B18" s="18" t="s">
        <v>363</v>
      </c>
      <c r="C18" s="12" t="n">
        <f aca="false">SGA!D19</f>
        <v>352960</v>
      </c>
      <c r="D18" s="12" t="n">
        <v>0</v>
      </c>
      <c r="E18" s="12" t="n">
        <f aca="false">C18+D18</f>
        <v>352960</v>
      </c>
      <c r="F18" s="12" t="n">
        <f aca="false">SGA!E19</f>
        <v>935400</v>
      </c>
      <c r="G18" s="12" t="n">
        <v>0</v>
      </c>
      <c r="H18" s="12" t="n">
        <f aca="false">F18+G18</f>
        <v>935400</v>
      </c>
      <c r="I18" s="12" t="n">
        <f aca="false">SGA!F19</f>
        <v>1755600</v>
      </c>
      <c r="J18" s="12" t="n">
        <v>0</v>
      </c>
      <c r="K18" s="12" t="n">
        <f aca="false">I18+J18</f>
        <v>1755600</v>
      </c>
    </row>
    <row r="19" customFormat="false" ht="15" hidden="false" customHeight="false" outlineLevel="0" collapsed="false">
      <c r="B19" s="18" t="s">
        <v>364</v>
      </c>
      <c r="C19" s="12" t="n">
        <f aca="false">SGA!D20</f>
        <v>679400</v>
      </c>
      <c r="D19" s="12" t="n">
        <v>0</v>
      </c>
      <c r="E19" s="12" t="n">
        <f aca="false">C19+D19</f>
        <v>679400</v>
      </c>
      <c r="F19" s="12" t="n">
        <f aca="false">SGA!E20</f>
        <v>183340</v>
      </c>
      <c r="G19" s="12" t="n">
        <v>0</v>
      </c>
      <c r="H19" s="12" t="n">
        <f aca="false">F19+G19</f>
        <v>183340</v>
      </c>
      <c r="I19" s="12" t="n">
        <f aca="false">SGA!F20</f>
        <v>1052000</v>
      </c>
      <c r="J19" s="12" t="n">
        <v>0</v>
      </c>
      <c r="K19" s="12" t="n">
        <f aca="false">I19+J19</f>
        <v>1052000</v>
      </c>
    </row>
    <row r="20" customFormat="false" ht="15" hidden="false" customHeight="false" outlineLevel="0" collapsed="false">
      <c r="B20" s="18" t="s">
        <v>365</v>
      </c>
      <c r="C20" s="12" t="n">
        <f aca="false">SGA!D21</f>
        <v>16818</v>
      </c>
      <c r="D20" s="12" t="n">
        <v>0</v>
      </c>
      <c r="E20" s="12" t="n">
        <f aca="false">C20+D20</f>
        <v>16818</v>
      </c>
      <c r="F20" s="12" t="n">
        <f aca="false">SGA!E21</f>
        <v>16576</v>
      </c>
      <c r="G20" s="12" t="n">
        <v>0</v>
      </c>
      <c r="H20" s="12" t="n">
        <f aca="false">F20+G20</f>
        <v>16576</v>
      </c>
      <c r="I20" s="12" t="n">
        <f aca="false">SGA!F21</f>
        <v>27318</v>
      </c>
      <c r="J20" s="12" t="n">
        <v>0</v>
      </c>
      <c r="K20" s="12" t="n">
        <f aca="false">I20+J20</f>
        <v>27318</v>
      </c>
    </row>
    <row r="21" customFormat="false" ht="15" hidden="false" customHeight="false" outlineLevel="0" collapsed="false">
      <c r="B21" s="18" t="s">
        <v>366</v>
      </c>
      <c r="C21" s="12" t="n">
        <f aca="false">SGA!D22</f>
        <v>0</v>
      </c>
      <c r="D21" s="12" t="n">
        <v>0</v>
      </c>
      <c r="E21" s="12" t="n">
        <f aca="false">C21+D21</f>
        <v>0</v>
      </c>
      <c r="F21" s="12" t="n">
        <f aca="false">SGA!E22</f>
        <v>0</v>
      </c>
      <c r="G21" s="12" t="n">
        <v>0</v>
      </c>
      <c r="H21" s="12" t="n">
        <f aca="false">F21+G21</f>
        <v>0</v>
      </c>
      <c r="I21" s="12" t="n">
        <f aca="false">SGA!F22</f>
        <v>0</v>
      </c>
      <c r="J21" s="12" t="n">
        <v>0</v>
      </c>
      <c r="K21" s="12" t="n">
        <f aca="false">I21+J21</f>
        <v>0</v>
      </c>
    </row>
    <row r="22" customFormat="false" ht="15" hidden="false" customHeight="false" outlineLevel="0" collapsed="false">
      <c r="B22" s="18" t="s">
        <v>367</v>
      </c>
      <c r="C22" s="12" t="n">
        <f aca="false">SGA!D23</f>
        <v>1597398</v>
      </c>
      <c r="D22" s="12" t="n">
        <v>0</v>
      </c>
      <c r="E22" s="12" t="n">
        <f aca="false">C22+D22</f>
        <v>1597398</v>
      </c>
      <c r="F22" s="12" t="n">
        <f aca="false">SGA!E23</f>
        <v>1746387</v>
      </c>
      <c r="G22" s="12" t="n">
        <v>0</v>
      </c>
      <c r="H22" s="12" t="n">
        <f aca="false">F22+G22</f>
        <v>1746387</v>
      </c>
      <c r="I22" s="12" t="n">
        <f aca="false">SGA!F23</f>
        <v>1702675</v>
      </c>
      <c r="J22" s="12" t="n">
        <v>0</v>
      </c>
      <c r="K22" s="12" t="n">
        <f aca="false">I22+J22</f>
        <v>1702675</v>
      </c>
    </row>
    <row r="23" customFormat="false" ht="15" hidden="false" customHeight="false" outlineLevel="0" collapsed="false">
      <c r="B23" s="18" t="s">
        <v>368</v>
      </c>
      <c r="C23" s="12" t="n">
        <f aca="false">SGA!D24</f>
        <v>54096</v>
      </c>
      <c r="D23" s="12" t="n">
        <v>0</v>
      </c>
      <c r="E23" s="12" t="n">
        <f aca="false">C23+D23</f>
        <v>54096</v>
      </c>
      <c r="F23" s="12" t="n">
        <f aca="false">SGA!E24</f>
        <v>448259</v>
      </c>
      <c r="G23" s="12" t="n">
        <v>0</v>
      </c>
      <c r="H23" s="12" t="n">
        <f aca="false">F23+G23</f>
        <v>448259</v>
      </c>
      <c r="I23" s="12" t="n">
        <f aca="false">SGA!F24</f>
        <v>45981</v>
      </c>
      <c r="J23" s="12" t="n">
        <v>0</v>
      </c>
      <c r="K23" s="12" t="n">
        <f aca="false">I23+J23</f>
        <v>45981</v>
      </c>
    </row>
    <row r="24" customFormat="false" ht="15" hidden="false" customHeight="false" outlineLevel="0" collapsed="false">
      <c r="B24" s="18" t="s">
        <v>369</v>
      </c>
      <c r="C24" s="12" t="n">
        <f aca="false">SGA!D26</f>
        <v>9546435</v>
      </c>
      <c r="D24" s="12" t="n">
        <v>0</v>
      </c>
      <c r="E24" s="12" t="n">
        <f aca="false">C24+D24</f>
        <v>9546435</v>
      </c>
      <c r="F24" s="12" t="n">
        <f aca="false">SGA!E26</f>
        <v>6157562</v>
      </c>
      <c r="G24" s="12" t="n">
        <v>0</v>
      </c>
      <c r="H24" s="12" t="n">
        <f aca="false">F24+G24</f>
        <v>6157562</v>
      </c>
      <c r="I24" s="12" t="n">
        <f aca="false">SGA!F26</f>
        <v>8554275</v>
      </c>
      <c r="J24" s="12" t="n">
        <v>0</v>
      </c>
      <c r="K24" s="12" t="n">
        <f aca="false">I24+J24</f>
        <v>8554275</v>
      </c>
    </row>
    <row r="25" customFormat="false" ht="15" hidden="false" customHeight="false" outlineLevel="0" collapsed="false">
      <c r="B25" s="18" t="s">
        <v>370</v>
      </c>
      <c r="C25" s="12" t="n">
        <f aca="false">SGA!D27</f>
        <v>864014</v>
      </c>
      <c r="D25" s="12" t="n">
        <v>0</v>
      </c>
      <c r="E25" s="12" t="n">
        <f aca="false">C25+D25</f>
        <v>864014</v>
      </c>
      <c r="F25" s="12" t="n">
        <f aca="false">SGA!E27</f>
        <v>676560</v>
      </c>
      <c r="G25" s="12" t="n">
        <v>0</v>
      </c>
      <c r="H25" s="12" t="n">
        <f aca="false">F25+G25</f>
        <v>676560</v>
      </c>
      <c r="I25" s="12" t="n">
        <f aca="false">SGA!F27</f>
        <v>626800</v>
      </c>
      <c r="J25" s="12" t="n">
        <v>0</v>
      </c>
      <c r="K25" s="12" t="n">
        <f aca="false">I25+J25</f>
        <v>626800</v>
      </c>
    </row>
    <row r="26" customFormat="false" ht="15" hidden="false" customHeight="false" outlineLevel="0" collapsed="false">
      <c r="B26" s="18" t="s">
        <v>371</v>
      </c>
      <c r="C26" s="12" t="n">
        <f aca="false">SGA!D28</f>
        <v>1050000</v>
      </c>
      <c r="D26" s="12" t="n">
        <v>0</v>
      </c>
      <c r="E26" s="12" t="n">
        <f aca="false">C26+D26</f>
        <v>1050000</v>
      </c>
      <c r="F26" s="12" t="n">
        <f aca="false">SGA!E28</f>
        <v>1281000</v>
      </c>
      <c r="G26" s="12" t="n">
        <v>0</v>
      </c>
      <c r="H26" s="12" t="n">
        <f aca="false">F26+G26</f>
        <v>1281000</v>
      </c>
      <c r="I26" s="12" t="n">
        <f aca="false">SGA!F28</f>
        <v>790000</v>
      </c>
      <c r="J26" s="12" t="n">
        <v>0</v>
      </c>
      <c r="K26" s="12" t="n">
        <f aca="false">I26+J26</f>
        <v>790000</v>
      </c>
    </row>
    <row r="27" customFormat="false" ht="15" hidden="false" customHeight="false" outlineLevel="0" collapsed="false">
      <c r="B27" s="18" t="s">
        <v>372</v>
      </c>
      <c r="C27" s="12" t="n">
        <f aca="false">SGA!D29</f>
        <v>22043775</v>
      </c>
      <c r="D27" s="12" t="n">
        <v>0</v>
      </c>
      <c r="E27" s="12" t="n">
        <f aca="false">C27+D27</f>
        <v>22043775</v>
      </c>
      <c r="F27" s="12" t="n">
        <f aca="false">SGA!E29</f>
        <v>21569577</v>
      </c>
      <c r="G27" s="12" t="n">
        <v>0</v>
      </c>
      <c r="H27" s="12" t="n">
        <f aca="false">F27+G27</f>
        <v>21569577</v>
      </c>
      <c r="I27" s="12" t="n">
        <f aca="false">SGA!F29</f>
        <v>27569869</v>
      </c>
      <c r="J27" s="12" t="n">
        <v>0</v>
      </c>
      <c r="K27" s="12" t="n">
        <f aca="false">I27+J27</f>
        <v>27569869</v>
      </c>
    </row>
    <row r="28" customFormat="false" ht="15" hidden="false" customHeight="false" outlineLevel="0" collapsed="false">
      <c r="B28" s="18" t="s">
        <v>373</v>
      </c>
      <c r="C28" s="12" t="n">
        <f aca="false">SGA!D31</f>
        <v>94000</v>
      </c>
      <c r="D28" s="12" t="n">
        <v>0</v>
      </c>
      <c r="E28" s="12" t="n">
        <f aca="false">C28+D28</f>
        <v>94000</v>
      </c>
      <c r="F28" s="12" t="n">
        <f aca="false">SGA!E31</f>
        <v>47000</v>
      </c>
      <c r="G28" s="12" t="n">
        <v>0</v>
      </c>
      <c r="H28" s="12" t="n">
        <f aca="false">F28+G28</f>
        <v>47000</v>
      </c>
      <c r="I28" s="12" t="n">
        <f aca="false">SGA!F31</f>
        <v>46000</v>
      </c>
      <c r="J28" s="12" t="n">
        <v>0</v>
      </c>
      <c r="K28" s="12" t="n">
        <f aca="false">I28+J28</f>
        <v>46000</v>
      </c>
    </row>
    <row r="29" customFormat="false" ht="15" hidden="false" customHeight="false" outlineLevel="0" collapsed="false">
      <c r="B29" s="18" t="s">
        <v>374</v>
      </c>
      <c r="C29" s="12" t="n">
        <f aca="false">SGA!D32</f>
        <v>91891</v>
      </c>
      <c r="D29" s="12" t="n">
        <v>0</v>
      </c>
      <c r="E29" s="12" t="n">
        <f aca="false">C29+D29</f>
        <v>91891</v>
      </c>
      <c r="F29" s="12" t="n">
        <f aca="false">SGA!E32</f>
        <v>33634</v>
      </c>
      <c r="G29" s="12" t="n">
        <v>0</v>
      </c>
      <c r="H29" s="12" t="n">
        <f aca="false">F29+G29</f>
        <v>33634</v>
      </c>
      <c r="I29" s="12" t="n">
        <f aca="false">SGA!F32</f>
        <v>65103</v>
      </c>
      <c r="J29" s="12" t="n">
        <v>0</v>
      </c>
      <c r="K29" s="12" t="n">
        <f aca="false">I29+J29</f>
        <v>65103</v>
      </c>
    </row>
    <row r="30" customFormat="false" ht="15" hidden="false" customHeight="false" outlineLevel="0" collapsed="false">
      <c r="B30" s="18" t="s">
        <v>375</v>
      </c>
      <c r="C30" s="12" t="n">
        <f aca="false">SGA!D33</f>
        <v>765078</v>
      </c>
      <c r="D30" s="12" t="n">
        <v>0</v>
      </c>
      <c r="E30" s="12" t="n">
        <f aca="false">C30+D30</f>
        <v>765078</v>
      </c>
      <c r="F30" s="12" t="n">
        <f aca="false">SGA!E33</f>
        <v>884058</v>
      </c>
      <c r="G30" s="12" t="n">
        <v>0</v>
      </c>
      <c r="H30" s="12" t="n">
        <f aca="false">F30+G30</f>
        <v>884058</v>
      </c>
      <c r="I30" s="12" t="n">
        <f aca="false">SGA!F33</f>
        <v>719400</v>
      </c>
      <c r="J30" s="12" t="n">
        <v>0</v>
      </c>
      <c r="K30" s="12" t="n">
        <f aca="false">I30+J30</f>
        <v>719400</v>
      </c>
    </row>
    <row r="31" customFormat="false" ht="15" hidden="false" customHeight="false" outlineLevel="0" collapsed="false">
      <c r="B31" s="18" t="s">
        <v>376</v>
      </c>
      <c r="C31" s="12" t="n">
        <f aca="false">SGA!D35</f>
        <v>2269239</v>
      </c>
      <c r="D31" s="12" t="n">
        <v>0</v>
      </c>
      <c r="E31" s="12" t="n">
        <f aca="false">C31+D31</f>
        <v>2269239</v>
      </c>
      <c r="F31" s="12" t="n">
        <f aca="false">SGA!E35</f>
        <v>2256449</v>
      </c>
      <c r="G31" s="12" t="n">
        <v>0</v>
      </c>
      <c r="H31" s="12" t="n">
        <f aca="false">F31+G31</f>
        <v>2256449</v>
      </c>
      <c r="I31" s="12" t="n">
        <f aca="false">SGA!F35</f>
        <v>4667404</v>
      </c>
      <c r="J31" s="12" t="n">
        <v>0</v>
      </c>
      <c r="K31" s="12" t="n">
        <f aca="false">I31+J31</f>
        <v>4667404</v>
      </c>
    </row>
    <row r="32" customFormat="false" ht="15" hidden="false" customHeight="false" outlineLevel="0" collapsed="false">
      <c r="B32" s="18" t="s">
        <v>377</v>
      </c>
      <c r="C32" s="12" t="n">
        <f aca="false">SGA!D36</f>
        <v>1250200</v>
      </c>
      <c r="D32" s="12" t="n">
        <v>0</v>
      </c>
      <c r="E32" s="12" t="n">
        <f aca="false">C32+D32</f>
        <v>1250200</v>
      </c>
      <c r="F32" s="12" t="n">
        <f aca="false">SGA!E36</f>
        <v>1097345</v>
      </c>
      <c r="G32" s="12" t="n">
        <v>0</v>
      </c>
      <c r="H32" s="12" t="n">
        <f aca="false">F32+G32</f>
        <v>1097345</v>
      </c>
      <c r="I32" s="12" t="n">
        <f aca="false">SGA!F36</f>
        <v>1272153</v>
      </c>
      <c r="J32" s="12" t="n">
        <v>0</v>
      </c>
      <c r="K32" s="12" t="n">
        <f aca="false">I32+J32</f>
        <v>1272153</v>
      </c>
    </row>
    <row r="33" customFormat="false" ht="15" hidden="false" customHeight="false" outlineLevel="0" collapsed="false">
      <c r="B33" s="18" t="s">
        <v>378</v>
      </c>
      <c r="C33" s="12" t="n">
        <f aca="false">SGA!D37</f>
        <v>0</v>
      </c>
      <c r="D33" s="12" t="n">
        <v>0</v>
      </c>
      <c r="E33" s="12" t="n">
        <f aca="false">C33+D33</f>
        <v>0</v>
      </c>
      <c r="F33" s="12" t="n">
        <f aca="false">SGA!E37</f>
        <v>0</v>
      </c>
      <c r="G33" s="12" t="n">
        <v>0</v>
      </c>
      <c r="H33" s="12" t="n">
        <f aca="false">F33+G33</f>
        <v>0</v>
      </c>
      <c r="I33" s="12" t="n">
        <f aca="false">SGA!F37</f>
        <v>0</v>
      </c>
      <c r="J33" s="12" t="n">
        <v>0</v>
      </c>
      <c r="K33" s="12" t="n">
        <f aca="false">I33+J33</f>
        <v>0</v>
      </c>
    </row>
    <row r="34" customFormat="false" ht="15" hidden="false" customHeight="false" outlineLevel="0" collapsed="false">
      <c r="B34" s="18" t="s">
        <v>379</v>
      </c>
      <c r="C34" s="12" t="n">
        <f aca="false">SGA!D38</f>
        <v>498435</v>
      </c>
      <c r="D34" s="12" t="n">
        <v>0</v>
      </c>
      <c r="E34" s="12" t="n">
        <f aca="false">C34+D34</f>
        <v>498435</v>
      </c>
      <c r="F34" s="12" t="n">
        <f aca="false">SGA!E38</f>
        <v>233772</v>
      </c>
      <c r="G34" s="12" t="n">
        <v>0</v>
      </c>
      <c r="H34" s="12" t="n">
        <f aca="false">F34+G34</f>
        <v>233772</v>
      </c>
      <c r="I34" s="12" t="n">
        <f aca="false">SGA!F38</f>
        <v>354877</v>
      </c>
      <c r="J34" s="12" t="n">
        <v>0</v>
      </c>
      <c r="K34" s="12" t="n">
        <f aca="false">I34+J34</f>
        <v>354877</v>
      </c>
    </row>
    <row r="35" customFormat="false" ht="15" hidden="false" customHeight="false" outlineLevel="0" collapsed="false">
      <c r="B35" s="18" t="s">
        <v>380</v>
      </c>
      <c r="C35" s="12" t="n">
        <f aca="false">SGA!D39</f>
        <v>0</v>
      </c>
      <c r="D35" s="12" t="n">
        <v>0</v>
      </c>
      <c r="E35" s="12" t="n">
        <f aca="false">C35+D35</f>
        <v>0</v>
      </c>
      <c r="F35" s="12" t="n">
        <f aca="false">SGA!E39</f>
        <v>0</v>
      </c>
      <c r="G35" s="12" t="n">
        <v>0</v>
      </c>
      <c r="H35" s="12" t="n">
        <f aca="false">F35+G35</f>
        <v>0</v>
      </c>
      <c r="I35" s="12" t="n">
        <f aca="false">SGA!F39</f>
        <v>0</v>
      </c>
      <c r="J35" s="12" t="n">
        <v>0</v>
      </c>
      <c r="K35" s="12" t="n">
        <f aca="false">I35+J35</f>
        <v>0</v>
      </c>
    </row>
    <row r="36" customFormat="false" ht="15" hidden="false" customHeight="false" outlineLevel="0" collapsed="false">
      <c r="B36" s="18" t="s">
        <v>381</v>
      </c>
      <c r="C36" s="12" t="n">
        <f aca="false">SGA!D40</f>
        <v>58000</v>
      </c>
      <c r="D36" s="12" t="n">
        <v>0</v>
      </c>
      <c r="E36" s="12" t="n">
        <f aca="false">C36+D36</f>
        <v>58000</v>
      </c>
      <c r="F36" s="12" t="n">
        <f aca="false">SGA!E40</f>
        <v>58000</v>
      </c>
      <c r="G36" s="12" t="n">
        <v>0</v>
      </c>
      <c r="H36" s="12" t="n">
        <f aca="false">F36+G36</f>
        <v>58000</v>
      </c>
      <c r="I36" s="12" t="n">
        <f aca="false">SGA!F40</f>
        <v>70000</v>
      </c>
      <c r="J36" s="12" t="n">
        <v>0</v>
      </c>
      <c r="K36" s="12" t="n">
        <f aca="false">I36+J36</f>
        <v>70000</v>
      </c>
    </row>
    <row r="37" customFormat="false" ht="15" hidden="false" customHeight="false" outlineLevel="0" collapsed="false">
      <c r="B37" s="18" t="s">
        <v>382</v>
      </c>
      <c r="C37" s="12" t="n">
        <f aca="false">SGA!D41</f>
        <v>1283598</v>
      </c>
      <c r="D37" s="12" t="n">
        <v>0</v>
      </c>
      <c r="E37" s="12" t="n">
        <f aca="false">C37+D37</f>
        <v>1283598</v>
      </c>
      <c r="F37" s="12" t="n">
        <f aca="false">SGA!E41</f>
        <v>1301304</v>
      </c>
      <c r="G37" s="12" t="n">
        <v>0</v>
      </c>
      <c r="H37" s="12" t="n">
        <f aca="false">F37+G37</f>
        <v>1301304</v>
      </c>
      <c r="I37" s="12" t="n">
        <f aca="false">SGA!F41</f>
        <v>456209</v>
      </c>
      <c r="J37" s="12" t="n">
        <v>0</v>
      </c>
      <c r="K37" s="12" t="n">
        <f aca="false">I37+J37</f>
        <v>456209</v>
      </c>
    </row>
    <row r="38" customFormat="false" ht="15" hidden="false" customHeight="false" outlineLevel="0" collapsed="false">
      <c r="B38" s="18" t="s">
        <v>383</v>
      </c>
      <c r="C38" s="12" t="n">
        <f aca="false">SGA!D43</f>
        <v>2170008</v>
      </c>
      <c r="D38" s="12" t="n">
        <v>0</v>
      </c>
      <c r="E38" s="12" t="n">
        <f aca="false">C38+D38</f>
        <v>2170008</v>
      </c>
      <c r="F38" s="12" t="n">
        <f aca="false">SGA!E43</f>
        <v>1870926</v>
      </c>
      <c r="G38" s="12" t="n">
        <v>0</v>
      </c>
      <c r="H38" s="12" t="n">
        <f aca="false">F38+G38</f>
        <v>1870926</v>
      </c>
      <c r="I38" s="12" t="n">
        <f aca="false">SGA!F43</f>
        <v>1714061</v>
      </c>
      <c r="J38" s="12" t="n">
        <v>0</v>
      </c>
      <c r="K38" s="12" t="n">
        <f aca="false">I38+J38</f>
        <v>1714061</v>
      </c>
    </row>
    <row r="39" customFormat="false" ht="15" hidden="false" customHeight="false" outlineLevel="0" collapsed="false">
      <c r="B39" s="18" t="s">
        <v>384</v>
      </c>
      <c r="C39" s="12" t="n">
        <f aca="false">SGA!D44</f>
        <v>2998583</v>
      </c>
      <c r="D39" s="12" t="n">
        <v>0</v>
      </c>
      <c r="E39" s="12" t="n">
        <f aca="false">C39+D39</f>
        <v>2998583</v>
      </c>
      <c r="F39" s="12" t="n">
        <f aca="false">SGA!E44</f>
        <v>2524579</v>
      </c>
      <c r="G39" s="12" t="n">
        <v>0</v>
      </c>
      <c r="H39" s="12" t="n">
        <f aca="false">F39+G39</f>
        <v>2524579</v>
      </c>
      <c r="I39" s="12" t="n">
        <f aca="false">SGA!F44</f>
        <v>2515156</v>
      </c>
      <c r="J39" s="12" t="n">
        <v>0</v>
      </c>
      <c r="K39" s="12" t="n">
        <f aca="false">I39+J39</f>
        <v>2515156</v>
      </c>
    </row>
    <row r="40" customFormat="false" ht="15" hidden="false" customHeight="false" outlineLevel="0" collapsed="false">
      <c r="B40" s="16" t="s">
        <v>279</v>
      </c>
      <c r="C40" s="17" t="n">
        <f aca="false">SUM(C6:C39)</f>
        <v>71242323</v>
      </c>
      <c r="D40" s="17" t="n">
        <f aca="false">SUM(D6:D39)</f>
        <v>-307000</v>
      </c>
      <c r="E40" s="17" t="n">
        <f aca="false">SUM(E6:E39)</f>
        <v>70935323</v>
      </c>
      <c r="F40" s="17" t="n">
        <f aca="false">SUM(F6:F39)</f>
        <v>68569660</v>
      </c>
      <c r="G40" s="17" t="n">
        <f aca="false">SUM(G6:G39)</f>
        <v>0</v>
      </c>
      <c r="H40" s="17" t="n">
        <f aca="false">SUM(H6:H39)</f>
        <v>68569660</v>
      </c>
      <c r="I40" s="17" t="n">
        <f aca="false">SUM(I6:I39)</f>
        <v>79583931</v>
      </c>
      <c r="J40" s="17" t="n">
        <f aca="false">SUM(J6:J39)</f>
        <v>0</v>
      </c>
      <c r="K40" s="17" t="n">
        <f aca="false">SUM(K6:K39)</f>
        <v>79583931</v>
      </c>
    </row>
    <row r="41" customFormat="false" ht="15" hidden="false" customHeight="false" outlineLevel="0" collapsed="false">
      <c r="B41" s="18" t="s">
        <v>385</v>
      </c>
      <c r="C41" s="20" t="b">
        <f aca="false">EXACT(C40,SGA!D45)</f>
        <v>1</v>
      </c>
      <c r="F41" s="20" t="b">
        <f aca="false">EXACT(F40,SGA!E45)</f>
        <v>1</v>
      </c>
      <c r="I41" s="20" t="b">
        <f aca="false">EXACT(I40,SGA!F45)</f>
        <v>1</v>
      </c>
    </row>
  </sheetData>
  <mergeCells count="3">
    <mergeCell ref="C4:E4"/>
    <mergeCell ref="F4:H4"/>
    <mergeCell ref="I4:K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L42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30"/>
    <col collapsed="false" customWidth="true" hidden="false" outlineLevel="0" max="11" min="3" style="0" width="13"/>
    <col collapsed="false" customWidth="true" hidden="false" outlineLevel="0" max="12" min="12" style="0" width="40"/>
  </cols>
  <sheetData>
    <row r="2" customFormat="false" ht="17.35" hidden="false" customHeight="false" outlineLevel="0" collapsed="false">
      <c r="B2" s="5" t="s">
        <v>386</v>
      </c>
    </row>
    <row r="4" customFormat="false" ht="15" hidden="false" customHeight="true" outlineLevel="0" collapsed="false">
      <c r="B4" s="7" t="s">
        <v>19</v>
      </c>
      <c r="C4" s="21" t="s">
        <v>21</v>
      </c>
      <c r="D4" s="21"/>
      <c r="E4" s="21"/>
      <c r="F4" s="21" t="s">
        <v>22</v>
      </c>
      <c r="G4" s="21"/>
      <c r="H4" s="21"/>
      <c r="I4" s="21" t="s">
        <v>23</v>
      </c>
      <c r="J4" s="21"/>
      <c r="K4" s="21"/>
      <c r="L4" s="7" t="s">
        <v>349</v>
      </c>
    </row>
    <row r="5" customFormat="false" ht="15" hidden="false" customHeight="false" outlineLevel="0" collapsed="false">
      <c r="B5" s="7"/>
      <c r="C5" s="7" t="s">
        <v>334</v>
      </c>
      <c r="D5" s="7" t="s">
        <v>228</v>
      </c>
      <c r="E5" s="7" t="s">
        <v>229</v>
      </c>
      <c r="F5" s="7" t="s">
        <v>334</v>
      </c>
      <c r="G5" s="7" t="s">
        <v>228</v>
      </c>
      <c r="H5" s="7" t="s">
        <v>229</v>
      </c>
      <c r="I5" s="7" t="s">
        <v>334</v>
      </c>
      <c r="J5" s="7" t="s">
        <v>228</v>
      </c>
      <c r="K5" s="7" t="s">
        <v>229</v>
      </c>
    </row>
    <row r="6" customFormat="false" ht="15" hidden="false" customHeight="false" outlineLevel="0" collapsed="false">
      <c r="B6" s="18" t="s">
        <v>387</v>
      </c>
      <c r="C6" s="12" t="n">
        <f aca="false">CR!D6</f>
        <v>11853408</v>
      </c>
      <c r="D6" s="12" t="n">
        <v>0</v>
      </c>
      <c r="E6" s="12" t="n">
        <f aca="false">C6+D6</f>
        <v>11853408</v>
      </c>
      <c r="F6" s="12" t="n">
        <f aca="false">CR!E6</f>
        <v>14319679</v>
      </c>
      <c r="G6" s="12" t="n">
        <v>0</v>
      </c>
      <c r="H6" s="12" t="n">
        <f aca="false">F6+G6</f>
        <v>14319679</v>
      </c>
      <c r="I6" s="12" t="n">
        <f aca="false">CR!F6</f>
        <v>22007284</v>
      </c>
      <c r="J6" s="12" t="n">
        <v>0</v>
      </c>
      <c r="K6" s="12" t="n">
        <f aca="false">I6+J6</f>
        <v>22007284</v>
      </c>
    </row>
    <row r="7" customFormat="false" ht="15" hidden="false" customHeight="false" outlineLevel="0" collapsed="false">
      <c r="B7" s="18" t="s">
        <v>388</v>
      </c>
      <c r="C7" s="12" t="n">
        <f aca="false">CR!D7</f>
        <v>83256510</v>
      </c>
      <c r="D7" s="12" t="n">
        <v>0</v>
      </c>
      <c r="E7" s="12" t="n">
        <f aca="false">C7+D7</f>
        <v>83256510</v>
      </c>
      <c r="F7" s="12" t="n">
        <f aca="false">CR!E7</f>
        <v>79983753</v>
      </c>
      <c r="G7" s="12" t="n">
        <v>0</v>
      </c>
      <c r="H7" s="12" t="n">
        <f aca="false">F7+G7</f>
        <v>79983753</v>
      </c>
      <c r="I7" s="12" t="n">
        <f aca="false">CR!F7</f>
        <v>77112507</v>
      </c>
      <c r="J7" s="12" t="n">
        <v>0</v>
      </c>
      <c r="K7" s="12" t="n">
        <f aca="false">I7+J7</f>
        <v>77112507</v>
      </c>
    </row>
    <row r="8" customFormat="false" ht="15" hidden="false" customHeight="false" outlineLevel="0" collapsed="false">
      <c r="B8" s="18" t="s">
        <v>389</v>
      </c>
      <c r="C8" s="12" t="n">
        <f aca="false">CR!D8</f>
        <v>14319679</v>
      </c>
      <c r="D8" s="12" t="n">
        <v>0</v>
      </c>
      <c r="E8" s="12" t="n">
        <f aca="false">C8+D8</f>
        <v>14319679</v>
      </c>
      <c r="F8" s="12" t="n">
        <f aca="false">CR!E8</f>
        <v>22007284</v>
      </c>
      <c r="G8" s="12" t="n">
        <v>0</v>
      </c>
      <c r="H8" s="12" t="n">
        <f aca="false">F8+G8</f>
        <v>22007284</v>
      </c>
      <c r="I8" s="12" t="n">
        <f aca="false">CR!F8</f>
        <v>12953022</v>
      </c>
      <c r="J8" s="12" t="n">
        <v>0</v>
      </c>
      <c r="K8" s="12" t="n">
        <f aca="false">I8+J8</f>
        <v>12953022</v>
      </c>
    </row>
    <row r="9" customFormat="false" ht="15" hidden="false" customHeight="false" outlineLevel="0" collapsed="false">
      <c r="B9" s="18" t="s">
        <v>390</v>
      </c>
      <c r="C9" s="12" t="n">
        <f aca="false">CR!D10</f>
        <v>75755387</v>
      </c>
      <c r="D9" s="12" t="n">
        <v>0</v>
      </c>
      <c r="E9" s="12" t="n">
        <f aca="false">C9+D9</f>
        <v>75755387</v>
      </c>
      <c r="F9" s="12" t="n">
        <f aca="false">CR!E10</f>
        <v>63545229</v>
      </c>
      <c r="G9" s="12" t="n">
        <v>0</v>
      </c>
      <c r="H9" s="12" t="n">
        <f aca="false">F9+G9</f>
        <v>63545229</v>
      </c>
      <c r="I9" s="12" t="n">
        <f aca="false">CR!F10</f>
        <v>69596465</v>
      </c>
      <c r="J9" s="12" t="n">
        <v>0</v>
      </c>
      <c r="K9" s="12" t="n">
        <f aca="false">I9+J9</f>
        <v>69596465</v>
      </c>
    </row>
    <row r="10" customFormat="false" ht="15" hidden="false" customHeight="false" outlineLevel="0" collapsed="false">
      <c r="B10" s="18" t="s">
        <v>391</v>
      </c>
      <c r="C10" s="12" t="n">
        <f aca="false">CR!D11</f>
        <v>5940000</v>
      </c>
      <c r="D10" s="12" t="n">
        <v>0</v>
      </c>
      <c r="E10" s="12" t="n">
        <f aca="false">C10+D10</f>
        <v>5940000</v>
      </c>
      <c r="F10" s="12" t="n">
        <f aca="false">CR!E11</f>
        <v>4920000</v>
      </c>
      <c r="G10" s="12" t="n">
        <v>0</v>
      </c>
      <c r="H10" s="12" t="n">
        <f aca="false">F10+G10</f>
        <v>4920000</v>
      </c>
      <c r="I10" s="12" t="n">
        <f aca="false">CR!F11</f>
        <v>8563512</v>
      </c>
      <c r="J10" s="12" t="n">
        <v>0</v>
      </c>
      <c r="K10" s="12" t="n">
        <f aca="false">I10+J10</f>
        <v>8563512</v>
      </c>
    </row>
    <row r="11" customFormat="false" ht="15" hidden="false" customHeight="false" outlineLevel="0" collapsed="false">
      <c r="B11" s="18" t="s">
        <v>392</v>
      </c>
      <c r="C11" s="12" t="n">
        <f aca="false">CR!D12</f>
        <v>0</v>
      </c>
      <c r="D11" s="12" t="n">
        <f aca="false">-C11</f>
        <v>-0</v>
      </c>
      <c r="E11" s="12" t="n">
        <f aca="false">C11+D11</f>
        <v>0</v>
      </c>
      <c r="F11" s="12" t="n">
        <f aca="false">CR!E12</f>
        <v>0</v>
      </c>
      <c r="G11" s="12" t="n">
        <f aca="false">-F11</f>
        <v>-0</v>
      </c>
      <c r="H11" s="12" t="n">
        <f aca="false">F11+G11</f>
        <v>0</v>
      </c>
      <c r="I11" s="12" t="n">
        <f aca="false">CR!F12</f>
        <v>6177985</v>
      </c>
      <c r="J11" s="12" t="n">
        <f aca="false">-I11</f>
        <v>-6177985</v>
      </c>
      <c r="K11" s="12" t="n">
        <f aca="false">I11+J11</f>
        <v>0</v>
      </c>
      <c r="L11" s="24" t="s">
        <v>354</v>
      </c>
    </row>
    <row r="12" customFormat="false" ht="15" hidden="false" customHeight="false" outlineLevel="0" collapsed="false">
      <c r="B12" s="18" t="s">
        <v>393</v>
      </c>
      <c r="C12" s="12" t="n">
        <f aca="false">CR!D13</f>
        <v>12199418</v>
      </c>
      <c r="D12" s="12" t="n">
        <v>0</v>
      </c>
      <c r="E12" s="12" t="n">
        <f aca="false">C12+D12</f>
        <v>12199418</v>
      </c>
      <c r="F12" s="12" t="n">
        <f aca="false">CR!E13</f>
        <v>12503714</v>
      </c>
      <c r="G12" s="12" t="n">
        <v>0</v>
      </c>
      <c r="H12" s="12" t="n">
        <f aca="false">F12+G12</f>
        <v>12503714</v>
      </c>
      <c r="I12" s="12" t="n">
        <f aca="false">CR!F13</f>
        <v>12962279</v>
      </c>
      <c r="J12" s="12" t="n">
        <v>0</v>
      </c>
      <c r="K12" s="12" t="n">
        <f aca="false">I12+J12</f>
        <v>12962279</v>
      </c>
    </row>
    <row r="13" customFormat="false" ht="15" hidden="false" customHeight="false" outlineLevel="0" collapsed="false">
      <c r="B13" s="18" t="s">
        <v>394</v>
      </c>
      <c r="C13" s="12" t="n">
        <f aca="false">CR!D14</f>
        <v>1788084</v>
      </c>
      <c r="D13" s="12" t="n">
        <v>0</v>
      </c>
      <c r="E13" s="12" t="n">
        <f aca="false">C13+D13</f>
        <v>1788084</v>
      </c>
      <c r="F13" s="12" t="n">
        <f aca="false">CR!E14</f>
        <v>2220489</v>
      </c>
      <c r="G13" s="12" t="n">
        <v>0</v>
      </c>
      <c r="H13" s="12" t="n">
        <f aca="false">F13+G13</f>
        <v>2220489</v>
      </c>
      <c r="I13" s="12" t="n">
        <f aca="false">CR!F14</f>
        <v>1376127</v>
      </c>
      <c r="J13" s="12" t="n">
        <v>0</v>
      </c>
      <c r="K13" s="12" t="n">
        <f aca="false">I13+J13</f>
        <v>1376127</v>
      </c>
    </row>
    <row r="14" customFormat="false" ht="15" hidden="false" customHeight="false" outlineLevel="0" collapsed="false">
      <c r="B14" s="18" t="s">
        <v>395</v>
      </c>
      <c r="C14" s="12" t="n">
        <f aca="false">CR!D15</f>
        <v>1032904</v>
      </c>
      <c r="D14" s="12" t="n">
        <v>0</v>
      </c>
      <c r="E14" s="12" t="n">
        <f aca="false">C14+D14</f>
        <v>1032904</v>
      </c>
      <c r="F14" s="12" t="n">
        <f aca="false">CR!E15</f>
        <v>1157687</v>
      </c>
      <c r="G14" s="12" t="n">
        <v>0</v>
      </c>
      <c r="H14" s="12" t="n">
        <f aca="false">F14+G14</f>
        <v>1157687</v>
      </c>
      <c r="I14" s="12" t="n">
        <f aca="false">CR!F15</f>
        <v>1276339</v>
      </c>
      <c r="J14" s="12" t="n">
        <v>0</v>
      </c>
      <c r="K14" s="12" t="n">
        <f aca="false">I14+J14</f>
        <v>1276339</v>
      </c>
    </row>
    <row r="15" customFormat="false" ht="15" hidden="false" customHeight="false" outlineLevel="0" collapsed="false">
      <c r="B15" s="18" t="s">
        <v>396</v>
      </c>
      <c r="C15" s="12" t="n">
        <f aca="false">CR!D17</f>
        <v>1779600</v>
      </c>
      <c r="D15" s="12" t="n">
        <v>0</v>
      </c>
      <c r="E15" s="12" t="n">
        <f aca="false">C15+D15</f>
        <v>1779600</v>
      </c>
      <c r="F15" s="12" t="n">
        <f aca="false">CR!E17</f>
        <v>1717600</v>
      </c>
      <c r="G15" s="12" t="n">
        <v>0</v>
      </c>
      <c r="H15" s="12" t="n">
        <f aca="false">F15+G15</f>
        <v>1717600</v>
      </c>
      <c r="I15" s="12" t="n">
        <f aca="false">CR!F17</f>
        <v>1768400</v>
      </c>
      <c r="J15" s="12" t="n">
        <v>0</v>
      </c>
      <c r="K15" s="12" t="n">
        <f aca="false">I15+J15</f>
        <v>1768400</v>
      </c>
    </row>
    <row r="16" customFormat="false" ht="15" hidden="false" customHeight="false" outlineLevel="0" collapsed="false">
      <c r="B16" s="18" t="s">
        <v>397</v>
      </c>
      <c r="C16" s="12" t="n">
        <f aca="false">CR!D18</f>
        <v>912237</v>
      </c>
      <c r="D16" s="12" t="n">
        <v>0</v>
      </c>
      <c r="E16" s="12" t="n">
        <f aca="false">C16+D16</f>
        <v>912237</v>
      </c>
      <c r="F16" s="12" t="n">
        <f aca="false">CR!E18</f>
        <v>940667</v>
      </c>
      <c r="G16" s="12" t="n">
        <v>0</v>
      </c>
      <c r="H16" s="12" t="n">
        <f aca="false">F16+G16</f>
        <v>940667</v>
      </c>
      <c r="I16" s="12" t="n">
        <f aca="false">CR!F18</f>
        <v>1191590</v>
      </c>
      <c r="J16" s="12" t="n">
        <v>0</v>
      </c>
      <c r="K16" s="12" t="n">
        <f aca="false">I16+J16</f>
        <v>1191590</v>
      </c>
    </row>
    <row r="17" customFormat="false" ht="15" hidden="false" customHeight="false" outlineLevel="0" collapsed="false">
      <c r="B17" s="18" t="s">
        <v>398</v>
      </c>
      <c r="C17" s="12" t="n">
        <f aca="false">CR!D19</f>
        <v>302800</v>
      </c>
      <c r="D17" s="12" t="n">
        <v>0</v>
      </c>
      <c r="E17" s="12" t="n">
        <f aca="false">C17+D17</f>
        <v>302800</v>
      </c>
      <c r="F17" s="12" t="n">
        <f aca="false">CR!E19</f>
        <v>2764152</v>
      </c>
      <c r="G17" s="12" t="n">
        <v>0</v>
      </c>
      <c r="H17" s="12" t="n">
        <f aca="false">F17+G17</f>
        <v>2764152</v>
      </c>
      <c r="I17" s="12" t="n">
        <f aca="false">CR!F19</f>
        <v>2568782</v>
      </c>
      <c r="J17" s="12" t="n">
        <v>0</v>
      </c>
      <c r="K17" s="12" t="n">
        <f aca="false">I17+J17</f>
        <v>2568782</v>
      </c>
    </row>
    <row r="18" customFormat="false" ht="15" hidden="false" customHeight="false" outlineLevel="0" collapsed="false">
      <c r="B18" s="18" t="s">
        <v>399</v>
      </c>
      <c r="C18" s="12" t="n">
        <f aca="false">CR!D20</f>
        <v>0</v>
      </c>
      <c r="D18" s="12" t="n">
        <v>0</v>
      </c>
      <c r="E18" s="12" t="n">
        <f aca="false">C18+D18</f>
        <v>0</v>
      </c>
      <c r="F18" s="12" t="n">
        <f aca="false">CR!E20</f>
        <v>0</v>
      </c>
      <c r="G18" s="12" t="n">
        <v>0</v>
      </c>
      <c r="H18" s="12" t="n">
        <f aca="false">F18+G18</f>
        <v>0</v>
      </c>
      <c r="I18" s="12" t="n">
        <f aca="false">CR!F20</f>
        <v>0</v>
      </c>
      <c r="J18" s="12" t="n">
        <v>0</v>
      </c>
      <c r="K18" s="12" t="n">
        <f aca="false">I18+J18</f>
        <v>0</v>
      </c>
    </row>
    <row r="19" customFormat="false" ht="15" hidden="false" customHeight="false" outlineLevel="0" collapsed="false">
      <c r="B19" s="18" t="s">
        <v>400</v>
      </c>
      <c r="C19" s="12" t="n">
        <f aca="false">CR!D21</f>
        <v>5010000</v>
      </c>
      <c r="D19" s="12" t="n">
        <v>0</v>
      </c>
      <c r="E19" s="12" t="n">
        <f aca="false">C19+D19</f>
        <v>5010000</v>
      </c>
      <c r="F19" s="12" t="n">
        <f aca="false">CR!E21</f>
        <v>5010000</v>
      </c>
      <c r="G19" s="12" t="n">
        <v>0</v>
      </c>
      <c r="H19" s="12" t="n">
        <f aca="false">F19+G19</f>
        <v>5010000</v>
      </c>
      <c r="I19" s="12" t="n">
        <f aca="false">CR!F21</f>
        <v>5046600</v>
      </c>
      <c r="J19" s="12" t="n">
        <v>0</v>
      </c>
      <c r="K19" s="12" t="n">
        <f aca="false">I19+J19</f>
        <v>5046600</v>
      </c>
    </row>
    <row r="20" customFormat="false" ht="15" hidden="false" customHeight="false" outlineLevel="0" collapsed="false">
      <c r="B20" s="18" t="s">
        <v>401</v>
      </c>
      <c r="C20" s="12" t="n">
        <f aca="false">CR!D22</f>
        <v>4172889</v>
      </c>
      <c r="D20" s="12" t="n">
        <v>0</v>
      </c>
      <c r="E20" s="12" t="n">
        <f aca="false">C20+D20</f>
        <v>4172889</v>
      </c>
      <c r="F20" s="12" t="n">
        <f aca="false">CR!E22</f>
        <v>6553786</v>
      </c>
      <c r="G20" s="12" t="n">
        <v>0</v>
      </c>
      <c r="H20" s="12" t="n">
        <f aca="false">F20+G20</f>
        <v>6553786</v>
      </c>
      <c r="I20" s="12" t="n">
        <f aca="false">CR!F22</f>
        <v>7541725</v>
      </c>
      <c r="J20" s="12" t="n">
        <v>0</v>
      </c>
      <c r="K20" s="12" t="n">
        <f aca="false">I20+J20</f>
        <v>7541725</v>
      </c>
    </row>
    <row r="21" customFormat="false" ht="15" hidden="false" customHeight="false" outlineLevel="0" collapsed="false">
      <c r="B21" s="18" t="s">
        <v>402</v>
      </c>
      <c r="C21" s="12" t="n">
        <f aca="false">CR!D23</f>
        <v>1372</v>
      </c>
      <c r="D21" s="12" t="n">
        <v>0</v>
      </c>
      <c r="E21" s="12" t="n">
        <f aca="false">C21+D21</f>
        <v>1372</v>
      </c>
      <c r="F21" s="12" t="n">
        <f aca="false">CR!E23</f>
        <v>1233</v>
      </c>
      <c r="G21" s="12" t="n">
        <v>0</v>
      </c>
      <c r="H21" s="12" t="n">
        <f aca="false">F21+G21</f>
        <v>1233</v>
      </c>
      <c r="I21" s="12" t="n">
        <f aca="false">CR!F23</f>
        <v>1530</v>
      </c>
      <c r="J21" s="12" t="n">
        <v>0</v>
      </c>
      <c r="K21" s="12" t="n">
        <f aca="false">I21+J21</f>
        <v>1530</v>
      </c>
    </row>
    <row r="22" customFormat="false" ht="15" hidden="false" customHeight="false" outlineLevel="0" collapsed="false">
      <c r="B22" s="18" t="s">
        <v>403</v>
      </c>
      <c r="C22" s="12" t="n">
        <f aca="false">CR!D24</f>
        <v>32385919</v>
      </c>
      <c r="D22" s="12" t="n">
        <v>0</v>
      </c>
      <c r="E22" s="12" t="n">
        <f aca="false">C22+D22</f>
        <v>32385919</v>
      </c>
      <c r="F22" s="12" t="n">
        <f aca="false">CR!E24</f>
        <v>33957442</v>
      </c>
      <c r="G22" s="12" t="n">
        <v>0</v>
      </c>
      <c r="H22" s="12" t="n">
        <f aca="false">F22+G22</f>
        <v>33957442</v>
      </c>
      <c r="I22" s="12" t="n">
        <f aca="false">CR!F24</f>
        <v>33684675</v>
      </c>
      <c r="J22" s="12" t="n">
        <v>0</v>
      </c>
      <c r="K22" s="12" t="n">
        <f aca="false">I22+J22</f>
        <v>33684675</v>
      </c>
    </row>
    <row r="23" customFormat="false" ht="15" hidden="false" customHeight="false" outlineLevel="0" collapsed="false">
      <c r="B23" s="18" t="s">
        <v>404</v>
      </c>
      <c r="C23" s="12" t="n">
        <f aca="false">CR!D25</f>
        <v>3426660</v>
      </c>
      <c r="D23" s="12" t="n">
        <v>0</v>
      </c>
      <c r="E23" s="12" t="n">
        <f aca="false">C23+D23</f>
        <v>3426660</v>
      </c>
      <c r="F23" s="12" t="n">
        <f aca="false">CR!E25</f>
        <v>3972450</v>
      </c>
      <c r="G23" s="12" t="n">
        <v>0</v>
      </c>
      <c r="H23" s="12" t="n">
        <f aca="false">F23+G23</f>
        <v>3972450</v>
      </c>
      <c r="I23" s="12" t="n">
        <f aca="false">CR!F25</f>
        <v>3512750</v>
      </c>
      <c r="J23" s="12" t="n">
        <v>0</v>
      </c>
      <c r="K23" s="12" t="n">
        <f aca="false">I23+J23</f>
        <v>3512750</v>
      </c>
    </row>
    <row r="24" customFormat="false" ht="15" hidden="false" customHeight="false" outlineLevel="0" collapsed="false">
      <c r="B24" s="18" t="s">
        <v>405</v>
      </c>
      <c r="C24" s="12" t="n">
        <f aca="false">CR!D26</f>
        <v>597514</v>
      </c>
      <c r="D24" s="12" t="n">
        <v>0</v>
      </c>
      <c r="E24" s="12" t="n">
        <f aca="false">C24+D24</f>
        <v>597514</v>
      </c>
      <c r="F24" s="12" t="n">
        <f aca="false">CR!E26</f>
        <v>745684</v>
      </c>
      <c r="G24" s="12" t="n">
        <v>0</v>
      </c>
      <c r="H24" s="12" t="n">
        <f aca="false">F24+G24</f>
        <v>745684</v>
      </c>
      <c r="I24" s="12" t="n">
        <f aca="false">CR!F26</f>
        <v>1236794</v>
      </c>
      <c r="J24" s="12" t="n">
        <v>0</v>
      </c>
      <c r="K24" s="12" t="n">
        <f aca="false">I24+J24</f>
        <v>1236794</v>
      </c>
    </row>
    <row r="25" customFormat="false" ht="15" hidden="false" customHeight="false" outlineLevel="0" collapsed="false">
      <c r="B25" s="18" t="s">
        <v>406</v>
      </c>
      <c r="C25" s="12" t="n">
        <f aca="false">CR!D27</f>
        <v>1311634</v>
      </c>
      <c r="D25" s="12" t="n">
        <v>0</v>
      </c>
      <c r="E25" s="12" t="n">
        <f aca="false">C25+D25</f>
        <v>1311634</v>
      </c>
      <c r="F25" s="12" t="n">
        <f aca="false">CR!E27</f>
        <v>1299930</v>
      </c>
      <c r="G25" s="12" t="n">
        <v>0</v>
      </c>
      <c r="H25" s="12" t="n">
        <f aca="false">F25+G25</f>
        <v>1299930</v>
      </c>
      <c r="I25" s="12" t="n">
        <f aca="false">CR!F27</f>
        <v>1077282</v>
      </c>
      <c r="J25" s="12" t="n">
        <v>0</v>
      </c>
      <c r="K25" s="12" t="n">
        <f aca="false">I25+J25</f>
        <v>1077282</v>
      </c>
    </row>
    <row r="26" customFormat="false" ht="15" hidden="false" customHeight="false" outlineLevel="0" collapsed="false">
      <c r="B26" s="18" t="s">
        <v>407</v>
      </c>
      <c r="C26" s="12" t="n">
        <f aca="false">CR!D28</f>
        <v>0</v>
      </c>
      <c r="D26" s="12" t="n">
        <v>0</v>
      </c>
      <c r="E26" s="12" t="n">
        <f aca="false">C26+D26</f>
        <v>0</v>
      </c>
      <c r="F26" s="12" t="n">
        <f aca="false">CR!E28</f>
        <v>0</v>
      </c>
      <c r="G26" s="12" t="n">
        <v>0</v>
      </c>
      <c r="H26" s="12" t="n">
        <f aca="false">F26+G26</f>
        <v>0</v>
      </c>
      <c r="I26" s="12" t="n">
        <f aca="false">CR!F28</f>
        <v>0</v>
      </c>
      <c r="J26" s="12" t="n">
        <v>0</v>
      </c>
      <c r="K26" s="12" t="n">
        <f aca="false">I26+J26</f>
        <v>0</v>
      </c>
    </row>
    <row r="27" customFormat="false" ht="15" hidden="false" customHeight="false" outlineLevel="0" collapsed="false">
      <c r="B27" s="18" t="s">
        <v>408</v>
      </c>
      <c r="C27" s="12" t="n">
        <f aca="false">CR!D29</f>
        <v>2064340</v>
      </c>
      <c r="D27" s="12" t="n">
        <v>0</v>
      </c>
      <c r="E27" s="12" t="n">
        <f aca="false">C27+D27</f>
        <v>2064340</v>
      </c>
      <c r="F27" s="12" t="n">
        <f aca="false">CR!E29</f>
        <v>1566120</v>
      </c>
      <c r="G27" s="12" t="n">
        <v>0</v>
      </c>
      <c r="H27" s="12" t="n">
        <f aca="false">F27+G27</f>
        <v>1566120</v>
      </c>
      <c r="I27" s="12" t="n">
        <f aca="false">CR!F29</f>
        <v>1053620</v>
      </c>
      <c r="J27" s="12" t="n">
        <v>0</v>
      </c>
      <c r="K27" s="12" t="n">
        <f aca="false">I27+J27</f>
        <v>1053620</v>
      </c>
    </row>
    <row r="28" customFormat="false" ht="15" hidden="false" customHeight="false" outlineLevel="0" collapsed="false">
      <c r="B28" s="18" t="s">
        <v>409</v>
      </c>
      <c r="C28" s="12" t="n">
        <f aca="false">CR!D30</f>
        <v>74730</v>
      </c>
      <c r="D28" s="12" t="n">
        <v>0</v>
      </c>
      <c r="E28" s="12" t="n">
        <f aca="false">C28+D28</f>
        <v>74730</v>
      </c>
      <c r="F28" s="12" t="n">
        <f aca="false">CR!E30</f>
        <v>77670</v>
      </c>
      <c r="G28" s="12" t="n">
        <v>0</v>
      </c>
      <c r="H28" s="12" t="n">
        <f aca="false">F28+G28</f>
        <v>77670</v>
      </c>
      <c r="I28" s="12" t="n">
        <f aca="false">CR!F30</f>
        <v>81960</v>
      </c>
      <c r="J28" s="12" t="n">
        <v>0</v>
      </c>
      <c r="K28" s="12" t="n">
        <f aca="false">I28+J28</f>
        <v>81960</v>
      </c>
    </row>
    <row r="29" customFormat="false" ht="15" hidden="false" customHeight="false" outlineLevel="0" collapsed="false">
      <c r="B29" s="18" t="s">
        <v>410</v>
      </c>
      <c r="C29" s="12" t="n">
        <f aca="false">CR!D31</f>
        <v>0</v>
      </c>
      <c r="D29" s="12" t="n">
        <v>0</v>
      </c>
      <c r="E29" s="12" t="n">
        <f aca="false">C29+D29</f>
        <v>0</v>
      </c>
      <c r="F29" s="12" t="n">
        <f aca="false">CR!E31</f>
        <v>0</v>
      </c>
      <c r="G29" s="12" t="n">
        <v>0</v>
      </c>
      <c r="H29" s="12" t="n">
        <f aca="false">F29+G29</f>
        <v>0</v>
      </c>
      <c r="I29" s="12" t="n">
        <f aca="false">CR!F31</f>
        <v>0</v>
      </c>
      <c r="J29" s="12" t="n">
        <v>0</v>
      </c>
      <c r="K29" s="12" t="n">
        <f aca="false">I29+J29</f>
        <v>0</v>
      </c>
    </row>
    <row r="30" customFormat="false" ht="15" hidden="false" customHeight="false" outlineLevel="0" collapsed="false">
      <c r="B30" s="18" t="s">
        <v>411</v>
      </c>
      <c r="C30" s="12" t="n">
        <f aca="false">CR!D32</f>
        <v>6650</v>
      </c>
      <c r="D30" s="12" t="n">
        <v>0</v>
      </c>
      <c r="E30" s="12" t="n">
        <f aca="false">C30+D30</f>
        <v>6650</v>
      </c>
      <c r="F30" s="12" t="n">
        <f aca="false">CR!E32</f>
        <v>6200</v>
      </c>
      <c r="G30" s="12" t="n">
        <v>0</v>
      </c>
      <c r="H30" s="12" t="n">
        <f aca="false">F30+G30</f>
        <v>6200</v>
      </c>
      <c r="I30" s="12" t="n">
        <f aca="false">CR!F32</f>
        <v>11950</v>
      </c>
      <c r="J30" s="12" t="n">
        <v>0</v>
      </c>
      <c r="K30" s="12" t="n">
        <f aca="false">I30+J30</f>
        <v>11950</v>
      </c>
    </row>
    <row r="31" customFormat="false" ht="15" hidden="false" customHeight="false" outlineLevel="0" collapsed="false">
      <c r="B31" s="18" t="s">
        <v>412</v>
      </c>
      <c r="C31" s="12" t="n">
        <f aca="false">CR!D33</f>
        <v>38159</v>
      </c>
      <c r="D31" s="12" t="n">
        <v>0</v>
      </c>
      <c r="E31" s="12" t="n">
        <f aca="false">C31+D31</f>
        <v>38159</v>
      </c>
      <c r="F31" s="12" t="n">
        <f aca="false">CR!E33</f>
        <v>21489</v>
      </c>
      <c r="G31" s="12" t="n">
        <v>0</v>
      </c>
      <c r="H31" s="12" t="n">
        <f aca="false">F31+G31</f>
        <v>21489</v>
      </c>
      <c r="I31" s="12" t="n">
        <f aca="false">CR!F33</f>
        <v>21488</v>
      </c>
      <c r="J31" s="12" t="n">
        <v>0</v>
      </c>
      <c r="K31" s="12" t="n">
        <f aca="false">I31+J31</f>
        <v>21488</v>
      </c>
    </row>
    <row r="32" customFormat="false" ht="15" hidden="false" customHeight="false" outlineLevel="0" collapsed="false">
      <c r="B32" s="18" t="s">
        <v>413</v>
      </c>
      <c r="C32" s="12" t="n">
        <f aca="false">CR!D34</f>
        <v>0</v>
      </c>
      <c r="D32" s="12" t="n">
        <v>0</v>
      </c>
      <c r="E32" s="12" t="n">
        <f aca="false">C32+D32</f>
        <v>0</v>
      </c>
      <c r="F32" s="12" t="n">
        <f aca="false">CR!E34</f>
        <v>0</v>
      </c>
      <c r="G32" s="12" t="n">
        <v>0</v>
      </c>
      <c r="H32" s="12" t="n">
        <f aca="false">F32+G32</f>
        <v>0</v>
      </c>
      <c r="I32" s="12" t="n">
        <f aca="false">CR!F34</f>
        <v>0</v>
      </c>
      <c r="J32" s="12" t="n">
        <v>0</v>
      </c>
      <c r="K32" s="12" t="n">
        <f aca="false">I32+J32</f>
        <v>0</v>
      </c>
    </row>
    <row r="33" customFormat="false" ht="15" hidden="false" customHeight="false" outlineLevel="0" collapsed="false">
      <c r="B33" s="18" t="s">
        <v>414</v>
      </c>
      <c r="C33" s="12" t="n">
        <f aca="false">CR!D35</f>
        <v>2140</v>
      </c>
      <c r="D33" s="12" t="n">
        <v>0</v>
      </c>
      <c r="E33" s="12" t="n">
        <f aca="false">C33+D33</f>
        <v>2140</v>
      </c>
      <c r="F33" s="12" t="n">
        <f aca="false">CR!E35</f>
        <v>889</v>
      </c>
      <c r="G33" s="12" t="n">
        <v>0</v>
      </c>
      <c r="H33" s="12" t="n">
        <f aca="false">F33+G33</f>
        <v>889</v>
      </c>
      <c r="I33" s="12" t="n">
        <f aca="false">CR!F35</f>
        <v>167000</v>
      </c>
      <c r="J33" s="12" t="n">
        <v>0</v>
      </c>
      <c r="K33" s="12" t="n">
        <f aca="false">I33+J33</f>
        <v>167000</v>
      </c>
    </row>
    <row r="34" customFormat="false" ht="15" hidden="false" customHeight="false" outlineLevel="0" collapsed="false">
      <c r="B34" s="18" t="s">
        <v>415</v>
      </c>
      <c r="C34" s="12" t="n">
        <f aca="false">CR!D36</f>
        <v>411300</v>
      </c>
      <c r="D34" s="12" t="n">
        <v>0</v>
      </c>
      <c r="E34" s="12" t="n">
        <f aca="false">C34+D34</f>
        <v>411300</v>
      </c>
      <c r="F34" s="12" t="n">
        <f aca="false">CR!E36</f>
        <v>411600</v>
      </c>
      <c r="G34" s="12" t="n">
        <v>0</v>
      </c>
      <c r="H34" s="12" t="n">
        <f aca="false">F34+G34</f>
        <v>411600</v>
      </c>
      <c r="I34" s="12" t="n">
        <f aca="false">CR!F36</f>
        <v>475100</v>
      </c>
      <c r="J34" s="12" t="n">
        <v>0</v>
      </c>
      <c r="K34" s="12" t="n">
        <f aca="false">I34+J34</f>
        <v>475100</v>
      </c>
    </row>
    <row r="35" customFormat="false" ht="15" hidden="false" customHeight="false" outlineLevel="0" collapsed="false">
      <c r="B35" s="18" t="s">
        <v>416</v>
      </c>
      <c r="C35" s="12" t="n">
        <f aca="false">CR!D37</f>
        <v>1083774</v>
      </c>
      <c r="D35" s="12" t="n">
        <v>0</v>
      </c>
      <c r="E35" s="12" t="n">
        <f aca="false">C35+D35</f>
        <v>1083774</v>
      </c>
      <c r="F35" s="12" t="n">
        <f aca="false">CR!E37</f>
        <v>2440537</v>
      </c>
      <c r="G35" s="12" t="n">
        <v>0</v>
      </c>
      <c r="H35" s="12" t="n">
        <f aca="false">F35+G35</f>
        <v>2440537</v>
      </c>
      <c r="I35" s="12" t="n">
        <f aca="false">CR!F37</f>
        <v>2054944</v>
      </c>
      <c r="J35" s="12" t="n">
        <v>0</v>
      </c>
      <c r="K35" s="12" t="n">
        <f aca="false">I35+J35</f>
        <v>2054944</v>
      </c>
    </row>
    <row r="36" customFormat="false" ht="15" hidden="false" customHeight="false" outlineLevel="0" collapsed="false">
      <c r="B36" s="18" t="s">
        <v>417</v>
      </c>
      <c r="C36" s="12" t="n">
        <f aca="false">CR!D38</f>
        <v>3254700</v>
      </c>
      <c r="D36" s="12" t="n">
        <v>0</v>
      </c>
      <c r="E36" s="12" t="n">
        <f aca="false">C36+D36</f>
        <v>3254700</v>
      </c>
      <c r="F36" s="12" t="n">
        <f aca="false">CR!E38</f>
        <v>3212900</v>
      </c>
      <c r="G36" s="12" t="n">
        <v>0</v>
      </c>
      <c r="H36" s="12" t="n">
        <f aca="false">F36+G36</f>
        <v>3212900</v>
      </c>
      <c r="I36" s="12" t="n">
        <f aca="false">CR!F38</f>
        <v>3228200</v>
      </c>
      <c r="J36" s="12" t="n">
        <v>0</v>
      </c>
      <c r="K36" s="12" t="n">
        <f aca="false">I36+J36</f>
        <v>3228200</v>
      </c>
    </row>
    <row r="37" customFormat="false" ht="15" hidden="false" customHeight="false" outlineLevel="0" collapsed="false">
      <c r="B37" s="18" t="s">
        <v>418</v>
      </c>
      <c r="C37" s="12" t="n">
        <f aca="false">CR!D39</f>
        <v>8323500</v>
      </c>
      <c r="D37" s="12" t="n">
        <v>0</v>
      </c>
      <c r="E37" s="12" t="n">
        <f aca="false">C37+D37</f>
        <v>8323500</v>
      </c>
      <c r="F37" s="12" t="n">
        <f aca="false">CR!E39</f>
        <v>17893259</v>
      </c>
      <c r="G37" s="12" t="n">
        <v>0</v>
      </c>
      <c r="H37" s="12" t="n">
        <f aca="false">F37+G37</f>
        <v>17893259</v>
      </c>
      <c r="I37" s="12" t="n">
        <f aca="false">CR!F39</f>
        <v>19820169</v>
      </c>
      <c r="J37" s="12" t="n">
        <v>0</v>
      </c>
      <c r="K37" s="12" t="n">
        <f aca="false">I37+J37</f>
        <v>19820169</v>
      </c>
    </row>
    <row r="38" customFormat="false" ht="15" hidden="false" customHeight="false" outlineLevel="0" collapsed="false">
      <c r="B38" s="18" t="s">
        <v>419</v>
      </c>
      <c r="C38" s="12" t="n">
        <f aca="false">CR!D41</f>
        <v>5680739</v>
      </c>
      <c r="D38" s="12" t="n">
        <v>0</v>
      </c>
      <c r="E38" s="12" t="n">
        <f aca="false">C38+D38</f>
        <v>5680739</v>
      </c>
      <c r="F38" s="12" t="n">
        <f aca="false">CR!E41</f>
        <v>13626626</v>
      </c>
      <c r="G38" s="12" t="n">
        <v>0</v>
      </c>
      <c r="H38" s="12" t="n">
        <f aca="false">F38+G38</f>
        <v>13626626</v>
      </c>
      <c r="I38" s="12" t="n">
        <f aca="false">CR!F41</f>
        <v>11434787</v>
      </c>
      <c r="J38" s="12" t="n">
        <v>0</v>
      </c>
      <c r="K38" s="12" t="n">
        <f aca="false">I38+J38</f>
        <v>11434787</v>
      </c>
    </row>
    <row r="39" customFormat="false" ht="15" hidden="false" customHeight="false" outlineLevel="0" collapsed="false">
      <c r="B39" s="18" t="s">
        <v>420</v>
      </c>
      <c r="C39" s="12" t="n">
        <f aca="false">CR!D43</f>
        <v>698852</v>
      </c>
      <c r="D39" s="12" t="n">
        <v>0</v>
      </c>
      <c r="E39" s="12" t="n">
        <f aca="false">C39+D39</f>
        <v>698852</v>
      </c>
      <c r="F39" s="12" t="n">
        <f aca="false">CR!E43</f>
        <v>729036</v>
      </c>
      <c r="G39" s="12" t="n">
        <v>0</v>
      </c>
      <c r="H39" s="12" t="n">
        <f aca="false">F39+G39</f>
        <v>729036</v>
      </c>
      <c r="I39" s="12" t="n">
        <f aca="false">CR!F43</f>
        <v>757988</v>
      </c>
      <c r="J39" s="12" t="n">
        <v>0</v>
      </c>
      <c r="K39" s="12" t="n">
        <f aca="false">I39+J39</f>
        <v>757988</v>
      </c>
    </row>
    <row r="40" customFormat="false" ht="15" hidden="false" customHeight="false" outlineLevel="0" collapsed="false">
      <c r="B40" s="18" t="s">
        <v>421</v>
      </c>
      <c r="C40" s="12" t="n">
        <f aca="false">CR!D44</f>
        <v>729036</v>
      </c>
      <c r="D40" s="12" t="n">
        <v>0</v>
      </c>
      <c r="E40" s="12" t="n">
        <f aca="false">C40+D40</f>
        <v>729036</v>
      </c>
      <c r="F40" s="12" t="n">
        <f aca="false">CR!E44</f>
        <v>757988</v>
      </c>
      <c r="G40" s="12" t="n">
        <v>0</v>
      </c>
      <c r="H40" s="12" t="n">
        <f aca="false">F40+G40</f>
        <v>757988</v>
      </c>
      <c r="I40" s="12" t="n">
        <f aca="false">CR!F44</f>
        <v>877184</v>
      </c>
      <c r="J40" s="12" t="n">
        <v>0</v>
      </c>
      <c r="K40" s="12" t="n">
        <f aca="false">I40+J40</f>
        <v>877184</v>
      </c>
    </row>
    <row r="41" customFormat="false" ht="15" hidden="false" customHeight="false" outlineLevel="0" collapsed="false">
      <c r="B41" s="16" t="s">
        <v>422</v>
      </c>
      <c r="C41" s="17" t="n">
        <f aca="false">C6+C7-C8+C9+C10+C11+C12+C13+C14+C15+C16+C17+C18+C19+C20+C21+C22+C23+C24+C25+C26+C27+C28+C29+C30+C31+C32+C33+C34+C35+C36+C37+C38+C39-C40</f>
        <v>248316505</v>
      </c>
      <c r="D41" s="17" t="n">
        <f aca="false">D6+D7-D8+D9+D10+D11+D12+D13+D14+D15+D16+D17+D18+D19+D20+D21+D22+D23+D24+D25+D26+D27+D28+D29+D30+D31+D32+D33+D34+D35+D36+D37+D38+D39-D40</f>
        <v>0</v>
      </c>
      <c r="E41" s="17" t="n">
        <f aca="false">E6+E7-E8+E9+E10+E11+E12+E13+E14+E15+E16+E17+E18+E19+E20+E21+E22+E23+E24+E25+E26+E27+E28+E29+E30+E31+E32+E33+E34+E35+E36+E37+E38+E39-E40</f>
        <v>248316505</v>
      </c>
      <c r="F41" s="17" t="n">
        <f aca="false">F6+F7-F8+F9+F10+F11+F12+F13+F14+F15+F16+F17+F18+F19+F20+F21+F22+F23+F24+F25+F26+F27+F28+F29+F30+F31+F32+F33+F34+F35+F36+F37+F38+F39-F40</f>
        <v>252834549</v>
      </c>
      <c r="G41" s="17" t="n">
        <f aca="false">G6+G7-G8+G9+G10+G11+G12+G13+G14+G15+G16+G17+G18+G19+G20+G21+G22+G23+G24+G25+G26+G27+G28+G29+G30+G31+G32+G33+G34+G35+G36+G37+G38+G39-G40</f>
        <v>0</v>
      </c>
      <c r="H41" s="17" t="n">
        <f aca="false">H6+H7-H8+H9+H10+H11+H12+H13+H14+H15+H16+H17+H18+H19+H20+H21+H22+H23+H24+H25+H26+H27+H28+H29+H30+H31+H32+H33+H34+H35+H36+H37+H38+H39-H40</f>
        <v>252834549</v>
      </c>
      <c r="I41" s="17" t="n">
        <f aca="false">I6+I7-I8+I9+I10+I11+I12+I13+I14+I15+I16+I17+I18+I19+I20+I21+I22+I23+I24+I25+I26+I27+I28+I29+I30+I31+I32+I33+I34+I35+I36+I37+I38+I39-I40</f>
        <v>281979626</v>
      </c>
      <c r="J41" s="17" t="n">
        <f aca="false">J6+J7-J8+J9+J10+J11+J12+J13+J14+J15+J16+J17+J18+J19+J20+J21+J22+J23+J24+J25+J26+J27+J28+J29+J30+J31+J32+J33+J34+J35+J36+J37+J38+J39-J40</f>
        <v>-6177985</v>
      </c>
      <c r="K41" s="17" t="n">
        <f aca="false">K6+K7-K8+K9+K10+K11+K12+K13+K14+K15+K16+K17+K18+K19+K20+K21+K22+K23+K24+K25+K26+K27+K28+K29+K30+K31+K32+K33+K34+K35+K36+K37+K38+K39-K40</f>
        <v>275801641</v>
      </c>
    </row>
    <row r="42" customFormat="false" ht="15" hidden="false" customHeight="false" outlineLevel="0" collapsed="false">
      <c r="B42" s="18" t="s">
        <v>385</v>
      </c>
      <c r="C42" s="20" t="b">
        <f aca="false">EXACT(C41,CR!D45)</f>
        <v>1</v>
      </c>
      <c r="F42" s="20" t="b">
        <f aca="false">EXACT(F41,CR!E45)</f>
        <v>1</v>
      </c>
      <c r="I42" s="20" t="b">
        <f aca="false">EXACT(I41,CR!F45)</f>
        <v>1</v>
      </c>
    </row>
  </sheetData>
  <mergeCells count="3">
    <mergeCell ref="C4:E4"/>
    <mergeCell ref="F4:H4"/>
    <mergeCell ref="I4:K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G23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36"/>
    <col collapsed="false" customWidth="true" hidden="false" outlineLevel="0" max="6" min="3" style="0" width="15"/>
    <col collapsed="false" customWidth="true" hidden="false" outlineLevel="0" max="7" min="7" style="0" width="50"/>
  </cols>
  <sheetData>
    <row r="2" customFormat="false" ht="17.35" hidden="false" customHeight="false" outlineLevel="0" collapsed="false">
      <c r="B2" s="5" t="s">
        <v>423</v>
      </c>
    </row>
    <row r="4" customFormat="false" ht="15" hidden="false" customHeight="false" outlineLevel="0" collapsed="false">
      <c r="B4" s="7" t="s">
        <v>318</v>
      </c>
      <c r="C4" s="8" t="s">
        <v>21</v>
      </c>
      <c r="D4" s="8" t="s">
        <v>22</v>
      </c>
      <c r="E4" s="8" t="s">
        <v>23</v>
      </c>
      <c r="F4" s="7" t="s">
        <v>424</v>
      </c>
    </row>
    <row r="5" customFormat="false" ht="15" hidden="false" customHeight="false" outlineLevel="0" collapsed="false">
      <c r="B5" s="18" t="s">
        <v>425</v>
      </c>
      <c r="C5" s="12" t="n">
        <f aca="false">修正PL!E10</f>
        <v>25632019</v>
      </c>
      <c r="D5" s="12" t="n">
        <f aca="false">修正PL!H10</f>
        <v>13658874</v>
      </c>
      <c r="E5" s="12" t="n">
        <f aca="false">修正PL!K10</f>
        <v>14203378</v>
      </c>
    </row>
    <row r="6" customFormat="false" ht="15" hidden="false" customHeight="false" outlineLevel="0" collapsed="false">
      <c r="B6" s="18" t="s">
        <v>426</v>
      </c>
      <c r="C6" s="12" t="n">
        <f aca="false">-ROUND(MAX(C5,0)*0.34,0)</f>
        <v>-8714886</v>
      </c>
      <c r="D6" s="12" t="n">
        <f aca="false">-ROUND(MAX(D5,0)*0.34,0)</f>
        <v>-4644017</v>
      </c>
      <c r="E6" s="12" t="n">
        <f aca="false">-ROUND(MAX(E5,0)*0.34,0)</f>
        <v>-4829149</v>
      </c>
    </row>
    <row r="7" customFormat="false" ht="15" hidden="false" customHeight="false" outlineLevel="0" collapsed="false">
      <c r="B7" s="9" t="s">
        <v>427</v>
      </c>
      <c r="C7" s="10" t="n">
        <f aca="false">C5+C6</f>
        <v>16917133</v>
      </c>
      <c r="D7" s="10" t="n">
        <f aca="false">D5+D6</f>
        <v>9014857</v>
      </c>
      <c r="E7" s="10" t="n">
        <f aca="false">E5+E6</f>
        <v>9374229</v>
      </c>
    </row>
    <row r="8" customFormat="false" ht="15" hidden="false" customHeight="false" outlineLevel="0" collapsed="false">
      <c r="B8" s="18" t="s">
        <v>428</v>
      </c>
      <c r="C8" s="29" t="n">
        <v>0.2</v>
      </c>
      <c r="D8" s="29" t="n">
        <v>0.3</v>
      </c>
      <c r="E8" s="29" t="n">
        <v>0.5</v>
      </c>
    </row>
    <row r="9" customFormat="false" ht="15" hidden="false" customHeight="false" outlineLevel="0" collapsed="false">
      <c r="B9" s="9" t="s">
        <v>429</v>
      </c>
      <c r="C9" s="10" t="n">
        <f aca="false">ROUND(C7*C8,0)</f>
        <v>3383427</v>
      </c>
      <c r="D9" s="10" t="n">
        <f aca="false">ROUND(D7*D8,0)</f>
        <v>2704457</v>
      </c>
      <c r="E9" s="10" t="n">
        <f aca="false">ROUND(E7*E8,0)</f>
        <v>4687115</v>
      </c>
    </row>
    <row r="10" customFormat="false" ht="25.35" hidden="false" customHeight="false" outlineLevel="0" collapsed="false">
      <c r="B10" s="16" t="s">
        <v>430</v>
      </c>
      <c r="F10" s="17" t="n">
        <f aca="false">SUM(C9:E9)</f>
        <v>10774999</v>
      </c>
      <c r="G10" s="24" t="s">
        <v>431</v>
      </c>
    </row>
    <row r="12" customFormat="false" ht="15" hidden="false" customHeight="false" outlineLevel="0" collapsed="false">
      <c r="B12" s="7"/>
      <c r="C12" s="7" t="s">
        <v>432</v>
      </c>
      <c r="D12" s="7" t="s">
        <v>433</v>
      </c>
      <c r="E12" s="7" t="s">
        <v>434</v>
      </c>
      <c r="F12" s="7"/>
    </row>
    <row r="13" customFormat="false" ht="15" hidden="false" customHeight="false" outlineLevel="0" collapsed="false">
      <c r="B13" s="18" t="s">
        <v>435</v>
      </c>
      <c r="C13" s="26" t="n">
        <v>1</v>
      </c>
      <c r="D13" s="26" t="n">
        <v>2</v>
      </c>
      <c r="E13" s="26" t="n">
        <v>3</v>
      </c>
    </row>
    <row r="14" customFormat="false" ht="15" hidden="false" customHeight="false" outlineLevel="0" collapsed="false">
      <c r="B14" s="18" t="s">
        <v>436</v>
      </c>
      <c r="C14" s="12" t="n">
        <f aca="false">ROUND($F$10*C13,0)</f>
        <v>10774999</v>
      </c>
      <c r="D14" s="12" t="n">
        <f aca="false">ROUND($F$10*D13,0)</f>
        <v>21549998</v>
      </c>
      <c r="E14" s="12" t="n">
        <f aca="false">ROUND($F$10*E13,0)</f>
        <v>32324997</v>
      </c>
    </row>
    <row r="15" customFormat="false" ht="15" hidden="false" customHeight="false" outlineLevel="0" collapsed="false">
      <c r="B15" s="18" t="s">
        <v>437</v>
      </c>
      <c r="C15" s="12" t="n">
        <f aca="false">'修正BS(貸方) '!E14</f>
        <v>-81442234</v>
      </c>
      <c r="D15" s="12" t="n">
        <f aca="false">'修正BS(貸方) '!E14</f>
        <v>-81442234</v>
      </c>
      <c r="E15" s="12" t="n">
        <f aca="false">'修正BS(貸方) '!E14</f>
        <v>-81442234</v>
      </c>
    </row>
    <row r="16" customFormat="false" ht="15" hidden="false" customHeight="false" outlineLevel="0" collapsed="false">
      <c r="B16" s="9" t="s">
        <v>438</v>
      </c>
      <c r="C16" s="17" t="n">
        <f aca="false">C14+C15</f>
        <v>-70667235</v>
      </c>
      <c r="D16" s="17" t="n">
        <f aca="false">D14+D15</f>
        <v>-59892236</v>
      </c>
      <c r="E16" s="17" t="n">
        <f aca="false">E14+E15</f>
        <v>-49117237</v>
      </c>
    </row>
    <row r="17" customFormat="false" ht="15" hidden="false" customHeight="false" outlineLevel="0" collapsed="false">
      <c r="B17" s="9" t="s">
        <v>439</v>
      </c>
      <c r="C17" s="10" t="n">
        <f aca="false">MAX(C16,0)</f>
        <v>0</v>
      </c>
      <c r="D17" s="10" t="n">
        <f aca="false">MAX(D16,0)</f>
        <v>0</v>
      </c>
      <c r="E17" s="10" t="n">
        <f aca="false">MAX(E16,0)</f>
        <v>0</v>
      </c>
    </row>
    <row r="19" customFormat="false" ht="15" hidden="false" customHeight="false" outlineLevel="0" collapsed="false">
      <c r="B19" s="6" t="s">
        <v>440</v>
      </c>
    </row>
    <row r="21" customFormat="false" ht="15" hidden="false" customHeight="false" outlineLevel="0" collapsed="false">
      <c r="B21" s="18" t="s">
        <v>441</v>
      </c>
      <c r="C21" s="12" t="n">
        <f aca="false">C15-土地!J6</f>
        <v>86577801</v>
      </c>
      <c r="D21" s="12" t="n">
        <f aca="false">D15-土地!J6</f>
        <v>86577801</v>
      </c>
      <c r="E21" s="12" t="n">
        <f aca="false">E15-土地!J6</f>
        <v>86577801</v>
      </c>
    </row>
    <row r="22" customFormat="false" ht="15" hidden="false" customHeight="false" outlineLevel="0" collapsed="false">
      <c r="B22" s="9" t="s">
        <v>442</v>
      </c>
      <c r="C22" s="10" t="n">
        <f aca="false">C14+C21</f>
        <v>97352800</v>
      </c>
      <c r="D22" s="10" t="n">
        <f aca="false">D14+D21</f>
        <v>108127799</v>
      </c>
      <c r="E22" s="10" t="n">
        <f aca="false">E14+E21</f>
        <v>118902798</v>
      </c>
    </row>
    <row r="23" customFormat="false" ht="15" hidden="false" customHeight="false" outlineLevel="0" collapsed="false">
      <c r="B23" s="6" t="s">
        <v>443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22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40"/>
    <col collapsed="false" customWidth="true" hidden="false" outlineLevel="0" max="6" min="3" style="0" width="15"/>
    <col collapsed="false" customWidth="true" hidden="false" outlineLevel="0" max="7" min="7" style="0" width="50"/>
  </cols>
  <sheetData>
    <row r="2" customFormat="false" ht="19.4" hidden="false" customHeight="false" outlineLevel="0" collapsed="false">
      <c r="B2" s="23" t="s">
        <v>444</v>
      </c>
    </row>
    <row r="4" customFormat="false" ht="15" hidden="false" customHeight="false" outlineLevel="0" collapsed="false">
      <c r="B4" s="7" t="s">
        <v>318</v>
      </c>
      <c r="C4" s="8" t="s">
        <v>21</v>
      </c>
      <c r="D4" s="8" t="s">
        <v>22</v>
      </c>
      <c r="E4" s="8" t="s">
        <v>23</v>
      </c>
      <c r="F4" s="7" t="s">
        <v>424</v>
      </c>
    </row>
    <row r="5" customFormat="false" ht="15" hidden="false" customHeight="false" outlineLevel="0" collapsed="false">
      <c r="B5" s="18" t="s">
        <v>445</v>
      </c>
      <c r="C5" s="12" t="n">
        <f aca="false">修正PL!E12</f>
        <v>36954102</v>
      </c>
      <c r="D5" s="12" t="n">
        <f aca="false">修正PL!H12</f>
        <v>34076712</v>
      </c>
      <c r="E5" s="12" t="n">
        <f aca="false">修正PL!K12</f>
        <v>36538703</v>
      </c>
    </row>
    <row r="6" customFormat="false" ht="15" hidden="false" customHeight="false" outlineLevel="0" collapsed="false">
      <c r="B6" s="18" t="s">
        <v>428</v>
      </c>
      <c r="C6" s="29" t="n">
        <v>0.2</v>
      </c>
      <c r="D6" s="29" t="n">
        <v>0.3</v>
      </c>
      <c r="E6" s="29" t="n">
        <v>0.5</v>
      </c>
    </row>
    <row r="7" customFormat="false" ht="15" hidden="false" customHeight="false" outlineLevel="0" collapsed="false">
      <c r="B7" s="9" t="s">
        <v>429</v>
      </c>
      <c r="C7" s="10" t="n">
        <f aca="false">ROUND(C5*C6,0)</f>
        <v>7390820</v>
      </c>
      <c r="D7" s="10" t="n">
        <f aca="false">ROUND(D5*D6,0)</f>
        <v>10223014</v>
      </c>
      <c r="E7" s="10" t="n">
        <f aca="false">ROUND(E5*E6,0)</f>
        <v>18269352</v>
      </c>
    </row>
    <row r="8" customFormat="false" ht="15" hidden="false" customHeight="false" outlineLevel="0" collapsed="false">
      <c r="B8" s="16" t="s">
        <v>446</v>
      </c>
      <c r="F8" s="17" t="n">
        <f aca="false">SUM(C7:E7)</f>
        <v>35883186</v>
      </c>
    </row>
    <row r="9" customFormat="false" ht="15" hidden="false" customHeight="false" outlineLevel="0" collapsed="false">
      <c r="B9" s="18" t="s">
        <v>447</v>
      </c>
      <c r="F9" s="12" t="n">
        <f aca="false">ROUND(AVERAGE(C5:E5),0)</f>
        <v>35856506</v>
      </c>
    </row>
    <row r="11" customFormat="false" ht="15" hidden="false" customHeight="false" outlineLevel="0" collapsed="false">
      <c r="B11" s="7"/>
      <c r="C11" s="7" t="s">
        <v>448</v>
      </c>
      <c r="D11" s="7" t="s">
        <v>449</v>
      </c>
      <c r="E11" s="7" t="s">
        <v>450</v>
      </c>
      <c r="F11" s="7"/>
    </row>
    <row r="12" customFormat="false" ht="15" hidden="false" customHeight="false" outlineLevel="0" collapsed="false">
      <c r="B12" s="32" t="s">
        <v>451</v>
      </c>
      <c r="C12" s="33" t="n">
        <v>3</v>
      </c>
      <c r="D12" s="33" t="n">
        <v>4</v>
      </c>
      <c r="E12" s="33" t="n">
        <v>5</v>
      </c>
    </row>
    <row r="13" customFormat="false" ht="15" hidden="false" customHeight="false" outlineLevel="0" collapsed="false">
      <c r="B13" s="18" t="s">
        <v>452</v>
      </c>
      <c r="C13" s="12" t="n">
        <f aca="false">ROUND($F$8*C12,0)</f>
        <v>107649558</v>
      </c>
      <c r="D13" s="12" t="n">
        <f aca="false">ROUND($F$8*D12,0)</f>
        <v>143532744</v>
      </c>
      <c r="E13" s="12" t="n">
        <f aca="false">ROUND($F$8*E12,0)</f>
        <v>179415930</v>
      </c>
    </row>
    <row r="14" customFormat="false" ht="15" hidden="false" customHeight="false" outlineLevel="0" collapsed="false">
      <c r="B14" s="18" t="s">
        <v>453</v>
      </c>
      <c r="C14" s="12" t="n">
        <f aca="false">-ROUND(C13*0.3,0)</f>
        <v>-32294867</v>
      </c>
      <c r="D14" s="12" t="n">
        <f aca="false">-ROUND(D13*0.3,0)</f>
        <v>-43059823</v>
      </c>
      <c r="E14" s="12" t="n">
        <f aca="false">-ROUND(E13*0.3,0)</f>
        <v>-53824779</v>
      </c>
    </row>
    <row r="15" customFormat="false" ht="15" hidden="false" customHeight="false" outlineLevel="0" collapsed="false">
      <c r="B15" s="18" t="s">
        <v>454</v>
      </c>
      <c r="C15" s="12" t="n">
        <f aca="false">C13+C14</f>
        <v>75354691</v>
      </c>
      <c r="D15" s="12" t="n">
        <f aca="false">D13+D14</f>
        <v>100472921</v>
      </c>
      <c r="E15" s="12" t="n">
        <f aca="false">E13+E14</f>
        <v>125591151</v>
      </c>
    </row>
    <row r="16" customFormat="false" ht="15" hidden="false" customHeight="false" outlineLevel="0" collapsed="false">
      <c r="B16" s="18" t="s">
        <v>330</v>
      </c>
      <c r="C16" s="12" t="n">
        <f aca="false">ネットキャッシュ!C12</f>
        <v>-385549150</v>
      </c>
      <c r="D16" s="12" t="n">
        <f aca="false">ネットキャッシュ!C12</f>
        <v>-385549150</v>
      </c>
      <c r="E16" s="12" t="n">
        <f aca="false">ネットキャッシュ!C12</f>
        <v>-385549150</v>
      </c>
    </row>
    <row r="17" customFormat="false" ht="15" hidden="false" customHeight="false" outlineLevel="0" collapsed="false">
      <c r="B17" s="9" t="s">
        <v>455</v>
      </c>
      <c r="C17" s="17" t="n">
        <f aca="false">C15+C16</f>
        <v>-310194459</v>
      </c>
      <c r="D17" s="17" t="n">
        <f aca="false">D15+D16</f>
        <v>-285076229</v>
      </c>
      <c r="E17" s="17" t="n">
        <f aca="false">E15+E16</f>
        <v>-259957999</v>
      </c>
    </row>
    <row r="18" customFormat="false" ht="15" hidden="false" customHeight="false" outlineLevel="0" collapsed="false">
      <c r="B18" s="9" t="s">
        <v>439</v>
      </c>
      <c r="C18" s="10" t="n">
        <f aca="false">MAX(C17,0)</f>
        <v>0</v>
      </c>
      <c r="D18" s="10" t="n">
        <f aca="false">MAX(D17,0)</f>
        <v>0</v>
      </c>
      <c r="E18" s="10" t="n">
        <f aca="false">MAX(E17,0)</f>
        <v>0</v>
      </c>
    </row>
    <row r="20" customFormat="false" ht="15" hidden="false" customHeight="false" outlineLevel="0" collapsed="false">
      <c r="B20" s="18" t="s">
        <v>456</v>
      </c>
      <c r="C20" s="12" t="n">
        <f aca="false">C15+ネットキャッシュ!C14</f>
        <v>-204774459</v>
      </c>
      <c r="D20" s="12" t="n">
        <f aca="false">D15+ネットキャッシュ!C14</f>
        <v>-179656229</v>
      </c>
      <c r="E20" s="12" t="n">
        <f aca="false">E15+ネットキャッシュ!C14</f>
        <v>-154537999</v>
      </c>
    </row>
    <row r="22" customFormat="false" ht="15" hidden="false" customHeight="false" outlineLevel="0" collapsed="false">
      <c r="B22" s="6" t="s">
        <v>457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11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8"/>
    <col collapsed="false" customWidth="true" hidden="false" outlineLevel="0" max="4" min="3" style="0" width="30"/>
    <col collapsed="false" customWidth="true" hidden="false" outlineLevel="0" max="5" min="5" style="0" width="14"/>
    <col collapsed="false" customWidth="true" hidden="false" outlineLevel="0" max="6" min="6" style="0" width="40"/>
  </cols>
  <sheetData>
    <row r="2" customFormat="false" ht="19.4" hidden="false" customHeight="false" outlineLevel="0" collapsed="false">
      <c r="B2" s="5" t="s">
        <v>458</v>
      </c>
    </row>
    <row r="4" customFormat="false" ht="15" hidden="false" customHeight="false" outlineLevel="0" collapsed="false">
      <c r="B4" s="7" t="s">
        <v>459</v>
      </c>
      <c r="C4" s="7" t="s">
        <v>460</v>
      </c>
      <c r="D4" s="7" t="s">
        <v>461</v>
      </c>
      <c r="E4" s="8" t="s">
        <v>462</v>
      </c>
      <c r="F4" s="7" t="s">
        <v>25</v>
      </c>
    </row>
    <row r="5" customFormat="false" ht="15" hidden="false" customHeight="false" outlineLevel="0" collapsed="false">
      <c r="B5" s="25" t="s">
        <v>463</v>
      </c>
      <c r="C5" s="25" t="s">
        <v>464</v>
      </c>
      <c r="D5" s="24" t="s">
        <v>465</v>
      </c>
      <c r="E5" s="24" t="s">
        <v>466</v>
      </c>
      <c r="F5" s="24" t="s">
        <v>467</v>
      </c>
    </row>
    <row r="6" customFormat="false" ht="15" hidden="false" customHeight="false" outlineLevel="0" collapsed="false">
      <c r="B6" s="25" t="s">
        <v>468</v>
      </c>
      <c r="C6" s="25" t="s">
        <v>469</v>
      </c>
      <c r="D6" s="24" t="s">
        <v>470</v>
      </c>
      <c r="E6" s="24" t="s">
        <v>466</v>
      </c>
      <c r="F6" s="24" t="s">
        <v>467</v>
      </c>
    </row>
    <row r="7" customFormat="false" ht="15" hidden="false" customHeight="false" outlineLevel="0" collapsed="false">
      <c r="B7" s="25" t="s">
        <v>471</v>
      </c>
      <c r="C7" s="25" t="s">
        <v>472</v>
      </c>
      <c r="D7" s="24" t="s">
        <v>473</v>
      </c>
      <c r="E7" s="24" t="s">
        <v>466</v>
      </c>
      <c r="F7" s="24" t="s">
        <v>467</v>
      </c>
    </row>
    <row r="8" customFormat="false" ht="15" hidden="false" customHeight="false" outlineLevel="0" collapsed="false">
      <c r="B8" s="25" t="s">
        <v>474</v>
      </c>
      <c r="C8" s="24" t="s">
        <v>475</v>
      </c>
      <c r="D8" s="24" t="s">
        <v>476</v>
      </c>
      <c r="E8" s="24" t="s">
        <v>466</v>
      </c>
      <c r="F8" s="24" t="s">
        <v>467</v>
      </c>
    </row>
    <row r="9" customFormat="false" ht="15" hidden="false" customHeight="false" outlineLevel="0" collapsed="false">
      <c r="B9" s="25" t="s">
        <v>477</v>
      </c>
      <c r="C9" s="24" t="s">
        <v>478</v>
      </c>
      <c r="D9" s="24" t="s">
        <v>479</v>
      </c>
      <c r="E9" s="24" t="s">
        <v>466</v>
      </c>
      <c r="F9" s="24" t="s">
        <v>467</v>
      </c>
    </row>
    <row r="11" customFormat="false" ht="15" hidden="false" customHeight="false" outlineLevel="0" collapsed="false">
      <c r="B11" s="6" t="s">
        <v>480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B3041"/>
    <pageSetUpPr fitToPage="false"/>
  </sheetPr>
  <dimension ref="B2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2" customFormat="false" ht="19.4" hidden="false" customHeight="false" outlineLevel="0" collapsed="false">
      <c r="B2" s="23" t="s">
        <v>481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I18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18"/>
    <col collapsed="false" customWidth="true" hidden="false" outlineLevel="0" max="6" min="3" style="0" width="15"/>
    <col collapsed="false" customWidth="true" hidden="false" outlineLevel="0" max="7" min="7" style="0" width="4"/>
    <col collapsed="false" customWidth="true" hidden="false" outlineLevel="0" max="8" min="8" style="0" width="16"/>
    <col collapsed="false" customWidth="true" hidden="false" outlineLevel="0" max="9" min="9" style="0" width="50"/>
  </cols>
  <sheetData>
    <row r="2" customFormat="false" ht="17.35" hidden="false" customHeight="false" outlineLevel="0" collapsed="false">
      <c r="B2" s="5" t="s">
        <v>482</v>
      </c>
    </row>
    <row r="4" customFormat="false" ht="15" hidden="false" customHeight="true" outlineLevel="0" collapsed="false">
      <c r="B4" s="7" t="s">
        <v>483</v>
      </c>
      <c r="C4" s="7" t="str">
        <f aca="false">'BS(借方)'!C4</f>
        <v>2023年3月期</v>
      </c>
      <c r="D4" s="7" t="str">
        <f aca="false">'BS(借方)'!D4</f>
        <v>2024年3月期</v>
      </c>
      <c r="E4" s="7" t="str">
        <f aca="false">'BS(借方)'!E4</f>
        <v>2025年3月期</v>
      </c>
      <c r="F4" s="7" t="str">
        <f aca="false">'BS(借方)'!F4</f>
        <v>2026年3月期</v>
      </c>
      <c r="H4" s="34" t="s">
        <v>484</v>
      </c>
      <c r="I4" s="34"/>
    </row>
    <row r="5" customFormat="false" ht="15" hidden="false" customHeight="false" outlineLevel="0" collapsed="false">
      <c r="B5" s="9" t="s">
        <v>101</v>
      </c>
      <c r="C5" s="10" t="n">
        <f aca="false">PLハイライト!C5</f>
        <v>284840729</v>
      </c>
      <c r="D5" s="10" t="n">
        <f aca="false">PLハイライト!D5</f>
        <v>376221193</v>
      </c>
      <c r="E5" s="10" t="n">
        <f aca="false">PLハイライト!E5</f>
        <v>382684537</v>
      </c>
      <c r="F5" s="10" t="n">
        <f aca="false">PLハイライト!F5</f>
        <v>405963400</v>
      </c>
      <c r="H5" s="35" t="s">
        <v>460</v>
      </c>
      <c r="I5" s="24" t="str">
        <f aca="false">会社概要!C5</f>
        <v>越ヶ谷製氷冷蔵株式会社</v>
      </c>
    </row>
    <row r="6" customFormat="false" ht="15" hidden="false" customHeight="false" outlineLevel="0" collapsed="false">
      <c r="B6" s="18" t="s">
        <v>111</v>
      </c>
      <c r="C6" s="12" t="n">
        <f aca="false">PLハイライト!C7</f>
        <v>46247759</v>
      </c>
      <c r="D6" s="12" t="n">
        <f aca="false">PLハイライト!D7</f>
        <v>96567342</v>
      </c>
      <c r="E6" s="12" t="n">
        <f aca="false">PLハイライト!E7</f>
        <v>85384403</v>
      </c>
      <c r="F6" s="12" t="n">
        <f aca="false">PLハイライト!F7</f>
        <v>89373985</v>
      </c>
      <c r="H6" s="35" t="s">
        <v>485</v>
      </c>
      <c r="I6" s="24" t="str">
        <f aca="false">会社概要!C7</f>
        <v>埼玉県越谷市蒲生寿町19番15号</v>
      </c>
    </row>
    <row r="7" customFormat="false" ht="25.35" hidden="false" customHeight="false" outlineLevel="0" collapsed="false">
      <c r="B7" s="9" t="s">
        <v>121</v>
      </c>
      <c r="C7" s="10" t="n">
        <f aca="false">PLハイライト!C9</f>
        <v>-8247521</v>
      </c>
      <c r="D7" s="10" t="n">
        <f aca="false">PLハイライト!D9</f>
        <v>25325019</v>
      </c>
      <c r="E7" s="10" t="n">
        <f aca="false">PLハイライト!E9</f>
        <v>13658874</v>
      </c>
      <c r="F7" s="10" t="n">
        <f aca="false">PLハイライト!F9</f>
        <v>8025393</v>
      </c>
      <c r="H7" s="35" t="s">
        <v>486</v>
      </c>
      <c r="I7" s="24" t="str">
        <f aca="false">会社概要!C8</f>
        <v>越谷工場：埼玉県越谷市大字平方999-4（平方工業団地内）／松戸営業所：千葉県松戸市稔台5-14-3</v>
      </c>
    </row>
    <row r="8" customFormat="false" ht="15" hidden="false" customHeight="false" outlineLevel="0" collapsed="false">
      <c r="B8" s="18" t="s">
        <v>133</v>
      </c>
      <c r="C8" s="12" t="n">
        <f aca="false">PLハイライト!C11</f>
        <v>-13264723</v>
      </c>
      <c r="D8" s="12" t="n">
        <f aca="false">PLハイライト!D11</f>
        <v>22792179</v>
      </c>
      <c r="E8" s="12" t="n">
        <f aca="false">PLハイライト!E11</f>
        <v>6021177</v>
      </c>
      <c r="F8" s="12" t="n">
        <f aca="false">PLハイライト!F11</f>
        <v>1863864</v>
      </c>
      <c r="H8" s="35" t="s">
        <v>487</v>
      </c>
      <c r="I8" s="24" t="str">
        <f aca="false">会社概要!C9</f>
        <v>1960年（昭和35年）3月18日</v>
      </c>
    </row>
    <row r="9" customFormat="false" ht="15" hidden="false" customHeight="false" outlineLevel="0" collapsed="false">
      <c r="B9" s="18" t="s">
        <v>139</v>
      </c>
      <c r="C9" s="12" t="n">
        <f aca="false">PLハイライト!C13</f>
        <v>-13624723</v>
      </c>
      <c r="D9" s="12" t="n">
        <f aca="false">PLハイライト!D13</f>
        <v>22432179</v>
      </c>
      <c r="E9" s="12" t="n">
        <f aca="false">PLハイライト!E13</f>
        <v>5661177</v>
      </c>
      <c r="F9" s="12" t="n">
        <f aca="false">PLハイライト!F13</f>
        <v>1376664</v>
      </c>
      <c r="H9" s="35" t="s">
        <v>92</v>
      </c>
      <c r="I9" s="24" t="str">
        <f aca="false">会社概要!C10</f>
        <v>10,000千円（2026年5月15日に11,000千円から減資）</v>
      </c>
    </row>
    <row r="10" customFormat="false" ht="15" hidden="false" customHeight="false" outlineLevel="0" collapsed="false">
      <c r="B10" s="18" t="s">
        <v>181</v>
      </c>
      <c r="C10" s="12" t="n">
        <f aca="false">PLハイライト!C14</f>
        <v>19763</v>
      </c>
      <c r="D10" s="12" t="n">
        <f aca="false">PLハイライト!D14</f>
        <v>11322083</v>
      </c>
      <c r="E10" s="12" t="n">
        <f aca="false">PLハイライト!E14</f>
        <v>20417838</v>
      </c>
      <c r="F10" s="12" t="n">
        <f aca="false">PLハイライト!F14</f>
        <v>22335325</v>
      </c>
      <c r="H10" s="35" t="s">
        <v>488</v>
      </c>
      <c r="I10" s="24" t="str">
        <f aca="false">会社概要!C11</f>
        <v>代表取締役 小野田 洋</v>
      </c>
    </row>
    <row r="11" customFormat="false" ht="25.35" hidden="false" customHeight="false" outlineLevel="0" collapsed="false">
      <c r="B11" s="9" t="s">
        <v>489</v>
      </c>
      <c r="C11" s="10" t="n">
        <f aca="false">PLハイライト!C19</f>
        <v>-8227758</v>
      </c>
      <c r="D11" s="10" t="n">
        <f aca="false">PLハイライト!D19</f>
        <v>36954102</v>
      </c>
      <c r="E11" s="10" t="n">
        <f aca="false">PLハイライト!E19</f>
        <v>34076712</v>
      </c>
      <c r="F11" s="10" t="n">
        <f aca="false">PLハイライト!F19</f>
        <v>36538703</v>
      </c>
      <c r="H11" s="35" t="s">
        <v>490</v>
      </c>
      <c r="I11" s="24" t="str">
        <f aca="false">会社概要!C12</f>
        <v>小野田 洋 100%（発行済株式数は登記22,000株／申告書220株で相違・要確認）</v>
      </c>
    </row>
    <row r="12" customFormat="false" ht="15" hidden="false" customHeight="false" outlineLevel="0" collapsed="false">
      <c r="B12" s="18" t="s">
        <v>491</v>
      </c>
      <c r="C12" s="12" t="n">
        <f aca="false">BSハイライト!C16</f>
        <v>589957699</v>
      </c>
      <c r="D12" s="12" t="n">
        <f aca="false">BSハイライト!D16</f>
        <v>602857386</v>
      </c>
      <c r="E12" s="12" t="n">
        <f aca="false">BSハイライト!E16</f>
        <v>561711699</v>
      </c>
      <c r="F12" s="12" t="n">
        <f aca="false">BSハイライト!F16</f>
        <v>553204019</v>
      </c>
      <c r="H12" s="35" t="s">
        <v>492</v>
      </c>
      <c r="I12" s="24" t="str">
        <f aca="false">会社概要!C14</f>
        <v>25名（常勤役員1名・従業員24名、2026年3月期末）</v>
      </c>
    </row>
    <row r="13" customFormat="false" ht="25.35" hidden="false" customHeight="false" outlineLevel="0" collapsed="false">
      <c r="B13" s="18" t="s">
        <v>493</v>
      </c>
      <c r="C13" s="12" t="n">
        <f aca="false">BSハイライト!C21</f>
        <v>19818176</v>
      </c>
      <c r="D13" s="12" t="n">
        <f aca="false">BSハイライト!D21</f>
        <v>42250355</v>
      </c>
      <c r="E13" s="12" t="n">
        <f aca="false">BSハイライト!E21</f>
        <v>47911532</v>
      </c>
      <c r="F13" s="12" t="n">
        <f aca="false">BSハイライト!F21</f>
        <v>49288196</v>
      </c>
      <c r="H13" s="35" t="s">
        <v>494</v>
      </c>
      <c r="I13" s="24" t="str">
        <f aca="false">会社概要!C15</f>
        <v>純氷（角氷・加工氷・袋氷・特殊氷）の製造及び卸小売販売、ドライアイス等の商品販売、冷蔵保管</v>
      </c>
    </row>
    <row r="14" customFormat="false" ht="25.35" hidden="false" customHeight="false" outlineLevel="0" collapsed="false">
      <c r="B14" s="18" t="s">
        <v>495</v>
      </c>
      <c r="C14" s="12" t="n">
        <f aca="false">BSハイライト!C18</f>
        <v>530156000</v>
      </c>
      <c r="D14" s="12" t="n">
        <f aca="false">BSハイライト!D18</f>
        <v>512787000</v>
      </c>
      <c r="E14" s="12" t="n">
        <f aca="false">BSハイライト!E18</f>
        <v>478822000</v>
      </c>
      <c r="F14" s="12" t="n">
        <f aca="false">BSハイライト!F18</f>
        <v>461024000</v>
      </c>
      <c r="H14" s="35" t="s">
        <v>496</v>
      </c>
      <c r="I14" s="24" t="str">
        <f aca="false">会社概要!C16</f>
        <v>(株)日本アクセス／(株)日本橋冷凍手島商店／三菱食品(株)／金木屋商事(株)／(株)クールテックサガワ　他</v>
      </c>
    </row>
    <row r="15" customFormat="false" ht="25.35" hidden="false" customHeight="false" outlineLevel="0" collapsed="false">
      <c r="B15" s="18" t="s">
        <v>497</v>
      </c>
      <c r="C15" s="12" t="n">
        <f aca="false">BSハイライト!C5</f>
        <v>105962634</v>
      </c>
      <c r="D15" s="12" t="n">
        <f aca="false">BSハイライト!D5</f>
        <v>108835028</v>
      </c>
      <c r="E15" s="12" t="n">
        <f aca="false">BSハイライト!E5</f>
        <v>73061491</v>
      </c>
      <c r="F15" s="12" t="n">
        <f aca="false">BSハイライト!F5</f>
        <v>66599556</v>
      </c>
      <c r="H15" s="35" t="s">
        <v>498</v>
      </c>
      <c r="I15" s="24" t="str">
        <f aca="false">会社概要!C17</f>
        <v>製氷設備4台（日産40トン）、袋詰砕氷設備1台（日産2,500ケース）、冷蔵設備3台（F級1,000トン）</v>
      </c>
    </row>
    <row r="16" customFormat="false" ht="15" hidden="false" customHeight="false" outlineLevel="0" collapsed="false">
      <c r="B16" s="16" t="s">
        <v>499</v>
      </c>
      <c r="F16" s="17" t="n">
        <f aca="false">PLハイライト!F20</f>
        <v>35856506</v>
      </c>
      <c r="H16" s="35" t="s">
        <v>101</v>
      </c>
      <c r="I16" s="24" t="str">
        <f aca="false">会社概要!C19</f>
        <v>405,963千円（2026年3月期）</v>
      </c>
    </row>
    <row r="17" customFormat="false" ht="15" hidden="false" customHeight="false" outlineLevel="0" collapsed="false">
      <c r="H17" s="35" t="s">
        <v>500</v>
      </c>
      <c r="I17" s="24" t="str">
        <f aca="false">会社概要!C21</f>
        <v>後継者不在</v>
      </c>
    </row>
    <row r="18" customFormat="false" ht="15" hidden="false" customHeight="false" outlineLevel="0" collapsed="false">
      <c r="H18" s="35" t="s">
        <v>501</v>
      </c>
      <c r="I18" s="24" t="str">
        <f aca="false">会社概要!C22</f>
        <v>株式100%譲渡</v>
      </c>
    </row>
  </sheetData>
  <mergeCells count="1">
    <mergeCell ref="H4:I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D22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16"/>
    <col collapsed="false" customWidth="true" hidden="false" outlineLevel="0" max="3" min="3" style="0" width="90"/>
    <col collapsed="false" customWidth="true" hidden="false" outlineLevel="0" max="4" min="4" style="0" width="26"/>
  </cols>
  <sheetData>
    <row r="2" customFormat="false" ht="17.35" hidden="false" customHeight="false" outlineLevel="0" collapsed="false">
      <c r="B2" s="5" t="s">
        <v>484</v>
      </c>
    </row>
    <row r="4" customFormat="false" ht="15" hidden="false" customHeight="false" outlineLevel="0" collapsed="false">
      <c r="B4" s="7" t="s">
        <v>318</v>
      </c>
      <c r="C4" s="7" t="s">
        <v>502</v>
      </c>
      <c r="D4" s="7" t="s">
        <v>503</v>
      </c>
    </row>
    <row r="5" customFormat="false" ht="15" hidden="false" customHeight="false" outlineLevel="0" collapsed="false">
      <c r="B5" s="35" t="s">
        <v>460</v>
      </c>
      <c r="C5" s="24" t="s">
        <v>504</v>
      </c>
      <c r="D5" s="36" t="s">
        <v>505</v>
      </c>
    </row>
    <row r="6" customFormat="false" ht="15" hidden="false" customHeight="false" outlineLevel="0" collapsed="false">
      <c r="B6" s="35" t="s">
        <v>506</v>
      </c>
      <c r="C6" s="24" t="s">
        <v>507</v>
      </c>
      <c r="D6" s="36" t="s">
        <v>508</v>
      </c>
    </row>
    <row r="7" customFormat="false" ht="15" hidden="false" customHeight="false" outlineLevel="0" collapsed="false">
      <c r="B7" s="35" t="s">
        <v>485</v>
      </c>
      <c r="C7" s="24" t="s">
        <v>509</v>
      </c>
      <c r="D7" s="36" t="s">
        <v>505</v>
      </c>
    </row>
    <row r="8" customFormat="false" ht="15" hidden="false" customHeight="false" outlineLevel="0" collapsed="false">
      <c r="B8" s="35" t="s">
        <v>486</v>
      </c>
      <c r="C8" s="24" t="s">
        <v>510</v>
      </c>
      <c r="D8" s="36" t="s">
        <v>511</v>
      </c>
    </row>
    <row r="9" customFormat="false" ht="15" hidden="false" customHeight="false" outlineLevel="0" collapsed="false">
      <c r="B9" s="35" t="s">
        <v>487</v>
      </c>
      <c r="C9" s="25" t="s">
        <v>512</v>
      </c>
      <c r="D9" s="36" t="s">
        <v>505</v>
      </c>
    </row>
    <row r="10" customFormat="false" ht="15" hidden="false" customHeight="false" outlineLevel="0" collapsed="false">
      <c r="B10" s="35" t="s">
        <v>92</v>
      </c>
      <c r="C10" s="25" t="s">
        <v>513</v>
      </c>
      <c r="D10" s="36" t="s">
        <v>505</v>
      </c>
    </row>
    <row r="11" customFormat="false" ht="15" hidden="false" customHeight="false" outlineLevel="0" collapsed="false">
      <c r="B11" s="35" t="s">
        <v>488</v>
      </c>
      <c r="C11" s="24" t="s">
        <v>514</v>
      </c>
      <c r="D11" s="36" t="s">
        <v>505</v>
      </c>
    </row>
    <row r="12" customFormat="false" ht="15" hidden="false" customHeight="false" outlineLevel="0" collapsed="false">
      <c r="B12" s="35" t="s">
        <v>490</v>
      </c>
      <c r="C12" s="24" t="s">
        <v>515</v>
      </c>
      <c r="D12" s="36" t="s">
        <v>516</v>
      </c>
    </row>
    <row r="13" customFormat="false" ht="15" hidden="false" customHeight="false" outlineLevel="0" collapsed="false">
      <c r="B13" s="35" t="s">
        <v>517</v>
      </c>
      <c r="C13" s="24" t="s">
        <v>518</v>
      </c>
      <c r="D13" s="36" t="s">
        <v>505</v>
      </c>
    </row>
    <row r="14" customFormat="false" ht="15" hidden="false" customHeight="false" outlineLevel="0" collapsed="false">
      <c r="B14" s="35" t="s">
        <v>492</v>
      </c>
      <c r="C14" s="25" t="s">
        <v>519</v>
      </c>
      <c r="D14" s="36" t="s">
        <v>520</v>
      </c>
    </row>
    <row r="15" customFormat="false" ht="15" hidden="false" customHeight="false" outlineLevel="0" collapsed="false">
      <c r="B15" s="35" t="s">
        <v>494</v>
      </c>
      <c r="C15" s="24" t="s">
        <v>521</v>
      </c>
      <c r="D15" s="36" t="s">
        <v>522</v>
      </c>
    </row>
    <row r="16" customFormat="false" ht="15" hidden="false" customHeight="false" outlineLevel="0" collapsed="false">
      <c r="B16" s="35" t="s">
        <v>496</v>
      </c>
      <c r="C16" s="25" t="s">
        <v>523</v>
      </c>
      <c r="D16" s="36" t="s">
        <v>511</v>
      </c>
    </row>
    <row r="17" customFormat="false" ht="15" hidden="false" customHeight="false" outlineLevel="0" collapsed="false">
      <c r="B17" s="35" t="s">
        <v>498</v>
      </c>
      <c r="C17" s="24" t="s">
        <v>524</v>
      </c>
      <c r="D17" s="36" t="s">
        <v>520</v>
      </c>
    </row>
    <row r="18" customFormat="false" ht="15" hidden="false" customHeight="false" outlineLevel="0" collapsed="false">
      <c r="B18" s="35" t="s">
        <v>525</v>
      </c>
      <c r="C18" s="24" t="s">
        <v>526</v>
      </c>
      <c r="D18" s="36" t="s">
        <v>527</v>
      </c>
    </row>
    <row r="19" customFormat="false" ht="15" hidden="false" customHeight="false" outlineLevel="0" collapsed="false">
      <c r="B19" s="35" t="s">
        <v>101</v>
      </c>
      <c r="C19" s="24" t="str">
        <f aca="false">TEXT(ROUND(PL!I5/1000,0),"#,##0")&amp;"千円（2026年3月期）"</f>
        <v>405,963千円（2026年3月期）</v>
      </c>
      <c r="D19" s="36" t="s">
        <v>528</v>
      </c>
    </row>
    <row r="20" customFormat="false" ht="15" hidden="false" customHeight="false" outlineLevel="0" collapsed="false">
      <c r="B20" s="35" t="s">
        <v>529</v>
      </c>
      <c r="C20" s="24" t="s">
        <v>530</v>
      </c>
      <c r="D20" s="36" t="s">
        <v>531</v>
      </c>
    </row>
    <row r="21" customFormat="false" ht="15" hidden="false" customHeight="false" outlineLevel="0" collapsed="false">
      <c r="B21" s="35" t="s">
        <v>500</v>
      </c>
      <c r="C21" s="24" t="s">
        <v>532</v>
      </c>
      <c r="D21" s="36" t="s">
        <v>533</v>
      </c>
    </row>
    <row r="22" customFormat="false" ht="15" hidden="false" customHeight="false" outlineLevel="0" collapsed="false">
      <c r="B22" s="35" t="s">
        <v>501</v>
      </c>
      <c r="C22" s="24" t="s">
        <v>534</v>
      </c>
      <c r="D22" s="36" t="s">
        <v>535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G24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34"/>
    <col collapsed="false" customWidth="true" hidden="false" outlineLevel="0" max="6" min="3" style="0" width="14"/>
    <col collapsed="false" customWidth="true" hidden="false" outlineLevel="0" max="7" min="7" style="0" width="50"/>
  </cols>
  <sheetData>
    <row r="2" customFormat="false" ht="19.4" hidden="false" customHeight="false" outlineLevel="0" collapsed="false">
      <c r="B2" s="23" t="s">
        <v>536</v>
      </c>
    </row>
    <row r="4" customFormat="false" ht="15" hidden="false" customHeight="false" outlineLevel="0" collapsed="false">
      <c r="B4" s="7" t="s">
        <v>19</v>
      </c>
      <c r="C4" s="7" t="str">
        <f aca="false">'BS(借方)'!C4</f>
        <v>2023年3月期</v>
      </c>
      <c r="D4" s="7" t="str">
        <f aca="false">'BS(借方)'!D4</f>
        <v>2024年3月期</v>
      </c>
      <c r="E4" s="7" t="str">
        <f aca="false">'BS(借方)'!E4</f>
        <v>2025年3月期</v>
      </c>
      <c r="F4" s="7" t="str">
        <f aca="false">'BS(借方)'!F4</f>
        <v>2026年3月期</v>
      </c>
      <c r="G4" s="7" t="s">
        <v>25</v>
      </c>
    </row>
    <row r="5" customFormat="false" ht="15" hidden="false" customHeight="false" outlineLevel="0" collapsed="false">
      <c r="B5" s="9" t="s">
        <v>101</v>
      </c>
      <c r="C5" s="12" t="n">
        <f aca="false">PL!C5</f>
        <v>284840729</v>
      </c>
      <c r="D5" s="12" t="n">
        <f aca="false">PL!E5</f>
        <v>376221193</v>
      </c>
      <c r="E5" s="12" t="n">
        <f aca="false">PL!G5</f>
        <v>382684537</v>
      </c>
      <c r="F5" s="12" t="n">
        <f aca="false">PL!I5</f>
        <v>405963400</v>
      </c>
    </row>
    <row r="6" customFormat="false" ht="15" hidden="false" customHeight="false" outlineLevel="0" collapsed="false">
      <c r="B6" s="18" t="s">
        <v>537</v>
      </c>
      <c r="C6" s="37" t="n">
        <f aca="false">0</f>
        <v>0</v>
      </c>
      <c r="D6" s="37" t="n">
        <f aca="false">IFERROR(D5/C5,0)</f>
        <v>1.32081249167144</v>
      </c>
      <c r="E6" s="37" t="n">
        <f aca="false">IFERROR(E5/D5,0)</f>
        <v>1.01717963825605</v>
      </c>
      <c r="F6" s="37" t="n">
        <f aca="false">IFERROR(F5/E5,0)</f>
        <v>1.06083042493039</v>
      </c>
    </row>
    <row r="7" customFormat="false" ht="15" hidden="false" customHeight="false" outlineLevel="0" collapsed="false">
      <c r="B7" s="18" t="s">
        <v>111</v>
      </c>
      <c r="C7" s="12" t="n">
        <f aca="false">PL!C15</f>
        <v>46247759</v>
      </c>
      <c r="D7" s="12" t="n">
        <f aca="false">PL!E15</f>
        <v>96567342</v>
      </c>
      <c r="E7" s="12" t="n">
        <f aca="false">PL!G15</f>
        <v>85384403</v>
      </c>
      <c r="F7" s="12" t="n">
        <f aca="false">PL!I15</f>
        <v>89373985</v>
      </c>
    </row>
    <row r="8" customFormat="false" ht="15" hidden="false" customHeight="false" outlineLevel="0" collapsed="false">
      <c r="B8" s="18" t="s">
        <v>538</v>
      </c>
      <c r="C8" s="37" t="n">
        <f aca="false">IFERROR(C7/C5,0)</f>
        <v>0.162363574768129</v>
      </c>
      <c r="D8" s="37" t="n">
        <f aca="false">IFERROR(D7/D5,0)</f>
        <v>0.256677039456414</v>
      </c>
      <c r="E8" s="37" t="n">
        <f aca="false">IFERROR(E7/E5,0)</f>
        <v>0.223119553429984</v>
      </c>
      <c r="F8" s="37" t="n">
        <f aca="false">IFERROR(F7/F5,0)</f>
        <v>0.220152814268478</v>
      </c>
    </row>
    <row r="9" customFormat="false" ht="15" hidden="false" customHeight="false" outlineLevel="0" collapsed="false">
      <c r="B9" s="9" t="s">
        <v>121</v>
      </c>
      <c r="C9" s="12" t="n">
        <f aca="false">PL!C24</f>
        <v>-8247521</v>
      </c>
      <c r="D9" s="12" t="n">
        <f aca="false">PL!E24</f>
        <v>25325019</v>
      </c>
      <c r="E9" s="12" t="n">
        <f aca="false">PL!G24</f>
        <v>13658874</v>
      </c>
      <c r="F9" s="12" t="n">
        <f aca="false">PL!I24</f>
        <v>8025393</v>
      </c>
    </row>
    <row r="10" customFormat="false" ht="15" hidden="false" customHeight="false" outlineLevel="0" collapsed="false">
      <c r="B10" s="18" t="s">
        <v>539</v>
      </c>
      <c r="C10" s="37" t="n">
        <f aca="false">IFERROR(C9/C5,0)</f>
        <v>-0.0289548514671861</v>
      </c>
      <c r="D10" s="37" t="n">
        <f aca="false">IFERROR(D9/D5,0)</f>
        <v>0.0673141744037795</v>
      </c>
      <c r="E10" s="37" t="n">
        <f aca="false">IFERROR(E9/E5,0)</f>
        <v>0.0356922547931431</v>
      </c>
      <c r="F10" s="37" t="n">
        <f aca="false">IFERROR(F9/F5,0)</f>
        <v>0.0197687599423988</v>
      </c>
    </row>
    <row r="11" customFormat="false" ht="15" hidden="false" customHeight="false" outlineLevel="0" collapsed="false">
      <c r="B11" s="18" t="s">
        <v>133</v>
      </c>
      <c r="C11" s="12" t="n">
        <f aca="false">PL!C34</f>
        <v>-13264723</v>
      </c>
      <c r="D11" s="12" t="n">
        <f aca="false">PL!E34</f>
        <v>22792179</v>
      </c>
      <c r="E11" s="12" t="n">
        <f aca="false">PL!G34</f>
        <v>6021177</v>
      </c>
      <c r="F11" s="12" t="n">
        <f aca="false">PL!I34</f>
        <v>1863864</v>
      </c>
    </row>
    <row r="12" customFormat="false" ht="15" hidden="false" customHeight="false" outlineLevel="0" collapsed="false">
      <c r="B12" s="18" t="s">
        <v>540</v>
      </c>
      <c r="C12" s="37" t="n">
        <f aca="false">IFERROR(C11/C5,0)</f>
        <v>-0.0465689125518282</v>
      </c>
      <c r="D12" s="37" t="n">
        <f aca="false">IFERROR(D11/D5,0)</f>
        <v>0.0605818582899449</v>
      </c>
      <c r="E12" s="37" t="n">
        <f aca="false">IFERROR(E11/E5,0)</f>
        <v>0.0157340483292117</v>
      </c>
      <c r="F12" s="37" t="n">
        <f aca="false">IFERROR(F11/F5,0)</f>
        <v>0.00459121191713342</v>
      </c>
    </row>
    <row r="13" customFormat="false" ht="15" hidden="false" customHeight="false" outlineLevel="0" collapsed="false">
      <c r="B13" s="18" t="s">
        <v>139</v>
      </c>
      <c r="C13" s="12" t="n">
        <f aca="false">PL!C39</f>
        <v>-13624723</v>
      </c>
      <c r="D13" s="12" t="n">
        <f aca="false">PL!E39</f>
        <v>22432179</v>
      </c>
      <c r="E13" s="12" t="n">
        <f aca="false">PL!G39</f>
        <v>5661177</v>
      </c>
      <c r="F13" s="12" t="n">
        <f aca="false">PL!I39</f>
        <v>1376664</v>
      </c>
    </row>
    <row r="14" customFormat="false" ht="15" hidden="false" customHeight="false" outlineLevel="0" collapsed="false">
      <c r="B14" s="18" t="s">
        <v>181</v>
      </c>
      <c r="C14" s="12" t="n">
        <f aca="false">PL!C41</f>
        <v>19763</v>
      </c>
      <c r="D14" s="12" t="n">
        <f aca="false">PL!E41</f>
        <v>11322083</v>
      </c>
      <c r="E14" s="12" t="n">
        <f aca="false">PL!G41</f>
        <v>20417838</v>
      </c>
      <c r="F14" s="12" t="n">
        <f aca="false">PL!I41</f>
        <v>22335325</v>
      </c>
    </row>
    <row r="15" customFormat="false" ht="15" hidden="false" customHeight="false" outlineLevel="0" collapsed="false">
      <c r="B15" s="38" t="s">
        <v>541</v>
      </c>
      <c r="C15" s="12" t="n">
        <f aca="false">PL!C42</f>
        <v>-8227758</v>
      </c>
      <c r="D15" s="12" t="n">
        <f aca="false">PL!E42</f>
        <v>36647102</v>
      </c>
      <c r="E15" s="12" t="n">
        <f aca="false">PL!G42</f>
        <v>34076712</v>
      </c>
      <c r="F15" s="12" t="n">
        <f aca="false">PL!I42</f>
        <v>30360718</v>
      </c>
    </row>
    <row r="16" customFormat="false" ht="15" hidden="false" customHeight="false" outlineLevel="0" collapsed="false">
      <c r="B16" s="9" t="s">
        <v>542</v>
      </c>
    </row>
    <row r="17" customFormat="false" ht="15" hidden="false" customHeight="false" outlineLevel="0" collapsed="false">
      <c r="B17" s="18" t="s">
        <v>543</v>
      </c>
      <c r="C17" s="12" t="n">
        <f aca="false">0</f>
        <v>0</v>
      </c>
      <c r="D17" s="12" t="n">
        <f aca="false">修正PL!D15</f>
        <v>307000</v>
      </c>
      <c r="E17" s="12" t="n">
        <f aca="false">修正PL!G15</f>
        <v>0</v>
      </c>
      <c r="F17" s="12" t="n">
        <f aca="false">修正PL!J15</f>
        <v>6177985</v>
      </c>
    </row>
    <row r="18" customFormat="false" ht="15" hidden="false" customHeight="false" outlineLevel="0" collapsed="false">
      <c r="B18" s="18" t="s">
        <v>544</v>
      </c>
      <c r="C18" s="12" t="n">
        <f aca="false">0</f>
        <v>0</v>
      </c>
      <c r="D18" s="12" t="n">
        <f aca="false">修正PL!D16</f>
        <v>0</v>
      </c>
      <c r="E18" s="12" t="n">
        <f aca="false">修正PL!G16</f>
        <v>0</v>
      </c>
      <c r="F18" s="12" t="n">
        <f aca="false">修正PL!J16</f>
        <v>0</v>
      </c>
    </row>
    <row r="19" customFormat="false" ht="15" hidden="false" customHeight="false" outlineLevel="0" collapsed="false">
      <c r="B19" s="16" t="s">
        <v>489</v>
      </c>
      <c r="C19" s="17" t="n">
        <f aca="false">C15+C17+C18</f>
        <v>-8227758</v>
      </c>
      <c r="D19" s="17" t="n">
        <f aca="false">D15+D17+D18</f>
        <v>36954102</v>
      </c>
      <c r="E19" s="17" t="n">
        <f aca="false">E15+E17+E18</f>
        <v>34076712</v>
      </c>
      <c r="F19" s="17" t="n">
        <f aca="false">F15+F17+F18</f>
        <v>36538703</v>
      </c>
    </row>
    <row r="20" customFormat="false" ht="15" hidden="false" customHeight="false" outlineLevel="0" collapsed="false">
      <c r="B20" s="9" t="s">
        <v>499</v>
      </c>
      <c r="F20" s="10" t="n">
        <f aca="false">ROUND(AVERAGE(D19:F19),0)</f>
        <v>35856506</v>
      </c>
    </row>
    <row r="21" customFormat="false" ht="15" hidden="false" customHeight="false" outlineLevel="0" collapsed="false">
      <c r="B21" s="18" t="s">
        <v>545</v>
      </c>
      <c r="F21" s="12" t="n">
        <f aca="false">ROUND(AVERAGE(E19:F19),0)</f>
        <v>35307708</v>
      </c>
    </row>
    <row r="22" customFormat="false" ht="15" hidden="false" customHeight="false" outlineLevel="0" collapsed="false">
      <c r="B22" s="18" t="s">
        <v>546</v>
      </c>
      <c r="F22" s="20" t="b">
        <f aca="false">EXACT(F19,修正PL!K12)</f>
        <v>1</v>
      </c>
    </row>
    <row r="24" customFormat="false" ht="15" hidden="false" customHeight="false" outlineLevel="0" collapsed="false">
      <c r="B24" s="6" t="s">
        <v>547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G25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34"/>
    <col collapsed="false" customWidth="true" hidden="false" outlineLevel="0" max="6" min="3" style="0" width="14"/>
    <col collapsed="false" customWidth="true" hidden="false" outlineLevel="0" max="7" min="7" style="0" width="50"/>
  </cols>
  <sheetData>
    <row r="2" customFormat="false" ht="19.4" hidden="false" customHeight="false" outlineLevel="0" collapsed="false">
      <c r="B2" s="23" t="s">
        <v>548</v>
      </c>
    </row>
    <row r="4" customFormat="false" ht="15" hidden="false" customHeight="false" outlineLevel="0" collapsed="false">
      <c r="B4" s="7" t="s">
        <v>19</v>
      </c>
      <c r="C4" s="7" t="str">
        <f aca="false">'BS(借方)'!C4</f>
        <v>2023年3月期</v>
      </c>
      <c r="D4" s="7" t="str">
        <f aca="false">'BS(借方)'!D4</f>
        <v>2024年3月期</v>
      </c>
      <c r="E4" s="7" t="str">
        <f aca="false">'BS(借方)'!E4</f>
        <v>2025年3月期</v>
      </c>
      <c r="F4" s="7" t="str">
        <f aca="false">'BS(借方)'!F4</f>
        <v>2026年3月期</v>
      </c>
      <c r="G4" s="7" t="s">
        <v>25</v>
      </c>
    </row>
    <row r="5" customFormat="false" ht="15" hidden="false" customHeight="false" outlineLevel="0" collapsed="false">
      <c r="B5" s="18" t="s">
        <v>549</v>
      </c>
      <c r="C5" s="12" t="n">
        <f aca="false">'BS(借方)'!C6+'BS(借方)'!C7+'BS(借方)'!C8+'BS(借方)'!C9+'BS(借方)'!C10</f>
        <v>105962634</v>
      </c>
      <c r="D5" s="12" t="n">
        <f aca="false">'BS(借方)'!D6+'BS(借方)'!D7+'BS(借方)'!D8+'BS(借方)'!D9+'BS(借方)'!D10</f>
        <v>108835028</v>
      </c>
      <c r="E5" s="12" t="n">
        <f aca="false">'BS(借方)'!E6+'BS(借方)'!E7+'BS(借方)'!E8+'BS(借方)'!E9+'BS(借方)'!E10</f>
        <v>73061491</v>
      </c>
      <c r="F5" s="12" t="n">
        <f aca="false">'BS(借方)'!F6+'BS(借方)'!F7+'BS(借方)'!F8+'BS(借方)'!F9+'BS(借方)'!F10</f>
        <v>66599556</v>
      </c>
    </row>
    <row r="6" customFormat="false" ht="15" hidden="false" customHeight="false" outlineLevel="0" collapsed="false">
      <c r="B6" s="18" t="s">
        <v>238</v>
      </c>
      <c r="C6" s="12" t="n">
        <f aca="false">'BS(借方)'!C11</f>
        <v>16994113</v>
      </c>
      <c r="D6" s="12" t="n">
        <f aca="false">'BS(借方)'!D11</f>
        <v>10536852</v>
      </c>
      <c r="E6" s="12" t="n">
        <f aca="false">'BS(借方)'!E11</f>
        <v>11600916</v>
      </c>
      <c r="F6" s="12" t="n">
        <f aca="false">'BS(借方)'!F11</f>
        <v>9362494</v>
      </c>
    </row>
    <row r="7" customFormat="false" ht="15" hidden="false" customHeight="false" outlineLevel="0" collapsed="false">
      <c r="B7" s="18" t="s">
        <v>37</v>
      </c>
      <c r="C7" s="12" t="n">
        <f aca="false">'BS(借方)'!C12</f>
        <v>21685368</v>
      </c>
      <c r="D7" s="12" t="n">
        <f aca="false">'BS(借方)'!D12</f>
        <v>29802902</v>
      </c>
      <c r="E7" s="12" t="n">
        <f aca="false">'BS(借方)'!E12</f>
        <v>28300741</v>
      </c>
      <c r="F7" s="12" t="n">
        <f aca="false">'BS(借方)'!F12</f>
        <v>28798405</v>
      </c>
    </row>
    <row r="8" customFormat="false" ht="15" hidden="false" customHeight="false" outlineLevel="0" collapsed="false">
      <c r="B8" s="18" t="s">
        <v>234</v>
      </c>
      <c r="C8" s="12" t="n">
        <f aca="false">'BS(借方)'!C15</f>
        <v>27194459</v>
      </c>
      <c r="D8" s="12" t="n">
        <f aca="false">'BS(借方)'!D15</f>
        <v>30950673</v>
      </c>
      <c r="E8" s="12" t="n">
        <f aca="false">'BS(借方)'!E15</f>
        <v>36589789</v>
      </c>
      <c r="F8" s="12" t="n">
        <f aca="false">'BS(借方)'!F15</f>
        <v>34490885</v>
      </c>
    </row>
    <row r="9" customFormat="false" ht="15" hidden="false" customHeight="false" outlineLevel="0" collapsed="false">
      <c r="B9" s="18" t="s">
        <v>236</v>
      </c>
      <c r="C9" s="12" t="n">
        <f aca="false">'BS(借方)'!C20</f>
        <v>4369613</v>
      </c>
      <c r="D9" s="12" t="n">
        <f aca="false">'BS(借方)'!D20</f>
        <v>4806979</v>
      </c>
      <c r="E9" s="12" t="n">
        <f aca="false">'BS(借方)'!E20</f>
        <v>4572512</v>
      </c>
      <c r="F9" s="12" t="n">
        <f aca="false">'BS(借方)'!F20</f>
        <v>3063104</v>
      </c>
    </row>
    <row r="10" customFormat="false" ht="15" hidden="false" customHeight="false" outlineLevel="0" collapsed="false">
      <c r="B10" s="14" t="s">
        <v>54</v>
      </c>
      <c r="C10" s="15" t="n">
        <f aca="false">'BS(借方)'!C28</f>
        <v>176206187</v>
      </c>
      <c r="D10" s="15" t="n">
        <f aca="false">'BS(借方)'!D28</f>
        <v>184932434</v>
      </c>
      <c r="E10" s="15" t="n">
        <f aca="false">'BS(借方)'!E28</f>
        <v>154125449</v>
      </c>
      <c r="F10" s="15" t="n">
        <f aca="false">'BS(借方)'!F28</f>
        <v>142314444</v>
      </c>
    </row>
    <row r="11" customFormat="false" ht="15" hidden="false" customHeight="false" outlineLevel="0" collapsed="false">
      <c r="B11" s="18" t="s">
        <v>550</v>
      </c>
      <c r="C11" s="12" t="n">
        <f aca="false">'BS(借方)'!C30+'BS(借方)'!C31</f>
        <v>261357926</v>
      </c>
      <c r="D11" s="12" t="n">
        <f aca="false">'BS(借方)'!D30+'BS(借方)'!D31</f>
        <v>261357926</v>
      </c>
      <c r="E11" s="12" t="n">
        <f aca="false">'BS(借方)'!E30+'BS(借方)'!E31</f>
        <v>261357926</v>
      </c>
      <c r="F11" s="12" t="n">
        <f aca="false">'BS(借方)'!F30+'BS(借方)'!F31</f>
        <v>261357926</v>
      </c>
    </row>
    <row r="12" customFormat="false" ht="15" hidden="false" customHeight="false" outlineLevel="0" collapsed="false">
      <c r="B12" s="18" t="s">
        <v>551</v>
      </c>
      <c r="C12" s="12" t="n">
        <f aca="false">'BS(借方)'!C32+'BS(借方)'!C33+'BS(借方)'!C34</f>
        <v>108652367</v>
      </c>
      <c r="D12" s="12" t="n">
        <f aca="false">'BS(借方)'!D32+'BS(借方)'!D33+'BS(借方)'!D34</f>
        <v>114950807</v>
      </c>
      <c r="E12" s="12" t="n">
        <f aca="false">'BS(借方)'!E32+'BS(借方)'!E33+'BS(借方)'!E34</f>
        <v>104612105</v>
      </c>
      <c r="F12" s="12" t="n">
        <f aca="false">'BS(借方)'!F32+'BS(借方)'!F33+'BS(借方)'!F34</f>
        <v>107915430</v>
      </c>
    </row>
    <row r="13" customFormat="false" ht="15" hidden="false" customHeight="false" outlineLevel="0" collapsed="false">
      <c r="B13" s="18" t="s">
        <v>64</v>
      </c>
      <c r="C13" s="12" t="n">
        <f aca="false">'BS(借方)'!C35</f>
        <v>40441919</v>
      </c>
      <c r="D13" s="12" t="n">
        <f aca="false">'BS(借方)'!D35</f>
        <v>40441919</v>
      </c>
      <c r="E13" s="12" t="n">
        <f aca="false">'BS(借方)'!E35</f>
        <v>40441919</v>
      </c>
      <c r="F13" s="12" t="n">
        <f aca="false">'BS(借方)'!F35</f>
        <v>40441919</v>
      </c>
    </row>
    <row r="14" customFormat="false" ht="15" hidden="false" customHeight="false" outlineLevel="0" collapsed="false">
      <c r="B14" s="18" t="s">
        <v>552</v>
      </c>
      <c r="C14" s="12" t="n">
        <f aca="false">'BS(借方)'!C36+'BS(借方)'!C38</f>
        <v>3299300</v>
      </c>
      <c r="D14" s="12" t="n">
        <f aca="false">'BS(借方)'!D36+'BS(借方)'!D38</f>
        <v>1174300</v>
      </c>
      <c r="E14" s="12" t="n">
        <f aca="false">'BS(借方)'!E36+'BS(借方)'!E38</f>
        <v>1174300</v>
      </c>
      <c r="F14" s="12" t="n">
        <f aca="false">'BS(借方)'!F36+'BS(借方)'!F38</f>
        <v>1174300</v>
      </c>
    </row>
    <row r="15" customFormat="false" ht="15" hidden="false" customHeight="false" outlineLevel="0" collapsed="false">
      <c r="B15" s="14" t="s">
        <v>71</v>
      </c>
      <c r="C15" s="15" t="n">
        <f aca="false">'BS(借方)'!C41</f>
        <v>413751512</v>
      </c>
      <c r="D15" s="15" t="n">
        <f aca="false">'BS(借方)'!D41</f>
        <v>417924952</v>
      </c>
      <c r="E15" s="15" t="n">
        <f aca="false">'BS(借方)'!E41</f>
        <v>407586250</v>
      </c>
      <c r="F15" s="15" t="n">
        <f aca="false">'BS(借方)'!F41</f>
        <v>410889575</v>
      </c>
    </row>
    <row r="16" customFormat="false" ht="15" hidden="false" customHeight="false" outlineLevel="0" collapsed="false">
      <c r="B16" s="14" t="s">
        <v>72</v>
      </c>
      <c r="C16" s="15" t="n">
        <f aca="false">'BS(借方)'!C42</f>
        <v>589957699</v>
      </c>
      <c r="D16" s="15" t="n">
        <f aca="false">'BS(借方)'!D42</f>
        <v>602857386</v>
      </c>
      <c r="E16" s="15" t="n">
        <f aca="false">'BS(借方)'!E42</f>
        <v>561711699</v>
      </c>
      <c r="F16" s="15" t="n">
        <f aca="false">'BS(借方)'!F42</f>
        <v>553204019</v>
      </c>
    </row>
    <row r="17" customFormat="false" ht="15" hidden="false" customHeight="false" outlineLevel="0" collapsed="false">
      <c r="B17" s="18" t="s">
        <v>248</v>
      </c>
      <c r="C17" s="12" t="n">
        <f aca="false">'BS (貸方)'!C6+'BS (貸方)'!C7</f>
        <v>25363350</v>
      </c>
      <c r="D17" s="12" t="n">
        <f aca="false">'BS (貸方)'!D6+'BS (貸方)'!D7</f>
        <v>26964523</v>
      </c>
      <c r="E17" s="12" t="n">
        <f aca="false">'BS (貸方)'!E6+'BS (貸方)'!E7</f>
        <v>21261348</v>
      </c>
      <c r="F17" s="12" t="n">
        <f aca="false">'BS (貸方)'!F6+'BS (貸方)'!F7</f>
        <v>24493672</v>
      </c>
    </row>
    <row r="18" customFormat="false" ht="15" hidden="false" customHeight="false" outlineLevel="0" collapsed="false">
      <c r="B18" s="18" t="s">
        <v>250</v>
      </c>
      <c r="C18" s="12" t="n">
        <f aca="false">'BS (貸方)'!C24</f>
        <v>530156000</v>
      </c>
      <c r="D18" s="12" t="n">
        <f aca="false">'BS (貸方)'!D24</f>
        <v>512787000</v>
      </c>
      <c r="E18" s="12" t="n">
        <f aca="false">'BS (貸方)'!E24</f>
        <v>478822000</v>
      </c>
      <c r="F18" s="12" t="n">
        <f aca="false">'BS (貸方)'!F24</f>
        <v>461024000</v>
      </c>
    </row>
    <row r="19" customFormat="false" ht="15" hidden="false" customHeight="false" outlineLevel="0" collapsed="false">
      <c r="B19" s="18" t="s">
        <v>553</v>
      </c>
      <c r="C19" s="12" t="n">
        <f aca="false">'BS (貸方)'!C15-'BS (貸方)'!C24-'BS (貸方)'!C6-'BS (貸方)'!C7</f>
        <v>14620173</v>
      </c>
      <c r="D19" s="12" t="n">
        <f aca="false">'BS (貸方)'!D15-'BS (貸方)'!D24-'BS (貸方)'!D6-'BS (貸方)'!D7</f>
        <v>20855508</v>
      </c>
      <c r="E19" s="12" t="n">
        <f aca="false">'BS (貸方)'!E15-'BS (貸方)'!E24-'BS (貸方)'!E6-'BS (貸方)'!E7</f>
        <v>13716819</v>
      </c>
      <c r="F19" s="12" t="n">
        <f aca="false">'BS (貸方)'!F15-'BS (貸方)'!F24-'BS (貸方)'!F6-'BS (貸方)'!F7</f>
        <v>18398151</v>
      </c>
    </row>
    <row r="20" customFormat="false" ht="15" hidden="false" customHeight="false" outlineLevel="0" collapsed="false">
      <c r="B20" s="14" t="s">
        <v>90</v>
      </c>
      <c r="C20" s="15" t="n">
        <f aca="false">'BS (貸方)'!C15</f>
        <v>570139523</v>
      </c>
      <c r="D20" s="15" t="n">
        <f aca="false">'BS (貸方)'!D15</f>
        <v>560607031</v>
      </c>
      <c r="E20" s="15" t="n">
        <f aca="false">'BS (貸方)'!E15</f>
        <v>513800167</v>
      </c>
      <c r="F20" s="15" t="n">
        <f aca="false">'BS (貸方)'!F15</f>
        <v>503915823</v>
      </c>
    </row>
    <row r="21" customFormat="false" ht="15" hidden="false" customHeight="false" outlineLevel="0" collapsed="false">
      <c r="B21" s="14" t="s">
        <v>97</v>
      </c>
      <c r="C21" s="15" t="n">
        <f aca="false">'BS (貸方)'!C21</f>
        <v>19818176</v>
      </c>
      <c r="D21" s="15" t="n">
        <f aca="false">'BS (貸方)'!D21</f>
        <v>42250355</v>
      </c>
      <c r="E21" s="15" t="n">
        <f aca="false">'BS (貸方)'!E21</f>
        <v>47911532</v>
      </c>
      <c r="F21" s="15" t="n">
        <f aca="false">'BS (貸方)'!F21</f>
        <v>49288196</v>
      </c>
    </row>
    <row r="22" customFormat="false" ht="15" hidden="false" customHeight="false" outlineLevel="0" collapsed="false">
      <c r="B22" s="14" t="s">
        <v>98</v>
      </c>
      <c r="C22" s="15" t="n">
        <f aca="false">'BS (貸方)'!C22</f>
        <v>589957699</v>
      </c>
      <c r="D22" s="15" t="n">
        <f aca="false">'BS (貸方)'!D22</f>
        <v>602857386</v>
      </c>
      <c r="E22" s="15" t="n">
        <f aca="false">'BS (貸方)'!E22</f>
        <v>561711699</v>
      </c>
      <c r="F22" s="15" t="n">
        <f aca="false">'BS (貸方)'!F22</f>
        <v>553204019</v>
      </c>
    </row>
    <row r="23" customFormat="false" ht="15" hidden="false" customHeight="false" outlineLevel="0" collapsed="false">
      <c r="B23" s="18" t="s">
        <v>554</v>
      </c>
      <c r="C23" s="37" t="n">
        <f aca="false">IFERROR(C21/C16,0)</f>
        <v>0.0335925372846096</v>
      </c>
      <c r="D23" s="37" t="n">
        <f aca="false">IFERROR(D21/D16,0)</f>
        <v>0.0700834989852807</v>
      </c>
      <c r="E23" s="37" t="n">
        <f aca="false">IFERROR(E21/E16,0)</f>
        <v>0.0852955921788626</v>
      </c>
      <c r="F23" s="37" t="n">
        <f aca="false">IFERROR(F21/F16,0)</f>
        <v>0.0890958747716545</v>
      </c>
    </row>
    <row r="24" customFormat="false" ht="15" hidden="false" customHeight="false" outlineLevel="0" collapsed="false">
      <c r="B24" s="18" t="s">
        <v>555</v>
      </c>
      <c r="C24" s="12" t="n">
        <f aca="false">C18-C5</f>
        <v>424193366</v>
      </c>
      <c r="D24" s="12" t="n">
        <f aca="false">D18-D5</f>
        <v>403951972</v>
      </c>
      <c r="E24" s="12" t="n">
        <f aca="false">E18-E5</f>
        <v>405760509</v>
      </c>
      <c r="F24" s="12" t="n">
        <f aca="false">F18-F5</f>
        <v>394424444</v>
      </c>
    </row>
    <row r="25" customFormat="false" ht="15" hidden="false" customHeight="false" outlineLevel="0" collapsed="false">
      <c r="B25" s="9" t="s">
        <v>556</v>
      </c>
      <c r="F25" s="10" t="n">
        <f aca="false">'修正BS(貸方) '!E14</f>
        <v>-81442234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K17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30"/>
    <col collapsed="false" customWidth="true" hidden="false" outlineLevel="0" max="3" min="3" style="0" width="13"/>
    <col collapsed="false" customWidth="true" hidden="false" outlineLevel="0" max="4" min="4" style="0" width="8"/>
    <col collapsed="false" customWidth="true" hidden="false" outlineLevel="0" max="5" min="5" style="0" width="13"/>
    <col collapsed="false" customWidth="true" hidden="false" outlineLevel="0" max="6" min="6" style="0" width="8"/>
    <col collapsed="false" customWidth="true" hidden="false" outlineLevel="0" max="7" min="7" style="0" width="13"/>
    <col collapsed="false" customWidth="true" hidden="false" outlineLevel="0" max="8" min="8" style="0" width="8"/>
    <col collapsed="false" customWidth="true" hidden="false" outlineLevel="0" max="9" min="9" style="0" width="13"/>
    <col collapsed="false" customWidth="true" hidden="false" outlineLevel="0" max="10" min="10" style="0" width="8"/>
    <col collapsed="false" customWidth="true" hidden="false" outlineLevel="0" max="11" min="11" style="0" width="40"/>
  </cols>
  <sheetData>
    <row r="2" customFormat="false" ht="17.35" hidden="false" customHeight="false" outlineLevel="0" collapsed="false">
      <c r="B2" s="5" t="s">
        <v>557</v>
      </c>
    </row>
    <row r="4" customFormat="false" ht="15" hidden="false" customHeight="false" outlineLevel="0" collapsed="false">
      <c r="B4" s="7" t="s">
        <v>558</v>
      </c>
      <c r="C4" s="34" t="str">
        <f aca="false">'BS(借方)'!C4</f>
        <v>2023年3月期</v>
      </c>
      <c r="D4" s="34"/>
      <c r="E4" s="34" t="str">
        <f aca="false">'BS(借方)'!D4</f>
        <v>2024年3月期</v>
      </c>
      <c r="F4" s="34"/>
      <c r="G4" s="34" t="str">
        <f aca="false">'BS(借方)'!E4</f>
        <v>2025年3月期</v>
      </c>
      <c r="H4" s="34"/>
      <c r="I4" s="34" t="str">
        <f aca="false">'BS(借方)'!F4</f>
        <v>2026年3月期</v>
      </c>
      <c r="J4" s="34"/>
      <c r="K4" s="7" t="s">
        <v>25</v>
      </c>
    </row>
    <row r="5" customFormat="false" ht="15" hidden="false" customHeight="false" outlineLevel="0" collapsed="false">
      <c r="B5" s="32" t="s">
        <v>559</v>
      </c>
      <c r="C5" s="12" t="n">
        <v>6926501</v>
      </c>
      <c r="D5" s="39" t="n">
        <f aca="false">IFERROR(C5/C$14,0)</f>
        <v>0.319408967373761</v>
      </c>
      <c r="E5" s="12" t="n">
        <v>8502036</v>
      </c>
      <c r="F5" s="39" t="n">
        <f aca="false">IFERROR(E5/E$14,0)</f>
        <v>0.285275440626554</v>
      </c>
      <c r="G5" s="12" t="n">
        <v>3942173</v>
      </c>
      <c r="H5" s="39" t="n">
        <f aca="false">IFERROR(G5/G$14,0)</f>
        <v>0.139295752008755</v>
      </c>
      <c r="I5" s="12" t="n">
        <v>4450744</v>
      </c>
      <c r="J5" s="39" t="n">
        <f aca="false">IFERROR(I5/I$14,0)</f>
        <v>0.154548281406557</v>
      </c>
    </row>
    <row r="6" customFormat="false" ht="15" hidden="false" customHeight="false" outlineLevel="0" collapsed="false">
      <c r="B6" s="32" t="s">
        <v>560</v>
      </c>
      <c r="C6" s="12" t="n">
        <v>0</v>
      </c>
      <c r="D6" s="39" t="n">
        <f aca="false">IFERROR(C6/C$14,0)</f>
        <v>0</v>
      </c>
      <c r="E6" s="12" t="n">
        <v>3794688</v>
      </c>
      <c r="F6" s="39" t="n">
        <f aca="false">IFERROR(E6/E$14,0)</f>
        <v>0.127326124147239</v>
      </c>
      <c r="G6" s="12" t="n">
        <v>4596480</v>
      </c>
      <c r="H6" s="39" t="n">
        <f aca="false">IFERROR(G6/G$14,0)</f>
        <v>0.16241553533881</v>
      </c>
      <c r="I6" s="12" t="n">
        <v>6566400</v>
      </c>
      <c r="J6" s="39" t="n">
        <f aca="false">IFERROR(I6/I$14,0)</f>
        <v>0.228012627782685</v>
      </c>
      <c r="K6" s="6" t="s">
        <v>561</v>
      </c>
    </row>
    <row r="7" customFormat="false" ht="15" hidden="false" customHeight="false" outlineLevel="0" collapsed="false">
      <c r="B7" s="18" t="s">
        <v>562</v>
      </c>
      <c r="C7" s="12" t="n">
        <v>1869014</v>
      </c>
      <c r="D7" s="39" t="n">
        <f aca="false">IFERROR(C7/C$14,0)</f>
        <v>0.0861877926166621</v>
      </c>
      <c r="E7" s="12" t="n">
        <v>1942400</v>
      </c>
      <c r="F7" s="39" t="n">
        <f aca="false">IFERROR(E7/E$14,0)</f>
        <v>0.0651748611594938</v>
      </c>
      <c r="G7" s="12" t="n">
        <v>2293577</v>
      </c>
      <c r="H7" s="39" t="n">
        <f aca="false">IFERROR(G7/G$14,0)</f>
        <v>0.0810430016655748</v>
      </c>
      <c r="I7" s="12" t="n">
        <v>2558642</v>
      </c>
      <c r="J7" s="39" t="n">
        <f aca="false">IFERROR(I7/I$14,0)</f>
        <v>0.0888466566117117</v>
      </c>
    </row>
    <row r="8" customFormat="false" ht="15" hidden="false" customHeight="false" outlineLevel="0" collapsed="false">
      <c r="B8" s="32" t="s">
        <v>563</v>
      </c>
      <c r="C8" s="12" t="n">
        <v>0</v>
      </c>
      <c r="D8" s="39" t="n">
        <f aca="false">IFERROR(C8/C$14,0)</f>
        <v>0</v>
      </c>
      <c r="E8" s="12" t="n">
        <v>1794000</v>
      </c>
      <c r="F8" s="39" t="n">
        <f aca="false">IFERROR(E8/E$14,0)</f>
        <v>0.0601954802924896</v>
      </c>
      <c r="G8" s="12" t="n">
        <v>1852000</v>
      </c>
      <c r="H8" s="39" t="n">
        <f aca="false">IFERROR(G8/G$14,0)</f>
        <v>0.0654399826492176</v>
      </c>
      <c r="I8" s="12" t="n">
        <v>1421280</v>
      </c>
      <c r="J8" s="39" t="n">
        <f aca="false">IFERROR(I8/I$14,0)</f>
        <v>0.0493527332503311</v>
      </c>
    </row>
    <row r="9" customFormat="false" ht="15" hidden="false" customHeight="false" outlineLevel="0" collapsed="false">
      <c r="B9" s="18" t="s">
        <v>564</v>
      </c>
      <c r="C9" s="12" t="n">
        <v>1538784</v>
      </c>
      <c r="D9" s="39" t="n">
        <f aca="false">IFERROR(C9/C$14,0)</f>
        <v>0.070959552081385</v>
      </c>
      <c r="E9" s="12" t="n">
        <v>1579768</v>
      </c>
      <c r="F9" s="39" t="n">
        <f aca="false">IFERROR(E9/E$14,0)</f>
        <v>0.0530071870182306</v>
      </c>
      <c r="G9" s="12" t="n">
        <v>1435926</v>
      </c>
      <c r="H9" s="39" t="n">
        <f aca="false">IFERROR(G9/G$14,0)</f>
        <v>0.0507381061153134</v>
      </c>
      <c r="I9" s="12" t="n">
        <v>1920878</v>
      </c>
      <c r="J9" s="39" t="n">
        <f aca="false">IFERROR(I9/I$14,0)</f>
        <v>0.0667008468003697</v>
      </c>
    </row>
    <row r="10" customFormat="false" ht="15" hidden="false" customHeight="false" outlineLevel="0" collapsed="false">
      <c r="B10" s="32" t="s">
        <v>565</v>
      </c>
      <c r="C10" s="12" t="n">
        <v>1343850</v>
      </c>
      <c r="D10" s="39" t="n">
        <f aca="false">IFERROR(C10/C$14,0)</f>
        <v>0.0619703571551103</v>
      </c>
      <c r="E10" s="12" t="n">
        <v>1485000</v>
      </c>
      <c r="F10" s="39" t="n">
        <f aca="false">IFERROR(E10/E$14,0)</f>
        <v>0.0498273624494688</v>
      </c>
      <c r="G10" s="12" t="n">
        <v>1003200</v>
      </c>
      <c r="H10" s="39" t="n">
        <f aca="false">IFERROR(G10/G$14,0)</f>
        <v>0.0354478350937878</v>
      </c>
      <c r="I10" s="12" t="n">
        <v>1075800</v>
      </c>
      <c r="J10" s="39" t="n">
        <f aca="false">IFERROR(I10/I$14,0)</f>
        <v>0.0373562355276273</v>
      </c>
    </row>
    <row r="11" customFormat="false" ht="15" hidden="false" customHeight="false" outlineLevel="0" collapsed="false">
      <c r="B11" s="32" t="s">
        <v>566</v>
      </c>
      <c r="C11" s="12" t="n">
        <v>0</v>
      </c>
      <c r="D11" s="39" t="n">
        <f aca="false">IFERROR(C11/C$14,0)</f>
        <v>0</v>
      </c>
      <c r="E11" s="12" t="n">
        <v>1468320</v>
      </c>
      <c r="F11" s="39" t="n">
        <f aca="false">IFERROR(E11/E$14,0)</f>
        <v>0.0492676854086223</v>
      </c>
      <c r="G11" s="12" t="n">
        <v>2255680</v>
      </c>
      <c r="H11" s="39" t="n">
        <f aca="false">IFERROR(G11/G$14,0)</f>
        <v>0.0797039201199714</v>
      </c>
      <c r="I11" s="12" t="n">
        <v>1723680</v>
      </c>
      <c r="J11" s="39" t="n">
        <f aca="false">IFERROR(I11/I$14,0)</f>
        <v>0.0598533147929547</v>
      </c>
      <c r="K11" s="6" t="s">
        <v>567</v>
      </c>
    </row>
    <row r="12" customFormat="false" ht="15" hidden="false" customHeight="false" outlineLevel="0" collapsed="false">
      <c r="B12" s="32" t="s">
        <v>568</v>
      </c>
      <c r="C12" s="12" t="n">
        <v>2172498</v>
      </c>
      <c r="D12" s="39" t="n">
        <f aca="false">IFERROR(C12/C$14,0)</f>
        <v>0.100182666948516</v>
      </c>
      <c r="E12" s="12" t="n">
        <v>0</v>
      </c>
      <c r="F12" s="39" t="n">
        <f aca="false">IFERROR(E12/E$14,0)</f>
        <v>0</v>
      </c>
      <c r="G12" s="12" t="n">
        <v>0</v>
      </c>
      <c r="H12" s="39" t="n">
        <f aca="false">IFERROR(G12/G$14,0)</f>
        <v>0</v>
      </c>
      <c r="I12" s="12" t="n">
        <v>0</v>
      </c>
      <c r="J12" s="39" t="n">
        <f aca="false">IFERROR(I12/I$14,0)</f>
        <v>0</v>
      </c>
    </row>
    <row r="13" customFormat="false" ht="15" hidden="false" customHeight="false" outlineLevel="0" collapsed="false">
      <c r="B13" s="18" t="s">
        <v>569</v>
      </c>
      <c r="C13" s="12" t="n">
        <f aca="false">'BS(借方)'!C14-SUM(C5:C12)</f>
        <v>7834721</v>
      </c>
      <c r="D13" s="39" t="n">
        <f aca="false">IFERROR(C13/C$14,0)</f>
        <v>0.361290663824566</v>
      </c>
      <c r="E13" s="12" t="n">
        <f aca="false">'BS(借方)'!D14-SUM(E5:E12)</f>
        <v>9236690</v>
      </c>
      <c r="F13" s="39" t="n">
        <f aca="false">IFERROR(E13/E$14,0)</f>
        <v>0.309925858897902</v>
      </c>
      <c r="G13" s="12" t="n">
        <f aca="false">'BS(借方)'!E14-SUM(G5:G12)</f>
        <v>10921705</v>
      </c>
      <c r="H13" s="39" t="n">
        <f aca="false">IFERROR(G13/G$14,0)</f>
        <v>0.385915867008571</v>
      </c>
      <c r="I13" s="12" t="n">
        <f aca="false">'BS(借方)'!F14-SUM(I5:I12)</f>
        <v>9080981</v>
      </c>
      <c r="J13" s="39" t="n">
        <f aca="false">IFERROR(I13/I$14,0)</f>
        <v>0.315329303827764</v>
      </c>
    </row>
    <row r="14" customFormat="false" ht="15" hidden="false" customHeight="false" outlineLevel="0" collapsed="false">
      <c r="B14" s="16" t="s">
        <v>570</v>
      </c>
      <c r="C14" s="17" t="n">
        <f aca="false">SUM(C5:C13)</f>
        <v>21685368</v>
      </c>
      <c r="D14" s="39" t="n">
        <f aca="false">IFERROR(C14/C$14,0)</f>
        <v>1</v>
      </c>
      <c r="E14" s="17" t="n">
        <f aca="false">SUM(E5:E13)</f>
        <v>29802902</v>
      </c>
      <c r="F14" s="39" t="n">
        <f aca="false">IFERROR(E14/E$14,0)</f>
        <v>1</v>
      </c>
      <c r="G14" s="17" t="n">
        <f aca="false">SUM(G5:G13)</f>
        <v>28300741</v>
      </c>
      <c r="H14" s="39" t="n">
        <f aca="false">IFERROR(G14/G$14,0)</f>
        <v>1</v>
      </c>
      <c r="I14" s="17" t="n">
        <f aca="false">SUM(I5:I13)</f>
        <v>28798405</v>
      </c>
      <c r="J14" s="39" t="n">
        <f aca="false">IFERROR(I14/I$14,0)</f>
        <v>1</v>
      </c>
    </row>
    <row r="16" customFormat="false" ht="15" hidden="false" customHeight="false" outlineLevel="0" collapsed="false">
      <c r="B16" s="6" t="s">
        <v>571</v>
      </c>
    </row>
    <row r="17" customFormat="false" ht="15" hidden="false" customHeight="false" outlineLevel="0" collapsed="false">
      <c r="B17" s="6" t="s">
        <v>572</v>
      </c>
    </row>
  </sheetData>
  <mergeCells count="4">
    <mergeCell ref="C4:D4"/>
    <mergeCell ref="E4:F4"/>
    <mergeCell ref="G4:H4"/>
    <mergeCell ref="I4:J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26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36"/>
    <col collapsed="false" customWidth="true" hidden="false" outlineLevel="0" max="3" min="3" style="0" width="26"/>
    <col collapsed="false" customWidth="true" hidden="false" outlineLevel="0" max="4" min="4" style="0" width="14"/>
    <col collapsed="false" customWidth="true" hidden="false" outlineLevel="0" max="5" min="5" style="0" width="8"/>
    <col collapsed="false" customWidth="true" hidden="false" outlineLevel="0" max="6" min="6" style="0" width="40"/>
  </cols>
  <sheetData>
    <row r="2" customFormat="false" ht="19.4" hidden="false" customHeight="false" outlineLevel="0" collapsed="false">
      <c r="B2" s="5" t="s">
        <v>573</v>
      </c>
    </row>
    <row r="4" customFormat="false" ht="15" hidden="false" customHeight="false" outlineLevel="0" collapsed="false">
      <c r="B4" s="7" t="s">
        <v>574</v>
      </c>
      <c r="C4" s="7" t="s">
        <v>502</v>
      </c>
      <c r="D4" s="7" t="s">
        <v>575</v>
      </c>
      <c r="E4" s="7" t="s">
        <v>576</v>
      </c>
      <c r="F4" s="7" t="s">
        <v>25</v>
      </c>
    </row>
    <row r="5" customFormat="false" ht="15" hidden="false" customHeight="false" outlineLevel="0" collapsed="false">
      <c r="B5" s="24" t="s">
        <v>577</v>
      </c>
      <c r="C5" s="24" t="s">
        <v>578</v>
      </c>
      <c r="D5" s="12" t="n">
        <v>1710621</v>
      </c>
      <c r="E5" s="39" t="n">
        <f aca="false">IFERROR(D5/D$12,0)</f>
        <v>0.204664194997382</v>
      </c>
    </row>
    <row r="6" customFormat="false" ht="15" hidden="false" customHeight="false" outlineLevel="0" collapsed="false">
      <c r="B6" s="24" t="s">
        <v>579</v>
      </c>
      <c r="C6" s="24" t="s">
        <v>580</v>
      </c>
      <c r="D6" s="12" t="n">
        <v>1697932</v>
      </c>
      <c r="E6" s="39" t="n">
        <f aca="false">IFERROR(D6/D$12,0)</f>
        <v>0.203146042250326</v>
      </c>
    </row>
    <row r="7" customFormat="false" ht="15" hidden="false" customHeight="false" outlineLevel="0" collapsed="false">
      <c r="B7" s="24" t="s">
        <v>581</v>
      </c>
      <c r="C7" s="24" t="s">
        <v>582</v>
      </c>
      <c r="D7" s="12" t="n">
        <v>1402417</v>
      </c>
      <c r="E7" s="39" t="n">
        <f aca="false">IFERROR(D7/D$12,0)</f>
        <v>0.167789677757752</v>
      </c>
    </row>
    <row r="8" customFormat="false" ht="15" hidden="false" customHeight="false" outlineLevel="0" collapsed="false">
      <c r="B8" s="25" t="s">
        <v>560</v>
      </c>
      <c r="C8" s="24" t="s">
        <v>580</v>
      </c>
      <c r="D8" s="12" t="n">
        <v>1276000</v>
      </c>
      <c r="E8" s="39" t="n">
        <f aca="false">IFERROR(D8/D$12,0)</f>
        <v>0.152664741527585</v>
      </c>
    </row>
    <row r="9" customFormat="false" ht="15" hidden="false" customHeight="false" outlineLevel="0" collapsed="false">
      <c r="B9" s="24" t="s">
        <v>583</v>
      </c>
      <c r="C9" s="24" t="s">
        <v>196</v>
      </c>
      <c r="D9" s="12" t="n">
        <v>1153086</v>
      </c>
      <c r="E9" s="39" t="n">
        <f aca="false">IFERROR(D9/D$12,0)</f>
        <v>0.137958915477333</v>
      </c>
    </row>
    <row r="10" customFormat="false" ht="15" hidden="false" customHeight="false" outlineLevel="0" collapsed="false">
      <c r="B10" s="25" t="s">
        <v>584</v>
      </c>
      <c r="C10" s="24" t="s">
        <v>585</v>
      </c>
      <c r="D10" s="12" t="n">
        <v>972048</v>
      </c>
      <c r="E10" s="39" t="n">
        <f aca="false">IFERROR(D10/D$12,0)</f>
        <v>0.116298947235428</v>
      </c>
    </row>
    <row r="11" customFormat="false" ht="15" hidden="false" customHeight="false" outlineLevel="0" collapsed="false">
      <c r="B11" s="25" t="s">
        <v>586</v>
      </c>
      <c r="C11" s="24" t="s">
        <v>585</v>
      </c>
      <c r="D11" s="12" t="n">
        <v>146080</v>
      </c>
      <c r="E11" s="39" t="n">
        <f aca="false">IFERROR(D11/D$12,0)</f>
        <v>0.0174774807541925</v>
      </c>
    </row>
    <row r="12" customFormat="false" ht="15" hidden="false" customHeight="false" outlineLevel="0" collapsed="false">
      <c r="B12" s="16" t="s">
        <v>587</v>
      </c>
      <c r="D12" s="17" t="n">
        <f aca="false">SUM(D5:D11)</f>
        <v>8358184</v>
      </c>
      <c r="E12" s="39" t="n">
        <f aca="false">IFERROR(D12/D$12,0)</f>
        <v>1</v>
      </c>
      <c r="F12" s="40" t="str">
        <f aca="false">IF(D12='BS (貸方)'!F7,"BS残高と一致","BS残高と不一致")</f>
        <v>BS残高と一致</v>
      </c>
    </row>
    <row r="14" customFormat="false" ht="15" hidden="false" customHeight="false" outlineLevel="0" collapsed="false">
      <c r="B14" s="7" t="s">
        <v>588</v>
      </c>
      <c r="C14" s="7" t="s">
        <v>502</v>
      </c>
      <c r="D14" s="7" t="s">
        <v>575</v>
      </c>
      <c r="E14" s="7"/>
      <c r="F14" s="7" t="s">
        <v>25</v>
      </c>
    </row>
    <row r="15" customFormat="false" ht="15" hidden="false" customHeight="false" outlineLevel="0" collapsed="false">
      <c r="B15" s="24" t="s">
        <v>589</v>
      </c>
      <c r="C15" s="24" t="s">
        <v>590</v>
      </c>
      <c r="D15" s="12" t="n">
        <v>2633400</v>
      </c>
    </row>
    <row r="16" customFormat="false" ht="15" hidden="false" customHeight="false" outlineLevel="0" collapsed="false">
      <c r="B16" s="24" t="s">
        <v>591</v>
      </c>
      <c r="C16" s="24" t="s">
        <v>592</v>
      </c>
      <c r="D16" s="12" t="n">
        <v>1563096</v>
      </c>
    </row>
    <row r="17" customFormat="false" ht="15" hidden="false" customHeight="false" outlineLevel="0" collapsed="false">
      <c r="B17" s="25" t="s">
        <v>593</v>
      </c>
      <c r="C17" s="24" t="s">
        <v>594</v>
      </c>
      <c r="D17" s="12" t="n">
        <v>1029714</v>
      </c>
    </row>
    <row r="18" customFormat="false" ht="15" hidden="false" customHeight="false" outlineLevel="0" collapsed="false">
      <c r="B18" s="24" t="s">
        <v>595</v>
      </c>
      <c r="C18" s="24" t="s">
        <v>596</v>
      </c>
      <c r="D18" s="12" t="n">
        <v>699193</v>
      </c>
    </row>
    <row r="19" customFormat="false" ht="15" hidden="false" customHeight="false" outlineLevel="0" collapsed="false">
      <c r="B19" s="24" t="s">
        <v>597</v>
      </c>
      <c r="C19" s="24" t="s">
        <v>598</v>
      </c>
      <c r="D19" s="12" t="n">
        <v>650614</v>
      </c>
    </row>
    <row r="20" customFormat="false" ht="15" hidden="false" customHeight="false" outlineLevel="0" collapsed="false">
      <c r="B20" s="24" t="s">
        <v>599</v>
      </c>
      <c r="C20" s="24" t="s">
        <v>598</v>
      </c>
      <c r="D20" s="12" t="n">
        <v>596200</v>
      </c>
    </row>
    <row r="21" customFormat="false" ht="15" hidden="false" customHeight="false" outlineLevel="0" collapsed="false">
      <c r="B21" s="24" t="s">
        <v>600</v>
      </c>
      <c r="C21" s="24" t="s">
        <v>199</v>
      </c>
      <c r="D21" s="12" t="n">
        <v>353878</v>
      </c>
    </row>
    <row r="22" customFormat="false" ht="15" hidden="false" customHeight="false" outlineLevel="0" collapsed="false">
      <c r="B22" s="24" t="s">
        <v>601</v>
      </c>
      <c r="C22" s="24" t="s">
        <v>602</v>
      </c>
      <c r="D22" s="12" t="n">
        <v>315095</v>
      </c>
    </row>
    <row r="23" customFormat="false" ht="15" hidden="false" customHeight="false" outlineLevel="0" collapsed="false">
      <c r="B23" s="24" t="s">
        <v>603</v>
      </c>
      <c r="C23" s="24" t="s">
        <v>604</v>
      </c>
      <c r="D23" s="12" t="n">
        <v>275188</v>
      </c>
    </row>
    <row r="24" customFormat="false" ht="15" hidden="false" customHeight="false" outlineLevel="0" collapsed="false">
      <c r="B24" s="24" t="s">
        <v>605</v>
      </c>
      <c r="C24" s="24" t="s">
        <v>606</v>
      </c>
      <c r="D24" s="12" t="n">
        <v>202400</v>
      </c>
    </row>
    <row r="26" customFormat="false" ht="15" hidden="false" customHeight="false" outlineLevel="0" collapsed="false">
      <c r="B26" s="6" t="s">
        <v>607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B4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100"/>
  </cols>
  <sheetData>
    <row r="2" customFormat="false" ht="17.35" hidden="false" customHeight="false" outlineLevel="0" collapsed="false">
      <c r="B2" s="5" t="s">
        <v>608</v>
      </c>
    </row>
    <row r="4" customFormat="false" ht="25.35" hidden="false" customHeight="false" outlineLevel="0" collapsed="false">
      <c r="B4" s="24" t="s">
        <v>609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8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18"/>
    <col collapsed="false" customWidth="true" hidden="false" outlineLevel="0" max="3" min="3" style="0" width="14"/>
    <col collapsed="false" customWidth="true" hidden="false" outlineLevel="0" max="4" min="4" style="0" width="10"/>
    <col collapsed="false" customWidth="true" hidden="false" outlineLevel="0" max="5" min="5" style="0" width="14"/>
    <col collapsed="false" customWidth="true" hidden="false" outlineLevel="0" max="6" min="6" style="0" width="60"/>
  </cols>
  <sheetData>
    <row r="2" customFormat="false" ht="17.35" hidden="false" customHeight="false" outlineLevel="0" collapsed="false">
      <c r="B2" s="5" t="s">
        <v>490</v>
      </c>
    </row>
    <row r="4" customFormat="false" ht="15" hidden="false" customHeight="false" outlineLevel="0" collapsed="false">
      <c r="B4" s="7" t="s">
        <v>610</v>
      </c>
      <c r="C4" s="7" t="s">
        <v>611</v>
      </c>
      <c r="D4" s="7" t="s">
        <v>612</v>
      </c>
      <c r="E4" s="7" t="s">
        <v>613</v>
      </c>
      <c r="F4" s="7" t="s">
        <v>25</v>
      </c>
    </row>
    <row r="5" customFormat="false" ht="25.35" hidden="false" customHeight="false" outlineLevel="0" collapsed="false">
      <c r="B5" s="24" t="s">
        <v>614</v>
      </c>
      <c r="C5" s="41" t="n">
        <v>22000</v>
      </c>
      <c r="D5" s="29" t="n">
        <v>1</v>
      </c>
      <c r="E5" s="24" t="s">
        <v>615</v>
      </c>
      <c r="F5" s="24" t="s">
        <v>616</v>
      </c>
    </row>
    <row r="7" customFormat="false" ht="15" hidden="false" customHeight="true" outlineLevel="0" collapsed="false">
      <c r="B7" s="24" t="s">
        <v>617</v>
      </c>
      <c r="C7" s="24"/>
      <c r="D7" s="24"/>
      <c r="E7" s="24"/>
      <c r="F7" s="24"/>
    </row>
    <row r="8" customFormat="false" ht="15" hidden="false" customHeight="false" outlineLevel="0" collapsed="false">
      <c r="B8" s="24"/>
      <c r="C8" s="24"/>
      <c r="D8" s="24"/>
      <c r="E8" s="24"/>
      <c r="F8" s="24"/>
    </row>
  </sheetData>
  <mergeCells count="1">
    <mergeCell ref="B7:F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G5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5" min="2" style="0" width="14"/>
    <col collapsed="false" customWidth="true" hidden="false" outlineLevel="0" max="6" min="6" style="0" width="20"/>
    <col collapsed="false" customWidth="true" hidden="false" outlineLevel="0" max="7" min="7" style="0" width="50"/>
  </cols>
  <sheetData>
    <row r="2" customFormat="false" ht="17.35" hidden="false" customHeight="false" outlineLevel="0" collapsed="false">
      <c r="B2" s="5" t="s">
        <v>618</v>
      </c>
    </row>
    <row r="4" customFormat="false" ht="15" hidden="false" customHeight="false" outlineLevel="0" collapsed="false">
      <c r="B4" s="7" t="s">
        <v>610</v>
      </c>
      <c r="C4" s="7" t="s">
        <v>613</v>
      </c>
      <c r="D4" s="7" t="s">
        <v>619</v>
      </c>
      <c r="E4" s="7" t="s">
        <v>620</v>
      </c>
      <c r="F4" s="8" t="s">
        <v>621</v>
      </c>
      <c r="G4" s="7" t="s">
        <v>25</v>
      </c>
    </row>
    <row r="5" customFormat="false" ht="25.35" hidden="false" customHeight="false" outlineLevel="0" collapsed="false">
      <c r="B5" s="24" t="s">
        <v>614</v>
      </c>
      <c r="C5" s="24" t="s">
        <v>615</v>
      </c>
      <c r="D5" s="25" t="s">
        <v>622</v>
      </c>
      <c r="E5" s="12" t="n">
        <v>7200000</v>
      </c>
      <c r="F5" s="24" t="s">
        <v>623</v>
      </c>
      <c r="G5" s="24" t="s">
        <v>624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D14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26"/>
    <col collapsed="false" customWidth="true" hidden="false" outlineLevel="0" max="3" min="3" style="0" width="12"/>
    <col collapsed="false" customWidth="true" hidden="false" outlineLevel="0" max="4" min="4" style="0" width="60"/>
  </cols>
  <sheetData>
    <row r="2" customFormat="false" ht="17.35" hidden="false" customHeight="false" outlineLevel="0" collapsed="false">
      <c r="B2" s="5" t="s">
        <v>625</v>
      </c>
    </row>
    <row r="4" customFormat="false" ht="15" hidden="false" customHeight="false" outlineLevel="0" collapsed="false">
      <c r="B4" s="7" t="s">
        <v>284</v>
      </c>
      <c r="C4" s="7" t="s">
        <v>626</v>
      </c>
      <c r="D4" s="7" t="s">
        <v>25</v>
      </c>
    </row>
    <row r="5" customFormat="false" ht="15" hidden="false" customHeight="false" outlineLevel="0" collapsed="false">
      <c r="B5" s="24" t="s">
        <v>627</v>
      </c>
      <c r="C5" s="42" t="n">
        <v>1</v>
      </c>
      <c r="D5" s="24" t="s">
        <v>615</v>
      </c>
    </row>
    <row r="6" customFormat="false" ht="15" hidden="false" customHeight="false" outlineLevel="0" collapsed="false">
      <c r="B6" s="24" t="s">
        <v>628</v>
      </c>
      <c r="C6" s="42" t="n">
        <v>19</v>
      </c>
      <c r="D6" s="24" t="s">
        <v>629</v>
      </c>
    </row>
    <row r="7" customFormat="false" ht="15" hidden="false" customHeight="false" outlineLevel="0" collapsed="false">
      <c r="B7" s="24" t="s">
        <v>630</v>
      </c>
      <c r="C7" s="42" t="n">
        <v>5</v>
      </c>
      <c r="D7" s="24"/>
    </row>
    <row r="8" customFormat="false" ht="15" hidden="false" customHeight="false" outlineLevel="0" collapsed="false">
      <c r="B8" s="43" t="s">
        <v>279</v>
      </c>
      <c r="C8" s="42" t="n">
        <v>25</v>
      </c>
      <c r="D8" s="25" t="s">
        <v>631</v>
      </c>
    </row>
    <row r="10" customFormat="false" ht="15" hidden="false" customHeight="true" outlineLevel="0" collapsed="false">
      <c r="B10" s="24" t="s">
        <v>632</v>
      </c>
      <c r="C10" s="24"/>
      <c r="D10" s="24"/>
    </row>
    <row r="11" customFormat="false" ht="15" hidden="false" customHeight="false" outlineLevel="0" collapsed="false">
      <c r="B11" s="24"/>
      <c r="C11" s="24"/>
      <c r="D11" s="24"/>
    </row>
    <row r="12" customFormat="false" ht="15" hidden="false" customHeight="false" outlineLevel="0" collapsed="false">
      <c r="B12" s="24"/>
      <c r="C12" s="24"/>
      <c r="D12" s="24"/>
    </row>
    <row r="13" customFormat="false" ht="15" hidden="false" customHeight="true" outlineLevel="0" collapsed="false">
      <c r="B13" s="24" t="s">
        <v>633</v>
      </c>
      <c r="C13" s="24"/>
      <c r="D13" s="24"/>
    </row>
    <row r="14" customFormat="false" ht="15" hidden="false" customHeight="false" outlineLevel="0" collapsed="false">
      <c r="B14" s="24"/>
      <c r="C14" s="24"/>
      <c r="D14" s="24"/>
    </row>
  </sheetData>
  <mergeCells count="2">
    <mergeCell ref="B10:D12"/>
    <mergeCell ref="B13:D1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H7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20"/>
    <col collapsed="false" customWidth="true" hidden="false" outlineLevel="0" max="3" min="3" style="0" width="34"/>
    <col collapsed="false" customWidth="true" hidden="false" outlineLevel="0" max="4" min="4" style="0" width="16"/>
    <col collapsed="false" customWidth="true" hidden="false" outlineLevel="0" max="5" min="5" style="0" width="14"/>
    <col collapsed="false" customWidth="true" hidden="false" outlineLevel="0" max="7" min="6" style="0" width="10"/>
    <col collapsed="false" customWidth="true" hidden="false" outlineLevel="0" max="8" min="8" style="0" width="40"/>
  </cols>
  <sheetData>
    <row r="2" customFormat="false" ht="17.35" hidden="false" customHeight="false" outlineLevel="0" collapsed="false">
      <c r="B2" s="5" t="s">
        <v>634</v>
      </c>
    </row>
    <row r="4" customFormat="false" ht="15" hidden="false" customHeight="false" outlineLevel="0" collapsed="false">
      <c r="B4" s="7" t="s">
        <v>634</v>
      </c>
      <c r="C4" s="7" t="s">
        <v>285</v>
      </c>
      <c r="D4" s="7" t="s">
        <v>502</v>
      </c>
      <c r="E4" s="7" t="s">
        <v>635</v>
      </c>
      <c r="F4" s="7" t="s">
        <v>636</v>
      </c>
      <c r="G4" s="7" t="s">
        <v>637</v>
      </c>
      <c r="H4" s="7" t="s">
        <v>25</v>
      </c>
    </row>
    <row r="5" customFormat="false" ht="25.35" hidden="false" customHeight="false" outlineLevel="0" collapsed="false">
      <c r="B5" s="24" t="s">
        <v>638</v>
      </c>
      <c r="C5" s="24" t="s">
        <v>639</v>
      </c>
      <c r="D5" s="24" t="s">
        <v>640</v>
      </c>
      <c r="E5" s="12" t="n">
        <v>0</v>
      </c>
      <c r="F5" s="42" t="n">
        <v>1</v>
      </c>
      <c r="G5" s="44" t="n">
        <v>10</v>
      </c>
      <c r="H5" s="24" t="s">
        <v>641</v>
      </c>
    </row>
    <row r="6" customFormat="false" ht="25.35" hidden="false" customHeight="false" outlineLevel="0" collapsed="false">
      <c r="B6" s="24" t="s">
        <v>290</v>
      </c>
      <c r="C6" s="24" t="s">
        <v>291</v>
      </c>
      <c r="D6" s="24" t="s">
        <v>642</v>
      </c>
      <c r="E6" s="12" t="n">
        <v>358455752</v>
      </c>
      <c r="F6" s="42" t="n">
        <v>19</v>
      </c>
      <c r="G6" s="44" t="n">
        <v>2065</v>
      </c>
      <c r="H6" s="24" t="s">
        <v>643</v>
      </c>
    </row>
    <row r="7" customFormat="false" ht="25.35" hidden="false" customHeight="false" outlineLevel="0" collapsed="false">
      <c r="B7" s="24" t="s">
        <v>644</v>
      </c>
      <c r="C7" s="24" t="s">
        <v>645</v>
      </c>
      <c r="D7" s="24" t="s">
        <v>646</v>
      </c>
      <c r="E7" s="12" t="n">
        <v>47507648</v>
      </c>
      <c r="F7" s="42" t="n">
        <v>5</v>
      </c>
      <c r="G7" s="44" t="n">
        <v>400</v>
      </c>
      <c r="H7" s="24" t="s">
        <v>647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7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20"/>
    <col collapsed="false" customWidth="true" hidden="false" outlineLevel="0" max="3" min="3" style="0" width="34"/>
    <col collapsed="false" customWidth="true" hidden="false" outlineLevel="0" max="4" min="4" style="0" width="24"/>
    <col collapsed="false" customWidth="true" hidden="false" outlineLevel="0" max="5" min="5" style="0" width="14"/>
    <col collapsed="false" customWidth="true" hidden="false" outlineLevel="0" max="6" min="6" style="0" width="40"/>
  </cols>
  <sheetData>
    <row r="2" customFormat="false" ht="17.35" hidden="false" customHeight="false" outlineLevel="0" collapsed="false">
      <c r="B2" s="5" t="s">
        <v>648</v>
      </c>
    </row>
    <row r="4" customFormat="false" ht="15" hidden="false" customHeight="false" outlineLevel="0" collapsed="false">
      <c r="B4" s="7" t="s">
        <v>284</v>
      </c>
      <c r="C4" s="7" t="s">
        <v>285</v>
      </c>
      <c r="D4" s="7" t="s">
        <v>649</v>
      </c>
      <c r="E4" s="7" t="s">
        <v>650</v>
      </c>
      <c r="F4" s="7" t="s">
        <v>25</v>
      </c>
    </row>
    <row r="5" customFormat="false" ht="15" hidden="false" customHeight="false" outlineLevel="0" collapsed="false">
      <c r="B5" s="24" t="s">
        <v>651</v>
      </c>
      <c r="C5" s="24" t="s">
        <v>639</v>
      </c>
      <c r="D5" s="24" t="s">
        <v>652</v>
      </c>
      <c r="E5" s="12" t="n">
        <v>545460</v>
      </c>
      <c r="F5" s="24" t="s">
        <v>653</v>
      </c>
    </row>
    <row r="6" customFormat="false" ht="15" hidden="false" customHeight="false" outlineLevel="0" collapsed="false">
      <c r="B6" s="24" t="s">
        <v>654</v>
      </c>
      <c r="C6" s="24" t="s">
        <v>645</v>
      </c>
      <c r="D6" s="24" t="s">
        <v>655</v>
      </c>
      <c r="E6" s="12" t="n">
        <v>1200000</v>
      </c>
      <c r="F6" s="24"/>
    </row>
    <row r="7" customFormat="false" ht="15" hidden="false" customHeight="false" outlineLevel="0" collapsed="false">
      <c r="B7" s="9" t="s">
        <v>279</v>
      </c>
      <c r="E7" s="10" t="n">
        <f aca="false">SUM(E5:E6)</f>
        <v>1745460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H7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8"/>
    <col collapsed="false" customWidth="true" hidden="false" outlineLevel="0" max="3" min="3" style="0" width="12"/>
    <col collapsed="false" customWidth="true" hidden="false" outlineLevel="0" max="4" min="4" style="0" width="30"/>
    <col collapsed="false" customWidth="true" hidden="false" outlineLevel="0" max="5" min="5" style="0" width="12"/>
    <col collapsed="false" customWidth="true" hidden="false" outlineLevel="0" max="7" min="6" style="0" width="15"/>
    <col collapsed="false" customWidth="true" hidden="false" outlineLevel="0" max="8" min="8" style="0" width="50"/>
  </cols>
  <sheetData>
    <row r="2" customFormat="false" ht="17.35" hidden="false" customHeight="false" outlineLevel="0" collapsed="false">
      <c r="B2" s="5" t="s">
        <v>656</v>
      </c>
    </row>
    <row r="4" customFormat="false" ht="15" hidden="false" customHeight="false" outlineLevel="0" collapsed="false">
      <c r="B4" s="7" t="s">
        <v>283</v>
      </c>
      <c r="C4" s="7" t="s">
        <v>284</v>
      </c>
      <c r="D4" s="7" t="s">
        <v>285</v>
      </c>
      <c r="E4" s="7" t="s">
        <v>286</v>
      </c>
      <c r="F4" s="7" t="s">
        <v>227</v>
      </c>
      <c r="G4" s="7" t="s">
        <v>287</v>
      </c>
      <c r="H4" s="7" t="s">
        <v>25</v>
      </c>
    </row>
    <row r="5" customFormat="false" ht="15" hidden="false" customHeight="false" outlineLevel="0" collapsed="false">
      <c r="B5" s="24" t="s">
        <v>64</v>
      </c>
      <c r="C5" s="24" t="s">
        <v>290</v>
      </c>
      <c r="D5" s="24" t="s">
        <v>291</v>
      </c>
      <c r="E5" s="27" t="n">
        <v>2145.18</v>
      </c>
      <c r="F5" s="12" t="n">
        <f aca="false">'BS(借方)'!F35</f>
        <v>40441919</v>
      </c>
      <c r="G5" s="12" t="n">
        <v>56890173</v>
      </c>
      <c r="H5" s="24" t="s">
        <v>657</v>
      </c>
    </row>
    <row r="6" customFormat="false" ht="25.35" hidden="false" customHeight="false" outlineLevel="0" collapsed="false">
      <c r="B6" s="24" t="s">
        <v>56</v>
      </c>
      <c r="C6" s="24" t="s">
        <v>290</v>
      </c>
      <c r="D6" s="24" t="s">
        <v>291</v>
      </c>
      <c r="E6" s="27" t="n">
        <v>2093.87</v>
      </c>
      <c r="F6" s="12" t="n">
        <f aca="false">'BS(借方)'!F30</f>
        <v>259241627</v>
      </c>
      <c r="G6" s="12" t="n">
        <v>91221592</v>
      </c>
      <c r="H6" s="24" t="s">
        <v>658</v>
      </c>
    </row>
    <row r="7" customFormat="false" ht="15" hidden="false" customHeight="false" outlineLevel="0" collapsed="false">
      <c r="B7" s="9" t="s">
        <v>279</v>
      </c>
      <c r="F7" s="10" t="n">
        <f aca="false">SUM(F5:F6)</f>
        <v>299683546</v>
      </c>
      <c r="G7" s="10" t="n">
        <f aca="false">SUM(G5:G6)</f>
        <v>148111765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H17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18"/>
    <col collapsed="false" customWidth="true" hidden="false" outlineLevel="0" max="3" min="3" style="0" width="10"/>
    <col collapsed="false" customWidth="true" hidden="false" outlineLevel="0" max="4" min="4" style="0" width="16"/>
    <col collapsed="false" customWidth="true" hidden="false" outlineLevel="0" max="7" min="5" style="0" width="15"/>
    <col collapsed="false" customWidth="true" hidden="false" outlineLevel="0" max="8" min="8" style="0" width="40"/>
  </cols>
  <sheetData>
    <row r="2" customFormat="false" ht="17.35" hidden="false" customHeight="false" outlineLevel="0" collapsed="false">
      <c r="B2" s="5" t="s">
        <v>659</v>
      </c>
    </row>
    <row r="4" customFormat="false" ht="15" hidden="false" customHeight="false" outlineLevel="0" collapsed="false">
      <c r="B4" s="7" t="s">
        <v>498</v>
      </c>
      <c r="C4" s="7" t="s">
        <v>660</v>
      </c>
      <c r="D4" s="7" t="s">
        <v>661</v>
      </c>
      <c r="E4" s="7"/>
      <c r="F4" s="7"/>
      <c r="G4" s="7"/>
      <c r="H4" s="7" t="s">
        <v>503</v>
      </c>
    </row>
    <row r="5" customFormat="false" ht="15" hidden="false" customHeight="false" outlineLevel="0" collapsed="false">
      <c r="B5" s="24" t="s">
        <v>662</v>
      </c>
      <c r="C5" s="25" t="s">
        <v>663</v>
      </c>
      <c r="D5" s="24" t="s">
        <v>664</v>
      </c>
      <c r="H5" s="24" t="s">
        <v>665</v>
      </c>
    </row>
    <row r="6" customFormat="false" ht="15" hidden="false" customHeight="false" outlineLevel="0" collapsed="false">
      <c r="B6" s="24" t="s">
        <v>666</v>
      </c>
      <c r="C6" s="25" t="s">
        <v>667</v>
      </c>
      <c r="D6" s="24" t="s">
        <v>668</v>
      </c>
      <c r="H6" s="24" t="s">
        <v>665</v>
      </c>
    </row>
    <row r="7" customFormat="false" ht="15" hidden="false" customHeight="false" outlineLevel="0" collapsed="false">
      <c r="B7" s="24" t="s">
        <v>669</v>
      </c>
      <c r="C7" s="25" t="s">
        <v>670</v>
      </c>
      <c r="D7" s="25" t="s">
        <v>671</v>
      </c>
      <c r="H7" s="24" t="s">
        <v>665</v>
      </c>
    </row>
    <row r="9" customFormat="false" ht="15" hidden="false" customHeight="false" outlineLevel="0" collapsed="false">
      <c r="B9" s="7" t="s">
        <v>672</v>
      </c>
      <c r="C9" s="7" t="s">
        <v>269</v>
      </c>
      <c r="D9" s="7" t="s">
        <v>270</v>
      </c>
      <c r="E9" s="7" t="s">
        <v>271</v>
      </c>
      <c r="F9" s="7" t="s">
        <v>272</v>
      </c>
      <c r="G9" s="7" t="s">
        <v>673</v>
      </c>
      <c r="H9" s="7" t="s">
        <v>25</v>
      </c>
    </row>
    <row r="10" customFormat="false" ht="15" hidden="false" customHeight="false" outlineLevel="0" collapsed="false">
      <c r="B10" s="24" t="s">
        <v>56</v>
      </c>
      <c r="C10" s="45" t="n">
        <v>5</v>
      </c>
      <c r="D10" s="12" t="n">
        <v>325235134</v>
      </c>
      <c r="E10" s="12" t="n">
        <v>259241627</v>
      </c>
      <c r="F10" s="12" t="n">
        <v>0</v>
      </c>
      <c r="G10" s="12" t="n">
        <v>21745406</v>
      </c>
    </row>
    <row r="11" customFormat="false" ht="15" hidden="false" customHeight="false" outlineLevel="0" collapsed="false">
      <c r="B11" s="24" t="s">
        <v>58</v>
      </c>
      <c r="C11" s="45" t="n">
        <v>12</v>
      </c>
      <c r="D11" s="12" t="n">
        <v>14745890</v>
      </c>
      <c r="E11" s="12" t="n">
        <v>2116299</v>
      </c>
      <c r="F11" s="12" t="n">
        <v>0</v>
      </c>
      <c r="G11" s="12" t="n">
        <v>447749</v>
      </c>
    </row>
    <row r="12" customFormat="false" ht="15" hidden="false" customHeight="false" outlineLevel="0" collapsed="false">
      <c r="B12" s="24" t="s">
        <v>60</v>
      </c>
      <c r="C12" s="45" t="n">
        <v>127</v>
      </c>
      <c r="D12" s="12" t="n">
        <v>374955783</v>
      </c>
      <c r="E12" s="12" t="n">
        <v>99691427</v>
      </c>
      <c r="F12" s="12" t="n">
        <v>19089010</v>
      </c>
      <c r="G12" s="12" t="n">
        <v>3092403</v>
      </c>
    </row>
    <row r="13" customFormat="false" ht="15" hidden="false" customHeight="false" outlineLevel="0" collapsed="false">
      <c r="B13" s="24" t="s">
        <v>62</v>
      </c>
      <c r="C13" s="45" t="n">
        <v>23</v>
      </c>
      <c r="D13" s="12" t="n">
        <v>49704921</v>
      </c>
      <c r="E13" s="12" t="n">
        <v>4905291</v>
      </c>
      <c r="F13" s="12" t="n">
        <v>2440512</v>
      </c>
      <c r="G13" s="12" t="n">
        <v>0</v>
      </c>
    </row>
    <row r="14" customFormat="false" ht="15" hidden="false" customHeight="false" outlineLevel="0" collapsed="false">
      <c r="B14" s="24" t="s">
        <v>63</v>
      </c>
      <c r="C14" s="45" t="n">
        <v>18</v>
      </c>
      <c r="D14" s="12" t="n">
        <v>9896000</v>
      </c>
      <c r="E14" s="12" t="n">
        <v>3318712</v>
      </c>
      <c r="F14" s="12" t="n">
        <v>805803</v>
      </c>
      <c r="G14" s="12" t="n">
        <v>0</v>
      </c>
    </row>
    <row r="15" customFormat="false" ht="15" hidden="false" customHeight="false" outlineLevel="0" collapsed="false">
      <c r="B15" s="9" t="s">
        <v>279</v>
      </c>
      <c r="C15" s="46" t="n">
        <f aca="false">SUM(C10:C14)</f>
        <v>185</v>
      </c>
      <c r="D15" s="10" t="n">
        <f aca="false">SUM(D10:D14)</f>
        <v>774537728</v>
      </c>
      <c r="E15" s="10" t="n">
        <f aca="false">SUM(E10:E14)</f>
        <v>369273356</v>
      </c>
      <c r="F15" s="10" t="n">
        <f aca="false">SUM(F10:F14)</f>
        <v>22335325</v>
      </c>
      <c r="G15" s="10" t="n">
        <f aca="false">SUM(G10:G14)</f>
        <v>25285558</v>
      </c>
    </row>
    <row r="17" customFormat="false" ht="15" hidden="false" customHeight="false" outlineLevel="0" collapsed="false">
      <c r="B17" s="6" t="s">
        <v>674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E16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32"/>
    <col collapsed="false" customWidth="true" hidden="false" outlineLevel="0" max="4" min="3" style="0" width="15"/>
    <col collapsed="false" customWidth="true" hidden="false" outlineLevel="0" max="5" min="5" style="0" width="44"/>
  </cols>
  <sheetData>
    <row r="2" customFormat="false" ht="19.4" hidden="false" customHeight="false" outlineLevel="0" collapsed="false">
      <c r="B2" s="5" t="s">
        <v>675</v>
      </c>
    </row>
    <row r="4" customFormat="false" ht="15" hidden="false" customHeight="false" outlineLevel="0" collapsed="false">
      <c r="B4" s="7" t="s">
        <v>676</v>
      </c>
      <c r="C4" s="7" t="s">
        <v>575</v>
      </c>
      <c r="D4" s="7" t="s">
        <v>677</v>
      </c>
      <c r="E4" s="7" t="s">
        <v>678</v>
      </c>
    </row>
    <row r="5" customFormat="false" ht="15" hidden="false" customHeight="false" outlineLevel="0" collapsed="false">
      <c r="B5" s="24" t="s">
        <v>679</v>
      </c>
      <c r="C5" s="12" t="n">
        <v>114101000</v>
      </c>
      <c r="D5" s="12" t="n">
        <v>2494411</v>
      </c>
      <c r="E5" s="24" t="s">
        <v>680</v>
      </c>
    </row>
    <row r="6" customFormat="false" ht="15" hidden="false" customHeight="false" outlineLevel="0" collapsed="false">
      <c r="B6" s="24" t="s">
        <v>681</v>
      </c>
      <c r="C6" s="12" t="n">
        <v>161252000</v>
      </c>
      <c r="D6" s="12" t="n">
        <v>2105026</v>
      </c>
      <c r="E6" s="24" t="s">
        <v>682</v>
      </c>
    </row>
    <row r="7" customFormat="false" ht="15" hidden="false" customHeight="false" outlineLevel="0" collapsed="false">
      <c r="B7" s="24" t="s">
        <v>683</v>
      </c>
      <c r="C7" s="12" t="n">
        <v>79327000</v>
      </c>
      <c r="D7" s="12" t="n">
        <v>1632553</v>
      </c>
      <c r="E7" s="24" t="s">
        <v>680</v>
      </c>
    </row>
    <row r="8" customFormat="false" ht="15" hidden="false" customHeight="false" outlineLevel="0" collapsed="false">
      <c r="B8" s="24" t="s">
        <v>684</v>
      </c>
      <c r="C8" s="12" t="n">
        <v>38013000</v>
      </c>
      <c r="D8" s="12" t="n">
        <v>817901</v>
      </c>
      <c r="E8" s="25" t="s">
        <v>249</v>
      </c>
    </row>
    <row r="9" customFormat="false" ht="15" hidden="false" customHeight="false" outlineLevel="0" collapsed="false">
      <c r="B9" s="24" t="s">
        <v>685</v>
      </c>
      <c r="C9" s="12" t="n">
        <v>27936000</v>
      </c>
      <c r="D9" s="12" t="n">
        <v>356571</v>
      </c>
      <c r="E9" s="25" t="s">
        <v>249</v>
      </c>
    </row>
    <row r="10" customFormat="false" ht="15" hidden="false" customHeight="false" outlineLevel="0" collapsed="false">
      <c r="B10" s="24" t="s">
        <v>686</v>
      </c>
      <c r="C10" s="12" t="n">
        <v>26395000</v>
      </c>
      <c r="D10" s="12" t="n">
        <v>440476</v>
      </c>
      <c r="E10" s="25" t="s">
        <v>249</v>
      </c>
    </row>
    <row r="11" customFormat="false" ht="15" hidden="false" customHeight="false" outlineLevel="0" collapsed="false">
      <c r="B11" s="24" t="s">
        <v>652</v>
      </c>
      <c r="C11" s="12" t="n">
        <v>14000000</v>
      </c>
      <c r="D11" s="12" t="n">
        <v>0</v>
      </c>
      <c r="E11" s="24" t="s">
        <v>687</v>
      </c>
    </row>
    <row r="12" customFormat="false" ht="15" hidden="false" customHeight="false" outlineLevel="0" collapsed="false">
      <c r="B12" s="24" t="s">
        <v>688</v>
      </c>
      <c r="C12" s="12" t="n">
        <v>0</v>
      </c>
      <c r="D12" s="12" t="n">
        <v>559650</v>
      </c>
      <c r="E12" s="24" t="s">
        <v>689</v>
      </c>
    </row>
    <row r="13" customFormat="false" ht="15" hidden="false" customHeight="false" outlineLevel="0" collapsed="false">
      <c r="B13" s="16" t="s">
        <v>279</v>
      </c>
      <c r="C13" s="17" t="n">
        <f aca="false">SUM(C5:C12)</f>
        <v>461024000</v>
      </c>
      <c r="D13" s="17" t="n">
        <f aca="false">SUM(D5:D12)</f>
        <v>8406588</v>
      </c>
    </row>
    <row r="14" customFormat="false" ht="15" hidden="false" customHeight="false" outlineLevel="0" collapsed="false">
      <c r="B14" s="18" t="s">
        <v>690</v>
      </c>
      <c r="C14" s="20" t="b">
        <f aca="false">EXACT(C13,'BS (貸方)'!F24)</f>
        <v>1</v>
      </c>
      <c r="D14" s="20" t="b">
        <f aca="false">EXACT(D13,PL!I31)</f>
        <v>1</v>
      </c>
    </row>
    <row r="16" customFormat="false" ht="15" hidden="false" customHeight="false" outlineLevel="0" collapsed="false">
      <c r="B16" s="6" t="s">
        <v>691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O12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14"/>
    <col collapsed="false" customWidth="true" hidden="false" outlineLevel="0" max="15" min="3" style="0" width="9"/>
  </cols>
  <sheetData>
    <row r="2" customFormat="false" ht="19.4" hidden="false" customHeight="false" outlineLevel="0" collapsed="false">
      <c r="B2" s="5" t="s">
        <v>692</v>
      </c>
    </row>
    <row r="4" customFormat="false" ht="15" hidden="false" customHeight="false" outlineLevel="0" collapsed="false">
      <c r="B4" s="7" t="s">
        <v>318</v>
      </c>
      <c r="C4" s="8" t="s">
        <v>693</v>
      </c>
      <c r="D4" s="8" t="s">
        <v>694</v>
      </c>
      <c r="E4" s="8" t="s">
        <v>695</v>
      </c>
      <c r="F4" s="8" t="s">
        <v>696</v>
      </c>
      <c r="G4" s="8" t="s">
        <v>697</v>
      </c>
      <c r="H4" s="8" t="s">
        <v>698</v>
      </c>
      <c r="I4" s="8" t="s">
        <v>699</v>
      </c>
      <c r="J4" s="8" t="s">
        <v>700</v>
      </c>
      <c r="K4" s="8" t="s">
        <v>701</v>
      </c>
      <c r="L4" s="8" t="s">
        <v>702</v>
      </c>
      <c r="M4" s="8" t="s">
        <v>703</v>
      </c>
      <c r="N4" s="8" t="s">
        <v>704</v>
      </c>
      <c r="O4" s="7" t="s">
        <v>279</v>
      </c>
    </row>
    <row r="5" customFormat="false" ht="15" hidden="false" customHeight="false" outlineLevel="0" collapsed="false">
      <c r="B5" s="18" t="s">
        <v>705</v>
      </c>
      <c r="C5" s="44" t="n">
        <v>35455</v>
      </c>
      <c r="D5" s="44" t="n">
        <v>34880</v>
      </c>
      <c r="E5" s="44" t="n">
        <v>42375</v>
      </c>
      <c r="F5" s="44" t="n">
        <v>65915</v>
      </c>
      <c r="G5" s="44" t="n">
        <v>59983</v>
      </c>
      <c r="H5" s="44" t="n">
        <v>42001</v>
      </c>
      <c r="I5" s="44" t="n">
        <v>26505</v>
      </c>
      <c r="J5" s="44" t="n">
        <v>14285</v>
      </c>
      <c r="K5" s="44" t="n">
        <v>19378</v>
      </c>
      <c r="L5" s="44" t="n">
        <v>14096</v>
      </c>
      <c r="M5" s="44" t="n">
        <v>19502</v>
      </c>
      <c r="N5" s="44" t="n">
        <v>25619</v>
      </c>
      <c r="O5" s="47" t="n">
        <f aca="false">SUM(C5:N5)</f>
        <v>399994</v>
      </c>
    </row>
    <row r="6" customFormat="false" ht="15" hidden="false" customHeight="false" outlineLevel="0" collapsed="false">
      <c r="B6" s="18" t="s">
        <v>706</v>
      </c>
      <c r="C6" s="44" t="n">
        <v>108</v>
      </c>
      <c r="D6" s="44" t="n">
        <v>106</v>
      </c>
      <c r="E6" s="44" t="n">
        <v>144</v>
      </c>
      <c r="F6" s="44" t="n">
        <v>93</v>
      </c>
      <c r="G6" s="44" t="n">
        <v>89</v>
      </c>
      <c r="H6" s="44" t="n">
        <v>144</v>
      </c>
      <c r="I6" s="44" t="n">
        <v>505</v>
      </c>
      <c r="J6" s="44" t="n">
        <v>1114</v>
      </c>
      <c r="K6" s="44" t="n">
        <v>3266</v>
      </c>
      <c r="L6" s="44" t="n">
        <v>253</v>
      </c>
      <c r="M6" s="44" t="n">
        <v>82</v>
      </c>
      <c r="N6" s="44" t="n">
        <v>66</v>
      </c>
      <c r="O6" s="47" t="n">
        <f aca="false">SUM(C6:N6)</f>
        <v>5970</v>
      </c>
    </row>
    <row r="7" customFormat="false" ht="15" hidden="false" customHeight="false" outlineLevel="0" collapsed="false">
      <c r="B7" s="18" t="s">
        <v>707</v>
      </c>
      <c r="C7" s="44" t="n">
        <v>8267</v>
      </c>
      <c r="D7" s="44" t="n">
        <v>6190</v>
      </c>
      <c r="E7" s="44" t="n">
        <v>6404</v>
      </c>
      <c r="F7" s="44" t="n">
        <v>11489</v>
      </c>
      <c r="G7" s="44" t="n">
        <v>12127</v>
      </c>
      <c r="H7" s="44" t="n">
        <v>8234</v>
      </c>
      <c r="I7" s="44" t="n">
        <v>5121</v>
      </c>
      <c r="J7" s="44" t="n">
        <v>4272</v>
      </c>
      <c r="K7" s="44" t="n">
        <v>1650</v>
      </c>
      <c r="L7" s="44" t="n">
        <v>4331</v>
      </c>
      <c r="M7" s="44" t="n">
        <v>2618</v>
      </c>
      <c r="N7" s="44" t="n">
        <v>6410</v>
      </c>
      <c r="O7" s="47" t="n">
        <f aca="false">SUM(C7:N7)</f>
        <v>77113</v>
      </c>
    </row>
    <row r="8" customFormat="false" ht="15" hidden="false" customHeight="false" outlineLevel="0" collapsed="false">
      <c r="B8" s="18" t="s">
        <v>708</v>
      </c>
      <c r="C8" s="44" t="n">
        <v>622</v>
      </c>
      <c r="D8" s="44" t="n">
        <v>600</v>
      </c>
      <c r="E8" s="44" t="n">
        <v>1031</v>
      </c>
      <c r="F8" s="44" t="n">
        <v>1518</v>
      </c>
      <c r="G8" s="44" t="n">
        <v>1411</v>
      </c>
      <c r="H8" s="44" t="n">
        <v>1096</v>
      </c>
      <c r="I8" s="44" t="n">
        <v>916</v>
      </c>
      <c r="J8" s="44" t="n">
        <v>750</v>
      </c>
      <c r="K8" s="44" t="n">
        <v>922</v>
      </c>
      <c r="L8" s="44" t="n">
        <v>839</v>
      </c>
      <c r="M8" s="44" t="n">
        <v>793</v>
      </c>
      <c r="N8" s="44" t="n">
        <v>937</v>
      </c>
      <c r="O8" s="47" t="n">
        <f aca="false">SUM(C8:N8)</f>
        <v>11435</v>
      </c>
    </row>
    <row r="9" customFormat="false" ht="15" hidden="false" customHeight="false" outlineLevel="0" collapsed="false">
      <c r="B9" s="18" t="s">
        <v>709</v>
      </c>
      <c r="C9" s="44" t="n">
        <v>6111</v>
      </c>
      <c r="D9" s="44" t="n">
        <v>5778</v>
      </c>
      <c r="E9" s="44" t="n">
        <v>6020</v>
      </c>
      <c r="F9" s="44" t="n">
        <v>13121</v>
      </c>
      <c r="G9" s="44" t="n">
        <v>6896</v>
      </c>
      <c r="H9" s="44" t="n">
        <v>5844</v>
      </c>
      <c r="I9" s="44" t="n">
        <v>5295</v>
      </c>
      <c r="J9" s="44" t="n">
        <v>4838</v>
      </c>
      <c r="K9" s="44" t="n">
        <v>8643</v>
      </c>
      <c r="L9" s="44" t="n">
        <v>4822</v>
      </c>
      <c r="M9" s="44" t="n">
        <v>5005</v>
      </c>
      <c r="N9" s="44" t="n">
        <v>5787</v>
      </c>
      <c r="O9" s="47" t="n">
        <f aca="false">SUM(C9:N9)</f>
        <v>78160</v>
      </c>
    </row>
    <row r="10" customFormat="false" ht="15" hidden="false" customHeight="false" outlineLevel="0" collapsed="false">
      <c r="B10" s="18" t="s">
        <v>710</v>
      </c>
      <c r="C10" s="44" t="n">
        <v>24</v>
      </c>
      <c r="D10" s="44" t="n">
        <v>23</v>
      </c>
      <c r="E10" s="44" t="n">
        <v>23</v>
      </c>
      <c r="F10" s="44" t="n">
        <v>25</v>
      </c>
      <c r="G10" s="44" t="n">
        <v>26</v>
      </c>
      <c r="H10" s="44" t="n">
        <v>26</v>
      </c>
      <c r="I10" s="44" t="n">
        <v>25</v>
      </c>
      <c r="J10" s="44" t="n">
        <v>25</v>
      </c>
      <c r="K10" s="44" t="n">
        <v>25</v>
      </c>
      <c r="L10" s="44" t="n">
        <v>25</v>
      </c>
      <c r="M10" s="44" t="n">
        <v>25</v>
      </c>
      <c r="N10" s="44" t="n">
        <v>25</v>
      </c>
    </row>
    <row r="12" customFormat="false" ht="15" hidden="false" customHeight="false" outlineLevel="0" collapsed="false">
      <c r="B12" s="6" t="s">
        <v>711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E6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30"/>
    <col collapsed="false" customWidth="true" hidden="false" outlineLevel="0" max="3" min="3" style="0" width="20"/>
    <col collapsed="false" customWidth="true" hidden="false" outlineLevel="0" max="4" min="4" style="0" width="16"/>
    <col collapsed="false" customWidth="true" hidden="false" outlineLevel="0" max="5" min="5" style="0" width="50"/>
  </cols>
  <sheetData>
    <row r="2" customFormat="false" ht="17.35" hidden="false" customHeight="false" outlineLevel="0" collapsed="false">
      <c r="B2" s="5" t="s">
        <v>525</v>
      </c>
    </row>
    <row r="4" customFormat="false" ht="15" hidden="false" customHeight="false" outlineLevel="0" collapsed="false">
      <c r="B4" s="7" t="s">
        <v>712</v>
      </c>
      <c r="C4" s="7" t="s">
        <v>713</v>
      </c>
      <c r="D4" s="7" t="s">
        <v>714</v>
      </c>
      <c r="E4" s="7" t="s">
        <v>25</v>
      </c>
    </row>
    <row r="5" customFormat="false" ht="15" hidden="false" customHeight="false" outlineLevel="0" collapsed="false">
      <c r="B5" s="24" t="s">
        <v>715</v>
      </c>
      <c r="C5" s="24" t="s">
        <v>716</v>
      </c>
      <c r="D5" s="25" t="s">
        <v>717</v>
      </c>
      <c r="E5" s="24" t="s">
        <v>718</v>
      </c>
    </row>
    <row r="6" customFormat="false" ht="15" hidden="false" customHeight="false" outlineLevel="0" collapsed="false">
      <c r="B6" s="24" t="s">
        <v>719</v>
      </c>
      <c r="C6" s="24" t="s">
        <v>720</v>
      </c>
      <c r="D6" s="25" t="s">
        <v>721</v>
      </c>
      <c r="E6" s="25" t="s">
        <v>722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D13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24"/>
    <col collapsed="false" customWidth="true" hidden="false" outlineLevel="0" max="3" min="3" style="0" width="70"/>
    <col collapsed="false" customWidth="true" hidden="false" outlineLevel="0" max="4" min="4" style="0" width="30"/>
  </cols>
  <sheetData>
    <row r="2" customFormat="false" ht="17.35" hidden="false" customHeight="false" outlineLevel="0" collapsed="false">
      <c r="B2" s="5" t="s">
        <v>723</v>
      </c>
    </row>
    <row r="4" customFormat="false" ht="15" hidden="false" customHeight="false" outlineLevel="0" collapsed="false">
      <c r="B4" s="7" t="s">
        <v>724</v>
      </c>
      <c r="C4" s="7" t="s">
        <v>725</v>
      </c>
      <c r="D4" s="7" t="s">
        <v>503</v>
      </c>
    </row>
    <row r="5" customFormat="false" ht="15" hidden="false" customHeight="false" outlineLevel="0" collapsed="false">
      <c r="B5" s="25" t="s">
        <v>726</v>
      </c>
      <c r="C5" s="24" t="s">
        <v>727</v>
      </c>
      <c r="D5" s="36" t="s">
        <v>728</v>
      </c>
    </row>
    <row r="6" customFormat="false" ht="15" hidden="false" customHeight="false" outlineLevel="0" collapsed="false">
      <c r="B6" s="25" t="s">
        <v>729</v>
      </c>
      <c r="C6" s="24" t="s">
        <v>730</v>
      </c>
      <c r="D6" s="36" t="s">
        <v>728</v>
      </c>
    </row>
    <row r="7" customFormat="false" ht="15" hidden="false" customHeight="false" outlineLevel="0" collapsed="false">
      <c r="B7" s="25" t="s">
        <v>731</v>
      </c>
      <c r="C7" s="24" t="s">
        <v>732</v>
      </c>
      <c r="D7" s="36" t="s">
        <v>728</v>
      </c>
    </row>
    <row r="8" customFormat="false" ht="15" hidden="false" customHeight="false" outlineLevel="0" collapsed="false">
      <c r="B8" s="25" t="s">
        <v>733</v>
      </c>
      <c r="C8" s="24" t="s">
        <v>734</v>
      </c>
      <c r="D8" s="36" t="s">
        <v>728</v>
      </c>
    </row>
    <row r="9" customFormat="false" ht="15" hidden="false" customHeight="false" outlineLevel="0" collapsed="false">
      <c r="B9" s="25" t="s">
        <v>735</v>
      </c>
      <c r="C9" s="24" t="s">
        <v>736</v>
      </c>
      <c r="D9" s="36" t="s">
        <v>737</v>
      </c>
    </row>
    <row r="10" customFormat="false" ht="15" hidden="false" customHeight="false" outlineLevel="0" collapsed="false">
      <c r="B10" s="25" t="s">
        <v>738</v>
      </c>
      <c r="C10" s="24" t="s">
        <v>739</v>
      </c>
      <c r="D10" s="36" t="s">
        <v>737</v>
      </c>
    </row>
    <row r="11" customFormat="false" ht="15" hidden="false" customHeight="false" outlineLevel="0" collapsed="false">
      <c r="B11" s="25" t="s">
        <v>740</v>
      </c>
      <c r="C11" s="24" t="s">
        <v>741</v>
      </c>
      <c r="D11" s="36" t="s">
        <v>505</v>
      </c>
    </row>
    <row r="12" customFormat="false" ht="15" hidden="false" customHeight="false" outlineLevel="0" collapsed="false">
      <c r="B12" s="25" t="s">
        <v>742</v>
      </c>
      <c r="C12" s="24" t="s">
        <v>743</v>
      </c>
      <c r="D12" s="36" t="s">
        <v>505</v>
      </c>
    </row>
    <row r="13" customFormat="false" ht="15" hidden="false" customHeight="false" outlineLevel="0" collapsed="false">
      <c r="B13" s="25" t="s">
        <v>744</v>
      </c>
      <c r="C13" s="24" t="s">
        <v>745</v>
      </c>
      <c r="D13" s="36" t="s">
        <v>505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E29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6"/>
    <col collapsed="false" customWidth="true" hidden="false" outlineLevel="0" max="3" min="3" style="0" width="16"/>
    <col collapsed="false" customWidth="true" hidden="false" outlineLevel="0" max="4" min="4" style="0" width="90"/>
    <col collapsed="false" customWidth="true" hidden="false" outlineLevel="0" max="5" min="5" style="0" width="10"/>
  </cols>
  <sheetData>
    <row r="2" customFormat="false" ht="17.35" hidden="false" customHeight="false" outlineLevel="0" collapsed="false">
      <c r="B2" s="5" t="s">
        <v>746</v>
      </c>
    </row>
    <row r="4" customFormat="false" ht="15" hidden="false" customHeight="false" outlineLevel="0" collapsed="false">
      <c r="B4" s="8" t="s">
        <v>747</v>
      </c>
      <c r="C4" s="7" t="s">
        <v>748</v>
      </c>
      <c r="D4" s="7" t="s">
        <v>749</v>
      </c>
      <c r="E4" s="7" t="s">
        <v>750</v>
      </c>
    </row>
    <row r="5" customFormat="false" ht="15" hidden="false" customHeight="false" outlineLevel="0" collapsed="false">
      <c r="B5" s="24" t="n">
        <v>1</v>
      </c>
      <c r="C5" s="24" t="s">
        <v>751</v>
      </c>
      <c r="D5" s="24" t="s">
        <v>752</v>
      </c>
      <c r="E5" s="24" t="s">
        <v>753</v>
      </c>
    </row>
    <row r="6" customFormat="false" ht="15" hidden="false" customHeight="false" outlineLevel="0" collapsed="false">
      <c r="B6" s="24" t="n">
        <v>2</v>
      </c>
      <c r="C6" s="24" t="s">
        <v>751</v>
      </c>
      <c r="D6" s="25" t="s">
        <v>754</v>
      </c>
      <c r="E6" s="24" t="s">
        <v>755</v>
      </c>
    </row>
    <row r="7" customFormat="false" ht="15" hidden="false" customHeight="false" outlineLevel="0" collapsed="false">
      <c r="B7" s="24" t="n">
        <v>3</v>
      </c>
      <c r="C7" s="24" t="s">
        <v>756</v>
      </c>
      <c r="D7" s="24" t="s">
        <v>757</v>
      </c>
      <c r="E7" s="24" t="s">
        <v>753</v>
      </c>
    </row>
    <row r="8" customFormat="false" ht="15" hidden="false" customHeight="false" outlineLevel="0" collapsed="false">
      <c r="B8" s="24" t="n">
        <v>4</v>
      </c>
      <c r="C8" s="24" t="s">
        <v>756</v>
      </c>
      <c r="D8" s="24" t="s">
        <v>758</v>
      </c>
      <c r="E8" s="24" t="s">
        <v>753</v>
      </c>
    </row>
    <row r="9" customFormat="false" ht="25.35" hidden="false" customHeight="false" outlineLevel="0" collapsed="false">
      <c r="B9" s="24" t="n">
        <v>5</v>
      </c>
      <c r="C9" s="24" t="s">
        <v>759</v>
      </c>
      <c r="D9" s="24" t="s">
        <v>760</v>
      </c>
      <c r="E9" s="24" t="s">
        <v>753</v>
      </c>
    </row>
    <row r="10" customFormat="false" ht="15" hidden="false" customHeight="false" outlineLevel="0" collapsed="false">
      <c r="B10" s="24" t="n">
        <v>6</v>
      </c>
      <c r="C10" s="24" t="s">
        <v>759</v>
      </c>
      <c r="D10" s="24" t="s">
        <v>761</v>
      </c>
      <c r="E10" s="24" t="s">
        <v>753</v>
      </c>
    </row>
    <row r="11" customFormat="false" ht="15" hidden="false" customHeight="false" outlineLevel="0" collapsed="false">
      <c r="B11" s="24" t="n">
        <v>7</v>
      </c>
      <c r="C11" s="24" t="s">
        <v>759</v>
      </c>
      <c r="D11" s="24" t="s">
        <v>762</v>
      </c>
      <c r="E11" s="24" t="s">
        <v>753</v>
      </c>
    </row>
    <row r="12" customFormat="false" ht="15" hidden="false" customHeight="false" outlineLevel="0" collapsed="false">
      <c r="B12" s="24" t="n">
        <v>8</v>
      </c>
      <c r="C12" s="24" t="s">
        <v>759</v>
      </c>
      <c r="D12" s="24" t="s">
        <v>763</v>
      </c>
      <c r="E12" s="24" t="s">
        <v>753</v>
      </c>
    </row>
    <row r="13" customFormat="false" ht="15" hidden="false" customHeight="false" outlineLevel="0" collapsed="false">
      <c r="B13" s="24" t="n">
        <v>9</v>
      </c>
      <c r="C13" s="24" t="s">
        <v>759</v>
      </c>
      <c r="D13" s="24" t="s">
        <v>764</v>
      </c>
      <c r="E13" s="24" t="s">
        <v>755</v>
      </c>
    </row>
    <row r="14" customFormat="false" ht="15" hidden="false" customHeight="false" outlineLevel="0" collapsed="false">
      <c r="B14" s="24" t="n">
        <v>10</v>
      </c>
      <c r="C14" s="24" t="s">
        <v>759</v>
      </c>
      <c r="D14" s="25" t="s">
        <v>765</v>
      </c>
      <c r="E14" s="24" t="s">
        <v>755</v>
      </c>
    </row>
    <row r="15" customFormat="false" ht="15" hidden="false" customHeight="false" outlineLevel="0" collapsed="false">
      <c r="B15" s="24" t="n">
        <v>11</v>
      </c>
      <c r="C15" s="24" t="s">
        <v>759</v>
      </c>
      <c r="D15" s="24" t="s">
        <v>766</v>
      </c>
      <c r="E15" s="24" t="s">
        <v>755</v>
      </c>
    </row>
    <row r="16" customFormat="false" ht="15" hidden="false" customHeight="false" outlineLevel="0" collapsed="false">
      <c r="B16" s="24" t="n">
        <v>12</v>
      </c>
      <c r="C16" s="24" t="s">
        <v>759</v>
      </c>
      <c r="D16" s="24" t="s">
        <v>767</v>
      </c>
      <c r="E16" s="24" t="s">
        <v>755</v>
      </c>
    </row>
    <row r="17" customFormat="false" ht="15" hidden="false" customHeight="false" outlineLevel="0" collapsed="false">
      <c r="B17" s="24" t="n">
        <v>13</v>
      </c>
      <c r="C17" s="24" t="s">
        <v>461</v>
      </c>
      <c r="D17" s="24" t="s">
        <v>768</v>
      </c>
      <c r="E17" s="24" t="s">
        <v>753</v>
      </c>
    </row>
    <row r="18" customFormat="false" ht="15" hidden="false" customHeight="false" outlineLevel="0" collapsed="false">
      <c r="B18" s="24" t="n">
        <v>14</v>
      </c>
      <c r="C18" s="24" t="s">
        <v>461</v>
      </c>
      <c r="D18" s="24" t="s">
        <v>769</v>
      </c>
      <c r="E18" s="24" t="s">
        <v>755</v>
      </c>
    </row>
    <row r="19" customFormat="false" ht="15" hidden="false" customHeight="false" outlineLevel="0" collapsed="false">
      <c r="B19" s="24" t="n">
        <v>15</v>
      </c>
      <c r="C19" s="24" t="s">
        <v>461</v>
      </c>
      <c r="D19" s="24" t="s">
        <v>770</v>
      </c>
      <c r="E19" s="24" t="s">
        <v>755</v>
      </c>
    </row>
    <row r="20" customFormat="false" ht="15" hidden="false" customHeight="false" outlineLevel="0" collapsed="false">
      <c r="B20" s="24" t="n">
        <v>16</v>
      </c>
      <c r="C20" s="24" t="s">
        <v>771</v>
      </c>
      <c r="D20" s="24" t="s">
        <v>772</v>
      </c>
      <c r="E20" s="24" t="s">
        <v>753</v>
      </c>
    </row>
    <row r="21" customFormat="false" ht="15" hidden="false" customHeight="false" outlineLevel="0" collapsed="false">
      <c r="B21" s="24" t="n">
        <v>17</v>
      </c>
      <c r="C21" s="24" t="s">
        <v>525</v>
      </c>
      <c r="D21" s="24" t="s">
        <v>773</v>
      </c>
      <c r="E21" s="24" t="s">
        <v>753</v>
      </c>
    </row>
    <row r="22" customFormat="false" ht="15" hidden="false" customHeight="false" outlineLevel="0" collapsed="false">
      <c r="B22" s="24" t="n">
        <v>18</v>
      </c>
      <c r="C22" s="24" t="s">
        <v>774</v>
      </c>
      <c r="D22" s="24" t="s">
        <v>775</v>
      </c>
      <c r="E22" s="24" t="s">
        <v>755</v>
      </c>
    </row>
    <row r="24" customFormat="false" ht="25.35" hidden="false" customHeight="false" outlineLevel="0" collapsed="false">
      <c r="B24" s="7"/>
      <c r="C24" s="7" t="s">
        <v>776</v>
      </c>
      <c r="D24" s="7"/>
      <c r="E24" s="7"/>
    </row>
    <row r="25" customFormat="false" ht="15" hidden="false" customHeight="false" outlineLevel="0" collapsed="false">
      <c r="C25" s="31" t="s">
        <v>777</v>
      </c>
    </row>
    <row r="26" customFormat="false" ht="15" hidden="false" customHeight="false" outlineLevel="0" collapsed="false">
      <c r="C26" s="31" t="s">
        <v>778</v>
      </c>
    </row>
    <row r="27" customFormat="false" ht="15" hidden="false" customHeight="false" outlineLevel="0" collapsed="false">
      <c r="C27" s="31" t="s">
        <v>779</v>
      </c>
    </row>
    <row r="28" customFormat="false" ht="15" hidden="false" customHeight="false" outlineLevel="0" collapsed="false">
      <c r="C28" s="31" t="s">
        <v>780</v>
      </c>
    </row>
    <row r="29" customFormat="false" ht="15" hidden="false" customHeight="false" outlineLevel="0" collapsed="false">
      <c r="C29" s="31" t="s">
        <v>781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2026-10-29T11:35:14Z</dcterms:created>
  <dc:creator>openpyxl</dc:creator>
  <dc:description/>
  <dc:language>en-US</dc:language>
  <cp:lastModifiedBy/>
  <dcterms:modified xsi:type="dcterms:W3CDTF">2026-10-29T11:35:14Z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