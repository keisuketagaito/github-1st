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6.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3.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4.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5"/>
  </bookViews>
  <sheets>
    <sheet name="ルール" sheetId="1" state="visible" r:id="rId3"/>
    <sheet name="財務入力→" sheetId="2" state="visible" r:id="rId4"/>
    <sheet name="BS(借方)" sheetId="3" state="visible" r:id="rId5"/>
    <sheet name="BS (貸方)" sheetId="4" state="visible" r:id="rId6"/>
    <sheet name="ネットキャッシュ" sheetId="5" state="visible" r:id="rId7"/>
    <sheet name="PL" sheetId="6" state="visible" r:id="rId8"/>
    <sheet name="CR" sheetId="7" state="visible" r:id="rId9"/>
    <sheet name="SGA" sheetId="8" state="visible" r:id="rId10"/>
    <sheet name="VR→ " sheetId="9" state="visible" r:id="rId11"/>
    <sheet name="株式価値 " sheetId="10" state="visible" r:id="rId12"/>
    <sheet name="修正BS(借方)" sheetId="11" state="visible" r:id="rId13"/>
    <sheet name="修正BS(貸方) " sheetId="12" state="visible" r:id="rId14"/>
    <sheet name="修正PL" sheetId="13" state="visible" r:id="rId15"/>
    <sheet name="修正SGA" sheetId="14" state="visible" r:id="rId16"/>
    <sheet name="年買法" sheetId="15" state="visible" r:id="rId17"/>
    <sheet name="EV EBITDAマルチプル" sheetId="16" state="visible" r:id="rId18"/>
    <sheet name="売掛・棚卸" sheetId="17" state="visible" r:id="rId19"/>
    <sheet name="減価償却" sheetId="18" state="visible" r:id="rId20"/>
    <sheet name="土地" sheetId="19" state="visible" r:id="rId21"/>
    <sheet name="不動産(所有)" sheetId="20" state="visible" r:id="rId22"/>
    <sheet name="保険" sheetId="21" state="visible" r:id="rId23"/>
    <sheet name="有価証券" sheetId="22" state="visible" r:id="rId24"/>
    <sheet name="未払人件費・賞与" sheetId="23" state="visible" r:id="rId25"/>
    <sheet name="退職金" sheetId="24" state="visible" r:id="rId26"/>
    <sheet name="税効果" sheetId="25" state="visible" r:id="rId27"/>
    <sheet name="修正CR" sheetId="26" state="visible" r:id="rId28"/>
    <sheet name="参照企業" sheetId="27" state="visible" r:id="rId29"/>
    <sheet name="IM→" sheetId="28" state="visible" r:id="rId30"/>
    <sheet name="会社概要" sheetId="29" state="visible" r:id="rId31"/>
    <sheet name="PLハイライト" sheetId="30" state="visible" r:id="rId32"/>
    <sheet name="BSハイライト" sheetId="31" state="visible" r:id="rId33"/>
    <sheet name="取引先" sheetId="32" state="visible" r:id="rId34"/>
    <sheet name="仕入先" sheetId="33" state="visible" r:id="rId35"/>
    <sheet name="外注先" sheetId="34" state="visible" r:id="rId36"/>
    <sheet name="株主" sheetId="35" state="visible" r:id="rId37"/>
    <sheet name="取締役" sheetId="36" state="visible" r:id="rId38"/>
    <sheet name="従業員" sheetId="37" state="visible" r:id="rId39"/>
    <sheet name="拠点(本社等)" sheetId="38" state="visible" r:id="rId40"/>
    <sheet name="不動産(賃借) " sheetId="39" state="visible" r:id="rId41"/>
    <sheet name="設備" sheetId="40" state="visible" r:id="rId42"/>
    <sheet name="財務" sheetId="41" state="visible" r:id="rId43"/>
    <sheet name="その他" sheetId="42" state="visible" r:id="rId44"/>
    <sheet name="スケジュール(横)" sheetId="43" state="visible" r:id="rId45"/>
    <sheet name="スケジュール(縦)" sheetId="44" state="visible" r:id="rId46"/>
    <sheet name="月次推移" sheetId="45" state="visible" r:id="rId47"/>
    <sheet name="グラフ" sheetId="46" state="visible" r:id="rId48"/>
    <sheet name="表" sheetId="47" state="visible" r:id="rId49"/>
  </sheets>
  <definedNames>
    <definedName function="false" hidden="true" localSheetId="3" name="_xlnm._FilterDatabase" vbProcedure="false">'BS (貸方)'!$B$4:$G$51</definedName>
    <definedName function="false" hidden="true" localSheetId="2" name="_xlnm._FilterDatabase" vbProcedure="false">'BS(借方)'!$B$4:$G$61</definedName>
    <definedName function="false" hidden="true" localSheetId="5" name="_xlnm._FilterDatabase" vbProcedure="false">PL!$C$4:$L$58</definedName>
    <definedName function="false" hidden="true" localSheetId="10" name="_xlnm._FilterDatabase" vbProcedure="false">'修正BS(借方)'!$B$4:$E$61</definedName>
    <definedName function="false" hidden="true" localSheetId="11" name="_xlnm._FilterDatabase" vbProcedure="false">'修正BS(貸方) '!$B$4:$E$53</definedName>
    <definedName function="false" hidden="true" localSheetId="12" name="_xlnm._FilterDatabase" vbProcedure="false">修正PL!$C$4:$K$67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<sst xmlns="http://schemas.openxmlformats.org/spreadsheetml/2006/main" count="1370" uniqueCount="729">
  <si>
    <r>
      <rPr>
        <sz val="11"/>
        <color theme="1"/>
        <rFont val="WenQuanYi Zen Hei"/>
        <family val="2"/>
      </rPr>
      <t xml:space="preserve">文字は「游ゴシック」、数字は「</t>
    </r>
    <r>
      <rPr>
        <sz val="11"/>
        <color theme="1"/>
        <rFont val="游ゴシック Medium"/>
        <family val="2"/>
        <charset val="128"/>
      </rPr>
      <t xml:space="preserve">Arial</t>
    </r>
    <r>
      <rPr>
        <sz val="11"/>
        <color theme="1"/>
        <rFont val="WenQuanYi Zen Hei"/>
        <family val="2"/>
      </rPr>
      <t xml:space="preserve">」を基本。備考欄などの細かい文章は「游ゴシック </t>
    </r>
    <r>
      <rPr>
        <sz val="11"/>
        <color theme="1"/>
        <rFont val="游ゴシック Medium"/>
        <family val="2"/>
        <charset val="128"/>
      </rPr>
      <t xml:space="preserve">Medium</t>
    </r>
    <r>
      <rPr>
        <sz val="11"/>
        <color theme="1"/>
        <rFont val="WenQuanYi Zen Hei"/>
        <family val="2"/>
      </rPr>
      <t xml:space="preserve">」。</t>
    </r>
  </si>
  <si>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</si>
  <si>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</si>
  <si>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</si>
  <si>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</si>
  <si>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</si>
  <si>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</si>
  <si>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</si>
  <si>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</si>
  <si>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</si>
  <si>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</si>
  <si>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</si>
  <si>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</si>
  <si>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</si>
  <si>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</si>
  <si>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r>
      <rPr>
        <b val="true"/>
        <sz val="11"/>
        <color rgb="FFFF0000"/>
        <rFont val="WenQuanYi Zen Hei"/>
        <family val="2"/>
      </rPr>
      <t xml:space="preserve">（</t>
    </r>
    <r>
      <rPr>
        <b val="true"/>
        <sz val="11"/>
        <color rgb="FFFF0000"/>
        <rFont val="游ゴシック Medium"/>
        <family val="3"/>
        <charset val="128"/>
      </rPr>
      <t xml:space="preserve">4</t>
    </r>
    <r>
      <rPr>
        <b val="true"/>
        <sz val="11"/>
        <color rgb="FFFF0000"/>
        <rFont val="WenQuanYi Zen Hei"/>
        <family val="2"/>
      </rPr>
      <t xml:space="preserve">期目）</t>
    </r>
  </si>
  <si>
    <t xml:space="preserve">進行期</t>
  </si>
  <si>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r>
      <rPr>
        <b val="true"/>
        <sz val="12"/>
        <color theme="0"/>
        <rFont val="游ゴシック"/>
        <family val="3"/>
        <charset val="128"/>
      </rPr>
      <t xml:space="preserve">
</t>
    </r>
    <r>
      <rPr>
        <b val="true"/>
        <sz val="12"/>
        <color theme="0"/>
        <rFont val="WenQuanYi Zen Hei"/>
        <family val="2"/>
      </rPr>
      <t xml:space="preserve">（第</t>
    </r>
    <r>
      <rPr>
        <b val="true"/>
        <sz val="12"/>
        <color theme="0"/>
        <rFont val="游ゴシック"/>
        <family val="3"/>
        <charset val="128"/>
      </rPr>
      <t xml:space="preserve">35</t>
    </r>
    <r>
      <rPr>
        <b val="true"/>
        <sz val="12"/>
        <color theme="0"/>
        <rFont val="WenQuanYi Zen Hei"/>
        <family val="2"/>
      </rPr>
      <t xml:space="preserve">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</si>
  <si>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r>
      <rPr>
        <b val="true"/>
        <sz val="12"/>
        <color theme="0"/>
        <rFont val="游ゴシック"/>
        <family val="3"/>
        <charset val="128"/>
      </rPr>
      <t xml:space="preserve">
</t>
    </r>
    <r>
      <rPr>
        <b val="true"/>
        <sz val="12"/>
        <color theme="0"/>
        <rFont val="WenQuanYi Zen Hei"/>
        <family val="2"/>
      </rPr>
      <t xml:space="preserve">（第</t>
    </r>
    <r>
      <rPr>
        <b val="true"/>
        <sz val="12"/>
        <color theme="0"/>
        <rFont val="游ゴシック"/>
        <family val="3"/>
        <charset val="128"/>
      </rPr>
      <t xml:space="preserve">36</t>
    </r>
    <r>
      <rPr>
        <b val="true"/>
        <sz val="12"/>
        <color theme="0"/>
        <rFont val="WenQuanYi Zen Hei"/>
        <family val="2"/>
      </rPr>
      <t xml:space="preserve">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</si>
  <si>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r>
      <rPr>
        <b val="true"/>
        <sz val="12"/>
        <color theme="0"/>
        <rFont val="游ゴシック"/>
        <family val="3"/>
        <charset val="128"/>
      </rPr>
      <t xml:space="preserve">
</t>
    </r>
    <r>
      <rPr>
        <b val="true"/>
        <sz val="12"/>
        <color theme="0"/>
        <rFont val="WenQuanYi Zen Hei"/>
        <family val="2"/>
      </rPr>
      <t xml:space="preserve">（第</t>
    </r>
    <r>
      <rPr>
        <b val="true"/>
        <sz val="12"/>
        <color theme="0"/>
        <rFont val="游ゴシック"/>
        <family val="3"/>
        <charset val="128"/>
      </rPr>
      <t xml:space="preserve">37</t>
    </r>
    <r>
      <rPr>
        <b val="true"/>
        <sz val="12"/>
        <color theme="0"/>
        <rFont val="WenQuanYi Zen Hei"/>
        <family val="2"/>
      </rPr>
      <t xml:space="preserve">期）</t>
    </r>
  </si>
  <si>
    <t xml:space="preserve">－</t>
  </si>
  <si>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7</t>
    </r>
    <r>
      <rPr>
        <b val="true"/>
        <sz val="12"/>
        <color theme="0"/>
        <rFont val="WenQuanYi Zen Hei"/>
        <family val="2"/>
      </rPr>
      <t xml:space="preserve">月
（進行期</t>
    </r>
    <r>
      <rPr>
        <b val="true"/>
        <sz val="12"/>
        <color theme="0"/>
        <rFont val="游ゴシック"/>
        <family val="3"/>
        <charset val="128"/>
      </rPr>
      <t xml:space="preserve">2</t>
    </r>
    <r>
      <rPr>
        <b val="true"/>
        <sz val="12"/>
        <color theme="0"/>
        <rFont val="WenQuanYi Zen Hei"/>
        <family val="2"/>
      </rPr>
      <t xml:space="preserve">か月</t>
    </r>
    <r>
      <rPr>
        <b val="true"/>
        <sz val="12"/>
        <color theme="0"/>
        <rFont val="游ゴシック"/>
        <family val="3"/>
        <charset val="128"/>
      </rPr>
      <t xml:space="preserve">TB</t>
    </r>
    <r>
      <rPr>
        <b val="true"/>
        <sz val="12"/>
        <color theme="0"/>
        <rFont val="WenQuanYi Zen Hei"/>
        <family val="2"/>
      </rPr>
      <t xml:space="preserve">）</t>
    </r>
  </si>
  <si>
    <t xml:space="preserve">請負未収金</t>
  </si>
  <si>
    <t xml:space="preserve">貯蔵品（梱包資材）</t>
  </si>
  <si>
    <t xml:space="preserve">短期貸付金</t>
  </si>
  <si>
    <t xml:space="preserve">前払費用</t>
  </si>
  <si>
    <t xml:space="preserve">仮払金</t>
  </si>
  <si>
    <t xml:space="preserve">未収消費税等</t>
  </si>
  <si>
    <t xml:space="preserve">仮払消費税等</t>
  </si>
  <si>
    <t xml:space="preserve">その他（元帳未掲載差額・要確認）</t>
  </si>
  <si>
    <t xml:space="preserve">【固定資産】</t>
  </si>
  <si>
    <t xml:space="preserve">［有形固定資産］</t>
  </si>
  <si>
    <t xml:space="preserve">建物</t>
  </si>
  <si>
    <t xml:space="preserve">建物付属設備</t>
  </si>
  <si>
    <t xml:space="preserve">構築物</t>
  </si>
  <si>
    <t xml:space="preserve">機械装置</t>
  </si>
  <si>
    <t xml:space="preserve">車両運搬具</t>
  </si>
  <si>
    <t xml:space="preserve">工具器具備品</t>
  </si>
  <si>
    <t xml:space="preserve">［無形固定資産］</t>
  </si>
  <si>
    <t xml:space="preserve">電話加入権</t>
  </si>
  <si>
    <t xml:space="preserve">［投資その他資産］</t>
  </si>
  <si>
    <t xml:space="preserve">出資金</t>
  </si>
  <si>
    <t xml:space="preserve">長期前払費用（信用保証料）</t>
  </si>
  <si>
    <t xml:space="preserve">敷金</t>
  </si>
  <si>
    <t xml:space="preserve">預け保証金</t>
  </si>
  <si>
    <t xml:space="preserve">【繰延資産】</t>
  </si>
  <si>
    <t xml:space="preserve">資産合計</t>
  </si>
  <si>
    <t xml:space="preserve">バランスチェック</t>
  </si>
  <si>
    <r>
      <rPr>
        <sz val="10"/>
        <rFont val="WenQuanYi Zen Hei"/>
        <family val="2"/>
      </rPr>
      <t xml:space="preserve">※第</t>
    </r>
    <r>
      <rPr>
        <sz val="10"/>
        <rFont val="游ゴシック Medium"/>
        <family val="0"/>
        <charset val="1"/>
      </rPr>
      <t xml:space="preserve">35</t>
    </r>
    <r>
      <rPr>
        <sz val="10"/>
        <rFont val="WenQuanYi Zen Hei"/>
        <family val="2"/>
      </rPr>
      <t xml:space="preserve">期・第</t>
    </r>
    <r>
      <rPr>
        <sz val="10"/>
        <rFont val="游ゴシック Medium"/>
        <family val="0"/>
        <charset val="1"/>
      </rPr>
      <t xml:space="preserve">37</t>
    </r>
    <r>
      <rPr>
        <sz val="10"/>
        <rFont val="WenQuanYi Zen Hei"/>
        <family val="2"/>
      </rPr>
      <t xml:space="preserve">期は決算報告書、第</t>
    </r>
    <r>
      <rPr>
        <sz val="10"/>
        <rFont val="游ゴシック Medium"/>
        <family val="0"/>
        <charset val="1"/>
      </rPr>
      <t xml:space="preserve">36</t>
    </r>
    <r>
      <rPr>
        <sz val="10"/>
        <rFont val="WenQuanYi Zen Hei"/>
        <family val="2"/>
      </rPr>
      <t xml:space="preserve">期（</t>
    </r>
    <r>
      <rPr>
        <sz val="10"/>
        <rFont val="游ゴシック Medium"/>
        <family val="0"/>
        <charset val="1"/>
      </rPr>
      <t xml:space="preserve">2025</t>
    </r>
    <r>
      <rPr>
        <sz val="10"/>
        <rFont val="WenQuanYi Zen Hei"/>
        <family val="2"/>
      </rPr>
      <t xml:space="preserve">年</t>
    </r>
    <r>
      <rPr>
        <sz val="10"/>
        <rFont val="游ゴシック Medium"/>
        <family val="0"/>
        <charset val="1"/>
      </rPr>
      <t xml:space="preserve">5</t>
    </r>
    <r>
      <rPr>
        <sz val="10"/>
        <rFont val="WenQuanYi Zen Hei"/>
        <family val="2"/>
      </rPr>
      <t xml:space="preserve">月期）は決算書</t>
    </r>
    <r>
      <rPr>
        <sz val="10"/>
        <rFont val="游ゴシック Medium"/>
        <family val="0"/>
        <charset val="1"/>
      </rPr>
      <t xml:space="preserve">PDF</t>
    </r>
    <r>
      <rPr>
        <sz val="10"/>
        <rFont val="WenQuanYi Zen Hei"/>
        <family val="2"/>
      </rPr>
      <t xml:space="preserve">が画像のため総勘定元帳（成田・つくば）から再構成。</t>
    </r>
  </si>
  <si>
    <r>
      <rPr>
        <sz val="10"/>
        <rFont val="WenQuanYi Zen Hei"/>
        <family val="2"/>
      </rPr>
      <t xml:space="preserve">※第</t>
    </r>
    <r>
      <rPr>
        <sz val="10"/>
        <rFont val="游ゴシック Medium"/>
        <family val="0"/>
        <charset val="1"/>
      </rPr>
      <t xml:space="preserve">36</t>
    </r>
    <r>
      <rPr>
        <sz val="10"/>
        <rFont val="WenQuanYi Zen Hei"/>
        <family val="2"/>
      </rPr>
      <t xml:space="preserve">期「その他」</t>
    </r>
    <r>
      <rPr>
        <sz val="10"/>
        <rFont val="游ゴシック Medium"/>
        <family val="0"/>
        <charset val="1"/>
      </rPr>
      <t xml:space="preserve">410</t>
    </r>
    <r>
      <rPr>
        <sz val="10"/>
        <rFont val="WenQuanYi Zen Hei"/>
        <family val="2"/>
      </rPr>
      <t xml:space="preserve">円は元帳に計上のない固定科目（建物</t>
    </r>
    <r>
      <rPr>
        <sz val="10"/>
        <rFont val="游ゴシック Medium"/>
        <family val="0"/>
        <charset val="1"/>
      </rPr>
      <t xml:space="preserve">1</t>
    </r>
    <r>
      <rPr>
        <sz val="10"/>
        <rFont val="WenQuanYi Zen Hei"/>
        <family val="2"/>
      </rPr>
      <t xml:space="preserve">円等）と決算書残高との差額。要確認。</t>
    </r>
  </si>
  <si>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</si>
  <si>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</si>
  <si>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</si>
  <si>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未払金</t>
  </si>
  <si>
    <t xml:space="preserve">未払費用</t>
  </si>
  <si>
    <t xml:space="preserve">未払法人税等</t>
  </si>
  <si>
    <t xml:space="preserve">未払消費税等</t>
  </si>
  <si>
    <t xml:space="preserve">預り金</t>
  </si>
  <si>
    <t xml:space="preserve">仮受消費税等</t>
  </si>
  <si>
    <t xml:space="preserve">【固定負債】</t>
  </si>
  <si>
    <t xml:space="preserve">長期借入金</t>
  </si>
  <si>
    <t xml:space="preserve">負債合計</t>
  </si>
  <si>
    <t xml:space="preserve">純資産の部</t>
  </si>
  <si>
    <t xml:space="preserve">【資本金】</t>
  </si>
  <si>
    <t xml:space="preserve">資本金</t>
  </si>
  <si>
    <t xml:space="preserve">【資本剰余金】</t>
  </si>
  <si>
    <t xml:space="preserve">【利益剰余金】</t>
  </si>
  <si>
    <t xml:space="preserve">利益準備金</t>
  </si>
  <si>
    <t xml:space="preserve">別途積立金</t>
  </si>
  <si>
    <t xml:space="preserve">繰越利益剰余金</t>
  </si>
  <si>
    <t xml:space="preserve">【自己株式】</t>
  </si>
  <si>
    <t xml:space="preserve">純資産合計</t>
  </si>
  <si>
    <t xml:space="preserve">負債・純資産合計</t>
  </si>
  <si>
    <r>
      <rPr>
        <sz val="10"/>
        <rFont val="WenQuanYi Zen Hei"/>
        <family val="2"/>
      </rPr>
      <t xml:space="preserve">※未払金には千葉年金事務所</t>
    </r>
    <r>
      <rPr>
        <sz val="10"/>
        <rFont val="游ゴシック Medium"/>
        <family val="0"/>
        <charset val="1"/>
      </rPr>
      <t xml:space="preserve">7,850</t>
    </r>
    <r>
      <rPr>
        <sz val="10"/>
        <rFont val="WenQuanYi Zen Hei"/>
        <family val="2"/>
      </rPr>
      <t xml:space="preserve">千円・労働局</t>
    </r>
    <r>
      <rPr>
        <sz val="10"/>
        <rFont val="游ゴシック Medium"/>
        <family val="0"/>
        <charset val="1"/>
      </rPr>
      <t xml:space="preserve">627</t>
    </r>
    <r>
      <rPr>
        <sz val="10"/>
        <rFont val="WenQuanYi Zen Hei"/>
        <family val="2"/>
      </rPr>
      <t xml:space="preserve">千円（</t>
    </r>
    <r>
      <rPr>
        <sz val="10"/>
        <rFont val="游ゴシック Medium"/>
        <family val="0"/>
        <charset val="1"/>
      </rPr>
      <t xml:space="preserve">37</t>
    </r>
    <r>
      <rPr>
        <sz val="10"/>
        <rFont val="WenQuanYi Zen Hei"/>
        <family val="2"/>
      </rPr>
      <t xml:space="preserve">期末）を含む。通常の月次未払分か延滞分かは要確認。</t>
    </r>
  </si>
  <si>
    <t xml:space="preserve">キャッシュライクアイテム</t>
  </si>
  <si>
    <t xml:space="preserve">金額</t>
  </si>
  <si>
    <t xml:space="preserve">デットライクアイテム</t>
  </si>
  <si>
    <t xml:space="preserve">合計</t>
  </si>
  <si>
    <t xml:space="preserve">ネットキャッシュ</t>
  </si>
  <si>
    <r>
      <rPr>
        <sz val="10"/>
        <rFont val="WenQuanYi Zen Hei"/>
        <family val="2"/>
      </rPr>
      <t xml:space="preserve">※評価基準日（</t>
    </r>
    <r>
      <rPr>
        <sz val="10"/>
        <rFont val="游ゴシック Medium"/>
        <family val="0"/>
        <charset val="1"/>
      </rPr>
      <t xml:space="preserve">2026</t>
    </r>
    <r>
      <rPr>
        <sz val="10"/>
        <rFont val="WenQuanYi Zen Hei"/>
        <family val="2"/>
      </rPr>
      <t xml:space="preserve">年</t>
    </r>
    <r>
      <rPr>
        <sz val="10"/>
        <rFont val="游ゴシック Medium"/>
        <family val="0"/>
        <charset val="1"/>
      </rPr>
      <t xml:space="preserve">5</t>
    </r>
    <r>
      <rPr>
        <sz val="10"/>
        <rFont val="WenQuanYi Zen Hei"/>
        <family val="2"/>
      </rPr>
      <t xml:space="preserve">月</t>
    </r>
    <r>
      <rPr>
        <sz val="10"/>
        <rFont val="游ゴシック Medium"/>
        <family val="0"/>
        <charset val="1"/>
      </rPr>
      <t xml:space="preserve">31</t>
    </r>
    <r>
      <rPr>
        <sz val="10"/>
        <rFont val="WenQuanYi Zen Hei"/>
        <family val="2"/>
      </rPr>
      <t xml:space="preserve">日）の修正後</t>
    </r>
    <r>
      <rPr>
        <sz val="10"/>
        <rFont val="游ゴシック Medium"/>
        <family val="0"/>
        <charset val="1"/>
      </rPr>
      <t xml:space="preserve">BS</t>
    </r>
    <r>
      <rPr>
        <sz val="10"/>
        <rFont val="WenQuanYi Zen Hei"/>
        <family val="2"/>
      </rPr>
      <t xml:space="preserve">を参照。未払金のうち社会保険料・労働保険料</t>
    </r>
    <r>
      <rPr>
        <sz val="10"/>
        <rFont val="游ゴシック Medium"/>
        <family val="0"/>
        <charset val="1"/>
      </rPr>
      <t xml:space="preserve">8,477</t>
    </r>
    <r>
      <rPr>
        <sz val="10"/>
        <rFont val="WenQuanYi Zen Hei"/>
        <family val="2"/>
      </rPr>
      <t xml:space="preserve">千円は延滞分を含む可能性があり、延滞分はデットライクとして追加控除を要する（要確認）。</t>
    </r>
  </si>
  <si>
    <r>
      <rPr>
        <sz val="10"/>
        <rFont val="游ゴシック Medium"/>
        <family val="0"/>
        <charset val="1"/>
      </rPr>
      <t xml:space="preserve">※2026</t>
    </r>
    <r>
      <rPr>
        <sz val="10"/>
        <rFont val="WenQuanYi Zen Hei"/>
        <family val="2"/>
      </rPr>
      <t xml:space="preserve">年</t>
    </r>
    <r>
      <rPr>
        <sz val="10"/>
        <rFont val="游ゴシック Medium"/>
        <family val="0"/>
        <charset val="1"/>
      </rPr>
      <t xml:space="preserve">9</t>
    </r>
    <r>
      <rPr>
        <sz val="10"/>
        <rFont val="WenQuanYi Zen Hei"/>
        <family val="2"/>
      </rPr>
      <t xml:space="preserve">月</t>
    </r>
    <r>
      <rPr>
        <sz val="10"/>
        <rFont val="游ゴシック Medium"/>
        <family val="0"/>
        <charset val="1"/>
      </rPr>
      <t xml:space="preserve">30</t>
    </r>
    <r>
      <rPr>
        <sz val="10"/>
        <rFont val="WenQuanYi Zen Hei"/>
        <family val="2"/>
      </rPr>
      <t xml:space="preserve">日に佐原信用金庫より短期手形貸付</t>
    </r>
    <r>
      <rPr>
        <sz val="10"/>
        <rFont val="游ゴシック Medium"/>
        <family val="0"/>
        <charset val="1"/>
      </rPr>
      <t xml:space="preserve">3,000</t>
    </r>
    <r>
      <rPr>
        <sz val="10"/>
        <rFont val="WenQuanYi Zen Hei"/>
        <family val="2"/>
      </rPr>
      <t xml:space="preserve">千円（</t>
    </r>
    <r>
      <rPr>
        <sz val="10"/>
        <rFont val="游ゴシック Medium"/>
        <family val="0"/>
        <charset val="1"/>
      </rPr>
      <t xml:space="preserve">6</t>
    </r>
    <r>
      <rPr>
        <sz val="10"/>
        <rFont val="WenQuanYi Zen Hei"/>
        <family val="2"/>
      </rPr>
      <t xml:space="preserve">か月・保証協会</t>
    </r>
    <r>
      <rPr>
        <sz val="10"/>
        <rFont val="游ゴシック Medium"/>
        <family val="0"/>
        <charset val="1"/>
      </rPr>
      <t xml:space="preserve">100%</t>
    </r>
    <r>
      <rPr>
        <sz val="10"/>
        <rFont val="WenQuanYi Zen Hei"/>
        <family val="2"/>
      </rPr>
      <t xml:space="preserve">保証）を新規実行（基準日後の事象）。</t>
    </r>
  </si>
  <si>
    <t xml:space="preserve">帳簿価額</t>
  </si>
  <si>
    <t xml:space="preserve">売上高比</t>
  </si>
  <si>
    <t xml:space="preserve">梱包収入</t>
  </si>
  <si>
    <t xml:space="preserve">梱包外収入（保税・輸出入作業等）</t>
  </si>
  <si>
    <t xml:space="preserve">その他収入（業務請負等）</t>
  </si>
  <si>
    <t xml:space="preserve">賃貸収入</t>
  </si>
  <si>
    <t xml:space="preserve">売上高</t>
  </si>
  <si>
    <r>
      <rPr>
        <sz val="12"/>
        <color theme="1"/>
        <rFont val="WenQuanYi Zen Hei"/>
        <family val="2"/>
      </rPr>
      <t xml:space="preserve">当期製造原価（</t>
    </r>
    <r>
      <rPr>
        <sz val="12"/>
        <color theme="1"/>
        <rFont val="游ゴシック"/>
        <family val="3"/>
        <charset val="128"/>
      </rPr>
      <t xml:space="preserve">CR</t>
    </r>
    <r>
      <rPr>
        <sz val="12"/>
        <color theme="1"/>
        <rFont val="WenQuanYi Zen Hei"/>
        <family val="2"/>
      </rPr>
      <t xml:space="preserve">より）</t>
    </r>
  </si>
  <si>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</si>
  <si>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</si>
  <si>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</si>
  <si>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</si>
  <si>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</si>
  <si>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</si>
  <si>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</si>
  <si>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雑収入（鉄屑売却等）</t>
  </si>
  <si>
    <t xml:space="preserve">雑収入（立退解決金）</t>
  </si>
  <si>
    <t xml:space="preserve">決算整理差額（要確認）</t>
  </si>
  <si>
    <t xml:space="preserve">営業外費用</t>
  </si>
  <si>
    <t xml:space="preserve">支払利息</t>
  </si>
  <si>
    <t xml:space="preserve">経常利益</t>
  </si>
  <si>
    <t xml:space="preserve">特別利益</t>
  </si>
  <si>
    <t xml:space="preserve">特別損失</t>
  </si>
  <si>
    <t xml:space="preserve">税引前当期純利益</t>
  </si>
  <si>
    <t xml:space="preserve">法人税等</t>
  </si>
  <si>
    <t xml:space="preserve">法人税、住民税及び事業税</t>
  </si>
  <si>
    <t xml:space="preserve">税引後当期純利益</t>
  </si>
  <si>
    <t xml:space="preserve">決算書上の当期純利益（検算用）</t>
  </si>
  <si>
    <r>
      <rPr>
        <sz val="10"/>
        <rFont val="游ゴシック Medium"/>
        <family val="0"/>
        <charset val="1"/>
      </rPr>
      <t xml:space="preserve">※36</t>
    </r>
    <r>
      <rPr>
        <sz val="10"/>
        <rFont val="WenQuanYi Zen Hei"/>
        <family val="2"/>
      </rPr>
      <t xml:space="preserve">期は総勘定元帳ベース。決算書の当期純損失との差額</t>
    </r>
    <r>
      <rPr>
        <sz val="10"/>
        <rFont val="游ゴシック Medium"/>
        <family val="0"/>
        <charset val="1"/>
      </rPr>
      <t xml:space="preserve">371</t>
    </r>
    <r>
      <rPr>
        <sz val="10"/>
        <rFont val="WenQuanYi Zen Hei"/>
        <family val="2"/>
      </rPr>
      <t xml:space="preserve">円を「決算整理差額」として計上（要確認）。</t>
    </r>
    <r>
      <rPr>
        <sz val="10"/>
        <rFont val="游ゴシック Medium"/>
        <family val="0"/>
        <charset val="1"/>
      </rPr>
      <t xml:space="preserve">35</t>
    </r>
    <r>
      <rPr>
        <sz val="10"/>
        <rFont val="WenQuanYi Zen Hei"/>
        <family val="2"/>
      </rPr>
      <t xml:space="preserve">期・</t>
    </r>
    <r>
      <rPr>
        <sz val="10"/>
        <rFont val="游ゴシック Medium"/>
        <family val="0"/>
        <charset val="1"/>
      </rPr>
      <t xml:space="preserve">36</t>
    </r>
    <r>
      <rPr>
        <sz val="10"/>
        <rFont val="WenQuanYi Zen Hei"/>
        <family val="2"/>
      </rPr>
      <t xml:space="preserve">期の雑収入には㈱ホンダロジスティクスからの立退解決金各</t>
    </r>
    <r>
      <rPr>
        <sz val="10"/>
        <rFont val="游ゴシック Medium"/>
        <family val="0"/>
        <charset val="1"/>
      </rPr>
      <t xml:space="preserve">10,000</t>
    </r>
    <r>
      <rPr>
        <sz val="10"/>
        <rFont val="WenQuanYi Zen Hei"/>
        <family val="2"/>
      </rPr>
      <t xml:space="preserve">千円（非経常）を含む。</t>
    </r>
  </si>
  <si>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</si>
  <si>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</si>
  <si>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</si>
  <si>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原材料仕入高</t>
  </si>
  <si>
    <t xml:space="preserve">材料費</t>
  </si>
  <si>
    <t xml:space="preserve">賃金</t>
  </si>
  <si>
    <t xml:space="preserve">賞与</t>
  </si>
  <si>
    <t xml:space="preserve">法定福利費</t>
  </si>
  <si>
    <t xml:space="preserve">厚生費</t>
  </si>
  <si>
    <t xml:space="preserve">労務費</t>
  </si>
  <si>
    <t xml:space="preserve">外注費</t>
  </si>
  <si>
    <t xml:space="preserve">水道光熱費</t>
  </si>
  <si>
    <t xml:space="preserve">運賃</t>
  </si>
  <si>
    <t xml:space="preserve">消耗品費</t>
  </si>
  <si>
    <t xml:space="preserve">減価償却費</t>
  </si>
  <si>
    <t xml:space="preserve">修繕費</t>
  </si>
  <si>
    <t xml:space="preserve">賃借料</t>
  </si>
  <si>
    <t xml:space="preserve">租税公課</t>
  </si>
  <si>
    <t xml:space="preserve">退職金共済事業団掛金</t>
  </si>
  <si>
    <t xml:space="preserve">雑費</t>
  </si>
  <si>
    <t xml:space="preserve">経費</t>
  </si>
  <si>
    <t xml:space="preserve">当期製造費用</t>
  </si>
  <si>
    <t xml:space="preserve">期首仕掛品棚卸高</t>
  </si>
  <si>
    <t xml:space="preserve">期末仕掛品棚卸高</t>
  </si>
  <si>
    <t xml:space="preserve">当期製造原価</t>
  </si>
  <si>
    <r>
      <rPr>
        <sz val="10"/>
        <rFont val="游ゴシック Medium"/>
        <family val="0"/>
        <charset val="1"/>
      </rPr>
      <t xml:space="preserve">※35</t>
    </r>
    <r>
      <rPr>
        <sz val="10"/>
        <rFont val="WenQuanYi Zen Hei"/>
        <family val="2"/>
      </rPr>
      <t xml:space="preserve">期は原材料（梱包資材）を消耗品費で処理。</t>
    </r>
    <r>
      <rPr>
        <sz val="10"/>
        <rFont val="游ゴシック Medium"/>
        <family val="0"/>
        <charset val="1"/>
      </rPr>
      <t xml:space="preserve">37</t>
    </r>
    <r>
      <rPr>
        <sz val="10"/>
        <rFont val="WenQuanYi Zen Hei"/>
        <family val="2"/>
      </rPr>
      <t xml:space="preserve">期の減価償却費は全額販管費に計上。</t>
    </r>
  </si>
  <si>
    <r>
      <rPr>
        <sz val="12"/>
        <color rgb="FFFF0000"/>
        <rFont val="Arial"/>
        <family val="2"/>
        <charset val="1"/>
      </rPr>
      <t xml:space="preserve">←IM</t>
    </r>
    <r>
      <rPr>
        <sz val="12"/>
        <color rgb="FFFF0000"/>
        <rFont val="WenQuanYi Zen Hei"/>
        <family val="2"/>
      </rPr>
      <t xml:space="preserve">に貼るときは非表示</t>
    </r>
  </si>
  <si>
    <t xml:space="preserve">役員報酬</t>
  </si>
  <si>
    <t xml:space="preserve">給料手当</t>
  </si>
  <si>
    <t xml:space="preserve">荷造運賃</t>
  </si>
  <si>
    <t xml:space="preserve">事務用品費</t>
  </si>
  <si>
    <t xml:space="preserve">旅費交通費</t>
  </si>
  <si>
    <t xml:space="preserve">通信費</t>
  </si>
  <si>
    <t xml:space="preserve">手数料</t>
  </si>
  <si>
    <t xml:space="preserve">交際接待費</t>
  </si>
  <si>
    <t xml:space="preserve">保険料</t>
  </si>
  <si>
    <t xml:space="preserve">諸会費</t>
  </si>
  <si>
    <t xml:space="preserve">車輌費</t>
  </si>
  <si>
    <t xml:space="preserve">新聞図書費</t>
  </si>
  <si>
    <t xml:space="preserve">販売費および一般管理費合計</t>
  </si>
  <si>
    <t xml:space="preserve">作業不要（自動作成）</t>
  </si>
  <si>
    <t xml:space="preserve">min</t>
  </si>
  <si>
    <t xml:space="preserve">差（グラフ作成用）</t>
  </si>
  <si>
    <t xml:space="preserve">max</t>
  </si>
  <si>
    <t xml:space="preserve">インカム</t>
  </si>
  <si>
    <t xml:space="preserve">マーケット</t>
  </si>
  <si>
    <t xml:space="preserve">コスト</t>
  </si>
  <si>
    <t xml:space="preserve">修正額</t>
  </si>
  <si>
    <t xml:space="preserve">修正後</t>
  </si>
  <si>
    <t xml:space="preserve">主要取引先は大手物流会社・メーカー。翌月末回収で滞留は確認されていない（年齢表は未受領・要確認）。簿価評価</t>
  </si>
  <si>
    <r>
      <rPr>
        <sz val="10"/>
        <rFont val="WenQuanYi Zen Hei"/>
        <family val="2"/>
      </rPr>
      <t xml:space="preserve">保税蔵置場の内装工事（</t>
    </r>
    <r>
      <rPr>
        <sz val="10"/>
        <rFont val="游ゴシック Medium"/>
        <family val="0"/>
        <charset val="1"/>
      </rPr>
      <t xml:space="preserve">2024</t>
    </r>
    <r>
      <rPr>
        <sz val="10"/>
        <rFont val="WenQuanYi Zen Hei"/>
        <family val="2"/>
      </rPr>
      <t xml:space="preserve">年</t>
    </r>
    <r>
      <rPr>
        <sz val="10"/>
        <rFont val="游ゴシック Medium"/>
        <family val="0"/>
        <charset val="1"/>
      </rPr>
      <t xml:space="preserve">8</t>
    </r>
    <r>
      <rPr>
        <sz val="10"/>
        <rFont val="WenQuanYi Zen Hei"/>
        <family val="2"/>
      </rPr>
      <t xml:space="preserve">月取得、定額法）。賃借物件内の造作のため原状回復義務あり。事業継続を前提に簿価評価</t>
    </r>
  </si>
  <si>
    <t xml:space="preserve">電話加入権は換金価値がないためゼロ評価</t>
  </si>
  <si>
    <t xml:space="preserve">信用保証協会への保証料前払分。換金性がないためゼロ評価（繰上返済時の返戻額は要確認）</t>
  </si>
  <si>
    <r>
      <rPr>
        <sz val="10"/>
        <rFont val="WenQuanYi Zen Hei"/>
        <family val="2"/>
      </rPr>
      <t xml:space="preserve">航空集配サービス㈱への敷金（倉庫</t>
    </r>
    <r>
      <rPr>
        <sz val="10"/>
        <rFont val="游ゴシック Medium"/>
        <family val="0"/>
        <charset val="1"/>
      </rPr>
      <t xml:space="preserve">5,533</t>
    </r>
    <r>
      <rPr>
        <sz val="10"/>
        <rFont val="WenQuanYi Zen Hei"/>
        <family val="2"/>
      </rPr>
      <t xml:space="preserve">千円＋事務所</t>
    </r>
    <r>
      <rPr>
        <sz val="10"/>
        <rFont val="游ゴシック Medium"/>
        <family val="0"/>
        <charset val="1"/>
      </rPr>
      <t xml:space="preserve">221</t>
    </r>
    <r>
      <rPr>
        <sz val="10"/>
        <rFont val="WenQuanYi Zen Hei"/>
        <family val="2"/>
      </rPr>
      <t xml:space="preserve">千円）。返還は原状回復後のため原状回復費用は要確認。簿価評価</t>
    </r>
  </si>
  <si>
    <t xml:space="preserve">【繰延税金資産】</t>
  </si>
  <si>
    <r>
      <rPr>
        <sz val="10"/>
        <rFont val="WenQuanYi Zen Hei"/>
        <family val="2"/>
      </rPr>
      <t xml:space="preserve">未払金には千葉年金事務所</t>
    </r>
    <r>
      <rPr>
        <sz val="10"/>
        <rFont val="游ゴシック Medium"/>
        <family val="0"/>
        <charset val="1"/>
      </rPr>
      <t xml:space="preserve">7,850</t>
    </r>
    <r>
      <rPr>
        <sz val="10"/>
        <rFont val="WenQuanYi Zen Hei"/>
        <family val="2"/>
      </rPr>
      <t xml:space="preserve">千円・労働局</t>
    </r>
    <r>
      <rPr>
        <sz val="10"/>
        <rFont val="游ゴシック Medium"/>
        <family val="0"/>
        <charset val="1"/>
      </rPr>
      <t xml:space="preserve">627</t>
    </r>
    <r>
      <rPr>
        <sz val="10"/>
        <rFont val="WenQuanYi Zen Hei"/>
        <family val="2"/>
      </rPr>
      <t xml:space="preserve">千円を含む（延滞分の有無は要確認）。簿価評価</t>
    </r>
  </si>
  <si>
    <r>
      <rPr>
        <sz val="10"/>
        <rFont val="WenQuanYi Zen Hei"/>
        <family val="2"/>
      </rPr>
      <t xml:space="preserve">給与は月末締め翌</t>
    </r>
    <r>
      <rPr>
        <sz val="10"/>
        <rFont val="游ゴシック Medium"/>
        <family val="0"/>
        <charset val="1"/>
      </rPr>
      <t xml:space="preserve">12</t>
    </r>
    <r>
      <rPr>
        <sz val="10"/>
        <rFont val="WenQuanYi Zen Hei"/>
        <family val="2"/>
      </rPr>
      <t xml:space="preserve">日払。</t>
    </r>
    <r>
      <rPr>
        <sz val="10"/>
        <rFont val="游ゴシック Medium"/>
        <family val="0"/>
        <charset val="1"/>
      </rPr>
      <t xml:space="preserve">5</t>
    </r>
    <r>
      <rPr>
        <sz val="10"/>
        <rFont val="WenQuanYi Zen Hei"/>
        <family val="2"/>
      </rPr>
      <t xml:space="preserve">月分給与は未払費用に計上済みのため追加計上なし</t>
    </r>
  </si>
  <si>
    <r>
      <rPr>
        <sz val="10"/>
        <rFont val="WenQuanYi Zen Hei"/>
        <family val="2"/>
      </rPr>
      <t xml:space="preserve">佐原信用金庫</t>
    </r>
    <r>
      <rPr>
        <sz val="10"/>
        <rFont val="游ゴシック Medium"/>
        <family val="0"/>
        <charset val="1"/>
      </rPr>
      <t xml:space="preserve">15,478</t>
    </r>
    <r>
      <rPr>
        <sz val="10"/>
        <rFont val="WenQuanYi Zen Hei"/>
        <family val="2"/>
      </rPr>
      <t xml:space="preserve">千円・日本政策金融公庫</t>
    </r>
    <r>
      <rPr>
        <sz val="10"/>
        <rFont val="游ゴシック Medium"/>
        <family val="0"/>
        <charset val="1"/>
      </rPr>
      <t xml:space="preserve">17,160</t>
    </r>
    <r>
      <rPr>
        <sz val="10"/>
        <rFont val="WenQuanYi Zen Hei"/>
        <family val="2"/>
      </rPr>
      <t xml:space="preserve">千円（代表者連帯保証）</t>
    </r>
  </si>
  <si>
    <t xml:space="preserve">【繰延税金負債】</t>
  </si>
  <si>
    <t xml:space="preserve">修正額が僅少かつ多額の税務上の繰越欠損金があるため税効果は認識しない</t>
  </si>
  <si>
    <t xml:space="preserve">【評価修正額】</t>
  </si>
  <si>
    <t xml:space="preserve">修正税効果</t>
  </si>
  <si>
    <t xml:space="preserve">その他収入・賃貸収入</t>
  </si>
  <si>
    <t xml:space="preserve">経常的雑収入（鉄屑売却等）</t>
  </si>
  <si>
    <t xml:space="preserve">鉄屑売却収入は梱包作業に伴い毎期経常的に発生するため営業収益として認識</t>
  </si>
  <si>
    <t xml:space="preserve">（調整）移転前拠点の二重賃料</t>
  </si>
  <si>
    <r>
      <rPr>
        <sz val="10"/>
        <rFont val="游ゴシック Medium"/>
        <family val="0"/>
        <charset val="1"/>
      </rPr>
      <t xml:space="preserve">36</t>
    </r>
    <r>
      <rPr>
        <sz val="10"/>
        <rFont val="WenQuanYi Zen Hei"/>
        <family val="2"/>
      </rPr>
      <t xml:space="preserve">期は旧拠点（菱田）から成田エアポート物流ビジネスセンターへの移転期であり、旧拠点家主への賃料</t>
    </r>
    <r>
      <rPr>
        <sz val="10"/>
        <rFont val="游ゴシック Medium"/>
        <family val="0"/>
        <charset val="1"/>
      </rPr>
      <t xml:space="preserve">1,205</t>
    </r>
    <r>
      <rPr>
        <sz val="10"/>
        <rFont val="WenQuanYi Zen Hei"/>
        <family val="2"/>
      </rPr>
      <t xml:space="preserve">千円は移転完了後発生しないため控除</t>
    </r>
  </si>
  <si>
    <r>
      <rPr>
        <sz val="10"/>
        <rFont val="WenQuanYi Zen Hei"/>
        <family val="2"/>
      </rPr>
      <t xml:space="preserve">営業収益へ振替（</t>
    </r>
    <r>
      <rPr>
        <sz val="10"/>
        <rFont val="游ゴシック Medium"/>
        <family val="0"/>
        <charset val="1"/>
      </rPr>
      <t xml:space="preserve">S8</t>
    </r>
    <r>
      <rPr>
        <sz val="10"/>
        <rFont val="WenQuanYi Zen Hei"/>
        <family val="2"/>
      </rPr>
      <t xml:space="preserve">参照）</t>
    </r>
  </si>
  <si>
    <r>
      <rPr>
        <sz val="10"/>
        <rFont val="WenQuanYi Zen Hei"/>
        <family val="2"/>
      </rPr>
      <t xml:space="preserve">㈱ホンダロジスティクスからの立退解決金（</t>
    </r>
    <r>
      <rPr>
        <sz val="10"/>
        <rFont val="游ゴシック Medium"/>
        <family val="0"/>
        <charset val="1"/>
      </rPr>
      <t xml:space="preserve">35</t>
    </r>
    <r>
      <rPr>
        <sz val="10"/>
        <rFont val="WenQuanYi Zen Hei"/>
        <family val="2"/>
      </rPr>
      <t xml:space="preserve">・</t>
    </r>
    <r>
      <rPr>
        <sz val="10"/>
        <rFont val="游ゴシック Medium"/>
        <family val="0"/>
        <charset val="1"/>
      </rPr>
      <t xml:space="preserve">36</t>
    </r>
    <r>
      <rPr>
        <sz val="10"/>
        <rFont val="WenQuanYi Zen Hei"/>
        <family val="2"/>
      </rPr>
      <t xml:space="preserve">期各</t>
    </r>
    <r>
      <rPr>
        <sz val="10"/>
        <rFont val="游ゴシック Medium"/>
        <family val="0"/>
        <charset val="1"/>
      </rPr>
      <t xml:space="preserve">10,000</t>
    </r>
    <r>
      <rPr>
        <sz val="10"/>
        <rFont val="WenQuanYi Zen Hei"/>
        <family val="2"/>
      </rPr>
      <t xml:space="preserve">千円）。非経常のため控除</t>
    </r>
  </si>
  <si>
    <t xml:space="preserve">正常収益力は債権者への分配前とするため支払利息を控除</t>
  </si>
  <si>
    <t xml:space="preserve">役員報酬：代表者は引退予定だが、後任経営者（買手派遣または内部昇格）にも同水準の報酬が発生するとみなし調整しない（仮説）</t>
  </si>
  <si>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</si>
  <si>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</si>
  <si>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</si>
  <si>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</si>
  <si>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</si>
  <si>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</si>
  <si>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</si>
  <si>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</si>
  <si>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修正後営業利益</t>
  </si>
  <si>
    <t xml:space="preserve">想定株式価値</t>
  </si>
  <si>
    <t xml:space="preserve">税考慮額</t>
  </si>
  <si>
    <t xml:space="preserve">修正後税考慮後営業利益</t>
  </si>
  <si>
    <r>
      <rPr>
        <b val="true"/>
        <sz val="12"/>
        <color theme="1"/>
        <rFont val="WenQuanYi Zen Hei"/>
        <family val="2"/>
      </rPr>
      <t xml:space="preserve">基準営業利益
</t>
    </r>
    <r>
      <rPr>
        <b val="true"/>
        <sz val="12"/>
        <color theme="1"/>
        <rFont val="游ゴシック"/>
        <family val="3"/>
        <charset val="128"/>
      </rPr>
      <t xml:space="preserve">(</t>
    </r>
    <r>
      <rPr>
        <b val="true"/>
        <sz val="12"/>
        <color theme="1"/>
        <rFont val="WenQuanYi Zen Hei"/>
        <family val="2"/>
      </rPr>
      <t xml:space="preserve">三期加重平均</t>
    </r>
    <r>
      <rPr>
        <b val="true"/>
        <sz val="12"/>
        <color theme="1"/>
        <rFont val="游ゴシック"/>
        <family val="3"/>
        <charset val="128"/>
      </rPr>
      <t xml:space="preserve">)</t>
    </r>
  </si>
  <si>
    <t xml:space="preserve">※営業損失の期は税効果をゼロとする（繰越欠損金があり納税が生じないため）。基準営業利益がマイナスの場合、営業権はゼロとする。</t>
  </si>
  <si>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</si>
  <si>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</si>
  <si>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</si>
  <si>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</si>
  <si>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</si>
  <si>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</si>
  <si>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r>
      <rPr>
        <sz val="12"/>
        <rFont val="WenQuanYi Zen Hei"/>
        <family val="2"/>
      </rPr>
      <t xml:space="preserve">非流動性ディスカウント（△</t>
    </r>
    <r>
      <rPr>
        <sz val="12"/>
        <rFont val="游ゴシック"/>
        <family val="0"/>
        <charset val="1"/>
      </rPr>
      <t xml:space="preserve">30%</t>
    </r>
    <r>
      <rPr>
        <sz val="12"/>
        <rFont val="WenQuanYi Zen Hei"/>
        <family val="2"/>
      </rPr>
      <t xml:space="preserve">）</t>
    </r>
  </si>
  <si>
    <t xml:space="preserve">減価償却費（販管費＋製造原価）</t>
  </si>
  <si>
    <r>
      <rPr>
        <b val="true"/>
        <sz val="12"/>
        <color theme="1"/>
        <rFont val="WenQuanYi Zen Hei"/>
        <family val="2"/>
      </rPr>
      <t xml:space="preserve">修正後</t>
    </r>
    <r>
      <rPr>
        <b val="true"/>
        <sz val="12"/>
        <color theme="1"/>
        <rFont val="游ゴシック"/>
        <family val="3"/>
        <charset val="128"/>
      </rPr>
      <t xml:space="preserve">EBITDA</t>
    </r>
  </si>
  <si>
    <r>
      <rPr>
        <b val="true"/>
        <sz val="12"/>
        <color theme="1"/>
        <rFont val="WenQuanYi Zen Hei"/>
        <family val="2"/>
      </rPr>
      <t xml:space="preserve">基準</t>
    </r>
    <r>
      <rPr>
        <b val="true"/>
        <sz val="12"/>
        <color theme="1"/>
        <rFont val="游ゴシック"/>
        <family val="3"/>
        <charset val="128"/>
      </rPr>
      <t xml:space="preserve">EBITDA</t>
    </r>
  </si>
  <si>
    <r>
      <rPr>
        <sz val="10"/>
        <rFont val="WenQuanYi Zen Hei"/>
        <family val="2"/>
      </rPr>
      <t xml:space="preserve">※基準</t>
    </r>
    <r>
      <rPr>
        <sz val="10"/>
        <rFont val="游ゴシック Medium"/>
        <family val="0"/>
        <charset val="1"/>
      </rPr>
      <t xml:space="preserve">EBITDA</t>
    </r>
    <r>
      <rPr>
        <sz val="10"/>
        <rFont val="WenQuanYi Zen Hei"/>
        <family val="2"/>
      </rPr>
      <t xml:space="preserve">がマイナスの場合、</t>
    </r>
    <r>
      <rPr>
        <sz val="10"/>
        <rFont val="游ゴシック Medium"/>
        <family val="0"/>
        <charset val="1"/>
      </rPr>
      <t xml:space="preserve">EV</t>
    </r>
    <r>
      <rPr>
        <sz val="10"/>
        <rFont val="WenQuanYi Zen Hei"/>
        <family val="2"/>
      </rPr>
      <t xml:space="preserve">はゼロとする。非流動性ディスカウントは上場会社倍率に織り込まれた市場性を控除するもの。</t>
    </r>
  </si>
  <si>
    <t xml:space="preserve">売掛金</t>
  </si>
  <si>
    <t xml:space="preserve">相手先</t>
  </si>
  <si>
    <t xml:space="preserve">評価差額</t>
  </si>
  <si>
    <t xml:space="preserve">評価額</t>
  </si>
  <si>
    <t xml:space="preserve">調整事由</t>
  </si>
  <si>
    <r>
      <rPr>
        <sz val="12"/>
        <color theme="1"/>
        <rFont val="游ゴシック"/>
        <family val="3"/>
        <charset val="128"/>
      </rPr>
      <t xml:space="preserve">Littelfuse</t>
    </r>
    <r>
      <rPr>
        <sz val="12"/>
        <color theme="1"/>
        <rFont val="WenQuanYi Zen Hei"/>
        <family val="2"/>
      </rPr>
      <t xml:space="preserve">ジャパン合同会社</t>
    </r>
  </si>
  <si>
    <t xml:space="preserve">回収サイト翌月末。主要先はいずれも大手物流・メーカーで滞留は確認されず簿価評価（年齢表は要確認）</t>
  </si>
  <si>
    <t xml:space="preserve">航空集配サービス㈱</t>
  </si>
  <si>
    <t xml:space="preserve">三徳運輸㈱</t>
  </si>
  <si>
    <r>
      <rPr>
        <sz val="12"/>
        <color theme="1"/>
        <rFont val="游ゴシック"/>
        <family val="3"/>
        <charset val="128"/>
      </rPr>
      <t xml:space="preserve">DHL</t>
    </r>
    <r>
      <rPr>
        <sz val="12"/>
        <color theme="1"/>
        <rFont val="WenQuanYi Zen Hei"/>
        <family val="2"/>
      </rPr>
      <t xml:space="preserve">グローバルフォワーディングジャパン㈱</t>
    </r>
  </si>
  <si>
    <t xml:space="preserve">鴻池運輸㈱</t>
  </si>
  <si>
    <t xml:space="preserve">その他</t>
  </si>
  <si>
    <t xml:space="preserve">商品在庫</t>
  </si>
  <si>
    <t xml:space="preserve">梱包資材（段ボール・パレット・木材等）</t>
  </si>
  <si>
    <t xml:space="preserve">最終仕入原価法。通常の作業で順次消費される資材であり簿価評価（滞留品の有無は要確認）</t>
  </si>
  <si>
    <t xml:space="preserve">資産</t>
  </si>
  <si>
    <t xml:space="preserve">建物付属設備（保税蔵置場内装）</t>
  </si>
  <si>
    <t xml:space="preserve">定額法・税務上の償却限度額どおり償却。償却不足なし</t>
  </si>
  <si>
    <t xml:space="preserve">構築物（掘り井戸・舗装等）</t>
  </si>
  <si>
    <t xml:space="preserve">旧拠点（芝山町菱田）所在の資産と推察。現存の有無・除却要否は要確認</t>
  </si>
  <si>
    <t xml:space="preserve">償却不足なし</t>
  </si>
  <si>
    <t xml:space="preserve">工具器具備品・機械装置等</t>
  </si>
  <si>
    <t xml:space="preserve">償却不足なし（機械装置は備忘価額）</t>
  </si>
  <si>
    <t xml:space="preserve">内容・所在地</t>
  </si>
  <si>
    <r>
      <rPr>
        <b val="true"/>
        <sz val="12"/>
        <color theme="0"/>
        <rFont val="WenQuanYi Zen Hei"/>
        <family val="2"/>
      </rPr>
      <t xml:space="preserve">地積</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</si>
  <si>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時価評価額</t>
  </si>
  <si>
    <t xml:space="preserve">該当なし</t>
  </si>
  <si>
    <t xml:space="preserve">不動産の保有なし（本社・倉庫は定期建物転貸借）</t>
  </si>
  <si>
    <r>
      <rPr>
        <sz val="11"/>
        <color theme="1"/>
        <rFont val="WenQuanYi Zen Hei"/>
        <family val="2"/>
      </rPr>
      <t xml:space="preserve">土地は</t>
    </r>
    <r>
      <rPr>
        <sz val="11"/>
        <color theme="1"/>
        <rFont val="游ゴシック"/>
        <family val="3"/>
        <charset val="128"/>
      </rPr>
      <t xml:space="preserve">0.7</t>
    </r>
    <r>
      <rPr>
        <sz val="11"/>
        <color theme="1"/>
        <rFont val="WenQuanYi Zen Hei"/>
        <family val="2"/>
      </rPr>
      <t xml:space="preserve">割戻し</t>
    </r>
  </si>
  <si>
    <t xml:space="preserve">該当なし（不動産の保有なし）</t>
  </si>
  <si>
    <t xml:space="preserve">事業所名</t>
  </si>
  <si>
    <t xml:space="preserve">内容</t>
  </si>
  <si>
    <t xml:space="preserve">所在地
地番・家屋番号</t>
  </si>
  <si>
    <r>
      <rPr>
        <b val="true"/>
        <sz val="12"/>
        <color theme="0"/>
        <rFont val="WenQuanYi Zen Hei"/>
        <family val="2"/>
      </rPr>
      <t xml:space="preserve">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</si>
  <si>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区分
・構造</t>
  </si>
  <si>
    <t xml:space="preserve">所有（建築）
年月・事由</t>
  </si>
  <si>
    <r>
      <rPr>
        <b val="true"/>
        <sz val="12"/>
        <color theme="0"/>
        <rFont val="WenQuanYi Zen Hei"/>
        <family val="2"/>
      </rPr>
      <t xml:space="preserve">前期末簿価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</si>
  <si>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時価</t>
  </si>
  <si>
    <t xml:space="preserve">固定資産税
評価額</t>
  </si>
  <si>
    <t xml:space="preserve">備考</t>
  </si>
  <si>
    <t xml:space="preserve">保険商品</t>
  </si>
  <si>
    <r>
      <rPr>
        <sz val="9"/>
        <color theme="1"/>
        <rFont val="WenQuanYi Zen Hei"/>
        <family val="2"/>
      </rPr>
      <t xml:space="preserve">保険積立金の計上なし。販管費の保険料（</t>
    </r>
    <r>
      <rPr>
        <sz val="9"/>
        <color theme="1"/>
        <rFont val="游ゴシック Medium"/>
        <family val="3"/>
        <charset val="128"/>
      </rPr>
      <t xml:space="preserve">37</t>
    </r>
    <r>
      <rPr>
        <sz val="9"/>
        <color theme="1"/>
        <rFont val="WenQuanYi Zen Hei"/>
        <family val="2"/>
      </rPr>
      <t xml:space="preserve">期</t>
    </r>
    <r>
      <rPr>
        <sz val="9"/>
        <color theme="1"/>
        <rFont val="游ゴシック Medium"/>
        <family val="3"/>
        <charset val="128"/>
      </rPr>
      <t xml:space="preserve">1,147</t>
    </r>
    <r>
      <rPr>
        <sz val="9"/>
        <color theme="1"/>
        <rFont val="WenQuanYi Zen Hei"/>
        <family val="2"/>
      </rPr>
      <t xml:space="preserve">千円）は掛捨てと推察（内容は要確認）</t>
    </r>
  </si>
  <si>
    <t xml:space="preserve">銘柄</t>
  </si>
  <si>
    <t xml:space="preserve">数量</t>
  </si>
  <si>
    <t xml:space="preserve">出資金）佐原信用金庫</t>
  </si>
  <si>
    <t xml:space="preserve">取引金融機関への出資。払戻しは額面が上限のため簿価評価</t>
  </si>
  <si>
    <t xml:space="preserve">未払給与</t>
  </si>
  <si>
    <r>
      <rPr>
        <b val="true"/>
        <sz val="12"/>
        <color theme="0"/>
        <rFont val="WenQuanYi Zen Hei"/>
        <family val="2"/>
      </rPr>
      <t xml:space="preserve">給与は月末締め・翌</t>
    </r>
    <r>
      <rPr>
        <b val="true"/>
        <sz val="12"/>
        <color theme="0"/>
        <rFont val="游ゴシック"/>
        <family val="3"/>
        <charset val="128"/>
      </rPr>
      <t xml:space="preserve">12</t>
    </r>
    <r>
      <rPr>
        <b val="true"/>
        <sz val="12"/>
        <color theme="0"/>
        <rFont val="WenQuanYi Zen Hei"/>
        <family val="2"/>
      </rPr>
      <t xml:space="preserve">日払。</t>
    </r>
    <r>
      <rPr>
        <b val="true"/>
        <sz val="12"/>
        <color theme="0"/>
        <rFont val="游ゴシック"/>
        <family val="3"/>
        <charset val="128"/>
      </rPr>
      <t xml:space="preserve">5</t>
    </r>
    <r>
      <rPr>
        <b val="true"/>
        <sz val="12"/>
        <color theme="0"/>
        <rFont val="WenQuanYi Zen Hei"/>
        <family val="2"/>
      </rPr>
      <t xml:space="preserve">月分（</t>
    </r>
    <r>
      <rPr>
        <b val="true"/>
        <sz val="12"/>
        <color theme="0"/>
        <rFont val="游ゴシック"/>
        <family val="3"/>
        <charset val="128"/>
      </rPr>
      <t xml:space="preserve">6,949</t>
    </r>
    <r>
      <rPr>
        <b val="true"/>
        <sz val="12"/>
        <color theme="0"/>
        <rFont val="WenQuanYi Zen Hei"/>
        <family val="2"/>
      </rPr>
      <t xml:space="preserve">千円）は未払費用に計上済みのため追加計上不要</t>
    </r>
  </si>
  <si>
    <r>
      <rPr>
        <b val="true"/>
        <sz val="12"/>
        <color theme="0"/>
        <rFont val="WenQuanYi Zen Hei"/>
        <family val="2"/>
      </rPr>
      <t xml:space="preserve">賞与の支給慣行なし（</t>
    </r>
    <r>
      <rPr>
        <b val="true"/>
        <sz val="12"/>
        <color theme="0"/>
        <rFont val="游ゴシック"/>
        <family val="3"/>
        <charset val="128"/>
      </rPr>
      <t xml:space="preserve">35</t>
    </r>
    <r>
      <rPr>
        <b val="true"/>
        <sz val="12"/>
        <color theme="0"/>
        <rFont val="WenQuanYi Zen Hei"/>
        <family val="2"/>
      </rPr>
      <t xml:space="preserve">期に</t>
    </r>
    <r>
      <rPr>
        <b val="true"/>
        <sz val="12"/>
        <color theme="0"/>
        <rFont val="游ゴシック"/>
        <family val="3"/>
        <charset val="128"/>
      </rPr>
      <t xml:space="preserve">200</t>
    </r>
    <r>
      <rPr>
        <b val="true"/>
        <sz val="12"/>
        <color theme="0"/>
        <rFont val="WenQuanYi Zen Hei"/>
        <family val="2"/>
      </rPr>
      <t xml:space="preserve">千円のみ）。支給規程の有無は要確認</t>
    </r>
  </si>
  <si>
    <t xml:space="preserve">№</t>
  </si>
  <si>
    <t xml:space="preserve">氏名</t>
  </si>
  <si>
    <r>
      <rPr>
        <b val="true"/>
        <sz val="12"/>
        <color theme="0"/>
        <rFont val="WenQuanYi Zen Hei"/>
        <family val="2"/>
      </rPr>
      <t xml:space="preserve">勤続年数</t>
    </r>
    <r>
      <rPr>
        <b val="true"/>
        <sz val="12"/>
        <color theme="0"/>
        <rFont val="游ゴシック"/>
        <family val="3"/>
        <charset val="128"/>
      </rPr>
      <t xml:space="preserve">(</t>
    </r>
    <r>
      <rPr>
        <b val="true"/>
        <sz val="12"/>
        <color theme="0"/>
        <rFont val="WenQuanYi Zen Hei"/>
        <family val="2"/>
      </rPr>
      <t xml:space="preserve">年</t>
    </r>
    <r>
      <rPr>
        <b val="true"/>
        <sz val="12"/>
        <color theme="0"/>
        <rFont val="游ゴシック"/>
        <family val="3"/>
        <charset val="128"/>
      </rPr>
      <t xml:space="preserve">)</t>
    </r>
  </si>
  <si>
    <t xml:space="preserve">基本給</t>
  </si>
  <si>
    <t xml:space="preserve">支給倍率</t>
  </si>
  <si>
    <t xml:space="preserve">退職理由率</t>
  </si>
  <si>
    <t xml:space="preserve">要支給額</t>
  </si>
  <si>
    <t xml:space="preserve">中退共積立額</t>
  </si>
  <si>
    <t xml:space="preserve">引当不足</t>
  </si>
  <si>
    <r>
      <rPr>
        <sz val="12"/>
        <color theme="1"/>
        <rFont val="WenQuanYi Zen Hei"/>
        <family val="2"/>
      </rPr>
      <t xml:space="preserve">中小企業退職金共済に加入（掛金：</t>
    </r>
    <r>
      <rPr>
        <sz val="12"/>
        <color theme="1"/>
        <rFont val="游ゴシック"/>
        <family val="3"/>
        <charset val="128"/>
      </rPr>
      <t xml:space="preserve">37</t>
    </r>
    <r>
      <rPr>
        <sz val="12"/>
        <color theme="1"/>
        <rFont val="WenQuanYi Zen Hei"/>
        <family val="2"/>
      </rPr>
      <t xml:space="preserve">期</t>
    </r>
    <r>
      <rPr>
        <sz val="12"/>
        <color theme="1"/>
        <rFont val="游ゴシック"/>
        <family val="3"/>
        <charset val="128"/>
      </rPr>
      <t xml:space="preserve">2,380</t>
    </r>
    <r>
      <rPr>
        <sz val="12"/>
        <color theme="1"/>
        <rFont val="WenQuanYi Zen Hei"/>
        <family val="2"/>
      </rPr>
      <t xml:space="preserve">千円）。外部積立で給付されるため引当不足なしと想定（退職金規程の有無・上乗せ給付の有無は要確認）</t>
    </r>
  </si>
  <si>
    <t xml:space="preserve">修正科目</t>
  </si>
  <si>
    <t xml:space="preserve">適用判定</t>
  </si>
  <si>
    <r>
      <rPr>
        <b val="true"/>
        <sz val="12"/>
        <color theme="0"/>
        <rFont val="WenQuanYi Zen Hei"/>
        <family val="2"/>
      </rPr>
      <t xml:space="preserve">繰延税金資産</t>
    </r>
    <r>
      <rPr>
        <b val="true"/>
        <sz val="12"/>
        <color theme="0"/>
        <rFont val="游ゴシック"/>
        <family val="3"/>
        <charset val="128"/>
      </rPr>
      <t xml:space="preserve">/</t>
    </r>
    <r>
      <rPr>
        <b val="true"/>
        <sz val="12"/>
        <color theme="0"/>
        <rFont val="WenQuanYi Zen Hei"/>
        <family val="2"/>
      </rPr>
      <t xml:space="preserve">負債</t>
    </r>
  </si>
  <si>
    <t xml:space="preserve">×</t>
  </si>
  <si>
    <t xml:space="preserve">修正額（電話加入権・長期前払費用の減額）は僅少で、税務上の繰越欠損金も多額のため税効果は認識しない</t>
  </si>
  <si>
    <r>
      <rPr>
        <sz val="10"/>
        <rFont val="WenQuanYi Zen Hei"/>
        <family val="2"/>
      </rPr>
      <t xml:space="preserve">本件は修正</t>
    </r>
    <r>
      <rPr>
        <sz val="10"/>
        <rFont val="游ゴシック Medium"/>
        <family val="0"/>
        <charset val="1"/>
      </rPr>
      <t xml:space="preserve">PL</t>
    </r>
    <r>
      <rPr>
        <sz val="10"/>
        <rFont val="WenQuanYi Zen Hei"/>
        <family val="2"/>
      </rPr>
      <t xml:space="preserve">（当期製造原価行）で原価側の調整を行うため本シートは不使用</t>
    </r>
  </si>
  <si>
    <t xml:space="preserve">期首原材料棚卸高</t>
  </si>
  <si>
    <t xml:space="preserve">小計</t>
  </si>
  <si>
    <t xml:space="preserve">期末原材料棚卸高</t>
  </si>
  <si>
    <t xml:space="preserve">外注加工費</t>
  </si>
  <si>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</si>
  <si>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</si>
  <si>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</si>
  <si>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</si>
  <si>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r>
      <rPr>
        <sz val="12"/>
        <color theme="1"/>
        <rFont val="WenQuanYi Zen Hei"/>
        <family val="2"/>
      </rPr>
      <t xml:space="preserve">鴻池運輸㈱（</t>
    </r>
    <r>
      <rPr>
        <sz val="12"/>
        <color theme="1"/>
        <rFont val="游ゴシック"/>
        <family val="3"/>
        <charset val="128"/>
      </rPr>
      <t xml:space="preserve">9025</t>
    </r>
    <r>
      <rPr>
        <sz val="12"/>
        <color theme="1"/>
        <rFont val="WenQuanYi Zen Hei"/>
        <family val="2"/>
      </rPr>
      <t xml:space="preserve">）</t>
    </r>
  </si>
  <si>
    <t xml:space="preserve">大阪府</t>
  </si>
  <si>
    <t xml:space="preserve">構内請負・物流・国際物流</t>
  </si>
  <si>
    <t xml:space="preserve">要更新</t>
  </si>
  <si>
    <r>
      <rPr>
        <sz val="12"/>
        <color theme="1"/>
        <rFont val="WenQuanYi Zen Hei"/>
        <family val="2"/>
      </rPr>
      <t xml:space="preserve">㈱日新（</t>
    </r>
    <r>
      <rPr>
        <sz val="12"/>
        <color theme="1"/>
        <rFont val="游ゴシック"/>
        <family val="3"/>
        <charset val="128"/>
      </rPr>
      <t xml:space="preserve">9066</t>
    </r>
    <r>
      <rPr>
        <sz val="12"/>
        <color theme="1"/>
        <rFont val="WenQuanYi Zen Hei"/>
        <family val="2"/>
      </rPr>
      <t xml:space="preserve">）</t>
    </r>
  </si>
  <si>
    <t xml:space="preserve">東京都</t>
  </si>
  <si>
    <t xml:space="preserve">国際物流（航空・海上フォワーディング）</t>
  </si>
  <si>
    <r>
      <rPr>
        <sz val="12"/>
        <color theme="1"/>
        <rFont val="WenQuanYi Zen Hei"/>
        <family val="2"/>
      </rPr>
      <t xml:space="preserve">日本トランスシティ㈱（</t>
    </r>
    <r>
      <rPr>
        <sz val="12"/>
        <color theme="1"/>
        <rFont val="游ゴシック"/>
        <family val="3"/>
        <charset val="128"/>
      </rPr>
      <t xml:space="preserve">9310</t>
    </r>
    <r>
      <rPr>
        <sz val="12"/>
        <color theme="1"/>
        <rFont val="WenQuanYi Zen Hei"/>
        <family val="2"/>
      </rPr>
      <t xml:space="preserve">）</t>
    </r>
  </si>
  <si>
    <t xml:space="preserve">三重県</t>
  </si>
  <si>
    <t xml:space="preserve">倉庫・国際物流</t>
  </si>
  <si>
    <r>
      <rPr>
        <sz val="12"/>
        <color theme="1"/>
        <rFont val="WenQuanYi Zen Hei"/>
        <family val="2"/>
      </rPr>
      <t xml:space="preserve">山九㈱（</t>
    </r>
    <r>
      <rPr>
        <sz val="12"/>
        <color theme="1"/>
        <rFont val="游ゴシック"/>
        <family val="3"/>
        <charset val="128"/>
      </rPr>
      <t xml:space="preserve">9065</t>
    </r>
    <r>
      <rPr>
        <sz val="12"/>
        <color theme="1"/>
        <rFont val="WenQuanYi Zen Hei"/>
        <family val="2"/>
      </rPr>
      <t xml:space="preserve">）</t>
    </r>
  </si>
  <si>
    <t xml:space="preserve">物流・構内作業</t>
  </si>
  <si>
    <r>
      <rPr>
        <sz val="12"/>
        <color theme="1"/>
        <rFont val="WenQuanYi Zen Hei"/>
        <family val="2"/>
      </rPr>
      <t xml:space="preserve">三井倉庫ホールディングス㈱（</t>
    </r>
    <r>
      <rPr>
        <sz val="12"/>
        <color theme="1"/>
        <rFont val="游ゴシック"/>
        <family val="3"/>
        <charset val="128"/>
      </rPr>
      <t xml:space="preserve">9302</t>
    </r>
    <r>
      <rPr>
        <sz val="12"/>
        <color theme="1"/>
        <rFont val="WenQuanYi Zen Hei"/>
        <family val="2"/>
      </rPr>
      <t xml:space="preserve">）</t>
    </r>
  </si>
  <si>
    <r>
      <rPr>
        <sz val="12"/>
        <color theme="1"/>
        <rFont val="WenQuanYi Zen Hei"/>
        <family val="2"/>
      </rPr>
      <t xml:space="preserve">㈱</t>
    </r>
    <r>
      <rPr>
        <sz val="12"/>
        <color theme="1"/>
        <rFont val="游ゴシック"/>
        <family val="3"/>
        <charset val="128"/>
      </rPr>
      <t xml:space="preserve">AIT</t>
    </r>
    <r>
      <rPr>
        <sz val="12"/>
        <color theme="1"/>
        <rFont val="WenQuanYi Zen Hei"/>
        <family val="2"/>
      </rPr>
      <t xml:space="preserve">（</t>
    </r>
    <r>
      <rPr>
        <sz val="12"/>
        <color theme="1"/>
        <rFont val="游ゴシック"/>
        <family val="3"/>
        <charset val="128"/>
      </rPr>
      <t xml:space="preserve">9381</t>
    </r>
    <r>
      <rPr>
        <sz val="12"/>
        <color theme="1"/>
        <rFont val="WenQuanYi Zen Hei"/>
        <family val="2"/>
      </rPr>
      <t xml:space="preserve">）</t>
    </r>
  </si>
  <si>
    <t xml:space="preserve">国際物流（フォワーディング・通関）</t>
  </si>
  <si>
    <t xml:space="preserve">平均値</t>
  </si>
  <si>
    <t xml:space="preserve">中央値</t>
  </si>
  <si>
    <r>
      <rPr>
        <sz val="10"/>
        <rFont val="WenQuanYi Zen Hei"/>
        <family val="2"/>
      </rPr>
      <t xml:space="preserve">※候補先。倍率は算定日時点の株価で更新する前提。本件は基準</t>
    </r>
    <r>
      <rPr>
        <sz val="10"/>
        <rFont val="游ゴシック Medium"/>
        <family val="0"/>
        <charset val="1"/>
      </rPr>
      <t xml:space="preserve">EBITDA</t>
    </r>
    <r>
      <rPr>
        <sz val="10"/>
        <rFont val="WenQuanYi Zen Hei"/>
        <family val="2"/>
      </rPr>
      <t xml:space="preserve">がマイナスのため倍率の水準は試算結果に影響しない。</t>
    </r>
  </si>
  <si>
    <t xml:space="preserve">項目</t>
  </si>
  <si>
    <t xml:space="preserve">会社名</t>
  </si>
  <si>
    <t xml:space="preserve">株式会社高塚商事</t>
  </si>
  <si>
    <t xml:space="preserve">本社所在地</t>
  </si>
  <si>
    <r>
      <rPr>
        <sz val="12"/>
        <color theme="1"/>
        <rFont val="WenQuanYi Zen Hei"/>
        <family val="2"/>
      </rPr>
      <t xml:space="preserve">千葉県山武郡芝山町岩山</t>
    </r>
    <r>
      <rPr>
        <sz val="12"/>
        <color theme="1"/>
        <rFont val="游ゴシック"/>
        <family val="3"/>
        <charset val="128"/>
      </rPr>
      <t xml:space="preserve">148</t>
    </r>
    <r>
      <rPr>
        <sz val="12"/>
        <color theme="1"/>
        <rFont val="WenQuanYi Zen Hei"/>
        <family val="2"/>
      </rPr>
      <t xml:space="preserve">番地</t>
    </r>
    <r>
      <rPr>
        <sz val="12"/>
        <color theme="1"/>
        <rFont val="游ゴシック"/>
        <family val="3"/>
        <charset val="128"/>
      </rPr>
      <t xml:space="preserve">15</t>
    </r>
    <r>
      <rPr>
        <sz val="12"/>
        <color theme="1"/>
        <rFont val="WenQuanYi Zen Hei"/>
        <family val="2"/>
      </rPr>
      <t xml:space="preserve">（成田エアポート物流ビジネスセンター）</t>
    </r>
  </si>
  <si>
    <t xml:space="preserve">その他拠点</t>
  </si>
  <si>
    <r>
      <rPr>
        <sz val="12"/>
        <color theme="1"/>
        <rFont val="WenQuanYi Zen Hei"/>
        <family val="2"/>
      </rPr>
      <t xml:space="preserve">【作業拠点】
・成田事業所（本社同所）：</t>
    </r>
    <r>
      <rPr>
        <sz val="12"/>
        <color theme="1"/>
        <rFont val="游ゴシック"/>
        <family val="3"/>
        <charset val="128"/>
      </rPr>
      <t xml:space="preserve">5F</t>
    </r>
    <r>
      <rPr>
        <sz val="12"/>
        <color theme="1"/>
        <rFont val="WenQuanYi Zen Hei"/>
        <family val="2"/>
      </rPr>
      <t xml:space="preserve">倉庫</t>
    </r>
    <r>
      <rPr>
        <sz val="12"/>
        <color theme="1"/>
        <rFont val="游ゴシック"/>
        <family val="3"/>
        <charset val="128"/>
      </rPr>
      <t xml:space="preserve">1,567</t>
    </r>
    <r>
      <rPr>
        <sz val="12"/>
        <color theme="1"/>
        <rFont val="WenQuanYi Zen Hei"/>
        <family val="2"/>
      </rPr>
      <t xml:space="preserve">㎡（東京税関許可の保税蔵置場）・</t>
    </r>
    <r>
      <rPr>
        <sz val="12"/>
        <color theme="1"/>
        <rFont val="游ゴシック"/>
        <family val="3"/>
        <charset val="128"/>
      </rPr>
      <t xml:space="preserve">2F</t>
    </r>
    <r>
      <rPr>
        <sz val="12"/>
        <color theme="1"/>
        <rFont val="WenQuanYi Zen Hei"/>
        <family val="2"/>
      </rPr>
      <t xml:space="preserve">事務所
・つくば事業所：顧客（</t>
    </r>
    <r>
      <rPr>
        <sz val="12"/>
        <color theme="1"/>
        <rFont val="游ゴシック"/>
        <family val="3"/>
        <charset val="128"/>
      </rPr>
      <t xml:space="preserve">Littelfuse</t>
    </r>
    <r>
      <rPr>
        <sz val="12"/>
        <color theme="1"/>
        <rFont val="WenQuanYi Zen Hei"/>
        <family val="2"/>
      </rPr>
      <t xml:space="preserve">ジャパン合同会社）工場構内（茨城県稲敷市）
・顧客倉庫内での構内梱包、</t>
    </r>
    <r>
      <rPr>
        <sz val="12"/>
        <color theme="1"/>
        <rFont val="游ゴシック"/>
        <family val="3"/>
        <charset val="128"/>
      </rPr>
      <t xml:space="preserve">DHL</t>
    </r>
    <r>
      <rPr>
        <sz val="12"/>
        <color theme="1"/>
        <rFont val="WenQuanYi Zen Hei"/>
        <family val="2"/>
      </rPr>
      <t xml:space="preserve">新千歳（北海道千歳市）での事務作業受託</t>
    </r>
  </si>
  <si>
    <t xml:space="preserve">設立</t>
  </si>
  <si>
    <r>
      <rPr>
        <sz val="12"/>
        <color theme="1"/>
        <rFont val="游ゴシック"/>
        <family val="3"/>
        <charset val="128"/>
      </rPr>
      <t xml:space="preserve">1990</t>
    </r>
    <r>
      <rPr>
        <sz val="12"/>
        <color theme="1"/>
        <rFont val="WenQuanYi Zen Hei"/>
        <family val="2"/>
      </rPr>
      <t xml:space="preserve">年</t>
    </r>
    <r>
      <rPr>
        <sz val="12"/>
        <color theme="1"/>
        <rFont val="游ゴシック"/>
        <family val="3"/>
        <charset val="128"/>
      </rPr>
      <t xml:space="preserve">5</t>
    </r>
    <r>
      <rPr>
        <sz val="12"/>
        <color theme="1"/>
        <rFont val="WenQuanYi Zen Hei"/>
        <family val="2"/>
      </rPr>
      <t xml:space="preserve">月</t>
    </r>
    <r>
      <rPr>
        <sz val="12"/>
        <color theme="1"/>
        <rFont val="游ゴシック"/>
        <family val="3"/>
        <charset val="128"/>
      </rPr>
      <t xml:space="preserve">24</t>
    </r>
    <r>
      <rPr>
        <sz val="12"/>
        <color theme="1"/>
        <rFont val="WenQuanYi Zen Hei"/>
        <family val="2"/>
      </rPr>
      <t xml:space="preserve">日（有限会社として設立、</t>
    </r>
    <r>
      <rPr>
        <sz val="12"/>
        <color theme="1"/>
        <rFont val="游ゴシック"/>
        <family val="3"/>
        <charset val="128"/>
      </rPr>
      <t xml:space="preserve">2004</t>
    </r>
    <r>
      <rPr>
        <sz val="12"/>
        <color theme="1"/>
        <rFont val="WenQuanYi Zen Hei"/>
        <family val="2"/>
      </rPr>
      <t xml:space="preserve">年</t>
    </r>
    <r>
      <rPr>
        <sz val="12"/>
        <color theme="1"/>
        <rFont val="游ゴシック"/>
        <family val="3"/>
        <charset val="128"/>
      </rPr>
      <t xml:space="preserve">7</t>
    </r>
    <r>
      <rPr>
        <sz val="12"/>
        <color theme="1"/>
        <rFont val="WenQuanYi Zen Hei"/>
        <family val="2"/>
      </rPr>
      <t xml:space="preserve">月</t>
    </r>
    <r>
      <rPr>
        <sz val="12"/>
        <color theme="1"/>
        <rFont val="游ゴシック"/>
        <family val="3"/>
        <charset val="128"/>
      </rPr>
      <t xml:space="preserve">22</t>
    </r>
    <r>
      <rPr>
        <sz val="12"/>
        <color theme="1"/>
        <rFont val="WenQuanYi Zen Hei"/>
        <family val="2"/>
      </rPr>
      <t xml:space="preserve">日に株式会社へ組織変更）　※直近期は第</t>
    </r>
    <r>
      <rPr>
        <sz val="12"/>
        <color theme="1"/>
        <rFont val="游ゴシック"/>
        <family val="3"/>
        <charset val="128"/>
      </rPr>
      <t xml:space="preserve">37</t>
    </r>
    <r>
      <rPr>
        <sz val="12"/>
        <color theme="1"/>
        <rFont val="WenQuanYi Zen Hei"/>
        <family val="2"/>
      </rPr>
      <t xml:space="preserve">期（</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5</t>
    </r>
    <r>
      <rPr>
        <sz val="12"/>
        <color theme="1"/>
        <rFont val="WenQuanYi Zen Hei"/>
        <family val="2"/>
      </rPr>
      <t xml:space="preserve">月期）</t>
    </r>
  </si>
  <si>
    <r>
      <rPr>
        <sz val="12"/>
        <color theme="1"/>
        <rFont val="游ゴシック"/>
        <family val="3"/>
        <charset val="128"/>
      </rPr>
      <t xml:space="preserve">10,000</t>
    </r>
    <r>
      <rPr>
        <sz val="12"/>
        <color theme="1"/>
        <rFont val="WenQuanYi Zen Hei"/>
        <family val="2"/>
      </rPr>
      <t xml:space="preserve">千円（発行済株式</t>
    </r>
    <r>
      <rPr>
        <sz val="12"/>
        <color theme="1"/>
        <rFont val="游ゴシック"/>
        <family val="3"/>
        <charset val="128"/>
      </rPr>
      <t xml:space="preserve">1,000</t>
    </r>
    <r>
      <rPr>
        <sz val="12"/>
        <color theme="1"/>
        <rFont val="WenQuanYi Zen Hei"/>
        <family val="2"/>
      </rPr>
      <t xml:space="preserve">株、株券発行会社）</t>
    </r>
  </si>
  <si>
    <t xml:space="preserve">代表者</t>
  </si>
  <si>
    <t xml:space="preserve">代表取締役　庄司　和夫</t>
  </si>
  <si>
    <t xml:space="preserve">株主</t>
  </si>
  <si>
    <r>
      <rPr>
        <sz val="12"/>
        <color theme="1"/>
        <rFont val="WenQuanYi Zen Hei"/>
        <family val="2"/>
      </rPr>
      <t xml:space="preserve">高塚　慎吾（</t>
    </r>
    <r>
      <rPr>
        <sz val="12"/>
        <color theme="1"/>
        <rFont val="游ゴシック"/>
        <family val="3"/>
        <charset val="128"/>
      </rPr>
      <t xml:space="preserve">600</t>
    </r>
    <r>
      <rPr>
        <sz val="12"/>
        <color theme="1"/>
        <rFont val="WenQuanYi Zen Hei"/>
        <family val="2"/>
      </rPr>
      <t xml:space="preserve">株／</t>
    </r>
    <r>
      <rPr>
        <sz val="12"/>
        <color theme="1"/>
        <rFont val="游ゴシック"/>
        <family val="3"/>
        <charset val="128"/>
      </rPr>
      <t xml:space="preserve">60.0%</t>
    </r>
    <r>
      <rPr>
        <sz val="12"/>
        <color theme="1"/>
        <rFont val="WenQuanYi Zen Hei"/>
        <family val="2"/>
      </rPr>
      <t xml:space="preserve">）、高塚　とく江（</t>
    </r>
    <r>
      <rPr>
        <sz val="12"/>
        <color theme="1"/>
        <rFont val="游ゴシック"/>
        <family val="3"/>
        <charset val="128"/>
      </rPr>
      <t xml:space="preserve">400</t>
    </r>
    <r>
      <rPr>
        <sz val="12"/>
        <color theme="1"/>
        <rFont val="WenQuanYi Zen Hei"/>
        <family val="2"/>
      </rPr>
      <t xml:space="preserve">株／</t>
    </r>
    <r>
      <rPr>
        <sz val="12"/>
        <color theme="1"/>
        <rFont val="游ゴシック"/>
        <family val="3"/>
        <charset val="128"/>
      </rPr>
      <t xml:space="preserve">40.0%</t>
    </r>
    <r>
      <rPr>
        <sz val="12"/>
        <color theme="1"/>
        <rFont val="WenQuanYi Zen Hei"/>
        <family val="2"/>
      </rPr>
      <t xml:space="preserve">）　※法人税申告書別表二による。株主名簿は要受領</t>
    </r>
  </si>
  <si>
    <t xml:space="preserve">成田空港近隣を拠点とする輸出航空貨物の梱包（木枠・段ボール・パレット梱包、ドライアイス保冷梱包等）、保税蔵置場の運営と保税取扱・爆発物検査、顧客工場・倉庫内での構内梱包請負、フォワーダー向け事務作業受託、梱包資材の販売</t>
  </si>
  <si>
    <t xml:space="preserve">従業員数</t>
  </si>
  <si>
    <r>
      <rPr>
        <sz val="12"/>
        <color theme="1"/>
        <rFont val="游ゴシック"/>
        <family val="3"/>
        <charset val="128"/>
      </rPr>
      <t xml:space="preserve">20</t>
    </r>
    <r>
      <rPr>
        <sz val="12"/>
        <color theme="1"/>
        <rFont val="WenQuanYi Zen Hei"/>
        <family val="2"/>
      </rPr>
      <t xml:space="preserve">名（役員</t>
    </r>
    <r>
      <rPr>
        <sz val="12"/>
        <color theme="1"/>
        <rFont val="游ゴシック"/>
        <family val="3"/>
        <charset val="128"/>
      </rPr>
      <t xml:space="preserve">1</t>
    </r>
    <r>
      <rPr>
        <sz val="12"/>
        <color theme="1"/>
        <rFont val="WenQuanYi Zen Hei"/>
        <family val="2"/>
      </rPr>
      <t xml:space="preserve">名・正社員</t>
    </r>
    <r>
      <rPr>
        <sz val="12"/>
        <color theme="1"/>
        <rFont val="游ゴシック"/>
        <family val="3"/>
        <charset val="128"/>
      </rPr>
      <t xml:space="preserve">18</t>
    </r>
    <r>
      <rPr>
        <sz val="12"/>
        <color theme="1"/>
        <rFont val="WenQuanYi Zen Hei"/>
        <family val="2"/>
      </rPr>
      <t xml:space="preserve">名・パート</t>
    </r>
    <r>
      <rPr>
        <sz val="12"/>
        <color theme="1"/>
        <rFont val="游ゴシック"/>
        <family val="3"/>
        <charset val="128"/>
      </rPr>
      <t xml:space="preserve">1</t>
    </r>
    <r>
      <rPr>
        <sz val="12"/>
        <color theme="1"/>
        <rFont val="WenQuanYi Zen Hei"/>
        <family val="2"/>
      </rPr>
      <t xml:space="preserve">名）　※</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10</t>
    </r>
    <r>
      <rPr>
        <sz val="12"/>
        <color theme="1"/>
        <rFont val="WenQuanYi Zen Hei"/>
        <family val="2"/>
      </rPr>
      <t xml:space="preserve">月時点の社員情報。別途、人材派遣・業務請負を活用</t>
    </r>
  </si>
  <si>
    <t xml:space="preserve">許認可等</t>
  </si>
  <si>
    <r>
      <rPr>
        <sz val="12"/>
        <color theme="1"/>
        <rFont val="WenQuanYi Zen Hei"/>
        <family val="2"/>
      </rPr>
      <t xml:space="preserve">保税蔵置場許可（東京税関長 東関第</t>
    </r>
    <r>
      <rPr>
        <sz val="12"/>
        <color theme="1"/>
        <rFont val="游ゴシック"/>
        <family val="3"/>
        <charset val="128"/>
      </rPr>
      <t xml:space="preserve">395</t>
    </r>
    <r>
      <rPr>
        <sz val="12"/>
        <color theme="1"/>
        <rFont val="WenQuanYi Zen Hei"/>
        <family val="2"/>
      </rPr>
      <t xml:space="preserve">号、許可期間：</t>
    </r>
    <r>
      <rPr>
        <sz val="12"/>
        <color theme="1"/>
        <rFont val="游ゴシック"/>
        <family val="3"/>
        <charset val="128"/>
      </rPr>
      <t xml:space="preserve">2024</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r>
      <rPr>
        <sz val="12"/>
        <color theme="1"/>
        <rFont val="游ゴシック"/>
        <family val="3"/>
        <charset val="128"/>
      </rPr>
      <t xml:space="preserve">24</t>
    </r>
    <r>
      <rPr>
        <sz val="12"/>
        <color theme="1"/>
        <rFont val="WenQuanYi Zen Hei"/>
        <family val="2"/>
      </rPr>
      <t xml:space="preserve">日～</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t>
    </r>
    <r>
      <rPr>
        <sz val="12"/>
        <color theme="1"/>
        <rFont val="游ゴシック"/>
        <family val="3"/>
        <charset val="128"/>
      </rPr>
      <t xml:space="preserve">30</t>
    </r>
    <r>
      <rPr>
        <sz val="12"/>
        <color theme="1"/>
        <rFont val="WenQuanYi Zen Hei"/>
        <family val="2"/>
      </rPr>
      <t xml:space="preserve">日、蔵置貨物：輸出一般貨物・輸出冷凍冷蔵貨物）　※労働者派遣事業・貨物利用運送事業は定款目的に記載あり（許可・登録の有無は要確認）</t>
    </r>
  </si>
  <si>
    <r>
      <rPr>
        <sz val="12"/>
        <color theme="1"/>
        <rFont val="WenQuanYi Zen Hei"/>
        <family val="2"/>
      </rPr>
      <t xml:space="preserve">調整後</t>
    </r>
    <r>
      <rPr>
        <sz val="12"/>
        <color theme="1"/>
        <rFont val="游ゴシック"/>
        <family val="3"/>
        <charset val="128"/>
      </rPr>
      <t xml:space="preserve">EBITDA</t>
    </r>
  </si>
  <si>
    <t xml:space="preserve">譲渡理由</t>
  </si>
  <si>
    <t xml:space="preserve">既存株主の事業からの離脱および代表者の引退に伴う事業承継</t>
  </si>
  <si>
    <t xml:space="preserve">前期比</t>
  </si>
  <si>
    <t xml:space="preserve">利益率</t>
  </si>
  <si>
    <t xml:space="preserve">調整項目 合計</t>
  </si>
  <si>
    <r>
      <rPr>
        <sz val="12"/>
        <color theme="1"/>
        <rFont val="WenQuanYi Zen Hei"/>
        <family val="2"/>
      </rPr>
      <t xml:space="preserve">移転前拠点の二重賃料（</t>
    </r>
    <r>
      <rPr>
        <sz val="12"/>
        <color theme="1"/>
        <rFont val="游ゴシック"/>
        <family val="3"/>
        <charset val="128"/>
      </rPr>
      <t xml:space="preserve">36</t>
    </r>
    <r>
      <rPr>
        <sz val="12"/>
        <color theme="1"/>
        <rFont val="WenQuanYi Zen Hei"/>
        <family val="2"/>
      </rPr>
      <t xml:space="preserve">期）</t>
    </r>
  </si>
  <si>
    <r>
      <rPr>
        <b val="true"/>
        <sz val="12"/>
        <color theme="1"/>
        <rFont val="WenQuanYi Zen Hei"/>
        <family val="2"/>
      </rPr>
      <t xml:space="preserve">調整後</t>
    </r>
    <r>
      <rPr>
        <b val="true"/>
        <sz val="12"/>
        <color theme="1"/>
        <rFont val="游ゴシック"/>
        <family val="3"/>
        <charset val="128"/>
      </rPr>
      <t xml:space="preserve">EBITDA</t>
    </r>
  </si>
  <si>
    <r>
      <rPr>
        <sz val="11"/>
        <color theme="1"/>
        <rFont val="WenQuanYi Zen Hei"/>
        <family val="2"/>
      </rPr>
      <t xml:space="preserve">検算：</t>
    </r>
    <r>
      <rPr>
        <sz val="11"/>
        <color theme="1"/>
        <rFont val="游ゴシック"/>
        <family val="3"/>
        <charset val="128"/>
      </rPr>
      <t xml:space="preserve">EV/EBITDA</t>
    </r>
    <r>
      <rPr>
        <sz val="11"/>
        <color theme="1"/>
        <rFont val="WenQuanYi Zen Hei"/>
        <family val="2"/>
      </rPr>
      <t xml:space="preserve">法の修正後</t>
    </r>
    <r>
      <rPr>
        <sz val="11"/>
        <color theme="1"/>
        <rFont val="游ゴシック"/>
        <family val="3"/>
        <charset val="128"/>
      </rPr>
      <t xml:space="preserve">EBITDA</t>
    </r>
    <r>
      <rPr>
        <sz val="11"/>
        <color theme="1"/>
        <rFont val="WenQuanYi Zen Hei"/>
        <family val="2"/>
      </rPr>
      <t xml:space="preserve">（</t>
    </r>
    <r>
      <rPr>
        <sz val="11"/>
        <color theme="1"/>
        <rFont val="游ゴシック"/>
        <family val="3"/>
        <charset val="128"/>
      </rPr>
      <t xml:space="preserve">3</t>
    </r>
    <r>
      <rPr>
        <sz val="11"/>
        <color theme="1"/>
        <rFont val="WenQuanYi Zen Hei"/>
        <family val="2"/>
      </rPr>
      <t xml:space="preserve">期）</t>
    </r>
  </si>
  <si>
    <t xml:space="preserve">一致チェック</t>
  </si>
  <si>
    <r>
      <rPr>
        <sz val="10"/>
        <rFont val="WenQuanYi Zen Hei"/>
        <family val="2"/>
      </rPr>
      <t xml:space="preserve">※進行期（</t>
    </r>
    <r>
      <rPr>
        <sz val="10"/>
        <rFont val="游ゴシック Medium"/>
        <family val="0"/>
        <charset val="1"/>
      </rPr>
      <t xml:space="preserve">F</t>
    </r>
    <r>
      <rPr>
        <sz val="10"/>
        <rFont val="WenQuanYi Zen Hei"/>
        <family val="2"/>
      </rPr>
      <t xml:space="preserve">列）は</t>
    </r>
    <r>
      <rPr>
        <sz val="10"/>
        <rFont val="游ゴシック Medium"/>
        <family val="0"/>
        <charset val="1"/>
      </rPr>
      <t xml:space="preserve">2026</t>
    </r>
    <r>
      <rPr>
        <sz val="10"/>
        <rFont val="WenQuanYi Zen Hei"/>
        <family val="2"/>
      </rPr>
      <t xml:space="preserve">年</t>
    </r>
    <r>
      <rPr>
        <sz val="10"/>
        <rFont val="游ゴシック Medium"/>
        <family val="0"/>
        <charset val="1"/>
      </rPr>
      <t xml:space="preserve">6</t>
    </r>
    <r>
      <rPr>
        <sz val="10"/>
        <rFont val="WenQuanYi Zen Hei"/>
        <family val="2"/>
      </rPr>
      <t xml:space="preserve">～</t>
    </r>
    <r>
      <rPr>
        <sz val="10"/>
        <rFont val="游ゴシック Medium"/>
        <family val="0"/>
        <charset val="1"/>
      </rPr>
      <t xml:space="preserve">7</t>
    </r>
    <r>
      <rPr>
        <sz val="10"/>
        <rFont val="WenQuanYi Zen Hei"/>
        <family val="2"/>
      </rPr>
      <t xml:space="preserve">月の</t>
    </r>
    <r>
      <rPr>
        <sz val="10"/>
        <rFont val="游ゴシック Medium"/>
        <family val="0"/>
        <charset val="1"/>
      </rPr>
      <t xml:space="preserve">2</t>
    </r>
    <r>
      <rPr>
        <sz val="10"/>
        <rFont val="WenQuanYi Zen Hei"/>
        <family val="2"/>
      </rPr>
      <t xml:space="preserve">か月試算表。調整後</t>
    </r>
    <r>
      <rPr>
        <sz val="10"/>
        <rFont val="游ゴシック Medium"/>
        <family val="0"/>
        <charset val="1"/>
      </rPr>
      <t xml:space="preserve">EBITDA</t>
    </r>
    <r>
      <rPr>
        <sz val="10"/>
        <rFont val="WenQuanYi Zen Hei"/>
        <family val="2"/>
      </rPr>
      <t xml:space="preserve">＝営業利益＋減価償却費（販管費＋製造原価）＋調整項目。評価書の修正後</t>
    </r>
    <r>
      <rPr>
        <sz val="10"/>
        <rFont val="游ゴシック Medium"/>
        <family val="0"/>
        <charset val="1"/>
      </rPr>
      <t xml:space="preserve">EBITDA</t>
    </r>
    <r>
      <rPr>
        <sz val="10"/>
        <rFont val="WenQuanYi Zen Hei"/>
        <family val="2"/>
      </rPr>
      <t xml:space="preserve">と同一方針。</t>
    </r>
  </si>
  <si>
    <t xml:space="preserve">流動資産</t>
  </si>
  <si>
    <t xml:space="preserve">流動負債</t>
  </si>
  <si>
    <t xml:space="preserve">現預金</t>
  </si>
  <si>
    <t xml:space="preserve">固定資産</t>
  </si>
  <si>
    <t xml:space="preserve">固定負債</t>
  </si>
  <si>
    <t xml:space="preserve">機械装置・車両・器具備品</t>
  </si>
  <si>
    <t xml:space="preserve">建物・構築物</t>
  </si>
  <si>
    <t xml:space="preserve">長期前払費用</t>
  </si>
  <si>
    <t xml:space="preserve">利益剰余金</t>
  </si>
  <si>
    <t xml:space="preserve">得意先</t>
  </si>
  <si>
    <t xml:space="preserve">取引内容</t>
  </si>
  <si>
    <t xml:space="preserve">業種等</t>
  </si>
  <si>
    <r>
      <rPr>
        <b val="true"/>
        <sz val="12"/>
        <color theme="0"/>
        <rFont val="游ゴシック"/>
        <family val="3"/>
        <charset val="128"/>
      </rPr>
      <t xml:space="preserve">27</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r>
      <rPr>
        <b val="true"/>
        <sz val="12"/>
        <color theme="0"/>
        <rFont val="游ゴシック"/>
        <family val="3"/>
        <charset val="128"/>
      </rPr>
      <t xml:space="preserve">
</t>
    </r>
    <r>
      <rPr>
        <b val="true"/>
        <sz val="12"/>
        <color theme="0"/>
        <rFont val="WenQuanYi Zen Hei"/>
        <family val="2"/>
      </rPr>
      <t xml:space="preserve">進行期（</t>
    </r>
    <r>
      <rPr>
        <b val="true"/>
        <sz val="12"/>
        <color theme="0"/>
        <rFont val="游ゴシック"/>
        <family val="3"/>
        <charset val="128"/>
      </rPr>
      <t xml:space="preserve">6</t>
    </r>
    <r>
      <rPr>
        <b val="true"/>
        <sz val="12"/>
        <color theme="0"/>
        <rFont val="WenQuanYi Zen Hei"/>
        <family val="2"/>
      </rPr>
      <t xml:space="preserve">～</t>
    </r>
    <r>
      <rPr>
        <b val="true"/>
        <sz val="12"/>
        <color theme="0"/>
        <rFont val="游ゴシック"/>
        <family val="3"/>
        <charset val="128"/>
      </rPr>
      <t xml:space="preserve">8</t>
    </r>
    <r>
      <rPr>
        <b val="true"/>
        <sz val="12"/>
        <color theme="0"/>
        <rFont val="WenQuanYi Zen Hei"/>
        <family val="2"/>
      </rPr>
      <t xml:space="preserve">月）</t>
    </r>
  </si>
  <si>
    <t xml:space="preserve">構成比</t>
  </si>
  <si>
    <t xml:space="preserve">顧客倉庫内での構内梱包・梱包資材</t>
  </si>
  <si>
    <t xml:space="preserve">茨城県神栖市</t>
  </si>
  <si>
    <t xml:space="preserve">運送・倉庫業</t>
  </si>
  <si>
    <t xml:space="preserve">丸全昭和運輸㈱倉庫内の梱包作業（外注先と共同）</t>
  </si>
  <si>
    <t xml:space="preserve">輸出航空貨物の梱包・梱包資材</t>
  </si>
  <si>
    <t xml:space="preserve">千葉県習志野市</t>
  </si>
  <si>
    <t xml:space="preserve">航空貨物代理店</t>
  </si>
  <si>
    <t xml:space="preserve">本社倉庫の転貸人でもある</t>
  </si>
  <si>
    <t xml:space="preserve">梱包・保税取扱・爆発物検査・事務作業受託</t>
  </si>
  <si>
    <t xml:space="preserve">東京都墨田区</t>
  </si>
  <si>
    <t xml:space="preserve">フォワーダー</t>
  </si>
  <si>
    <r>
      <rPr>
        <sz val="12"/>
        <color theme="1"/>
        <rFont val="游ゴシック"/>
        <family val="3"/>
        <charset val="128"/>
      </rPr>
      <t xml:space="preserve">2022</t>
    </r>
    <r>
      <rPr>
        <sz val="12"/>
        <color theme="1"/>
        <rFont val="WenQuanYi Zen Hei"/>
        <family val="2"/>
      </rPr>
      <t xml:space="preserve">年</t>
    </r>
    <r>
      <rPr>
        <sz val="12"/>
        <color theme="1"/>
        <rFont val="游ゴシック"/>
        <family val="3"/>
        <charset val="128"/>
      </rPr>
      <t xml:space="preserve">9</t>
    </r>
    <r>
      <rPr>
        <sz val="12"/>
        <color theme="1"/>
        <rFont val="WenQuanYi Zen Hei"/>
        <family val="2"/>
      </rPr>
      <t xml:space="preserve">月基本契約。</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6</t>
    </r>
    <r>
      <rPr>
        <sz val="12"/>
        <color theme="1"/>
        <rFont val="WenQuanYi Zen Hei"/>
        <family val="2"/>
      </rPr>
      <t xml:space="preserve">月より新千歳で事務作業受託</t>
    </r>
  </si>
  <si>
    <t xml:space="preserve">工場構内での梱包（つくば事業所）</t>
  </si>
  <si>
    <t xml:space="preserve">茨城県稲敷市</t>
  </si>
  <si>
    <t xml:space="preserve">電子部品メーカー</t>
  </si>
  <si>
    <t xml:space="preserve">構内請負</t>
  </si>
  <si>
    <t xml:space="preserve">保税取扱・爆発物検査・ラベリング等</t>
  </si>
  <si>
    <t xml:space="preserve">大阪府大阪市</t>
  </si>
  <si>
    <t xml:space="preserve">総合物流</t>
  </si>
  <si>
    <t xml:space="preserve">国際空港上屋㈱</t>
  </si>
  <si>
    <t xml:space="preserve">業務請負（作業・清掃等）</t>
  </si>
  <si>
    <t xml:space="preserve">千葉県成田市</t>
  </si>
  <si>
    <t xml:space="preserve">空港上屋</t>
  </si>
  <si>
    <t xml:space="preserve">マルシン商事</t>
  </si>
  <si>
    <t xml:space="preserve">梱包</t>
  </si>
  <si>
    <t xml:space="preserve">要確認</t>
  </si>
  <si>
    <t xml:space="preserve">㈲宮崎商会</t>
  </si>
  <si>
    <t xml:space="preserve">千葉県四街道市</t>
  </si>
  <si>
    <t xml:space="preserve">梱包資材</t>
  </si>
  <si>
    <t xml:space="preserve">主要仕入先でもある</t>
  </si>
  <si>
    <t xml:space="preserve">ハッピーカーゴ</t>
  </si>
  <si>
    <t xml:space="preserve">保税取扱・爆発物検査・機材保管</t>
  </si>
  <si>
    <t xml:space="preserve">㈱ホンダロジスティクス</t>
  </si>
  <si>
    <t xml:space="preserve">梱包・保税取扱・賃貸</t>
  </si>
  <si>
    <t xml:space="preserve">栃木県芳賀郡</t>
  </si>
  <si>
    <t xml:space="preserve">物流</t>
  </si>
  <si>
    <r>
      <rPr>
        <sz val="12"/>
        <color theme="1"/>
        <rFont val="WenQuanYi Zen Hei"/>
        <family val="2"/>
      </rPr>
      <t xml:space="preserve">旧拠点の家主。拠点移転に伴い</t>
    </r>
    <r>
      <rPr>
        <sz val="12"/>
        <color theme="1"/>
        <rFont val="游ゴシック"/>
        <family val="3"/>
        <charset val="128"/>
      </rPr>
      <t xml:space="preserve">36</t>
    </r>
    <r>
      <rPr>
        <sz val="12"/>
        <color theme="1"/>
        <rFont val="WenQuanYi Zen Hei"/>
        <family val="2"/>
      </rPr>
      <t xml:space="preserve">期で取引終了</t>
    </r>
  </si>
  <si>
    <r>
      <rPr>
        <sz val="12"/>
        <color theme="1"/>
        <rFont val="WenQuanYi Zen Hei"/>
        <family val="2"/>
      </rPr>
      <t xml:space="preserve">その他（</t>
    </r>
    <r>
      <rPr>
        <sz val="12"/>
        <color theme="1"/>
        <rFont val="游ゴシック"/>
        <family val="3"/>
        <charset val="128"/>
      </rPr>
      <t xml:space="preserve">6</t>
    </r>
    <r>
      <rPr>
        <sz val="12"/>
        <color theme="1"/>
        <rFont val="WenQuanYi Zen Hei"/>
        <family val="2"/>
      </rPr>
      <t xml:space="preserve">～</t>
    </r>
    <r>
      <rPr>
        <sz val="12"/>
        <color theme="1"/>
        <rFont val="游ゴシック"/>
        <family val="3"/>
        <charset val="128"/>
      </rPr>
      <t xml:space="preserve">8</t>
    </r>
    <r>
      <rPr>
        <sz val="12"/>
        <color theme="1"/>
        <rFont val="WenQuanYi Zen Hei"/>
        <family val="2"/>
      </rPr>
      <t xml:space="preserve">社）</t>
    </r>
  </si>
  <si>
    <r>
      <rPr>
        <sz val="10"/>
        <rFont val="WenQuanYi Zen Hei"/>
        <family val="2"/>
      </rPr>
      <t xml:space="preserve">※総勘定元帳（成田・つくば）の売上計上額を取引先別に集計。</t>
    </r>
    <r>
      <rPr>
        <sz val="10"/>
        <rFont val="游ゴシック Medium"/>
        <family val="0"/>
        <charset val="1"/>
      </rPr>
      <t xml:space="preserve">35</t>
    </r>
    <r>
      <rPr>
        <sz val="10"/>
        <rFont val="WenQuanYi Zen Hei"/>
        <family val="2"/>
      </rPr>
      <t xml:space="preserve">期は元帳未受領のため期末売掛金残高のみ判明（</t>
    </r>
    <r>
      <rPr>
        <sz val="10"/>
        <rFont val="游ゴシック Medium"/>
        <family val="0"/>
        <charset val="1"/>
      </rPr>
      <t xml:space="preserve">Littelfuse 8,135</t>
    </r>
    <r>
      <rPr>
        <sz val="10"/>
        <rFont val="WenQuanYi Zen Hei"/>
        <family val="2"/>
      </rPr>
      <t xml:space="preserve">千円、三徳運輸</t>
    </r>
    <r>
      <rPr>
        <sz val="10"/>
        <rFont val="游ゴシック Medium"/>
        <family val="0"/>
        <charset val="1"/>
      </rPr>
      <t xml:space="preserve">5,321</t>
    </r>
    <r>
      <rPr>
        <sz val="10"/>
        <rFont val="WenQuanYi Zen Hei"/>
        <family val="2"/>
      </rPr>
      <t xml:space="preserve">千円、ホンダロジ</t>
    </r>
    <r>
      <rPr>
        <sz val="10"/>
        <rFont val="游ゴシック Medium"/>
        <family val="0"/>
        <charset val="1"/>
      </rPr>
      <t xml:space="preserve">4,824</t>
    </r>
    <r>
      <rPr>
        <sz val="10"/>
        <rFont val="WenQuanYi Zen Hei"/>
        <family val="2"/>
      </rPr>
      <t xml:space="preserve">千円、航空集配</t>
    </r>
    <r>
      <rPr>
        <sz val="10"/>
        <rFont val="游ゴシック Medium"/>
        <family val="0"/>
        <charset val="1"/>
      </rPr>
      <t xml:space="preserve">3,881</t>
    </r>
    <r>
      <rPr>
        <sz val="10"/>
        <rFont val="WenQuanYi Zen Hei"/>
        <family val="2"/>
      </rPr>
      <t xml:space="preserve">千円、</t>
    </r>
    <r>
      <rPr>
        <sz val="10"/>
        <rFont val="游ゴシック Medium"/>
        <family val="0"/>
        <charset val="1"/>
      </rPr>
      <t xml:space="preserve">DHL3,794</t>
    </r>
    <r>
      <rPr>
        <sz val="10"/>
        <rFont val="WenQuanYi Zen Hei"/>
        <family val="2"/>
      </rPr>
      <t xml:space="preserve">千円、鴻池</t>
    </r>
    <r>
      <rPr>
        <sz val="10"/>
        <rFont val="游ゴシック Medium"/>
        <family val="0"/>
        <charset val="1"/>
      </rPr>
      <t xml:space="preserve">1,499</t>
    </r>
    <r>
      <rPr>
        <sz val="10"/>
        <rFont val="WenQuanYi Zen Hei"/>
        <family val="2"/>
      </rPr>
      <t xml:space="preserve">千円）。</t>
    </r>
  </si>
  <si>
    <t xml:space="preserve">仕入先</t>
  </si>
  <si>
    <t xml:space="preserve">仕入内容</t>
  </si>
  <si>
    <t xml:space="preserve">仕入高</t>
  </si>
  <si>
    <t xml:space="preserve">梱包資材（木材・パレット等）</t>
  </si>
  <si>
    <t xml:space="preserve">山田ダンボール㈱</t>
  </si>
  <si>
    <t xml:space="preserve">段ボール</t>
  </si>
  <si>
    <t xml:space="preserve">東京都中央区</t>
  </si>
  <si>
    <t xml:space="preserve">㈱ユーエムパッケージ</t>
  </si>
  <si>
    <t xml:space="preserve">神奈川県海老名市</t>
  </si>
  <si>
    <t xml:space="preserve">成田ドライアイス㈱</t>
  </si>
  <si>
    <t xml:space="preserve">ドライアイス（保冷梱包）</t>
  </si>
  <si>
    <t xml:space="preserve">千葉県山武郡芝山町</t>
  </si>
  <si>
    <r>
      <rPr>
        <sz val="12"/>
        <color theme="1"/>
        <rFont val="游ゴシック"/>
        <family val="3"/>
        <charset val="128"/>
      </rPr>
      <t xml:space="preserve">UN</t>
    </r>
    <r>
      <rPr>
        <sz val="12"/>
        <color theme="1"/>
        <rFont val="WenQuanYi Zen Hei"/>
        <family val="2"/>
      </rPr>
      <t xml:space="preserve">パック・ジャパン㈱</t>
    </r>
  </si>
  <si>
    <t xml:space="preserve">千葉県千葉市緑区</t>
  </si>
  <si>
    <t xml:space="preserve">販売先でもある</t>
  </si>
  <si>
    <t xml:space="preserve">山一産業</t>
  </si>
  <si>
    <r>
      <rPr>
        <sz val="12"/>
        <color theme="1"/>
        <rFont val="WenQuanYi Zen Hei"/>
        <family val="2"/>
      </rPr>
      <t xml:space="preserve">トヨタ</t>
    </r>
    <r>
      <rPr>
        <sz val="12"/>
        <color theme="1"/>
        <rFont val="游ゴシック"/>
        <family val="3"/>
        <charset val="128"/>
      </rPr>
      <t xml:space="preserve">L&amp;F</t>
    </r>
  </si>
  <si>
    <t xml:space="preserve">フォークリフト関連</t>
  </si>
  <si>
    <t xml:space="preserve">別途レンタル料（賃借料）あり</t>
  </si>
  <si>
    <t xml:space="preserve">タニックス</t>
  </si>
  <si>
    <t xml:space="preserve">ヨコハマ機工㈱</t>
  </si>
  <si>
    <t xml:space="preserve">梱包資材（釘・金具等）</t>
  </si>
  <si>
    <t xml:space="preserve">神奈川県横浜市</t>
  </si>
  <si>
    <t xml:space="preserve">三甲㈱</t>
  </si>
  <si>
    <t xml:space="preserve">プラスチックパレット</t>
  </si>
  <si>
    <t xml:space="preserve">※総勘定元帳の原材料仕入高（成田・つくば）を仕入先別に集計（税抜）。</t>
  </si>
  <si>
    <t xml:space="preserve">外注先</t>
  </si>
  <si>
    <t xml:space="preserve">外注内容</t>
  </si>
  <si>
    <t xml:space="preserve">グローバル人材バンク合同会社</t>
  </si>
  <si>
    <r>
      <rPr>
        <sz val="12"/>
        <color theme="1"/>
        <rFont val="游ゴシック"/>
        <family val="3"/>
        <charset val="128"/>
      </rPr>
      <t xml:space="preserve">DHL</t>
    </r>
    <r>
      <rPr>
        <sz val="12"/>
        <color theme="1"/>
        <rFont val="WenQuanYi Zen Hei"/>
        <family val="2"/>
      </rPr>
      <t xml:space="preserve">向け業務請負の人員</t>
    </r>
  </si>
  <si>
    <t xml:space="preserve">東京都荒川区</t>
  </si>
  <si>
    <t xml:space="preserve">人材サービス</t>
  </si>
  <si>
    <r>
      <rPr>
        <sz val="12"/>
        <color theme="1"/>
        <rFont val="游ゴシック"/>
        <family val="3"/>
        <charset val="128"/>
      </rPr>
      <t xml:space="preserve">DHL</t>
    </r>
    <r>
      <rPr>
        <sz val="12"/>
        <color theme="1"/>
        <rFont val="WenQuanYi Zen Hei"/>
        <family val="2"/>
      </rPr>
      <t xml:space="preserve">新千歳の事務作業受託等に対応</t>
    </r>
  </si>
  <si>
    <t xml:space="preserve">㈲ベルパック</t>
  </si>
  <si>
    <t xml:space="preserve">丸全倉庫内での梱包</t>
  </si>
  <si>
    <t xml:space="preserve">東京都品川区</t>
  </si>
  <si>
    <t xml:space="preserve">梱包業</t>
  </si>
  <si>
    <t xml:space="preserve">印東木材㈱</t>
  </si>
  <si>
    <t xml:space="preserve">成田でのパレット作成等</t>
  </si>
  <si>
    <t xml:space="preserve">木材加工</t>
  </si>
  <si>
    <t xml:space="preserve">主要販売先でもある</t>
  </si>
  <si>
    <t xml:space="preserve">㈱アイ・ポート（アイプラス）</t>
  </si>
  <si>
    <t xml:space="preserve">人材派遣</t>
  </si>
  <si>
    <t xml:space="preserve">千葉県富里市</t>
  </si>
  <si>
    <t xml:space="preserve">花岡（個人）</t>
  </si>
  <si>
    <t xml:space="preserve">保税関係業務顧問</t>
  </si>
  <si>
    <t xml:space="preserve">保税顧問</t>
  </si>
  <si>
    <r>
      <rPr>
        <sz val="12"/>
        <color theme="1"/>
        <rFont val="WenQuanYi Zen Hei"/>
        <family val="2"/>
      </rPr>
      <t xml:space="preserve">月額約</t>
    </r>
    <r>
      <rPr>
        <sz val="12"/>
        <color theme="1"/>
        <rFont val="游ゴシック"/>
        <family val="3"/>
        <charset val="128"/>
      </rPr>
      <t xml:space="preserve">93</t>
    </r>
    <r>
      <rPr>
        <sz val="12"/>
        <color theme="1"/>
        <rFont val="WenQuanYi Zen Hei"/>
        <family val="2"/>
      </rPr>
      <t xml:space="preserve">千円</t>
    </r>
  </si>
  <si>
    <t xml:space="preserve">㈱龍原</t>
  </si>
  <si>
    <t xml:space="preserve">梱包作業</t>
  </si>
  <si>
    <r>
      <rPr>
        <sz val="12"/>
        <color theme="1"/>
        <rFont val="游ゴシック"/>
        <family val="3"/>
        <charset val="128"/>
      </rPr>
      <t xml:space="preserve">36</t>
    </r>
    <r>
      <rPr>
        <sz val="12"/>
        <color theme="1"/>
        <rFont val="WenQuanYi Zen Hei"/>
        <family val="2"/>
      </rPr>
      <t xml:space="preserve">期のみ</t>
    </r>
  </si>
  <si>
    <t xml:space="preserve">ユアーズジャパン㈱</t>
  </si>
  <si>
    <t xml:space="preserve">※総勘定元帳の外注費を外注先別に集計（税抜）。</t>
  </si>
  <si>
    <t xml:space="preserve">役職</t>
  </si>
  <si>
    <r>
      <rPr>
        <b val="true"/>
        <sz val="12"/>
        <color theme="0"/>
        <rFont val="WenQuanYi Zen Hei"/>
        <family val="2"/>
      </rPr>
      <t xml:space="preserve">役員報酬
（</t>
    </r>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</si>
  <si>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t xml:space="preserve">保有株式数</t>
  </si>
  <si>
    <t xml:space="preserve">保有割合</t>
  </si>
  <si>
    <t xml:space="preserve">高塚　慎吾</t>
  </si>
  <si>
    <t xml:space="preserve">－（非役員）</t>
  </si>
  <si>
    <t xml:space="preserve">香取市在住</t>
  </si>
  <si>
    <t xml:space="preserve">高塚　とく江</t>
  </si>
  <si>
    <t xml:space="preserve">高塚慎吾氏の配偶者</t>
  </si>
  <si>
    <t xml:space="preserve">※法人税申告書別表二（同族会社等の判定）による。株主名簿は要受領。</t>
  </si>
  <si>
    <t xml:space="preserve">代表者との関係</t>
  </si>
  <si>
    <t xml:space="preserve">業務範囲</t>
  </si>
  <si>
    <t xml:space="preserve">庄司　和夫</t>
  </si>
  <si>
    <t xml:space="preserve">代表取締役</t>
  </si>
  <si>
    <t xml:space="preserve">本人</t>
  </si>
  <si>
    <t xml:space="preserve">経営全般</t>
  </si>
  <si>
    <r>
      <rPr>
        <sz val="12"/>
        <color theme="1"/>
        <rFont val="游ゴシック"/>
        <family val="3"/>
        <charset val="128"/>
      </rPr>
      <t xml:space="preserve">2019</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月就任。引退予定（引継期間は限定的に対応）。金融機関借入の連帯保証人</t>
    </r>
  </si>
  <si>
    <r>
      <rPr>
        <sz val="10"/>
        <rFont val="WenQuanYi Zen Hei"/>
        <family val="2"/>
      </rPr>
      <t xml:space="preserve">※取締役は</t>
    </r>
    <r>
      <rPr>
        <sz val="10"/>
        <rFont val="游ゴシック Medium"/>
        <family val="0"/>
        <charset val="1"/>
      </rPr>
      <t xml:space="preserve">1</t>
    </r>
    <r>
      <rPr>
        <sz val="10"/>
        <rFont val="WenQuanYi Zen Hei"/>
        <family val="2"/>
      </rPr>
      <t xml:space="preserve">名（監査役なし）。</t>
    </r>
    <r>
      <rPr>
        <sz val="10"/>
        <rFont val="游ゴシック Medium"/>
        <family val="0"/>
        <charset val="1"/>
      </rPr>
      <t xml:space="preserve">2024</t>
    </r>
    <r>
      <rPr>
        <sz val="10"/>
        <rFont val="WenQuanYi Zen Hei"/>
        <family val="2"/>
      </rPr>
      <t xml:space="preserve">年</t>
    </r>
    <r>
      <rPr>
        <sz val="10"/>
        <rFont val="游ゴシック Medium"/>
        <family val="0"/>
        <charset val="1"/>
      </rPr>
      <t xml:space="preserve">8</t>
    </r>
    <r>
      <rPr>
        <sz val="10"/>
        <rFont val="WenQuanYi Zen Hei"/>
        <family val="2"/>
      </rPr>
      <t xml:space="preserve">月の本店移転に伴い重任登記。</t>
    </r>
  </si>
  <si>
    <t xml:space="preserve">基準日→適宜変更</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</si>
  <si>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</si>
  <si>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</si>
  <si>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</si>
  <si>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</si>
  <si>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</si>
  <si>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</si>
  <si>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</si>
  <si>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</si>
  <si>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</si>
  <si>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r>
      <rPr>
        <b val="true"/>
        <sz val="12"/>
        <color theme="0"/>
        <rFont val="WenQuanYi Zen Hei"/>
        <family val="2"/>
      </rPr>
      <t xml:space="preserve">月額給与</t>
    </r>
    <r>
      <rPr>
        <b val="true"/>
        <sz val="12"/>
        <color theme="0"/>
        <rFont val="游ゴシック"/>
        <family val="3"/>
        <charset val="128"/>
      </rPr>
      <t xml:space="preserve">
</t>
    </r>
    <r>
      <rPr>
        <b val="true"/>
        <sz val="12"/>
        <color theme="0"/>
        <rFont val="WenQuanYi Zen Hei"/>
        <family val="2"/>
      </rPr>
      <t xml:space="preserve">（基本給＋諸手当）</t>
    </r>
  </si>
  <si>
    <t xml:space="preserve">S.K</t>
  </si>
  <si>
    <t xml:space="preserve">役員</t>
  </si>
  <si>
    <t xml:space="preserve">男</t>
  </si>
  <si>
    <t xml:space="preserve">成田</t>
  </si>
  <si>
    <t xml:space="preserve">代表取締役（社員情報上は正社員区分）</t>
  </si>
  <si>
    <t xml:space="preserve">金子　芳則</t>
  </si>
  <si>
    <t xml:space="preserve">K.Y</t>
  </si>
  <si>
    <t xml:space="preserve">正社員</t>
  </si>
  <si>
    <t xml:space="preserve">部長</t>
  </si>
  <si>
    <r>
      <rPr>
        <sz val="9"/>
        <color theme="1"/>
        <rFont val="WenQuanYi Zen Hei"/>
        <family val="2"/>
      </rPr>
      <t xml:space="preserve">業務全般の取仕切り／フォークリフト／</t>
    </r>
    <r>
      <rPr>
        <sz val="9"/>
        <color theme="1"/>
        <rFont val="游ゴシック Medium"/>
        <family val="3"/>
        <charset val="128"/>
      </rPr>
      <t xml:space="preserve">DHL</t>
    </r>
    <r>
      <rPr>
        <sz val="9"/>
        <color theme="1"/>
        <rFont val="WenQuanYi Zen Hei"/>
        <family val="2"/>
      </rPr>
      <t xml:space="preserve">新千歳業務の管理責任者</t>
    </r>
  </si>
  <si>
    <t xml:space="preserve">猪狩　浩治</t>
  </si>
  <si>
    <t xml:space="preserve">I.K</t>
  </si>
  <si>
    <t xml:space="preserve">丸全昭和運輸倉庫内での梱包・事務／フォークリフト</t>
  </si>
  <si>
    <t xml:space="preserve">鴨下　義文</t>
  </si>
  <si>
    <t xml:space="preserve">係長</t>
  </si>
  <si>
    <t xml:space="preserve">梱包業務／フォークリフト</t>
  </si>
  <si>
    <t xml:space="preserve">金田　順子</t>
  </si>
  <si>
    <t xml:space="preserve">K.J</t>
  </si>
  <si>
    <t xml:space="preserve">女</t>
  </si>
  <si>
    <r>
      <rPr>
        <sz val="9"/>
        <color theme="1"/>
        <rFont val="WenQuanYi Zen Hei"/>
        <family val="2"/>
      </rPr>
      <t xml:space="preserve">総務経理（つくば分</t>
    </r>
    <r>
      <rPr>
        <sz val="9"/>
        <color theme="1"/>
        <rFont val="游ゴシック Medium"/>
        <family val="3"/>
        <charset val="128"/>
      </rPr>
      <t xml:space="preserve">30</t>
    </r>
    <r>
      <rPr>
        <sz val="9"/>
        <color theme="1"/>
        <rFont val="WenQuanYi Zen Hei"/>
        <family val="2"/>
      </rPr>
      <t xml:space="preserve">千円含む）／簿記</t>
    </r>
    <r>
      <rPr>
        <sz val="9"/>
        <color theme="1"/>
        <rFont val="游ゴシック Medium"/>
        <family val="3"/>
        <charset val="128"/>
      </rPr>
      <t xml:space="preserve">2</t>
    </r>
    <r>
      <rPr>
        <sz val="9"/>
        <color theme="1"/>
        <rFont val="WenQuanYi Zen Hei"/>
        <family val="2"/>
      </rPr>
      <t xml:space="preserve">級</t>
    </r>
  </si>
  <si>
    <t xml:space="preserve">宮内　勇太</t>
  </si>
  <si>
    <t xml:space="preserve">M.Y</t>
  </si>
  <si>
    <t xml:space="preserve">嘉瀨　行紀</t>
  </si>
  <si>
    <t xml:space="preserve">課長</t>
  </si>
  <si>
    <t xml:space="preserve">梱包業務一式・現場取仕切り／フォークリフト</t>
  </si>
  <si>
    <t xml:space="preserve">関口　良司</t>
  </si>
  <si>
    <t xml:space="preserve">S.R</t>
  </si>
  <si>
    <t xml:space="preserve">梱包業務一式・梱包責任者／フォークリフト</t>
  </si>
  <si>
    <t xml:space="preserve">後藤　泰彦</t>
  </si>
  <si>
    <t xml:space="preserve">G.Y</t>
  </si>
  <si>
    <r>
      <rPr>
        <sz val="9"/>
        <color theme="1"/>
        <rFont val="游ゴシック Medium"/>
        <family val="3"/>
        <charset val="128"/>
      </rPr>
      <t xml:space="preserve">NACCS</t>
    </r>
    <r>
      <rPr>
        <sz val="9"/>
        <color theme="1"/>
        <rFont val="WenQuanYi Zen Hei"/>
        <family val="2"/>
      </rPr>
      <t xml:space="preserve">（保税）・梱包業務／フォークリフト</t>
    </r>
  </si>
  <si>
    <t xml:space="preserve">東嶋　一成</t>
  </si>
  <si>
    <t xml:space="preserve">H.K</t>
  </si>
  <si>
    <t xml:space="preserve">木内　光江</t>
  </si>
  <si>
    <t xml:space="preserve">K.M</t>
  </si>
  <si>
    <t xml:space="preserve">パート</t>
  </si>
  <si>
    <r>
      <rPr>
        <sz val="9"/>
        <color theme="1"/>
        <rFont val="WenQuanYi Zen Hei"/>
        <family val="2"/>
      </rPr>
      <t xml:space="preserve">週</t>
    </r>
    <r>
      <rPr>
        <sz val="9"/>
        <color theme="1"/>
        <rFont val="游ゴシック Medium"/>
        <family val="3"/>
        <charset val="128"/>
      </rPr>
      <t xml:space="preserve">2</t>
    </r>
    <r>
      <rPr>
        <sz val="9"/>
        <color theme="1"/>
        <rFont val="WenQuanYi Zen Hei"/>
        <family val="2"/>
      </rPr>
      <t xml:space="preserve">日・見積業務（時給</t>
    </r>
    <r>
      <rPr>
        <sz val="9"/>
        <color theme="1"/>
        <rFont val="游ゴシック Medium"/>
        <family val="3"/>
        <charset val="128"/>
      </rPr>
      <t xml:space="preserve">1,200</t>
    </r>
    <r>
      <rPr>
        <sz val="9"/>
        <color theme="1"/>
        <rFont val="WenQuanYi Zen Hei"/>
        <family val="2"/>
      </rPr>
      <t xml:space="preserve">円）</t>
    </r>
  </si>
  <si>
    <t xml:space="preserve">市川　顯久</t>
  </si>
  <si>
    <t xml:space="preserve">I.A</t>
  </si>
  <si>
    <t xml:space="preserve">つくば</t>
  </si>
  <si>
    <r>
      <rPr>
        <sz val="9"/>
        <color theme="1"/>
        <rFont val="WenQuanYi Zen Hei"/>
        <family val="2"/>
      </rPr>
      <t xml:space="preserve">構内梱包（役職手当</t>
    </r>
    <r>
      <rPr>
        <sz val="9"/>
        <color theme="1"/>
        <rFont val="游ゴシック Medium"/>
        <family val="3"/>
        <charset val="128"/>
      </rPr>
      <t xml:space="preserve">100</t>
    </r>
    <r>
      <rPr>
        <sz val="9"/>
        <color theme="1"/>
        <rFont val="WenQuanYi Zen Hei"/>
        <family val="2"/>
      </rPr>
      <t xml:space="preserve">千円）</t>
    </r>
  </si>
  <si>
    <t xml:space="preserve">鷲見　祐子</t>
  </si>
  <si>
    <t xml:space="preserve">W.Y</t>
  </si>
  <si>
    <t xml:space="preserve">構内梱包</t>
  </si>
  <si>
    <t xml:space="preserve">大橋　美幸</t>
  </si>
  <si>
    <t xml:space="preserve">O.Y</t>
  </si>
  <si>
    <t xml:space="preserve">五喜田　聡子</t>
  </si>
  <si>
    <t xml:space="preserve">G.S</t>
  </si>
  <si>
    <t xml:space="preserve">坂本　真人</t>
  </si>
  <si>
    <t xml:space="preserve">S.M</t>
  </si>
  <si>
    <t xml:space="preserve">杉田　周介</t>
  </si>
  <si>
    <t xml:space="preserve">S.S</t>
  </si>
  <si>
    <t xml:space="preserve">林　克彦</t>
  </si>
  <si>
    <t xml:space="preserve">墳﨑　知美</t>
  </si>
  <si>
    <t xml:space="preserve">T.T</t>
  </si>
  <si>
    <t xml:space="preserve">小澤　年哉</t>
  </si>
  <si>
    <t xml:space="preserve">O.T</t>
  </si>
  <si>
    <t xml:space="preserve">平均年齢</t>
  </si>
  <si>
    <t xml:space="preserve">平均勤続</t>
  </si>
  <si>
    <r>
      <rPr>
        <sz val="10"/>
        <rFont val="游ゴシック Medium"/>
        <family val="0"/>
        <charset val="1"/>
      </rPr>
      <t xml:space="preserve">※2026</t>
    </r>
    <r>
      <rPr>
        <sz val="10"/>
        <rFont val="WenQuanYi Zen Hei"/>
        <family val="2"/>
      </rPr>
      <t xml:space="preserve">年</t>
    </r>
    <r>
      <rPr>
        <sz val="10"/>
        <rFont val="游ゴシック Medium"/>
        <family val="0"/>
        <charset val="1"/>
      </rPr>
      <t xml:space="preserve">10</t>
    </r>
    <r>
      <rPr>
        <sz val="10"/>
        <rFont val="WenQuanYi Zen Hei"/>
        <family val="2"/>
      </rPr>
      <t xml:space="preserve">月受領の社員情報（成田・つくば）より。月額給与は基本給＋諸手当（時間外・賞与除く）。役員以外はイニシャル表記で概要書に転記。</t>
    </r>
  </si>
  <si>
    <t xml:space="preserve">契約形態</t>
  </si>
  <si>
    <r>
      <rPr>
        <b val="true"/>
        <sz val="12"/>
        <color theme="0"/>
        <rFont val="WenQuanYi Zen Hei"/>
        <family val="2"/>
      </rPr>
      <t xml:space="preserve">延床面積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</si>
  <si>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r>
      <rPr>
        <b val="true"/>
        <sz val="12"/>
        <color theme="0"/>
        <rFont val="WenQuanYi Zen Hei"/>
        <family val="2"/>
      </rPr>
      <t xml:space="preserve">月間賃料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</si>
  <si>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r>
      <rPr>
        <b val="true"/>
        <sz val="12"/>
        <color theme="0"/>
        <rFont val="WenQuanYi Zen Hei"/>
        <family val="2"/>
      </rPr>
      <t xml:space="preserve">敷金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</si>
  <si>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アクセス</t>
  </si>
  <si>
    <r>
      <rPr>
        <sz val="12"/>
        <color theme="1"/>
        <rFont val="WenQuanYi Zen Hei"/>
        <family val="2"/>
      </rPr>
      <t xml:space="preserve">千葉県山武郡芝山町岩山</t>
    </r>
    <r>
      <rPr>
        <sz val="12"/>
        <color theme="1"/>
        <rFont val="游ゴシック"/>
        <family val="3"/>
        <charset val="128"/>
      </rPr>
      <t xml:space="preserve">148-15
</t>
    </r>
    <r>
      <rPr>
        <sz val="12"/>
        <color theme="1"/>
        <rFont val="WenQuanYi Zen Hei"/>
        <family val="2"/>
      </rPr>
      <t xml:space="preserve">成田エアポート物流ビジネスセンター（本社・成田事業所）</t>
    </r>
  </si>
  <si>
    <r>
      <rPr>
        <sz val="12"/>
        <color theme="1"/>
        <rFont val="WenQuanYi Zen Hei"/>
        <family val="2"/>
      </rPr>
      <t xml:space="preserve">定期建物転貸借
（</t>
    </r>
    <r>
      <rPr>
        <sz val="12"/>
        <color theme="1"/>
        <rFont val="游ゴシック"/>
        <family val="3"/>
        <charset val="128"/>
      </rPr>
      <t xml:space="preserve">2026/5/1</t>
    </r>
    <r>
      <rPr>
        <sz val="12"/>
        <color theme="1"/>
        <rFont val="WenQuanYi Zen Hei"/>
        <family val="2"/>
      </rPr>
      <t xml:space="preserve">～</t>
    </r>
    <r>
      <rPr>
        <sz val="12"/>
        <color theme="1"/>
        <rFont val="游ゴシック"/>
        <family val="3"/>
        <charset val="128"/>
      </rPr>
      <t xml:space="preserve">2029/4/30</t>
    </r>
    <r>
      <rPr>
        <sz val="12"/>
        <color theme="1"/>
        <rFont val="WenQuanYi Zen Hei"/>
        <family val="2"/>
      </rPr>
      <t xml:space="preserve">）</t>
    </r>
  </si>
  <si>
    <r>
      <rPr>
        <sz val="12"/>
        <color theme="1"/>
        <rFont val="WenQuanYi Zen Hei"/>
        <family val="2"/>
      </rPr>
      <t xml:space="preserve">成田空港貨物地区に近接（所要時間は要確認）。</t>
    </r>
    <r>
      <rPr>
        <sz val="12"/>
        <color theme="1"/>
        <rFont val="游ゴシック"/>
        <family val="3"/>
        <charset val="128"/>
      </rPr>
      <t xml:space="preserve">5F</t>
    </r>
    <r>
      <rPr>
        <sz val="12"/>
        <color theme="1"/>
        <rFont val="WenQuanYi Zen Hei"/>
        <family val="2"/>
      </rPr>
      <t xml:space="preserve">倉庫</t>
    </r>
    <r>
      <rPr>
        <sz val="12"/>
        <color theme="1"/>
        <rFont val="游ゴシック"/>
        <family val="3"/>
        <charset val="128"/>
      </rPr>
      <t xml:space="preserve">1,567.24</t>
    </r>
    <r>
      <rPr>
        <sz val="12"/>
        <color theme="1"/>
        <rFont val="WenQuanYi Zen Hei"/>
        <family val="2"/>
      </rPr>
      <t xml:space="preserve">㎡（保税蔵置場）・</t>
    </r>
    <r>
      <rPr>
        <sz val="12"/>
        <color theme="1"/>
        <rFont val="游ゴシック"/>
        <family val="3"/>
        <charset val="128"/>
      </rPr>
      <t xml:space="preserve">2F</t>
    </r>
    <r>
      <rPr>
        <sz val="12"/>
        <color theme="1"/>
        <rFont val="WenQuanYi Zen Hei"/>
        <family val="2"/>
      </rPr>
      <t xml:space="preserve">事務所</t>
    </r>
    <r>
      <rPr>
        <sz val="12"/>
        <color theme="1"/>
        <rFont val="游ゴシック"/>
        <family val="3"/>
        <charset val="128"/>
      </rPr>
      <t xml:space="preserve">48.72</t>
    </r>
    <r>
      <rPr>
        <sz val="12"/>
        <color theme="1"/>
        <rFont val="WenQuanYi Zen Hei"/>
        <family val="2"/>
      </rPr>
      <t xml:space="preserve">㎡</t>
    </r>
  </si>
  <si>
    <r>
      <rPr>
        <sz val="10"/>
        <rFont val="WenQuanYi Zen Hei"/>
        <family val="2"/>
      </rPr>
      <t xml:space="preserve">※月間賃料は賃料＋共益費（税抜）。倉庫：賃料</t>
    </r>
    <r>
      <rPr>
        <sz val="10"/>
        <rFont val="游ゴシック Medium"/>
        <family val="0"/>
        <charset val="1"/>
      </rPr>
      <t xml:space="preserve">1,844,211</t>
    </r>
    <r>
      <rPr>
        <sz val="10"/>
        <rFont val="WenQuanYi Zen Hei"/>
        <family val="2"/>
      </rPr>
      <t xml:space="preserve">円＋共益費</t>
    </r>
    <r>
      <rPr>
        <sz val="10"/>
        <rFont val="游ゴシック Medium"/>
        <family val="0"/>
        <charset val="1"/>
      </rPr>
      <t xml:space="preserve">237,045</t>
    </r>
    <r>
      <rPr>
        <sz val="10"/>
        <rFont val="WenQuanYi Zen Hei"/>
        <family val="2"/>
      </rPr>
      <t xml:space="preserve">円、事務所：賃料</t>
    </r>
    <r>
      <rPr>
        <sz val="10"/>
        <rFont val="游ゴシック Medium"/>
        <family val="0"/>
        <charset val="1"/>
      </rPr>
      <t xml:space="preserve">95,810</t>
    </r>
    <r>
      <rPr>
        <sz val="10"/>
        <rFont val="WenQuanYi Zen Hei"/>
        <family val="2"/>
      </rPr>
      <t xml:space="preserve">円＋共益費</t>
    </r>
    <r>
      <rPr>
        <sz val="10"/>
        <rFont val="游ゴシック Medium"/>
        <family val="0"/>
        <charset val="1"/>
      </rPr>
      <t xml:space="preserve">14,740</t>
    </r>
    <r>
      <rPr>
        <sz val="10"/>
        <rFont val="WenQuanYi Zen Hei"/>
        <family val="2"/>
      </rPr>
      <t xml:space="preserve">円。中途解約不可・更新なし（再契約は協議）。</t>
    </r>
  </si>
  <si>
    <t xml:space="preserve">契約内容</t>
  </si>
  <si>
    <t xml:space="preserve">貸主</t>
  </si>
  <si>
    <t xml:space="preserve">倉庫</t>
  </si>
  <si>
    <t xml:space="preserve">保税蔵置場・梱包作業場</t>
  </si>
  <si>
    <r>
      <rPr>
        <sz val="12"/>
        <color theme="1"/>
        <rFont val="WenQuanYi Zen Hei"/>
        <family val="2"/>
      </rPr>
      <t xml:space="preserve">芝山町岩山</t>
    </r>
    <r>
      <rPr>
        <sz val="12"/>
        <color theme="1"/>
        <rFont val="游ゴシック"/>
        <family val="3"/>
        <charset val="128"/>
      </rPr>
      <t xml:space="preserve">148-15
5F</t>
    </r>
    <r>
      <rPr>
        <sz val="12"/>
        <color theme="1"/>
        <rFont val="WenQuanYi Zen Hei"/>
        <family val="2"/>
      </rPr>
      <t xml:space="preserve">倉庫部分</t>
    </r>
  </si>
  <si>
    <r>
      <rPr>
        <sz val="12"/>
        <color theme="1"/>
        <rFont val="WenQuanYi Zen Hei"/>
        <family val="2"/>
      </rPr>
      <t xml:space="preserve">定期建物転貸借
</t>
    </r>
    <r>
      <rPr>
        <sz val="12"/>
        <color theme="1"/>
        <rFont val="游ゴシック"/>
        <family val="3"/>
        <charset val="128"/>
      </rPr>
      <t xml:space="preserve">2026/5/1</t>
    </r>
    <r>
      <rPr>
        <sz val="12"/>
        <color theme="1"/>
        <rFont val="WenQuanYi Zen Hei"/>
        <family val="2"/>
      </rPr>
      <t xml:space="preserve">～</t>
    </r>
    <r>
      <rPr>
        <sz val="12"/>
        <color theme="1"/>
        <rFont val="游ゴシック"/>
        <family val="3"/>
        <charset val="128"/>
      </rPr>
      <t xml:space="preserve">2029/4/30</t>
    </r>
  </si>
  <si>
    <r>
      <rPr>
        <sz val="12"/>
        <color theme="1"/>
        <rFont val="WenQuanYi Zen Hei"/>
        <family val="2"/>
      </rPr>
      <t xml:space="preserve">航空集配サービス㈱
（所有者：</t>
    </r>
    <r>
      <rPr>
        <sz val="12"/>
        <color theme="1"/>
        <rFont val="游ゴシック"/>
        <family val="3"/>
        <charset val="128"/>
      </rPr>
      <t xml:space="preserve">RREEF MARBLE PTE. LIMITED</t>
    </r>
    <r>
      <rPr>
        <sz val="12"/>
        <color theme="1"/>
        <rFont val="WenQuanYi Zen Hei"/>
        <family val="2"/>
      </rPr>
      <t xml:space="preserve">）</t>
    </r>
  </si>
  <si>
    <t xml:space="preserve">中途解約不可。原状回復義務あり（原状復旧図による）</t>
  </si>
  <si>
    <t xml:space="preserve">事務所</t>
  </si>
  <si>
    <t xml:space="preserve">本社事務所</t>
  </si>
  <si>
    <r>
      <rPr>
        <sz val="12"/>
        <color theme="1"/>
        <rFont val="WenQuanYi Zen Hei"/>
        <family val="2"/>
      </rPr>
      <t xml:space="preserve">芝山町岩山</t>
    </r>
    <r>
      <rPr>
        <sz val="12"/>
        <color theme="1"/>
        <rFont val="游ゴシック"/>
        <family val="3"/>
        <charset val="128"/>
      </rPr>
      <t xml:space="preserve">148-15
2F</t>
    </r>
    <r>
      <rPr>
        <sz val="12"/>
        <color theme="1"/>
        <rFont val="WenQuanYi Zen Hei"/>
        <family val="2"/>
      </rPr>
      <t xml:space="preserve">事務所部分</t>
    </r>
  </si>
  <si>
    <t xml:space="preserve">敷金は支払済み敷金を充当</t>
  </si>
  <si>
    <t xml:space="preserve">作業場</t>
  </si>
  <si>
    <t xml:space="preserve">つくば事業所</t>
  </si>
  <si>
    <t xml:space="preserve">茨城県稲敷市（顧客工場構内）</t>
  </si>
  <si>
    <r>
      <rPr>
        <sz val="12"/>
        <color theme="1"/>
        <rFont val="游ゴシック"/>
        <family val="3"/>
        <charset val="128"/>
      </rPr>
      <t xml:space="preserve">Littelfuse</t>
    </r>
    <r>
      <rPr>
        <sz val="12"/>
        <color theme="1"/>
        <rFont val="WenQuanYi Zen Hei"/>
        <family val="2"/>
      </rPr>
      <t xml:space="preserve">ジャパン合同会社（顧客）</t>
    </r>
  </si>
  <si>
    <t xml:space="preserve">顧客構内での請負作業のため賃借なしと推察（要確認）</t>
  </si>
  <si>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</si>
  <si>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</si>
  <si>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</si>
  <si>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</si>
  <si>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</si>
  <si>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</si>
  <si>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</si>
  <si>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</si>
  <si>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保税蔵置場内装工事（成田）</t>
  </si>
  <si>
    <t xml:space="preserve">定額法</t>
  </si>
  <si>
    <r>
      <rPr>
        <sz val="9"/>
        <color theme="1"/>
        <rFont val="游ゴシック Medium"/>
        <family val="3"/>
        <charset val="128"/>
      </rPr>
      <t xml:space="preserve">2024</t>
    </r>
    <r>
      <rPr>
        <sz val="9"/>
        <color theme="1"/>
        <rFont val="WenQuanYi Zen Hei"/>
        <family val="2"/>
      </rPr>
      <t xml:space="preserve">年</t>
    </r>
    <r>
      <rPr>
        <sz val="9"/>
        <color theme="1"/>
        <rFont val="游ゴシック Medium"/>
        <family val="3"/>
        <charset val="128"/>
      </rPr>
      <t xml:space="preserve">8</t>
    </r>
    <r>
      <rPr>
        <sz val="9"/>
        <color theme="1"/>
        <rFont val="WenQuanYi Zen Hei"/>
        <family val="2"/>
      </rPr>
      <t xml:space="preserve">月本店移転時の工事。賃借物件内の造作</t>
    </r>
  </si>
  <si>
    <t xml:space="preserve">テント倉庫</t>
  </si>
  <si>
    <t xml:space="preserve">定率法</t>
  </si>
  <si>
    <t xml:space="preserve">旧拠点（菱田）所在。現存の有無は要確認</t>
  </si>
  <si>
    <t xml:space="preserve">舗装工事・掘り井戸</t>
  </si>
  <si>
    <t xml:space="preserve">旧拠点所在と推察。除却要否は要確認</t>
  </si>
  <si>
    <t xml:space="preserve">レシプロカッティングツール（段ボール裁断機）ほか</t>
  </si>
  <si>
    <t xml:space="preserve">製品サイズに合わせた段ボールの即時裁断が可能（強みの源泉）</t>
  </si>
  <si>
    <r>
      <rPr>
        <sz val="12"/>
        <color theme="1"/>
        <rFont val="WenQuanYi Zen Hei"/>
        <family val="2"/>
      </rPr>
      <t xml:space="preserve">車両（</t>
    </r>
    <r>
      <rPr>
        <sz val="12"/>
        <color theme="1"/>
        <rFont val="游ゴシック"/>
        <family val="3"/>
        <charset val="128"/>
      </rPr>
      <t xml:space="preserve">2024</t>
    </r>
    <r>
      <rPr>
        <sz val="12"/>
        <color theme="1"/>
        <rFont val="WenQuanYi Zen Hei"/>
        <family val="2"/>
      </rPr>
      <t xml:space="preserve">年取得分を含む）</t>
    </r>
  </si>
  <si>
    <t xml:space="preserve">明細は要確認</t>
  </si>
  <si>
    <r>
      <rPr>
        <sz val="12"/>
        <color theme="1"/>
        <rFont val="游ゴシック"/>
        <family val="3"/>
        <charset val="128"/>
      </rPr>
      <t xml:space="preserve">PC</t>
    </r>
    <r>
      <rPr>
        <sz val="12"/>
        <color theme="1"/>
        <rFont val="WenQuanYi Zen Hei"/>
        <family val="2"/>
      </rPr>
      <t xml:space="preserve">・エアコン・キャビネット等</t>
    </r>
  </si>
  <si>
    <r>
      <rPr>
        <sz val="10"/>
        <rFont val="游ゴシック Medium"/>
        <family val="0"/>
        <charset val="1"/>
      </rPr>
      <t xml:space="preserve">※37</t>
    </r>
    <r>
      <rPr>
        <sz val="10"/>
        <rFont val="WenQuanYi Zen Hei"/>
        <family val="2"/>
      </rPr>
      <t xml:space="preserve">期法人税申告書別表十六および</t>
    </r>
    <r>
      <rPr>
        <sz val="10"/>
        <rFont val="游ゴシック Medium"/>
        <family val="0"/>
        <charset val="1"/>
      </rPr>
      <t xml:space="preserve">35</t>
    </r>
    <r>
      <rPr>
        <sz val="10"/>
        <rFont val="WenQuanYi Zen Hei"/>
        <family val="2"/>
      </rPr>
      <t xml:space="preserve">期固定資産台帳より。リース・レンタル（フォークリフト：トヨタ</t>
    </r>
    <r>
      <rPr>
        <sz val="10"/>
        <rFont val="游ゴシック Medium"/>
        <family val="0"/>
        <charset val="1"/>
      </rPr>
      <t xml:space="preserve">L&amp;F</t>
    </r>
    <r>
      <rPr>
        <sz val="10"/>
        <rFont val="WenQuanYi Zen Hei"/>
        <family val="2"/>
      </rPr>
      <t xml:space="preserve">、ユニットハウス：レンタックス）は別途。</t>
    </r>
  </si>
  <si>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</si>
  <si>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 要確認事項（ヒアリング項目一覧・評価書・概要書の「要確認」注記の原本）</t>
  </si>
  <si>
    <t xml:space="preserve">区分</t>
  </si>
  <si>
    <t xml:space="preserve">要確認事項</t>
  </si>
  <si>
    <t xml:space="preserve">確認先・資料</t>
  </si>
  <si>
    <t xml:space="preserve">反映先</t>
  </si>
  <si>
    <t xml:space="preserve">財務</t>
  </si>
  <si>
    <r>
      <rPr>
        <sz val="10"/>
        <rFont val="WenQuanYi Zen Hei"/>
        <family val="2"/>
      </rPr>
      <t xml:space="preserve">他社仲介作成の財務資料が本件フォルダ内に見当たらない。</t>
    </r>
    <r>
      <rPr>
        <sz val="10"/>
        <rFont val="游ゴシック Medium"/>
        <family val="0"/>
        <charset val="1"/>
      </rPr>
      <t xml:space="preserve">36</t>
    </r>
    <r>
      <rPr>
        <sz val="10"/>
        <rFont val="WenQuanYi Zen Hei"/>
        <family val="2"/>
      </rPr>
      <t xml:space="preserve">期（</t>
    </r>
    <r>
      <rPr>
        <sz val="10"/>
        <rFont val="游ゴシック Medium"/>
        <family val="0"/>
        <charset val="1"/>
      </rPr>
      <t xml:space="preserve">2025</t>
    </r>
    <r>
      <rPr>
        <sz val="10"/>
        <rFont val="WenQuanYi Zen Hei"/>
        <family val="2"/>
      </rPr>
      <t xml:space="preserve">年</t>
    </r>
    <r>
      <rPr>
        <sz val="10"/>
        <rFont val="游ゴシック Medium"/>
        <family val="0"/>
        <charset val="1"/>
      </rPr>
      <t xml:space="preserve">5</t>
    </r>
    <r>
      <rPr>
        <sz val="10"/>
        <rFont val="WenQuanYi Zen Hei"/>
        <family val="2"/>
      </rPr>
      <t xml:space="preserve">月期）決算書</t>
    </r>
    <r>
      <rPr>
        <sz val="10"/>
        <rFont val="游ゴシック Medium"/>
        <family val="0"/>
        <charset val="1"/>
      </rPr>
      <t xml:space="preserve">PDF</t>
    </r>
    <r>
      <rPr>
        <sz val="10"/>
        <rFont val="WenQuanYi Zen Hei"/>
        <family val="2"/>
      </rPr>
      <t xml:space="preserve">は画像のため読取不可。現状は総勘定元帳から再構成（決算書との差額：純損益</t>
    </r>
    <r>
      <rPr>
        <sz val="10"/>
        <rFont val="游ゴシック Medium"/>
        <family val="0"/>
        <charset val="1"/>
      </rPr>
      <t xml:space="preserve">371</t>
    </r>
    <r>
      <rPr>
        <sz val="10"/>
        <rFont val="WenQuanYi Zen Hei"/>
        <family val="2"/>
      </rPr>
      <t xml:space="preserve">円、純資産</t>
    </r>
    <r>
      <rPr>
        <sz val="10"/>
        <rFont val="游ゴシック Medium"/>
        <family val="0"/>
        <charset val="1"/>
      </rPr>
      <t xml:space="preserve">410</t>
    </r>
    <r>
      <rPr>
        <sz val="10"/>
        <rFont val="WenQuanYi Zen Hei"/>
        <family val="2"/>
      </rPr>
      <t xml:space="preserve">円）</t>
    </r>
  </si>
  <si>
    <r>
      <rPr>
        <sz val="10"/>
        <rFont val="WenQuanYi Zen Hei"/>
        <family val="2"/>
      </rPr>
      <t xml:space="preserve">他社資料・</t>
    </r>
    <r>
      <rPr>
        <sz val="10"/>
        <rFont val="游ゴシック Medium"/>
        <family val="0"/>
        <charset val="1"/>
      </rPr>
      <t xml:space="preserve">36</t>
    </r>
    <r>
      <rPr>
        <sz val="10"/>
        <rFont val="WenQuanYi Zen Hei"/>
        <family val="2"/>
      </rPr>
      <t xml:space="preserve">期決算書（テキスト版）</t>
    </r>
  </si>
  <si>
    <r>
      <rPr>
        <sz val="10"/>
        <rFont val="游ゴシック Medium"/>
        <family val="0"/>
        <charset val="1"/>
      </rPr>
      <t xml:space="preserve">BS/PL 36</t>
    </r>
    <r>
      <rPr>
        <sz val="10"/>
        <rFont val="WenQuanYi Zen Hei"/>
        <family val="2"/>
      </rPr>
      <t xml:space="preserve">期</t>
    </r>
  </si>
  <si>
    <r>
      <rPr>
        <sz val="10"/>
        <rFont val="WenQuanYi Zen Hei"/>
        <family val="2"/>
      </rPr>
      <t xml:space="preserve">未払金のうち千葉年金事務所</t>
    </r>
    <r>
      <rPr>
        <sz val="10"/>
        <rFont val="游ゴシック Medium"/>
        <family val="0"/>
        <charset val="1"/>
      </rPr>
      <t xml:space="preserve">7,850</t>
    </r>
    <r>
      <rPr>
        <sz val="10"/>
        <rFont val="WenQuanYi Zen Hei"/>
        <family val="2"/>
      </rPr>
      <t xml:space="preserve">千円・労働局</t>
    </r>
    <r>
      <rPr>
        <sz val="10"/>
        <rFont val="游ゴシック Medium"/>
        <family val="0"/>
        <charset val="1"/>
      </rPr>
      <t xml:space="preserve">627</t>
    </r>
    <r>
      <rPr>
        <sz val="10"/>
        <rFont val="WenQuanYi Zen Hei"/>
        <family val="2"/>
      </rPr>
      <t xml:space="preserve">千円が通常の月次未払か延滞分か（延滞分はデットライク）</t>
    </r>
  </si>
  <si>
    <t xml:space="preserve">社会保険料の納付状況・納入告知書</t>
  </si>
  <si>
    <t xml:space="preserve">ネットキャッシュ／評価書</t>
  </si>
  <si>
    <t xml:space="preserve">旧拠点（芝山町菱田）所在の建物（テント倉庫）・構築物（掘り井戸等）の現存有無と除却要否</t>
  </si>
  <si>
    <t xml:space="preserve">固定資産台帳・現地確認</t>
  </si>
  <si>
    <r>
      <rPr>
        <sz val="10"/>
        <rFont val="WenQuanYi Zen Hei"/>
        <family val="2"/>
      </rPr>
      <t xml:space="preserve">修正</t>
    </r>
    <r>
      <rPr>
        <sz val="10"/>
        <rFont val="游ゴシック Medium"/>
        <family val="0"/>
        <charset val="1"/>
      </rPr>
      <t xml:space="preserve">BS</t>
    </r>
  </si>
  <si>
    <r>
      <rPr>
        <sz val="10"/>
        <rFont val="WenQuanYi Zen Hei"/>
        <family val="2"/>
      </rPr>
      <t xml:space="preserve">敷金</t>
    </r>
    <r>
      <rPr>
        <sz val="10"/>
        <rFont val="游ゴシック Medium"/>
        <family val="0"/>
        <charset val="1"/>
      </rPr>
      <t xml:space="preserve">5,754</t>
    </r>
    <r>
      <rPr>
        <sz val="10"/>
        <rFont val="WenQuanYi Zen Hei"/>
        <family val="2"/>
      </rPr>
      <t xml:space="preserve">千円の返還見込額（原状復旧図に基づく原状回復費用の見積り）</t>
    </r>
  </si>
  <si>
    <t xml:space="preserve">原状復旧図・見積</t>
  </si>
  <si>
    <r>
      <rPr>
        <sz val="10"/>
        <rFont val="游ゴシック Medium"/>
        <family val="0"/>
        <charset val="1"/>
      </rPr>
      <t xml:space="preserve">DHL</t>
    </r>
    <r>
      <rPr>
        <sz val="10"/>
        <rFont val="WenQuanYi Zen Hei"/>
        <family val="2"/>
      </rPr>
      <t xml:space="preserve">向け業務請負（その他収入</t>
    </r>
    <r>
      <rPr>
        <sz val="10"/>
        <rFont val="游ゴシック Medium"/>
        <family val="0"/>
        <charset val="1"/>
      </rPr>
      <t xml:space="preserve">32,003</t>
    </r>
    <r>
      <rPr>
        <sz val="10"/>
        <rFont val="WenQuanYi Zen Hei"/>
        <family val="2"/>
      </rPr>
      <t xml:space="preserve">千円）と外注費（グローバル人材バンク</t>
    </r>
    <r>
      <rPr>
        <sz val="10"/>
        <rFont val="游ゴシック Medium"/>
        <family val="0"/>
        <charset val="1"/>
      </rPr>
      <t xml:space="preserve">32,925</t>
    </r>
    <r>
      <rPr>
        <sz val="10"/>
        <rFont val="WenQuanYi Zen Hei"/>
        <family val="2"/>
      </rPr>
      <t xml:space="preserve">千円）の対応関係・粗利</t>
    </r>
  </si>
  <si>
    <t xml:space="preserve">個別契約・請求明細</t>
  </si>
  <si>
    <t xml:space="preserve">概要書（事業別収益性）</t>
  </si>
  <si>
    <r>
      <rPr>
        <sz val="10"/>
        <rFont val="WenQuanYi Zen Hei"/>
        <family val="2"/>
      </rPr>
      <t xml:space="preserve">販管費の保険料（</t>
    </r>
    <r>
      <rPr>
        <sz val="10"/>
        <rFont val="游ゴシック Medium"/>
        <family val="0"/>
        <charset val="1"/>
      </rPr>
      <t xml:space="preserve">37</t>
    </r>
    <r>
      <rPr>
        <sz val="10"/>
        <rFont val="WenQuanYi Zen Hei"/>
        <family val="2"/>
      </rPr>
      <t xml:space="preserve">期</t>
    </r>
    <r>
      <rPr>
        <sz val="10"/>
        <rFont val="游ゴシック Medium"/>
        <family val="0"/>
        <charset val="1"/>
      </rPr>
      <t xml:space="preserve">1,147</t>
    </r>
    <r>
      <rPr>
        <sz val="10"/>
        <rFont val="WenQuanYi Zen Hei"/>
        <family val="2"/>
      </rPr>
      <t xml:space="preserve">千円）の内容（掛捨て／積立）</t>
    </r>
  </si>
  <si>
    <t xml:space="preserve">保険証券</t>
  </si>
  <si>
    <r>
      <rPr>
        <sz val="10"/>
        <rFont val="WenQuanYi Zen Hei"/>
        <family val="2"/>
      </rPr>
      <t xml:space="preserve">修正</t>
    </r>
    <r>
      <rPr>
        <sz val="10"/>
        <rFont val="游ゴシック Medium"/>
        <family val="0"/>
        <charset val="1"/>
      </rPr>
      <t xml:space="preserve">BS</t>
    </r>
    <r>
      <rPr>
        <sz val="10"/>
        <rFont val="WenQuanYi Zen Hei"/>
        <family val="2"/>
      </rPr>
      <t xml:space="preserve">・修正</t>
    </r>
    <r>
      <rPr>
        <sz val="10"/>
        <rFont val="游ゴシック Medium"/>
        <family val="0"/>
        <charset val="1"/>
      </rPr>
      <t xml:space="preserve">PL</t>
    </r>
  </si>
  <si>
    <r>
      <rPr>
        <sz val="10"/>
        <rFont val="游ゴシック Medium"/>
        <family val="0"/>
        <charset val="1"/>
      </rPr>
      <t xml:space="preserve">2026</t>
    </r>
    <r>
      <rPr>
        <sz val="10"/>
        <rFont val="WenQuanYi Zen Hei"/>
        <family val="2"/>
      </rPr>
      <t xml:space="preserve">年</t>
    </r>
    <r>
      <rPr>
        <sz val="10"/>
        <rFont val="游ゴシック Medium"/>
        <family val="0"/>
        <charset val="1"/>
      </rPr>
      <t xml:space="preserve">9</t>
    </r>
    <r>
      <rPr>
        <sz val="10"/>
        <rFont val="WenQuanYi Zen Hei"/>
        <family val="2"/>
      </rPr>
      <t xml:space="preserve">月</t>
    </r>
    <r>
      <rPr>
        <sz val="10"/>
        <rFont val="游ゴシック Medium"/>
        <family val="0"/>
        <charset val="1"/>
      </rPr>
      <t xml:space="preserve">30</t>
    </r>
    <r>
      <rPr>
        <sz val="10"/>
        <rFont val="WenQuanYi Zen Hei"/>
        <family val="2"/>
      </rPr>
      <t xml:space="preserve">日の佐原信用金庫 短期手形貸付</t>
    </r>
    <r>
      <rPr>
        <sz val="10"/>
        <rFont val="游ゴシック Medium"/>
        <family val="0"/>
        <charset val="1"/>
      </rPr>
      <t xml:space="preserve">3,000</t>
    </r>
    <r>
      <rPr>
        <sz val="10"/>
        <rFont val="WenQuanYi Zen Hei"/>
        <family val="2"/>
      </rPr>
      <t xml:space="preserve">千円の資金使途と返済見込み</t>
    </r>
  </si>
  <si>
    <t xml:space="preserve">金銭消費貸借契約・資金繰り表</t>
  </si>
  <si>
    <t xml:space="preserve">評価書（後発事象）</t>
  </si>
  <si>
    <r>
      <rPr>
        <sz val="10"/>
        <rFont val="WenQuanYi Zen Hei"/>
        <family val="2"/>
      </rPr>
      <t xml:space="preserve">第</t>
    </r>
    <r>
      <rPr>
        <sz val="10"/>
        <rFont val="游ゴシック Medium"/>
        <family val="0"/>
        <charset val="1"/>
      </rPr>
      <t xml:space="preserve">36</t>
    </r>
    <r>
      <rPr>
        <sz val="10"/>
        <rFont val="WenQuanYi Zen Hei"/>
        <family val="2"/>
      </rPr>
      <t xml:space="preserve">期の大幅な営業損失（△</t>
    </r>
    <r>
      <rPr>
        <sz val="10"/>
        <rFont val="游ゴシック Medium"/>
        <family val="0"/>
        <charset val="1"/>
      </rPr>
      <t xml:space="preserve">38,607</t>
    </r>
    <r>
      <rPr>
        <sz val="10"/>
        <rFont val="WenQuanYi Zen Hei"/>
        <family val="2"/>
      </rPr>
      <t xml:space="preserve">千円）の要因分解（ホンダロジスティクス取引終了、移転・保税許可取得までの固定費、売上減）</t>
    </r>
  </si>
  <si>
    <t xml:space="preserve">代表者ヒアリング</t>
  </si>
  <si>
    <r>
      <rPr>
        <sz val="10"/>
        <rFont val="WenQuanYi Zen Hei"/>
        <family val="2"/>
      </rPr>
      <t xml:space="preserve">概要書</t>
    </r>
    <r>
      <rPr>
        <sz val="10"/>
        <rFont val="游ゴシック Medium"/>
        <family val="0"/>
        <charset val="1"/>
      </rPr>
      <t xml:space="preserve">P/L</t>
    </r>
    <r>
      <rPr>
        <sz val="10"/>
        <rFont val="WenQuanYi Zen Hei"/>
        <family val="2"/>
      </rPr>
      <t xml:space="preserve">コメント</t>
    </r>
  </si>
  <si>
    <t xml:space="preserve">事業</t>
  </si>
  <si>
    <t xml:space="preserve">保税蔵置場の取扱実績（件数・重量）、爆発物検査の実施体制（認定・機器）</t>
  </si>
  <si>
    <t xml:space="preserve">業務実績表</t>
  </si>
  <si>
    <t xml:space="preserve">概要書（事業概要）</t>
  </si>
  <si>
    <r>
      <rPr>
        <sz val="10"/>
        <rFont val="WenQuanYi Zen Hei"/>
        <family val="2"/>
      </rPr>
      <t xml:space="preserve">主要顧客との契約書（航空集配サービス、三徳運輸、</t>
    </r>
    <r>
      <rPr>
        <sz val="10"/>
        <rFont val="游ゴシック Medium"/>
        <family val="0"/>
        <charset val="1"/>
      </rPr>
      <t xml:space="preserve">Littelfuse</t>
    </r>
    <r>
      <rPr>
        <sz val="10"/>
        <rFont val="WenQuanYi Zen Hei"/>
        <family val="2"/>
      </rPr>
      <t xml:space="preserve">、鴻池運輸）と料金体系、チェンジオブコントロール条項</t>
    </r>
  </si>
  <si>
    <t xml:space="preserve">各社契約書</t>
  </si>
  <si>
    <r>
      <rPr>
        <sz val="10"/>
        <rFont val="WenQuanYi Zen Hei"/>
        <family val="2"/>
      </rPr>
      <t xml:space="preserve">概要書・</t>
    </r>
    <r>
      <rPr>
        <sz val="10"/>
        <rFont val="游ゴシック Medium"/>
        <family val="0"/>
        <charset val="1"/>
      </rPr>
      <t xml:space="preserve">DD</t>
    </r>
  </si>
  <si>
    <t xml:space="preserve">労働者派遣事業許可・貨物利用運送事業登録の有無</t>
  </si>
  <si>
    <t xml:space="preserve">許可証</t>
  </si>
  <si>
    <t xml:space="preserve">会社概要（許認可）</t>
  </si>
  <si>
    <t xml:space="preserve">組織</t>
  </si>
  <si>
    <t xml:space="preserve">庄司社長退任後の現場統括（金子部長）の継続意向・後継体制</t>
  </si>
  <si>
    <t xml:space="preserve">譲渡希望条件</t>
  </si>
  <si>
    <r>
      <rPr>
        <sz val="10"/>
        <rFont val="WenQuanYi Zen Hei"/>
        <family val="2"/>
      </rPr>
      <t xml:space="preserve">株主名簿・定款の受領（別表二では高塚慎吾</t>
    </r>
    <r>
      <rPr>
        <sz val="10"/>
        <rFont val="游ゴシック Medium"/>
        <family val="0"/>
        <charset val="1"/>
      </rPr>
      <t xml:space="preserve">60%</t>
    </r>
    <r>
      <rPr>
        <sz val="10"/>
        <rFont val="WenQuanYi Zen Hei"/>
        <family val="2"/>
      </rPr>
      <t xml:space="preserve">・高塚とく江</t>
    </r>
    <r>
      <rPr>
        <sz val="10"/>
        <rFont val="游ゴシック Medium"/>
        <family val="0"/>
        <charset val="1"/>
      </rPr>
      <t xml:space="preserve">40%</t>
    </r>
    <r>
      <rPr>
        <sz val="10"/>
        <rFont val="WenQuanYi Zen Hei"/>
        <family val="2"/>
      </rPr>
      <t xml:space="preserve">）</t>
    </r>
  </si>
  <si>
    <t xml:space="preserve">株主名簿・定款</t>
  </si>
  <si>
    <t xml:space="preserve">株主及び役員</t>
  </si>
  <si>
    <r>
      <rPr>
        <sz val="10"/>
        <rFont val="WenQuanYi Zen Hei"/>
        <family val="2"/>
      </rPr>
      <t xml:space="preserve">退職金規程の有無（中退共以外の上乗せ給付）、就業規則、</t>
    </r>
    <r>
      <rPr>
        <sz val="10"/>
        <rFont val="游ゴシック Medium"/>
        <family val="0"/>
        <charset val="1"/>
      </rPr>
      <t xml:space="preserve">36</t>
    </r>
    <r>
      <rPr>
        <sz val="10"/>
        <rFont val="WenQuanYi Zen Hei"/>
        <family val="2"/>
      </rPr>
      <t xml:space="preserve">協定</t>
    </r>
  </si>
  <si>
    <t xml:space="preserve">各規程</t>
  </si>
  <si>
    <r>
      <rPr>
        <sz val="10"/>
        <rFont val="WenQuanYi Zen Hei"/>
        <family val="2"/>
      </rPr>
      <t xml:space="preserve">修正</t>
    </r>
    <r>
      <rPr>
        <sz val="10"/>
        <rFont val="游ゴシック Medium"/>
        <family val="0"/>
        <charset val="1"/>
      </rPr>
      <t xml:space="preserve">BS</t>
    </r>
    <r>
      <rPr>
        <sz val="10"/>
        <rFont val="WenQuanYi Zen Hei"/>
        <family val="2"/>
      </rPr>
      <t xml:space="preserve">（退職金）</t>
    </r>
  </si>
  <si>
    <t xml:space="preserve">拠点</t>
  </si>
  <si>
    <r>
      <rPr>
        <sz val="10"/>
        <rFont val="WenQuanYi Zen Hei"/>
        <family val="2"/>
      </rPr>
      <t xml:space="preserve">成田事業所から成田空港貨物地区までの距離・所要時間、保税蔵置場の面積（許可書</t>
    </r>
    <r>
      <rPr>
        <sz val="10"/>
        <rFont val="游ゴシック Medium"/>
        <family val="0"/>
        <charset val="1"/>
      </rPr>
      <t xml:space="preserve">1,825</t>
    </r>
    <r>
      <rPr>
        <sz val="10"/>
        <rFont val="WenQuanYi Zen Hei"/>
        <family val="2"/>
      </rPr>
      <t xml:space="preserve">㎡と転貸借契約</t>
    </r>
    <r>
      <rPr>
        <sz val="10"/>
        <rFont val="游ゴシック Medium"/>
        <family val="0"/>
        <charset val="1"/>
      </rPr>
      <t xml:space="preserve">1,567</t>
    </r>
    <r>
      <rPr>
        <sz val="10"/>
        <rFont val="WenQuanYi Zen Hei"/>
        <family val="2"/>
      </rPr>
      <t xml:space="preserve">㎡の差異）</t>
    </r>
  </si>
  <si>
    <t xml:space="preserve">許可申請書・図面</t>
  </si>
  <si>
    <t xml:space="preserve">拠点概要</t>
  </si>
  <si>
    <r>
      <rPr>
        <sz val="10"/>
        <rFont val="WenQuanYi Zen Hei"/>
        <family val="2"/>
      </rPr>
      <t xml:space="preserve">つくば事業所（</t>
    </r>
    <r>
      <rPr>
        <sz val="10"/>
        <rFont val="游ゴシック Medium"/>
        <family val="0"/>
        <charset val="1"/>
      </rPr>
      <t xml:space="preserve">Littelfuse</t>
    </r>
    <r>
      <rPr>
        <sz val="10"/>
        <rFont val="WenQuanYi Zen Hei"/>
        <family val="2"/>
      </rPr>
      <t xml:space="preserve">構内）の作業場所の賃借有無・請負契約</t>
    </r>
  </si>
  <si>
    <t xml:space="preserve">請負契約書</t>
  </si>
  <si>
    <t xml:space="preserve">■ プロセス関連（社内確認事項）　※本項は社内確認事項であり、買手候補への開示資料には記載しない</t>
  </si>
  <si>
    <t xml:space="preserve">プロセス</t>
  </si>
  <si>
    <r>
      <rPr>
        <sz val="10"/>
        <rFont val="WenQuanYi Zen Hei"/>
        <family val="2"/>
      </rPr>
      <t xml:space="preserve">譲渡価格の希望：株価</t>
    </r>
    <r>
      <rPr>
        <sz val="10"/>
        <rFont val="游ゴシック Medium"/>
        <family val="0"/>
        <charset val="1"/>
      </rPr>
      <t xml:space="preserve">1</t>
    </r>
    <r>
      <rPr>
        <sz val="10"/>
        <rFont val="WenQuanYi Zen Hei"/>
        <family val="2"/>
      </rPr>
      <t xml:space="preserve">円。当社手数料相当（</t>
    </r>
    <r>
      <rPr>
        <sz val="10"/>
        <rFont val="游ゴシック Medium"/>
        <family val="0"/>
        <charset val="1"/>
      </rPr>
      <t xml:space="preserve">1,500</t>
    </r>
    <r>
      <rPr>
        <sz val="10"/>
        <rFont val="WenQuanYi Zen Hei"/>
        <family val="2"/>
      </rPr>
      <t xml:space="preserve">万円＋税）を株価に上乗せする形での相手先探索を希望（</t>
    </r>
    <r>
      <rPr>
        <sz val="10"/>
        <rFont val="游ゴシック Medium"/>
        <family val="0"/>
        <charset val="1"/>
      </rPr>
      <t xml:space="preserve">2025</t>
    </r>
    <r>
      <rPr>
        <sz val="10"/>
        <rFont val="WenQuanYi Zen Hei"/>
        <family val="2"/>
      </rPr>
      <t xml:space="preserve">年</t>
    </r>
    <r>
      <rPr>
        <sz val="10"/>
        <rFont val="游ゴシック Medium"/>
        <family val="0"/>
        <charset val="1"/>
      </rPr>
      <t xml:space="preserve">9</t>
    </r>
    <r>
      <rPr>
        <sz val="10"/>
        <rFont val="WenQuanYi Zen Hei"/>
        <family val="2"/>
      </rPr>
      <t xml:space="preserve">月</t>
    </r>
    <r>
      <rPr>
        <sz val="10"/>
        <rFont val="游ゴシック Medium"/>
        <family val="0"/>
        <charset val="1"/>
      </rPr>
      <t xml:space="preserve">11</t>
    </r>
    <r>
      <rPr>
        <sz val="10"/>
        <rFont val="WenQuanYi Zen Hei"/>
        <family val="2"/>
      </rPr>
      <t xml:space="preserve">日面談時点）</t>
    </r>
  </si>
  <si>
    <t xml:space="preserve">前回面談資料</t>
  </si>
  <si>
    <t xml:space="preserve">社内のみ</t>
  </si>
  <si>
    <t xml:space="preserve">他社仲介の関与状況（作成資料の有無・時期）</t>
  </si>
  <si>
    <r>
      <rPr>
        <sz val="10"/>
        <rFont val="WenQuanYi Zen Hei"/>
        <family val="2"/>
      </rPr>
      <t xml:space="preserve">候補先：岡崎通運㈱（越智氏ストライク時代の顧客）、㈱</t>
    </r>
    <r>
      <rPr>
        <sz val="10"/>
        <rFont val="游ゴシック Medium"/>
        <family val="0"/>
        <charset val="1"/>
      </rPr>
      <t xml:space="preserve">Shippio</t>
    </r>
    <r>
      <rPr>
        <sz val="10"/>
        <rFont val="WenQuanYi Zen Hei"/>
        <family val="2"/>
      </rPr>
      <t xml:space="preserve">（協和海運の買収事例あり）</t>
    </r>
  </si>
  <si>
    <r>
      <rPr>
        <sz val="10"/>
        <rFont val="WenQuanYi Zen Hei"/>
        <family val="2"/>
      </rPr>
      <t xml:space="preserve">面談メモ（</t>
    </r>
    <r>
      <rPr>
        <sz val="10"/>
        <rFont val="游ゴシック Medium"/>
        <family val="0"/>
        <charset val="1"/>
      </rPr>
      <t xml:space="preserve">2025</t>
    </r>
    <r>
      <rPr>
        <sz val="10"/>
        <rFont val="WenQuanYi Zen Hei"/>
        <family val="2"/>
      </rPr>
      <t xml:space="preserve">年</t>
    </r>
    <r>
      <rPr>
        <sz val="10"/>
        <rFont val="游ゴシック Medium"/>
        <family val="0"/>
        <charset val="1"/>
      </rPr>
      <t xml:space="preserve">7</t>
    </r>
    <r>
      <rPr>
        <sz val="10"/>
        <rFont val="WenQuanYi Zen Hei"/>
        <family val="2"/>
      </rPr>
      <t xml:space="preserve">月</t>
    </r>
    <r>
      <rPr>
        <sz val="10"/>
        <rFont val="游ゴシック Medium"/>
        <family val="0"/>
        <charset val="1"/>
      </rPr>
      <t xml:space="preserve">8</t>
    </r>
    <r>
      <rPr>
        <sz val="10"/>
        <rFont val="WenQuanYi Zen Hei"/>
        <family val="2"/>
      </rPr>
      <t xml:space="preserve">日）</t>
    </r>
  </si>
  <si>
    <t xml:space="preserve">代表者は従業員への動揺を避けるため、現地案内は個人の知人として実施した経緯あり。従業員への開示タイミングは要配慮</t>
  </si>
  <si>
    <t xml:space="preserve">面談メモ</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</si>
  <si>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</si>
  <si>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</si>
  <si>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</si>
  <si>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</si>
  <si>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</si>
  <si>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</si>
  <si>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</si>
  <si>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</si>
  <si>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</si>
  <si>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</si>
  <si>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</si>
  <si>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</si>
  <si>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</si>
  <si>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</si>
  <si>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</si>
  <si>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</si>
  <si>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</si>
  <si>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</si>
  <si>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</si>
  <si>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t xml:space="preserve">契約</t>
  </si>
  <si>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</si>
  <si>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</si>
  <si>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</si>
  <si>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</si>
  <si>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</si>
  <si>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</si>
  <si>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</si>
  <si>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</si>
  <si>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</si>
  <si>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</si>
  <si>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</si>
  <si>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</si>
  <si>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</si>
  <si>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</si>
  <si>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</si>
  <si>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</si>
  <si>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</si>
  <si>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</si>
  <si>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</si>
  <si>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</si>
  <si>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</si>
  <si>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</si>
  <si>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</si>
  <si>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</si>
  <si>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</si>
  <si>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</si>
  <si>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</si>
  <si>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</si>
  <si>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</si>
  <si>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</si>
  <si>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</si>
  <si>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</si>
  <si>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</si>
  <si>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</si>
  <si>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</si>
  <si>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</si>
  <si>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</si>
  <si>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</si>
  <si>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</si>
  <si>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r>
      <rPr>
        <b val="true"/>
        <sz val="11"/>
        <color theme="1"/>
        <rFont val="WenQuanYi Zen Hei"/>
        <family val="2"/>
      </rPr>
      <t xml:space="preserve">クロージング（資金決済、株主名簿書換、役員変更登記申請</t>
    </r>
    <r>
      <rPr>
        <b val="true"/>
        <sz val="11"/>
        <color theme="1"/>
        <rFont val="游ゴシック"/>
        <family val="3"/>
        <charset val="128"/>
      </rPr>
      <t xml:space="preserve">)</t>
    </r>
  </si>
  <si>
    <r>
      <rPr>
        <sz val="11"/>
        <color theme="1"/>
        <rFont val="WenQuanYi Zen Hei"/>
        <family val="2"/>
      </rPr>
      <t xml:space="preserve">従業員・取引先への開示、</t>
    </r>
    <r>
      <rPr>
        <sz val="11"/>
        <color theme="1"/>
        <rFont val="游ゴシック"/>
        <family val="3"/>
        <charset val="128"/>
      </rPr>
      <t xml:space="preserve">PMI</t>
    </r>
  </si>
  <si>
    <r>
      <rPr>
        <sz val="11"/>
        <color theme="1"/>
        <rFont val="游ゴシック"/>
        <family val="3"/>
        <charset val="128"/>
      </rPr>
      <t xml:space="preserve">2026</t>
    </r>
    <r>
      <rPr>
        <sz val="11"/>
        <color theme="1"/>
        <rFont val="WenQuanYi Zen Hei"/>
        <family val="2"/>
      </rPr>
      <t xml:space="preserve">年</t>
    </r>
  </si>
  <si>
    <t xml:space="preserve">月次推移（総勘定元帳より集計、単位：円）</t>
  </si>
  <si>
    <t xml:space="preserve">年月</t>
  </si>
  <si>
    <t xml:space="preserve">営業損益</t>
  </si>
  <si>
    <t xml:space="preserve">2025/06</t>
  </si>
  <si>
    <t xml:space="preserve">2025/07</t>
  </si>
  <si>
    <t xml:space="preserve">2025/08</t>
  </si>
  <si>
    <t xml:space="preserve">2025/09</t>
  </si>
  <si>
    <t xml:space="preserve">2025/10</t>
  </si>
  <si>
    <t xml:space="preserve">2025/11</t>
  </si>
  <si>
    <t xml:space="preserve">2025/12</t>
  </si>
  <si>
    <t xml:space="preserve">2026/01</t>
  </si>
  <si>
    <t xml:space="preserve">2026/02</t>
  </si>
  <si>
    <t xml:space="preserve">2026/03</t>
  </si>
  <si>
    <t xml:space="preserve">2026/04</t>
  </si>
  <si>
    <t xml:space="preserve">2026/05</t>
  </si>
  <si>
    <r>
      <rPr>
        <sz val="11"/>
        <color theme="1"/>
        <rFont val="WenQuanYi Zen Hei"/>
        <family val="2"/>
      </rPr>
      <t xml:space="preserve">期末に年間減価償却費</t>
    </r>
    <r>
      <rPr>
        <sz val="11"/>
        <color theme="1"/>
        <rFont val="游ゴシック Medium"/>
        <family val="2"/>
        <charset val="128"/>
      </rPr>
      <t xml:space="preserve">835</t>
    </r>
    <r>
      <rPr>
        <sz val="11"/>
        <color theme="1"/>
        <rFont val="WenQuanYi Zen Hei"/>
        <family val="2"/>
      </rPr>
      <t xml:space="preserve">千円を一括計上</t>
    </r>
  </si>
  <si>
    <t xml:space="preserve">2026/06</t>
  </si>
  <si>
    <r>
      <rPr>
        <sz val="11"/>
        <color theme="1"/>
        <rFont val="WenQuanYi Zen Hei"/>
        <family val="2"/>
      </rPr>
      <t xml:space="preserve">進行期（</t>
    </r>
    <r>
      <rPr>
        <sz val="11"/>
        <color theme="1"/>
        <rFont val="游ゴシック Medium"/>
        <family val="2"/>
        <charset val="128"/>
      </rPr>
      <t xml:space="preserve">27</t>
    </r>
    <r>
      <rPr>
        <sz val="11"/>
        <color theme="1"/>
        <rFont val="WenQuanYi Zen Hei"/>
        <family val="2"/>
      </rPr>
      <t xml:space="preserve">年</t>
    </r>
    <r>
      <rPr>
        <sz val="11"/>
        <color theme="1"/>
        <rFont val="游ゴシック Medium"/>
        <family val="2"/>
        <charset val="128"/>
      </rPr>
      <t xml:space="preserve">5</t>
    </r>
    <r>
      <rPr>
        <sz val="11"/>
        <color theme="1"/>
        <rFont val="WenQuanYi Zen Hei"/>
        <family val="2"/>
      </rPr>
      <t xml:space="preserve">月期）</t>
    </r>
  </si>
  <si>
    <t xml:space="preserve">2026/07</t>
  </si>
  <si>
    <t xml:space="preserve">2026/08</t>
  </si>
  <si>
    <r>
      <rPr>
        <sz val="11"/>
        <color theme="1"/>
        <rFont val="游ゴシック Medium"/>
        <family val="2"/>
        <charset val="128"/>
      </rPr>
      <t xml:space="preserve">37</t>
    </r>
    <r>
      <rPr>
        <sz val="11"/>
        <color theme="1"/>
        <rFont val="WenQuanYi Zen Hei"/>
        <family val="2"/>
      </rPr>
      <t xml:space="preserve">期計（検算）</t>
    </r>
  </si>
  <si>
    <r>
      <rPr>
        <sz val="11"/>
        <color theme="1"/>
        <rFont val="游ゴシック Medium"/>
        <family val="2"/>
        <charset val="128"/>
      </rPr>
      <t xml:space="preserve">PL</t>
    </r>
    <r>
      <rPr>
        <sz val="11"/>
        <color theme="1"/>
        <rFont val="WenQuanYi Zen Hei"/>
        <family val="2"/>
      </rPr>
      <t xml:space="preserve">（</t>
    </r>
    <r>
      <rPr>
        <sz val="11"/>
        <color theme="1"/>
        <rFont val="游ゴシック Medium"/>
        <family val="2"/>
        <charset val="128"/>
      </rPr>
      <t xml:space="preserve">37</t>
    </r>
    <r>
      <rPr>
        <sz val="11"/>
        <color theme="1"/>
        <rFont val="WenQuanYi Zen Hei"/>
        <family val="2"/>
      </rPr>
      <t xml:space="preserve">期）</t>
    </r>
  </si>
  <si>
    <r>
      <rPr>
        <sz val="10"/>
        <rFont val="WenQuanYi Zen Hei"/>
        <family val="2"/>
      </rPr>
      <t xml:space="preserve">※元帳の科目合計による月次集計。期末決算整理（減価償却費）は</t>
    </r>
    <r>
      <rPr>
        <sz val="10"/>
        <rFont val="游ゴシック Medium"/>
        <family val="0"/>
        <charset val="1"/>
      </rPr>
      <t xml:space="preserve">5</t>
    </r>
    <r>
      <rPr>
        <sz val="10"/>
        <rFont val="WenQuanYi Zen Hei"/>
        <family val="2"/>
      </rPr>
      <t xml:space="preserve">月に計上。</t>
    </r>
    <r>
      <rPr>
        <sz val="10"/>
        <rFont val="游ゴシック Medium"/>
        <family val="0"/>
        <charset val="1"/>
      </rPr>
      <t xml:space="preserve">37</t>
    </r>
    <r>
      <rPr>
        <sz val="10"/>
        <rFont val="WenQuanYi Zen Hei"/>
        <family val="2"/>
      </rPr>
      <t xml:space="preserve">期計は</t>
    </r>
    <r>
      <rPr>
        <sz val="10"/>
        <rFont val="游ゴシック Medium"/>
        <family val="0"/>
        <charset val="1"/>
      </rPr>
      <t xml:space="preserve">PL</t>
    </r>
    <r>
      <rPr>
        <sz val="10"/>
        <rFont val="WenQuanYi Zen Hei"/>
        <family val="2"/>
      </rPr>
      <t xml:space="preserve">と一致。</t>
    </r>
  </si>
  <si>
    <t xml:space="preserve">期</t>
  </si>
  <si>
    <r>
      <rPr>
        <sz val="11"/>
        <color theme="1"/>
        <rFont val="WenQuanYi Zen Hei"/>
        <family val="2"/>
      </rPr>
      <t xml:space="preserve">調整後</t>
    </r>
    <r>
      <rPr>
        <sz val="11"/>
        <color theme="1"/>
        <rFont val="游ゴシック Medium"/>
        <family val="2"/>
        <charset val="128"/>
      </rPr>
      <t xml:space="preserve">EBITDA</t>
    </r>
  </si>
  <si>
    <r>
      <rPr>
        <sz val="11"/>
        <color theme="1"/>
        <rFont val="游ゴシック Medium"/>
        <family val="2"/>
        <charset val="128"/>
      </rPr>
      <t xml:space="preserve">24</t>
    </r>
    <r>
      <rPr>
        <sz val="11"/>
        <color theme="1"/>
        <rFont val="WenQuanYi Zen Hei"/>
        <family val="2"/>
      </rPr>
      <t xml:space="preserve">年</t>
    </r>
    <r>
      <rPr>
        <sz val="11"/>
        <color theme="1"/>
        <rFont val="游ゴシック Medium"/>
        <family val="2"/>
        <charset val="128"/>
      </rPr>
      <t xml:space="preserve">5</t>
    </r>
    <r>
      <rPr>
        <sz val="11"/>
        <color theme="1"/>
        <rFont val="WenQuanYi Zen Hei"/>
        <family val="2"/>
      </rPr>
      <t xml:space="preserve">月期</t>
    </r>
  </si>
  <si>
    <r>
      <rPr>
        <sz val="11"/>
        <color theme="1"/>
        <rFont val="游ゴシック Medium"/>
        <family val="2"/>
        <charset val="128"/>
      </rPr>
      <t xml:space="preserve">25</t>
    </r>
    <r>
      <rPr>
        <sz val="11"/>
        <color theme="1"/>
        <rFont val="WenQuanYi Zen Hei"/>
        <family val="2"/>
      </rPr>
      <t xml:space="preserve">年</t>
    </r>
    <r>
      <rPr>
        <sz val="11"/>
        <color theme="1"/>
        <rFont val="游ゴシック Medium"/>
        <family val="2"/>
        <charset val="128"/>
      </rPr>
      <t xml:space="preserve">5</t>
    </r>
    <r>
      <rPr>
        <sz val="11"/>
        <color theme="1"/>
        <rFont val="WenQuanYi Zen Hei"/>
        <family val="2"/>
      </rPr>
      <t xml:space="preserve">月期</t>
    </r>
  </si>
  <si>
    <r>
      <rPr>
        <sz val="11"/>
        <color theme="1"/>
        <rFont val="游ゴシック Medium"/>
        <family val="2"/>
        <charset val="128"/>
      </rPr>
      <t xml:space="preserve">26</t>
    </r>
    <r>
      <rPr>
        <sz val="11"/>
        <color theme="1"/>
        <rFont val="WenQuanYi Zen Hei"/>
        <family val="2"/>
      </rPr>
      <t xml:space="preserve">年</t>
    </r>
    <r>
      <rPr>
        <sz val="11"/>
        <color theme="1"/>
        <rFont val="游ゴシック Medium"/>
        <family val="2"/>
        <charset val="128"/>
      </rPr>
      <t xml:space="preserve">5</t>
    </r>
    <r>
      <rPr>
        <sz val="11"/>
        <color theme="1"/>
        <rFont val="WenQuanYi Zen Hei"/>
        <family val="2"/>
      </rPr>
      <t xml:space="preserve">月期</t>
    </r>
  </si>
  <si>
    <t xml:space="preserve">あああ</t>
  </si>
  <si>
    <t xml:space="preserve">あああああ</t>
  </si>
  <si>
    <t xml:space="preserve">XXXXX</t>
  </si>
  <si>
    <t xml:space="preserve">ああああああああああああああああああああああああああああああああ</t>
  </si>
</sst>
</file>

<file path=xl/styles.xml><?xml version="1.0" encoding="utf-8"?>
<styleSheet xmlns="http://schemas.openxmlformats.org/spreadsheetml/2006/main">
  <numFmts count="18">
    <numFmt numFmtId="164" formatCode="General"/>
    <numFmt numFmtId="165" formatCode="#,##0,"/>
    <numFmt numFmtId="166" formatCode="#,##0,;\△#,##0,;0"/>
    <numFmt numFmtId="167" formatCode="0.0%"/>
    <numFmt numFmtId="168" formatCode="#,##0_);[RED]\(#,##0\)"/>
    <numFmt numFmtId="169" formatCode="#,##0,;\△#,##0,"/>
    <numFmt numFmtId="170" formatCode="#,##0.00_ "/>
    <numFmt numFmtId="171" formatCode="0.00_);[RED]\(0.00\)"/>
    <numFmt numFmtId="172" formatCode="#,##0;&quot;△ &quot;#,##0"/>
    <numFmt numFmtId="173" formatCode="#,##0_ "/>
    <numFmt numFmtId="174" formatCode="#,##0.0_ "/>
    <numFmt numFmtId="175" formatCode="m/d/yyyy"/>
    <numFmt numFmtId="176" formatCode="0_);[RED]\(0\)"/>
    <numFmt numFmtId="177" formatCode="yyyy\-mm\-dd"/>
    <numFmt numFmtId="178" formatCode="yyyy\-mm\-dd\ h:mm:ss"/>
    <numFmt numFmtId="179" formatCode="0.0"/>
    <numFmt numFmtId="180" formatCode="#,##0.00"/>
    <numFmt numFmtId="181" formatCode="m\月d\日;@"/>
  </numFmts>
  <fonts count="78">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font>
    <font>
      <b val="true"/>
      <sz val="12"/>
      <color theme="0"/>
      <name val="WenQuanYi Zen Hei"/>
      <family val="2"/>
    </font>
    <font>
      <b val="true"/>
      <sz val="12"/>
      <color theme="0"/>
      <name val="游ゴシック"/>
      <family val="3"/>
      <charset val="128"/>
    </font>
    <font>
      <b val="true"/>
      <sz val="12"/>
      <color theme="1"/>
      <name val="WenQuanYi Zen Hei"/>
      <family val="2"/>
    </font>
    <font>
      <b val="true"/>
      <sz val="12"/>
      <color theme="1"/>
      <name val="Arial"/>
      <family val="2"/>
      <charset val="1"/>
    </font>
    <font>
      <sz val="12"/>
      <color theme="1"/>
      <name val="WenQuanYi Zen Hei"/>
      <family val="2"/>
    </font>
    <font>
      <sz val="12"/>
      <color theme="1"/>
      <name val="Arial"/>
      <family val="2"/>
      <charset val="1"/>
    </font>
    <font>
      <b val="true"/>
      <sz val="11"/>
      <color rgb="FFFF0000"/>
      <name val="WenQuanYi Zen Hei"/>
      <family val="2"/>
    </font>
    <font>
      <b val="true"/>
      <sz val="11"/>
      <color rgb="FFFF0000"/>
      <name val="游ゴシック Medium"/>
      <family val="3"/>
      <charset val="128"/>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0"/>
      <name val="WenQuanYi Zen Hei"/>
      <family val="2"/>
    </font>
    <font>
      <sz val="10"/>
      <name val="游ゴシック Medium"/>
      <family val="0"/>
      <charset val="1"/>
    </font>
    <font>
      <sz val="11"/>
      <color theme="1"/>
      <name val="游ゴシック"/>
      <family val="3"/>
      <charset val="128"/>
    </font>
    <font>
      <sz val="12"/>
      <color theme="1"/>
      <name val="游ゴシック"/>
      <family val="2"/>
      <charset val="128"/>
    </font>
    <font>
      <b val="true"/>
      <sz val="14"/>
      <color theme="1"/>
      <name val="游ゴシック"/>
      <family val="3"/>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font>
    <font>
      <sz val="12"/>
      <name val="Arial"/>
      <family val="2"/>
      <charset val="1"/>
    </font>
    <font>
      <sz val="12"/>
      <color theme="0" tint="-0.15"/>
      <name val="Arial"/>
      <family val="2"/>
      <charset val="1"/>
    </font>
    <font>
      <sz val="10"/>
      <color rgb="FF000000"/>
      <name val="Arial"/>
      <family val="2"/>
    </font>
    <font>
      <sz val="9"/>
      <color rgb="FF0B3041"/>
      <name val="Arial"/>
      <family val="2"/>
    </font>
    <font>
      <b val="true"/>
      <sz val="18"/>
      <color rgb="FF000000"/>
      <name val="游ゴシック Medium"/>
      <family val="2"/>
    </font>
    <font>
      <sz val="11"/>
      <color theme="1"/>
      <name val="Arial"/>
      <family val="2"/>
      <charset val="1"/>
    </font>
    <font>
      <sz val="12"/>
      <color theme="1"/>
      <name val="ＭＳ Ｐゴシック"/>
      <family val="2"/>
      <charset val="128"/>
    </font>
    <font>
      <sz val="12"/>
      <color theme="1"/>
      <name val="游ゴシック Medium"/>
      <family val="2"/>
      <charset val="128"/>
    </font>
    <font>
      <b val="true"/>
      <sz val="14"/>
      <color theme="1"/>
      <name val="Arial"/>
      <family val="2"/>
      <charset val="1"/>
    </font>
    <font>
      <sz val="12"/>
      <name val="Arial"/>
      <family val="0"/>
      <charset val="1"/>
    </font>
    <font>
      <sz val="12"/>
      <name val="游ゴシック"/>
      <family val="0"/>
      <charset val="1"/>
    </font>
    <font>
      <b val="true"/>
      <sz val="12"/>
      <name val="WenQuanYi Zen Hei"/>
      <family val="2"/>
    </font>
    <font>
      <b val="true"/>
      <sz val="12"/>
      <name val="Arial"/>
      <family val="0"/>
      <charset val="1"/>
    </font>
    <font>
      <sz val="9"/>
      <color theme="1"/>
      <name val="WenQuanYi Zen Hei"/>
      <family val="2"/>
    </font>
    <font>
      <sz val="9"/>
      <color theme="1"/>
      <name val="游ゴシック Medium"/>
      <family val="3"/>
      <charset val="128"/>
    </font>
    <font>
      <sz val="11"/>
      <color theme="1"/>
      <name val="游ゴシック Medium"/>
      <family val="3"/>
      <charset val="128"/>
    </font>
    <font>
      <sz val="12"/>
      <color theme="1"/>
      <name val="Arial"/>
      <family val="3"/>
      <charset val="128"/>
    </font>
    <font>
      <b val="true"/>
      <sz val="11"/>
      <color theme="1"/>
      <name val="WenQuanYi Zen Hei"/>
      <family val="2"/>
    </font>
    <font>
      <sz val="9"/>
      <color theme="1"/>
      <name val="游ゴシック"/>
      <family val="3"/>
      <charset val="128"/>
    </font>
    <font>
      <sz val="12"/>
      <color theme="1"/>
      <name val="游ゴシック"/>
      <family val="3"/>
      <charset val="134"/>
    </font>
    <font>
      <sz val="12"/>
      <color theme="0"/>
      <name val="游ゴシック"/>
      <family val="3"/>
      <charset val="128"/>
    </font>
    <font>
      <sz val="11"/>
      <color rgb="FFFF0000"/>
      <name val="游ゴシック"/>
      <family val="3"/>
      <charset val="128"/>
    </font>
    <font>
      <i val="true"/>
      <sz val="9"/>
      <color theme="1"/>
      <name val="游ゴシック"/>
      <family val="3"/>
      <charset val="128"/>
    </font>
    <font>
      <i val="true"/>
      <sz val="9"/>
      <color theme="1"/>
      <name val="WenQuanYi Zen Hei"/>
      <family val="2"/>
    </font>
    <font>
      <i val="true"/>
      <sz val="9"/>
      <color theme="1"/>
      <name val="Arial"/>
      <family val="2"/>
      <charset val="1"/>
    </font>
    <font>
      <b val="true"/>
      <sz val="11"/>
      <color theme="1"/>
      <name val="Arial"/>
      <family val="2"/>
      <charset val="1"/>
    </font>
    <font>
      <sz val="12"/>
      <color theme="1"/>
      <name val="Arial"/>
      <family val="2"/>
      <charset val="128"/>
    </font>
    <font>
      <sz val="10"/>
      <color theme="1"/>
      <name val="WenQuanYi Zen Hei"/>
      <family val="2"/>
    </font>
    <font>
      <sz val="10"/>
      <color theme="1"/>
      <name val="Arial"/>
      <family val="2"/>
      <charset val="1"/>
    </font>
    <font>
      <sz val="10"/>
      <color theme="1"/>
      <name val="游ゴシック"/>
      <family val="3"/>
      <charset val="128"/>
    </font>
    <font>
      <b val="true"/>
      <sz val="11"/>
      <color theme="1"/>
      <name val="游ゴシック Medium"/>
      <family val="2"/>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
      <b val="true"/>
      <sz val="11"/>
      <color rgb="FFFFFFFF"/>
      <name val="游ゴシック"/>
      <family val="0"/>
      <charset val="1"/>
    </font>
    <font>
      <b val="true"/>
      <sz val="11"/>
      <color rgb="FFFFFFFF"/>
      <name val="WenQuanYi Zen Hei"/>
      <family val="2"/>
    </font>
    <font>
      <b val="true"/>
      <sz val="12"/>
      <color rgb="FFC00000"/>
      <name val="WenQuanYi Zen Hei"/>
      <family val="2"/>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1"/>
      <color theme="9"/>
      <name val="游ゴシック"/>
      <family val="3"/>
      <charset val="128"/>
    </font>
    <font>
      <sz val="11"/>
      <name val="WenQuanYi Zen Hei"/>
      <family val="2"/>
    </font>
    <font>
      <b val="true"/>
      <sz val="11"/>
      <color theme="0" tint="-0.05"/>
      <name val="WenQuanYi Zen Hei"/>
      <family val="2"/>
    </font>
    <font>
      <b val="true"/>
      <sz val="11"/>
      <color theme="0" tint="-0.05"/>
      <name val="游ゴシック"/>
      <family val="3"/>
      <charset val="128"/>
    </font>
    <font>
      <b val="true"/>
      <sz val="11"/>
      <color theme="1"/>
      <name val="游ゴシック"/>
      <family val="3"/>
      <charset val="128"/>
    </font>
    <font>
      <sz val="11"/>
      <name val="Arial"/>
      <family val="0"/>
      <charset val="1"/>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FFFF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C00000"/>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107">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medium">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style="thin">
        <color theme="0"/>
      </left>
      <right style="thin">
        <color theme="0"/>
      </right>
      <top/>
      <bottom style="thin"/>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style="thin">
        <color theme="0"/>
      </right>
      <top style="thin">
        <color theme="3"/>
      </top>
      <bottom style="thin"/>
      <diagonal/>
    </border>
    <border diagonalUp="false" diagonalDown="false">
      <left style="thin">
        <color theme="0"/>
      </left>
      <right/>
      <top/>
      <bottom style="thin">
        <color theme="0"/>
      </bottom>
      <diagonal/>
    </border>
    <border diagonalUp="false" diagonalDown="false">
      <left/>
      <right style="thin">
        <color theme="0"/>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thin">
        <color theme="0"/>
      </left>
      <right style="thin">
        <color theme="0"/>
      </right>
      <top style="thin">
        <color theme="3"/>
      </top>
      <bottom/>
      <diagonal/>
    </border>
    <border diagonalUp="false" diagonalDown="false">
      <left style="thin">
        <color theme="0"/>
      </left>
      <right/>
      <top style="thin">
        <color theme="3"/>
      </top>
      <bottom/>
      <diagonal/>
    </border>
    <border diagonalUp="false" diagonalDown="false">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style="thin">
        <color theme="3"/>
      </top>
      <bottom style="medium">
        <color theme="7"/>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medium">
        <color theme="7"/>
      </right>
      <top style="thin">
        <color theme="3"/>
      </top>
      <bottom/>
      <diagonal/>
    </border>
    <border diagonalUp="false" diagonalDown="false">
      <left/>
      <right style="thin">
        <color theme="0"/>
      </right>
      <top style="thin"/>
      <bottom style="thin">
        <color theme="3"/>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bottom style="thin">
        <color theme="3"/>
      </bottom>
      <diagonal/>
    </border>
    <border diagonalUp="false" diagonalDown="false">
      <left style="medium">
        <color theme="7"/>
      </left>
      <right style="medium">
        <color theme="7"/>
      </right>
      <top style="thin"/>
      <bottom style="thin">
        <color theme="3"/>
      </bottom>
      <diagonal/>
    </border>
    <border diagonalUp="false" diagonalDown="false">
      <left style="medium">
        <color theme="7"/>
      </left>
      <right style="medium">
        <color theme="7"/>
      </right>
      <top style="thin"/>
      <bottom style="medium">
        <color theme="7"/>
      </bottom>
      <diagonal/>
    </border>
    <border diagonalUp="false" diagonalDown="false">
      <left/>
      <right/>
      <top style="thin"/>
      <bottom style="thin">
        <color theme="3"/>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thin">
        <color theme="0"/>
      </right>
      <top style="thin"/>
      <bottom/>
      <diagonal/>
    </border>
    <border diagonalUp="false" diagonalDown="false">
      <left style="thin">
        <color theme="0"/>
      </left>
      <right style="thin">
        <color theme="0"/>
      </right>
      <top style="thin"/>
      <bottom style="thin"/>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2">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8" fontId="0" fillId="0" borderId="0" applyFont="true" applyBorder="true" applyAlignment="true" applyProtection="true">
      <alignment horizontal="general" vertical="center" textRotation="0" wrapText="false" indent="0" shrinkToFit="false"/>
      <protection locked="true" hidden="false"/>
    </xf>
  </cellStyleXfs>
  <cellXfs count="604">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0" fillId="3"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true" applyBorder="false" applyAlignment="true" applyProtection="false">
      <alignment horizontal="general" vertical="center" textRotation="0" wrapText="false" indent="0" shrinkToFit="false"/>
      <protection locked="true" hidden="false"/>
    </xf>
    <xf numFmtId="164" fontId="0" fillId="6"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true" indent="0" shrinkToFit="false"/>
      <protection locked="true" hidden="false"/>
    </xf>
    <xf numFmtId="164" fontId="7"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5"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7"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4"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5" fillId="2" borderId="7" xfId="0" applyFont="true" applyBorder="true" applyAlignment="true" applyProtection="false">
      <alignment horizontal="right" vertical="center" textRotation="0" wrapText="false" indent="1" shrinkToFit="false"/>
      <protection locked="true" hidden="false"/>
    </xf>
    <xf numFmtId="166" fontId="15"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20"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5"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5"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tru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6" fillId="2" borderId="27" xfId="0" applyFont="true" applyBorder="true" applyAlignment="true" applyProtection="false">
      <alignment horizontal="center" vertical="center" textRotation="0" wrapText="false" indent="0"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66" fontId="14" fillId="5" borderId="3" xfId="0" applyFont="true" applyBorder="true" applyAlignment="true" applyProtection="false">
      <alignment horizontal="right" vertical="center" textRotation="0" wrapText="false" indent="1" shrinkToFit="false"/>
      <protection locked="true" hidden="false"/>
    </xf>
    <xf numFmtId="166" fontId="14" fillId="4" borderId="12" xfId="0" applyFont="true" applyBorder="true" applyAlignment="true" applyProtection="false">
      <alignment horizontal="left" vertical="center" textRotation="0" wrapText="false" indent="1" shrinkToFit="false"/>
      <protection locked="true" hidden="false"/>
    </xf>
    <xf numFmtId="166" fontId="14" fillId="5" borderId="12" xfId="0" applyFont="true" applyBorder="true" applyAlignment="true" applyProtection="false">
      <alignment horizontal="righ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4" fillId="4" borderId="2" xfId="0" applyFont="true" applyBorder="true" applyAlignment="true" applyProtection="false">
      <alignment horizontal="left" vertical="center" textRotation="0" wrapText="false" indent="1" shrinkToFit="false"/>
      <protection locked="true" hidden="false"/>
    </xf>
    <xf numFmtId="166" fontId="14" fillId="5" borderId="2" xfId="0" applyFont="true" applyBorder="true" applyAlignment="true" applyProtection="false">
      <alignment horizontal="right" vertical="center" textRotation="0" wrapText="false" indent="1" shrinkToFit="false"/>
      <protection locked="true" hidden="false"/>
    </xf>
    <xf numFmtId="164" fontId="8" fillId="9" borderId="28" xfId="0" applyFont="true" applyBorder="true" applyAlignment="true" applyProtection="false">
      <alignment horizontal="left" vertical="center" textRotation="0" wrapText="false" indent="1" shrinkToFit="false"/>
      <protection locked="true" hidden="false"/>
    </xf>
    <xf numFmtId="166" fontId="21" fillId="9" borderId="28" xfId="0" applyFont="true" applyBorder="true" applyAlignment="true" applyProtection="false">
      <alignment horizontal="right" vertical="center" textRotation="0" wrapText="false" indent="1" shrinkToFit="false"/>
      <protection locked="true" hidden="false"/>
    </xf>
    <xf numFmtId="164" fontId="8" fillId="9" borderId="29" xfId="0" applyFont="true" applyBorder="true" applyAlignment="true" applyProtection="false">
      <alignment horizontal="left" vertical="center" textRotation="0" wrapText="false" indent="1" shrinkToFit="false"/>
      <protection locked="true" hidden="false"/>
    </xf>
    <xf numFmtId="166" fontId="21" fillId="9" borderId="30" xfId="0" applyFont="true" applyBorder="true" applyAlignment="true" applyProtection="false">
      <alignment horizontal="right" vertical="center" textRotation="0" wrapText="false" indent="1"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0" fillId="0" borderId="18" xfId="0" applyFont="true" applyBorder="true" applyAlignment="true" applyProtection="false">
      <alignment horizontal="general"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7" fillId="2" borderId="10" xfId="0" applyFont="true" applyBorder="true" applyAlignment="true" applyProtection="false">
      <alignment horizontal="center" vertical="center" textRotation="0" wrapText="true" indent="0" shrinkToFit="false"/>
      <protection locked="true" hidden="false"/>
    </xf>
    <xf numFmtId="164" fontId="6" fillId="2" borderId="31" xfId="0" applyFont="true" applyBorder="true" applyAlignment="true" applyProtection="false">
      <alignment horizontal="center" vertical="center" textRotation="0" wrapText="false" indent="0" shrinkToFit="false"/>
      <protection locked="true" hidden="false"/>
    </xf>
    <xf numFmtId="164" fontId="7" fillId="8" borderId="10" xfId="0" applyFont="true" applyBorder="true" applyAlignment="true" applyProtection="false">
      <alignment horizontal="center" vertical="center" textRotation="0" wrapText="true" indent="0" shrinkToFit="false"/>
      <protection locked="true" hidden="false"/>
    </xf>
    <xf numFmtId="164" fontId="6" fillId="2" borderId="32"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32"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6" fontId="11" fillId="0" borderId="33" xfId="0" applyFont="true" applyBorder="true" applyAlignment="true" applyProtection="false">
      <alignment horizontal="right" vertical="center" textRotation="0" wrapText="false" indent="1" shrinkToFit="false"/>
      <protection locked="true" hidden="false"/>
    </xf>
    <xf numFmtId="167" fontId="11" fillId="0" borderId="33" xfId="0" applyFont="true" applyBorder="true" applyAlignment="true" applyProtection="false">
      <alignment horizontal="right" vertical="center" textRotation="0" wrapText="false" indent="1" shrinkToFit="false"/>
      <protection locked="true" hidden="false"/>
    </xf>
    <xf numFmtId="164" fontId="14"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5" xfId="0" applyFont="true" applyBorder="true" applyAlignment="true" applyProtection="false">
      <alignment horizontal="left" vertical="center" textRotation="0" wrapText="false" indent="2" shrinkToFit="false"/>
      <protection locked="true" hidden="false"/>
    </xf>
    <xf numFmtId="164" fontId="8" fillId="4" borderId="34"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5"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4" fillId="4" borderId="17" xfId="0" applyFont="true" applyBorder="true" applyAlignment="true" applyProtection="false">
      <alignment horizontal="left" vertical="center" textRotation="0" wrapText="false" indent="3" shrinkToFit="false"/>
      <protection locked="true" hidden="false"/>
    </xf>
    <xf numFmtId="167" fontId="11" fillId="0" borderId="36" xfId="0" applyFont="true" applyBorder="true" applyAlignment="true" applyProtection="false">
      <alignment horizontal="right" vertical="center" textRotation="0" wrapText="false" indent="1" shrinkToFit="false"/>
      <protection locked="true" hidden="false"/>
    </xf>
    <xf numFmtId="166" fontId="11" fillId="0" borderId="36" xfId="0" applyFont="true" applyBorder="true" applyAlignment="true" applyProtection="false">
      <alignment horizontal="right" vertical="center" textRotation="0" wrapText="false" indent="1" shrinkToFit="false"/>
      <protection locked="true" hidden="false"/>
    </xf>
    <xf numFmtId="164" fontId="22" fillId="4" borderId="17" xfId="0" applyFont="true" applyBorder="true" applyAlignment="true" applyProtection="false">
      <alignment horizontal="left" vertical="center" textRotation="0" wrapText="false" indent="1"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7" fontId="0" fillId="0" borderId="0" xfId="0" applyFont="true" applyBorder="false" applyAlignment="true" applyProtection="false">
      <alignment horizontal="general" vertical="center" textRotation="0" wrapText="false" indent="0" shrinkToFit="false"/>
      <protection locked="true" hidden="false"/>
    </xf>
    <xf numFmtId="167" fontId="0" fillId="0" borderId="14" xfId="0" applyFont="true" applyBorder="true" applyAlignment="true" applyProtection="false">
      <alignment horizontal="general" vertical="center" textRotation="0" wrapText="false" indent="0" shrinkToFit="false"/>
      <protection locked="true" hidden="false"/>
    </xf>
    <xf numFmtId="167" fontId="0" fillId="0" borderId="18" xfId="0" applyFont="true" applyBorder="true" applyAlignment="true" applyProtection="false">
      <alignment horizontal="general" vertical="center" textRotation="0" wrapText="false" indent="0" shrinkToFit="false"/>
      <protection locked="true" hidden="false"/>
    </xf>
    <xf numFmtId="164" fontId="6" fillId="2" borderId="37" xfId="0" applyFont="true" applyBorder="true" applyAlignment="true" applyProtection="false">
      <alignment horizontal="center" vertical="center" textRotation="0" wrapText="fals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38"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38" xfId="0" applyFont="true" applyBorder="true" applyAlignment="true" applyProtection="false">
      <alignment horizontal="center" vertical="center" textRotation="0" wrapText="false" indent="0" shrinkToFit="false"/>
      <protection locked="true" hidden="false"/>
    </xf>
    <xf numFmtId="165" fontId="23"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9"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4" fillId="4" borderId="14" xfId="0" applyFont="true" applyBorder="true" applyAlignment="true" applyProtection="false">
      <alignment horizontal="left" vertical="center" textRotation="0" wrapText="false" indent="2" shrinkToFit="false"/>
      <protection locked="true" hidden="false"/>
    </xf>
    <xf numFmtId="164" fontId="8" fillId="3" borderId="34"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4" xfId="0" applyFont="true" applyBorder="true" applyAlignment="true" applyProtection="false">
      <alignment horizontal="left" vertical="center" textRotation="0" wrapText="false" indent="2" shrinkToFit="false"/>
      <protection locked="true" hidden="false"/>
    </xf>
    <xf numFmtId="164" fontId="10" fillId="0" borderId="34" xfId="0" applyFont="true" applyBorder="true" applyAlignment="true" applyProtection="false">
      <alignment horizontal="left" vertical="center" textRotation="0" wrapText="false" indent="2" shrinkToFit="false"/>
      <protection locked="true" hidden="false"/>
    </xf>
    <xf numFmtId="164" fontId="25" fillId="0" borderId="34" xfId="0" applyFont="true" applyBorder="true" applyAlignment="true" applyProtection="false">
      <alignment horizontal="left" vertical="center" textRotation="0" wrapText="false" indent="2" shrinkToFit="false"/>
      <protection locked="true" hidden="false"/>
    </xf>
    <xf numFmtId="166" fontId="26" fillId="0" borderId="20" xfId="0" applyFont="true" applyBorder="true" applyAlignment="true" applyProtection="false">
      <alignment horizontal="right" vertical="center" textRotation="0" wrapText="false" indent="1" shrinkToFit="false"/>
      <protection locked="true" hidden="false"/>
    </xf>
    <xf numFmtId="167" fontId="26" fillId="0" borderId="6" xfId="0" applyFont="true" applyBorder="true" applyAlignment="true" applyProtection="false">
      <alignment horizontal="right" vertical="center" textRotation="0" wrapText="false" indent="1" shrinkToFit="false"/>
      <protection locked="true" hidden="false"/>
    </xf>
    <xf numFmtId="166" fontId="26"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true" applyBorder="true" applyAlignment="true" applyProtection="false">
      <alignment horizontal="general" vertical="center" textRotation="0" wrapText="false" indent="0" shrinkToFit="false"/>
      <protection locked="true" hidden="false"/>
    </xf>
    <xf numFmtId="167" fontId="0" fillId="0" borderId="2" xfId="0" applyFont="true" applyBorder="true" applyAlignment="true" applyProtection="false">
      <alignment horizontal="general" vertical="center" textRotation="0" wrapText="false" indent="0" shrinkToFit="false"/>
      <protection locked="true" hidden="false"/>
    </xf>
    <xf numFmtId="166" fontId="0" fillId="0" borderId="2" xfId="0" applyFont="true" applyBorder="true" applyAlignment="true" applyProtection="false">
      <alignment horizontal="general" vertical="center" textRotation="0" wrapText="false" indent="0" shrinkToFit="false"/>
      <protection locked="true" hidden="false"/>
    </xf>
    <xf numFmtId="164" fontId="18" fillId="0" borderId="14" xfId="0" applyFont="tru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4" xfId="0" applyFont="true" applyBorder="true" applyAlignment="true" applyProtection="false">
      <alignment horizontal="left" vertical="center" textRotation="0" wrapText="false" indent="0" shrinkToFit="false"/>
      <protection locked="true" hidden="false"/>
    </xf>
    <xf numFmtId="166" fontId="9" fillId="3" borderId="40"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41"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42" xfId="0" applyFont="true" applyBorder="true" applyAlignment="true" applyProtection="false">
      <alignment horizontal="center" vertical="center" textRotation="0" wrapText="false" indent="0" shrinkToFit="false"/>
      <protection locked="true" hidden="false"/>
    </xf>
    <xf numFmtId="164" fontId="10" fillId="4" borderId="40" xfId="0" applyFont="true" applyBorder="true" applyAlignment="true" applyProtection="false">
      <alignment horizontal="left" vertical="center" textRotation="0" wrapText="false" indent="1" shrinkToFit="false"/>
      <protection locked="true" hidden="false"/>
    </xf>
    <xf numFmtId="165" fontId="11" fillId="0" borderId="12" xfId="21" applyFont="true" applyBorder="true" applyAlignment="true" applyProtection="false">
      <alignment horizontal="right" vertical="center" textRotation="0" wrapText="false" indent="1" shrinkToFit="false"/>
      <protection locked="true" hidden="false"/>
    </xf>
    <xf numFmtId="165" fontId="11" fillId="0" borderId="40" xfId="21" applyFont="true" applyBorder="true" applyAlignment="true" applyProtection="false">
      <alignment horizontal="right" vertical="center" textRotation="0" wrapText="false" indent="1" shrinkToFit="false"/>
      <protection locked="true" hidden="false"/>
    </xf>
    <xf numFmtId="165" fontId="27" fillId="0" borderId="12" xfId="21"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4" fontId="7" fillId="2" borderId="3" xfId="0" applyFont="true" applyBorder="true" applyAlignment="true" applyProtection="false">
      <alignment horizontal="center" vertical="center" textRotation="0" wrapText="true" indent="0" shrinkToFit="false"/>
      <protection locked="true" hidden="false"/>
    </xf>
    <xf numFmtId="166" fontId="9" fillId="3" borderId="43"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43"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43"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43" xfId="0" applyFont="true" applyBorder="true" applyAlignment="true" applyProtection="false">
      <alignment horizontal="right" vertical="center" textRotation="0" wrapText="false" indent="1" shrinkToFit="false"/>
      <protection locked="true" hidden="false"/>
    </xf>
    <xf numFmtId="164" fontId="14" fillId="4" borderId="44" xfId="0" applyFont="true" applyBorder="true" applyAlignment="true" applyProtection="false">
      <alignment horizontal="left" vertical="center" textRotation="0" wrapText="false" indent="1" shrinkToFit="false"/>
      <protection locked="true" hidden="false"/>
    </xf>
    <xf numFmtId="166" fontId="11" fillId="5" borderId="45" xfId="0" applyFont="true" applyBorder="true" applyAlignment="true" applyProtection="false">
      <alignment horizontal="right" vertical="center" textRotation="0" wrapText="false" indent="1" shrinkToFit="false"/>
      <protection locked="true" hidden="false"/>
    </xf>
    <xf numFmtId="166" fontId="11" fillId="5" borderId="46" xfId="0" applyFont="true" applyBorder="true" applyAlignment="true" applyProtection="false">
      <alignment horizontal="right" vertical="center" textRotation="0" wrapText="false" indent="1" shrinkToFit="false"/>
      <protection locked="true" hidden="false"/>
    </xf>
    <xf numFmtId="166" fontId="11" fillId="0" borderId="47"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5" fillId="2" borderId="12" xfId="0" applyFont="true" applyBorder="true" applyAlignment="true" applyProtection="false">
      <alignment horizontal="right" vertical="center" textRotation="0" wrapText="false" indent="1" shrinkToFit="false"/>
      <protection locked="true" hidden="false"/>
    </xf>
    <xf numFmtId="166" fontId="15" fillId="2" borderId="48" xfId="0" applyFont="true" applyBorder="true" applyAlignment="true" applyProtection="false">
      <alignment horizontal="right" vertical="center" textRotation="0" wrapText="false" indent="1" shrinkToFit="false"/>
      <protection locked="true" hidden="false"/>
    </xf>
    <xf numFmtId="166" fontId="31" fillId="0" borderId="0" xfId="0" applyFont="true" applyBorder="false" applyAlignment="true" applyProtection="false">
      <alignment horizontal="general" vertical="center" textRotation="0" wrapText="false" indent="0" shrinkToFit="false"/>
      <protection locked="true" hidden="false"/>
    </xf>
    <xf numFmtId="165" fontId="31" fillId="0" borderId="0" xfId="0" applyFont="true" applyBorder="false" applyAlignment="true" applyProtection="false">
      <alignment horizontal="general" vertical="center"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6" fillId="2" borderId="49"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7" fillId="2" borderId="50" xfId="0" applyFont="true" applyBorder="true" applyAlignment="true" applyProtection="false">
      <alignment horizontal="center" vertical="center" textRotation="0" wrapText="true" indent="0" shrinkToFit="false"/>
      <protection locked="true" hidden="false"/>
    </xf>
    <xf numFmtId="164" fontId="6" fillId="2" borderId="51"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5" fillId="2" borderId="6" xfId="0" applyFont="true" applyBorder="true" applyAlignment="true" applyProtection="false">
      <alignment horizontal="right" vertical="center" textRotation="0" wrapText="false" indent="1" shrinkToFit="false"/>
      <protection locked="true" hidden="false"/>
    </xf>
    <xf numFmtId="166" fontId="15" fillId="2" borderId="52"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3"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14" fillId="4" borderId="17" xfId="0" applyFont="true" applyBorder="true" applyAlignment="true" applyProtection="false">
      <alignment horizontal="left" vertical="center" textRotation="0" wrapText="false" indent="1" shrinkToFit="false"/>
      <protection locked="true" hidden="false"/>
    </xf>
    <xf numFmtId="164" fontId="14" fillId="4" borderId="42" xfId="0" applyFont="true" applyBorder="true" applyAlignment="true" applyProtection="false">
      <alignment horizontal="left" vertical="center" textRotation="0" wrapText="false" indent="1" shrinkToFit="false"/>
      <protection locked="true" hidden="false"/>
    </xf>
    <xf numFmtId="166" fontId="11" fillId="0" borderId="44" xfId="0" applyFont="true" applyBorder="true" applyAlignment="true" applyProtection="false">
      <alignment horizontal="right" vertical="center" textRotation="0" wrapText="false" indent="1" shrinkToFit="false"/>
      <protection locked="true" hidden="false"/>
    </xf>
    <xf numFmtId="166" fontId="11" fillId="0" borderId="54" xfId="0" applyFont="true" applyBorder="true" applyAlignment="true" applyProtection="false">
      <alignment horizontal="right" vertical="center" textRotation="0" wrapText="false" indent="1" shrinkToFit="false"/>
      <protection locked="true" hidden="false"/>
    </xf>
    <xf numFmtId="164" fontId="20" fillId="4" borderId="0" xfId="0" applyFont="true" applyBorder="false" applyAlignment="true" applyProtection="false">
      <alignment horizontal="left" vertical="center" textRotation="0" wrapText="false" indent="1" shrinkToFit="false"/>
      <protection locked="true" hidden="false"/>
    </xf>
    <xf numFmtId="164" fontId="8" fillId="3" borderId="55" xfId="0" applyFont="true" applyBorder="true" applyAlignment="true" applyProtection="false">
      <alignment horizontal="left" vertical="center" textRotation="0" wrapText="false" indent="1" shrinkToFit="false"/>
      <protection locked="true" hidden="false"/>
    </xf>
    <xf numFmtId="164" fontId="10" fillId="5" borderId="42" xfId="0" applyFont="true" applyBorder="true" applyAlignment="true" applyProtection="false">
      <alignment horizontal="left" vertical="center" textRotation="0" wrapText="false" indent="3" shrinkToFit="false"/>
      <protection locked="true" hidden="false"/>
    </xf>
    <xf numFmtId="166" fontId="32" fillId="5" borderId="44" xfId="0" applyFont="true" applyBorder="true" applyAlignment="true" applyProtection="false">
      <alignment horizontal="right" vertical="center" textRotation="0" wrapText="false" indent="1" shrinkToFit="false"/>
      <protection locked="true" hidden="false"/>
    </xf>
    <xf numFmtId="166" fontId="11" fillId="5" borderId="54" xfId="0" applyFont="true" applyBorder="true" applyAlignment="true" applyProtection="false">
      <alignment horizontal="right" vertical="center" textRotation="0" wrapText="false" indent="1" shrinkToFit="false"/>
      <protection locked="true" hidden="false"/>
    </xf>
    <xf numFmtId="166" fontId="11" fillId="5" borderId="47"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31" xfId="0" applyFont="true" applyBorder="true" applyAlignment="true" applyProtection="false">
      <alignment horizontal="left" vertical="center" textRotation="0" wrapText="false" indent="1" shrinkToFit="false"/>
      <protection locked="true" hidden="false"/>
    </xf>
    <xf numFmtId="166" fontId="15" fillId="2" borderId="10" xfId="0" applyFont="true" applyBorder="true" applyAlignment="true" applyProtection="false">
      <alignment horizontal="right" vertical="center" textRotation="0" wrapText="false" indent="1" shrinkToFit="false"/>
      <protection locked="true" hidden="false"/>
    </xf>
    <xf numFmtId="166" fontId="15" fillId="2" borderId="56" xfId="0" applyFont="true" applyBorder="true" applyAlignment="true" applyProtection="false">
      <alignment horizontal="right" vertical="center" textRotation="0" wrapText="false" indent="1" shrinkToFit="false"/>
      <protection locked="true" hidden="false"/>
    </xf>
    <xf numFmtId="164" fontId="6" fillId="2" borderId="57" xfId="0" applyFont="true" applyBorder="true" applyAlignment="true" applyProtection="false">
      <alignment horizontal="left" vertical="center" textRotation="0" wrapText="false" indent="1" shrinkToFit="false"/>
      <protection locked="true" hidden="false"/>
    </xf>
    <xf numFmtId="166" fontId="15" fillId="2" borderId="26" xfId="0" applyFont="true" applyBorder="true" applyAlignment="true" applyProtection="false">
      <alignment horizontal="right" vertical="center" textRotation="0" wrapText="false" indent="1" shrinkToFit="false"/>
      <protection locked="true" hidden="false"/>
    </xf>
    <xf numFmtId="166" fontId="15" fillId="2" borderId="58" xfId="0" applyFont="true" applyBorder="true" applyAlignment="true" applyProtection="false">
      <alignment horizontal="right" vertical="center" textRotation="0" wrapText="false" indent="1" shrinkToFit="false"/>
      <protection locked="true" hidden="false"/>
    </xf>
    <xf numFmtId="164" fontId="7" fillId="2" borderId="14" xfId="0" applyFont="true" applyBorder="true" applyAlignment="true" applyProtection="false">
      <alignment horizontal="center" vertical="center" textRotation="0" wrapText="true" indent="0" shrinkToFit="false"/>
      <protection locked="true" hidden="false"/>
    </xf>
    <xf numFmtId="164" fontId="7" fillId="8" borderId="14"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59" xfId="0" applyFont="true" applyBorder="true" applyAlignment="true" applyProtection="false">
      <alignment horizontal="center" vertical="center" textRotation="0" wrapText="false" indent="0" shrinkToFit="false"/>
      <protection locked="true" hidden="false"/>
    </xf>
    <xf numFmtId="164" fontId="6" fillId="2" borderId="60" xfId="0" applyFont="true" applyBorder="true" applyAlignment="true" applyProtection="false">
      <alignment horizontal="center" vertical="center" textRotation="0" wrapText="false" indent="0" shrinkToFit="false"/>
      <protection locked="true" hidden="false"/>
    </xf>
    <xf numFmtId="164" fontId="10" fillId="4" borderId="17" xfId="0" applyFont="true" applyBorder="true" applyAlignment="true" applyProtection="false">
      <alignment horizontal="left" vertical="center" textRotation="0" wrapText="false" indent="2" shrinkToFit="false"/>
      <protection locked="true" hidden="false"/>
    </xf>
    <xf numFmtId="166" fontId="9" fillId="0" borderId="43"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9" fillId="0" borderId="61" xfId="0" applyFont="true" applyBorder="true" applyAlignment="true" applyProtection="false">
      <alignment horizontal="right" vertical="center" textRotation="0" wrapText="false" indent="1" shrinkToFit="false"/>
      <protection locked="true" hidden="false"/>
    </xf>
    <xf numFmtId="166" fontId="9" fillId="0" borderId="62" xfId="0" applyFont="true" applyBorder="true" applyAlignment="true" applyProtection="false">
      <alignment horizontal="right" vertical="center" textRotation="0" wrapText="false" indent="1" shrinkToFit="false"/>
      <protection locked="true" hidden="false"/>
    </xf>
    <xf numFmtId="166" fontId="9" fillId="3" borderId="61" xfId="0" applyFont="true" applyBorder="true" applyAlignment="true" applyProtection="false">
      <alignment horizontal="right" vertical="center" textRotation="0" wrapText="false" indent="1" shrinkToFit="false"/>
      <protection locked="true" hidden="false"/>
    </xf>
    <xf numFmtId="166" fontId="9" fillId="3" borderId="62" xfId="0" applyFont="true" applyBorder="true" applyAlignment="true" applyProtection="false">
      <alignment horizontal="right" vertical="center" textRotation="0" wrapText="false" indent="1" shrinkToFit="false"/>
      <protection locked="true" hidden="false"/>
    </xf>
    <xf numFmtId="166" fontId="9" fillId="3" borderId="63" xfId="0" applyFont="true" applyBorder="true" applyAlignment="true" applyProtection="false">
      <alignment horizontal="right" vertical="center" textRotation="0" wrapText="false" indent="1" shrinkToFit="false"/>
      <protection locked="true" hidden="false"/>
    </xf>
    <xf numFmtId="166" fontId="9" fillId="3" borderId="52" xfId="0" applyFont="true" applyBorder="true" applyAlignment="true" applyProtection="false">
      <alignment horizontal="right" vertical="center" textRotation="0" wrapText="false" indent="1"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4" fontId="10" fillId="7" borderId="0" xfId="0" applyFont="true" applyBorder="false" applyAlignment="true" applyProtection="false">
      <alignment horizontal="left" vertical="center" textRotation="0" wrapText="false" indent="2" shrinkToFit="false"/>
      <protection locked="true" hidden="false"/>
    </xf>
    <xf numFmtId="166" fontId="11" fillId="7" borderId="14" xfId="0" applyFont="true" applyBorder="true" applyAlignment="true" applyProtection="false">
      <alignment horizontal="right" vertical="center" textRotation="0" wrapText="false" indent="1" shrinkToFit="false"/>
      <protection locked="true" hidden="false"/>
    </xf>
    <xf numFmtId="166" fontId="11" fillId="7" borderId="0" xfId="0" applyFont="true" applyBorder="false" applyAlignment="true" applyProtection="false">
      <alignment horizontal="right" vertical="center" textRotation="0" wrapText="false" indent="1" shrinkToFit="false"/>
      <protection locked="true" hidden="false"/>
    </xf>
    <xf numFmtId="166" fontId="11" fillId="7" borderId="9" xfId="0" applyFont="true" applyBorder="true" applyAlignment="true" applyProtection="false">
      <alignment horizontal="right" vertical="center" textRotation="0" wrapText="false" indent="1" shrinkToFit="false"/>
      <protection locked="true" hidden="false"/>
    </xf>
    <xf numFmtId="164" fontId="8" fillId="3" borderId="64" xfId="0" applyFont="true" applyBorder="true" applyAlignment="true" applyProtection="false">
      <alignment horizontal="left" vertical="center" textRotation="0" wrapText="false" indent="0" shrinkToFit="false"/>
      <protection locked="true" hidden="false"/>
    </xf>
    <xf numFmtId="166" fontId="9" fillId="3" borderId="48"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general"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10" fillId="4" borderId="65" xfId="0" applyFont="true" applyBorder="true" applyAlignment="true" applyProtection="false">
      <alignment horizontal="left" vertical="center" textRotation="0" wrapText="false" indent="1" shrinkToFit="false"/>
      <protection locked="true" hidden="false"/>
    </xf>
    <xf numFmtId="166" fontId="11" fillId="0" borderId="65" xfId="0" applyFont="true" applyBorder="true" applyAlignment="true" applyProtection="false">
      <alignment horizontal="center" vertical="center" textRotation="0" wrapText="false" indent="0" shrinkToFit="false"/>
      <protection locked="true" hidden="false"/>
    </xf>
    <xf numFmtId="166" fontId="11" fillId="0" borderId="3" xfId="0" applyFont="true" applyBorder="true" applyAlignment="true" applyProtection="false">
      <alignment horizontal="center" vertical="center" textRotation="0" wrapText="false" indent="0"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6" fontId="34" fillId="9" borderId="28" xfId="0" applyFont="true" applyBorder="true" applyAlignment="true" applyProtection="false">
      <alignment horizontal="right" vertical="center" textRotation="0" wrapText="false" indent="1" shrinkToFit="false"/>
      <protection locked="true" hidden="false"/>
    </xf>
    <xf numFmtId="164" fontId="8" fillId="3" borderId="40" xfId="0" applyFont="true" applyBorder="true" applyAlignment="true" applyProtection="false">
      <alignment horizontal="left" vertical="center" textRotation="0" wrapText="false" indent="1" shrinkToFit="false"/>
      <protection locked="true" hidden="false"/>
    </xf>
    <xf numFmtId="164" fontId="8" fillId="3" borderId="29" xfId="0" applyFont="true" applyBorder="true" applyAlignment="true" applyProtection="false">
      <alignment horizontal="left" vertical="center" textRotation="0" wrapText="false" indent="1" shrinkToFit="false"/>
      <protection locked="true" hidden="false"/>
    </xf>
    <xf numFmtId="166" fontId="34" fillId="3" borderId="66" xfId="0" applyFont="true" applyBorder="true" applyAlignment="true" applyProtection="false">
      <alignment horizontal="right" vertical="center" textRotation="0" wrapText="false" indent="1" shrinkToFit="false"/>
      <protection locked="true" hidden="false"/>
    </xf>
    <xf numFmtId="166" fontId="34" fillId="3" borderId="30" xfId="0" applyFont="true" applyBorder="true" applyAlignment="true" applyProtection="false">
      <alignment horizontal="right" vertical="center" textRotation="0" wrapText="false" indent="1" shrinkToFit="false"/>
      <protection locked="true" hidden="false"/>
    </xf>
    <xf numFmtId="164" fontId="8" fillId="9" borderId="28" xfId="0" applyFont="true" applyBorder="true" applyAlignment="true" applyProtection="false">
      <alignment horizontal="center" vertical="center" textRotation="0" wrapText="true" indent="0" shrinkToFit="false"/>
      <protection locked="true" hidden="false"/>
    </xf>
    <xf numFmtId="166" fontId="8" fillId="9" borderId="28" xfId="0" applyFont="true" applyBorder="true" applyAlignment="true" applyProtection="false">
      <alignment horizontal="center" vertical="center"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left" vertical="center" textRotation="0" wrapText="false" indent="1" shrinkToFit="false"/>
      <protection locked="true" hidden="false"/>
    </xf>
    <xf numFmtId="169" fontId="35" fillId="0" borderId="65" xfId="0" applyFont="true" applyBorder="true" applyAlignment="true" applyProtection="false">
      <alignment horizontal="right" vertical="center" textRotation="0" wrapText="false" indent="0" shrinkToFit="false"/>
      <protection locked="true" hidden="false"/>
    </xf>
    <xf numFmtId="169" fontId="35" fillId="0" borderId="3" xfId="0" applyFont="true" applyBorder="true" applyAlignment="true" applyProtection="false">
      <alignment horizontal="right" vertical="center" textRotation="0" wrapText="false" indent="0" shrinkToFit="false"/>
      <protection locked="true" hidden="false"/>
    </xf>
    <xf numFmtId="164" fontId="8" fillId="4" borderId="40" xfId="0" applyFont="true" applyBorder="true" applyAlignment="true" applyProtection="false">
      <alignment horizontal="left" vertical="center" textRotation="0" wrapText="false" indent="1" shrinkToFit="false"/>
      <protection locked="true" hidden="false"/>
    </xf>
    <xf numFmtId="164" fontId="25" fillId="4" borderId="2" xfId="0" applyFont="true" applyBorder="true" applyAlignment="true" applyProtection="false">
      <alignment horizontal="left" vertical="center" textRotation="0" wrapText="false" indent="1" shrinkToFit="false"/>
      <protection locked="true" hidden="false"/>
    </xf>
    <xf numFmtId="169" fontId="35" fillId="0" borderId="2" xfId="0" applyFont="true" applyBorder="true" applyAlignment="true" applyProtection="false">
      <alignment horizontal="center" vertical="center" textRotation="0" wrapText="false" indent="0" shrinkToFit="false"/>
      <protection locked="true" hidden="false"/>
    </xf>
    <xf numFmtId="169" fontId="35" fillId="0" borderId="44" xfId="0" applyFont="true" applyBorder="true" applyAlignment="true" applyProtection="false">
      <alignment horizontal="center" vertical="center" textRotation="0" wrapText="false" indent="0" shrinkToFit="false"/>
      <protection locked="true" hidden="false"/>
    </xf>
    <xf numFmtId="164" fontId="25" fillId="3" borderId="29" xfId="0" applyFont="true" applyBorder="true" applyAlignment="true" applyProtection="false">
      <alignment horizontal="left" vertical="center" textRotation="0" wrapText="false" indent="1" shrinkToFit="false"/>
      <protection locked="true" hidden="false"/>
    </xf>
    <xf numFmtId="169" fontId="35" fillId="3" borderId="66" xfId="0" applyFont="true" applyBorder="true" applyAlignment="true" applyProtection="false">
      <alignment horizontal="right" vertical="center" textRotation="0" wrapText="false" indent="1" shrinkToFit="false"/>
      <protection locked="true" hidden="false"/>
    </xf>
    <xf numFmtId="169" fontId="35" fillId="3" borderId="30" xfId="0" applyFont="true" applyBorder="true" applyAlignment="true" applyProtection="false">
      <alignment horizontal="right" vertical="center" textRotation="0" wrapText="false" indent="1"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9" fontId="38" fillId="0" borderId="0" xfId="0" applyFont="true" applyBorder="false" applyAlignment="true" applyProtection="false">
      <alignment horizontal="general" vertical="bottom" textRotation="0" wrapText="false" indent="0" shrinkToFit="false"/>
      <protection locked="true" hidden="false"/>
    </xf>
    <xf numFmtId="164" fontId="8" fillId="9" borderId="28" xfId="0" applyFont="true" applyBorder="true" applyAlignment="true" applyProtection="false">
      <alignment horizontal="left" vertical="center" textRotation="0" wrapText="true" indent="1" shrinkToFit="false"/>
      <protection locked="true" hidden="false"/>
    </xf>
    <xf numFmtId="164" fontId="14" fillId="4" borderId="3" xfId="0" applyFont="true" applyBorder="true" applyAlignment="true" applyProtection="false">
      <alignment horizontal="left" vertical="center" textRotation="0" wrapText="false" indent="1" shrinkToFit="false"/>
      <protection locked="true" hidden="false"/>
    </xf>
    <xf numFmtId="164" fontId="39" fillId="5" borderId="23" xfId="0" applyFont="true" applyBorder="true" applyAlignment="true" applyProtection="false">
      <alignment horizontal="left" vertical="center" textRotation="0" wrapText="false" indent="1" shrinkToFit="false"/>
      <protection locked="true" hidden="false"/>
    </xf>
    <xf numFmtId="164" fontId="40" fillId="5" borderId="23" xfId="0" applyFont="true" applyBorder="true" applyAlignment="true" applyProtection="false">
      <alignment horizontal="left" vertical="center" textRotation="0" wrapText="true" indent="1" shrinkToFit="false"/>
      <protection locked="true" hidden="false"/>
    </xf>
    <xf numFmtId="164" fontId="14" fillId="4" borderId="67" xfId="0" applyFont="true" applyBorder="true" applyAlignment="true" applyProtection="false">
      <alignment horizontal="left" vertical="center" textRotation="0" wrapText="false" indent="1" shrinkToFit="false"/>
      <protection locked="true" hidden="false"/>
    </xf>
    <xf numFmtId="166" fontId="11" fillId="0" borderId="67" xfId="0" applyFont="true" applyBorder="true" applyAlignment="true" applyProtection="false">
      <alignment horizontal="right" vertical="center" textRotation="0" wrapText="false" indent="1" shrinkToFit="false"/>
      <protection locked="true" hidden="false"/>
    </xf>
    <xf numFmtId="164" fontId="40" fillId="5" borderId="68" xfId="0" applyFont="true" applyBorder="true" applyAlignment="true" applyProtection="false">
      <alignment horizontal="left" vertical="center" textRotation="0" wrapText="false" indent="1" shrinkToFit="false"/>
      <protection locked="true" hidden="false"/>
    </xf>
    <xf numFmtId="164" fontId="41" fillId="9" borderId="69" xfId="0" applyFont="true" applyBorder="true" applyAlignment="true" applyProtection="false">
      <alignment horizontal="left" vertical="center" textRotation="0" wrapText="false" indent="1"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70" xfId="0" applyFont="true" applyBorder="true" applyAlignment="true" applyProtection="false">
      <alignment horizontal="center" vertical="center" textRotation="0" wrapText="false" indent="0" shrinkToFit="false"/>
      <protection locked="true" hidden="false"/>
    </xf>
    <xf numFmtId="164" fontId="6" fillId="2" borderId="71"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6" fontId="11" fillId="0" borderId="34" xfId="0" applyFont="true" applyBorder="true" applyAlignment="true" applyProtection="false">
      <alignment horizontal="right" vertical="center" textRotation="0" wrapText="false" indent="1" shrinkToFit="false"/>
      <protection locked="true" hidden="false"/>
    </xf>
    <xf numFmtId="164" fontId="39" fillId="5" borderId="34" xfId="0" applyFont="true" applyBorder="true" applyAlignment="true" applyProtection="false">
      <alignment horizontal="left" vertical="center" textRotation="0" wrapText="true" indent="1" shrinkToFit="false"/>
      <protection locked="true" hidden="false"/>
    </xf>
    <xf numFmtId="164" fontId="42" fillId="4" borderId="34" xfId="0" applyFont="true" applyBorder="true" applyAlignment="true" applyProtection="false">
      <alignment horizontal="left" vertical="center" textRotation="0" wrapText="false" indent="1" shrinkToFit="false"/>
      <protection locked="true" hidden="false"/>
    </xf>
    <xf numFmtId="164" fontId="40" fillId="5" borderId="34" xfId="0" applyFont="true" applyBorder="true" applyAlignment="true" applyProtection="false">
      <alignment horizontal="left" vertical="center" textRotation="0" wrapText="false" indent="1" shrinkToFit="false"/>
      <protection locked="true" hidden="false"/>
    </xf>
    <xf numFmtId="164" fontId="11" fillId="4" borderId="0" xfId="0" applyFont="true" applyBorder="false" applyAlignment="true" applyProtection="false">
      <alignment horizontal="left" vertical="center" textRotation="0" wrapText="false" indent="1" shrinkToFit="false"/>
      <protection locked="true" hidden="false"/>
    </xf>
    <xf numFmtId="164" fontId="40" fillId="5" borderId="0" xfId="0" applyFont="true" applyBorder="false" applyAlignment="true" applyProtection="false">
      <alignment horizontal="left" vertical="center" textRotation="0" wrapText="false" indent="1" shrinkToFit="false"/>
      <protection locked="true" hidden="false"/>
    </xf>
    <xf numFmtId="164" fontId="11" fillId="4" borderId="72" xfId="0" applyFont="true" applyBorder="true" applyAlignment="true" applyProtection="false">
      <alignment horizontal="left" vertical="center" textRotation="0" wrapText="false" indent="1" shrinkToFit="false"/>
      <protection locked="true" hidden="false"/>
    </xf>
    <xf numFmtId="166" fontId="11" fillId="0" borderId="72" xfId="0" applyFont="true" applyBorder="true" applyAlignment="true" applyProtection="false">
      <alignment horizontal="right" vertical="center" textRotation="0" wrapText="false" indent="1" shrinkToFit="false"/>
      <protection locked="true" hidden="false"/>
    </xf>
    <xf numFmtId="164" fontId="40" fillId="5" borderId="72" xfId="0" applyFont="true" applyBorder="true" applyAlignment="true" applyProtection="false">
      <alignment horizontal="left" vertical="center" textRotation="0" wrapText="true" indent="1" shrinkToFit="false"/>
      <protection locked="true" hidden="false"/>
    </xf>
    <xf numFmtId="166" fontId="34" fillId="9" borderId="0" xfId="0" applyFont="true" applyBorder="false" applyAlignment="true" applyProtection="false">
      <alignment horizontal="right" vertical="center" textRotation="0" wrapText="false" indent="1" shrinkToFit="false"/>
      <protection locked="true" hidden="false"/>
    </xf>
    <xf numFmtId="164" fontId="40" fillId="9" borderId="0" xfId="0" applyFont="true" applyBorder="false" applyAlignment="true" applyProtection="false">
      <alignment horizontal="left" vertical="center" textRotation="0" wrapText="false" indent="1" shrinkToFit="false"/>
      <protection locked="true" hidden="false"/>
    </xf>
    <xf numFmtId="164" fontId="10" fillId="4" borderId="67" xfId="0" applyFont="true" applyBorder="true" applyAlignment="true" applyProtection="false">
      <alignment horizontal="left" vertical="center" textRotation="0" wrapText="false" indent="1" shrinkToFit="false"/>
      <protection locked="true" hidden="false"/>
    </xf>
    <xf numFmtId="164" fontId="39" fillId="5" borderId="68" xfId="0" applyFont="true" applyBorder="true" applyAlignment="true" applyProtection="false">
      <alignment horizontal="left" vertical="center" textRotation="0" wrapText="false" indent="1" shrinkToFit="false"/>
      <protection locked="true" hidden="false"/>
    </xf>
    <xf numFmtId="170" fontId="11" fillId="0" borderId="12" xfId="0" applyFont="true" applyBorder="true" applyAlignment="true" applyProtection="false">
      <alignment horizontal="right" vertical="center" textRotation="0" wrapText="false" indent="1" shrinkToFit="false"/>
      <protection locked="true" hidden="false"/>
    </xf>
    <xf numFmtId="166" fontId="11" fillId="0" borderId="12" xfId="0" applyFont="true" applyBorder="true" applyAlignment="true" applyProtection="false">
      <alignment horizontal="center" vertical="center" textRotation="0" wrapText="false" indent="0" shrinkToFit="false"/>
      <protection locked="true" hidden="false"/>
    </xf>
    <xf numFmtId="170" fontId="34" fillId="9" borderId="28" xfId="0" applyFont="true" applyBorder="true" applyAlignment="true" applyProtection="false">
      <alignment horizontal="right" vertical="center" textRotation="0" wrapText="false" indent="1"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71" fontId="31" fillId="0" borderId="0" xfId="0" applyFont="true" applyBorder="false" applyAlignment="true" applyProtection="false">
      <alignment horizontal="general" vertical="center" textRotation="0" wrapText="false" indent="0" shrinkToFit="false"/>
      <protection locked="true" hidden="false"/>
    </xf>
    <xf numFmtId="164" fontId="43" fillId="0" borderId="0" xfId="0" applyFont="true" applyBorder="false" applyAlignment="true" applyProtection="false">
      <alignment horizontal="general" vertical="center" textRotation="0" wrapText="false" indent="0" shrinkToFit="false"/>
      <protection locked="true" hidden="false"/>
    </xf>
    <xf numFmtId="164" fontId="6" fillId="2" borderId="73" xfId="0" applyFont="true" applyBorder="true" applyAlignment="true" applyProtection="false">
      <alignment horizontal="center" vertical="center" textRotation="0" wrapText="false" indent="0" shrinkToFit="false"/>
      <protection locked="true" hidden="false"/>
    </xf>
    <xf numFmtId="164" fontId="6" fillId="2" borderId="27" xfId="0" applyFont="true" applyBorder="true" applyAlignment="true" applyProtection="false">
      <alignment horizontal="center" vertical="center" textRotation="0" wrapText="true" indent="0" shrinkToFit="false"/>
      <protection locked="true" hidden="false"/>
    </xf>
    <xf numFmtId="172" fontId="14" fillId="4" borderId="65" xfId="0" applyFont="true" applyBorder="true" applyAlignment="true" applyProtection="false">
      <alignment horizontal="center" vertical="center" textRotation="0" wrapText="false" indent="0" shrinkToFit="false"/>
      <protection locked="true" hidden="false"/>
    </xf>
    <xf numFmtId="172" fontId="14" fillId="4" borderId="65" xfId="0" applyFont="true" applyBorder="true" applyAlignment="true" applyProtection="false">
      <alignment horizontal="left" vertical="center" textRotation="0" wrapText="false" indent="1" shrinkToFit="false"/>
      <protection locked="true" hidden="false"/>
    </xf>
    <xf numFmtId="171" fontId="11" fillId="4" borderId="65" xfId="0" applyFont="true" applyBorder="true" applyAlignment="true" applyProtection="false">
      <alignment horizontal="right" vertical="center" textRotation="0" wrapText="false" indent="1" shrinkToFit="false"/>
      <protection locked="true" hidden="false"/>
    </xf>
    <xf numFmtId="172" fontId="14" fillId="4" borderId="65" xfId="0" applyFont="true" applyBorder="true" applyAlignment="true" applyProtection="false">
      <alignment horizontal="right" vertical="center" textRotation="0" wrapText="false" indent="1" shrinkToFit="false"/>
      <protection locked="true" hidden="false"/>
    </xf>
    <xf numFmtId="165" fontId="11" fillId="4" borderId="65" xfId="0" applyFont="true" applyBorder="true" applyAlignment="true" applyProtection="false">
      <alignment horizontal="right" vertical="center" textRotation="0" wrapText="false" indent="1" shrinkToFit="false"/>
      <protection locked="true" hidden="false"/>
    </xf>
    <xf numFmtId="164" fontId="44" fillId="4" borderId="65" xfId="0" applyFont="true" applyBorder="true" applyAlignment="true" applyProtection="false">
      <alignment horizontal="left" vertical="center" textRotation="0" wrapText="false" indent="1" shrinkToFit="false"/>
      <protection locked="true" hidden="false"/>
    </xf>
    <xf numFmtId="172" fontId="14" fillId="4" borderId="6" xfId="0" applyFont="true" applyBorder="true" applyAlignment="true" applyProtection="false">
      <alignment horizontal="left" vertical="center" textRotation="0" wrapText="false" indent="1" shrinkToFit="false"/>
      <protection locked="true" hidden="false"/>
    </xf>
    <xf numFmtId="171" fontId="11" fillId="4" borderId="6" xfId="0" applyFont="true" applyBorder="true" applyAlignment="true" applyProtection="false">
      <alignment horizontal="right" vertical="center" textRotation="0" wrapText="false" indent="1" shrinkToFit="false"/>
      <protection locked="true" hidden="false"/>
    </xf>
    <xf numFmtId="165" fontId="11" fillId="4" borderId="6" xfId="0" applyFont="true" applyBorder="true" applyAlignment="true" applyProtection="false">
      <alignment horizontal="right" vertical="center" textRotation="0" wrapText="false" indent="1" shrinkToFit="false"/>
      <protection locked="true" hidden="false"/>
    </xf>
    <xf numFmtId="172" fontId="14" fillId="0" borderId="6" xfId="0" applyFont="true" applyBorder="true" applyAlignment="true" applyProtection="false">
      <alignment horizontal="left" vertical="center" textRotation="0" wrapText="false" indent="1" shrinkToFit="false"/>
      <protection locked="true" hidden="false"/>
    </xf>
    <xf numFmtId="171" fontId="11" fillId="0" borderId="6" xfId="0" applyFont="true" applyBorder="true" applyAlignment="true" applyProtection="false">
      <alignment horizontal="right" vertical="center" textRotation="0" wrapText="true" indent="1" shrinkToFit="false"/>
      <protection locked="true" hidden="false"/>
    </xf>
    <xf numFmtId="172" fontId="14" fillId="0" borderId="6" xfId="0" applyFont="true" applyBorder="true" applyAlignment="true" applyProtection="false">
      <alignment horizontal="center" vertical="center" textRotation="0" wrapText="true" indent="0" shrinkToFit="false"/>
      <protection locked="true" hidden="false"/>
    </xf>
    <xf numFmtId="172" fontId="14" fillId="0" borderId="6" xfId="0" applyFont="true" applyBorder="true" applyAlignment="true" applyProtection="false">
      <alignment horizontal="right" vertical="center" textRotation="0" wrapText="false" indent="1" shrinkToFit="false"/>
      <protection locked="true" hidden="false"/>
    </xf>
    <xf numFmtId="164" fontId="44" fillId="5" borderId="7" xfId="0" applyFont="true" applyBorder="true" applyAlignment="true" applyProtection="false">
      <alignment horizontal="left" vertical="center" textRotation="0" wrapText="true" indent="1" shrinkToFit="false"/>
      <protection locked="true" hidden="false"/>
    </xf>
    <xf numFmtId="172" fontId="45" fillId="0" borderId="6" xfId="0" applyFont="true" applyBorder="true" applyAlignment="true" applyProtection="false">
      <alignment horizontal="right" vertical="center" textRotation="0" wrapText="false" indent="1" shrinkToFit="false"/>
      <protection locked="true" hidden="false"/>
    </xf>
    <xf numFmtId="172" fontId="14" fillId="4" borderId="3" xfId="0" applyFont="true" applyBorder="true" applyAlignment="true" applyProtection="false">
      <alignment horizontal="center" vertical="center" textRotation="0" wrapText="false" indent="0" shrinkToFit="false"/>
      <protection locked="true" hidden="false"/>
    </xf>
    <xf numFmtId="164" fontId="15" fillId="2" borderId="27" xfId="0" applyFont="true" applyBorder="true" applyAlignment="true" applyProtection="false">
      <alignment horizontal="center" vertical="center" textRotation="0" wrapText="true" indent="0" shrinkToFit="false"/>
      <protection locked="true" hidden="false"/>
    </xf>
    <xf numFmtId="172" fontId="14" fillId="0" borderId="2" xfId="0" applyFont="true" applyBorder="true" applyAlignment="true" applyProtection="false">
      <alignment horizontal="center" vertical="center" textRotation="0" wrapText="false" indent="0" shrinkToFit="false"/>
      <protection locked="true" hidden="false"/>
    </xf>
    <xf numFmtId="172" fontId="14" fillId="0" borderId="65" xfId="0" applyFont="true" applyBorder="true" applyAlignment="true" applyProtection="false">
      <alignment horizontal="left" vertical="center" textRotation="0" wrapText="false" indent="1" shrinkToFit="false"/>
      <protection locked="true" hidden="false"/>
    </xf>
    <xf numFmtId="171" fontId="11" fillId="0" borderId="6" xfId="0" applyFont="true" applyBorder="true" applyAlignment="true" applyProtection="false">
      <alignment horizontal="right" vertical="center" textRotation="0" wrapText="false" indent="1" shrinkToFit="false"/>
      <protection locked="true" hidden="false"/>
    </xf>
    <xf numFmtId="172" fontId="14" fillId="0" borderId="65" xfId="0" applyFont="true" applyBorder="true" applyAlignment="true" applyProtection="false">
      <alignment horizontal="right" vertical="center" textRotation="0" wrapText="false" indent="1" shrinkToFit="false"/>
      <protection locked="true" hidden="false"/>
    </xf>
    <xf numFmtId="164" fontId="44" fillId="0" borderId="65" xfId="0" applyFont="true" applyBorder="true" applyAlignment="true" applyProtection="false">
      <alignment horizontal="left" vertical="center" textRotation="0" wrapText="false" indent="1" shrinkToFit="false"/>
      <protection locked="true" hidden="false"/>
    </xf>
    <xf numFmtId="172" fontId="14" fillId="0" borderId="74" xfId="0" applyFont="true" applyBorder="true" applyAlignment="true" applyProtection="false">
      <alignment horizontal="center" vertical="center" textRotation="0" wrapText="false" indent="0" shrinkToFit="false"/>
      <protection locked="true" hidden="false"/>
    </xf>
    <xf numFmtId="172" fontId="14" fillId="0" borderId="75" xfId="0" applyFont="true" applyBorder="true" applyAlignment="true" applyProtection="false">
      <alignment horizontal="center" vertical="center" textRotation="0" wrapText="false" indent="0" shrinkToFit="false"/>
      <protection locked="true" hidden="false"/>
    </xf>
    <xf numFmtId="164" fontId="14" fillId="0" borderId="20" xfId="0" applyFont="true" applyBorder="true" applyAlignment="true" applyProtection="false">
      <alignment horizontal="left" vertical="center" textRotation="0" wrapText="false" indent="1" shrinkToFit="false"/>
      <protection locked="true" hidden="false"/>
    </xf>
    <xf numFmtId="164" fontId="8" fillId="3" borderId="28" xfId="0" applyFont="true" applyBorder="true" applyAlignment="true" applyProtection="false">
      <alignment horizontal="left" vertical="center" textRotation="0" wrapText="false" indent="1" shrinkToFit="false"/>
      <protection locked="true" hidden="false"/>
    </xf>
    <xf numFmtId="168" fontId="22" fillId="5" borderId="3" xfId="21" applyFont="true" applyBorder="true" applyAlignment="true" applyProtection="false">
      <alignment horizontal="right" vertical="center" textRotation="0" wrapText="false" indent="1" shrinkToFit="false"/>
      <protection locked="true" hidden="false"/>
    </xf>
    <xf numFmtId="168" fontId="22" fillId="5" borderId="12" xfId="21" applyFont="true" applyBorder="true" applyAlignment="true" applyProtection="false">
      <alignment horizontal="right" vertical="center" textRotation="0" wrapText="false" indent="1" shrinkToFit="false"/>
      <protection locked="true" hidden="false"/>
    </xf>
    <xf numFmtId="168" fontId="22" fillId="5" borderId="2" xfId="21" applyFont="true" applyBorder="true" applyAlignment="true" applyProtection="false">
      <alignment horizontal="right" vertical="center" textRotation="0" wrapText="false" indent="1" shrinkToFit="false"/>
      <protection locked="true" hidden="false"/>
    </xf>
    <xf numFmtId="168" fontId="22" fillId="5" borderId="67" xfId="21" applyFont="true" applyBorder="true" applyAlignment="true" applyProtection="false">
      <alignment horizontal="right" vertical="center" textRotation="0" wrapText="false" indent="1" shrinkToFit="false"/>
      <protection locked="true" hidden="false"/>
    </xf>
    <xf numFmtId="164" fontId="22" fillId="9" borderId="28" xfId="0" applyFont="true" applyBorder="true" applyAlignment="true" applyProtection="false">
      <alignment horizontal="right" vertical="center" textRotation="0" wrapText="false" indent="1" shrinkToFit="false"/>
      <protection locked="true" hidden="false"/>
    </xf>
    <xf numFmtId="166" fontId="7" fillId="2" borderId="12" xfId="0" applyFont="true" applyBorder="true" applyAlignment="true" applyProtection="false">
      <alignment horizontal="center" vertical="center" textRotation="0" wrapText="false" indent="0"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44" xfId="0" applyFont="true" applyBorder="true" applyAlignment="true" applyProtection="false">
      <alignment horizontal="right" vertical="center" textRotation="0" wrapText="false" indent="1" shrinkToFit="false"/>
      <protection locked="true" hidden="false"/>
    </xf>
    <xf numFmtId="166" fontId="32"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73" fontId="14" fillId="4" borderId="3" xfId="0" applyFont="true" applyBorder="true" applyAlignment="true" applyProtection="false">
      <alignment horizontal="left" vertical="center" textRotation="0" wrapText="false" indent="1" shrinkToFit="false"/>
      <protection locked="true" hidden="false"/>
    </xf>
    <xf numFmtId="166" fontId="10" fillId="5" borderId="3" xfId="0" applyFont="true" applyBorder="true" applyAlignment="true" applyProtection="false">
      <alignment horizontal="right" vertical="center" textRotation="0" wrapText="false" indent="1" shrinkToFit="false"/>
      <protection locked="true" hidden="false"/>
    </xf>
    <xf numFmtId="168" fontId="14" fillId="5" borderId="3" xfId="21" applyFont="true" applyBorder="true" applyAlignment="true" applyProtection="false">
      <alignment horizontal="center" vertical="center" textRotation="0" wrapText="false" indent="0" shrinkToFit="false"/>
      <protection locked="true" hidden="false"/>
    </xf>
    <xf numFmtId="164" fontId="39" fillId="5" borderId="45" xfId="0" applyFont="true" applyBorder="true" applyAlignment="true" applyProtection="false">
      <alignment horizontal="left" vertical="center" textRotation="0" wrapText="false" indent="1" shrinkToFit="false"/>
      <protection locked="true" hidden="false"/>
    </xf>
    <xf numFmtId="168" fontId="14" fillId="5" borderId="12" xfId="21" applyFont="true" applyBorder="true" applyAlignment="true" applyProtection="false">
      <alignment horizontal="center" vertical="center" textRotation="0" wrapText="false" indent="0" shrinkToFit="false"/>
      <protection locked="true" hidden="false"/>
    </xf>
    <xf numFmtId="166" fontId="32" fillId="0" borderId="12" xfId="0" applyFont="true" applyBorder="true" applyAlignment="true" applyProtection="false">
      <alignment horizontal="right" vertical="center" textRotation="0" wrapText="false" indent="1" shrinkToFit="false"/>
      <protection locked="true" hidden="false"/>
    </xf>
    <xf numFmtId="168" fontId="14" fillId="5" borderId="67" xfId="21" applyFont="true" applyBorder="true" applyAlignment="true" applyProtection="false">
      <alignment horizontal="center" vertical="center" textRotation="0" wrapText="false" indent="0" shrinkToFit="false"/>
      <protection locked="true" hidden="false"/>
    </xf>
    <xf numFmtId="164" fontId="14" fillId="9" borderId="28" xfId="0" applyFont="true" applyBorder="true" applyAlignment="true" applyProtection="false">
      <alignment horizontal="right" vertical="center" textRotation="0" wrapText="false" indent="1"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6" fontId="9" fillId="3" borderId="47" xfId="0" applyFont="true" applyBorder="true" applyAlignment="true" applyProtection="false">
      <alignment horizontal="right" vertical="center" textRotation="0" wrapText="false" indent="1" shrinkToFit="false"/>
      <protection locked="true" hidden="false"/>
    </xf>
    <xf numFmtId="166" fontId="26" fillId="0" borderId="17" xfId="0" applyFont="true" applyBorder="true" applyAlignment="true" applyProtection="false">
      <alignment horizontal="right" vertical="center" textRotation="0" wrapText="false" indent="1" shrinkToFit="false"/>
      <protection locked="true" hidden="false"/>
    </xf>
    <xf numFmtId="166" fontId="26" fillId="0" borderId="9" xfId="0" applyFont="true" applyBorder="true" applyAlignment="true" applyProtection="false">
      <alignment horizontal="right" vertical="center" textRotation="0" wrapText="false" indent="1" shrinkToFit="false"/>
      <protection locked="true" hidden="false"/>
    </xf>
    <xf numFmtId="164" fontId="7" fillId="2" borderId="27" xfId="0" applyFont="true" applyBorder="true" applyAlignment="true" applyProtection="false">
      <alignment horizontal="center" vertical="center" textRotation="0" wrapText="false" indent="0" shrinkToFit="false"/>
      <protection locked="true" hidden="false"/>
    </xf>
    <xf numFmtId="164" fontId="10" fillId="0" borderId="3" xfId="0" applyFont="true" applyBorder="true" applyAlignment="true" applyProtection="false">
      <alignment horizontal="left" vertical="center" textRotation="0" wrapText="false" indent="1" shrinkToFit="false"/>
      <protection locked="true" hidden="false"/>
    </xf>
    <xf numFmtId="174" fontId="10" fillId="0" borderId="3" xfId="0" applyFont="true" applyBorder="true" applyAlignment="true" applyProtection="false">
      <alignment horizontal="right" vertical="center" textRotation="0" wrapText="false" indent="1" shrinkToFit="false"/>
      <protection locked="true" hidden="false"/>
    </xf>
    <xf numFmtId="164" fontId="10" fillId="0" borderId="40" xfId="0" applyFont="true" applyBorder="true" applyAlignment="true" applyProtection="false">
      <alignment horizontal="left" vertical="center" textRotation="0" wrapText="false" indent="1" shrinkToFit="false"/>
      <protection locked="true" hidden="false"/>
    </xf>
    <xf numFmtId="174" fontId="10" fillId="0" borderId="12" xfId="0" applyFont="true" applyBorder="true" applyAlignment="true" applyProtection="false">
      <alignment horizontal="right" vertical="center" textRotation="0" wrapText="false" indent="1" shrinkToFit="false"/>
      <protection locked="true" hidden="false"/>
    </xf>
    <xf numFmtId="164" fontId="14" fillId="0" borderId="18" xfId="0" applyFont="true" applyBorder="true" applyAlignment="true" applyProtection="false">
      <alignment horizontal="left" vertical="center" textRotation="0" wrapText="false" indent="1" shrinkToFit="false"/>
      <protection locked="true" hidden="false"/>
    </xf>
    <xf numFmtId="174" fontId="11" fillId="0" borderId="2" xfId="0" applyFont="true" applyBorder="true" applyAlignment="true" applyProtection="false">
      <alignment horizontal="right" vertical="center" textRotation="0" wrapText="false" indent="1" shrinkToFit="false"/>
      <protection locked="true" hidden="false"/>
    </xf>
    <xf numFmtId="164" fontId="22" fillId="9" borderId="76" xfId="0" applyFont="true" applyBorder="true" applyAlignment="true" applyProtection="false">
      <alignment horizontal="left" vertical="center" textRotation="0" wrapText="false" indent="1" shrinkToFit="false"/>
      <protection locked="true" hidden="false"/>
    </xf>
    <xf numFmtId="164" fontId="8" fillId="9" borderId="76" xfId="0" applyFont="true" applyBorder="true" applyAlignment="true" applyProtection="false">
      <alignment horizontal="right" vertical="center" textRotation="0" wrapText="false" indent="1" shrinkToFit="false"/>
      <protection locked="true" hidden="false"/>
    </xf>
    <xf numFmtId="174" fontId="34" fillId="9" borderId="76" xfId="0" applyFont="true" applyBorder="true" applyAlignment="true" applyProtection="false">
      <alignment horizontal="right" vertical="center" textRotation="0" wrapText="false" indent="1" shrinkToFit="false"/>
      <protection locked="true" hidden="false"/>
    </xf>
    <xf numFmtId="164" fontId="22" fillId="9" borderId="39" xfId="0" applyFont="true" applyBorder="true" applyAlignment="true" applyProtection="false">
      <alignment horizontal="left" vertical="center" textRotation="0" wrapText="false" indent="1" shrinkToFit="false"/>
      <protection locked="true" hidden="false"/>
    </xf>
    <xf numFmtId="164" fontId="8" fillId="9" borderId="39" xfId="0" applyFont="true" applyBorder="true" applyAlignment="true" applyProtection="false">
      <alignment horizontal="right" vertical="center" textRotation="0" wrapText="false" indent="1" shrinkToFit="false"/>
      <protection locked="true" hidden="false"/>
    </xf>
    <xf numFmtId="174" fontId="34" fillId="9" borderId="0" xfId="0" applyFont="true" applyBorder="false" applyAlignment="true" applyProtection="false">
      <alignment horizontal="right" vertical="center" textRotation="0" wrapText="false" indent="1" shrinkToFit="false"/>
      <protection locked="true" hidden="false"/>
    </xf>
    <xf numFmtId="172" fontId="10" fillId="0" borderId="65" xfId="0" applyFont="true" applyBorder="true" applyAlignment="true" applyProtection="false">
      <alignment horizontal="general" vertical="center" textRotation="0" wrapText="true" indent="0" shrinkToFit="false"/>
      <protection locked="true" hidden="false"/>
    </xf>
    <xf numFmtId="172" fontId="10" fillId="0" borderId="6" xfId="0" applyFont="true" applyBorder="true" applyAlignment="true" applyProtection="false">
      <alignment horizontal="general" vertical="center" textRotation="0" wrapText="true" indent="0" shrinkToFit="false"/>
      <protection locked="true" hidden="false"/>
    </xf>
    <xf numFmtId="172" fontId="14" fillId="0" borderId="6" xfId="0" applyFont="true" applyBorder="true" applyAlignment="true" applyProtection="false">
      <alignment horizontal="general" vertical="center" textRotation="0" wrapText="true" indent="0" shrinkToFit="false"/>
      <protection locked="true" hidden="false"/>
    </xf>
    <xf numFmtId="164" fontId="46" fillId="2" borderId="19" xfId="0" applyFont="true" applyBorder="true" applyAlignment="true" applyProtection="false">
      <alignment horizontal="center" vertical="center" textRotation="0" wrapText="false" indent="0" shrinkToFit="false"/>
      <protection locked="true" hidden="false"/>
    </xf>
    <xf numFmtId="164" fontId="46" fillId="2" borderId="27" xfId="0" applyFont="true" applyBorder="true" applyAlignment="true" applyProtection="false">
      <alignment horizontal="center" vertical="center" textRotation="0" wrapText="true" indent="0" shrinkToFit="false"/>
      <protection locked="true" hidden="false"/>
    </xf>
    <xf numFmtId="164" fontId="46" fillId="8" borderId="27"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4" fontId="49" fillId="4" borderId="20" xfId="0" applyFont="true" applyBorder="true" applyAlignment="true" applyProtection="false">
      <alignment horizontal="right" vertical="center" textRotation="0" wrapText="false" indent="1" shrinkToFit="false"/>
      <protection locked="true" hidden="false"/>
    </xf>
    <xf numFmtId="167" fontId="50" fillId="0" borderId="6" xfId="0" applyFont="true" applyBorder="true" applyAlignment="true" applyProtection="false">
      <alignment horizontal="right" vertical="center" textRotation="0" wrapText="false" indent="1" shrinkToFit="false"/>
      <protection locked="true" hidden="false"/>
    </xf>
    <xf numFmtId="164" fontId="10" fillId="4" borderId="42"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51" fillId="0" borderId="34" xfId="0" applyFont="true" applyBorder="true" applyAlignment="true" applyProtection="false">
      <alignment horizontal="general" vertical="center" textRotation="0" wrapText="false" indent="0" shrinkToFit="false"/>
      <protection locked="true" hidden="false"/>
    </xf>
    <xf numFmtId="164" fontId="10" fillId="4" borderId="42" xfId="0" applyFont="true" applyBorder="true" applyAlignment="true" applyProtection="false">
      <alignment horizontal="left" vertical="center" textRotation="0" wrapText="false" indent="2" shrinkToFit="false"/>
      <protection locked="true" hidden="false"/>
    </xf>
    <xf numFmtId="166" fontId="11" fillId="0" borderId="42"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52"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4"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4" fillId="4" borderId="18" xfId="0" applyFont="true" applyBorder="true" applyAlignment="true" applyProtection="false">
      <alignment horizontal="left" vertical="center" textRotation="0" wrapText="false" indent="1" shrinkToFit="false"/>
      <protection locked="true" hidden="false"/>
    </xf>
    <xf numFmtId="164" fontId="8" fillId="3" borderId="77" xfId="0" applyFont="true" applyBorder="true" applyAlignment="true" applyProtection="false">
      <alignment horizontal="left" vertical="center" textRotation="0" wrapText="false" indent="1" shrinkToFit="false"/>
      <protection locked="true" hidden="false"/>
    </xf>
    <xf numFmtId="166" fontId="9" fillId="0" borderId="78" xfId="0" applyFont="true" applyBorder="true" applyAlignment="true" applyProtection="false">
      <alignment horizontal="right" vertical="center" textRotation="0" wrapText="false" indent="1" shrinkToFit="false"/>
      <protection locked="true" hidden="false"/>
    </xf>
    <xf numFmtId="164" fontId="19" fillId="0" borderId="79" xfId="0" applyFont="true" applyBorder="true" applyAlignment="true" applyProtection="false">
      <alignment horizontal="general" vertical="center" textRotation="0" wrapText="false" indent="0" shrinkToFit="false"/>
      <protection locked="true" hidden="false"/>
    </xf>
    <xf numFmtId="166" fontId="31" fillId="0" borderId="79" xfId="0" applyFont="true" applyBorder="tru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6" fontId="54" fillId="0" borderId="0" xfId="0" applyFont="true" applyBorder="false" applyAlignment="true" applyProtection="false">
      <alignment horizontal="center" vertical="center" textRotation="0" wrapText="false" indent="0" shrinkToFit="false"/>
      <protection locked="true" hidden="false"/>
    </xf>
    <xf numFmtId="166" fontId="54" fillId="0" borderId="0" xfId="0" applyFont="true" applyBorder="false" applyAlignment="true" applyProtection="false">
      <alignment horizontal="general" vertical="center" textRotation="0" wrapText="false" indent="0" shrinkToFit="false"/>
      <protection locked="true" hidden="false"/>
    </xf>
    <xf numFmtId="166" fontId="55" fillId="0" borderId="0" xfId="0" applyFont="true" applyBorder="false" applyAlignment="true" applyProtection="false">
      <alignment horizontal="center" vertical="center" textRotation="0" wrapText="false" indent="0" shrinkToFit="false"/>
      <protection locked="true" hidden="false"/>
    </xf>
    <xf numFmtId="166" fontId="55" fillId="0" borderId="0" xfId="0" applyFont="true" applyBorder="false" applyAlignment="true" applyProtection="false">
      <alignment horizontal="general" vertical="center" textRotation="0" wrapText="false" indent="0" shrinkToFit="false"/>
      <protection locked="true" hidden="false"/>
    </xf>
    <xf numFmtId="164" fontId="55" fillId="0" borderId="0" xfId="0" applyFont="true" applyBorder="false" applyAlignment="true" applyProtection="false">
      <alignment horizontal="center" vertical="center" textRotation="0" wrapText="false" indent="0" shrinkToFit="false"/>
      <protection locked="true" hidden="false"/>
    </xf>
    <xf numFmtId="164" fontId="46" fillId="2" borderId="1" xfId="0" applyFont="true" applyBorder="true" applyAlignment="true" applyProtection="false">
      <alignment horizontal="center" vertical="center" textRotation="0" wrapText="true" indent="0" shrinkToFit="false"/>
      <protection locked="true" hidden="false"/>
    </xf>
    <xf numFmtId="164" fontId="10" fillId="4" borderId="80" xfId="0" applyFont="true" applyBorder="true" applyAlignment="true" applyProtection="false">
      <alignment horizontal="left" vertical="center" textRotation="0" wrapText="false" indent="1" shrinkToFit="false"/>
      <protection locked="true" hidden="false"/>
    </xf>
    <xf numFmtId="165" fontId="11" fillId="4" borderId="80" xfId="0" applyFont="true" applyBorder="true" applyAlignment="true" applyProtection="false">
      <alignment horizontal="right" vertical="center" textRotation="0" wrapText="false" indent="1" shrinkToFit="false"/>
      <protection locked="true" hidden="false"/>
    </xf>
    <xf numFmtId="172" fontId="14" fillId="0" borderId="81"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2" fontId="14" fillId="0" borderId="2" xfId="0" applyFont="true" applyBorder="true" applyAlignment="true" applyProtection="false">
      <alignment horizontal="right" vertical="center" textRotation="0" wrapText="false" indent="1" shrinkToFit="false"/>
      <protection locked="true" hidden="false"/>
    </xf>
    <xf numFmtId="172"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2" fontId="14" fillId="0" borderId="0" xfId="0" applyFont="true" applyBorder="false" applyAlignment="true" applyProtection="false">
      <alignment horizontal="right" vertical="center" textRotation="0" wrapText="false" indent="1" shrinkToFit="false"/>
      <protection locked="true" hidden="false"/>
    </xf>
    <xf numFmtId="172"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40" xfId="0" applyFont="true" applyBorder="true" applyAlignment="true" applyProtection="false">
      <alignment horizontal="right" vertical="center" textRotation="0" wrapText="false" indent="1" shrinkToFit="false"/>
      <protection locked="true" hidden="false"/>
    </xf>
    <xf numFmtId="165" fontId="11" fillId="4" borderId="40" xfId="0" applyFont="true" applyBorder="true" applyAlignment="true" applyProtection="false">
      <alignment horizontal="general" vertical="center" textRotation="0" wrapText="false" indent="0" shrinkToFit="false"/>
      <protection locked="true" hidden="false"/>
    </xf>
    <xf numFmtId="164" fontId="8" fillId="4" borderId="64" xfId="0" applyFont="true" applyBorder="true" applyAlignment="true" applyProtection="false">
      <alignment horizontal="left" vertical="center" textRotation="0" wrapText="false" indent="1" shrinkToFit="false"/>
      <protection locked="true" hidden="false"/>
    </xf>
    <xf numFmtId="165" fontId="9" fillId="4" borderId="64" xfId="0" applyFont="true" applyBorder="true" applyAlignment="true" applyProtection="false">
      <alignment horizontal="general"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5" fontId="9" fillId="4" borderId="34" xfId="0" applyFont="true" applyBorder="true" applyAlignment="true" applyProtection="false">
      <alignment horizontal="general" vertical="center" textRotation="0" wrapText="false" indent="0" shrinkToFit="false"/>
      <protection locked="true" hidden="false"/>
    </xf>
    <xf numFmtId="165" fontId="9" fillId="4" borderId="34" xfId="0" applyFont="true" applyBorder="true" applyAlignment="true" applyProtection="false">
      <alignment horizontal="right" vertical="center" textRotation="0" wrapText="false" indent="1"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14" fillId="4" borderId="6" xfId="0" applyFont="true" applyBorder="true" applyAlignment="true" applyProtection="false">
      <alignment horizontal="center" vertical="center" textRotation="0" wrapText="false" indent="0" shrinkToFit="false"/>
      <protection locked="true" hidden="false"/>
    </xf>
    <xf numFmtId="172" fontId="10" fillId="0" borderId="6" xfId="0" applyFont="true" applyBorder="true" applyAlignment="true" applyProtection="false">
      <alignment horizontal="left" vertical="center" textRotation="0" wrapText="false" indent="1"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14"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center" vertical="center" textRotation="0" wrapText="false" indent="0" shrinkToFit="false"/>
      <protection locked="true" hidden="false"/>
    </xf>
    <xf numFmtId="164" fontId="14" fillId="5" borderId="7" xfId="0" applyFont="true" applyBorder="true" applyAlignment="true" applyProtection="false">
      <alignment horizontal="left" vertical="center" textRotation="0" wrapText="false" indent="1" shrinkToFit="false"/>
      <protection locked="true" hidden="false"/>
    </xf>
    <xf numFmtId="164" fontId="22" fillId="4" borderId="65"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center" vertical="center" textRotation="0" wrapText="false" indent="0" shrinkToFit="false"/>
      <protection locked="true" hidden="false"/>
    </xf>
    <xf numFmtId="164" fontId="22" fillId="3" borderId="65" xfId="0" applyFont="true" applyBorder="true" applyAlignment="true" applyProtection="false">
      <alignment horizontal="left" vertical="center" textRotation="0" wrapText="false" indent="1" shrinkToFit="false"/>
      <protection locked="true" hidden="false"/>
    </xf>
    <xf numFmtId="172" fontId="8" fillId="3" borderId="6" xfId="0" applyFont="true" applyBorder="true" applyAlignment="true" applyProtection="false">
      <alignment horizontal="center" vertical="center" textRotation="0" wrapText="false" indent="0"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72" fontId="9" fillId="3" borderId="6" xfId="0" applyFont="true" applyBorder="true" applyAlignment="true" applyProtection="false">
      <alignment horizontal="right" vertical="center" textRotation="0" wrapText="false" indent="0" shrinkToFit="false"/>
      <protection locked="true" hidden="false"/>
    </xf>
    <xf numFmtId="164" fontId="14" fillId="5" borderId="6" xfId="0" applyFont="true" applyBorder="true" applyAlignment="true" applyProtection="false">
      <alignment horizontal="left" vertical="center" textRotation="0" wrapText="false" indent="1"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72" fontId="11" fillId="0" borderId="6" xfId="0" applyFont="true" applyBorder="true" applyAlignment="true" applyProtection="false">
      <alignment horizontal="right" vertical="center" textRotation="0" wrapText="false" indent="1" shrinkToFit="false"/>
      <protection locked="true" hidden="false"/>
    </xf>
    <xf numFmtId="164" fontId="22" fillId="3" borderId="20" xfId="0" applyFont="true" applyBorder="true" applyAlignment="true" applyProtection="false">
      <alignment horizontal="center" vertical="center" textRotation="0" wrapText="false" indent="0" shrinkToFit="false"/>
      <protection locked="true" hidden="false"/>
    </xf>
    <xf numFmtId="172"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2"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4" fillId="0" borderId="7" xfId="0" applyFont="true" applyBorder="true" applyAlignment="true" applyProtection="false">
      <alignment horizontal="left" vertical="center" textRotation="0" wrapText="false" indent="1" shrinkToFit="false"/>
      <protection locked="true" hidden="false"/>
    </xf>
    <xf numFmtId="165" fontId="32" fillId="0" borderId="6" xfId="0" applyFont="true" applyBorder="true" applyAlignment="true" applyProtection="false">
      <alignment horizontal="right" vertical="center" textRotation="0" wrapText="false" indent="1" shrinkToFit="false"/>
      <protection locked="true" hidden="false"/>
    </xf>
    <xf numFmtId="164" fontId="22" fillId="4" borderId="65" xfId="0" applyFont="true" applyBorder="true" applyAlignment="true" applyProtection="false">
      <alignment horizontal="center" vertical="center" textRotation="0" wrapText="false" indent="0" shrinkToFit="false"/>
      <protection locked="true" hidden="false"/>
    </xf>
    <xf numFmtId="164" fontId="22" fillId="4" borderId="20" xfId="0" applyFont="true" applyBorder="true" applyAlignment="true" applyProtection="false">
      <alignment horizontal="center" vertical="center" textRotation="0" wrapText="false" indent="0" shrinkToFit="false"/>
      <protection locked="true" hidden="false"/>
    </xf>
    <xf numFmtId="165" fontId="22" fillId="3" borderId="7" xfId="0" applyFont="true" applyBorder="true" applyAlignment="true" applyProtection="false">
      <alignment horizontal="left" vertical="center" textRotation="0" wrapText="false" indent="1"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56"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43" fillId="7" borderId="0" xfId="0" applyFont="true" applyBorder="false" applyAlignment="true" applyProtection="false">
      <alignment horizontal="general" vertical="center" textRotation="0" wrapText="false" indent="0" shrinkToFit="false"/>
      <protection locked="true" hidden="false"/>
    </xf>
    <xf numFmtId="175" fontId="56" fillId="7" borderId="0" xfId="0" applyFont="true" applyBorder="false" applyAlignment="true" applyProtection="false">
      <alignment horizontal="right" vertical="center" textRotation="0" wrapText="false" indent="0" shrinkToFit="false"/>
      <protection locked="true" hidden="false"/>
    </xf>
    <xf numFmtId="164" fontId="6" fillId="11" borderId="73" xfId="0" applyFont="true" applyBorder="true" applyAlignment="true" applyProtection="false">
      <alignment horizontal="center" vertical="center" textRotation="0" wrapText="false" indent="0" shrinkToFit="false"/>
      <protection locked="true" hidden="false"/>
    </xf>
    <xf numFmtId="164" fontId="6" fillId="2" borderId="73" xfId="0" applyFont="true" applyBorder="true" applyAlignment="true" applyProtection="false">
      <alignment horizontal="center" vertical="center" textRotation="0" wrapText="true" indent="0" shrinkToFit="false"/>
      <protection locked="true" hidden="false"/>
    </xf>
    <xf numFmtId="164" fontId="6" fillId="11" borderId="27" xfId="0" applyFont="true" applyBorder="true" applyAlignment="true" applyProtection="false">
      <alignment horizontal="center" vertical="center" textRotation="0" wrapText="false" indent="0" shrinkToFit="false"/>
      <protection locked="true" hidden="false"/>
    </xf>
    <xf numFmtId="164" fontId="10" fillId="5" borderId="65" xfId="0" applyFont="true" applyBorder="true" applyAlignment="true" applyProtection="false">
      <alignment horizontal="left" vertical="center" textRotation="0" wrapText="false" indent="1" shrinkToFit="false"/>
      <protection locked="true" hidden="false"/>
    </xf>
    <xf numFmtId="164" fontId="14" fillId="5" borderId="65" xfId="0" applyFont="true" applyBorder="true" applyAlignment="true" applyProtection="false">
      <alignment horizontal="left" vertical="center" textRotation="0" wrapText="false" indent="1" shrinkToFit="false"/>
      <protection locked="true" hidden="false"/>
    </xf>
    <xf numFmtId="175" fontId="11" fillId="5" borderId="65" xfId="0" applyFont="true" applyBorder="true" applyAlignment="true" applyProtection="false">
      <alignment horizontal="right" vertical="center" textRotation="0" wrapText="false" indent="1" shrinkToFit="false"/>
      <protection locked="true" hidden="false"/>
    </xf>
    <xf numFmtId="176" fontId="11" fillId="5" borderId="65" xfId="0" applyFont="true" applyBorder="true" applyAlignment="true" applyProtection="false">
      <alignment horizontal="right" vertical="center" textRotation="0" wrapText="false" indent="1" shrinkToFit="false"/>
      <protection locked="true" hidden="false"/>
    </xf>
    <xf numFmtId="172" fontId="10" fillId="0" borderId="65" xfId="0" applyFont="true" applyBorder="true" applyAlignment="true" applyProtection="false">
      <alignment horizontal="left" vertical="center" textRotation="0" wrapText="false" indent="1" shrinkToFit="false"/>
      <protection locked="true" hidden="false"/>
    </xf>
    <xf numFmtId="172" fontId="11" fillId="0" borderId="65" xfId="0" applyFont="true" applyBorder="true" applyAlignment="true" applyProtection="false">
      <alignment horizontal="general" vertical="center" textRotation="0" wrapText="false" indent="0" shrinkToFit="false"/>
      <protection locked="true" hidden="false"/>
    </xf>
    <xf numFmtId="172" fontId="11" fillId="0" borderId="65" xfId="0" applyFont="true" applyBorder="true" applyAlignment="true" applyProtection="false">
      <alignment horizontal="right" vertical="center" textRotation="0" wrapText="false" indent="1" shrinkToFit="false"/>
      <protection locked="true" hidden="false"/>
    </xf>
    <xf numFmtId="164" fontId="39" fillId="5" borderId="65" xfId="0" applyFont="true" applyBorder="true" applyAlignment="true" applyProtection="false">
      <alignment horizontal="left" vertical="center" textRotation="0" wrapText="false" indent="1" shrinkToFit="false"/>
      <protection locked="true" hidden="false"/>
    </xf>
    <xf numFmtId="164" fontId="20" fillId="4" borderId="40" xfId="0" applyFont="true" applyBorder="true" applyAlignment="true" applyProtection="false">
      <alignment horizontal="center" vertical="center" textRotation="0" wrapText="false" indent="0" shrinkToFit="false"/>
      <protection locked="true" hidden="false"/>
    </xf>
    <xf numFmtId="164" fontId="10" fillId="5" borderId="20" xfId="0" applyFont="true" applyBorder="true" applyAlignment="true" applyProtection="false">
      <alignment horizontal="left" vertical="center" textRotation="0" wrapText="false" indent="1" shrinkToFit="false"/>
      <protection locked="true" hidden="false"/>
    </xf>
    <xf numFmtId="164" fontId="20" fillId="5" borderId="20" xfId="0" applyFont="true" applyBorder="true" applyAlignment="true" applyProtection="false">
      <alignment horizontal="left" vertical="center" textRotation="0" wrapText="false" indent="1" shrinkToFit="false"/>
      <protection locked="true" hidden="false"/>
    </xf>
    <xf numFmtId="177" fontId="11" fillId="5" borderId="20" xfId="0" applyFont="true" applyBorder="true" applyAlignment="true" applyProtection="false">
      <alignment horizontal="right" vertical="center" textRotation="0" wrapText="false" indent="1" shrinkToFit="false"/>
      <protection locked="true" hidden="false"/>
    </xf>
    <xf numFmtId="177" fontId="11" fillId="0" borderId="6" xfId="0" applyFont="true" applyBorder="true" applyAlignment="true" applyProtection="false">
      <alignment horizontal="right" vertical="center" textRotation="0" wrapText="false" indent="1" shrinkToFit="false"/>
      <protection locked="true" hidden="false"/>
    </xf>
    <xf numFmtId="172" fontId="11" fillId="0" borderId="6" xfId="0" applyFont="true" applyBorder="true" applyAlignment="true" applyProtection="false">
      <alignment horizontal="general" vertical="center" textRotation="0" wrapText="false" indent="0" shrinkToFit="false"/>
      <protection locked="true" hidden="false"/>
    </xf>
    <xf numFmtId="164" fontId="39" fillId="5" borderId="7" xfId="0" applyFont="true" applyBorder="true" applyAlignment="true" applyProtection="false">
      <alignment horizontal="left" vertical="center" textRotation="0" wrapText="false" indent="1" shrinkToFit="false"/>
      <protection locked="true" hidden="false"/>
    </xf>
    <xf numFmtId="164" fontId="40" fillId="5" borderId="7" xfId="0" applyFont="true" applyBorder="true" applyAlignment="true" applyProtection="false">
      <alignment horizontal="left" vertical="center" textRotation="0" wrapText="false" indent="1" shrinkToFit="false"/>
      <protection locked="true" hidden="false"/>
    </xf>
    <xf numFmtId="178" fontId="11" fillId="5" borderId="20" xfId="0" applyFont="true" applyBorder="true" applyAlignment="true" applyProtection="false">
      <alignment horizontal="right" vertical="center" textRotation="0" wrapText="false" indent="1" shrinkToFit="false"/>
      <protection locked="true" hidden="false"/>
    </xf>
    <xf numFmtId="178" fontId="11" fillId="0" borderId="6" xfId="0" applyFont="true" applyBorder="true" applyAlignment="true" applyProtection="false">
      <alignment horizontal="right" vertical="center" textRotation="0" wrapText="false" indent="1" shrinkToFit="false"/>
      <protection locked="true" hidden="false"/>
    </xf>
    <xf numFmtId="164" fontId="11" fillId="5" borderId="20" xfId="0" applyFont="true" applyBorder="true" applyAlignment="true" applyProtection="false">
      <alignment horizontal="right" vertical="center" textRotation="0" wrapText="false" indent="1" shrinkToFit="false"/>
      <protection locked="true" hidden="false"/>
    </xf>
    <xf numFmtId="164" fontId="14" fillId="5" borderId="20" xfId="0" applyFont="true" applyBorder="true" applyAlignment="true" applyProtection="false">
      <alignment horizontal="left" vertical="center" textRotation="0" wrapText="false" indent="1" shrinkToFit="false"/>
      <protection locked="true" hidden="false"/>
    </xf>
    <xf numFmtId="164" fontId="40" fillId="5" borderId="7" xfId="0" applyFont="true" applyBorder="true" applyAlignment="true" applyProtection="false">
      <alignment horizontal="left" vertical="center" textRotation="0" wrapText="true" indent="1" shrinkToFit="false"/>
      <protection locked="true" hidden="false"/>
    </xf>
    <xf numFmtId="164" fontId="14" fillId="5" borderId="20" xfId="0" applyFont="true" applyBorder="true" applyAlignment="true" applyProtection="false">
      <alignment horizontal="right" vertical="center" textRotation="0" wrapText="false" indent="1" shrinkToFit="false"/>
      <protection locked="true" hidden="false"/>
    </xf>
    <xf numFmtId="179" fontId="0" fillId="0" borderId="0" xfId="0" applyFont="true" applyBorder="false" applyAlignment="true" applyProtection="false">
      <alignment horizontal="general" vertical="bottom" textRotation="0" wrapText="false" indent="0" shrinkToFit="false"/>
      <protection locked="true" hidden="false"/>
    </xf>
    <xf numFmtId="164" fontId="10" fillId="0" borderId="65" xfId="0" applyFont="true" applyBorder="true" applyAlignment="true" applyProtection="false">
      <alignment horizontal="general" vertical="center" textRotation="0" wrapText="true" indent="0" shrinkToFit="false"/>
      <protection locked="true" hidden="false"/>
    </xf>
    <xf numFmtId="180" fontId="14" fillId="0" borderId="65" xfId="0" applyFont="true" applyBorder="true" applyAlignment="true" applyProtection="false">
      <alignment horizontal="right" vertical="center" textRotation="0" wrapText="false" indent="1" shrinkToFit="false"/>
      <protection locked="true" hidden="false"/>
    </xf>
    <xf numFmtId="165" fontId="11" fillId="0" borderId="65" xfId="0" applyFont="true" applyBorder="true" applyAlignment="true" applyProtection="false">
      <alignment horizontal="right" vertical="center" textRotation="0" wrapText="false" indent="1" shrinkToFit="false"/>
      <protection locked="true" hidden="false"/>
    </xf>
    <xf numFmtId="164" fontId="10" fillId="5" borderId="65" xfId="0" applyFont="true" applyBorder="true" applyAlignment="true" applyProtection="false">
      <alignment horizontal="general" vertical="center" textRotation="0" wrapText="true" indent="0" shrinkToFit="false"/>
      <protection locked="true" hidden="false"/>
    </xf>
    <xf numFmtId="164" fontId="10" fillId="4" borderId="40" xfId="0" applyFont="true" applyBorder="true" applyAlignment="true" applyProtection="false">
      <alignment horizontal="general" vertical="center" textRotation="0" wrapText="true" indent="0" shrinkToFit="false"/>
      <protection locked="true" hidden="false"/>
    </xf>
    <xf numFmtId="171" fontId="11" fillId="0" borderId="65" xfId="0" applyFont="true" applyBorder="true" applyAlignment="true" applyProtection="false">
      <alignment horizontal="general" vertical="center" textRotation="0" wrapText="true" indent="0" shrinkToFit="false"/>
      <protection locked="true" hidden="false"/>
    </xf>
    <xf numFmtId="165" fontId="11" fillId="0" borderId="65" xfId="0" applyFont="true" applyBorder="true" applyAlignment="true" applyProtection="false">
      <alignment horizontal="general" vertical="center" textRotation="0" wrapText="true" indent="0" shrinkToFit="false"/>
      <protection locked="true" hidden="false"/>
    </xf>
    <xf numFmtId="164" fontId="39" fillId="5" borderId="65" xfId="0" applyFont="true" applyBorder="true" applyAlignment="true" applyProtection="false">
      <alignment horizontal="general" vertical="center" textRotation="0" wrapText="true" indent="0" shrinkToFit="false"/>
      <protection locked="true" hidden="false"/>
    </xf>
    <xf numFmtId="171" fontId="32" fillId="0" borderId="6" xfId="0" applyFont="true" applyBorder="true" applyAlignment="true" applyProtection="false">
      <alignment horizontal="general" vertical="center" textRotation="0" wrapText="true" indent="0" shrinkToFit="false"/>
      <protection locked="true" hidden="false"/>
    </xf>
    <xf numFmtId="165" fontId="11" fillId="0" borderId="6" xfId="0" applyFont="true" applyBorder="true" applyAlignment="true" applyProtection="false">
      <alignment horizontal="general" vertical="center" textRotation="0" wrapText="true" indent="0" shrinkToFit="false"/>
      <protection locked="true" hidden="false"/>
    </xf>
    <xf numFmtId="164" fontId="39" fillId="5" borderId="7" xfId="0" applyFont="true" applyBorder="tru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4" fontId="14" fillId="4" borderId="40" xfId="0" applyFont="true" applyBorder="true" applyAlignment="true" applyProtection="false">
      <alignment horizontal="center" vertical="center" textRotation="0" wrapText="false" indent="0" shrinkToFit="false"/>
      <protection locked="true" hidden="false"/>
    </xf>
    <xf numFmtId="171" fontId="11" fillId="0" borderId="65" xfId="0" applyFont="true" applyBorder="true" applyAlignment="true" applyProtection="false">
      <alignment horizontal="right" vertical="center" textRotation="0" wrapText="false" indent="1" shrinkToFit="false"/>
      <protection locked="true" hidden="false"/>
    </xf>
    <xf numFmtId="172" fontId="14" fillId="0" borderId="65" xfId="0" applyFont="true" applyBorder="true" applyAlignment="true" applyProtection="false">
      <alignment horizontal="center" vertical="center" textRotation="0" wrapText="true" indent="0" shrinkToFit="false"/>
      <protection locked="true" hidden="false"/>
    </xf>
    <xf numFmtId="164" fontId="44" fillId="5" borderId="65" xfId="0" applyFont="true" applyBorder="true" applyAlignment="true" applyProtection="false">
      <alignment horizontal="left" vertical="center" textRotation="0" wrapText="false" indent="1" shrinkToFit="false"/>
      <protection locked="true" hidden="false"/>
    </xf>
    <xf numFmtId="171" fontId="32" fillId="0" borderId="6" xfId="0" applyFont="true" applyBorder="true" applyAlignment="true" applyProtection="false">
      <alignment horizontal="right" vertical="center" textRotation="0" wrapText="true" indent="1" shrinkToFit="false"/>
      <protection locked="true" hidden="false"/>
    </xf>
    <xf numFmtId="172" fontId="14" fillId="0" borderId="6" xfId="0" applyFont="true" applyBorder="true" applyAlignment="true" applyProtection="false">
      <alignment horizontal="left" vertical="center" textRotation="0" wrapText="true" indent="1" shrinkToFit="false"/>
      <protection locked="true" hidden="false"/>
    </xf>
    <xf numFmtId="168" fontId="6" fillId="2" borderId="27" xfId="0" applyFont="true" applyBorder="true" applyAlignment="true" applyProtection="false">
      <alignment horizontal="center" vertical="center" textRotation="0" wrapText="false" indent="0" shrinkToFit="false"/>
      <protection locked="true" hidden="false"/>
    </xf>
    <xf numFmtId="164" fontId="10" fillId="0" borderId="65" xfId="0" applyFont="true" applyBorder="true" applyAlignment="true" applyProtection="false">
      <alignment horizontal="left" vertical="center" textRotation="0" wrapText="false" indent="1" shrinkToFit="false"/>
      <protection locked="true" hidden="false"/>
    </xf>
    <xf numFmtId="164" fontId="40" fillId="5" borderId="65" xfId="0" applyFont="true" applyBorder="true" applyAlignment="true" applyProtection="false">
      <alignment horizontal="left" vertical="center" textRotation="0" wrapText="false" indent="1" shrinkToFit="false"/>
      <protection locked="true" hidden="false"/>
    </xf>
    <xf numFmtId="165" fontId="11" fillId="0" borderId="12" xfId="0" applyFont="true" applyBorder="true" applyAlignment="true" applyProtection="false">
      <alignment horizontal="right" vertical="center" textRotation="0" wrapText="false" indent="1" shrinkToFit="false"/>
      <protection locked="true" hidden="false"/>
    </xf>
    <xf numFmtId="164" fontId="39" fillId="5" borderId="7" xfId="0" applyFont="true" applyBorder="true" applyAlignment="true" applyProtection="false">
      <alignment horizontal="left" vertical="center" textRotation="0" wrapText="true" indent="1" shrinkToFit="false"/>
      <protection locked="true" hidden="false"/>
    </xf>
    <xf numFmtId="164" fontId="14" fillId="0" borderId="40" xfId="0" applyFont="true" applyBorder="true" applyAlignment="true" applyProtection="false">
      <alignment horizontal="left" vertical="center" textRotation="0" wrapText="false" indent="1" shrinkToFit="false"/>
      <protection locked="true" hidden="false"/>
    </xf>
    <xf numFmtId="164" fontId="20" fillId="3" borderId="20" xfId="0" applyFont="true" applyBorder="true" applyAlignment="true" applyProtection="false">
      <alignment horizontal="center" vertical="center" textRotation="0" wrapText="false" indent="0" shrinkToFit="false"/>
      <protection locked="true" hidden="false"/>
    </xf>
    <xf numFmtId="172" fontId="9" fillId="3" borderId="6" xfId="0" applyFont="true" applyBorder="true" applyAlignment="true" applyProtection="false">
      <alignment horizontal="right" vertical="center" textRotation="0" wrapText="false" indent="1" shrinkToFit="false"/>
      <protection locked="true" hidden="false"/>
    </xf>
    <xf numFmtId="164" fontId="57" fillId="3" borderId="7" xfId="0" applyFont="true" applyBorder="true" applyAlignment="true" applyProtection="false">
      <alignment horizontal="left" vertical="center" textRotation="0" wrapText="tru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58" fillId="5" borderId="0" xfId="0" applyFont="true" applyBorder="false" applyAlignment="true" applyProtection="false">
      <alignment horizontal="general" vertical="center" textRotation="0" wrapText="false" indent="0" shrinkToFit="false"/>
      <protection locked="true" hidden="false"/>
    </xf>
    <xf numFmtId="164" fontId="59"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22" fillId="5" borderId="0" xfId="0" applyFont="true" applyBorder="false" applyAlignment="true" applyProtection="false">
      <alignment horizontal="left" vertical="center" textRotation="0" wrapText="false" indent="1" shrinkToFit="false"/>
      <protection locked="true" hidden="false"/>
    </xf>
    <xf numFmtId="172" fontId="11" fillId="5" borderId="0" xfId="0" applyFont="true" applyBorder="false" applyAlignment="true" applyProtection="false">
      <alignment horizontal="right" vertical="center" textRotation="0" wrapText="false" indent="1" shrinkToFit="false"/>
      <protection locked="true" hidden="false"/>
    </xf>
    <xf numFmtId="164" fontId="61" fillId="5" borderId="0" xfId="0" applyFont="true" applyBorder="false" applyAlignment="true" applyProtection="false">
      <alignment horizontal="left" vertical="center" textRotation="0" wrapText="false" indent="1" shrinkToFit="false"/>
      <protection locked="true" hidden="false"/>
    </xf>
    <xf numFmtId="164" fontId="40" fillId="5" borderId="0" xfId="0" applyFont="true" applyBorder="false" applyAlignment="true" applyProtection="false">
      <alignment horizontal="left" vertical="center" textRotation="0" wrapText="true" indent="1" shrinkToFit="false"/>
      <protection locked="true" hidden="false"/>
    </xf>
    <xf numFmtId="164" fontId="22" fillId="5" borderId="0" xfId="0" applyFont="true" applyBorder="true" applyAlignment="true" applyProtection="false">
      <alignment horizontal="left" vertical="center" textRotation="0" wrapText="false" indent="1" shrinkToFit="false"/>
      <protection locked="true" hidden="false"/>
    </xf>
    <xf numFmtId="172" fontId="9" fillId="5" borderId="0" xfId="0" applyFont="true" applyBorder="false" applyAlignment="true" applyProtection="false">
      <alignment horizontal="right" vertical="center" textRotation="0" wrapText="false" indent="1" shrinkToFit="false"/>
      <protection locked="true" hidden="false"/>
    </xf>
    <xf numFmtId="164" fontId="62" fillId="2" borderId="0" xfId="0" applyFont="true" applyBorder="false" applyAlignment="true" applyProtection="false">
      <alignment horizontal="general" vertical="bottom" textRotation="0" wrapText="false" indent="0" shrinkToFit="false"/>
      <protection locked="true" hidden="false"/>
    </xf>
    <xf numFmtId="164" fontId="63"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64" fillId="0" borderId="0" xfId="0" applyFont="true" applyBorder="false" applyAlignment="true" applyProtection="false">
      <alignment horizontal="general" vertical="bottom" textRotation="0" wrapText="false" indent="0" shrinkToFit="false"/>
      <protection locked="true" hidden="false"/>
    </xf>
    <xf numFmtId="164" fontId="65" fillId="0" borderId="0" xfId="0" applyFont="true" applyBorder="false" applyAlignment="true" applyProtection="false">
      <alignment horizontal="general" vertical="center" textRotation="0" wrapText="false" indent="0" shrinkToFit="false"/>
      <protection locked="true" hidden="false"/>
    </xf>
    <xf numFmtId="181" fontId="65" fillId="0" borderId="0" xfId="0" applyFont="true" applyBorder="false" applyAlignment="true" applyProtection="false">
      <alignment horizontal="center" vertical="center" textRotation="0" wrapText="false" indent="0" shrinkToFit="false"/>
      <protection locked="true" hidden="false"/>
    </xf>
    <xf numFmtId="181" fontId="65" fillId="0" borderId="0" xfId="0" applyFont="true" applyBorder="false" applyAlignment="true" applyProtection="false">
      <alignment horizontal="general"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81" fontId="67" fillId="2" borderId="82" xfId="0" applyFont="true" applyBorder="true" applyAlignment="true" applyProtection="false">
      <alignment horizontal="center" vertical="center" textRotation="0" wrapText="false" indent="0" shrinkToFit="false"/>
      <protection locked="true" hidden="false"/>
    </xf>
    <xf numFmtId="176" fontId="69" fillId="2" borderId="82" xfId="0" applyFont="true" applyBorder="true" applyAlignment="true" applyProtection="false">
      <alignment horizontal="center" vertical="center" textRotation="0" wrapText="false" indent="0" shrinkToFit="false"/>
      <protection locked="true" hidden="false"/>
    </xf>
    <xf numFmtId="176" fontId="70" fillId="12" borderId="82" xfId="0" applyFont="true" applyBorder="true" applyAlignment="true" applyProtection="false">
      <alignment horizontal="center" vertical="center" textRotation="0" wrapText="false" indent="0" shrinkToFit="false"/>
      <protection locked="true" hidden="false"/>
    </xf>
    <xf numFmtId="176" fontId="71" fillId="13" borderId="82" xfId="0" applyFont="true" applyBorder="true" applyAlignment="true" applyProtection="false">
      <alignment horizontal="center" vertical="center" textRotation="0" wrapText="false" indent="0" shrinkToFit="false"/>
      <protection locked="true" hidden="false"/>
    </xf>
    <xf numFmtId="181" fontId="53" fillId="4" borderId="82" xfId="0" applyFont="true" applyBorder="true" applyAlignment="true" applyProtection="false">
      <alignment horizontal="center" vertical="center" textRotation="0" wrapText="false" indent="0" shrinkToFit="false"/>
      <protection locked="true" hidden="false"/>
    </xf>
    <xf numFmtId="181" fontId="19" fillId="0" borderId="82" xfId="0" applyFont="true" applyBorder="true" applyAlignment="true" applyProtection="false">
      <alignment horizontal="center" vertical="center" textRotation="0" wrapText="false" indent="0" shrinkToFit="false"/>
      <protection locked="true" hidden="false"/>
    </xf>
    <xf numFmtId="181" fontId="65" fillId="6" borderId="82" xfId="0" applyFont="true" applyBorder="true" applyAlignment="true" applyProtection="false">
      <alignment horizontal="center" vertical="center" textRotation="0" wrapText="false" indent="0" shrinkToFit="false"/>
      <protection locked="true" hidden="false"/>
    </xf>
    <xf numFmtId="181" fontId="65" fillId="5" borderId="82" xfId="0" applyFont="true" applyBorder="true" applyAlignment="true" applyProtection="false">
      <alignment horizontal="center" vertical="center" textRotation="0" wrapText="false" indent="0" shrinkToFit="false"/>
      <protection locked="true" hidden="false"/>
    </xf>
    <xf numFmtId="181" fontId="70" fillId="5" borderId="82" xfId="0" applyFont="true" applyBorder="true" applyAlignment="true" applyProtection="false">
      <alignment horizontal="center" vertical="center" textRotation="0" wrapText="false" indent="0" shrinkToFit="false"/>
      <protection locked="true" hidden="false"/>
    </xf>
    <xf numFmtId="181" fontId="55" fillId="4" borderId="82" xfId="0" applyFont="true" applyBorder="true" applyAlignment="true" applyProtection="false">
      <alignment horizontal="center" vertical="center" textRotation="0" wrapText="false" indent="0" shrinkToFit="false"/>
      <protection locked="true" hidden="false"/>
    </xf>
    <xf numFmtId="181" fontId="5" fillId="0" borderId="82" xfId="0" applyFont="true" applyBorder="true" applyAlignment="true" applyProtection="false">
      <alignment horizontal="center" vertical="center" textRotation="0" wrapText="false" indent="0" shrinkToFit="false"/>
      <protection locked="true" hidden="false"/>
    </xf>
    <xf numFmtId="181" fontId="72" fillId="6" borderId="82" xfId="0" applyFont="true" applyBorder="true" applyAlignment="true" applyProtection="false">
      <alignment horizontal="center" vertical="center" textRotation="0" wrapText="false" indent="0" shrinkToFit="false"/>
      <protection locked="true" hidden="false"/>
    </xf>
    <xf numFmtId="181" fontId="65" fillId="0" borderId="82" xfId="0" applyFont="true" applyBorder="true" applyAlignment="true" applyProtection="false">
      <alignment horizontal="center" vertical="center" textRotation="0" wrapText="false" indent="0" shrinkToFit="false"/>
      <protection locked="true" hidden="false"/>
    </xf>
    <xf numFmtId="181" fontId="70" fillId="5" borderId="8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false" applyAlignment="true" applyProtection="false">
      <alignment horizontal="general" vertical="center" textRotation="0" wrapText="false" indent="0" shrinkToFit="false"/>
      <protection locked="true" hidden="false"/>
    </xf>
    <xf numFmtId="181" fontId="19" fillId="12" borderId="83" xfId="0" applyFont="true" applyBorder="true" applyAlignment="true" applyProtection="false">
      <alignment horizontal="center" vertical="center" textRotation="0" wrapText="false" indent="0" shrinkToFit="false"/>
      <protection locked="true" hidden="false"/>
    </xf>
    <xf numFmtId="181" fontId="19" fillId="13" borderId="83" xfId="0" applyFont="true" applyBorder="true" applyAlignment="true" applyProtection="false">
      <alignment horizontal="center" vertical="center" textRotation="0" wrapText="false" indent="0" shrinkToFit="false"/>
      <protection locked="true" hidden="false"/>
    </xf>
    <xf numFmtId="181" fontId="19" fillId="0" borderId="0" xfId="0" applyFont="true" applyBorder="false" applyAlignment="true" applyProtection="false">
      <alignment horizontal="center" vertical="center" textRotation="0" wrapText="false" indent="0" shrinkToFit="false"/>
      <protection locked="true" hidden="false"/>
    </xf>
    <xf numFmtId="181" fontId="19" fillId="0" borderId="0" xfId="0" applyFont="true" applyBorder="fals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81" fontId="74" fillId="2" borderId="82" xfId="0" applyFont="true" applyBorder="true" applyAlignment="true" applyProtection="false">
      <alignment horizontal="center" vertical="center" textRotation="0" wrapText="false" indent="0" shrinkToFit="false"/>
      <protection locked="true" hidden="false"/>
    </xf>
    <xf numFmtId="164" fontId="74" fillId="2" borderId="82" xfId="0" applyFont="true" applyBorder="true" applyAlignment="true" applyProtection="false">
      <alignment horizontal="center" vertical="center" textRotation="0" wrapText="false" indent="0" shrinkToFit="false"/>
      <protection locked="true" hidden="false"/>
    </xf>
    <xf numFmtId="164" fontId="75" fillId="2" borderId="82"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81" fontId="19" fillId="7" borderId="82" xfId="0" applyFont="true" applyBorder="true" applyAlignment="true" applyProtection="false">
      <alignment horizontal="center" vertical="center" textRotation="0" wrapText="false" indent="0" shrinkToFit="false"/>
      <protection locked="true" hidden="false"/>
    </xf>
    <xf numFmtId="164" fontId="5" fillId="7" borderId="82" xfId="0" applyFont="true" applyBorder="true" applyAlignment="true" applyProtection="false">
      <alignment horizontal="center" vertical="center" textRotation="0" wrapText="false" indent="0" shrinkToFit="false"/>
      <protection locked="true" hidden="false"/>
    </xf>
    <xf numFmtId="164" fontId="19" fillId="0" borderId="82" xfId="0" applyFont="true" applyBorder="true" applyAlignment="true" applyProtection="false">
      <alignment horizontal="general" vertical="center" textRotation="0" wrapText="false" indent="0" shrinkToFit="false"/>
      <protection locked="true" hidden="false"/>
    </xf>
    <xf numFmtId="164" fontId="19" fillId="4" borderId="82" xfId="0" applyFont="true" applyBorder="true" applyAlignment="true" applyProtection="false">
      <alignment horizontal="center" vertical="center" textRotation="0" wrapText="false" indent="0" shrinkToFit="false"/>
      <protection locked="true" hidden="false"/>
    </xf>
    <xf numFmtId="164" fontId="19" fillId="14" borderId="82" xfId="0" applyFont="true" applyBorder="true" applyAlignment="true" applyProtection="false">
      <alignment horizontal="center" vertical="center" textRotation="0" wrapText="false" indent="0" shrinkToFit="false"/>
      <protection locked="true" hidden="false"/>
    </xf>
    <xf numFmtId="181" fontId="19" fillId="12" borderId="82" xfId="0" applyFont="true" applyBorder="true" applyAlignment="true" applyProtection="false">
      <alignment horizontal="center" vertical="center" textRotation="0" wrapText="false" indent="0" shrinkToFit="false"/>
      <protection locked="true" hidden="false"/>
    </xf>
    <xf numFmtId="181" fontId="19" fillId="13" borderId="82" xfId="0" applyFont="true" applyBorder="true" applyAlignment="true" applyProtection="false">
      <alignment horizontal="center" vertical="center" textRotation="0" wrapText="false" indent="0" shrinkToFit="false"/>
      <protection locked="true" hidden="false"/>
    </xf>
    <xf numFmtId="181" fontId="19" fillId="4" borderId="82" xfId="0" applyFont="true" applyBorder="true" applyAlignment="true" applyProtection="false">
      <alignment horizontal="center" vertical="center" textRotation="0" wrapText="false" indent="0" shrinkToFit="false"/>
      <protection locked="true" hidden="false"/>
    </xf>
    <xf numFmtId="164" fontId="43" fillId="4" borderId="82" xfId="0" applyFont="true" applyBorder="true" applyAlignment="true" applyProtection="false">
      <alignment horizontal="center" vertical="center" textRotation="0" wrapText="false" indent="0" shrinkToFit="false"/>
      <protection locked="true" hidden="false"/>
    </xf>
    <xf numFmtId="164" fontId="5" fillId="4" borderId="82" xfId="0" applyFont="true" applyBorder="true" applyAlignment="true" applyProtection="false">
      <alignment horizontal="center" vertical="center" textRotation="0" wrapText="false" indent="0" shrinkToFit="false"/>
      <protection locked="true" hidden="false"/>
    </xf>
    <xf numFmtId="165" fontId="77" fillId="0" borderId="0" xfId="0" applyFont="true" applyBorder="false" applyAlignment="true" applyProtection="false">
      <alignment horizontal="general" vertical="bottom" textRotation="0" wrapText="false" indent="0" shrinkToFit="false"/>
      <protection locked="true" hidden="false"/>
    </xf>
    <xf numFmtId="169" fontId="77" fillId="0" borderId="0" xfId="0" applyFont="true" applyBorder="false" applyAlignment="true" applyProtection="false">
      <alignment horizontal="general" vertical="bottom" textRotation="0" wrapText="false" indent="0" shrinkToFit="false"/>
      <protection locked="true" hidden="false"/>
    </xf>
    <xf numFmtId="169"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false" applyProtection="false">
      <alignment horizontal="general" vertical="center" textRotation="0" wrapText="false" indent="0" shrinkToFit="false"/>
      <protection locked="true" hidden="false"/>
    </xf>
    <xf numFmtId="164" fontId="10" fillId="4" borderId="84" xfId="0" applyFont="true" applyBorder="true" applyAlignment="true" applyProtection="false">
      <alignment horizontal="left" vertical="center" textRotation="0" wrapText="false" indent="1" shrinkToFit="false"/>
      <protection locked="true" hidden="false"/>
    </xf>
    <xf numFmtId="172" fontId="11" fillId="0" borderId="85" xfId="0" applyFont="true" applyBorder="true" applyAlignment="true" applyProtection="false">
      <alignment horizontal="right" vertical="center" textRotation="0" wrapText="false" indent="1" shrinkToFit="false"/>
      <protection locked="true" hidden="false"/>
    </xf>
    <xf numFmtId="172" fontId="11" fillId="0" borderId="3" xfId="0" applyFont="true" applyBorder="true" applyAlignment="true" applyProtection="false">
      <alignment horizontal="right" vertical="center" textRotation="0" wrapText="false" indent="1" shrinkToFit="false"/>
      <protection locked="true" hidden="false"/>
    </xf>
    <xf numFmtId="164" fontId="39" fillId="5" borderId="85" xfId="0" applyFont="true" applyBorder="true" applyAlignment="true" applyProtection="false">
      <alignment horizontal="left" vertical="center" textRotation="0" wrapText="false" indent="1" shrinkToFit="false"/>
      <protection locked="true" hidden="false"/>
    </xf>
    <xf numFmtId="172" fontId="11" fillId="0" borderId="86" xfId="0" applyFont="true" applyBorder="true" applyAlignment="true" applyProtection="false">
      <alignment horizontal="right" vertical="center" textRotation="0" wrapText="false" indent="1" shrinkToFit="false"/>
      <protection locked="true" hidden="false"/>
    </xf>
    <xf numFmtId="172" fontId="11" fillId="0" borderId="87" xfId="0" applyFont="true" applyBorder="true" applyAlignment="true" applyProtection="false">
      <alignment horizontal="right" vertical="center" textRotation="0" wrapText="false" indent="1" shrinkToFit="false"/>
      <protection locked="true" hidden="false"/>
    </xf>
    <xf numFmtId="164" fontId="39" fillId="5" borderId="88" xfId="0" applyFont="true" applyBorder="true" applyAlignment="true" applyProtection="false">
      <alignment horizontal="left" vertical="center" textRotation="0" wrapText="true" indent="1" shrinkToFit="false"/>
      <protection locked="true" hidden="false"/>
    </xf>
    <xf numFmtId="164" fontId="6" fillId="6" borderId="27" xfId="0" applyFont="true" applyBorder="true" applyAlignment="true" applyProtection="false">
      <alignment horizontal="center" vertical="center" textRotation="0" wrapText="false" indent="0" shrinkToFit="false"/>
      <protection locked="true" hidden="false"/>
    </xf>
    <xf numFmtId="172" fontId="11" fillId="0" borderId="89" xfId="0" applyFont="true" applyBorder="true" applyAlignment="true" applyProtection="false">
      <alignment horizontal="right" vertical="center" textRotation="0" wrapText="false" indent="1" shrinkToFit="false"/>
      <protection locked="true" hidden="false"/>
    </xf>
    <xf numFmtId="172" fontId="9" fillId="3" borderId="90" xfId="0" applyFont="true" applyBorder="true" applyAlignment="true" applyProtection="false">
      <alignment horizontal="right" vertical="center" textRotation="0" wrapText="false" indent="1" shrinkToFit="false"/>
      <protection locked="true" hidden="false"/>
    </xf>
    <xf numFmtId="172" fontId="11" fillId="0" borderId="81" xfId="0" applyFont="true" applyBorder="true" applyAlignment="true" applyProtection="false">
      <alignment horizontal="right" vertical="center" textRotation="0" wrapText="false" indent="1" shrinkToFit="false"/>
      <protection locked="true" hidden="false"/>
    </xf>
    <xf numFmtId="172" fontId="11" fillId="0" borderId="91" xfId="0" applyFont="true" applyBorder="true" applyAlignment="true" applyProtection="false">
      <alignment horizontal="right" vertical="center" textRotation="0" wrapText="false" indent="1" shrinkToFit="false"/>
      <protection locked="true" hidden="false"/>
    </xf>
    <xf numFmtId="172" fontId="9" fillId="3" borderId="92" xfId="0" applyFont="true" applyBorder="true" applyAlignment="true" applyProtection="false">
      <alignment horizontal="right" vertical="center" textRotation="0" wrapText="false" indent="1" shrinkToFit="false"/>
      <protection locked="true" hidden="false"/>
    </xf>
    <xf numFmtId="172" fontId="11" fillId="0" borderId="93" xfId="0" applyFont="true" applyBorder="true" applyAlignment="true" applyProtection="false">
      <alignment horizontal="right" vertical="center" textRotation="0" wrapText="false" indent="1" shrinkToFit="false"/>
      <protection locked="true" hidden="false"/>
    </xf>
    <xf numFmtId="172" fontId="11" fillId="0" borderId="88" xfId="0" applyFont="true" applyBorder="true" applyAlignment="true" applyProtection="false">
      <alignment horizontal="right" vertical="center" textRotation="0" wrapText="false" indent="1" shrinkToFit="false"/>
      <protection locked="true" hidden="false"/>
    </xf>
    <xf numFmtId="172" fontId="9" fillId="3" borderId="94" xfId="0" applyFont="true" applyBorder="true" applyAlignment="true" applyProtection="false">
      <alignment horizontal="right" vertical="center" textRotation="0" wrapText="false" indent="1" shrinkToFit="false"/>
      <protection locked="true" hidden="false"/>
    </xf>
    <xf numFmtId="172" fontId="11" fillId="0" borderId="95" xfId="0" applyFont="true" applyBorder="true" applyAlignment="true" applyProtection="false">
      <alignment horizontal="right" vertical="center" textRotation="0" wrapText="false" indent="1" shrinkToFit="false"/>
      <protection locked="true" hidden="false"/>
    </xf>
    <xf numFmtId="172" fontId="11" fillId="0" borderId="7" xfId="0" applyFont="true" applyBorder="true" applyAlignment="true" applyProtection="false">
      <alignment horizontal="right" vertical="center" textRotation="0" wrapText="false" indent="1" shrinkToFit="false"/>
      <protection locked="true" hidden="false"/>
    </xf>
    <xf numFmtId="172" fontId="9" fillId="3" borderId="96" xfId="0" applyFont="true" applyBorder="true" applyAlignment="true" applyProtection="false">
      <alignment horizontal="right" vertical="center" textRotation="0" wrapText="false" indent="1" shrinkToFit="false"/>
      <protection locked="true" hidden="false"/>
    </xf>
    <xf numFmtId="172" fontId="11" fillId="0" borderId="97" xfId="0" applyFont="true" applyBorder="true" applyAlignment="true" applyProtection="false">
      <alignment horizontal="right" vertical="center" textRotation="0" wrapText="false" indent="1" shrinkToFit="false"/>
      <protection locked="true" hidden="false"/>
    </xf>
    <xf numFmtId="172" fontId="11" fillId="0" borderId="98" xfId="0" applyFont="true" applyBorder="true" applyAlignment="true" applyProtection="false">
      <alignment horizontal="right" vertical="center" textRotation="0" wrapText="false" indent="1" shrinkToFit="false"/>
      <protection locked="true" hidden="false"/>
    </xf>
    <xf numFmtId="172" fontId="9" fillId="3" borderId="99" xfId="0" applyFont="true" applyBorder="true" applyAlignment="true" applyProtection="false">
      <alignment horizontal="right" vertical="center" textRotation="0" wrapText="false" indent="1" shrinkToFit="false"/>
      <protection locked="true" hidden="false"/>
    </xf>
    <xf numFmtId="172" fontId="11" fillId="0" borderId="100" xfId="0" applyFont="true" applyBorder="true" applyAlignment="true" applyProtection="false">
      <alignment horizontal="right" vertical="center" textRotation="0" wrapText="false" indent="1" shrinkToFit="false"/>
      <protection locked="true" hidden="false"/>
    </xf>
    <xf numFmtId="172" fontId="9" fillId="3" borderId="101" xfId="0" applyFont="true" applyBorder="true" applyAlignment="true" applyProtection="false">
      <alignment horizontal="right" vertical="center" textRotation="0" wrapText="false" indent="1" shrinkToFit="false"/>
      <protection locked="true" hidden="false"/>
    </xf>
    <xf numFmtId="164" fontId="0" fillId="0" borderId="79" xfId="0" applyFont="true" applyBorder="true" applyAlignment="true" applyProtection="false">
      <alignment horizontal="general" vertical="center" textRotation="0" wrapText="false" indent="0" shrinkToFit="false"/>
      <protection locked="true" hidden="false"/>
    </xf>
    <xf numFmtId="164" fontId="10" fillId="4" borderId="102" xfId="0" applyFont="true" applyBorder="true" applyAlignment="true" applyProtection="false">
      <alignment horizontal="left" vertical="center" textRotation="0" wrapText="false" indent="1" shrinkToFit="false"/>
      <protection locked="true" hidden="false"/>
    </xf>
    <xf numFmtId="172" fontId="11" fillId="0" borderId="2" xfId="0" applyFont="true" applyBorder="true" applyAlignment="true" applyProtection="false">
      <alignment horizontal="right" vertical="center" textRotation="0" wrapText="false" indent="1" shrinkToFit="false"/>
      <protection locked="true" hidden="false"/>
    </xf>
    <xf numFmtId="164" fontId="8" fillId="3" borderId="103" xfId="0" applyFont="true" applyBorder="true" applyAlignment="true" applyProtection="false">
      <alignment horizontal="left" vertical="center" textRotation="0" wrapText="false" indent="1" shrinkToFit="false"/>
      <protection locked="true" hidden="false"/>
    </xf>
    <xf numFmtId="172" fontId="9" fillId="0" borderId="104" xfId="0" applyFont="true" applyBorder="true" applyAlignment="true" applyProtection="false">
      <alignment horizontal="right" vertical="center" textRotation="0" wrapText="false" indent="1" shrinkToFit="false"/>
      <protection locked="true" hidden="false"/>
    </xf>
    <xf numFmtId="172" fontId="9" fillId="0" borderId="105" xfId="0" applyFont="true" applyBorder="true" applyAlignment="true" applyProtection="false">
      <alignment horizontal="right" vertical="center" textRotation="0" wrapText="false" indent="1" shrinkToFit="false"/>
      <protection locked="true" hidden="false"/>
    </xf>
    <xf numFmtId="164" fontId="0" fillId="0" borderId="106" xfId="0" applyFont="true" applyBorder="true" applyAlignment="true" applyProtection="false">
      <alignment horizontal="general" vertical="center" textRotation="0" wrapText="false" indent="0" shrinkToFit="false"/>
      <protection locked="true" hidden="false"/>
    </xf>
    <xf numFmtId="172" fontId="9" fillId="0" borderId="2" xfId="0" applyFont="true" applyBorder="true" applyAlignment="true" applyProtection="false">
      <alignment horizontal="right" vertical="center" textRotation="0" wrapText="false" indent="1" shrinkToFit="false"/>
      <protection locked="true" hidden="false"/>
    </xf>
    <xf numFmtId="172" fontId="9" fillId="0" borderId="14" xfId="0" applyFont="true" applyBorder="true" applyAlignment="true" applyProtection="false">
      <alignment horizontal="right" vertical="center" textRotation="0" wrapText="false" indent="1"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Excel Built-in Comma [0]" xfId="21"/>
  </cellStyles>
  <dxfs count="9">
    <dxf>
      <fill>
        <patternFill patternType="solid">
          <fgColor rgb="FF0B3041"/>
          <bgColor rgb="FF000000"/>
        </patternFill>
      </fill>
    </dxf>
    <dxf>
      <fill>
        <patternFill patternType="solid">
          <fgColor rgb="FFE1F2FB"/>
          <bgColor rgb="FF000000"/>
        </patternFill>
      </fill>
    </dxf>
    <dxf>
      <fill>
        <patternFill patternType="solid">
          <fgColor rgb="FFE1F3FB"/>
          <bgColor rgb="FF000000"/>
        </patternFill>
      </fill>
    </dxf>
    <dxf>
      <fill>
        <patternFill patternType="solid">
          <fgColor rgb="FFE3E7E9"/>
          <bgColor rgb="FF000000"/>
        </patternFill>
      </fill>
    </dxf>
    <dxf>
      <fill>
        <patternFill patternType="solid">
          <fgColor rgb="FFFFFFFF"/>
          <bgColor rgb="FF000000"/>
        </patternFill>
      </fill>
    </dxf>
    <dxf>
      <fill>
        <patternFill patternType="solid">
          <fgColor rgb="FF000000"/>
          <bgColor rgb="FF000000"/>
        </patternFill>
      </fill>
    </dxf>
    <dxf>
      <fill>
        <patternFill patternType="solid">
          <bgColor rgb="FF000000"/>
        </patternFill>
      </fill>
    </dxf>
    <dxf>
      <fill>
        <patternFill patternType="solid">
          <fgColor rgb="FF727F88"/>
          <bgColor rgb="FF000000"/>
        </patternFill>
      </fill>
    </dxf>
    <dxf>
      <fill>
        <patternFill patternType="solid">
          <fgColor rgb="FF0889C9"/>
          <bgColor rgb="FF000000"/>
        </patternFill>
      </fill>
    </dxf>
  </dxfs>
  <colors>
    <indexedColors>
      <rgbColor rgb="FF000000"/>
      <rgbColor rgb="FFFFFFFF"/>
      <rgbColor rgb="FFFF0000"/>
      <rgbColor rgb="FF00FF00"/>
      <rgbColor rgb="FF0000FF"/>
      <rgbColor rgb="FFFFFF00"/>
      <rgbColor rgb="FFFF00FF"/>
      <rgbColor rgb="FF00FFFF"/>
      <rgbColor rgb="FFC00000"/>
      <rgbColor rgb="FF008000"/>
      <rgbColor rgb="FF002060"/>
      <rgbColor rgb="FF808000"/>
      <rgbColor rgb="FF800080"/>
      <rgbColor rgb="FF0889C9"/>
      <rgbColor rgb="FFBFBFBF"/>
      <rgbColor rgb="FF727F88"/>
      <rgbColor rgb="FFA6A6A6"/>
      <rgbColor rgb="FF993366"/>
      <rgbColor rgb="FFF2F2F2"/>
      <rgbColor rgb="FFDDF5F0"/>
      <rgbColor rgb="FF660066"/>
      <rgbColor rgb="FFFF8080"/>
      <rgbColor rgb="FF0066CC"/>
      <rgbColor rgb="FFD9D9D9"/>
      <rgbColor rgb="FF000080"/>
      <rgbColor rgb="FFFF00FF"/>
      <rgbColor rgb="FFFFFF00"/>
      <rgbColor rgb="FF00FFFF"/>
      <rgbColor rgb="FF800080"/>
      <rgbColor rgb="FF800000"/>
      <rgbColor rgb="FF008080"/>
      <rgbColor rgb="FF0000FF"/>
      <rgbColor rgb="FF00B0F0"/>
      <rgbColor rgb="FFCCECFF"/>
      <rgbColor rgb="FFE1F3FB"/>
      <rgbColor rgb="FFE3E7E9"/>
      <rgbColor rgb="FFE3E5E7"/>
      <rgbColor rgb="FFFF99CC"/>
      <rgbColor rgb="FFE1F2FB"/>
      <rgbColor rgb="FFFFCCCC"/>
      <rgbColor rgb="FF3366FF"/>
      <rgbColor rgb="FF54CCB3"/>
      <rgbColor rgb="FF99CC00"/>
      <rgbColor rgb="FFFFCC00"/>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-27804811</c:v>
                </c:pt>
                <c:pt idx="2">
                  <c:v>-12586296</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0</c:v>
                </c:pt>
                <c:pt idx="2">
                  <c:v>0</c:v>
                </c:pt>
              </c:numCache>
            </c:numRef>
          </c:val>
        </c:ser>
        <c:gapWidth val="70"/>
        <c:overlap val="100"/>
        <c:axId val="96154561"/>
        <c:axId val="15172818"/>
      </c:barChart>
      <c:catAx>
        <c:axId val="96154561"/>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15172818"/>
        <c:auto val="1"/>
        <c:lblAlgn val="ctr"/>
        <c:lblOffset val="100"/>
        <c:noMultiLvlLbl val="0"/>
      </c:catAx>
      <c:valAx>
        <c:axId val="15172818"/>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96154561"/>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游ゴシック Medium"/>
              </a:defRPr>
            </a:pPr>
            <a:r>
              <a:rPr b="1" sz="1800" spc="-1" strike="noStrike">
                <a:solidFill>
                  <a:srgbClr val="000000"/>
                </a:solidFill>
                <a:latin typeface="Arial"/>
                <a:ea typeface="游ゴシック Medium"/>
              </a:rPr>
              <a:t>株式価値の試算レンジ（千円）</a:t>
            </a:r>
          </a:p>
        </c:rich>
      </c:tx>
      <c:overlay val="0"/>
      <c:spPr>
        <a:noFill/>
        <a:ln w="0">
          <a:noFill/>
        </a:ln>
      </c:spPr>
    </c:title>
    <c:autoTitleDeleted val="0"/>
    <c:plotArea>
      <c:barChart>
        <c:barDir val="bar"/>
        <c:grouping val="stacked"/>
        <c:varyColors val="0"/>
        <c:ser>
          <c:idx val="0"/>
          <c:order val="0"/>
          <c:tx>
            <c:strRef>
              <c:f>'株式価値 '!C3</c:f>
              <c:strCache>
                <c:ptCount val="1"/>
                <c:pt idx="0">
                  <c:v>min</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-27804811</c:v>
                </c:pt>
                <c:pt idx="2">
                  <c:v>-12586296</c:v>
                </c:pt>
              </c:numCache>
            </c:numRef>
          </c:val>
        </c:ser>
        <c:ser>
          <c:idx val="1"/>
          <c:order val="1"/>
          <c:tx>
            <c:strRef>
              <c:f>'株式価値 '!D3</c:f>
              <c:strCache>
                <c:ptCount val="1"/>
                <c:pt idx="0">
                  <c:v>差（グラフ作成用）</c:v>
                </c:pt>
              </c:strCache>
            </c:strRef>
          </c:tx>
          <c:spPr>
            <a:solidFill>
              <a:srgbClr val="0889c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0</c:v>
                </c:pt>
                <c:pt idx="2">
                  <c:v>0</c:v>
                </c:pt>
              </c:numCache>
            </c:numRef>
          </c:val>
        </c:ser>
        <c:gapWidth val="150"/>
        <c:overlap val="100"/>
        <c:axId val="84215845"/>
        <c:axId val="87343116"/>
      </c:barChart>
      <c:catAx>
        <c:axId val="84215845"/>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87343116"/>
        <c:crosses val="autoZero"/>
        <c:auto val="1"/>
        <c:lblAlgn val="ctr"/>
        <c:lblOffset val="100"/>
        <c:noMultiLvlLbl val="0"/>
      </c:catAx>
      <c:valAx>
        <c:axId val="87343116"/>
        <c:scaling>
          <c:orientation val="minMax"/>
        </c:scaling>
        <c:delete val="0"/>
        <c:axPos val="l"/>
        <c:majorGridlines>
          <c:spPr>
            <a:ln w="12600">
              <a:solidFill>
                <a:srgbClr val="8b8b8b"/>
              </a:solidFill>
              <a:round/>
            </a:ln>
          </c:spPr>
        </c:majorGridlines>
        <c:numFmt formatCode="#,##0,"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8421584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游ゴシック Medium"/>
              </a:defRPr>
            </a:pPr>
            <a:r>
              <a:rPr b="1" sz="1800" spc="-1" strike="noStrike">
                <a:solidFill>
                  <a:srgbClr val="000000"/>
                </a:solidFill>
                <a:latin typeface="Arial"/>
                <a:ea typeface="游ゴシック Medium"/>
              </a:rPr>
              <a:t>売上高・営業利益の推移（百万円）</a:t>
            </a:r>
          </a:p>
        </c:rich>
      </c:tx>
      <c:overlay val="0"/>
      <c:spPr>
        <a:noFill/>
        <a:ln w="0">
          <a:noFill/>
        </a:ln>
      </c:spPr>
    </c:title>
    <c:autoTitleDeleted val="0"/>
    <c:plotArea>
      <c:barChart>
        <c:barDir val="col"/>
        <c:grouping val="clustered"/>
        <c:varyColors val="0"/>
        <c:ser>
          <c:idx val="0"/>
          <c:order val="0"/>
          <c:tx>
            <c:strRef>
              <c:f>グラフ!C2</c:f>
              <c:strCache>
                <c:ptCount val="1"/>
                <c:pt idx="0">
                  <c:v>売上高</c:v>
                </c:pt>
              </c:strCache>
            </c:strRef>
          </c:tx>
          <c:spPr>
            <a:solidFill>
              <a:srgbClr val="727f8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グラフ!$B$3:$B$5</c:f>
              <c:strCache>
                <c:ptCount val="3"/>
                <c:pt idx="0">
                  <c:v>24年5月期</c:v>
                </c:pt>
                <c:pt idx="1">
                  <c:v>25年5月期</c:v>
                </c:pt>
                <c:pt idx="2">
                  <c:v>26年5月期</c:v>
                </c:pt>
              </c:strCache>
            </c:strRef>
          </c:cat>
          <c:val>
            <c:numRef>
              <c:f>グラフ!$C$3:$C$5</c:f>
              <c:numCache>
                <c:formatCode>General</c:formatCode>
                <c:ptCount val="3"/>
                <c:pt idx="0">
                  <c:v>357115.426</c:v>
                </c:pt>
                <c:pt idx="1">
                  <c:v>245854.292</c:v>
                </c:pt>
                <c:pt idx="2">
                  <c:v>279293.828</c:v>
                </c:pt>
              </c:numCache>
            </c:numRef>
          </c:val>
        </c:ser>
        <c:ser>
          <c:idx val="1"/>
          <c:order val="1"/>
          <c:tx>
            <c:strRef>
              <c:f>グラフ!D2</c:f>
              <c:strCache>
                <c:ptCount val="1"/>
                <c:pt idx="0">
                  <c:v>営業利益</c:v>
                </c:pt>
              </c:strCache>
            </c:strRef>
          </c:tx>
          <c:spPr>
            <a:solidFill>
              <a:srgbClr val="e1f3f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グラフ!$B$3:$B$5</c:f>
              <c:strCache>
                <c:ptCount val="3"/>
                <c:pt idx="0">
                  <c:v>24年5月期</c:v>
                </c:pt>
                <c:pt idx="1">
                  <c:v>25年5月期</c:v>
                </c:pt>
                <c:pt idx="2">
                  <c:v>26年5月期</c:v>
                </c:pt>
              </c:strCache>
            </c:strRef>
          </c:cat>
          <c:val>
            <c:numRef>
              <c:f>グラフ!$D$3:$D$5</c:f>
              <c:numCache>
                <c:formatCode>General</c:formatCode>
                <c:ptCount val="3"/>
                <c:pt idx="0">
                  <c:v>-15142.78</c:v>
                </c:pt>
                <c:pt idx="1">
                  <c:v>-38606.509</c:v>
                </c:pt>
                <c:pt idx="2">
                  <c:v>-10999.573</c:v>
                </c:pt>
              </c:numCache>
            </c:numRef>
          </c:val>
        </c:ser>
        <c:gapWidth val="150"/>
        <c:overlap val="0"/>
        <c:axId val="94681764"/>
        <c:axId val="98496653"/>
      </c:barChart>
      <c:catAx>
        <c:axId val="94681764"/>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98496653"/>
        <c:crosses val="autoZero"/>
        <c:auto val="1"/>
        <c:lblAlgn val="ctr"/>
        <c:lblOffset val="100"/>
        <c:noMultiLvlLbl val="0"/>
      </c:catAx>
      <c:valAx>
        <c:axId val="98496653"/>
        <c:scaling>
          <c:orientation val="minMax"/>
        </c:scaling>
        <c:delete val="0"/>
        <c:axPos val="l"/>
        <c:majorGridlines>
          <c:spPr>
            <a:ln w="12600">
              <a:solidFill>
                <a:srgbClr val="8b8b8b"/>
              </a:solidFill>
              <a:round/>
            </a:ln>
          </c:spPr>
        </c:majorGridlines>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946817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solidFill>
        <a:srgbClr val="d9d9d9"/>
      </a:solidFill>
      <a:round/>
    </a:ln>
  </c:spPr>
</c:chartSpace>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883800</xdr:colOff>
      <xdr:row>21</xdr:row>
      <xdr:rowOff>37800</xdr:rowOff>
    </xdr:to>
    <xdr:graphicFrame>
      <xdr:nvGraphicFramePr>
        <xdr:cNvPr id="0" name="Chart 1"/>
        <xdr:cNvGraphicFramePr/>
      </xdr:nvGraphicFramePr>
      <xdr:xfrm>
        <a:off x="2684880" y="2493720"/>
        <a:ext cx="5671080" cy="3211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8</xdr:row>
      <xdr:rowOff>0</xdr:rowOff>
    </xdr:from>
    <xdr:to>
      <xdr:col>4</xdr:col>
      <xdr:colOff>732240</xdr:colOff>
      <xdr:row>18</xdr:row>
      <xdr:rowOff>61920</xdr:rowOff>
    </xdr:to>
    <xdr:graphicFrame>
      <xdr:nvGraphicFramePr>
        <xdr:cNvPr id="1" name="Chart 2"/>
        <xdr:cNvGraphicFramePr/>
      </xdr:nvGraphicFramePr>
      <xdr:xfrm>
        <a:off x="768960" y="2523960"/>
        <a:ext cx="575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0</xdr:rowOff>
    </xdr:from>
    <xdr:to>
      <xdr:col>12</xdr:col>
      <xdr:colOff>425520</xdr:colOff>
      <xdr:row>12</xdr:row>
      <xdr:rowOff>5040</xdr:rowOff>
    </xdr:to>
    <xdr:graphicFrame>
      <xdr:nvGraphicFramePr>
        <xdr:cNvPr id="2" name="Chart 1"/>
        <xdr:cNvGraphicFramePr/>
      </xdr:nvGraphicFramePr>
      <xdr:xfrm>
        <a:off x="4613760" y="22860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_rels/sheet12.xml.rels><?xml version="1.0" encoding="UTF-8"?>
<Relationships xmlns="http://schemas.openxmlformats.org/package/2006/relationships"><Relationship Id="rId1" Type="http://schemas.openxmlformats.org/officeDocument/2006/relationships/drawing" Target="../drawings/drawing6.xml"/>
</Relationships>
</file>

<file path=xl/worksheets/_rels/sheet13.xml.rels><?xml version="1.0" encoding="UTF-8"?>
<Relationships xmlns="http://schemas.openxmlformats.org/package/2006/relationships"><Relationship Id="rId1" Type="http://schemas.openxmlformats.org/officeDocument/2006/relationships/drawing" Target="../drawings/drawing7.xml"/>
</Relationships>
</file>

<file path=xl/worksheets/_rels/sheet46.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cols>
    <col collapsed="false" customWidth="true" hidden="false" outlineLevel="0" max="2" min="2" style="1" width="6.25"/>
  </cols>
  <sheetData>
    <row r="3" customFormat="false" ht="18" hidden="false" customHeight="false" outlineLevel="0" collapsed="false">
      <c r="B3" s="1" t="n">
        <v>1</v>
      </c>
      <c r="C3" s="2" t="s">
        <v>0</v>
      </c>
    </row>
    <row r="4" customFormat="false" ht="18" hidden="false" customHeight="false" outlineLevel="0" collapsed="false">
      <c r="B4" s="1" t="n">
        <v>2</v>
      </c>
      <c r="C4" s="2" t="s">
        <v>1</v>
      </c>
    </row>
    <row r="5" customFormat="false" ht="18" hidden="false" customHeight="false" outlineLevel="0" collapsed="false">
      <c r="B5" s="1" t="n">
        <v>3</v>
      </c>
      <c r="C5" s="2" t="s">
        <v>2</v>
      </c>
    </row>
    <row r="6" customFormat="false" ht="18" hidden="false" customHeight="false" outlineLevel="0" collapsed="false">
      <c r="B6" s="1" t="n">
        <v>4</v>
      </c>
      <c r="C6" s="2" t="s">
        <v>3</v>
      </c>
    </row>
    <row r="7" customFormat="false" ht="18" hidden="false" customHeight="false" outlineLevel="0" collapsed="false">
      <c r="C7" s="3"/>
      <c r="D7" s="4"/>
      <c r="E7" s="5"/>
      <c r="F7" s="6"/>
      <c r="G7" s="7"/>
    </row>
    <row r="8" customFormat="false" ht="18" hidden="false" customHeight="fals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B1:G7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24" activePane="bottomLeft" state="frozen"/>
      <selection pane="topLeft" activeCell="A1" activeCellId="0" sqref="A1"/>
      <selection pane="bottomLeft" activeCell="B50" activeCellId="0" sqref="B50"/>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5" min="3" style="20" width="16.09"/>
    <col collapsed="false" customWidth="true" hidden="true" outlineLevel="0" max="6" min="6" style="20" width="16.09"/>
    <col collapsed="false" customWidth="true" hidden="false" outlineLevel="0" max="7" min="7" style="20" width="16.09"/>
    <col collapsed="false" customWidth="true" hidden="false" outlineLevel="0" max="8" min="8" style="20" width="8.76"/>
  </cols>
  <sheetData>
    <row r="1" customFormat="false" ht="18" hidden="false" customHeight="false" outlineLevel="0" collapsed="false">
      <c r="C1" s="21" t="s">
        <v>11</v>
      </c>
      <c r="D1" s="21"/>
      <c r="E1" s="21"/>
    </row>
    <row r="2" customFormat="false" ht="18" hidden="false" customHeight="fals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75" hidden="false" customHeight="true" outlineLevel="0" collapsed="false">
      <c r="B4" s="25" t="s">
        <v>6</v>
      </c>
      <c r="C4" s="26" t="s">
        <v>17</v>
      </c>
      <c r="D4" s="26" t="s">
        <v>18</v>
      </c>
      <c r="E4" s="26" t="s">
        <v>19</v>
      </c>
      <c r="F4" s="25" t="s">
        <v>20</v>
      </c>
      <c r="G4" s="27" t="s">
        <v>21</v>
      </c>
    </row>
    <row r="5" customFormat="false" ht="22.5" hidden="false" customHeight="true" outlineLevel="0" collapsed="false">
      <c r="B5" s="13" t="s">
        <v>9</v>
      </c>
      <c r="C5" s="28" t="n">
        <f aca="false">SUM(C6:C19)</f>
        <v>54412079</v>
      </c>
      <c r="D5" s="28" t="n">
        <f aca="false">SUM(D6:D19)</f>
        <v>49504816</v>
      </c>
      <c r="E5" s="28" t="n">
        <f aca="false">SUM(E6:E19)</f>
        <v>38983092</v>
      </c>
      <c r="F5" s="28" t="n">
        <f aca="false">SUM(F6:F19)</f>
        <v>0</v>
      </c>
      <c r="G5" s="28" t="n">
        <f aca="false">SUM(G6:G19)</f>
        <v>44198115</v>
      </c>
    </row>
    <row r="6" customFormat="false" ht="22.5" hidden="false" customHeight="true" outlineLevel="0" collapsed="false">
      <c r="B6" s="16" t="s">
        <v>10</v>
      </c>
      <c r="C6" s="29" t="n">
        <v>19961330</v>
      </c>
      <c r="D6" s="29" t="n">
        <v>9776655</v>
      </c>
      <c r="E6" s="29" t="n">
        <v>4903189</v>
      </c>
      <c r="F6" s="29"/>
      <c r="G6" s="29" t="n">
        <v>1591146</v>
      </c>
    </row>
    <row r="7" customFormat="false" ht="22.5" hidden="false" customHeight="true" outlineLevel="0" collapsed="false">
      <c r="B7" s="16" t="s">
        <v>22</v>
      </c>
      <c r="C7" s="29" t="n">
        <v>29668667</v>
      </c>
      <c r="D7" s="29" t="n">
        <v>32405830</v>
      </c>
      <c r="E7" s="29" t="n">
        <v>28451645</v>
      </c>
      <c r="F7" s="29"/>
      <c r="G7" s="29" t="n">
        <v>33678611</v>
      </c>
    </row>
    <row r="8" customFormat="false" ht="22.5" hidden="false" customHeight="true" outlineLevel="0" collapsed="false">
      <c r="B8" s="16" t="s">
        <v>23</v>
      </c>
      <c r="C8" s="29" t="n">
        <v>4173178</v>
      </c>
      <c r="D8" s="29" t="n">
        <v>4031990</v>
      </c>
      <c r="E8" s="29" t="n">
        <v>3269850</v>
      </c>
      <c r="F8" s="29"/>
      <c r="G8" s="29" t="n">
        <v>3269850</v>
      </c>
    </row>
    <row r="9" customFormat="false" ht="22.5" hidden="false" customHeight="true" outlineLevel="0" collapsed="false">
      <c r="B9" s="16" t="s">
        <v>24</v>
      </c>
      <c r="C9" s="29" t="n">
        <v>510000</v>
      </c>
      <c r="D9" s="29" t="n">
        <v>90000</v>
      </c>
      <c r="E9" s="29" t="n">
        <v>0</v>
      </c>
      <c r="F9" s="29"/>
      <c r="G9" s="29" t="n">
        <v>0</v>
      </c>
    </row>
    <row r="10" customFormat="false" ht="22.5" hidden="false" customHeight="true" outlineLevel="0" collapsed="false">
      <c r="B10" s="16" t="s">
        <v>25</v>
      </c>
      <c r="C10" s="29" t="n">
        <v>0</v>
      </c>
      <c r="D10" s="29" t="n">
        <v>2181619</v>
      </c>
      <c r="E10" s="29" t="n">
        <v>2293807</v>
      </c>
      <c r="F10" s="29"/>
      <c r="G10" s="29" t="n">
        <v>2293807</v>
      </c>
    </row>
    <row r="11" customFormat="false" ht="22.5" hidden="false" customHeight="true" outlineLevel="0" collapsed="false">
      <c r="B11" s="16" t="s">
        <v>26</v>
      </c>
      <c r="C11" s="29" t="n">
        <v>98904</v>
      </c>
      <c r="D11" s="29" t="n">
        <v>60522</v>
      </c>
      <c r="E11" s="29" t="n">
        <v>64601</v>
      </c>
      <c r="F11" s="29"/>
      <c r="G11" s="29" t="n">
        <v>61896</v>
      </c>
    </row>
    <row r="12" customFormat="false" ht="22.5" hidden="false" customHeight="true" outlineLevel="0" collapsed="false">
      <c r="B12" s="16" t="s">
        <v>27</v>
      </c>
      <c r="C12" s="29" t="n">
        <v>0</v>
      </c>
      <c r="D12" s="29" t="n">
        <v>957790</v>
      </c>
      <c r="E12" s="29" t="n">
        <v>0</v>
      </c>
      <c r="F12" s="29"/>
      <c r="G12" s="29" t="n">
        <v>0</v>
      </c>
    </row>
    <row r="13" customFormat="false" ht="22.5" hidden="false" customHeight="true" outlineLevel="0" collapsed="false">
      <c r="B13" s="16" t="s">
        <v>28</v>
      </c>
      <c r="C13" s="29" t="n">
        <v>0</v>
      </c>
      <c r="D13" s="29" t="n">
        <v>0</v>
      </c>
      <c r="E13" s="29" t="n">
        <v>0</v>
      </c>
      <c r="F13" s="29"/>
      <c r="G13" s="29" t="n">
        <v>3302805</v>
      </c>
    </row>
    <row r="14" customFormat="false" ht="22.5" hidden="false" customHeight="true" outlineLevel="0" collapsed="false">
      <c r="B14" s="16" t="s">
        <v>29</v>
      </c>
      <c r="C14" s="29" t="n">
        <v>0</v>
      </c>
      <c r="D14" s="29" t="n">
        <v>410</v>
      </c>
      <c r="E14" s="29" t="n">
        <v>0</v>
      </c>
      <c r="F14" s="29"/>
      <c r="G14" s="29" t="n">
        <v>0</v>
      </c>
    </row>
    <row r="15" customFormat="false" ht="22.5" hidden="false" customHeight="true" outlineLevel="0" collapsed="false">
      <c r="B15" s="16"/>
      <c r="C15" s="29"/>
      <c r="D15" s="29"/>
      <c r="E15" s="29"/>
      <c r="F15" s="29"/>
      <c r="G15" s="29"/>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30</v>
      </c>
      <c r="C20" s="28" t="n">
        <f aca="false">C21+C35+C46</f>
        <v>842763</v>
      </c>
      <c r="D20" s="28" t="n">
        <f aca="false">D21+D35+D46</f>
        <v>12617429</v>
      </c>
      <c r="E20" s="28" t="n">
        <f aca="false">E21+E35+E46</f>
        <v>14338078</v>
      </c>
      <c r="F20" s="28" t="n">
        <f aca="false">F21+F35+F46</f>
        <v>0</v>
      </c>
      <c r="G20" s="28" t="n">
        <f aca="false">G21+G35+G46</f>
        <v>14338078</v>
      </c>
    </row>
    <row r="21" customFormat="false" ht="22.5" hidden="false" customHeight="true" outlineLevel="0" collapsed="false">
      <c r="B21" s="32" t="s">
        <v>31</v>
      </c>
      <c r="C21" s="33" t="n">
        <f aca="false">SUM(C22:C34)</f>
        <v>665663</v>
      </c>
      <c r="D21" s="33" t="n">
        <f aca="false">SUM(D22:D34)</f>
        <v>8346662</v>
      </c>
      <c r="E21" s="33" t="n">
        <f aca="false">SUM(E22:E34)</f>
        <v>7511411</v>
      </c>
      <c r="F21" s="33" t="n">
        <f aca="false">SUM(F22:F34)</f>
        <v>0</v>
      </c>
      <c r="G21" s="33" t="n">
        <f aca="false">SUM(G22:G34)</f>
        <v>7511411</v>
      </c>
    </row>
    <row r="22" customFormat="false" ht="22.5" hidden="false" customHeight="true" outlineLevel="0" collapsed="false">
      <c r="B22" s="16" t="s">
        <v>32</v>
      </c>
      <c r="C22" s="29" t="n">
        <v>1</v>
      </c>
      <c r="D22" s="29" t="n">
        <v>1</v>
      </c>
      <c r="E22" s="29" t="n">
        <v>1</v>
      </c>
      <c r="F22" s="29"/>
      <c r="G22" s="29" t="n">
        <v>1</v>
      </c>
    </row>
    <row r="23" customFormat="false" ht="22.5" hidden="false" customHeight="true" outlineLevel="0" collapsed="false">
      <c r="B23" s="16" t="s">
        <v>33</v>
      </c>
      <c r="C23" s="29" t="n">
        <v>0</v>
      </c>
      <c r="D23" s="29" t="n">
        <v>7464000</v>
      </c>
      <c r="E23" s="29" t="n">
        <v>6928000</v>
      </c>
      <c r="F23" s="29"/>
      <c r="G23" s="29" t="n">
        <v>6928000</v>
      </c>
    </row>
    <row r="24" customFormat="false" ht="22.5" hidden="false" customHeight="true" outlineLevel="0" collapsed="false">
      <c r="B24" s="16" t="s">
        <v>34</v>
      </c>
      <c r="C24" s="29" t="n">
        <v>120183</v>
      </c>
      <c r="D24" s="29" t="n">
        <v>111290</v>
      </c>
      <c r="E24" s="29" t="n">
        <v>103055</v>
      </c>
      <c r="F24" s="29"/>
      <c r="G24" s="29" t="n">
        <v>103055</v>
      </c>
    </row>
    <row r="25" customFormat="false" ht="22.5" hidden="false" customHeight="true" outlineLevel="0" collapsed="false">
      <c r="B25" s="16" t="s">
        <v>35</v>
      </c>
      <c r="C25" s="29" t="n">
        <v>545476</v>
      </c>
      <c r="D25" s="29" t="n">
        <v>6</v>
      </c>
      <c r="E25" s="29" t="n">
        <v>3</v>
      </c>
      <c r="F25" s="29"/>
      <c r="G25" s="29" t="n">
        <v>3</v>
      </c>
    </row>
    <row r="26" customFormat="false" ht="22.5" hidden="false" customHeight="true" outlineLevel="0" collapsed="false">
      <c r="B26" s="16" t="s">
        <v>36</v>
      </c>
      <c r="C26" s="29" t="n">
        <v>1</v>
      </c>
      <c r="D26" s="29" t="n">
        <v>221668</v>
      </c>
      <c r="E26" s="29" t="n">
        <v>133002</v>
      </c>
      <c r="F26" s="29"/>
      <c r="G26" s="29" t="n">
        <v>133002</v>
      </c>
    </row>
    <row r="27" customFormat="false" ht="22.5" hidden="false" customHeight="true" outlineLevel="0" collapsed="false">
      <c r="B27" s="16" t="s">
        <v>37</v>
      </c>
      <c r="C27" s="29" t="n">
        <v>2</v>
      </c>
      <c r="D27" s="29" t="n">
        <v>549697</v>
      </c>
      <c r="E27" s="29" t="n">
        <v>347350</v>
      </c>
      <c r="F27" s="29"/>
      <c r="G27" s="29" t="n">
        <v>347350</v>
      </c>
    </row>
    <row r="28" customFormat="false" ht="22.5" hidden="false" customHeight="true" outlineLevel="0" collapsed="false">
      <c r="B28" s="16"/>
      <c r="C28" s="29"/>
      <c r="D28" s="29"/>
      <c r="E28" s="29"/>
      <c r="F28" s="29"/>
      <c r="G28" s="29"/>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true" customHeight="true" outlineLevel="0" collapsed="false">
      <c r="B32" s="16"/>
      <c r="C32" s="29"/>
      <c r="D32" s="29"/>
      <c r="E32" s="29"/>
      <c r="F32" s="29"/>
      <c r="G32" s="29"/>
    </row>
    <row r="33" customFormat="false" ht="22.5" hidden="true" customHeight="true" outlineLevel="0" collapsed="false">
      <c r="B33" s="16"/>
      <c r="C33" s="29"/>
      <c r="D33" s="29"/>
      <c r="E33" s="29"/>
      <c r="F33" s="29"/>
      <c r="G33" s="29"/>
    </row>
    <row r="34" customFormat="false" ht="22.5" hidden="true" customHeight="true" outlineLevel="0" collapsed="false">
      <c r="B34" s="30"/>
      <c r="C34" s="31"/>
      <c r="D34" s="31"/>
      <c r="E34" s="31"/>
      <c r="F34" s="31"/>
      <c r="G34" s="31"/>
    </row>
    <row r="35" customFormat="false" ht="22.5" hidden="false" customHeight="true" outlineLevel="0" collapsed="false">
      <c r="B35" s="32" t="s">
        <v>38</v>
      </c>
      <c r="C35" s="34" t="n">
        <f aca="false">SUM(C36:C45)</f>
        <v>119100</v>
      </c>
      <c r="D35" s="34" t="n">
        <f aca="false">SUM(D36:D45)</f>
        <v>119100</v>
      </c>
      <c r="E35" s="34" t="n">
        <f aca="false">SUM(E36:E45)</f>
        <v>119100</v>
      </c>
      <c r="F35" s="34" t="n">
        <f aca="false">SUM(F36:F45)</f>
        <v>0</v>
      </c>
      <c r="G35" s="34" t="n">
        <f aca="false">SUM(G36:G45)</f>
        <v>119100</v>
      </c>
    </row>
    <row r="36" customFormat="false" ht="21.75" hidden="false" customHeight="true" outlineLevel="0" collapsed="false">
      <c r="B36" s="16" t="s">
        <v>39</v>
      </c>
      <c r="C36" s="35" t="n">
        <v>119100</v>
      </c>
      <c r="D36" s="35" t="n">
        <v>119100</v>
      </c>
      <c r="E36" s="35" t="n">
        <v>119100</v>
      </c>
      <c r="F36" s="36"/>
      <c r="G36" s="35" t="n">
        <v>119100</v>
      </c>
    </row>
    <row r="37" customFormat="false" ht="21.75" hidden="true" customHeight="true" outlineLevel="0" collapsed="false">
      <c r="B37" s="16"/>
      <c r="C37" s="35"/>
      <c r="D37" s="35"/>
      <c r="E37" s="35"/>
      <c r="F37" s="36"/>
      <c r="G37" s="36"/>
    </row>
    <row r="38" customFormat="false" ht="21.75" hidden="true" customHeight="true" outlineLevel="0" collapsed="false">
      <c r="B38" s="16"/>
      <c r="C38" s="35"/>
      <c r="D38" s="35"/>
      <c r="E38" s="35"/>
      <c r="F38" s="36"/>
      <c r="G38" s="36"/>
    </row>
    <row r="39" customFormat="false" ht="21.75" hidden="true" customHeight="true" outlineLevel="0" collapsed="false">
      <c r="B39" s="16"/>
      <c r="C39" s="35"/>
      <c r="D39" s="35"/>
      <c r="E39" s="35"/>
      <c r="F39" s="36"/>
      <c r="G39" s="36"/>
    </row>
    <row r="40" customFormat="false" ht="21.75" hidden="true" customHeight="true" outlineLevel="0" collapsed="false">
      <c r="B40" s="16"/>
      <c r="C40" s="35"/>
      <c r="D40" s="35"/>
      <c r="E40" s="35"/>
      <c r="F40" s="36"/>
      <c r="G40" s="36"/>
    </row>
    <row r="41" customFormat="false" ht="21.75" hidden="true" customHeight="true" outlineLevel="0" collapsed="false">
      <c r="B41" s="16"/>
      <c r="C41" s="35"/>
      <c r="D41" s="35"/>
      <c r="E41" s="35"/>
      <c r="F41" s="36"/>
      <c r="G41" s="36"/>
    </row>
    <row r="42" customFormat="false" ht="21.75" hidden="true" customHeight="true" outlineLevel="0" collapsed="false">
      <c r="B42" s="16"/>
      <c r="C42" s="35"/>
      <c r="D42" s="35"/>
      <c r="E42" s="35"/>
      <c r="F42" s="36"/>
      <c r="G42" s="36"/>
    </row>
    <row r="43" customFormat="false" ht="21.75" hidden="true" customHeight="true" outlineLevel="0" collapsed="false">
      <c r="B43" s="16"/>
      <c r="C43" s="35"/>
      <c r="D43" s="35"/>
      <c r="E43" s="35"/>
      <c r="F43" s="36"/>
      <c r="G43" s="36"/>
    </row>
    <row r="44" customFormat="false" ht="21.75" hidden="true" customHeight="true" outlineLevel="0" collapsed="false">
      <c r="B44" s="16"/>
      <c r="C44" s="35"/>
      <c r="D44" s="35"/>
      <c r="E44" s="35"/>
      <c r="F44" s="36"/>
      <c r="G44" s="36"/>
    </row>
    <row r="45" customFormat="false" ht="21.75" hidden="true" customHeight="true" outlineLevel="0" collapsed="false">
      <c r="B45" s="30"/>
      <c r="C45" s="37"/>
      <c r="D45" s="37"/>
      <c r="E45" s="37"/>
      <c r="F45" s="34"/>
      <c r="G45" s="34"/>
    </row>
    <row r="46" customFormat="false" ht="21.75" hidden="false" customHeight="true" outlineLevel="0" collapsed="false">
      <c r="B46" s="38" t="s">
        <v>40</v>
      </c>
      <c r="C46" s="34" t="n">
        <f aca="false">SUM(C47:C55)</f>
        <v>58000</v>
      </c>
      <c r="D46" s="34" t="n">
        <f aca="false">SUM(D47:D55)</f>
        <v>4151667</v>
      </c>
      <c r="E46" s="34" t="n">
        <f aca="false">SUM(E47:E55)</f>
        <v>6707567</v>
      </c>
      <c r="F46" s="34" t="n">
        <f aca="false">SUM(F47:F55)</f>
        <v>0</v>
      </c>
      <c r="G46" s="34" t="n">
        <f aca="false">SUM(G47:G55)</f>
        <v>6707567</v>
      </c>
    </row>
    <row r="47" customFormat="false" ht="22.5" hidden="false" customHeight="true" outlineLevel="0" collapsed="false">
      <c r="B47" s="16" t="s">
        <v>41</v>
      </c>
      <c r="C47" s="35" t="n">
        <v>50000</v>
      </c>
      <c r="D47" s="35" t="n">
        <v>50000</v>
      </c>
      <c r="E47" s="35" t="n">
        <v>50000</v>
      </c>
      <c r="F47" s="36"/>
      <c r="G47" s="36" t="n">
        <v>50000</v>
      </c>
    </row>
    <row r="48" customFormat="false" ht="22.5" hidden="false" customHeight="true" outlineLevel="0" collapsed="false">
      <c r="B48" s="16" t="s">
        <v>42</v>
      </c>
      <c r="C48" s="35" t="n">
        <v>0</v>
      </c>
      <c r="D48" s="35" t="n">
        <v>1010167</v>
      </c>
      <c r="E48" s="35" t="n">
        <v>903834</v>
      </c>
      <c r="F48" s="35"/>
      <c r="G48" s="35" t="n">
        <v>903834</v>
      </c>
    </row>
    <row r="49" customFormat="false" ht="22.5" hidden="false" customHeight="true" outlineLevel="0" collapsed="false">
      <c r="B49" s="16" t="s">
        <v>43</v>
      </c>
      <c r="C49" s="35" t="n">
        <v>0</v>
      </c>
      <c r="D49" s="35" t="n">
        <v>3091500</v>
      </c>
      <c r="E49" s="35" t="n">
        <v>5753733</v>
      </c>
      <c r="F49" s="35"/>
      <c r="G49" s="35" t="n">
        <v>5753733</v>
      </c>
    </row>
    <row r="50" customFormat="false" ht="22.5" hidden="false" customHeight="true" outlineLevel="0" collapsed="false">
      <c r="B50" s="16" t="s">
        <v>44</v>
      </c>
      <c r="C50" s="35" t="n">
        <v>8000</v>
      </c>
      <c r="D50" s="35" t="n">
        <v>0</v>
      </c>
      <c r="E50" s="35" t="n">
        <v>0</v>
      </c>
      <c r="F50" s="35"/>
      <c r="G50" s="35" t="n">
        <v>0</v>
      </c>
    </row>
    <row r="51" customFormat="false" ht="22.5" hidden="false" customHeight="true" outlineLevel="0" collapsed="false">
      <c r="B51" s="16"/>
      <c r="C51" s="35"/>
      <c r="D51" s="35"/>
      <c r="E51" s="35"/>
      <c r="F51" s="35"/>
      <c r="G51" s="35"/>
    </row>
    <row r="52" customFormat="false" ht="22.5" hidden="true" customHeight="true" outlineLevel="0" collapsed="false">
      <c r="B52" s="16"/>
      <c r="C52" s="35"/>
      <c r="D52" s="35"/>
      <c r="E52" s="35"/>
      <c r="F52" s="35"/>
      <c r="G52" s="35"/>
    </row>
    <row r="53" customFormat="false" ht="22.5" hidden="true" customHeight="true" outlineLevel="0" collapsed="false">
      <c r="B53" s="16"/>
      <c r="C53" s="35"/>
      <c r="D53" s="35"/>
      <c r="E53" s="35"/>
      <c r="F53" s="35"/>
      <c r="G53" s="35"/>
    </row>
    <row r="54" customFormat="false" ht="22.5" hidden="true" customHeight="true" outlineLevel="0" collapsed="false">
      <c r="B54" s="16"/>
      <c r="C54" s="35"/>
      <c r="D54" s="35"/>
      <c r="E54" s="35"/>
      <c r="F54" s="35"/>
      <c r="G54" s="35"/>
    </row>
    <row r="55" customFormat="false" ht="22.5" hidden="true" customHeight="true" outlineLevel="0" collapsed="false">
      <c r="B55" s="16"/>
      <c r="C55" s="35"/>
      <c r="D55" s="35"/>
      <c r="E55" s="35"/>
      <c r="F55" s="35"/>
      <c r="G55" s="35"/>
    </row>
    <row r="56" customFormat="false" ht="22.5" hidden="false" customHeight="true" outlineLevel="0" collapsed="false">
      <c r="B56" s="39" t="s">
        <v>45</v>
      </c>
      <c r="C56" s="40" t="n">
        <f aca="false">SUM(C57:C60)</f>
        <v>0</v>
      </c>
      <c r="D56" s="40" t="n">
        <f aca="false">SUM(D57:D60)</f>
        <v>0</v>
      </c>
      <c r="E56" s="40" t="n">
        <f aca="false">SUM(E57:E60)</f>
        <v>0</v>
      </c>
      <c r="F56" s="40" t="n">
        <f aca="false">SUM(F57:F60)</f>
        <v>0</v>
      </c>
      <c r="G56" s="40" t="n">
        <f aca="false">SUM(G57:G60)</f>
        <v>0</v>
      </c>
    </row>
    <row r="57" customFormat="false" ht="22.5" hidden="true" customHeight="true" outlineLevel="0" collapsed="false">
      <c r="B57" s="16"/>
      <c r="C57" s="35"/>
      <c r="D57" s="35"/>
      <c r="E57" s="35"/>
      <c r="F57" s="35"/>
      <c r="G57" s="35"/>
    </row>
    <row r="58" customFormat="false" ht="22.5" hidden="true" customHeight="true" outlineLevel="0" collapsed="false">
      <c r="B58" s="16"/>
      <c r="C58" s="35"/>
      <c r="D58" s="35"/>
      <c r="E58" s="35"/>
      <c r="F58" s="35"/>
      <c r="G58" s="35"/>
    </row>
    <row r="59" customFormat="false" ht="22.5" hidden="true" customHeight="true" outlineLevel="0" collapsed="false">
      <c r="B59" s="16"/>
      <c r="C59" s="35"/>
      <c r="D59" s="35"/>
      <c r="E59" s="35"/>
      <c r="F59" s="35"/>
      <c r="G59" s="35"/>
    </row>
    <row r="60" customFormat="false" ht="22.5" hidden="true" customHeight="true" outlineLevel="0" collapsed="false">
      <c r="B60" s="30"/>
      <c r="C60" s="37"/>
      <c r="D60" s="37"/>
      <c r="E60" s="37"/>
      <c r="F60" s="37"/>
      <c r="G60" s="37"/>
    </row>
    <row r="61" customFormat="false" ht="22.5" hidden="false" customHeight="true" outlineLevel="0" collapsed="false">
      <c r="B61" s="41" t="s">
        <v>46</v>
      </c>
      <c r="C61" s="42" t="n">
        <f aca="false">C5+C20+C56</f>
        <v>55254842</v>
      </c>
      <c r="D61" s="42" t="n">
        <f aca="false">D5+D20+D56</f>
        <v>62122245</v>
      </c>
      <c r="E61" s="42" t="n">
        <f aca="false">E5+E20+E56</f>
        <v>53321170</v>
      </c>
      <c r="F61" s="42" t="n">
        <f aca="false">F5+F20+F56</f>
        <v>0</v>
      </c>
      <c r="G61" s="42" t="n">
        <f aca="false">G5+G20+G56</f>
        <v>58536193</v>
      </c>
    </row>
    <row r="62" customFormat="false" ht="18" hidden="false" customHeight="false" outlineLevel="0" collapsed="false">
      <c r="C62" s="43"/>
      <c r="D62" s="43"/>
      <c r="E62" s="43"/>
      <c r="F62" s="43"/>
      <c r="G62" s="43"/>
    </row>
    <row r="63" customFormat="false" ht="18" hidden="false" customHeight="false" outlineLevel="0" collapsed="false">
      <c r="B63" s="44" t="s">
        <v>47</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false" outlineLevel="0" collapsed="false">
      <c r="C64" s="43"/>
      <c r="D64" s="43"/>
      <c r="E64" s="43"/>
      <c r="F64" s="43"/>
      <c r="G64" s="43"/>
    </row>
    <row r="65" customFormat="false" ht="18" hidden="false" customHeight="false" outlineLevel="0" collapsed="false">
      <c r="B65" s="46" t="s">
        <v>48</v>
      </c>
      <c r="C65" s="43"/>
      <c r="D65" s="43"/>
      <c r="E65" s="43"/>
      <c r="F65" s="43"/>
      <c r="G65" s="43"/>
    </row>
    <row r="66" customFormat="false" ht="18" hidden="false" customHeight="false" outlineLevel="0" collapsed="false">
      <c r="B66" s="46" t="s">
        <v>49</v>
      </c>
      <c r="C66" s="43"/>
      <c r="D66" s="43"/>
      <c r="E66" s="43"/>
      <c r="F66" s="43"/>
      <c r="G66" s="43"/>
    </row>
    <row r="67" customFormat="false" ht="18" hidden="false" customHeight="false" outlineLevel="0" collapsed="false">
      <c r="C67" s="43"/>
      <c r="D67" s="43"/>
      <c r="E67" s="43"/>
      <c r="F67" s="43"/>
      <c r="G67" s="43"/>
    </row>
    <row r="68" customFormat="false" ht="18" hidden="false" customHeight="false" outlineLevel="0" collapsed="false">
      <c r="C68" s="43"/>
      <c r="D68" s="43"/>
      <c r="E68" s="43"/>
      <c r="F68" s="43"/>
      <c r="G68" s="43"/>
    </row>
    <row r="69" customFormat="false" ht="18" hidden="false" customHeight="false" outlineLevel="0" collapsed="false">
      <c r="C69" s="43"/>
      <c r="D69" s="43"/>
      <c r="E69" s="43"/>
      <c r="F69" s="43"/>
      <c r="G69" s="43"/>
    </row>
    <row r="70" customFormat="false" ht="18" hidden="false" customHeight="false" outlineLevel="0" collapsed="false">
      <c r="C70" s="43"/>
      <c r="D70" s="43"/>
      <c r="E70" s="43"/>
      <c r="F70" s="43"/>
      <c r="G70" s="43"/>
    </row>
    <row r="71" customFormat="false" ht="18" hidden="false" customHeight="false" outlineLevel="0" collapsed="false">
      <c r="C71" s="43"/>
      <c r="D71" s="43"/>
      <c r="E71" s="43"/>
      <c r="F71" s="43"/>
      <c r="G71" s="43"/>
    </row>
    <row r="72" customFormat="false" ht="18" hidden="false" customHeight="false" outlineLevel="0" collapsed="false">
      <c r="C72" s="43"/>
      <c r="D72" s="43"/>
      <c r="E72" s="43"/>
      <c r="F72" s="43"/>
      <c r="G72" s="43"/>
    </row>
    <row r="73" customFormat="false" ht="18" hidden="false" customHeight="false" outlineLevel="0" collapsed="false">
      <c r="C73" s="43"/>
      <c r="D73" s="43"/>
      <c r="E73" s="43"/>
      <c r="F73" s="43"/>
      <c r="G73" s="43"/>
    </row>
    <row r="74" customFormat="false" ht="18" hidden="false" customHeight="false" outlineLevel="0" collapsed="false">
      <c r="C74" s="43"/>
      <c r="D74" s="43"/>
      <c r="E74" s="43"/>
      <c r="F74" s="43"/>
      <c r="G74" s="43"/>
    </row>
    <row r="75" customFormat="false" ht="18" hidden="false" customHeight="false" outlineLevel="0" collapsed="false">
      <c r="C75" s="43"/>
      <c r="D75" s="43"/>
      <c r="E75" s="43"/>
      <c r="F75" s="43"/>
      <c r="G75" s="43"/>
    </row>
    <row r="76" customFormat="false" ht="18" hidden="false" customHeight="false" outlineLevel="0" collapsed="false">
      <c r="C76" s="43"/>
      <c r="D76" s="43"/>
      <c r="E76" s="43"/>
      <c r="F76" s="43"/>
      <c r="G76" s="43"/>
    </row>
    <row r="77" customFormat="false" ht="18" hidden="false" customHeight="false" outlineLevel="0" collapsed="false">
      <c r="C77" s="43"/>
      <c r="D77" s="43"/>
      <c r="E77" s="43"/>
      <c r="F77" s="43"/>
      <c r="G77" s="43"/>
    </row>
    <row r="78" customFormat="false" ht="18" hidden="false" customHeight="false" outlineLevel="0" collapsed="false">
      <c r="C78" s="43"/>
      <c r="D78" s="43"/>
      <c r="E78" s="43"/>
      <c r="F78" s="43"/>
      <c r="G78" s="43"/>
    </row>
  </sheetData>
  <autoFilter ref="B4:G61"/>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B2:G68"/>
  <sheetViews>
    <sheetView showFormulas="false" showGridLines="false" showRowColHeaders="true" showZeros="true" rightToLeft="false" tabSelected="false" showOutlineSymbols="true" defaultGridColor="true" view="normal" topLeftCell="A1" colorId="64" zoomScale="72" zoomScaleNormal="72" zoomScalePageLayoutView="100" workbookViewId="0">
      <pane xSplit="0" ySplit="4" topLeftCell="A12" activePane="bottomLeft" state="frozen"/>
      <selection pane="topLeft" activeCell="A1" activeCellId="0" sqref="A1"/>
      <selection pane="bottomLeft" activeCell="G19" activeCellId="0" sqref="G19"/>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3" min="3" style="47" width="16.09"/>
    <col collapsed="false" customWidth="true" hidden="false" outlineLevel="0" max="5" min="4" style="20" width="16.09"/>
    <col collapsed="false" customWidth="true" hidden="true" outlineLevel="0" max="6" min="6" style="20" width="16.09"/>
    <col collapsed="false" customWidth="true" hidden="false" outlineLevel="0" max="7" min="7" style="20" width="16.09"/>
    <col collapsed="false" customWidth="true" hidden="false" outlineLevel="0" max="8" min="8" style="20" width="8.76"/>
  </cols>
  <sheetData>
    <row r="2" customFormat="false" ht="18" hidden="false" customHeight="false" outlineLevel="0" collapsed="false">
      <c r="E2" s="48" t="s">
        <v>50</v>
      </c>
    </row>
    <row r="3" customFormat="false" ht="27.75" hidden="false" customHeight="true" outlineLevel="0" collapsed="false">
      <c r="B3" s="49" t="s">
        <v>51</v>
      </c>
      <c r="C3" s="49"/>
      <c r="D3" s="49"/>
      <c r="E3" s="49"/>
      <c r="F3" s="49"/>
      <c r="G3" s="49"/>
    </row>
    <row r="4" customFormat="false" ht="39.75" hidden="false" customHeight="true" outlineLevel="0" collapsed="false">
      <c r="B4" s="25" t="s">
        <v>6</v>
      </c>
      <c r="C4" s="26" t="str">
        <f aca="false">'BS(借方)'!C4</f>
        <v>24年5月期
（第35期）</v>
      </c>
      <c r="D4" s="26" t="str">
        <f aca="false">'BS(借方)'!D4</f>
        <v>25年5月期
（第36期）</v>
      </c>
      <c r="E4" s="26" t="str">
        <f aca="false">'BS(借方)'!E4</f>
        <v>26年5月期
（第37期）</v>
      </c>
      <c r="F4" s="25" t="str">
        <f aca="false">'BS(借方)'!F4</f>
        <v>－</v>
      </c>
      <c r="G4" s="50" t="str">
        <f aca="false">'BS(借方)'!G4</f>
        <v>26年7月
（進行期2か月TB）</v>
      </c>
    </row>
    <row r="5" customFormat="false" ht="22.5" hidden="false" customHeight="true" outlineLevel="0" collapsed="false">
      <c r="B5" s="51" t="s">
        <v>52</v>
      </c>
      <c r="C5" s="14" t="n">
        <f aca="false">SUM(C6:C17)</f>
        <v>27136910</v>
      </c>
      <c r="D5" s="14" t="n">
        <f aca="false">SUM(D6:D17)</f>
        <v>24019523</v>
      </c>
      <c r="E5" s="14" t="n">
        <f aca="false">SUM(E6:E17)</f>
        <v>32246532</v>
      </c>
      <c r="F5" s="14" t="n">
        <f aca="false">SUM(F6:F17)</f>
        <v>0</v>
      </c>
      <c r="G5" s="14" t="n">
        <f aca="false">SUM(G6:G17)</f>
        <v>38742771</v>
      </c>
    </row>
    <row r="6" customFormat="false" ht="22.5" hidden="false" customHeight="true" outlineLevel="0" collapsed="false">
      <c r="B6" s="52" t="s">
        <v>53</v>
      </c>
      <c r="C6" s="53" t="n">
        <v>15335986</v>
      </c>
      <c r="D6" s="17" t="n">
        <v>15370498</v>
      </c>
      <c r="E6" s="17" t="n">
        <v>22986677</v>
      </c>
      <c r="F6" s="17"/>
      <c r="G6" s="17" t="n">
        <v>25470445</v>
      </c>
    </row>
    <row r="7" customFormat="false" ht="22.5" hidden="false" customHeight="true" outlineLevel="0" collapsed="false">
      <c r="B7" s="52" t="s">
        <v>54</v>
      </c>
      <c r="C7" s="53" t="n">
        <v>9588192</v>
      </c>
      <c r="D7" s="17" t="n">
        <v>8397961</v>
      </c>
      <c r="E7" s="17" t="n">
        <v>6948734</v>
      </c>
      <c r="F7" s="17"/>
      <c r="G7" s="17" t="n">
        <v>7344458</v>
      </c>
    </row>
    <row r="8" customFormat="false" ht="22.5" hidden="false" customHeight="true" outlineLevel="0" collapsed="false">
      <c r="B8" s="52" t="s">
        <v>55</v>
      </c>
      <c r="C8" s="53" t="n">
        <v>70000</v>
      </c>
      <c r="D8" s="17" t="n">
        <v>70000</v>
      </c>
      <c r="E8" s="17" t="n">
        <v>70000</v>
      </c>
      <c r="F8" s="17"/>
      <c r="G8" s="17" t="n">
        <v>0</v>
      </c>
    </row>
    <row r="9" customFormat="false" ht="22.5" hidden="false" customHeight="true" outlineLevel="0" collapsed="false">
      <c r="B9" s="52" t="s">
        <v>56</v>
      </c>
      <c r="C9" s="53" t="n">
        <v>1937000</v>
      </c>
      <c r="D9" s="17" t="n">
        <v>0</v>
      </c>
      <c r="E9" s="17" t="n">
        <v>2226600</v>
      </c>
      <c r="F9" s="17"/>
      <c r="G9" s="17" t="n">
        <v>2226600</v>
      </c>
    </row>
    <row r="10" customFormat="false" ht="22.5" hidden="false" customHeight="true" outlineLevel="0" collapsed="false">
      <c r="B10" s="52" t="s">
        <v>57</v>
      </c>
      <c r="C10" s="53" t="n">
        <v>205732</v>
      </c>
      <c r="D10" s="17" t="n">
        <v>181064</v>
      </c>
      <c r="E10" s="17" t="n">
        <v>14521</v>
      </c>
      <c r="F10" s="17"/>
      <c r="G10" s="17" t="n">
        <v>68947</v>
      </c>
    </row>
    <row r="11" customFormat="false" ht="22.5" hidden="false" customHeight="true" outlineLevel="0" collapsed="false">
      <c r="B11" s="52" t="s">
        <v>58</v>
      </c>
      <c r="C11" s="53" t="n">
        <v>0</v>
      </c>
      <c r="D11" s="17" t="n">
        <v>0</v>
      </c>
      <c r="E11" s="17" t="n">
        <v>0</v>
      </c>
      <c r="F11" s="17"/>
      <c r="G11" s="17" t="n">
        <v>3632321</v>
      </c>
    </row>
    <row r="12" customFormat="false" ht="22.5" hidden="false" customHeight="true" outlineLevel="0" collapsed="false">
      <c r="B12" s="52"/>
      <c r="C12" s="53"/>
      <c r="D12" s="17"/>
      <c r="E12" s="17"/>
      <c r="F12" s="17"/>
      <c r="G12" s="17"/>
    </row>
    <row r="13" customFormat="false" ht="22.5" hidden="true" customHeight="true" outlineLevel="0" collapsed="false">
      <c r="B13" s="52"/>
      <c r="C13" s="53"/>
      <c r="D13" s="17"/>
      <c r="E13" s="17"/>
      <c r="F13" s="17"/>
      <c r="G13" s="17"/>
    </row>
    <row r="14" customFormat="false" ht="22.5" hidden="true" customHeight="true" outlineLevel="0" collapsed="false">
      <c r="B14" s="52"/>
      <c r="C14" s="53"/>
      <c r="D14" s="17"/>
      <c r="E14" s="17"/>
      <c r="F14" s="17"/>
      <c r="G14" s="17"/>
    </row>
    <row r="15" customFormat="false" ht="22.5" hidden="true" customHeight="true" outlineLevel="0" collapsed="false">
      <c r="B15" s="52"/>
      <c r="C15" s="53"/>
      <c r="D15" s="17"/>
      <c r="E15" s="17"/>
      <c r="F15" s="17"/>
      <c r="G15" s="17"/>
    </row>
    <row r="16" customFormat="false" ht="22.5" hidden="true" customHeight="true" outlineLevel="0" collapsed="false">
      <c r="B16" s="52"/>
      <c r="C16" s="53"/>
      <c r="D16" s="17"/>
      <c r="E16" s="17"/>
      <c r="F16" s="17"/>
      <c r="G16" s="17"/>
    </row>
    <row r="17" customFormat="false" ht="22.5" hidden="true" customHeight="true" outlineLevel="0" collapsed="false">
      <c r="B17" s="54"/>
      <c r="C17" s="55"/>
      <c r="D17" s="56"/>
      <c r="E17" s="56"/>
      <c r="F17" s="56"/>
      <c r="G17" s="56"/>
    </row>
    <row r="18" customFormat="false" ht="22.5" hidden="false" customHeight="true" outlineLevel="0" collapsed="false">
      <c r="B18" s="51" t="s">
        <v>59</v>
      </c>
      <c r="C18" s="14" t="n">
        <f aca="false">SUM(C19:C24)</f>
        <v>0</v>
      </c>
      <c r="D18" s="14" t="n">
        <f aca="false">SUM(D19:D24)</f>
        <v>38334000</v>
      </c>
      <c r="E18" s="14" t="n">
        <f aca="false">SUM(E19:E24)</f>
        <v>32638000</v>
      </c>
      <c r="F18" s="14" t="n">
        <f aca="false">SUM(F19:F24)</f>
        <v>0</v>
      </c>
      <c r="G18" s="14" t="n">
        <f aca="false">SUM(G19:G24)</f>
        <v>31642000</v>
      </c>
    </row>
    <row r="19" customFormat="false" ht="22.5" hidden="false" customHeight="true" outlineLevel="0" collapsed="false">
      <c r="B19" s="52" t="s">
        <v>60</v>
      </c>
      <c r="C19" s="53" t="n">
        <v>0</v>
      </c>
      <c r="D19" s="17" t="n">
        <v>38334000</v>
      </c>
      <c r="E19" s="17" t="n">
        <v>32638000</v>
      </c>
      <c r="F19" s="17"/>
      <c r="G19" s="17" t="n">
        <v>31642000</v>
      </c>
    </row>
    <row r="20" customFormat="false" ht="22.5" hidden="false" customHeight="true" outlineLevel="0" collapsed="false">
      <c r="B20" s="52"/>
      <c r="C20" s="53"/>
      <c r="D20" s="17"/>
      <c r="E20" s="17"/>
      <c r="F20" s="17"/>
      <c r="G20" s="17"/>
    </row>
    <row r="21" customFormat="false" ht="22.5" hidden="true" customHeight="true" outlineLevel="0" collapsed="false">
      <c r="B21" s="52"/>
      <c r="C21" s="53"/>
      <c r="D21" s="17"/>
      <c r="E21" s="17"/>
      <c r="F21" s="17"/>
      <c r="G21" s="17"/>
    </row>
    <row r="22" customFormat="false" ht="22.5" hidden="true" customHeight="true" outlineLevel="0" collapsed="false">
      <c r="B22" s="52"/>
      <c r="C22" s="53"/>
      <c r="D22" s="17"/>
      <c r="E22" s="17"/>
      <c r="F22" s="17"/>
      <c r="G22" s="17"/>
    </row>
    <row r="23" customFormat="false" ht="22.5" hidden="true" customHeight="true" outlineLevel="0" collapsed="false">
      <c r="B23" s="52"/>
      <c r="C23" s="53"/>
      <c r="D23" s="17"/>
      <c r="E23" s="17"/>
      <c r="F23" s="17"/>
      <c r="G23" s="17"/>
    </row>
    <row r="24" customFormat="false" ht="22.5" hidden="true" customHeight="true" outlineLevel="0" collapsed="false">
      <c r="B24" s="54"/>
      <c r="C24" s="55"/>
      <c r="D24" s="56"/>
      <c r="E24" s="56"/>
      <c r="F24" s="56"/>
      <c r="G24" s="56"/>
    </row>
    <row r="25" customFormat="false" ht="22.5" hidden="false" customHeight="true" outlineLevel="0" collapsed="false">
      <c r="B25" s="57" t="s">
        <v>61</v>
      </c>
      <c r="C25" s="58" t="n">
        <f aca="false">C5+C18</f>
        <v>27136910</v>
      </c>
      <c r="D25" s="59" t="n">
        <f aca="false">D5+D18</f>
        <v>62353523</v>
      </c>
      <c r="E25" s="59" t="n">
        <f aca="false">E5+E18</f>
        <v>64884532</v>
      </c>
      <c r="F25" s="59" t="n">
        <f aca="false">F5+F18</f>
        <v>0</v>
      </c>
      <c r="G25" s="59" t="n">
        <f aca="false">G5+G18</f>
        <v>70384771</v>
      </c>
    </row>
    <row r="26" customFormat="false" ht="22.5" hidden="true" customHeight="true" outlineLevel="0" collapsed="false">
      <c r="B26" s="60"/>
      <c r="C26" s="35"/>
      <c r="D26" s="61"/>
      <c r="E26" s="61"/>
      <c r="F26" s="61"/>
      <c r="G26" s="61"/>
    </row>
    <row r="27" customFormat="false" ht="22.5" hidden="true" customHeight="true" outlineLevel="0" collapsed="false">
      <c r="B27" s="60"/>
      <c r="C27" s="53"/>
      <c r="D27" s="17"/>
      <c r="E27" s="17"/>
      <c r="F27" s="17"/>
      <c r="G27" s="17"/>
    </row>
    <row r="28" customFormat="false" ht="22.5" hidden="true" customHeight="true" outlineLevel="0" collapsed="false">
      <c r="B28" s="60"/>
      <c r="C28" s="53"/>
      <c r="D28" s="17"/>
      <c r="E28" s="17"/>
      <c r="F28" s="17"/>
      <c r="G28" s="17"/>
    </row>
    <row r="29" customFormat="false" ht="22.5" hidden="true" customHeight="true" outlineLevel="0" collapsed="false">
      <c r="B29" s="60"/>
      <c r="C29" s="53"/>
      <c r="D29" s="17"/>
      <c r="E29" s="17"/>
      <c r="F29" s="17"/>
      <c r="G29" s="17"/>
    </row>
    <row r="30" customFormat="false" ht="22.5" hidden="true" customHeight="true" outlineLevel="0" collapsed="false">
      <c r="B30" s="60"/>
      <c r="C30" s="53"/>
      <c r="D30" s="17"/>
      <c r="E30" s="17"/>
      <c r="F30" s="17"/>
      <c r="G30" s="17"/>
    </row>
    <row r="31" customFormat="false" ht="21.75" hidden="true" customHeight="true" outlineLevel="0" collapsed="false">
      <c r="B31" s="60"/>
      <c r="C31" s="53"/>
      <c r="D31" s="17"/>
      <c r="E31" s="17"/>
      <c r="F31" s="17"/>
      <c r="G31" s="17"/>
    </row>
    <row r="32" customFormat="false" ht="21.75" hidden="true" customHeight="true" outlineLevel="0" collapsed="false">
      <c r="B32" s="60"/>
      <c r="C32" s="53"/>
      <c r="D32" s="17"/>
      <c r="E32" s="17"/>
      <c r="F32" s="17"/>
      <c r="G32" s="17"/>
    </row>
    <row r="33" customFormat="false" ht="21.75" hidden="true" customHeight="true" outlineLevel="0" collapsed="false">
      <c r="B33" s="60"/>
      <c r="C33" s="53"/>
      <c r="D33" s="17"/>
      <c r="E33" s="17"/>
      <c r="F33" s="17"/>
      <c r="G33" s="17"/>
    </row>
    <row r="34" customFormat="false" ht="21.75" hidden="false" customHeight="true" outlineLevel="0" collapsed="false">
      <c r="B34" s="62" t="s">
        <v>62</v>
      </c>
      <c r="C34" s="62"/>
      <c r="D34" s="62"/>
      <c r="E34" s="62"/>
      <c r="F34" s="62"/>
      <c r="G34" s="62"/>
    </row>
    <row r="35" customFormat="false" ht="21.75" hidden="false" customHeight="true" outlineLevel="0" collapsed="false">
      <c r="B35" s="63" t="s">
        <v>63</v>
      </c>
      <c r="C35" s="64" t="n">
        <f aca="false">SUM(C36:C38)</f>
        <v>10000000</v>
      </c>
      <c r="D35" s="64" t="n">
        <f aca="false">SUM(D36:D38)</f>
        <v>10000000</v>
      </c>
      <c r="E35" s="64" t="n">
        <f aca="false">SUM(E36:E38)</f>
        <v>10000000</v>
      </c>
      <c r="F35" s="64" t="n">
        <f aca="false">SUM(F36:F38)</f>
        <v>0</v>
      </c>
      <c r="G35" s="64" t="n">
        <f aca="false">SUM(G36:G38)</f>
        <v>10000000</v>
      </c>
    </row>
    <row r="36" customFormat="false" ht="21.75" hidden="false" customHeight="true" outlineLevel="0" collapsed="false">
      <c r="B36" s="52" t="s">
        <v>64</v>
      </c>
      <c r="C36" s="61" t="n">
        <v>10000000</v>
      </c>
      <c r="D36" s="35" t="n">
        <v>10000000</v>
      </c>
      <c r="E36" s="35" t="n">
        <v>10000000</v>
      </c>
      <c r="F36" s="35"/>
      <c r="G36" s="35" t="n">
        <v>10000000</v>
      </c>
    </row>
    <row r="37" customFormat="false" ht="21.75" hidden="true" customHeight="true" outlineLevel="0" collapsed="false">
      <c r="B37" s="52"/>
      <c r="C37" s="61"/>
      <c r="D37" s="35"/>
      <c r="E37" s="35"/>
      <c r="F37" s="35"/>
      <c r="G37" s="35"/>
    </row>
    <row r="38" customFormat="false" ht="21.75" hidden="true" customHeight="true" outlineLevel="0" collapsed="false">
      <c r="B38" s="54"/>
      <c r="C38" s="65"/>
      <c r="D38" s="37"/>
      <c r="E38" s="37"/>
      <c r="F38" s="37"/>
      <c r="G38" s="37"/>
    </row>
    <row r="39" customFormat="false" ht="22.5" hidden="false" customHeight="true" outlineLevel="0" collapsed="false">
      <c r="B39" s="63" t="s">
        <v>65</v>
      </c>
      <c r="C39" s="64" t="n">
        <f aca="false">SUM(C40:C42)</f>
        <v>0</v>
      </c>
      <c r="D39" s="64" t="n">
        <f aca="false">SUM(D40:D42)</f>
        <v>0</v>
      </c>
      <c r="E39" s="64" t="n">
        <f aca="false">SUM(E40:E42)</f>
        <v>0</v>
      </c>
      <c r="F39" s="64" t="n">
        <f aca="false">SUM(F40:F42)</f>
        <v>0</v>
      </c>
      <c r="G39" s="64" t="n">
        <f aca="false">SUM(G40:G42)</f>
        <v>0</v>
      </c>
    </row>
    <row r="40" customFormat="false" ht="22.5" hidden="true" customHeight="true" outlineLevel="0" collapsed="false">
      <c r="B40" s="52"/>
      <c r="C40" s="61"/>
      <c r="D40" s="35"/>
      <c r="E40" s="35"/>
      <c r="F40" s="35"/>
      <c r="G40" s="35"/>
    </row>
    <row r="41" customFormat="false" ht="22.5" hidden="true" customHeight="true" outlineLevel="0" collapsed="false">
      <c r="B41" s="52"/>
      <c r="C41" s="61"/>
      <c r="D41" s="35"/>
      <c r="E41" s="35"/>
      <c r="F41" s="35"/>
      <c r="G41" s="35"/>
    </row>
    <row r="42" customFormat="false" ht="22.5" hidden="true" customHeight="true" outlineLevel="0" collapsed="false">
      <c r="B42" s="66"/>
      <c r="C42" s="67"/>
      <c r="D42" s="68"/>
      <c r="E42" s="68"/>
      <c r="F42" s="68"/>
      <c r="G42" s="68"/>
    </row>
    <row r="43" customFormat="false" ht="22.5" hidden="false" customHeight="true" outlineLevel="0" collapsed="false">
      <c r="B43" s="69" t="s">
        <v>66</v>
      </c>
      <c r="C43" s="64" t="n">
        <f aca="false">SUM(C44:C48)</f>
        <v>18117932</v>
      </c>
      <c r="D43" s="64" t="n">
        <f aca="false">SUM(D44:D48)</f>
        <v>-10231278</v>
      </c>
      <c r="E43" s="64" t="n">
        <f aca="false">SUM(E44:E48)</f>
        <v>-21563362</v>
      </c>
      <c r="F43" s="64" t="n">
        <f aca="false">SUM(F44:F48)</f>
        <v>0</v>
      </c>
      <c r="G43" s="64" t="n">
        <f aca="false">SUM(G44:G48)</f>
        <v>-21848578</v>
      </c>
    </row>
    <row r="44" customFormat="false" ht="22.5" hidden="false" customHeight="true" outlineLevel="0" collapsed="false">
      <c r="B44" s="52" t="s">
        <v>67</v>
      </c>
      <c r="C44" s="61" t="n">
        <v>2750000</v>
      </c>
      <c r="D44" s="35" t="n">
        <v>2750000</v>
      </c>
      <c r="E44" s="35" t="n">
        <v>2750000</v>
      </c>
      <c r="F44" s="35"/>
      <c r="G44" s="35" t="n">
        <v>2750000</v>
      </c>
    </row>
    <row r="45" customFormat="false" ht="22.5" hidden="false" customHeight="true" outlineLevel="0" collapsed="false">
      <c r="B45" s="52" t="s">
        <v>68</v>
      </c>
      <c r="C45" s="61" t="n">
        <v>36000000</v>
      </c>
      <c r="D45" s="35" t="n">
        <v>36000000</v>
      </c>
      <c r="E45" s="35" t="n">
        <v>36000000</v>
      </c>
      <c r="F45" s="35"/>
      <c r="G45" s="35" t="n">
        <v>36000000</v>
      </c>
    </row>
    <row r="46" customFormat="false" ht="22.5" hidden="true" customHeight="true" outlineLevel="0" collapsed="false">
      <c r="B46" s="52" t="s">
        <v>69</v>
      </c>
      <c r="C46" s="61" t="n">
        <v>-20632068</v>
      </c>
      <c r="D46" s="35" t="n">
        <v>-48981278</v>
      </c>
      <c r="E46" s="35" t="n">
        <v>-60313362</v>
      </c>
      <c r="F46" s="35"/>
      <c r="G46" s="35" t="n">
        <v>-60598578</v>
      </c>
    </row>
    <row r="47" customFormat="false" ht="22.5" hidden="true" customHeight="true" outlineLevel="0" collapsed="false">
      <c r="B47" s="52"/>
      <c r="C47" s="61"/>
      <c r="D47" s="35"/>
      <c r="E47" s="35"/>
      <c r="F47" s="35"/>
      <c r="G47" s="35"/>
    </row>
    <row r="48" customFormat="false" ht="22.5" hidden="true" customHeight="true" outlineLevel="0" collapsed="false">
      <c r="B48" s="54"/>
      <c r="C48" s="65"/>
      <c r="D48" s="37"/>
      <c r="E48" s="37"/>
      <c r="F48" s="37"/>
      <c r="G48" s="37"/>
    </row>
    <row r="49" customFormat="false" ht="22.5" hidden="false" customHeight="true" outlineLevel="0" collapsed="false">
      <c r="B49" s="70" t="s">
        <v>70</v>
      </c>
      <c r="C49" s="71"/>
      <c r="D49" s="72"/>
      <c r="E49" s="72"/>
      <c r="F49" s="72"/>
      <c r="G49" s="72"/>
    </row>
    <row r="50" customFormat="false" ht="22.5" hidden="false" customHeight="true" outlineLevel="0" collapsed="false">
      <c r="B50" s="73" t="s">
        <v>71</v>
      </c>
      <c r="C50" s="74" t="n">
        <f aca="false">C35+C39+C43+C49</f>
        <v>28117932</v>
      </c>
      <c r="D50" s="74" t="n">
        <f aca="false">D35+D39+D43+D49</f>
        <v>-231278</v>
      </c>
      <c r="E50" s="74" t="n">
        <f aca="false">E35+E39+E43+E49</f>
        <v>-11563362</v>
      </c>
      <c r="F50" s="74" t="n">
        <f aca="false">F35+F39+F43+F49</f>
        <v>0</v>
      </c>
      <c r="G50" s="74" t="n">
        <f aca="false">G35+G39+G43+G49</f>
        <v>-11848578</v>
      </c>
    </row>
    <row r="51" customFormat="false" ht="22.5" hidden="false" customHeight="true" outlineLevel="0" collapsed="false">
      <c r="B51" s="75" t="s">
        <v>72</v>
      </c>
      <c r="C51" s="76" t="n">
        <f aca="false">C25+C50</f>
        <v>55254842</v>
      </c>
      <c r="D51" s="76" t="n">
        <f aca="false">D25+D50</f>
        <v>62122245</v>
      </c>
      <c r="E51" s="76" t="n">
        <f aca="false">E25+E50</f>
        <v>53321170</v>
      </c>
      <c r="F51" s="76" t="n">
        <f aca="false">F25+F50</f>
        <v>0</v>
      </c>
      <c r="G51" s="76" t="n">
        <f aca="false">G25+G50</f>
        <v>58536193</v>
      </c>
    </row>
    <row r="52" customFormat="false" ht="18" hidden="false" customHeight="false" outlineLevel="0" collapsed="false">
      <c r="C52" s="77"/>
      <c r="D52" s="43"/>
      <c r="E52" s="43"/>
      <c r="F52" s="43"/>
      <c r="G52" s="43"/>
    </row>
    <row r="53" customFormat="false" ht="18" hidden="false" customHeight="false" outlineLevel="0" collapsed="false">
      <c r="B53" s="44" t="s">
        <v>47</v>
      </c>
      <c r="C53" s="78" t="n">
        <f aca="false">EXACT(C51,'BS(借方)'!C61)</f>
        <v>1</v>
      </c>
      <c r="D53" s="78" t="n">
        <f aca="false">EXACT(D51,'BS(借方)'!D61)</f>
        <v>1</v>
      </c>
      <c r="E53" s="78" t="n">
        <f aca="false">EXACT(E51,'BS(借方)'!E61)</f>
        <v>1</v>
      </c>
      <c r="F53" s="78" t="n">
        <f aca="false">EXACT(F51,'BS(借方)'!F61)</f>
        <v>1</v>
      </c>
      <c r="G53" s="78" t="n">
        <f aca="false">EXACT(G51,'BS(借方)'!G61)</f>
        <v>1</v>
      </c>
    </row>
    <row r="54" customFormat="false" ht="18" hidden="false" customHeight="false" outlineLevel="0" collapsed="false">
      <c r="C54" s="77"/>
      <c r="D54" s="43"/>
      <c r="E54" s="43"/>
      <c r="F54" s="43"/>
      <c r="G54" s="43"/>
    </row>
    <row r="55" customFormat="false" ht="18" hidden="false" customHeight="false" outlineLevel="0" collapsed="false">
      <c r="C55" s="77"/>
      <c r="D55" s="43"/>
      <c r="E55" s="43"/>
      <c r="F55" s="43"/>
      <c r="G55" s="43"/>
    </row>
    <row r="56" customFormat="false" ht="18" hidden="false" customHeight="false" outlineLevel="0" collapsed="false">
      <c r="B56" s="46" t="s">
        <v>73</v>
      </c>
      <c r="C56" s="77"/>
      <c r="D56" s="43"/>
      <c r="E56" s="43"/>
      <c r="F56" s="43"/>
      <c r="G56" s="43"/>
    </row>
    <row r="57" customFormat="false" ht="18" hidden="false" customHeight="false" outlineLevel="0" collapsed="false">
      <c r="C57" s="77"/>
      <c r="D57" s="43"/>
      <c r="E57" s="43"/>
      <c r="F57" s="43"/>
      <c r="G57" s="43"/>
    </row>
    <row r="58" customFormat="false" ht="18" hidden="false" customHeight="false" outlineLevel="0" collapsed="false">
      <c r="C58" s="77"/>
      <c r="D58" s="43"/>
      <c r="E58" s="43"/>
      <c r="F58" s="43"/>
      <c r="G58" s="43"/>
    </row>
    <row r="59" customFormat="false" ht="18" hidden="false" customHeight="false" outlineLevel="0" collapsed="false">
      <c r="C59" s="77"/>
      <c r="D59" s="43"/>
      <c r="E59" s="43"/>
      <c r="F59" s="43"/>
      <c r="G59" s="43"/>
    </row>
    <row r="60" customFormat="false" ht="18" hidden="false" customHeight="false" outlineLevel="0" collapsed="false">
      <c r="C60" s="77"/>
      <c r="D60" s="43"/>
      <c r="E60" s="43"/>
      <c r="F60" s="43"/>
      <c r="G60" s="43"/>
    </row>
    <row r="61" customFormat="false" ht="18" hidden="false" customHeight="false" outlineLevel="0" collapsed="false">
      <c r="C61" s="77"/>
      <c r="D61" s="43"/>
      <c r="E61" s="43"/>
      <c r="F61" s="43"/>
      <c r="G61" s="43"/>
    </row>
    <row r="62" customFormat="false" ht="18" hidden="false" customHeight="false" outlineLevel="0" collapsed="false">
      <c r="C62" s="77"/>
      <c r="D62" s="43"/>
      <c r="E62" s="43"/>
      <c r="F62" s="43"/>
      <c r="G62" s="43"/>
    </row>
    <row r="63" customFormat="false" ht="18" hidden="false" customHeight="false" outlineLevel="0" collapsed="false">
      <c r="C63" s="77"/>
      <c r="D63" s="43"/>
      <c r="E63" s="43"/>
      <c r="F63" s="43"/>
      <c r="G63" s="43"/>
    </row>
    <row r="64" customFormat="false" ht="18" hidden="false" customHeight="false" outlineLevel="0" collapsed="false">
      <c r="C64" s="77"/>
      <c r="D64" s="43"/>
      <c r="E64" s="43"/>
      <c r="F64" s="43"/>
      <c r="G64" s="43"/>
    </row>
    <row r="65" customFormat="false" ht="18" hidden="false" customHeight="false" outlineLevel="0" collapsed="false">
      <c r="C65" s="77"/>
      <c r="D65" s="43"/>
      <c r="E65" s="43"/>
      <c r="F65" s="43"/>
      <c r="G65" s="43"/>
    </row>
    <row r="66" customFormat="false" ht="18" hidden="false" customHeight="false" outlineLevel="0" collapsed="false">
      <c r="C66" s="77"/>
      <c r="D66" s="43"/>
      <c r="E66" s="43"/>
      <c r="F66" s="43"/>
      <c r="G66" s="43"/>
    </row>
    <row r="67" customFormat="false" ht="18" hidden="false" customHeight="false" outlineLevel="0" collapsed="false">
      <c r="C67" s="77"/>
      <c r="D67" s="43"/>
      <c r="E67" s="43"/>
      <c r="F67" s="43"/>
      <c r="G67" s="43"/>
    </row>
    <row r="68" customFormat="false" ht="18" hidden="false" customHeight="false" outlineLevel="0" collapsed="false">
      <c r="C68" s="77"/>
      <c r="D68" s="43"/>
      <c r="E68" s="43"/>
      <c r="F68" s="43"/>
      <c r="G68" s="43"/>
    </row>
  </sheetData>
  <autoFilter ref="B4:G51"/>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8.53125" defaultRowHeight="18" zeroHeight="false" outlineLevelRow="0" outlineLevelCol="0"/>
  <cols>
    <col collapsed="false" customWidth="true" hidden="false" outlineLevel="0" max="3" min="2" style="20" width="27.33"/>
    <col collapsed="false" customWidth="true" hidden="false" outlineLevel="0" max="4" min="4" style="20" width="4.83"/>
    <col collapsed="false" customWidth="true" hidden="false" outlineLevel="0" max="6" min="5" style="20" width="27.33"/>
  </cols>
  <sheetData>
    <row r="2" customFormat="false" ht="18" hidden="false" customHeight="false" outlineLevel="0" collapsed="false">
      <c r="C2" s="48"/>
      <c r="F2" s="48" t="s">
        <v>50</v>
      </c>
    </row>
    <row r="3" customFormat="false" ht="21.75" hidden="false" customHeight="true" outlineLevel="0" collapsed="false">
      <c r="B3" s="62" t="s">
        <v>74</v>
      </c>
      <c r="C3" s="79" t="s">
        <v>75</v>
      </c>
      <c r="E3" s="62" t="s">
        <v>76</v>
      </c>
      <c r="F3" s="79" t="s">
        <v>75</v>
      </c>
    </row>
    <row r="4" customFormat="false" ht="31.5" hidden="false" customHeight="true" outlineLevel="0" collapsed="false">
      <c r="B4" s="80" t="s">
        <v>10</v>
      </c>
      <c r="C4" s="81" t="n">
        <f aca="false">'修正BS(借方)'!E6</f>
        <v>4903189</v>
      </c>
      <c r="E4" s="80" t="s">
        <v>60</v>
      </c>
      <c r="F4" s="81" t="n">
        <f aca="false">'修正BS(貸方) '!E19</f>
        <v>32638000</v>
      </c>
    </row>
    <row r="5" customFormat="false" ht="31.5" hidden="false" customHeight="true" outlineLevel="0" collapsed="false">
      <c r="B5" s="82"/>
      <c r="C5" s="83"/>
      <c r="E5" s="84" t="s">
        <v>55</v>
      </c>
      <c r="F5" s="83" t="n">
        <f aca="false">'修正BS(貸方) '!E8</f>
        <v>70000</v>
      </c>
    </row>
    <row r="6" customFormat="false" ht="31.5" hidden="false" customHeight="true" outlineLevel="0" collapsed="false">
      <c r="B6" s="84"/>
      <c r="C6" s="83"/>
      <c r="E6" s="84"/>
      <c r="F6" s="83"/>
    </row>
    <row r="7" customFormat="false" ht="31.5" hidden="true" customHeight="true" outlineLevel="0" collapsed="false">
      <c r="B7" s="84"/>
      <c r="C7" s="83"/>
      <c r="E7" s="84"/>
      <c r="F7" s="83"/>
    </row>
    <row r="8" customFormat="false" ht="31.5" hidden="true" customHeight="true" outlineLevel="0" collapsed="false">
      <c r="B8" s="84"/>
      <c r="C8" s="83"/>
      <c r="E8" s="84"/>
      <c r="F8" s="83"/>
    </row>
    <row r="9" customFormat="false" ht="31.5" hidden="true" customHeight="true" outlineLevel="0" collapsed="false">
      <c r="B9" s="84"/>
      <c r="C9" s="83"/>
      <c r="E9" s="84"/>
      <c r="F9" s="83"/>
    </row>
    <row r="10" customFormat="false" ht="31.5" hidden="true" customHeight="true" outlineLevel="0" collapsed="false">
      <c r="B10" s="85"/>
      <c r="C10" s="83"/>
      <c r="E10" s="84"/>
      <c r="F10" s="83"/>
    </row>
    <row r="11" customFormat="false" ht="31.5" hidden="true" customHeight="true" outlineLevel="0" collapsed="false">
      <c r="B11" s="84"/>
      <c r="C11" s="83"/>
      <c r="E11" s="84"/>
      <c r="F11" s="83"/>
    </row>
    <row r="12" customFormat="false" ht="31.5" hidden="true" customHeight="true" outlineLevel="0" collapsed="false">
      <c r="B12" s="85"/>
      <c r="C12" s="86"/>
      <c r="E12" s="85"/>
      <c r="F12" s="86"/>
    </row>
    <row r="13" customFormat="false" ht="31.5" hidden="false" customHeight="true" outlineLevel="0" collapsed="false">
      <c r="B13" s="87" t="s">
        <v>77</v>
      </c>
      <c r="C13" s="88" t="n">
        <f aca="false">SUM(C4:C12)</f>
        <v>4903189</v>
      </c>
      <c r="E13" s="87" t="s">
        <v>77</v>
      </c>
      <c r="F13" s="88" t="n">
        <f aca="false">SUM(F4:F12)</f>
        <v>32708000</v>
      </c>
    </row>
    <row r="14" customFormat="false" ht="18" hidden="false" customHeight="true" outlineLevel="0" collapsed="false"/>
    <row r="15" customFormat="false" ht="31.5" hidden="false" customHeight="true" outlineLevel="0" collapsed="false">
      <c r="B15" s="89" t="s">
        <v>78</v>
      </c>
      <c r="C15" s="90" t="n">
        <f aca="false">C13-F13</f>
        <v>-27804811</v>
      </c>
    </row>
    <row r="17" customFormat="false" ht="18" hidden="false" customHeight="false" outlineLevel="0" collapsed="false">
      <c r="B17" s="46" t="s">
        <v>79</v>
      </c>
      <c r="C17" s="2"/>
    </row>
    <row r="18" customFormat="false" ht="18" hidden="false" customHeight="false" outlineLevel="0" collapsed="false">
      <c r="B18" s="91" t="s">
        <v>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7"/>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0" activePane="bottomLeft" state="frozen"/>
      <selection pane="topLeft" activeCell="A1" activeCellId="0" sqref="A1"/>
      <selection pane="bottomLeft" activeCell="C53" activeCellId="0" sqref="C53"/>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8" min="8" style="47" width="15"/>
    <col collapsed="false" customWidth="true" hidden="true" outlineLevel="0" max="9" min="9" style="47" width="15"/>
    <col collapsed="false" customWidth="true" hidden="true" outlineLevel="0" max="10" min="10" style="20" width="15"/>
    <col collapsed="false" customWidth="true" hidden="false" outlineLevel="0" max="12" min="11" style="20" width="15"/>
    <col collapsed="false" customWidth="true" hidden="false" outlineLevel="0" max="13" min="13" style="20" width="16.09"/>
    <col collapsed="false" customWidth="true" hidden="false" outlineLevel="0" max="14" min="14" style="20" width="8.76"/>
  </cols>
  <sheetData>
    <row r="2" customFormat="false" ht="18" hidden="false" customHeight="false" outlineLevel="0" collapsed="false">
      <c r="B2" s="2"/>
      <c r="C2" s="47"/>
      <c r="D2" s="92"/>
      <c r="G2" s="47"/>
      <c r="H2" s="48"/>
      <c r="I2" s="2"/>
      <c r="K2" s="47"/>
      <c r="L2" s="48" t="s">
        <v>50</v>
      </c>
    </row>
    <row r="3" customFormat="false" ht="19.5" hidden="false" customHeight="true" outlineLevel="0" collapsed="false">
      <c r="B3" s="8" t="s">
        <v>6</v>
      </c>
      <c r="C3" s="93" t="str">
        <f aca="false">'BS(借方)'!C4</f>
        <v>24年5月期
（第35期）</v>
      </c>
      <c r="D3" s="93"/>
      <c r="E3" s="94" t="str">
        <f aca="false">'BS(借方)'!D4</f>
        <v>25年5月期
（第36期）</v>
      </c>
      <c r="F3" s="94"/>
      <c r="G3" s="95" t="str">
        <f aca="false">'BS(借方)'!E4</f>
        <v>26年5月期
（第37期）</v>
      </c>
      <c r="H3" s="95"/>
      <c r="I3" s="96" t="str">
        <f aca="false">'BS(借方)'!F4</f>
        <v>－</v>
      </c>
      <c r="J3" s="96"/>
      <c r="K3" s="97" t="str">
        <f aca="false">'BS(借方)'!G4</f>
        <v>26年7月
（進行期2か月TB）</v>
      </c>
      <c r="L3" s="97"/>
    </row>
    <row r="4" customFormat="false" ht="19.5" hidden="false" customHeight="true" outlineLevel="0" collapsed="false">
      <c r="B4" s="8"/>
      <c r="C4" s="98" t="s">
        <v>81</v>
      </c>
      <c r="D4" s="99" t="s">
        <v>82</v>
      </c>
      <c r="E4" s="98" t="s">
        <v>81</v>
      </c>
      <c r="F4" s="98" t="s">
        <v>82</v>
      </c>
      <c r="G4" s="98" t="s">
        <v>81</v>
      </c>
      <c r="H4" s="99" t="s">
        <v>82</v>
      </c>
      <c r="I4" s="98" t="s">
        <v>81</v>
      </c>
      <c r="J4" s="99" t="s">
        <v>82</v>
      </c>
      <c r="K4" s="100" t="s">
        <v>81</v>
      </c>
      <c r="L4" s="101" t="s">
        <v>82</v>
      </c>
    </row>
    <row r="5" customFormat="false" ht="22.5" hidden="false" customHeight="true" outlineLevel="0" collapsed="false">
      <c r="B5" s="102" t="s">
        <v>83</v>
      </c>
      <c r="C5" s="103" t="n">
        <v>173684305</v>
      </c>
      <c r="D5" s="104" t="n">
        <f aca="false">IFERROR(IF(C5=0,"",C5/C$11),"")</f>
        <v>0.48635340944359</v>
      </c>
      <c r="E5" s="103" t="n">
        <v>208996360</v>
      </c>
      <c r="F5" s="104" t="n">
        <f aca="false">IFERROR(IF(E5=0,"",E5/E$11),"")</f>
        <v>0.850082210482622</v>
      </c>
      <c r="G5" s="103" t="n">
        <v>209138985</v>
      </c>
      <c r="H5" s="104" t="n">
        <f aca="false">IFERROR(IF(G5=0,"",G5/G$11),"")</f>
        <v>0.748813486132605</v>
      </c>
      <c r="I5" s="103"/>
      <c r="J5" s="104" t="str">
        <f aca="false">IFERROR(IF(I5=0,"",I5/I$11),"")</f>
        <v/>
      </c>
      <c r="K5" s="103" t="n">
        <v>43889327</v>
      </c>
      <c r="L5" s="104" t="n">
        <f aca="false">IFERROR(IF(K5=0,"",K5/K$11),"")</f>
        <v>0.806167757321159</v>
      </c>
    </row>
    <row r="6" customFormat="false" ht="22.5" hidden="false" customHeight="true" outlineLevel="0" collapsed="false">
      <c r="B6" s="105" t="s">
        <v>84</v>
      </c>
      <c r="C6" s="35" t="n">
        <v>76514123</v>
      </c>
      <c r="D6" s="104" t="n">
        <f aca="false">IFERROR(IF(C6=0,"",C6/C$11),"")</f>
        <v>0.214256000803505</v>
      </c>
      <c r="E6" s="35" t="n">
        <v>20901148</v>
      </c>
      <c r="F6" s="104" t="n">
        <f aca="false">IFERROR(IF(E6=0,"",E6/E$11),"")</f>
        <v>0.0850143710324162</v>
      </c>
      <c r="G6" s="35" t="n">
        <v>34050269</v>
      </c>
      <c r="H6" s="104" t="n">
        <f aca="false">IFERROR(IF(G6=0,"",G6/G$11),"")</f>
        <v>0.121915579888862</v>
      </c>
      <c r="I6" s="35"/>
      <c r="J6" s="104" t="str">
        <f aca="false">IFERROR(IF(I6=0,"",I6/I$11),"")</f>
        <v/>
      </c>
      <c r="K6" s="35" t="n">
        <v>3553157</v>
      </c>
      <c r="L6" s="104" t="n">
        <f aca="false">IFERROR(IF(K6=0,"",K6/K$11),"")</f>
        <v>0.0652650839257566</v>
      </c>
    </row>
    <row r="7" customFormat="false" ht="22.5" hidden="false" customHeight="true" outlineLevel="0" collapsed="false">
      <c r="B7" s="105" t="s">
        <v>85</v>
      </c>
      <c r="C7" s="35" t="n">
        <v>99178894</v>
      </c>
      <c r="D7" s="104" t="n">
        <f aca="false">IFERROR(IF(C7=0,"",C7/C$11),"")</f>
        <v>0.277722234267192</v>
      </c>
      <c r="E7" s="35" t="n">
        <v>14709600</v>
      </c>
      <c r="F7" s="104" t="n">
        <f aca="false">IFERROR(IF(E7=0,"",E7/E$11),"")</f>
        <v>0.0598305601270528</v>
      </c>
      <c r="G7" s="35" t="n">
        <v>36104574</v>
      </c>
      <c r="H7" s="104" t="n">
        <f aca="false">IFERROR(IF(G7=0,"",G7/G$11),"")</f>
        <v>0.129270933978534</v>
      </c>
      <c r="I7" s="35"/>
      <c r="J7" s="104"/>
      <c r="K7" s="35" t="n">
        <v>6999444</v>
      </c>
      <c r="L7" s="104"/>
    </row>
    <row r="8" customFormat="false" ht="22.5" hidden="false" customHeight="true" outlineLevel="0" collapsed="false">
      <c r="B8" s="105" t="s">
        <v>86</v>
      </c>
      <c r="C8" s="106" t="n">
        <v>7738104</v>
      </c>
      <c r="D8" s="107" t="n">
        <f aca="false">IFERROR(IF(C8=0,"",C8/C$11),"")</f>
        <v>0.0216683554857135</v>
      </c>
      <c r="E8" s="106" t="n">
        <v>1247184</v>
      </c>
      <c r="F8" s="107" t="n">
        <f aca="false">IFERROR(IF(E8=0,"",E8/E$11),"")</f>
        <v>0.005072858357909</v>
      </c>
      <c r="G8" s="106" t="n">
        <v>0</v>
      </c>
      <c r="H8" s="107" t="str">
        <f aca="false">IFERROR(IF(G8=0,"",G8/G$11),"")</f>
        <v/>
      </c>
      <c r="I8" s="35"/>
      <c r="J8" s="104"/>
      <c r="K8" s="106" t="n">
        <v>0</v>
      </c>
      <c r="L8" s="107"/>
    </row>
    <row r="9" customFormat="false" ht="22.5" hidden="false" customHeight="true" outlineLevel="0" collapsed="false">
      <c r="B9" s="105"/>
      <c r="C9" s="35"/>
      <c r="D9" s="104" t="str">
        <f aca="false">IFERROR(IF(C9=0,"",C9/C$11),"")</f>
        <v/>
      </c>
      <c r="E9" s="35"/>
      <c r="F9" s="104" t="str">
        <f aca="false">IFERROR(IF(E9=0,"",E9/E$11),"")</f>
        <v/>
      </c>
      <c r="G9" s="35"/>
      <c r="H9" s="104" t="str">
        <f aca="false">IFERROR(IF(G9=0,"",G9/G$11),"")</f>
        <v/>
      </c>
      <c r="I9" s="35"/>
      <c r="J9" s="104" t="str">
        <f aca="false">IFERROR(IF(I9=0,"",I9/I$11),"")</f>
        <v/>
      </c>
      <c r="K9" s="35"/>
      <c r="L9" s="104" t="str">
        <f aca="false">IFERROR(IF(K9=0,"",K9/K$11),"")</f>
        <v/>
      </c>
    </row>
    <row r="10" customFormat="false" ht="22.5" hidden="false" customHeight="true" outlineLevel="0" collapsed="false">
      <c r="B10" s="108"/>
      <c r="C10" s="37"/>
      <c r="D10" s="109" t="str">
        <f aca="false">IFERROR(IF(C10=0,"",C10/C$11),"")</f>
        <v/>
      </c>
      <c r="E10" s="37"/>
      <c r="F10" s="109" t="str">
        <f aca="false">IFERROR(IF(E10=0,"",E10/E$11),"")</f>
        <v/>
      </c>
      <c r="G10" s="37"/>
      <c r="H10" s="109" t="str">
        <f aca="false">IFERROR(IF(G10=0,"",G10/G$11),"")</f>
        <v/>
      </c>
      <c r="I10" s="37"/>
      <c r="J10" s="109" t="str">
        <f aca="false">IFERROR(IF(I10=0,"",I10/I$11),"")</f>
        <v/>
      </c>
      <c r="K10" s="37"/>
      <c r="L10" s="109" t="str">
        <f aca="false">IFERROR(IF(K10=0,"",K10/K$11),"")</f>
        <v/>
      </c>
    </row>
    <row r="11" customFormat="false" ht="22.5" hidden="false" customHeight="true" outlineLevel="0" collapsed="false">
      <c r="B11" s="110" t="s">
        <v>87</v>
      </c>
      <c r="C11" s="111" t="n">
        <f aca="false">SUM(C5:C10)</f>
        <v>357115426</v>
      </c>
      <c r="D11" s="112" t="n">
        <f aca="false">IFERROR(IF(C11=0,"",C11/C$11),"")</f>
        <v>1</v>
      </c>
      <c r="E11" s="111" t="n">
        <f aca="false">SUM(E5:E10)</f>
        <v>245854292</v>
      </c>
      <c r="F11" s="112" t="n">
        <f aca="false">IFERROR(IF(E11=0,"",E11/E$11),"")</f>
        <v>1</v>
      </c>
      <c r="G11" s="111" t="n">
        <f aca="false">SUM(G5:G10)</f>
        <v>279293828</v>
      </c>
      <c r="H11" s="112" t="n">
        <f aca="false">IFERROR(IF(G11=0,"",G11/G$11),"")</f>
        <v>1</v>
      </c>
      <c r="I11" s="111" t="n">
        <f aca="false">SUM(I5:I10)</f>
        <v>0</v>
      </c>
      <c r="J11" s="112" t="str">
        <f aca="false">IFERROR(IF(I11=0,"",I11/I$11),"")</f>
        <v/>
      </c>
      <c r="K11" s="111" t="n">
        <f aca="false">SUM(K5:K10)</f>
        <v>54441928</v>
      </c>
      <c r="L11" s="112" t="n">
        <f aca="false">IFERROR(IF(K11=0,"",K11/K$11),"")</f>
        <v>1</v>
      </c>
    </row>
    <row r="12" customFormat="false" ht="22.5" hidden="false" customHeight="true" outlineLevel="0" collapsed="false">
      <c r="B12" s="113" t="s">
        <v>88</v>
      </c>
      <c r="C12" s="35" t="n">
        <f aca="false">CR!C51</f>
        <v>353076486</v>
      </c>
      <c r="D12" s="104" t="n">
        <f aca="false">IFERROR(IF(C12=0,"",C12/C$11),"")</f>
        <v>0.988690099318196</v>
      </c>
      <c r="E12" s="35" t="n">
        <f aca="false">CR!E51</f>
        <v>264751125</v>
      </c>
      <c r="F12" s="104" t="n">
        <f aca="false">IFERROR(IF(E12=0,"",E12/E$11),"")</f>
        <v>1.07686192031173</v>
      </c>
      <c r="G12" s="35" t="n">
        <f aca="false">CR!G51</f>
        <v>273790092</v>
      </c>
      <c r="H12" s="104" t="n">
        <f aca="false">IFERROR(IF(G12=0,"",G12/G$11),"")</f>
        <v>0.980294100877876</v>
      </c>
      <c r="I12" s="35" t="n">
        <f aca="false">CR!I51</f>
        <v>0</v>
      </c>
      <c r="J12" s="104" t="str">
        <f aca="false">IFERROR(IF(I12=0,"",I12/I$11),"")</f>
        <v/>
      </c>
      <c r="K12" s="35" t="n">
        <f aca="false">CR!K51</f>
        <v>52337050</v>
      </c>
      <c r="L12" s="104" t="n">
        <f aca="false">IFERROR(IF(K12=0,"",K12/K$11),"")</f>
        <v>0.961337188499276</v>
      </c>
    </row>
    <row r="13" customFormat="false" ht="22.5" hidden="false" customHeight="true" outlineLevel="0" collapsed="false">
      <c r="B13" s="105"/>
      <c r="C13" s="35"/>
      <c r="D13" s="104" t="str">
        <f aca="false">IFERROR(IF(C13=0,"",C13/C$11),"")</f>
        <v/>
      </c>
      <c r="E13" s="35"/>
      <c r="F13" s="104" t="str">
        <f aca="false">IFERROR(IF(E13=0,"",E13/E$11),"")</f>
        <v/>
      </c>
      <c r="G13" s="35"/>
      <c r="H13" s="104" t="str">
        <f aca="false">IFERROR(IF(G13=0,"",G13/G$11),"")</f>
        <v/>
      </c>
      <c r="I13" s="35"/>
      <c r="J13" s="104" t="str">
        <f aca="false">IFERROR(IF(I13=0,"",I13/I$11),"")</f>
        <v/>
      </c>
      <c r="K13" s="35"/>
      <c r="L13" s="104" t="str">
        <f aca="false">IFERROR(IF(K13=0,"",K13/K$11),"")</f>
        <v/>
      </c>
    </row>
    <row r="14" customFormat="false" ht="22.5" hidden="false" customHeight="true" outlineLevel="0" collapsed="false">
      <c r="B14" s="105"/>
      <c r="C14" s="35"/>
      <c r="D14" s="104" t="str">
        <f aca="false">IFERROR(IF(C14=0,"",C14/C$11),"")</f>
        <v/>
      </c>
      <c r="E14" s="35"/>
      <c r="F14" s="104" t="str">
        <f aca="false">IFERROR(IF(E14=0,"",E14/E$11),"")</f>
        <v/>
      </c>
      <c r="G14" s="35"/>
      <c r="H14" s="104" t="str">
        <f aca="false">IFERROR(IF(G14=0,"",G14/G$11),"")</f>
        <v/>
      </c>
      <c r="I14" s="35"/>
      <c r="J14" s="104" t="str">
        <f aca="false">IFERROR(IF(I14=0,"",I14/I$11),"")</f>
        <v/>
      </c>
      <c r="K14" s="35"/>
      <c r="L14" s="104" t="str">
        <f aca="false">IFERROR(IF(K14=0,"",K14/K$11),"")</f>
        <v/>
      </c>
    </row>
    <row r="15" customFormat="false" ht="22.5" hidden="false" customHeight="true" outlineLevel="0" collapsed="false">
      <c r="B15" s="105"/>
      <c r="C15" s="35"/>
      <c r="D15" s="104" t="str">
        <f aca="false">IFERROR(IF(C15=0,"",C15/C$11),"")</f>
        <v/>
      </c>
      <c r="E15" s="35"/>
      <c r="F15" s="104" t="str">
        <f aca="false">IFERROR(IF(E15=0,"",E15/E$11),"")</f>
        <v/>
      </c>
      <c r="G15" s="35"/>
      <c r="H15" s="104" t="str">
        <f aca="false">IFERROR(IF(G15=0,"",G15/G$11),"")</f>
        <v/>
      </c>
      <c r="I15" s="35"/>
      <c r="J15" s="104" t="str">
        <f aca="false">IFERROR(IF(I15=0,"",I15/I$11),"")</f>
        <v/>
      </c>
      <c r="K15" s="35"/>
      <c r="L15" s="104" t="str">
        <f aca="false">IFERROR(IF(K15=0,"",K15/K$11),"")</f>
        <v/>
      </c>
    </row>
    <row r="16" customFormat="false" ht="22.5" hidden="false" customHeight="true" outlineLevel="0" collapsed="false">
      <c r="B16" s="114" t="s">
        <v>89</v>
      </c>
      <c r="C16" s="115" t="n">
        <f aca="false">SUM(C12:C15)</f>
        <v>353076486</v>
      </c>
      <c r="D16" s="116" t="n">
        <f aca="false">IFERROR(IF(C16=0,"",C16/C$11),"")</f>
        <v>0.988690099318196</v>
      </c>
      <c r="E16" s="115" t="n">
        <f aca="false">SUM(E12:E15)</f>
        <v>264751125</v>
      </c>
      <c r="F16" s="116" t="n">
        <f aca="false">IFERROR(IF(E16=0,"",E16/E$11),"")</f>
        <v>1.07686192031173</v>
      </c>
      <c r="G16" s="115" t="n">
        <f aca="false">SUM(G12:G15)</f>
        <v>273790092</v>
      </c>
      <c r="H16" s="116" t="n">
        <f aca="false">IFERROR(IF(G16=0,"",G16/G$11),"")</f>
        <v>0.980294100877876</v>
      </c>
      <c r="I16" s="115" t="n">
        <f aca="false">SUM(I12:I15)</f>
        <v>0</v>
      </c>
      <c r="J16" s="116" t="str">
        <f aca="false">IFERROR(IF(I16=0,"",I16/I$11),"")</f>
        <v/>
      </c>
      <c r="K16" s="115" t="n">
        <f aca="false">SUM(K12:K15)</f>
        <v>52337050</v>
      </c>
      <c r="L16" s="116" t="n">
        <f aca="false">IFERROR(IF(K16=0,"",K16/K$11),"")</f>
        <v>0.961337188499276</v>
      </c>
    </row>
    <row r="17" customFormat="false" ht="22.5" hidden="false" customHeight="true" outlineLevel="0" collapsed="false">
      <c r="B17" s="110" t="s">
        <v>90</v>
      </c>
      <c r="C17" s="111" t="n">
        <f aca="false">C11-C16</f>
        <v>4038940</v>
      </c>
      <c r="D17" s="112" t="n">
        <f aca="false">IFERROR(IF(C17=0,"",C17/C$11),"")</f>
        <v>0.0113099006818036</v>
      </c>
      <c r="E17" s="111" t="n">
        <f aca="false">E11-E16</f>
        <v>-18896833</v>
      </c>
      <c r="F17" s="112" t="n">
        <f aca="false">IFERROR(IF(E17=0,"",E17/E$11),"")</f>
        <v>-0.0768619203117268</v>
      </c>
      <c r="G17" s="111" t="n">
        <f aca="false">G11-G16</f>
        <v>5503736</v>
      </c>
      <c r="H17" s="112" t="n">
        <f aca="false">IFERROR(IF(G17=0,"",G17/G$11),"")</f>
        <v>0.0197058991221245</v>
      </c>
      <c r="I17" s="111" t="n">
        <f aca="false">I11-I16</f>
        <v>0</v>
      </c>
      <c r="J17" s="112" t="str">
        <f aca="false">IFERROR(IF(I17=0,"",I17/I$11),"")</f>
        <v/>
      </c>
      <c r="K17" s="111" t="n">
        <f aca="false">K11-K16</f>
        <v>2104878</v>
      </c>
      <c r="L17" s="112" t="n">
        <f aca="false">IFERROR(IF(K17=0,"",K17/K$11),"")</f>
        <v>0.0386628115007242</v>
      </c>
    </row>
    <row r="18" customFormat="false" ht="22.5" hidden="false" customHeight="true" outlineLevel="0" collapsed="false">
      <c r="B18" s="114" t="s">
        <v>91</v>
      </c>
      <c r="C18" s="117" t="n">
        <f aca="false">SGA!C40</f>
        <v>19181720</v>
      </c>
      <c r="D18" s="118" t="n">
        <f aca="false">IFERROR(IF(C18=0,"",C18/C$11),"")</f>
        <v>0.0537129415406435</v>
      </c>
      <c r="E18" s="117" t="n">
        <f aca="false">SGA!E40</f>
        <v>19709676</v>
      </c>
      <c r="F18" s="118" t="n">
        <f aca="false">IFERROR(IF(E18=0,"",E18/E$11),"")</f>
        <v>0.080168118439844</v>
      </c>
      <c r="G18" s="117" t="n">
        <f aca="false">SGA!G40</f>
        <v>16503309</v>
      </c>
      <c r="H18" s="118" t="n">
        <f aca="false">IFERROR(IF(G18=0,"",G18/G$11),"")</f>
        <v>0.0590894153235638</v>
      </c>
      <c r="I18" s="117" t="n">
        <f aca="false">SGA!I40</f>
        <v>0</v>
      </c>
      <c r="J18" s="118" t="str">
        <f aca="false">IFERROR(IF(I18=0,"",I18/I$11),"")</f>
        <v/>
      </c>
      <c r="K18" s="117" t="n">
        <f aca="false">SGA!K40</f>
        <v>2494334</v>
      </c>
      <c r="L18" s="118" t="n">
        <f aca="false">IFERROR(IF(K18=0,"",K18/K$11),"")</f>
        <v>0.0458164156126139</v>
      </c>
    </row>
    <row r="19" customFormat="false" ht="22.5" hidden="false" customHeight="true" outlineLevel="0" collapsed="false">
      <c r="B19" s="110" t="s">
        <v>92</v>
      </c>
      <c r="C19" s="111" t="n">
        <f aca="false">C17- C18</f>
        <v>-15142780</v>
      </c>
      <c r="D19" s="112" t="n">
        <f aca="false">IFERROR(IF(C19=0,"",C19/C$11),"")</f>
        <v>-0.0424030408588399</v>
      </c>
      <c r="E19" s="111" t="n">
        <f aca="false">E17- E18</f>
        <v>-38606509</v>
      </c>
      <c r="F19" s="112" t="n">
        <f aca="false">IFERROR(IF(E19=0,"",E19/E$11),"")</f>
        <v>-0.157030038751571</v>
      </c>
      <c r="G19" s="111" t="n">
        <f aca="false">G17- G18</f>
        <v>-10999573</v>
      </c>
      <c r="H19" s="112" t="n">
        <f aca="false">IFERROR(IF(G19=0,"",G19/G$11),"")</f>
        <v>-0.0393835162014393</v>
      </c>
      <c r="I19" s="111" t="n">
        <f aca="false">I17- I18</f>
        <v>0</v>
      </c>
      <c r="J19" s="112" t="str">
        <f aca="false">IFERROR(IF(I19=0,"",I19/I$11),"")</f>
        <v/>
      </c>
      <c r="K19" s="111" t="n">
        <f aca="false">K17- K18</f>
        <v>-389456</v>
      </c>
      <c r="L19" s="112" t="n">
        <f aca="false">IFERROR(IF(K19=0,"",K19/K$11),"")</f>
        <v>-0.00715360411188965</v>
      </c>
    </row>
    <row r="20" customFormat="false" ht="22.5" hidden="false" customHeight="true" outlineLevel="0" collapsed="false">
      <c r="B20" s="114" t="s">
        <v>93</v>
      </c>
      <c r="C20" s="117" t="n">
        <f aca="false">SUM(C21:C27)</f>
        <v>10732792</v>
      </c>
      <c r="D20" s="118" t="n">
        <f aca="false">IFERROR(IF(C20=0,"",C20/C$11),"")</f>
        <v>0.0300541259732645</v>
      </c>
      <c r="E20" s="117" t="n">
        <f aca="false">SUM(E21:E27)</f>
        <v>10819186</v>
      </c>
      <c r="F20" s="118" t="n">
        <f aca="false">IFERROR(IF(E20=0,"",E20/E$11),"")</f>
        <v>0.0440064963356426</v>
      </c>
      <c r="G20" s="117" t="n">
        <f aca="false">SUM(G21:G27)</f>
        <v>622946</v>
      </c>
      <c r="H20" s="118" t="n">
        <f aca="false">IFERROR(IF(G20=0,"",G20/G$11),"")</f>
        <v>0.00223043238893199</v>
      </c>
      <c r="I20" s="117" t="n">
        <f aca="false">SUM(I21:I27)</f>
        <v>0</v>
      </c>
      <c r="J20" s="118" t="str">
        <f aca="false">IFERROR(IF(I20=0,"",I20/I$11),"")</f>
        <v/>
      </c>
      <c r="K20" s="117" t="n">
        <f aca="false">SUM(K21:K27)</f>
        <v>221841</v>
      </c>
      <c r="L20" s="118" t="n">
        <f aca="false">IFERROR(IF(K20=0,"",K20/K$11),"")</f>
        <v>0.00407481895204005</v>
      </c>
    </row>
    <row r="21" customFormat="false" ht="22.5" hidden="false" customHeight="true" outlineLevel="0" collapsed="false">
      <c r="B21" s="119" t="s">
        <v>94</v>
      </c>
      <c r="C21" s="35" t="n">
        <v>43</v>
      </c>
      <c r="D21" s="104" t="n">
        <f aca="false">IFERROR(IF(C21=0,"",C21/C$11),"")</f>
        <v>1.20409248297216E-007</v>
      </c>
      <c r="E21" s="35" t="n">
        <v>5450</v>
      </c>
      <c r="F21" s="104" t="n">
        <f aca="false">IFERROR(IF(E21=0,"",E21/E$11),"")</f>
        <v>2.21676016133979E-005</v>
      </c>
      <c r="G21" s="35" t="n">
        <v>6173</v>
      </c>
      <c r="H21" s="104" t="n">
        <f aca="false">IFERROR(IF(G21=0,"",G21/G$11),"")</f>
        <v>2.21021711944168E-005</v>
      </c>
      <c r="I21" s="35"/>
      <c r="J21" s="104" t="str">
        <f aca="false">IFERROR(IF(I21=0,"",I21/I$11),"")</f>
        <v/>
      </c>
      <c r="K21" s="35" t="n">
        <v>0</v>
      </c>
      <c r="L21" s="104" t="str">
        <f aca="false">IFERROR(IF(K21=0,"",K21/K$11),"")</f>
        <v/>
      </c>
    </row>
    <row r="22" customFormat="false" ht="22.5" hidden="false" customHeight="true" outlineLevel="0" collapsed="false">
      <c r="B22" s="120" t="s">
        <v>95</v>
      </c>
      <c r="C22" s="35" t="n">
        <v>1500</v>
      </c>
      <c r="D22" s="104" t="n">
        <f aca="false">IFERROR(IF(C22=0,"",C22/C$11),"")</f>
        <v>4.20032261501916E-006</v>
      </c>
      <c r="E22" s="35" t="n">
        <v>1500</v>
      </c>
      <c r="F22" s="104" t="n">
        <f aca="false">IFERROR(IF(E22=0,"",E22/E$11),"")</f>
        <v>6.10117475598108E-006</v>
      </c>
      <c r="G22" s="35" t="n">
        <v>1500</v>
      </c>
      <c r="H22" s="104" t="n">
        <f aca="false">IFERROR(IF(G22=0,"",G22/G$11),"")</f>
        <v>5.37068796235626E-006</v>
      </c>
      <c r="I22" s="35"/>
      <c r="J22" s="104" t="str">
        <f aca="false">IFERROR(IF(I22=0,"",I22/I$11),"")</f>
        <v/>
      </c>
      <c r="K22" s="35" t="n">
        <v>1194</v>
      </c>
      <c r="L22" s="104" t="n">
        <f aca="false">IFERROR(IF(K22=0,"",K22/K$11),"")</f>
        <v>2.19316259336003E-005</v>
      </c>
    </row>
    <row r="23" customFormat="false" ht="22.5" hidden="false" customHeight="true" outlineLevel="0" collapsed="false">
      <c r="B23" s="120" t="s">
        <v>96</v>
      </c>
      <c r="C23" s="106" t="n">
        <v>731249</v>
      </c>
      <c r="D23" s="107" t="n">
        <f aca="false">IFERROR(IF(C23=0,"",C23/C$11),"")</f>
        <v>0.00204765447460676</v>
      </c>
      <c r="E23" s="106" t="n">
        <v>811865</v>
      </c>
      <c r="F23" s="107" t="n">
        <f aca="false">IFERROR(IF(E23=0,"",E23/E$11),"")</f>
        <v>0.00330222016217638</v>
      </c>
      <c r="G23" s="106" t="n">
        <v>615273</v>
      </c>
      <c r="H23" s="107" t="n">
        <f aca="false">IFERROR(IF(G23=0,"",G23/G$11),"")</f>
        <v>0.00220295952977522</v>
      </c>
      <c r="I23" s="35"/>
      <c r="J23" s="104" t="str">
        <f aca="false">IFERROR(IF(I23=0,"",I23/I$11),"")</f>
        <v/>
      </c>
      <c r="K23" s="106" t="n">
        <v>220647</v>
      </c>
      <c r="L23" s="107" t="n">
        <f aca="false">IFERROR(IF(K23=0,"",K23/K$11),"")</f>
        <v>0.00405288732610645</v>
      </c>
    </row>
    <row r="24" customFormat="false" ht="22.5" hidden="false" customHeight="true" outlineLevel="0" collapsed="false">
      <c r="B24" s="120" t="s">
        <v>97</v>
      </c>
      <c r="C24" s="35" t="n">
        <v>10000000</v>
      </c>
      <c r="D24" s="104" t="n">
        <f aca="false">IFERROR(IF(C24=0,"",C24/C$11),"")</f>
        <v>0.0280021507667944</v>
      </c>
      <c r="E24" s="35" t="n">
        <v>10000000</v>
      </c>
      <c r="F24" s="104" t="n">
        <f aca="false">IFERROR(IF(E24=0,"",E24/E$11),"")</f>
        <v>0.0406744983732072</v>
      </c>
      <c r="G24" s="35" t="n">
        <v>0</v>
      </c>
      <c r="H24" s="104" t="str">
        <f aca="false">IFERROR(IF(G24=0,"",G24/G$11),"")</f>
        <v/>
      </c>
      <c r="I24" s="35"/>
      <c r="J24" s="104" t="str">
        <f aca="false">IFERROR(IF(I24=0,"",I24/I$11),"")</f>
        <v/>
      </c>
      <c r="K24" s="35" t="n">
        <v>0</v>
      </c>
      <c r="L24" s="104" t="str">
        <f aca="false">IFERROR(IF(K24=0,"",K24/K$11),"")</f>
        <v/>
      </c>
    </row>
    <row r="25" customFormat="false" ht="22.5" hidden="false" customHeight="true" outlineLevel="0" collapsed="false">
      <c r="B25" s="120" t="s">
        <v>98</v>
      </c>
      <c r="C25" s="35" t="n">
        <v>0</v>
      </c>
      <c r="D25" s="104" t="str">
        <f aca="false">IFERROR(IF(C25=0,"",C25/C$11),"")</f>
        <v/>
      </c>
      <c r="E25" s="35" t="n">
        <v>371</v>
      </c>
      <c r="F25" s="104" t="n">
        <f aca="false">IFERROR(IF(E25=0,"",E25/E$11),"")</f>
        <v>1.50902388964599E-006</v>
      </c>
      <c r="G25" s="35" t="n">
        <v>0</v>
      </c>
      <c r="H25" s="104" t="str">
        <f aca="false">IFERROR(IF(G25=0,"",G25/G$11),"")</f>
        <v/>
      </c>
      <c r="I25" s="35"/>
      <c r="J25" s="104" t="str">
        <f aca="false">IFERROR(IF(I25=0,"",I25/I$11),"")</f>
        <v/>
      </c>
      <c r="K25" s="35" t="n">
        <v>0</v>
      </c>
      <c r="L25" s="104" t="str">
        <f aca="false">IFERROR(IF(K25=0,"",K25/K$11),"")</f>
        <v/>
      </c>
    </row>
    <row r="26" customFormat="false" ht="22.5" hidden="false" customHeight="true" outlineLevel="0" collapsed="false">
      <c r="B26" s="120"/>
      <c r="C26" s="35"/>
      <c r="D26" s="104" t="str">
        <f aca="false">IFERROR(IF(C26=0,"",C26/C$11),"")</f>
        <v/>
      </c>
      <c r="E26" s="35"/>
      <c r="F26" s="104" t="str">
        <f aca="false">IFERROR(IF(E26=0,"",E26/E$11),"")</f>
        <v/>
      </c>
      <c r="G26" s="35"/>
      <c r="H26" s="104" t="str">
        <f aca="false">IFERROR(IF(G26=0,"",G26/G$11),"")</f>
        <v/>
      </c>
      <c r="I26" s="35"/>
      <c r="J26" s="104" t="str">
        <f aca="false">IFERROR(IF(I26=0,"",I26/I$11),"")</f>
        <v/>
      </c>
      <c r="K26" s="35"/>
      <c r="L26" s="104" t="str">
        <f aca="false">IFERROR(IF(K26=0,"",K26/K$11),"")</f>
        <v/>
      </c>
    </row>
    <row r="27" customFormat="false" ht="22.5" hidden="false" customHeight="true" outlineLevel="0" collapsed="false">
      <c r="B27" s="121"/>
      <c r="C27" s="37"/>
      <c r="D27" s="109" t="str">
        <f aca="false">IFERROR(IF(C27=0,"",C27/C$11),"")</f>
        <v/>
      </c>
      <c r="E27" s="37"/>
      <c r="F27" s="109" t="str">
        <f aca="false">IFERROR(IF(E27=0,"",E27/E$11),"")</f>
        <v/>
      </c>
      <c r="G27" s="37"/>
      <c r="H27" s="109" t="str">
        <f aca="false">IFERROR(IF(G27=0,"",G27/G$11),"")</f>
        <v/>
      </c>
      <c r="I27" s="37"/>
      <c r="J27" s="109" t="str">
        <f aca="false">IFERROR(IF(I27=0,"",I27/I$11),"")</f>
        <v/>
      </c>
      <c r="K27" s="37"/>
      <c r="L27" s="109" t="str">
        <f aca="false">IFERROR(IF(K27=0,"",K27/K$11),"")</f>
        <v/>
      </c>
    </row>
    <row r="28" customFormat="false" ht="22.5" hidden="false" customHeight="true" outlineLevel="0" collapsed="false">
      <c r="B28" s="114" t="s">
        <v>99</v>
      </c>
      <c r="C28" s="117" t="n">
        <f aca="false">SUM(C29:C35)</f>
        <v>0</v>
      </c>
      <c r="D28" s="118" t="str">
        <f aca="false">IFERROR(IF(C28=0,"",C28/C$11),"")</f>
        <v/>
      </c>
      <c r="E28" s="117" t="n">
        <f aca="false">SUM(E29:E35)</f>
        <v>491887</v>
      </c>
      <c r="F28" s="118" t="n">
        <f aca="false">IFERROR(IF(E28=0,"",E28/E$11),"")</f>
        <v>0.00200072569813018</v>
      </c>
      <c r="G28" s="117" t="n">
        <f aca="false">SUM(G29:G35)</f>
        <v>885457</v>
      </c>
      <c r="H28" s="118" t="n">
        <f aca="false">IFERROR(IF(G28=0,"",G28/G$11),"")</f>
        <v>0.00317034216738939</v>
      </c>
      <c r="I28" s="117" t="n">
        <f aca="false">SUM(I29:I35)</f>
        <v>0</v>
      </c>
      <c r="J28" s="118" t="str">
        <f aca="false">IFERROR(IF(I28=0,"",I28/I$11),"")</f>
        <v/>
      </c>
      <c r="K28" s="117" t="n">
        <f aca="false">SUM(K29:K35)</f>
        <v>117601</v>
      </c>
      <c r="L28" s="118" t="n">
        <f aca="false">IFERROR(IF(K28=0,"",K28/K$11),"")</f>
        <v>0.00216011820889223</v>
      </c>
    </row>
    <row r="29" customFormat="false" ht="22.5" hidden="false" customHeight="true" outlineLevel="0" collapsed="false">
      <c r="B29" s="119" t="s">
        <v>100</v>
      </c>
      <c r="C29" s="35" t="n">
        <v>0</v>
      </c>
      <c r="D29" s="104" t="str">
        <f aca="false">IFERROR(IF(C29=0,"",C29/C$11),"")</f>
        <v/>
      </c>
      <c r="E29" s="35" t="n">
        <v>491887</v>
      </c>
      <c r="F29" s="104" t="n">
        <f aca="false">IFERROR(IF(E29=0,"",E29/E$11),"")</f>
        <v>0.00200072569813018</v>
      </c>
      <c r="G29" s="35" t="n">
        <v>885457</v>
      </c>
      <c r="H29" s="104" t="n">
        <f aca="false">IFERROR(IF(G29=0,"",G29/G$11),"")</f>
        <v>0.00317034216738939</v>
      </c>
      <c r="I29" s="35"/>
      <c r="J29" s="104" t="str">
        <f aca="false">IFERROR(IF(I29=0,"",I29/I$11),"")</f>
        <v/>
      </c>
      <c r="K29" s="35" t="n">
        <v>117601</v>
      </c>
      <c r="L29" s="104" t="n">
        <f aca="false">IFERROR(IF(K29=0,"",K29/K$11),"")</f>
        <v>0.00216011820889223</v>
      </c>
    </row>
    <row r="30" customFormat="false" ht="22.5" hidden="false" customHeight="true" outlineLevel="0" collapsed="false">
      <c r="B30" s="120"/>
      <c r="C30" s="106"/>
      <c r="D30" s="107" t="str">
        <f aca="false">IFERROR(IF(C30=0,"",C30/C$11),"")</f>
        <v/>
      </c>
      <c r="E30" s="106"/>
      <c r="F30" s="107" t="str">
        <f aca="false">IFERROR(IF(E30=0,"",E30/E$11),"")</f>
        <v/>
      </c>
      <c r="G30" s="106"/>
      <c r="H30" s="107" t="str">
        <f aca="false">IFERROR(IF(G30=0,"",G30/G$11),"")</f>
        <v/>
      </c>
      <c r="I30" s="35"/>
      <c r="J30" s="104" t="str">
        <f aca="false">IFERROR(IF(I30=0,"",I30/I$11),"")</f>
        <v/>
      </c>
      <c r="K30" s="106"/>
      <c r="L30" s="107" t="str">
        <f aca="false">IFERROR(IF(K30=0,"",K30/K$11),"")</f>
        <v/>
      </c>
    </row>
    <row r="31" customFormat="false" ht="22.5" hidden="false" customHeight="true" outlineLevel="0" collapsed="false">
      <c r="B31" s="120"/>
      <c r="C31" s="35"/>
      <c r="D31" s="104" t="str">
        <f aca="false">IFERROR(IF(C31=0,"",C31/C$11),"")</f>
        <v/>
      </c>
      <c r="E31" s="35"/>
      <c r="F31" s="104" t="str">
        <f aca="false">IFERROR(IF(E31=0,"",E31/E$11),"")</f>
        <v/>
      </c>
      <c r="G31" s="35"/>
      <c r="H31" s="104" t="str">
        <f aca="false">IFERROR(IF(G31=0,"",G31/G$11),"")</f>
        <v/>
      </c>
      <c r="I31" s="35"/>
      <c r="J31" s="104" t="str">
        <f aca="false">IFERROR(IF(I31=0,"",I31/I$11),"")</f>
        <v/>
      </c>
      <c r="K31" s="35"/>
      <c r="L31" s="104" t="str">
        <f aca="false">IFERROR(IF(K31=0,"",K31/K$11),"")</f>
        <v/>
      </c>
    </row>
    <row r="32" customFormat="false" ht="22.5" hidden="false" customHeight="true" outlineLevel="0" collapsed="false">
      <c r="B32" s="120"/>
      <c r="C32" s="35"/>
      <c r="D32" s="104" t="str">
        <f aca="false">IFERROR(IF(C32=0,"",C32/C$11),"")</f>
        <v/>
      </c>
      <c r="E32" s="35"/>
      <c r="F32" s="104" t="str">
        <f aca="false">IFERROR(IF(E32=0,"",E32/E$11),"")</f>
        <v/>
      </c>
      <c r="G32" s="35"/>
      <c r="H32" s="104" t="str">
        <f aca="false">IFERROR(IF(G32=0,"",G32/G$11),"")</f>
        <v/>
      </c>
      <c r="I32" s="35"/>
      <c r="J32" s="104" t="str">
        <f aca="false">IFERROR(IF(I32=0,"",I32/I$11),"")</f>
        <v/>
      </c>
      <c r="K32" s="35"/>
      <c r="L32" s="104" t="str">
        <f aca="false">IFERROR(IF(K32=0,"",K32/K$11),"")</f>
        <v/>
      </c>
    </row>
    <row r="33" customFormat="false" ht="22.5" hidden="false" customHeight="true" outlineLevel="0" collapsed="false">
      <c r="B33" s="120"/>
      <c r="C33" s="35"/>
      <c r="D33" s="104" t="str">
        <f aca="false">IFERROR(IF(C33=0,"",C33/C$11),"")</f>
        <v/>
      </c>
      <c r="E33" s="35"/>
      <c r="F33" s="104" t="str">
        <f aca="false">IFERROR(IF(E33=0,"",E33/E$11),"")</f>
        <v/>
      </c>
      <c r="G33" s="35"/>
      <c r="H33" s="104" t="str">
        <f aca="false">IFERROR(IF(G33=0,"",G33/G$11),"")</f>
        <v/>
      </c>
      <c r="I33" s="35"/>
      <c r="J33" s="104" t="str">
        <f aca="false">IFERROR(IF(I33=0,"",I33/I$11),"")</f>
        <v/>
      </c>
      <c r="K33" s="35"/>
      <c r="L33" s="104" t="str">
        <f aca="false">IFERROR(IF(K33=0,"",K33/K$11),"")</f>
        <v/>
      </c>
    </row>
    <row r="34" customFormat="false" ht="22.5" hidden="false" customHeight="true" outlineLevel="0" collapsed="false">
      <c r="B34" s="120"/>
      <c r="C34" s="35"/>
      <c r="D34" s="104" t="str">
        <f aca="false">IFERROR(IF(C34=0,"",C34/C$11),"")</f>
        <v/>
      </c>
      <c r="E34" s="35"/>
      <c r="F34" s="104" t="str">
        <f aca="false">IFERROR(IF(E34=0,"",E34/E$11),"")</f>
        <v/>
      </c>
      <c r="G34" s="35"/>
      <c r="H34" s="104" t="str">
        <f aca="false">IFERROR(IF(G34=0,"",G34/G$11),"")</f>
        <v/>
      </c>
      <c r="I34" s="35"/>
      <c r="J34" s="104" t="str">
        <f aca="false">IFERROR(IF(I34=0,"",I34/I$11),"")</f>
        <v/>
      </c>
      <c r="K34" s="35"/>
      <c r="L34" s="104" t="str">
        <f aca="false">IFERROR(IF(K34=0,"",K34/K$11),"")</f>
        <v/>
      </c>
    </row>
    <row r="35" customFormat="false" ht="22.5" hidden="false" customHeight="true" outlineLevel="0" collapsed="false">
      <c r="B35" s="121"/>
      <c r="C35" s="37"/>
      <c r="D35" s="109" t="str">
        <f aca="false">IFERROR(IF(C35=0,"",C35/C$11),"")</f>
        <v/>
      </c>
      <c r="E35" s="37"/>
      <c r="F35" s="109" t="str">
        <f aca="false">IFERROR(IF(E35=0,"",E35/E$11),"")</f>
        <v/>
      </c>
      <c r="G35" s="37"/>
      <c r="H35" s="109" t="str">
        <f aca="false">IFERROR(IF(G35=0,"",G35/G$11),"")</f>
        <v/>
      </c>
      <c r="I35" s="37"/>
      <c r="J35" s="109" t="str">
        <f aca="false">IFERROR(IF(I35=0,"",I35/I$11),"")</f>
        <v/>
      </c>
      <c r="K35" s="37"/>
      <c r="L35" s="109" t="str">
        <f aca="false">IFERROR(IF(K35=0,"",K35/K$11),"")</f>
        <v/>
      </c>
    </row>
    <row r="36" customFormat="false" ht="22.5" hidden="false" customHeight="true" outlineLevel="0" collapsed="false">
      <c r="B36" s="110" t="s">
        <v>101</v>
      </c>
      <c r="C36" s="111" t="n">
        <f aca="false">C19+C20-C28</f>
        <v>-4409988</v>
      </c>
      <c r="D36" s="112" t="n">
        <f aca="false">IFERROR(IF(C36=0,"",C36/C$11),"")</f>
        <v>-0.0123489148855754</v>
      </c>
      <c r="E36" s="111" t="n">
        <f aca="false">E19+E20-E28</f>
        <v>-28279210</v>
      </c>
      <c r="F36" s="112" t="n">
        <f aca="false">IFERROR(IF(E36=0,"",E36/E$11),"")</f>
        <v>-0.115024268114058</v>
      </c>
      <c r="G36" s="111" t="n">
        <f aca="false">G19+G20-G28</f>
        <v>-11262084</v>
      </c>
      <c r="H36" s="112" t="n">
        <f aca="false">IFERROR(IF(G36=0,"",G36/G$11),"")</f>
        <v>-0.0403234259798967</v>
      </c>
      <c r="I36" s="111" t="n">
        <f aca="false">I19+I20-I28</f>
        <v>0</v>
      </c>
      <c r="J36" s="112" t="str">
        <f aca="false">IFERROR(IF(I36=0,"",I36/I$11),"")</f>
        <v/>
      </c>
      <c r="K36" s="111" t="n">
        <f aca="false">K19+K20-K28</f>
        <v>-285216</v>
      </c>
      <c r="L36" s="112" t="n">
        <f aca="false">IFERROR(IF(K36=0,"",K36/K$11),"")</f>
        <v>-0.00523890336874183</v>
      </c>
    </row>
    <row r="37" customFormat="false" ht="22.5" hidden="false" customHeight="true" outlineLevel="0" collapsed="false">
      <c r="B37" s="114" t="s">
        <v>102</v>
      </c>
      <c r="C37" s="115" t="n">
        <f aca="false">SUM(C38:C43)</f>
        <v>0</v>
      </c>
      <c r="D37" s="116" t="str">
        <f aca="false">IFERROR(IF(C37=0,"",C37/C$11),"")</f>
        <v/>
      </c>
      <c r="E37" s="115" t="n">
        <f aca="false">SUM(E38:E43)</f>
        <v>0</v>
      </c>
      <c r="F37" s="116" t="str">
        <f aca="false">IFERROR(IF(E37=0,"",E37/E$11),"")</f>
        <v/>
      </c>
      <c r="G37" s="115" t="n">
        <f aca="false">SUM(G38:G43)</f>
        <v>0</v>
      </c>
      <c r="H37" s="116" t="str">
        <f aca="false">IFERROR(IF(G37=0,"",G37/G$11),"")</f>
        <v/>
      </c>
      <c r="I37" s="115" t="n">
        <f aca="false">SUM(I38:I43)</f>
        <v>0</v>
      </c>
      <c r="J37" s="116" t="str">
        <f aca="false">IFERROR(IF(I37=0,"",I37/I$11),"")</f>
        <v/>
      </c>
      <c r="K37" s="115" t="n">
        <f aca="false">SUM(K38:K43)</f>
        <v>0</v>
      </c>
      <c r="L37" s="116" t="str">
        <f aca="false">IFERROR(IF(K37=0,"",K37/K$11),"")</f>
        <v/>
      </c>
    </row>
    <row r="38" customFormat="false" ht="22.5" hidden="false" customHeight="true" outlineLevel="0" collapsed="false">
      <c r="B38" s="120"/>
      <c r="C38" s="35"/>
      <c r="D38" s="122" t="str">
        <f aca="false">IFERROR(IF(C38=0,"",C38/C$11),"")</f>
        <v/>
      </c>
      <c r="E38" s="123"/>
      <c r="F38" s="122" t="str">
        <f aca="false">IFERROR(IF(E38=0,"",E38/E$11),"")</f>
        <v/>
      </c>
      <c r="G38" s="123"/>
      <c r="H38" s="122" t="str">
        <f aca="false">IFERROR(IF(G38=0,"",G38/G$11),"")</f>
        <v/>
      </c>
      <c r="I38" s="35"/>
      <c r="J38" s="104" t="str">
        <f aca="false">IFERROR(IF(I38=0,"",I38/I$11),"")</f>
        <v/>
      </c>
      <c r="K38" s="123"/>
      <c r="L38" s="122" t="str">
        <f aca="false">IFERROR(IF(K38=0,"",K38/K$11),"")</f>
        <v/>
      </c>
    </row>
    <row r="39" customFormat="false" ht="22.5" hidden="false" customHeight="true" outlineLevel="0" collapsed="false">
      <c r="B39" s="120"/>
      <c r="C39" s="35"/>
      <c r="D39" s="104" t="str">
        <f aca="false">IFERROR(IF(C39=0,"",C39/C$11),"")</f>
        <v/>
      </c>
      <c r="E39" s="35"/>
      <c r="F39" s="104" t="str">
        <f aca="false">IFERROR(IF(E39=0,"",E39/E$11),"")</f>
        <v/>
      </c>
      <c r="G39" s="35"/>
      <c r="H39" s="104" t="str">
        <f aca="false">IFERROR(IF(G39=0,"",G39/G$11),"")</f>
        <v/>
      </c>
      <c r="I39" s="35"/>
      <c r="J39" s="104" t="str">
        <f aca="false">IFERROR(IF(I39=0,"",I39/I$11),"")</f>
        <v/>
      </c>
      <c r="K39" s="35"/>
      <c r="L39" s="104" t="str">
        <f aca="false">IFERROR(IF(K39=0,"",K39/K$11),"")</f>
        <v/>
      </c>
    </row>
    <row r="40" customFormat="false" ht="22.5" hidden="false" customHeight="true" outlineLevel="0" collapsed="false">
      <c r="B40" s="120"/>
      <c r="C40" s="35"/>
      <c r="D40" s="104" t="str">
        <f aca="false">IFERROR(IF(C40=0,"",C40/C$11),"")</f>
        <v/>
      </c>
      <c r="E40" s="35"/>
      <c r="F40" s="104" t="str">
        <f aca="false">IFERROR(IF(E40=0,"",E40/E$11),"")</f>
        <v/>
      </c>
      <c r="G40" s="35"/>
      <c r="H40" s="104" t="str">
        <f aca="false">IFERROR(IF(G40=0,"",G40/G$11),"")</f>
        <v/>
      </c>
      <c r="I40" s="35"/>
      <c r="J40" s="104" t="str">
        <f aca="false">IFERROR(IF(I40=0,"",I40/I$11),"")</f>
        <v/>
      </c>
      <c r="K40" s="35"/>
      <c r="L40" s="104" t="str">
        <f aca="false">IFERROR(IF(K40=0,"",K40/K$11),"")</f>
        <v/>
      </c>
    </row>
    <row r="41" customFormat="false" ht="22.5" hidden="false" customHeight="true" outlineLevel="0" collapsed="false">
      <c r="B41" s="120"/>
      <c r="C41" s="35"/>
      <c r="D41" s="104" t="str">
        <f aca="false">IFERROR(IF(C41=0,"",C41/C$11),"")</f>
        <v/>
      </c>
      <c r="E41" s="35"/>
      <c r="F41" s="104" t="str">
        <f aca="false">IFERROR(IF(E41=0,"",E41/E$11),"")</f>
        <v/>
      </c>
      <c r="G41" s="35"/>
      <c r="H41" s="104" t="str">
        <f aca="false">IFERROR(IF(G41=0,"",G41/G$11),"")</f>
        <v/>
      </c>
      <c r="I41" s="35"/>
      <c r="J41" s="104" t="str">
        <f aca="false">IFERROR(IF(I41=0,"",I41/I$11),"")</f>
        <v/>
      </c>
      <c r="K41" s="35"/>
      <c r="L41" s="104" t="str">
        <f aca="false">IFERROR(IF(K41=0,"",K41/K$11),"")</f>
        <v/>
      </c>
    </row>
    <row r="42" customFormat="false" ht="22.5" hidden="false" customHeight="true" outlineLevel="0" collapsed="false">
      <c r="B42" s="120"/>
      <c r="C42" s="35"/>
      <c r="D42" s="104" t="str">
        <f aca="false">IFERROR(IF(C42=0,"",C42/C$11),"")</f>
        <v/>
      </c>
      <c r="E42" s="35"/>
      <c r="F42" s="104" t="str">
        <f aca="false">IFERROR(IF(E42=0,"",E42/E$11),"")</f>
        <v/>
      </c>
      <c r="G42" s="35"/>
      <c r="H42" s="104" t="str">
        <f aca="false">IFERROR(IF(G42=0,"",G42/G$11),"")</f>
        <v/>
      </c>
      <c r="I42" s="35"/>
      <c r="J42" s="104" t="str">
        <f aca="false">IFERROR(IF(I42=0,"",I42/I$11),"")</f>
        <v/>
      </c>
      <c r="K42" s="35"/>
      <c r="L42" s="104" t="str">
        <f aca="false">IFERROR(IF(K42=0,"",K42/K$11),"")</f>
        <v/>
      </c>
    </row>
    <row r="43" customFormat="false" ht="22.5" hidden="false" customHeight="true" outlineLevel="0" collapsed="false">
      <c r="B43" s="121"/>
      <c r="C43" s="37"/>
      <c r="D43" s="109" t="str">
        <f aca="false">IFERROR(IF(C43=0,"",C43/C$11),"")</f>
        <v/>
      </c>
      <c r="E43" s="37"/>
      <c r="F43" s="109" t="str">
        <f aca="false">IFERROR(IF(E43=0,"",E43/E$11),"")</f>
        <v/>
      </c>
      <c r="G43" s="37"/>
      <c r="H43" s="109" t="str">
        <f aca="false">IFERROR(IF(G43=0,"",G43/G$11),"")</f>
        <v/>
      </c>
      <c r="I43" s="37"/>
      <c r="J43" s="109" t="str">
        <f aca="false">IFERROR(IF(I43=0,"",I43/I$11),"")</f>
        <v/>
      </c>
      <c r="K43" s="37"/>
      <c r="L43" s="109" t="str">
        <f aca="false">IFERROR(IF(K43=0,"",K43/K$11),"")</f>
        <v/>
      </c>
    </row>
    <row r="44" customFormat="false" ht="22.5" hidden="false" customHeight="true" outlineLevel="0" collapsed="false">
      <c r="B44" s="114" t="s">
        <v>103</v>
      </c>
      <c r="C44" s="115" t="n">
        <f aca="false">SUM(C45:C50)</f>
        <v>0</v>
      </c>
      <c r="D44" s="118" t="str">
        <f aca="false">IFERROR(IF(C44=0,"",C44/C$11),"")</f>
        <v/>
      </c>
      <c r="E44" s="115" t="n">
        <f aca="false">SUM(E45:E50)</f>
        <v>0</v>
      </c>
      <c r="F44" s="118" t="str">
        <f aca="false">IFERROR(IF(E44=0,"",E44/E$11),"")</f>
        <v/>
      </c>
      <c r="G44" s="115" t="n">
        <f aca="false">SUM(G45:G50)</f>
        <v>0</v>
      </c>
      <c r="H44" s="118" t="str">
        <f aca="false">IFERROR(IF(G44=0,"",G44/G$11),"")</f>
        <v/>
      </c>
      <c r="I44" s="115" t="n">
        <f aca="false">SUM(I45:I50)</f>
        <v>0</v>
      </c>
      <c r="J44" s="118" t="str">
        <f aca="false">IFERROR(IF(I44=0,"",I44/I$11),"")</f>
        <v/>
      </c>
      <c r="K44" s="115" t="n">
        <f aca="false">SUM(K45:K50)</f>
        <v>0</v>
      </c>
      <c r="L44" s="118" t="str">
        <f aca="false">IFERROR(IF(K44=0,"",K44/K$11),"")</f>
        <v/>
      </c>
    </row>
    <row r="45" customFormat="false" ht="22.5" hidden="false" customHeight="true" outlineLevel="0" collapsed="false">
      <c r="B45" s="119"/>
      <c r="C45" s="35"/>
      <c r="D45" s="104" t="str">
        <f aca="false">IFERROR(IF(C45=0,"",C45/C$11),"")</f>
        <v/>
      </c>
      <c r="E45" s="35"/>
      <c r="F45" s="104" t="str">
        <f aca="false">IFERROR(IF(E45=0,"",E45/E$11),"")</f>
        <v/>
      </c>
      <c r="G45" s="35"/>
      <c r="H45" s="104" t="str">
        <f aca="false">IFERROR(IF(G45=0,"",G45/G$11),"")</f>
        <v/>
      </c>
      <c r="I45" s="35"/>
      <c r="J45" s="104" t="str">
        <f aca="false">IFERROR(IF(I45=0,"",I45/I$11),"")</f>
        <v/>
      </c>
      <c r="K45" s="35"/>
      <c r="L45" s="104" t="str">
        <f aca="false">IFERROR(IF(K45=0,"",K45/K$11),"")</f>
        <v/>
      </c>
    </row>
    <row r="46" customFormat="false" ht="22.5" hidden="false" customHeight="true" outlineLevel="0" collapsed="false">
      <c r="B46" s="120"/>
      <c r="C46" s="35"/>
      <c r="D46" s="104" t="str">
        <f aca="false">IFERROR(IF(C46=0,"",C46/C$11),"")</f>
        <v/>
      </c>
      <c r="E46" s="35"/>
      <c r="F46" s="104" t="str">
        <f aca="false">IFERROR(IF(E46=0,"",E46/E$11),"")</f>
        <v/>
      </c>
      <c r="G46" s="35"/>
      <c r="H46" s="104" t="str">
        <f aca="false">IFERROR(IF(G46=0,"",G46/G$11),"")</f>
        <v/>
      </c>
      <c r="I46" s="35"/>
      <c r="J46" s="104" t="str">
        <f aca="false">IFERROR(IF(I46=0,"",I46/I$11),"")</f>
        <v/>
      </c>
      <c r="K46" s="35"/>
      <c r="L46" s="104" t="str">
        <f aca="false">IFERROR(IF(K46=0,"",K46/K$11),"")</f>
        <v/>
      </c>
    </row>
    <row r="47" customFormat="false" ht="22.5" hidden="false" customHeight="true" outlineLevel="0" collapsed="false">
      <c r="B47" s="120"/>
      <c r="C47" s="35"/>
      <c r="D47" s="104" t="str">
        <f aca="false">IFERROR(IF(C47=0,"",C47/C$11),"")</f>
        <v/>
      </c>
      <c r="E47" s="35"/>
      <c r="F47" s="104" t="str">
        <f aca="false">IFERROR(IF(E47=0,"",E47/E$11),"")</f>
        <v/>
      </c>
      <c r="G47" s="35"/>
      <c r="H47" s="104" t="str">
        <f aca="false">IFERROR(IF(G47=0,"",G47/G$11),"")</f>
        <v/>
      </c>
      <c r="I47" s="35"/>
      <c r="J47" s="104" t="str">
        <f aca="false">IFERROR(IF(I47=0,"",I47/I$11),"")</f>
        <v/>
      </c>
      <c r="K47" s="35"/>
      <c r="L47" s="104" t="str">
        <f aca="false">IFERROR(IF(K47=0,"",K47/K$11),"")</f>
        <v/>
      </c>
    </row>
    <row r="48" customFormat="false" ht="22.5" hidden="false" customHeight="true" outlineLevel="0" collapsed="false">
      <c r="B48" s="120"/>
      <c r="C48" s="35"/>
      <c r="D48" s="104" t="str">
        <f aca="false">IFERROR(IF(C48=0,"",C48/C$11),"")</f>
        <v/>
      </c>
      <c r="E48" s="35"/>
      <c r="F48" s="104" t="str">
        <f aca="false">IFERROR(IF(E48=0,"",E48/E$11),"")</f>
        <v/>
      </c>
      <c r="G48" s="35"/>
      <c r="H48" s="104" t="str">
        <f aca="false">IFERROR(IF(G48=0,"",G48/G$11),"")</f>
        <v/>
      </c>
      <c r="I48" s="35"/>
      <c r="J48" s="104" t="str">
        <f aca="false">IFERROR(IF(I48=0,"",I48/I$11),"")</f>
        <v/>
      </c>
      <c r="K48" s="35"/>
      <c r="L48" s="104" t="str">
        <f aca="false">IFERROR(IF(K48=0,"",K48/K$11),"")</f>
        <v/>
      </c>
    </row>
    <row r="49" customFormat="false" ht="22.5" hidden="false" customHeight="true" outlineLevel="0" collapsed="false">
      <c r="B49" s="120"/>
      <c r="C49" s="35"/>
      <c r="D49" s="104" t="str">
        <f aca="false">IFERROR(IF(C49=0,"",C49/C$11),"")</f>
        <v/>
      </c>
      <c r="E49" s="35"/>
      <c r="F49" s="104" t="str">
        <f aca="false">IFERROR(IF(E49=0,"",E49/E$11),"")</f>
        <v/>
      </c>
      <c r="G49" s="35"/>
      <c r="H49" s="104" t="str">
        <f aca="false">IFERROR(IF(G49=0,"",G49/G$11),"")</f>
        <v/>
      </c>
      <c r="I49" s="35"/>
      <c r="J49" s="104" t="str">
        <f aca="false">IFERROR(IF(I49=0,"",I49/I$11),"")</f>
        <v/>
      </c>
      <c r="K49" s="35"/>
      <c r="L49" s="104" t="str">
        <f aca="false">IFERROR(IF(K49=0,"",K49/K$11),"")</f>
        <v/>
      </c>
    </row>
    <row r="50" customFormat="false" ht="22.5" hidden="false" customHeight="true" outlineLevel="0" collapsed="false">
      <c r="B50" s="121"/>
      <c r="C50" s="37"/>
      <c r="D50" s="109" t="str">
        <f aca="false">IFERROR(IF(C50=0,"",C50/C$11),"")</f>
        <v/>
      </c>
      <c r="E50" s="37"/>
      <c r="F50" s="109" t="str">
        <f aca="false">IFERROR(IF(E50=0,"",E50/E$11),"")</f>
        <v/>
      </c>
      <c r="G50" s="37"/>
      <c r="H50" s="109" t="str">
        <f aca="false">IFERROR(IF(G50=0,"",G50/G$11),"")</f>
        <v/>
      </c>
      <c r="I50" s="37"/>
      <c r="J50" s="109" t="str">
        <f aca="false">IFERROR(IF(I50=0,"",I50/I$11),"")</f>
        <v/>
      </c>
      <c r="K50" s="37"/>
      <c r="L50" s="109" t="str">
        <f aca="false">IFERROR(IF(K50=0,"",K50/K$11),"")</f>
        <v/>
      </c>
    </row>
    <row r="51" customFormat="false" ht="22.5" hidden="false" customHeight="true" outlineLevel="0" collapsed="false">
      <c r="B51" s="110" t="s">
        <v>104</v>
      </c>
      <c r="C51" s="111" t="n">
        <f aca="false">C36+C37-C44</f>
        <v>-4409988</v>
      </c>
      <c r="D51" s="112" t="n">
        <f aca="false">IFERROR(IF(C51=0,"",C51/C$11),"")</f>
        <v>-0.0123489148855754</v>
      </c>
      <c r="E51" s="111" t="n">
        <f aca="false">E36+E37-E44</f>
        <v>-28279210</v>
      </c>
      <c r="F51" s="112" t="n">
        <f aca="false">IFERROR(IF(E51=0,"",E51/E$11),"")</f>
        <v>-0.115024268114058</v>
      </c>
      <c r="G51" s="111" t="n">
        <f aca="false">G36+G37-G44</f>
        <v>-11262084</v>
      </c>
      <c r="H51" s="112" t="n">
        <f aca="false">IFERROR(IF(G51=0,"",G51/G$11),"")</f>
        <v>-0.0403234259798967</v>
      </c>
      <c r="I51" s="111" t="n">
        <f aca="false">I36+I37-I44</f>
        <v>0</v>
      </c>
      <c r="J51" s="112" t="str">
        <f aca="false">IFERROR(IF(I51=0,"",I51/I$11),"")</f>
        <v/>
      </c>
      <c r="K51" s="111" t="n">
        <f aca="false">K36+K37-K44</f>
        <v>-285216</v>
      </c>
      <c r="L51" s="112" t="n">
        <f aca="false">IFERROR(IF(K51=0,"",K51/K$11),"")</f>
        <v>-0.00523890336874183</v>
      </c>
    </row>
    <row r="52" customFormat="false" ht="22.5" hidden="false" customHeight="true" outlineLevel="0" collapsed="false">
      <c r="B52" s="114" t="s">
        <v>105</v>
      </c>
      <c r="C52" s="115" t="n">
        <f aca="false">SUM(C53:C55)</f>
        <v>70000</v>
      </c>
      <c r="D52" s="116" t="n">
        <f aca="false">IFERROR(IF(C52=0,"",C52/C$11),"")</f>
        <v>0.000196015055367561</v>
      </c>
      <c r="E52" s="115" t="n">
        <f aca="false">SUM(E53:E55)</f>
        <v>70000</v>
      </c>
      <c r="F52" s="116" t="n">
        <f aca="false">IFERROR(IF(E52=0,"",E52/E$11),"")</f>
        <v>0.00028472148861245</v>
      </c>
      <c r="G52" s="115" t="n">
        <f aca="false">SUM(G53:G55)</f>
        <v>70000</v>
      </c>
      <c r="H52" s="116" t="n">
        <f aca="false">IFERROR(IF(G52=0,"",G52/G$11),"")</f>
        <v>0.000250632104909959</v>
      </c>
      <c r="I52" s="115" t="n">
        <f aca="false">SUM(I53:I55)</f>
        <v>0</v>
      </c>
      <c r="J52" s="116" t="str">
        <f aca="false">IFERROR(IF(I52=0,"",I52/I$11),"")</f>
        <v/>
      </c>
      <c r="K52" s="115" t="n">
        <f aca="false">SUM(K53:K55)</f>
        <v>0</v>
      </c>
      <c r="L52" s="116" t="str">
        <f aca="false">IFERROR(IF(K52=0,"",K52/K$11),"")</f>
        <v/>
      </c>
    </row>
    <row r="53" customFormat="false" ht="22.5" hidden="false" customHeight="true" outlineLevel="0" collapsed="false">
      <c r="B53" s="120" t="s">
        <v>106</v>
      </c>
      <c r="C53" s="123" t="n">
        <v>70000</v>
      </c>
      <c r="D53" s="122" t="n">
        <f aca="false">IFERROR(IF(C53=0,"",C53/C$11),"")</f>
        <v>0.000196015055367561</v>
      </c>
      <c r="E53" s="123" t="n">
        <v>70000</v>
      </c>
      <c r="F53" s="122" t="n">
        <f aca="false">IFERROR(IF(E53=0,"",E53/E$11),"")</f>
        <v>0.00028472148861245</v>
      </c>
      <c r="G53" s="123" t="n">
        <v>70000</v>
      </c>
      <c r="H53" s="122" t="n">
        <f aca="false">IFERROR(IF(G53=0,"",G53/G$11),"")</f>
        <v>0.000250632104909959</v>
      </c>
      <c r="I53" s="35"/>
      <c r="J53" s="104" t="str">
        <f aca="false">IFERROR(IF(I53=0,"",I53/I$11),"")</f>
        <v/>
      </c>
      <c r="K53" s="123" t="n">
        <v>0</v>
      </c>
      <c r="L53" s="122" t="str">
        <f aca="false">IFERROR(IF(K53=0,"",K53/K$11),"")</f>
        <v/>
      </c>
    </row>
    <row r="54" customFormat="false" ht="22.5" hidden="false" customHeight="true" outlineLevel="0" collapsed="false">
      <c r="B54" s="120"/>
      <c r="C54" s="35"/>
      <c r="D54" s="104" t="str">
        <f aca="false">IFERROR(IF(C54=0,"",C54/C$11),"")</f>
        <v/>
      </c>
      <c r="E54" s="35"/>
      <c r="F54" s="104" t="str">
        <f aca="false">IFERROR(IF(E54=0,"",E54/E$11),"")</f>
        <v/>
      </c>
      <c r="G54" s="35"/>
      <c r="H54" s="104" t="str">
        <f aca="false">IFERROR(IF(G54=0,"",G54/G$11),"")</f>
        <v/>
      </c>
      <c r="I54" s="35"/>
      <c r="J54" s="104" t="str">
        <f aca="false">IFERROR(IF(I54=0,"",I54/I$11),"")</f>
        <v/>
      </c>
      <c r="K54" s="35"/>
      <c r="L54" s="104" t="str">
        <f aca="false">IFERROR(IF(K54=0,"",K54/K$11),"")</f>
        <v/>
      </c>
    </row>
    <row r="55" customFormat="false" ht="22.5" hidden="false" customHeight="true" outlineLevel="0" collapsed="false">
      <c r="B55" s="124"/>
      <c r="C55" s="37"/>
      <c r="D55" s="109" t="str">
        <f aca="false">IFERROR(IF(C55=0,"",C55/C$11),"")</f>
        <v/>
      </c>
      <c r="E55" s="37"/>
      <c r="F55" s="109" t="str">
        <f aca="false">IFERROR(IF(E55=0,"",E55/E$11),"")</f>
        <v/>
      </c>
      <c r="G55" s="37"/>
      <c r="H55" s="109" t="str">
        <f aca="false">IFERROR(IF(G55=0,"",G55/G$11),"")</f>
        <v/>
      </c>
      <c r="I55" s="37"/>
      <c r="J55" s="109" t="str">
        <f aca="false">IFERROR(IF(I55=0,"",I55/I$11),"")</f>
        <v/>
      </c>
      <c r="K55" s="37"/>
      <c r="L55" s="109" t="str">
        <f aca="false">IFERROR(IF(K55=0,"",K55/K$11),"")</f>
        <v/>
      </c>
    </row>
    <row r="56" customFormat="false" ht="22.5" hidden="false" customHeight="true" outlineLevel="0" collapsed="false">
      <c r="B56" s="110" t="s">
        <v>107</v>
      </c>
      <c r="C56" s="111" t="n">
        <f aca="false">C51-C52</f>
        <v>-4479988</v>
      </c>
      <c r="D56" s="112" t="n">
        <f aca="false">IFERROR(IF(C56=0,"",C56/C$11),"")</f>
        <v>-0.012544929940943</v>
      </c>
      <c r="E56" s="111" t="n">
        <f aca="false">E51-E52</f>
        <v>-28349210</v>
      </c>
      <c r="F56" s="112" t="n">
        <f aca="false">IFERROR(IF(E56=0,"",E56/E$11),"")</f>
        <v>-0.115308989602671</v>
      </c>
      <c r="G56" s="111" t="n">
        <f aca="false">G51-G52</f>
        <v>-11332084</v>
      </c>
      <c r="H56" s="112" t="n">
        <f aca="false">IFERROR(IF(G56=0,"",G56/G$11),"")</f>
        <v>-0.0405740580848067</v>
      </c>
      <c r="I56" s="111" t="n">
        <f aca="false">I51-I52</f>
        <v>0</v>
      </c>
      <c r="J56" s="112" t="str">
        <f aca="false">IFERROR(IF(I56=0,"",I56/I$11),"")</f>
        <v/>
      </c>
      <c r="K56" s="111" t="n">
        <f aca="false">K51-K52</f>
        <v>-285216</v>
      </c>
      <c r="L56" s="112" t="n">
        <f aca="false">IFERROR(IF(K56=0,"",K56/K$11),"")</f>
        <v>-0.00523890336874183</v>
      </c>
    </row>
    <row r="57" customFormat="false" ht="18" hidden="false" customHeight="false" outlineLevel="0" collapsed="false">
      <c r="B57" s="125" t="s">
        <v>108</v>
      </c>
      <c r="C57" s="43" t="n">
        <v>-4479988</v>
      </c>
      <c r="D57" s="126"/>
      <c r="E57" s="43" t="n">
        <v>-28349210</v>
      </c>
      <c r="F57" s="126"/>
      <c r="G57" s="43" t="n">
        <v>-11332084</v>
      </c>
      <c r="H57" s="127"/>
      <c r="I57" s="77"/>
      <c r="J57" s="126"/>
      <c r="K57" s="43" t="n">
        <v>-285216</v>
      </c>
      <c r="L57" s="126"/>
    </row>
    <row r="58" customFormat="false" ht="18" hidden="false" customHeight="false" outlineLevel="0" collapsed="false">
      <c r="C58" s="43" t="n">
        <f aca="false">ROUND(C56,0)=C57</f>
        <v>1</v>
      </c>
      <c r="D58" s="126"/>
      <c r="E58" s="43" t="n">
        <f aca="false">ROUND(E56,0)=E57</f>
        <v>1</v>
      </c>
      <c r="F58" s="126"/>
      <c r="G58" s="43" t="n">
        <f aca="false">ROUND(G56,0)=G57</f>
        <v>1</v>
      </c>
      <c r="H58" s="127"/>
      <c r="I58" s="77"/>
      <c r="J58" s="126"/>
      <c r="K58" s="43" t="n">
        <f aca="false">ROUND(K56,0)=K57</f>
        <v>1</v>
      </c>
      <c r="L58" s="126"/>
    </row>
    <row r="59" customFormat="false" ht="18" hidden="false" customHeight="false" outlineLevel="0" collapsed="false">
      <c r="B59" s="91" t="s">
        <v>109</v>
      </c>
      <c r="C59" s="43"/>
      <c r="D59" s="126"/>
      <c r="E59" s="43"/>
      <c r="F59" s="126"/>
      <c r="G59" s="43"/>
      <c r="H59" s="127"/>
      <c r="I59" s="77"/>
      <c r="J59" s="126"/>
      <c r="K59" s="43"/>
      <c r="L59" s="126"/>
    </row>
    <row r="60" customFormat="false" ht="18" hidden="false" customHeight="false" outlineLevel="0" collapsed="false">
      <c r="C60" s="43"/>
      <c r="D60" s="126"/>
      <c r="E60" s="43"/>
      <c r="F60" s="126"/>
      <c r="G60" s="43"/>
      <c r="H60" s="127"/>
      <c r="I60" s="77"/>
      <c r="J60" s="126"/>
      <c r="K60" s="43"/>
      <c r="L60" s="126"/>
    </row>
    <row r="61" customFormat="false" ht="18" hidden="false" customHeight="false" outlineLevel="0" collapsed="false">
      <c r="C61" s="43"/>
      <c r="D61" s="126"/>
      <c r="E61" s="43"/>
      <c r="F61" s="126"/>
      <c r="G61" s="43"/>
      <c r="H61" s="127"/>
      <c r="I61" s="77"/>
      <c r="J61" s="126"/>
      <c r="K61" s="43"/>
      <c r="L61" s="126"/>
    </row>
    <row r="62" customFormat="false" ht="18" hidden="false" customHeight="false" outlineLevel="0" collapsed="false">
      <c r="C62" s="43"/>
      <c r="D62" s="126"/>
      <c r="E62" s="43"/>
      <c r="F62" s="126"/>
      <c r="G62" s="43"/>
      <c r="H62" s="127"/>
      <c r="I62" s="77"/>
      <c r="J62" s="126"/>
      <c r="K62" s="43"/>
      <c r="L62" s="126"/>
    </row>
    <row r="63" customFormat="false" ht="18" hidden="false" customHeight="false" outlineLevel="0" collapsed="false">
      <c r="C63" s="43"/>
      <c r="D63" s="126"/>
      <c r="E63" s="43"/>
      <c r="F63" s="43"/>
      <c r="G63" s="43"/>
      <c r="H63" s="127"/>
      <c r="I63" s="77"/>
      <c r="J63" s="126"/>
      <c r="K63" s="43"/>
      <c r="L63" s="126"/>
    </row>
    <row r="64" customFormat="false" ht="18" hidden="false" customHeight="false" outlineLevel="0" collapsed="false">
      <c r="C64" s="43"/>
      <c r="D64" s="126"/>
      <c r="E64" s="43"/>
      <c r="F64" s="43"/>
      <c r="G64" s="43"/>
      <c r="H64" s="127"/>
      <c r="I64" s="77"/>
      <c r="J64" s="126"/>
      <c r="K64" s="43"/>
      <c r="L64" s="126"/>
    </row>
    <row r="65" customFormat="false" ht="18" hidden="false" customHeight="false" outlineLevel="0" collapsed="false">
      <c r="C65" s="43"/>
      <c r="D65" s="126"/>
      <c r="E65" s="43"/>
      <c r="F65" s="43"/>
      <c r="G65" s="43"/>
      <c r="H65" s="127"/>
      <c r="I65" s="77"/>
      <c r="J65" s="126"/>
      <c r="K65" s="43"/>
      <c r="L65" s="43"/>
    </row>
    <row r="66" customFormat="false" ht="18" hidden="false" customHeight="false" outlineLevel="0" collapsed="false">
      <c r="C66" s="43"/>
      <c r="D66" s="126"/>
      <c r="E66" s="43"/>
      <c r="F66" s="43"/>
      <c r="G66" s="43"/>
      <c r="H66" s="127"/>
      <c r="I66" s="77"/>
      <c r="J66" s="126"/>
      <c r="K66" s="43"/>
      <c r="L66" s="43"/>
    </row>
    <row r="67" customFormat="false" ht="18" hidden="false" customHeight="false" outlineLevel="0" collapsed="false">
      <c r="C67" s="43"/>
      <c r="D67" s="43"/>
      <c r="E67" s="43"/>
      <c r="F67" s="43"/>
      <c r="G67" s="43"/>
      <c r="H67" s="127"/>
      <c r="I67" s="77"/>
      <c r="J67" s="126"/>
      <c r="K67" s="43"/>
      <c r="L67" s="43"/>
    </row>
    <row r="68" customFormat="false" ht="18" hidden="false" customHeight="false" outlineLevel="0" collapsed="false">
      <c r="C68" s="43"/>
      <c r="D68" s="43"/>
      <c r="E68" s="43"/>
      <c r="F68" s="43"/>
      <c r="G68" s="43"/>
      <c r="H68" s="127"/>
      <c r="I68" s="77"/>
      <c r="J68" s="126"/>
      <c r="K68" s="43"/>
      <c r="L68" s="43"/>
    </row>
    <row r="69" customFormat="false" ht="18" hidden="false" customHeight="false" outlineLevel="0" collapsed="false">
      <c r="C69" s="43"/>
      <c r="D69" s="43"/>
      <c r="E69" s="43"/>
      <c r="F69" s="43"/>
      <c r="G69" s="43"/>
      <c r="H69" s="127"/>
      <c r="I69" s="77"/>
      <c r="J69" s="126"/>
      <c r="K69" s="43"/>
      <c r="L69" s="43"/>
    </row>
    <row r="70" customFormat="false" ht="18" hidden="false" customHeight="false" outlineLevel="0" collapsed="false">
      <c r="C70" s="43"/>
      <c r="D70" s="43"/>
      <c r="E70" s="43"/>
      <c r="F70" s="43"/>
      <c r="G70" s="43"/>
      <c r="H70" s="127"/>
      <c r="I70" s="77"/>
      <c r="J70" s="126"/>
      <c r="K70" s="43"/>
      <c r="L70" s="43"/>
    </row>
    <row r="71" customFormat="false" ht="18" hidden="false" customHeight="false" outlineLevel="0" collapsed="false">
      <c r="C71" s="43"/>
      <c r="D71" s="43"/>
      <c r="E71" s="43"/>
      <c r="F71" s="43"/>
      <c r="G71" s="43"/>
      <c r="H71" s="77"/>
      <c r="I71" s="77"/>
      <c r="J71" s="126"/>
      <c r="K71" s="43"/>
      <c r="L71" s="43"/>
    </row>
    <row r="72" customFormat="false" ht="18" hidden="false" customHeight="false" outlineLevel="0" collapsed="false">
      <c r="C72" s="43"/>
      <c r="D72" s="43"/>
      <c r="E72" s="43"/>
      <c r="F72" s="43"/>
      <c r="G72" s="43"/>
      <c r="H72" s="77"/>
      <c r="I72" s="77"/>
      <c r="J72" s="126"/>
      <c r="K72" s="43"/>
      <c r="L72" s="43"/>
    </row>
    <row r="73" customFormat="false" ht="18" hidden="false" customHeight="false" outlineLevel="0" collapsed="false">
      <c r="C73" s="43"/>
      <c r="D73" s="43"/>
      <c r="E73" s="43"/>
      <c r="F73" s="43"/>
      <c r="G73" s="43"/>
      <c r="H73" s="77"/>
      <c r="I73" s="77"/>
      <c r="J73" s="126"/>
      <c r="K73" s="43"/>
      <c r="L73" s="43"/>
    </row>
    <row r="74" customFormat="false" ht="18" hidden="false" customHeight="false" outlineLevel="0" collapsed="false">
      <c r="C74" s="43"/>
      <c r="D74" s="43"/>
      <c r="E74" s="43"/>
      <c r="F74" s="43"/>
      <c r="G74" s="43"/>
      <c r="H74" s="77"/>
      <c r="I74" s="77"/>
      <c r="J74" s="126"/>
      <c r="K74" s="43"/>
      <c r="L74" s="43"/>
    </row>
    <row r="75" customFormat="false" ht="18" hidden="false" customHeight="false" outlineLevel="0" collapsed="false">
      <c r="C75" s="43"/>
      <c r="D75" s="43"/>
      <c r="E75" s="43"/>
      <c r="F75" s="43"/>
      <c r="G75" s="43"/>
      <c r="H75" s="77"/>
      <c r="I75" s="77"/>
      <c r="J75" s="126"/>
      <c r="K75" s="43"/>
      <c r="L75" s="43"/>
    </row>
    <row r="76" customFormat="false" ht="18" hidden="false" customHeight="false" outlineLevel="0" collapsed="false">
      <c r="C76" s="43"/>
      <c r="D76" s="43"/>
      <c r="E76" s="43"/>
      <c r="F76" s="43"/>
      <c r="G76" s="43"/>
      <c r="H76" s="77"/>
      <c r="I76" s="77"/>
      <c r="J76" s="43"/>
      <c r="K76" s="43"/>
      <c r="L76" s="43"/>
    </row>
    <row r="77" customFormat="false" ht="18" hidden="false" customHeight="false" outlineLevel="0" collapsed="false">
      <c r="C77" s="43"/>
      <c r="D77" s="43"/>
      <c r="E77" s="43"/>
      <c r="F77" s="43"/>
      <c r="G77" s="43"/>
      <c r="H77" s="77"/>
      <c r="I77" s="77"/>
      <c r="J77" s="43"/>
      <c r="K77" s="43"/>
      <c r="L77" s="43"/>
    </row>
  </sheetData>
  <autoFilter ref="C4:L58"/>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5" topLeftCell="A7" activePane="bottomLeft" state="frozen"/>
      <selection pane="topLeft" activeCell="A2" activeCellId="0" sqref="A2"/>
      <selection pane="bottomLeft" activeCell="A2" activeCellId="0" sqref="A2"/>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26" width="15"/>
    <col collapsed="false" customWidth="true" hidden="false" outlineLevel="0" max="5" min="5" style="20" width="15"/>
    <col collapsed="false" customWidth="true" hidden="false" outlineLevel="0" max="6" min="6" style="126" width="15"/>
    <col collapsed="false" customWidth="true" hidden="false" outlineLevel="0" max="7" min="7" style="20" width="15"/>
    <col collapsed="false" customWidth="true" hidden="false" outlineLevel="0" max="8" min="8" style="127" width="15"/>
    <col collapsed="false" customWidth="true" hidden="true" outlineLevel="0" max="9" min="9" style="47" width="15"/>
    <col collapsed="false" customWidth="true" hidden="true" outlineLevel="0" max="10" min="10" style="126" width="15"/>
    <col collapsed="false" customWidth="true" hidden="true" outlineLevel="0" max="11" min="11" style="20" width="15"/>
    <col collapsed="false" customWidth="true" hidden="true" outlineLevel="0" max="12" min="12" style="126" width="15"/>
    <col collapsed="false" customWidth="true" hidden="false" outlineLevel="0" max="13" min="13" style="20" width="16.09"/>
    <col collapsed="false" customWidth="true" hidden="false" outlineLevel="0" max="14" min="14" style="20" width="8.76"/>
  </cols>
  <sheetData>
    <row r="4" customFormat="false" ht="18" hidden="false" customHeight="false" outlineLevel="0" collapsed="false">
      <c r="B4" s="2"/>
      <c r="C4" s="47"/>
      <c r="D4" s="128"/>
      <c r="G4" s="47"/>
      <c r="H4" s="48" t="s">
        <v>50</v>
      </c>
      <c r="I4" s="2"/>
      <c r="K4" s="47"/>
      <c r="L4" s="128"/>
    </row>
    <row r="5" customFormat="false" ht="19.5" hidden="false" customHeight="true" outlineLevel="0" collapsed="false">
      <c r="B5" s="129" t="s">
        <v>6</v>
      </c>
      <c r="C5" s="93" t="str">
        <f aca="false">'BS(借方)'!C4</f>
        <v>24年5月期
（第35期）</v>
      </c>
      <c r="D5" s="93"/>
      <c r="E5" s="94" t="str">
        <f aca="false">'BS(借方)'!D4</f>
        <v>25年5月期
（第36期）</v>
      </c>
      <c r="F5" s="94"/>
      <c r="G5" s="95" t="str">
        <f aca="false">'BS(借方)'!E4</f>
        <v>26年5月期
（第37期）</v>
      </c>
      <c r="H5" s="95"/>
      <c r="I5" s="96" t="str">
        <f aca="false">'BS(借方)'!F4</f>
        <v>－</v>
      </c>
      <c r="J5" s="96"/>
      <c r="K5" s="97" t="str">
        <f aca="false">'BS(借方)'!G4</f>
        <v>26年7月
（進行期2か月TB）</v>
      </c>
      <c r="L5" s="97"/>
    </row>
    <row r="6" customFormat="false" ht="19.5" hidden="false" customHeight="true" outlineLevel="0" collapsed="false">
      <c r="B6" s="129"/>
      <c r="C6" s="130" t="s">
        <v>81</v>
      </c>
      <c r="D6" s="131" t="s">
        <v>82</v>
      </c>
      <c r="E6" s="130" t="s">
        <v>81</v>
      </c>
      <c r="F6" s="132" t="s">
        <v>82</v>
      </c>
      <c r="G6" s="130" t="s">
        <v>81</v>
      </c>
      <c r="H6" s="131" t="s">
        <v>82</v>
      </c>
      <c r="I6" s="130" t="s">
        <v>81</v>
      </c>
      <c r="J6" s="131" t="s">
        <v>82</v>
      </c>
      <c r="K6" s="133" t="s">
        <v>81</v>
      </c>
      <c r="L6" s="134" t="s">
        <v>82</v>
      </c>
    </row>
    <row r="7" customFormat="false" ht="22.5" hidden="false" customHeight="true" outlineLevel="0" collapsed="false">
      <c r="A7" s="135" t="s">
        <v>110</v>
      </c>
      <c r="B7" s="136" t="s">
        <v>111</v>
      </c>
      <c r="C7" s="137" t="n">
        <f aca="false">PL!C11</f>
        <v>357115426</v>
      </c>
      <c r="D7" s="138" t="s">
        <v>112</v>
      </c>
      <c r="E7" s="139" t="n">
        <f aca="false">PL!E11</f>
        <v>245854292</v>
      </c>
      <c r="F7" s="138" t="s">
        <v>112</v>
      </c>
      <c r="G7" s="139" t="n">
        <f aca="false">PL!G11</f>
        <v>279293828</v>
      </c>
      <c r="H7" s="138" t="s">
        <v>112</v>
      </c>
      <c r="I7" s="139" t="n">
        <f aca="false">PL!I11</f>
        <v>0</v>
      </c>
      <c r="J7" s="138" t="s">
        <v>112</v>
      </c>
      <c r="K7" s="139" t="n">
        <f aca="false">PL!K11</f>
        <v>54441928</v>
      </c>
      <c r="L7" s="138" t="s">
        <v>112</v>
      </c>
    </row>
    <row r="8" customFormat="false" ht="22.5" hidden="false" customHeight="true" outlineLevel="0" collapsed="false">
      <c r="B8" s="140"/>
      <c r="C8" s="61"/>
      <c r="D8" s="104" t="str">
        <f aca="false">IFERROR(IF(C8=0,"",C8/C$7),"")</f>
        <v/>
      </c>
      <c r="E8" s="35"/>
      <c r="F8" s="104" t="str">
        <f aca="false">IFERROR(IF(E8=0,"",E8/E$7),"")</f>
        <v/>
      </c>
      <c r="G8" s="35"/>
      <c r="H8" s="104" t="str">
        <f aca="false">IFERROR(IF(G8=0,"",G8/G$7),"")</f>
        <v/>
      </c>
      <c r="I8" s="35"/>
      <c r="J8" s="104" t="str">
        <f aca="false">IFERROR(IF(I8=0,"",I8/I$7),"")</f>
        <v/>
      </c>
      <c r="K8" s="35"/>
      <c r="L8" s="104" t="str">
        <f aca="false">IFERROR(IF(K8=0,"",K8/K$7),"")</f>
        <v/>
      </c>
    </row>
    <row r="9" customFormat="false" ht="22.5" hidden="false" customHeight="true" outlineLevel="0" collapsed="false">
      <c r="B9" s="105" t="s">
        <v>113</v>
      </c>
      <c r="C9" s="61" t="n">
        <v>0</v>
      </c>
      <c r="D9" s="104" t="str">
        <f aca="false">IFERROR(IF(C9=0,"",C9/C$7),"")</f>
        <v/>
      </c>
      <c r="E9" s="35" t="n">
        <v>65662331</v>
      </c>
      <c r="F9" s="104" t="n">
        <f aca="false">IFERROR(IF(E9=0,"",E9/E$7),"")</f>
        <v>0.267078237544049</v>
      </c>
      <c r="G9" s="35" t="n">
        <v>65452963</v>
      </c>
      <c r="H9" s="104" t="n">
        <f aca="false">IFERROR(IF(G9=0,"",G9/G$7),"")</f>
        <v>0.234351626989767</v>
      </c>
      <c r="I9" s="35"/>
      <c r="J9" s="104" t="str">
        <f aca="false">IFERROR(IF(I9=0,"",I9/I$7),"")</f>
        <v/>
      </c>
      <c r="K9" s="35" t="n">
        <v>13717717</v>
      </c>
      <c r="L9" s="104" t="n">
        <f aca="false">IFERROR(IF(K9=0,"",K9/K$7),"")</f>
        <v>0.251969713489941</v>
      </c>
    </row>
    <row r="10" customFormat="false" ht="22.5" hidden="false" customHeight="true" outlineLevel="0" collapsed="false">
      <c r="B10" s="105"/>
      <c r="C10" s="61"/>
      <c r="D10" s="104" t="str">
        <f aca="false">IFERROR(IF(C10=0,"",C10/C$7),"")</f>
        <v/>
      </c>
      <c r="E10" s="35"/>
      <c r="F10" s="104" t="str">
        <f aca="false">IFERROR(IF(E10=0,"",E10/E$7),"")</f>
        <v/>
      </c>
      <c r="G10" s="35"/>
      <c r="H10" s="104" t="str">
        <f aca="false">IFERROR(IF(G10=0,"",G10/G$7),"")</f>
        <v/>
      </c>
      <c r="I10" s="35"/>
      <c r="J10" s="104" t="str">
        <f aca="false">IFERROR(IF(I10=0,"",I10/I$7),"")</f>
        <v/>
      </c>
      <c r="K10" s="35"/>
      <c r="L10" s="104" t="str">
        <f aca="false">IFERROR(IF(K10=0,"",K10/K$7),"")</f>
        <v/>
      </c>
    </row>
    <row r="11" customFormat="false" ht="22.5" hidden="false" customHeight="true" outlineLevel="0" collapsed="false">
      <c r="B11" s="105"/>
      <c r="C11" s="61"/>
      <c r="D11" s="104" t="str">
        <f aca="false">IFERROR(IF(C11=0,"",C11/C$7),"")</f>
        <v/>
      </c>
      <c r="E11" s="35"/>
      <c r="F11" s="104" t="str">
        <f aca="false">IFERROR(IF(E11=0,"",E11/E$7),"")</f>
        <v/>
      </c>
      <c r="G11" s="35"/>
      <c r="H11" s="104" t="str">
        <f aca="false">IFERROR(IF(G11=0,"",G11/G$7),"")</f>
        <v/>
      </c>
      <c r="I11" s="35"/>
      <c r="J11" s="104" t="str">
        <f aca="false">IFERROR(IF(I11=0,"",I11/I$7),"")</f>
        <v/>
      </c>
      <c r="K11" s="35"/>
      <c r="L11" s="104" t="str">
        <f aca="false">IFERROR(IF(K11=0,"",K11/K$7),"")</f>
        <v/>
      </c>
    </row>
    <row r="12" customFormat="false" ht="22.5" hidden="false" customHeight="true" outlineLevel="0" collapsed="false">
      <c r="B12" s="105"/>
      <c r="C12" s="61"/>
      <c r="D12" s="104" t="str">
        <f aca="false">IFERROR(IF(C12=0,"",C12/C$7),"")</f>
        <v/>
      </c>
      <c r="E12" s="35"/>
      <c r="F12" s="104" t="str">
        <f aca="false">IFERROR(IF(E12=0,"",E12/E$7),"")</f>
        <v/>
      </c>
      <c r="G12" s="35"/>
      <c r="H12" s="104" t="str">
        <f aca="false">IFERROR(IF(G12=0,"",G12/G$7),"")</f>
        <v/>
      </c>
      <c r="I12" s="35"/>
      <c r="J12" s="104" t="str">
        <f aca="false">IFERROR(IF(I12=0,"",I12/I$7),"")</f>
        <v/>
      </c>
      <c r="K12" s="35"/>
      <c r="L12" s="104" t="str">
        <f aca="false">IFERROR(IF(K12=0,"",K12/K$7),"")</f>
        <v/>
      </c>
    </row>
    <row r="13" customFormat="false" ht="22.5" hidden="false" customHeight="true" outlineLevel="0" collapsed="false">
      <c r="B13" s="108"/>
      <c r="C13" s="65"/>
      <c r="D13" s="109" t="str">
        <f aca="false">IFERROR(IF(C13=0,"",C13/C$7),"")</f>
        <v/>
      </c>
      <c r="E13" s="37"/>
      <c r="F13" s="109" t="str">
        <f aca="false">IFERROR(IF(E13=0,"",E13/E$7),"")</f>
        <v/>
      </c>
      <c r="G13" s="37"/>
      <c r="H13" s="109" t="str">
        <f aca="false">IFERROR(IF(G13=0,"",G13/G$7),"")</f>
        <v/>
      </c>
      <c r="I13" s="37"/>
      <c r="J13" s="109" t="str">
        <f aca="false">IFERROR(IF(I13=0,"",I13/I$7),"")</f>
        <v/>
      </c>
      <c r="K13" s="37"/>
      <c r="L13" s="109" t="str">
        <f aca="false">IFERROR(IF(K13=0,"",K13/K$7),"")</f>
        <v/>
      </c>
    </row>
    <row r="14" customFormat="false" ht="22.5" hidden="false" customHeight="true" outlineLevel="0" collapsed="false">
      <c r="B14" s="141" t="s">
        <v>114</v>
      </c>
      <c r="C14" s="142" t="n">
        <f aca="false">SUM(C8:C13)</f>
        <v>0</v>
      </c>
      <c r="D14" s="112" t="str">
        <f aca="false">IFERROR(IF(C14=0,"",C14/C$7),"")</f>
        <v/>
      </c>
      <c r="E14" s="111" t="n">
        <f aca="false">SUM(E8:E13)</f>
        <v>65662331</v>
      </c>
      <c r="F14" s="112" t="n">
        <f aca="false">IFERROR(IF(E14=0,"",E14/E$7),"")</f>
        <v>0.267078237544049</v>
      </c>
      <c r="G14" s="111" t="n">
        <f aca="false">SUM(G8:G13)</f>
        <v>65452963</v>
      </c>
      <c r="H14" s="112" t="n">
        <f aca="false">IFERROR(IF(G14=0,"",G14/G$7),"")</f>
        <v>0.234351626989767</v>
      </c>
      <c r="I14" s="111" t="n">
        <f aca="false">SUM(I8:I13)</f>
        <v>0</v>
      </c>
      <c r="J14" s="112" t="str">
        <f aca="false">IFERROR(IF(I14=0,"",I14/I$7),"")</f>
        <v/>
      </c>
      <c r="K14" s="111" t="n">
        <f aca="false">SUM(K8:K13)</f>
        <v>13717717</v>
      </c>
      <c r="L14" s="112" t="n">
        <f aca="false">IFERROR(IF(K14=0,"",K14/K$7),"")</f>
        <v>0.251969713489941</v>
      </c>
    </row>
    <row r="15" customFormat="false" ht="22.5" hidden="false" customHeight="true" outlineLevel="0" collapsed="false">
      <c r="B15" s="143" t="s">
        <v>115</v>
      </c>
      <c r="C15" s="61" t="n">
        <v>103296435</v>
      </c>
      <c r="D15" s="104" t="n">
        <f aca="false">IFERROR(IF(C15=0,"",C15/C$7),"")</f>
        <v>0.289252234654238</v>
      </c>
      <c r="E15" s="35" t="n">
        <v>91290848</v>
      </c>
      <c r="F15" s="104" t="n">
        <f aca="false">IFERROR(IF(E15=0,"",E15/E$7),"")</f>
        <v>0.37132094484647</v>
      </c>
      <c r="G15" s="35" t="n">
        <v>80444377</v>
      </c>
      <c r="H15" s="104" t="n">
        <f aca="false">IFERROR(IF(G15=0,"",G15/G$7),"")</f>
        <v>0.288027764795433</v>
      </c>
      <c r="I15" s="35"/>
      <c r="J15" s="104" t="str">
        <f aca="false">IFERROR(IF(I15=0,"",I15/I$7),"")</f>
        <v/>
      </c>
      <c r="K15" s="35" t="n">
        <v>12463523</v>
      </c>
      <c r="L15" s="104" t="n">
        <f aca="false">IFERROR(IF(K15=0,"",K15/K$7),"")</f>
        <v>0.228932432370874</v>
      </c>
    </row>
    <row r="16" customFormat="false" ht="22.5" hidden="false" customHeight="true" outlineLevel="0" collapsed="false">
      <c r="B16" s="105" t="s">
        <v>116</v>
      </c>
      <c r="C16" s="61" t="n">
        <v>200000</v>
      </c>
      <c r="D16" s="104"/>
      <c r="E16" s="35" t="n">
        <v>0</v>
      </c>
      <c r="F16" s="104"/>
      <c r="G16" s="35" t="n">
        <v>0</v>
      </c>
      <c r="H16" s="104"/>
      <c r="I16" s="35"/>
      <c r="J16" s="104"/>
      <c r="K16" s="35" t="n">
        <v>0</v>
      </c>
      <c r="L16" s="104"/>
    </row>
    <row r="17" customFormat="false" ht="22.5" hidden="false" customHeight="true" outlineLevel="0" collapsed="false">
      <c r="B17" s="105" t="s">
        <v>117</v>
      </c>
      <c r="C17" s="61" t="n">
        <v>18294239</v>
      </c>
      <c r="D17" s="104"/>
      <c r="E17" s="35" t="n">
        <v>15365044</v>
      </c>
      <c r="F17" s="104"/>
      <c r="G17" s="35" t="n">
        <v>15075520</v>
      </c>
      <c r="H17" s="104"/>
      <c r="I17" s="35"/>
      <c r="J17" s="104"/>
      <c r="K17" s="35" t="n">
        <v>2082600</v>
      </c>
      <c r="L17" s="104"/>
    </row>
    <row r="18" customFormat="false" ht="22.5" hidden="false" customHeight="true" outlineLevel="0" collapsed="false">
      <c r="B18" s="105" t="s">
        <v>118</v>
      </c>
      <c r="C18" s="61" t="n">
        <v>4570488</v>
      </c>
      <c r="D18" s="104" t="n">
        <f aca="false">IFERROR(IF(C18=0,"",C18/C$7),"")</f>
        <v>0.0127983494053824</v>
      </c>
      <c r="E18" s="35" t="n">
        <v>3605745</v>
      </c>
      <c r="F18" s="104" t="n">
        <f aca="false">IFERROR(IF(E18=0,"",E18/E$7),"")</f>
        <v>0.01466618691367</v>
      </c>
      <c r="G18" s="35" t="n">
        <v>3714127</v>
      </c>
      <c r="H18" s="104" t="n">
        <f aca="false">IFERROR(IF(G18=0,"",G18/G$7),"")</f>
        <v>0.0132982781130416</v>
      </c>
      <c r="I18" s="35"/>
      <c r="J18" s="104" t="str">
        <f aca="false">IFERROR(IF(I18=0,"",I18/I$7),"")</f>
        <v/>
      </c>
      <c r="K18" s="35" t="n">
        <v>661263</v>
      </c>
      <c r="L18" s="104" t="n">
        <f aca="false">IFERROR(IF(K18=0,"",K18/K$7),"")</f>
        <v>0.0121462083414827</v>
      </c>
    </row>
    <row r="19" customFormat="false" ht="22.5" hidden="false" customHeight="true" outlineLevel="0" collapsed="false">
      <c r="B19" s="105"/>
      <c r="C19" s="61"/>
      <c r="D19" s="104" t="str">
        <f aca="false">IFERROR(IF(C19=0,"",C19/C$7),"")</f>
        <v/>
      </c>
      <c r="E19" s="35"/>
      <c r="F19" s="104" t="str">
        <f aca="false">IFERROR(IF(E19=0,"",E19/E$7),"")</f>
        <v/>
      </c>
      <c r="G19" s="35"/>
      <c r="H19" s="104" t="str">
        <f aca="false">IFERROR(IF(G19=0,"",G19/G$7),"")</f>
        <v/>
      </c>
      <c r="I19" s="35"/>
      <c r="J19" s="104" t="str">
        <f aca="false">IFERROR(IF(I19=0,"",I19/I$7),"")</f>
        <v/>
      </c>
      <c r="K19" s="35"/>
      <c r="L19" s="104" t="str">
        <f aca="false">IFERROR(IF(K19=0,"",K19/K$7),"")</f>
        <v/>
      </c>
    </row>
    <row r="20" customFormat="false" ht="22.5" hidden="false" customHeight="true" outlineLevel="0" collapsed="false">
      <c r="B20" s="105"/>
      <c r="C20" s="61"/>
      <c r="D20" s="104" t="str">
        <f aca="false">IFERROR(IF(C20=0,"",C20/C$7),"")</f>
        <v/>
      </c>
      <c r="E20" s="35"/>
      <c r="F20" s="104" t="str">
        <f aca="false">IFERROR(IF(E20=0,"",E20/E$7),"")</f>
        <v/>
      </c>
      <c r="G20" s="35"/>
      <c r="H20" s="104" t="str">
        <f aca="false">IFERROR(IF(G20=0,"",G20/G$7),"")</f>
        <v/>
      </c>
      <c r="I20" s="35"/>
      <c r="J20" s="104" t="str">
        <f aca="false">IFERROR(IF(I20=0,"",I20/I$7),"")</f>
        <v/>
      </c>
      <c r="K20" s="35"/>
      <c r="L20" s="104" t="str">
        <f aca="false">IFERROR(IF(K20=0,"",K20/K$7),"")</f>
        <v/>
      </c>
    </row>
    <row r="21" customFormat="false" ht="22.5" hidden="false" customHeight="true" outlineLevel="0" collapsed="false">
      <c r="B21" s="105"/>
      <c r="C21" s="61"/>
      <c r="D21" s="104" t="str">
        <f aca="false">IFERROR(IF(C21=0,"",C21/C$7),"")</f>
        <v/>
      </c>
      <c r="E21" s="35"/>
      <c r="F21" s="104" t="str">
        <f aca="false">IFERROR(IF(E21=0,"",E21/E$7),"")</f>
        <v/>
      </c>
      <c r="G21" s="35"/>
      <c r="H21" s="104" t="str">
        <f aca="false">IFERROR(IF(G21=0,"",G21/G$7),"")</f>
        <v/>
      </c>
      <c r="I21" s="35"/>
      <c r="J21" s="104" t="str">
        <f aca="false">IFERROR(IF(I21=0,"",I21/I$7),"")</f>
        <v/>
      </c>
      <c r="K21" s="35"/>
      <c r="L21" s="104" t="str">
        <f aca="false">IFERROR(IF(K21=0,"",K21/K$7),"")</f>
        <v/>
      </c>
    </row>
    <row r="22" customFormat="false" ht="22.5" hidden="false" customHeight="true" outlineLevel="0" collapsed="false">
      <c r="B22" s="108"/>
      <c r="C22" s="65"/>
      <c r="D22" s="109" t="str">
        <f aca="false">IFERROR(IF(C22=0,"",C22/C$7),"")</f>
        <v/>
      </c>
      <c r="E22" s="37"/>
      <c r="F22" s="109" t="str">
        <f aca="false">IFERROR(IF(E22=0,"",E22/E$7),"")</f>
        <v/>
      </c>
      <c r="G22" s="37"/>
      <c r="H22" s="109" t="str">
        <f aca="false">IFERROR(IF(G22=0,"",G22/G$7),"")</f>
        <v/>
      </c>
      <c r="I22" s="37"/>
      <c r="J22" s="109" t="str">
        <f aca="false">IFERROR(IF(I22=0,"",I22/I$7),"")</f>
        <v/>
      </c>
      <c r="K22" s="37"/>
      <c r="L22" s="109" t="str">
        <f aca="false">IFERROR(IF(K22=0,"",K22/K$7),"")</f>
        <v/>
      </c>
    </row>
    <row r="23" customFormat="false" ht="22.5" hidden="false" customHeight="true" outlineLevel="0" collapsed="false">
      <c r="B23" s="141" t="s">
        <v>119</v>
      </c>
      <c r="C23" s="142" t="n">
        <f aca="false">SUM(C15:C22)</f>
        <v>126361162</v>
      </c>
      <c r="D23" s="112" t="n">
        <f aca="false">IFERROR(IF(C23=0,"",C23/C$7),"")</f>
        <v>0.353838430939133</v>
      </c>
      <c r="E23" s="111" t="n">
        <f aca="false">SUM(E15:E22)</f>
        <v>110261637</v>
      </c>
      <c r="F23" s="112" t="n">
        <f aca="false">IFERROR(IF(E23=0,"",E23/E$7),"")</f>
        <v>0.448483677478366</v>
      </c>
      <c r="G23" s="111" t="n">
        <f aca="false">SUM(G15:G22)</f>
        <v>99234024</v>
      </c>
      <c r="H23" s="112" t="n">
        <f aca="false">IFERROR(IF(G23=0,"",G23/G$7),"")</f>
        <v>0.355303318768648</v>
      </c>
      <c r="I23" s="111" t="n">
        <f aca="false">SUM(I15:I22)</f>
        <v>0</v>
      </c>
      <c r="J23" s="112" t="str">
        <f aca="false">IFERROR(IF(I23=0,"",I23/I$7),"")</f>
        <v/>
      </c>
      <c r="K23" s="111" t="n">
        <f aca="false">SUM(K15:K22)</f>
        <v>15207386</v>
      </c>
      <c r="L23" s="112" t="n">
        <f aca="false">IFERROR(IF(K23=0,"",K23/K$7),"")</f>
        <v>0.27933224554428</v>
      </c>
    </row>
    <row r="24" customFormat="false" ht="22.5" hidden="false" customHeight="true" outlineLevel="0" collapsed="false">
      <c r="B24" s="143" t="s">
        <v>120</v>
      </c>
      <c r="C24" s="61" t="n">
        <v>116300152</v>
      </c>
      <c r="D24" s="104" t="n">
        <f aca="false">IFERROR(IF(C24=0,"",C24/C$7),"")</f>
        <v>0.32566543905051</v>
      </c>
      <c r="E24" s="35" t="n">
        <v>43453928</v>
      </c>
      <c r="F24" s="104" t="n">
        <f aca="false">IFERROR(IF(E24=0,"",E24/E$7),"")</f>
        <v>0.176746672374546</v>
      </c>
      <c r="G24" s="35" t="n">
        <v>65766495</v>
      </c>
      <c r="H24" s="104" t="n">
        <f aca="false">IFERROR(IF(G24=0,"",G24/G$7),"")</f>
        <v>0.235474215348576</v>
      </c>
      <c r="I24" s="35"/>
      <c r="J24" s="104" t="str">
        <f aca="false">IFERROR(IF(I24=0,"",I24/I$7),"")</f>
        <v/>
      </c>
      <c r="K24" s="35" t="n">
        <v>15277036</v>
      </c>
      <c r="L24" s="104" t="n">
        <f aca="false">IFERROR(IF(K24=0,"",K24/K$7),"")</f>
        <v>0.280611590390406</v>
      </c>
    </row>
    <row r="25" customFormat="false" ht="22.5" hidden="false" customHeight="true" outlineLevel="0" collapsed="false">
      <c r="B25" s="105"/>
      <c r="C25" s="61"/>
      <c r="D25" s="104"/>
      <c r="E25" s="35"/>
      <c r="F25" s="104"/>
      <c r="G25" s="35"/>
      <c r="H25" s="104"/>
      <c r="I25" s="35"/>
      <c r="J25" s="104"/>
      <c r="K25" s="35"/>
      <c r="L25" s="104"/>
    </row>
    <row r="26" customFormat="false" ht="22.5" hidden="false" customHeight="true" outlineLevel="0" collapsed="false">
      <c r="B26" s="105"/>
      <c r="C26" s="61"/>
      <c r="D26" s="104"/>
      <c r="E26" s="35"/>
      <c r="F26" s="104"/>
      <c r="G26" s="35"/>
      <c r="H26" s="104"/>
      <c r="I26" s="35"/>
      <c r="J26" s="104"/>
      <c r="K26" s="35"/>
      <c r="L26" s="104"/>
    </row>
    <row r="27" customFormat="false" ht="22.5" hidden="false" customHeight="true" outlineLevel="0" collapsed="false">
      <c r="B27" s="105"/>
      <c r="C27" s="61"/>
      <c r="D27" s="104"/>
      <c r="E27" s="35"/>
      <c r="F27" s="104"/>
      <c r="G27" s="35"/>
      <c r="H27" s="104"/>
      <c r="I27" s="35"/>
      <c r="J27" s="104"/>
      <c r="K27" s="35"/>
      <c r="L27" s="104"/>
    </row>
    <row r="28" customFormat="false" ht="22.5" hidden="false" customHeight="true" outlineLevel="0" collapsed="false">
      <c r="B28" s="105"/>
      <c r="C28" s="61"/>
      <c r="D28" s="104" t="str">
        <f aca="false">IFERROR(IF(C28=0,"",C28/C$7),"")</f>
        <v/>
      </c>
      <c r="E28" s="35"/>
      <c r="F28" s="104" t="str">
        <f aca="false">IFERROR(IF(E28=0,"",E28/E$7),"")</f>
        <v/>
      </c>
      <c r="G28" s="35"/>
      <c r="H28" s="104" t="str">
        <f aca="false">IFERROR(IF(G28=0,"",G28/G$7),"")</f>
        <v/>
      </c>
      <c r="I28" s="35"/>
      <c r="J28" s="104" t="str">
        <f aca="false">IFERROR(IF(I28=0,"",I28/I$7),"")</f>
        <v/>
      </c>
      <c r="K28" s="35"/>
      <c r="L28" s="104" t="str">
        <f aca="false">IFERROR(IF(K28=0,"",K28/K$7),"")</f>
        <v/>
      </c>
    </row>
    <row r="29" customFormat="false" ht="22.5" hidden="false" customHeight="true" outlineLevel="0" collapsed="false">
      <c r="B29" s="105"/>
      <c r="C29" s="61"/>
      <c r="D29" s="104" t="str">
        <f aca="false">IFERROR(IF(C29=0,"",C29/C$7),"")</f>
        <v/>
      </c>
      <c r="E29" s="35"/>
      <c r="F29" s="104" t="str">
        <f aca="false">IFERROR(IF(E29=0,"",E29/E$7),"")</f>
        <v/>
      </c>
      <c r="G29" s="35"/>
      <c r="H29" s="104" t="str">
        <f aca="false">IFERROR(IF(G29=0,"",G29/G$7),"")</f>
        <v/>
      </c>
      <c r="I29" s="35"/>
      <c r="J29" s="104" t="str">
        <f aca="false">IFERROR(IF(I29=0,"",I29/I$7),"")</f>
        <v/>
      </c>
      <c r="K29" s="35"/>
      <c r="L29" s="104" t="str">
        <f aca="false">IFERROR(IF(K29=0,"",K29/K$7),"")</f>
        <v/>
      </c>
    </row>
    <row r="30" customFormat="false" ht="22.5" hidden="false" customHeight="true" outlineLevel="0" collapsed="false">
      <c r="B30" s="105"/>
      <c r="C30" s="61"/>
      <c r="D30" s="104" t="str">
        <f aca="false">IFERROR(IF(C30=0,"",C30/C$7),"")</f>
        <v/>
      </c>
      <c r="E30" s="35"/>
      <c r="F30" s="104" t="str">
        <f aca="false">IFERROR(IF(E30=0,"",E30/E$7),"")</f>
        <v/>
      </c>
      <c r="G30" s="35"/>
      <c r="H30" s="104" t="str">
        <f aca="false">IFERROR(IF(G30=0,"",G30/G$7),"")</f>
        <v/>
      </c>
      <c r="I30" s="35"/>
      <c r="J30" s="104" t="str">
        <f aca="false">IFERROR(IF(I30=0,"",I30/I$7),"")</f>
        <v/>
      </c>
      <c r="K30" s="35"/>
      <c r="L30" s="104" t="str">
        <f aca="false">IFERROR(IF(K30=0,"",K30/K$7),"")</f>
        <v/>
      </c>
    </row>
    <row r="31" customFormat="false" ht="22.5" hidden="false" customHeight="true" outlineLevel="0" collapsed="false">
      <c r="B31" s="105"/>
      <c r="C31" s="61"/>
      <c r="D31" s="104" t="str">
        <f aca="false">IFERROR(IF(C31=0,"",C31/C$7),"")</f>
        <v/>
      </c>
      <c r="E31" s="35"/>
      <c r="F31" s="104" t="str">
        <f aca="false">IFERROR(IF(E31=0,"",E31/E$7),"")</f>
        <v/>
      </c>
      <c r="G31" s="35"/>
      <c r="H31" s="104" t="str">
        <f aca="false">IFERROR(IF(G31=0,"",G31/G$7),"")</f>
        <v/>
      </c>
      <c r="I31" s="35"/>
      <c r="J31" s="104" t="str">
        <f aca="false">IFERROR(IF(I31=0,"",I31/I$7),"")</f>
        <v/>
      </c>
      <c r="K31" s="35"/>
      <c r="L31" s="104" t="str">
        <f aca="false">IFERROR(IF(K31=0,"",K31/K$7),"")</f>
        <v/>
      </c>
    </row>
    <row r="32" customFormat="false" ht="22.5" hidden="false" customHeight="true" outlineLevel="0" collapsed="false">
      <c r="B32" s="108"/>
      <c r="C32" s="65"/>
      <c r="D32" s="109" t="str">
        <f aca="false">IFERROR(IF(C32=0,"",C32/C$7),"")</f>
        <v/>
      </c>
      <c r="E32" s="37"/>
      <c r="F32" s="109" t="str">
        <f aca="false">IFERROR(IF(E32=0,"",E32/E$7),"")</f>
        <v/>
      </c>
      <c r="G32" s="37"/>
      <c r="H32" s="109" t="str">
        <f aca="false">IFERROR(IF(G32=0,"",G32/G$7),"")</f>
        <v/>
      </c>
      <c r="I32" s="37"/>
      <c r="J32" s="109" t="str">
        <f aca="false">IFERROR(IF(I32=0,"",I32/I$7),"")</f>
        <v/>
      </c>
      <c r="K32" s="37"/>
      <c r="L32" s="109" t="str">
        <f aca="false">IFERROR(IF(K32=0,"",K32/K$7),"")</f>
        <v/>
      </c>
    </row>
    <row r="33" customFormat="false" ht="22.5" hidden="false" customHeight="true" outlineLevel="0" collapsed="false">
      <c r="B33" s="141" t="s">
        <v>120</v>
      </c>
      <c r="C33" s="142" t="n">
        <f aca="false">SUM(C24:C32)</f>
        <v>116300152</v>
      </c>
      <c r="D33" s="112" t="n">
        <f aca="false">IFERROR(IF(C33=0,"",C33/C$7),"")</f>
        <v>0.32566543905051</v>
      </c>
      <c r="E33" s="111" t="n">
        <f aca="false">SUM(E24:E32)</f>
        <v>43453928</v>
      </c>
      <c r="F33" s="112" t="n">
        <f aca="false">IFERROR(IF(E33=0,"",E33/E$7),"")</f>
        <v>0.176746672374546</v>
      </c>
      <c r="G33" s="111" t="n">
        <f aca="false">SUM(G24:G32)</f>
        <v>65766495</v>
      </c>
      <c r="H33" s="112" t="n">
        <f aca="false">IFERROR(IF(G33=0,"",G33/G$7),"")</f>
        <v>0.235474215348576</v>
      </c>
      <c r="I33" s="111" t="n">
        <f aca="false">SUM(I24:I32)</f>
        <v>0</v>
      </c>
      <c r="J33" s="112" t="str">
        <f aca="false">IFERROR(IF(I33=0,"",I33/I$7),"")</f>
        <v/>
      </c>
      <c r="K33" s="111" t="n">
        <f aca="false">SUM(K24:K32)</f>
        <v>15277036</v>
      </c>
      <c r="L33" s="112" t="n">
        <f aca="false">IFERROR(IF(K33=0,"",K33/K$7),"")</f>
        <v>0.280611590390406</v>
      </c>
    </row>
    <row r="34" customFormat="false" ht="22.5" hidden="false" customHeight="true" outlineLevel="0" collapsed="false">
      <c r="B34" s="143" t="s">
        <v>121</v>
      </c>
      <c r="C34" s="61" t="n">
        <v>0</v>
      </c>
      <c r="D34" s="104" t="str">
        <f aca="false">IFERROR(IF(C34=0,"",C34/C$7),"")</f>
        <v/>
      </c>
      <c r="E34" s="35" t="n">
        <v>2633404</v>
      </c>
      <c r="F34" s="104" t="n">
        <f aca="false">IFERROR(IF(E34=0,"",E34/E$7),"")</f>
        <v>0.0107112386713997</v>
      </c>
      <c r="G34" s="35" t="n">
        <v>2935347</v>
      </c>
      <c r="H34" s="104" t="n">
        <f aca="false">IFERROR(IF(G34=0,"",G34/G$7),"")</f>
        <v>0.010509888532159</v>
      </c>
      <c r="I34" s="35"/>
      <c r="J34" s="104" t="str">
        <f aca="false">IFERROR(IF(I34=0,"",I34/I$7),"")</f>
        <v/>
      </c>
      <c r="K34" s="35" t="n">
        <v>443324</v>
      </c>
      <c r="L34" s="104" t="n">
        <f aca="false">IFERROR(IF(K34=0,"",K34/K$7),"")</f>
        <v>0.00814306208993921</v>
      </c>
    </row>
    <row r="35" customFormat="false" ht="22.5" hidden="false" customHeight="true" outlineLevel="0" collapsed="false">
      <c r="B35" s="105" t="s">
        <v>122</v>
      </c>
      <c r="C35" s="61" t="n">
        <v>30155000</v>
      </c>
      <c r="D35" s="104" t="n">
        <f aca="false">IFERROR(IF(C35=0,"",C35/C$7),"")</f>
        <v>0.0844404856372684</v>
      </c>
      <c r="E35" s="35" t="n">
        <v>13027460</v>
      </c>
      <c r="F35" s="104" t="n">
        <f aca="false">IFERROR(IF(E35=0,"",E35/E$7),"")</f>
        <v>0.0529885400577021</v>
      </c>
      <c r="G35" s="35" t="n">
        <v>9992000</v>
      </c>
      <c r="H35" s="104" t="n">
        <f aca="false">IFERROR(IF(G35=0,"",G35/G$7),"")</f>
        <v>0.0357759427465758</v>
      </c>
      <c r="I35" s="35"/>
      <c r="J35" s="104" t="str">
        <f aca="false">IFERROR(IF(I35=0,"",I35/I$7),"")</f>
        <v/>
      </c>
      <c r="K35" s="35" t="n">
        <v>1792000</v>
      </c>
      <c r="L35" s="104" t="n">
        <f aca="false">IFERROR(IF(K35=0,"",K35/K$7),"")</f>
        <v>0.0329158070963247</v>
      </c>
    </row>
    <row r="36" customFormat="false" ht="22.5" hidden="false" customHeight="true" outlineLevel="0" collapsed="false">
      <c r="B36" s="105" t="s">
        <v>123</v>
      </c>
      <c r="C36" s="61" t="n">
        <v>57209927</v>
      </c>
      <c r="D36" s="104" t="n">
        <f aca="false">IFERROR(IF(C36=0,"",C36/C$7),"")</f>
        <v>0.16020010012113</v>
      </c>
      <c r="E36" s="35" t="n">
        <v>507142</v>
      </c>
      <c r="F36" s="104" t="n">
        <f aca="false">IFERROR(IF(E36=0,"",E36/E$7),"")</f>
        <v>0.0020627746453985</v>
      </c>
      <c r="G36" s="35" t="n">
        <v>531122</v>
      </c>
      <c r="H36" s="104" t="n">
        <f aca="false">IFERROR(IF(G36=0,"",G36/G$7),"")</f>
        <v>0.00190166035462839</v>
      </c>
      <c r="I36" s="35"/>
      <c r="J36" s="104" t="str">
        <f aca="false">IFERROR(IF(I36=0,"",I36/I$7),"")</f>
        <v/>
      </c>
      <c r="K36" s="35" t="n">
        <v>85883</v>
      </c>
      <c r="L36" s="104" t="n">
        <f aca="false">IFERROR(IF(K36=0,"",K36/K$7),"")</f>
        <v>0.00157751577056566</v>
      </c>
    </row>
    <row r="37" customFormat="false" ht="22.5" hidden="false" customHeight="true" outlineLevel="0" collapsed="false">
      <c r="B37" s="105" t="s">
        <v>124</v>
      </c>
      <c r="C37" s="61" t="n">
        <v>545470</v>
      </c>
      <c r="D37" s="104"/>
      <c r="E37" s="35" t="n">
        <v>545470</v>
      </c>
      <c r="F37" s="104"/>
      <c r="G37" s="35" t="n">
        <v>0</v>
      </c>
      <c r="H37" s="104"/>
      <c r="I37" s="35"/>
      <c r="J37" s="104"/>
      <c r="K37" s="35" t="n">
        <v>0</v>
      </c>
      <c r="L37" s="104"/>
    </row>
    <row r="38" customFormat="false" ht="22.5" hidden="false" customHeight="true" outlineLevel="0" collapsed="false">
      <c r="B38" s="105" t="s">
        <v>125</v>
      </c>
      <c r="C38" s="61" t="n">
        <v>464700</v>
      </c>
      <c r="D38" s="104"/>
      <c r="E38" s="35" t="n">
        <v>809720</v>
      </c>
      <c r="F38" s="104"/>
      <c r="G38" s="35" t="n">
        <v>1538527</v>
      </c>
      <c r="H38" s="104"/>
      <c r="I38" s="35"/>
      <c r="J38" s="104"/>
      <c r="K38" s="35" t="n">
        <v>842750</v>
      </c>
      <c r="L38" s="104"/>
    </row>
    <row r="39" customFormat="false" ht="22.5" hidden="false" customHeight="true" outlineLevel="0" collapsed="false">
      <c r="B39" s="105" t="s">
        <v>126</v>
      </c>
      <c r="C39" s="61" t="n">
        <v>18580075</v>
      </c>
      <c r="D39" s="104" t="n">
        <f aca="false">IFERROR(IF(C39=0,"",C39/C$7),"")</f>
        <v>0.0520282061408347</v>
      </c>
      <c r="E39" s="35" t="n">
        <v>24371653</v>
      </c>
      <c r="F39" s="104" t="n">
        <f aca="false">IFERROR(IF(E39=0,"",E39/E$7),"")</f>
        <v>0.099130476030087</v>
      </c>
      <c r="G39" s="35" t="n">
        <v>25246414</v>
      </c>
      <c r="H39" s="104" t="n">
        <f aca="false">IFERROR(IF(G39=0,"",G39/G$7),"")</f>
        <v>0.0903937411749751</v>
      </c>
      <c r="I39" s="35"/>
      <c r="J39" s="104" t="str">
        <f aca="false">IFERROR(IF(I39=0,"",I39/I$7),"")</f>
        <v/>
      </c>
      <c r="K39" s="35" t="n">
        <v>4361514</v>
      </c>
      <c r="L39" s="104" t="n">
        <f aca="false">IFERROR(IF(K39=0,"",K39/K$7),"")</f>
        <v>0.0801131436785266</v>
      </c>
    </row>
    <row r="40" customFormat="false" ht="22.5" hidden="false" customHeight="true" outlineLevel="0" collapsed="false">
      <c r="B40" s="105" t="s">
        <v>127</v>
      </c>
      <c r="C40" s="61" t="n">
        <v>0</v>
      </c>
      <c r="D40" s="104" t="str">
        <f aca="false">IFERROR(IF(C40=0,"",C40/C$7),"")</f>
        <v/>
      </c>
      <c r="E40" s="35" t="n">
        <v>0</v>
      </c>
      <c r="F40" s="104" t="str">
        <f aca="false">IFERROR(IF(E40=0,"",E40/E$7),"")</f>
        <v/>
      </c>
      <c r="G40" s="35" t="n">
        <v>99400</v>
      </c>
      <c r="H40" s="104" t="n">
        <f aca="false">IFERROR(IF(G40=0,"",G40/G$7),"")</f>
        <v>0.000355897588972142</v>
      </c>
      <c r="I40" s="35"/>
      <c r="J40" s="104" t="str">
        <f aca="false">IFERROR(IF(I40=0,"",I40/I$7),"")</f>
        <v/>
      </c>
      <c r="K40" s="35" t="n">
        <v>84100</v>
      </c>
      <c r="L40" s="104" t="n">
        <f aca="false">IFERROR(IF(K40=0,"",K40/K$7),"")</f>
        <v>0.00154476527723265</v>
      </c>
    </row>
    <row r="41" customFormat="false" ht="22.5" hidden="false" customHeight="true" outlineLevel="0" collapsed="false">
      <c r="B41" s="105" t="s">
        <v>128</v>
      </c>
      <c r="C41" s="61" t="n">
        <v>3460000</v>
      </c>
      <c r="D41" s="104" t="n">
        <f aca="false">IFERROR(IF(C41=0,"",C41/C$7),"")</f>
        <v>0.00968874416531085</v>
      </c>
      <c r="E41" s="35" t="n">
        <v>2870000</v>
      </c>
      <c r="F41" s="104" t="n">
        <f aca="false">IFERROR(IF(E41=0,"",E41/E$7),"")</f>
        <v>0.0116735810331105</v>
      </c>
      <c r="G41" s="35" t="n">
        <v>2380000</v>
      </c>
      <c r="H41" s="104" t="n">
        <f aca="false">IFERROR(IF(G41=0,"",G41/G$7),"")</f>
        <v>0.0085214915669386</v>
      </c>
      <c r="I41" s="35"/>
      <c r="J41" s="104" t="str">
        <f aca="false">IFERROR(IF(I41=0,"",I41/I$7),"")</f>
        <v/>
      </c>
      <c r="K41" s="35" t="n">
        <v>350000</v>
      </c>
      <c r="L41" s="104" t="n">
        <f aca="false">IFERROR(IF(K41=0,"",K41/K$7),"")</f>
        <v>0.00642886857350092</v>
      </c>
    </row>
    <row r="42" customFormat="false" ht="22.5" hidden="false" customHeight="true" outlineLevel="0" collapsed="false">
      <c r="B42" s="105" t="s">
        <v>129</v>
      </c>
      <c r="C42" s="61" t="n">
        <v>0</v>
      </c>
      <c r="D42" s="104" t="str">
        <f aca="false">IFERROR(IF(C42=0,"",C42/C$7),"")</f>
        <v/>
      </c>
      <c r="E42" s="35" t="n">
        <v>608380</v>
      </c>
      <c r="F42" s="104" t="n">
        <f aca="false">IFERROR(IF(E42=0,"",E42/E$7),"")</f>
        <v>0.00247455513202918</v>
      </c>
      <c r="G42" s="35" t="n">
        <v>613800</v>
      </c>
      <c r="H42" s="104" t="n">
        <f aca="false">IFERROR(IF(G42=0,"",G42/G$7),"")</f>
        <v>0.00219768551419618</v>
      </c>
      <c r="I42" s="35"/>
      <c r="J42" s="104" t="str">
        <f aca="false">IFERROR(IF(I42=0,"",I42/I$7),"")</f>
        <v/>
      </c>
      <c r="K42" s="35" t="n">
        <v>175340</v>
      </c>
      <c r="L42" s="104" t="n">
        <f aca="false">IFERROR(IF(K42=0,"",K42/K$7),"")</f>
        <v>0.00322067947336472</v>
      </c>
    </row>
    <row r="43" customFormat="false" ht="22.5" hidden="false" customHeight="true" outlineLevel="0" collapsed="false">
      <c r="B43" s="105"/>
      <c r="C43" s="61"/>
      <c r="D43" s="104" t="str">
        <f aca="false">IFERROR(IF(C43=0,"",C43/C$7),"")</f>
        <v/>
      </c>
      <c r="E43" s="35"/>
      <c r="F43" s="104" t="str">
        <f aca="false">IFERROR(IF(E43=0,"",E43/E$7),"")</f>
        <v/>
      </c>
      <c r="G43" s="35"/>
      <c r="H43" s="104" t="str">
        <f aca="false">IFERROR(IF(G43=0,"",G43/G$7),"")</f>
        <v/>
      </c>
      <c r="I43" s="35"/>
      <c r="J43" s="104" t="str">
        <f aca="false">IFERROR(IF(I43=0,"",I43/I$7),"")</f>
        <v/>
      </c>
      <c r="K43" s="35"/>
      <c r="L43" s="104" t="str">
        <f aca="false">IFERROR(IF(K43=0,"",K43/K$7),"")</f>
        <v/>
      </c>
    </row>
    <row r="44" customFormat="false" ht="22.5" hidden="false" customHeight="true" outlineLevel="0" collapsed="false">
      <c r="B44" s="105"/>
      <c r="C44" s="61"/>
      <c r="D44" s="104" t="str">
        <f aca="false">IFERROR(IF(C44=0,"",C44/C$7),"")</f>
        <v/>
      </c>
      <c r="E44" s="35"/>
      <c r="F44" s="104" t="str">
        <f aca="false">IFERROR(IF(E44=0,"",E44/E$7),"")</f>
        <v/>
      </c>
      <c r="G44" s="35"/>
      <c r="H44" s="104" t="str">
        <f aca="false">IFERROR(IF(G44=0,"",G44/G$7),"")</f>
        <v/>
      </c>
      <c r="I44" s="35"/>
      <c r="J44" s="104" t="str">
        <f aca="false">IFERROR(IF(I44=0,"",I44/I$7),"")</f>
        <v/>
      </c>
      <c r="K44" s="35"/>
      <c r="L44" s="104" t="str">
        <f aca="false">IFERROR(IF(K44=0,"",K44/K$7),"")</f>
        <v/>
      </c>
    </row>
    <row r="45" customFormat="false" ht="22.5" hidden="false" customHeight="true" outlineLevel="0" collapsed="false">
      <c r="B45" s="108"/>
      <c r="C45" s="65"/>
      <c r="D45" s="109" t="str">
        <f aca="false">IFERROR(IF(C45=0,"",C45/C$7),"")</f>
        <v/>
      </c>
      <c r="E45" s="37"/>
      <c r="F45" s="109" t="str">
        <f aca="false">IFERROR(IF(E45=0,"",E45/E$7),"")</f>
        <v/>
      </c>
      <c r="G45" s="37"/>
      <c r="H45" s="109" t="str">
        <f aca="false">IFERROR(IF(G45=0,"",G45/G$7),"")</f>
        <v/>
      </c>
      <c r="I45" s="37"/>
      <c r="J45" s="109" t="str">
        <f aca="false">IFERROR(IF(I45=0,"",I45/I$7),"")</f>
        <v/>
      </c>
      <c r="K45" s="37"/>
      <c r="L45" s="109" t="str">
        <f aca="false">IFERROR(IF(K45=0,"",K45/K$7),"")</f>
        <v/>
      </c>
    </row>
    <row r="46" customFormat="false" ht="22.5" hidden="false" customHeight="true" outlineLevel="0" collapsed="false">
      <c r="B46" s="141" t="s">
        <v>130</v>
      </c>
      <c r="C46" s="142" t="n">
        <f aca="false">SUM(C34:C45)</f>
        <v>110415172</v>
      </c>
      <c r="D46" s="112" t="n">
        <f aca="false">IFERROR(IF(C46=0,"",C46/C$7),"")</f>
        <v>0.309186229328553</v>
      </c>
      <c r="E46" s="111" t="n">
        <f aca="false">SUM(E34:E45)</f>
        <v>45373229</v>
      </c>
      <c r="F46" s="112" t="n">
        <f aca="false">IFERROR(IF(E46=0,"",E46/E$7),"")</f>
        <v>0.184553332914766</v>
      </c>
      <c r="G46" s="111" t="n">
        <f aca="false">SUM(G34:G45)</f>
        <v>43336610</v>
      </c>
      <c r="H46" s="112" t="n">
        <f aca="false">IFERROR(IF(G46=0,"",G46/G$7),"")</f>
        <v>0.155164939770885</v>
      </c>
      <c r="I46" s="111" t="n">
        <f aca="false">SUM(I34:I45)</f>
        <v>0</v>
      </c>
      <c r="J46" s="112" t="str">
        <f aca="false">IFERROR(IF(I46=0,"",I46/I$7),"")</f>
        <v/>
      </c>
      <c r="K46" s="111" t="n">
        <f aca="false">SUM(K34:K45)</f>
        <v>8134911</v>
      </c>
      <c r="L46" s="112" t="n">
        <f aca="false">IFERROR(IF(K46=0,"",K46/K$7),"")</f>
        <v>0.149423639074649</v>
      </c>
    </row>
    <row r="47" customFormat="false" ht="22.5" hidden="false" customHeight="true" outlineLevel="0" collapsed="false">
      <c r="B47" s="144" t="s">
        <v>131</v>
      </c>
      <c r="C47" s="142" t="n">
        <f aca="false">C14+C23+C33+C46</f>
        <v>353076486</v>
      </c>
      <c r="D47" s="112" t="n">
        <f aca="false">IFERROR(IF(C47=0,"",C47/C$7),"")</f>
        <v>0.988690099318196</v>
      </c>
      <c r="E47" s="142" t="n">
        <f aca="false">E14+E23+E33+E46</f>
        <v>264751125</v>
      </c>
      <c r="F47" s="112" t="n">
        <f aca="false">IFERROR(IF(E47=0,"",E47/E$7),"")</f>
        <v>1.07686192031173</v>
      </c>
      <c r="G47" s="142" t="n">
        <f aca="false">G14+G23+G33+G46</f>
        <v>273790092</v>
      </c>
      <c r="H47" s="112" t="n">
        <f aca="false">IFERROR(IF(G47=0,"",G47/G$7),"")</f>
        <v>0.980294100877876</v>
      </c>
      <c r="I47" s="142" t="n">
        <f aca="false">I14+I23+I33+I46</f>
        <v>0</v>
      </c>
      <c r="J47" s="112" t="str">
        <f aca="false">IFERROR(IF(I47=0,"",I47/I$7),"")</f>
        <v/>
      </c>
      <c r="K47" s="142" t="n">
        <f aca="false">K14+K23+K33+K46</f>
        <v>52337050</v>
      </c>
      <c r="L47" s="112" t="n">
        <f aca="false">IFERROR(IF(K47=0,"",K47/K$7),"")</f>
        <v>0.961337188499276</v>
      </c>
    </row>
    <row r="48" customFormat="false" ht="22.5" hidden="false" customHeight="true" outlineLevel="0" collapsed="false">
      <c r="B48" s="145" t="s">
        <v>132</v>
      </c>
      <c r="C48" s="65" t="n">
        <v>0</v>
      </c>
      <c r="D48" s="109" t="str">
        <f aca="false">IFERROR(IF(C48=0,"",C48/C$7),"")</f>
        <v/>
      </c>
      <c r="E48" s="37" t="n">
        <v>0</v>
      </c>
      <c r="F48" s="109" t="str">
        <f aca="false">IFERROR(IF(E48=0,"",E48/E$7),"")</f>
        <v/>
      </c>
      <c r="G48" s="37" t="n">
        <v>0</v>
      </c>
      <c r="H48" s="109" t="str">
        <f aca="false">IFERROR(IF(G48=0,"",G48/G$7),"")</f>
        <v/>
      </c>
      <c r="I48" s="37" t="n">
        <v>0</v>
      </c>
      <c r="J48" s="109" t="str">
        <f aca="false">IFERROR(IF(I48=0,"",I48/I$7),"")</f>
        <v/>
      </c>
      <c r="K48" s="37" t="n">
        <v>0</v>
      </c>
      <c r="L48" s="109" t="str">
        <f aca="false">IFERROR(IF(K48=0,"",K48/K$7),"")</f>
        <v/>
      </c>
    </row>
    <row r="49" customFormat="false" ht="22.5" hidden="false" customHeight="true" outlineLevel="0" collapsed="false">
      <c r="B49" s="110" t="s">
        <v>77</v>
      </c>
      <c r="C49" s="142" t="n">
        <f aca="false">SUM(C47:C48)</f>
        <v>353076486</v>
      </c>
      <c r="D49" s="112" t="n">
        <f aca="false">IFERROR(IF(C49=0,"",C49/C$7),"")</f>
        <v>0.988690099318196</v>
      </c>
      <c r="E49" s="111" t="n">
        <f aca="false">SUM(E47:E48)</f>
        <v>264751125</v>
      </c>
      <c r="F49" s="112" t="n">
        <f aca="false">IFERROR(IF(E49=0,"",E49/E$7),"")</f>
        <v>1.07686192031173</v>
      </c>
      <c r="G49" s="111" t="n">
        <f aca="false">SUM(G47:G48)</f>
        <v>273790092</v>
      </c>
      <c r="H49" s="112" t="n">
        <f aca="false">IFERROR(IF(G49=0,"",G49/G$7),"")</f>
        <v>0.980294100877876</v>
      </c>
      <c r="I49" s="111" t="n">
        <f aca="false">SUM(I47:I48)</f>
        <v>0</v>
      </c>
      <c r="J49" s="112" t="str">
        <f aca="false">IFERROR(IF(I49=0,"",I49/I$7),"")</f>
        <v/>
      </c>
      <c r="K49" s="111" t="n">
        <f aca="false">SUM(K47:K48)</f>
        <v>52337050</v>
      </c>
      <c r="L49" s="112" t="n">
        <f aca="false">IFERROR(IF(K49=0,"",K49/K$7),"")</f>
        <v>0.961337188499276</v>
      </c>
    </row>
    <row r="50" customFormat="false" ht="22.5" hidden="false" customHeight="true" outlineLevel="0" collapsed="false">
      <c r="B50" s="146" t="s">
        <v>133</v>
      </c>
      <c r="C50" s="147" t="n">
        <v>0</v>
      </c>
      <c r="D50" s="148" t="str">
        <f aca="false">IFERROR(IF(C50=0,"",C50/C$7),"")</f>
        <v/>
      </c>
      <c r="E50" s="149" t="n">
        <v>0</v>
      </c>
      <c r="F50" s="148" t="str">
        <f aca="false">IFERROR(IF(E50=0,"",E50/E$7),"")</f>
        <v/>
      </c>
      <c r="G50" s="149" t="n">
        <v>0</v>
      </c>
      <c r="H50" s="148" t="str">
        <f aca="false">IFERROR(IF(G50=0,"",G50/G$7),"")</f>
        <v/>
      </c>
      <c r="I50" s="149" t="n">
        <v>0</v>
      </c>
      <c r="J50" s="148" t="str">
        <f aca="false">IFERROR(IF(I50=0,"",I50/I$7),"")</f>
        <v/>
      </c>
      <c r="K50" s="149" t="n">
        <v>0</v>
      </c>
      <c r="L50" s="148" t="str">
        <f aca="false">IFERROR(IF(K50=0,"",K50/K$7),"")</f>
        <v/>
      </c>
    </row>
    <row r="51" customFormat="false" ht="22.5" hidden="false" customHeight="true" outlineLevel="0" collapsed="false">
      <c r="B51" s="110" t="s">
        <v>134</v>
      </c>
      <c r="C51" s="142" t="n">
        <f aca="false">C49-C50</f>
        <v>353076486</v>
      </c>
      <c r="D51" s="112" t="n">
        <f aca="false">IFERROR(IF(C51=0,"",C51/C$7),"")</f>
        <v>0.988690099318196</v>
      </c>
      <c r="E51" s="111" t="n">
        <f aca="false">E49-E50</f>
        <v>264751125</v>
      </c>
      <c r="F51" s="112" t="n">
        <f aca="false">IFERROR(IF(E51=0,"",E51/E$7),"")</f>
        <v>1.07686192031173</v>
      </c>
      <c r="G51" s="111" t="n">
        <f aca="false">G49-G50</f>
        <v>273790092</v>
      </c>
      <c r="H51" s="112" t="n">
        <f aca="false">IFERROR(IF(G51=0,"",G51/G$7),"")</f>
        <v>0.980294100877876</v>
      </c>
      <c r="I51" s="111" t="n">
        <f aca="false">I49-I50</f>
        <v>0</v>
      </c>
      <c r="J51" s="112" t="str">
        <f aca="false">IFERROR(IF(I51=0,"",I51/I$7),"")</f>
        <v/>
      </c>
      <c r="K51" s="111" t="n">
        <f aca="false">K49-K50</f>
        <v>52337050</v>
      </c>
      <c r="L51" s="112" t="n">
        <f aca="false">IFERROR(IF(K51=0,"",K51/K$7),"")</f>
        <v>0.961337188499276</v>
      </c>
    </row>
    <row r="52" customFormat="false" ht="18" hidden="false" customHeight="false" outlineLevel="0" collapsed="false">
      <c r="B52" s="47"/>
      <c r="C52" s="150"/>
      <c r="D52" s="151"/>
      <c r="E52" s="152"/>
      <c r="F52" s="151"/>
      <c r="G52" s="152"/>
      <c r="H52" s="151"/>
      <c r="I52" s="152"/>
      <c r="J52" s="151"/>
      <c r="K52" s="152"/>
      <c r="L52" s="151"/>
    </row>
    <row r="53" customFormat="false" ht="18" hidden="false" customHeight="false" outlineLevel="0" collapsed="false">
      <c r="B53" s="153" t="s">
        <v>135</v>
      </c>
      <c r="C53" s="150"/>
      <c r="D53" s="151"/>
      <c r="E53" s="152"/>
      <c r="F53" s="151"/>
      <c r="G53" s="152"/>
      <c r="H53" s="151"/>
      <c r="I53" s="152"/>
      <c r="J53" s="151"/>
      <c r="K53" s="152"/>
      <c r="L53" s="151"/>
    </row>
    <row r="54" customFormat="false" ht="18" hidden="false" customHeight="false" outlineLevel="0" collapsed="false">
      <c r="B54" s="47"/>
      <c r="C54" s="150"/>
      <c r="D54" s="151"/>
      <c r="E54" s="152"/>
      <c r="F54" s="151"/>
      <c r="G54" s="152"/>
      <c r="H54" s="151"/>
      <c r="I54" s="152"/>
      <c r="J54" s="151"/>
      <c r="K54" s="152"/>
      <c r="L54" s="151"/>
    </row>
    <row r="55" customFormat="false" ht="18" hidden="false" customHeight="false" outlineLevel="0" collapsed="false">
      <c r="B55" s="47"/>
      <c r="C55" s="150"/>
      <c r="D55" s="151"/>
      <c r="E55" s="152"/>
      <c r="F55" s="151"/>
      <c r="G55" s="152"/>
      <c r="H55" s="151"/>
      <c r="I55" s="152"/>
      <c r="J55" s="151"/>
      <c r="K55" s="152"/>
      <c r="L55" s="151"/>
    </row>
    <row r="56" customFormat="false" ht="18" hidden="false" customHeight="false" outlineLevel="0" collapsed="false">
      <c r="B56" s="47"/>
      <c r="C56" s="150"/>
      <c r="D56" s="151"/>
      <c r="E56" s="152"/>
      <c r="F56" s="151"/>
      <c r="G56" s="152"/>
      <c r="H56" s="151"/>
      <c r="I56" s="152"/>
      <c r="J56" s="151"/>
      <c r="K56" s="152"/>
      <c r="L56" s="151"/>
    </row>
    <row r="57" customFormat="false" ht="18" hidden="false" customHeight="false" outlineLevel="0" collapsed="false">
      <c r="B57" s="47"/>
      <c r="C57" s="150"/>
      <c r="D57" s="151"/>
      <c r="E57" s="152"/>
      <c r="F57" s="151"/>
      <c r="G57" s="152"/>
      <c r="H57" s="151"/>
      <c r="I57" s="152"/>
      <c r="J57" s="151"/>
      <c r="K57" s="152"/>
      <c r="L57" s="151"/>
    </row>
    <row r="58" customFormat="false" ht="18" hidden="false" customHeight="false" outlineLevel="0" collapsed="false">
      <c r="B58" s="47"/>
      <c r="C58" s="150"/>
      <c r="D58" s="151"/>
      <c r="E58" s="152"/>
      <c r="F58" s="151"/>
      <c r="G58" s="152"/>
      <c r="H58" s="151"/>
      <c r="I58" s="152"/>
      <c r="J58" s="151"/>
      <c r="K58" s="152"/>
      <c r="L58" s="151"/>
    </row>
    <row r="59" customFormat="false" ht="18" hidden="false" customHeight="false" outlineLevel="0" collapsed="false">
      <c r="B59" s="47"/>
      <c r="C59" s="150"/>
      <c r="D59" s="151"/>
      <c r="E59" s="152"/>
      <c r="F59" s="151"/>
      <c r="G59" s="152"/>
      <c r="H59" s="151"/>
      <c r="I59" s="152"/>
      <c r="J59" s="151"/>
      <c r="K59" s="152"/>
      <c r="L59" s="151"/>
    </row>
    <row r="60" customFormat="false" ht="18" hidden="false" customHeight="false" outlineLevel="0" collapsed="false">
      <c r="C60" s="43"/>
      <c r="E60" s="43"/>
      <c r="G60" s="43"/>
      <c r="I60" s="77"/>
      <c r="K60" s="43"/>
    </row>
    <row r="61" customFormat="false" ht="18" hidden="false" customHeight="false" outlineLevel="0" collapsed="false">
      <c r="C61" s="43"/>
      <c r="E61" s="43"/>
      <c r="G61" s="43"/>
      <c r="I61" s="77"/>
      <c r="K61" s="43"/>
    </row>
    <row r="62" customFormat="false" ht="18" hidden="false" customHeight="false" outlineLevel="0" collapsed="false">
      <c r="C62" s="43"/>
      <c r="E62" s="43"/>
      <c r="G62" s="43"/>
      <c r="I62" s="77"/>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57" zoomScaleNormal="57" zoomScalePageLayoutView="100" workbookViewId="0">
      <pane xSplit="0" ySplit="4" topLeftCell="A22" activePane="bottomLeft" state="frozen"/>
      <selection pane="topLeft" activeCell="A1" activeCellId="0" sqref="A1"/>
      <selection pane="bottomLeft" activeCell="G6" activeCellId="0" sqref="G6"/>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8" min="8" style="47" width="15"/>
    <col collapsed="false" customWidth="true" hidden="true" outlineLevel="0" max="9" min="9" style="47" width="15"/>
    <col collapsed="false" customWidth="true" hidden="true" outlineLevel="0" max="10" min="10" style="20" width="15"/>
    <col collapsed="false" customWidth="true" hidden="false" outlineLevel="0" max="12" min="11" style="20" width="15"/>
    <col collapsed="false" customWidth="true" hidden="false" outlineLevel="0" max="13" min="13" style="20" width="16.09"/>
    <col collapsed="false" customWidth="true" hidden="false" outlineLevel="0" max="14" min="14" style="20" width="8.76"/>
  </cols>
  <sheetData>
    <row r="2" customFormat="false" ht="18" hidden="false" customHeight="false" outlineLevel="0" collapsed="false">
      <c r="B2" s="2"/>
      <c r="C2" s="47"/>
      <c r="D2" s="92"/>
      <c r="G2" s="47"/>
      <c r="H2" s="48" t="s">
        <v>50</v>
      </c>
      <c r="I2" s="2"/>
      <c r="K2" s="47"/>
      <c r="L2" s="92"/>
    </row>
    <row r="3" customFormat="false" ht="19.5" hidden="false" customHeight="true" outlineLevel="0" collapsed="false">
      <c r="B3" s="154" t="s">
        <v>6</v>
      </c>
      <c r="C3" s="93" t="str">
        <f aca="false">'BS(借方)'!C4</f>
        <v>24年5月期
（第35期）</v>
      </c>
      <c r="D3" s="93"/>
      <c r="E3" s="94" t="str">
        <f aca="false">'BS(借方)'!D4</f>
        <v>25年5月期
（第36期）</v>
      </c>
      <c r="F3" s="94"/>
      <c r="G3" s="95" t="str">
        <f aca="false">'BS(借方)'!E4</f>
        <v>26年5月期
（第37期）</v>
      </c>
      <c r="H3" s="95"/>
      <c r="I3" s="96" t="str">
        <f aca="false">'BS(借方)'!F4</f>
        <v>－</v>
      </c>
      <c r="J3" s="96"/>
      <c r="K3" s="97" t="str">
        <f aca="false">'BS(借方)'!G4</f>
        <v>26年7月
（進行期2か月TB）</v>
      </c>
      <c r="L3" s="97"/>
    </row>
    <row r="4" customFormat="false" ht="19.5" hidden="false" customHeight="true" outlineLevel="0" collapsed="false">
      <c r="B4" s="154"/>
      <c r="C4" s="25" t="s">
        <v>81</v>
      </c>
      <c r="D4" s="99" t="s">
        <v>82</v>
      </c>
      <c r="E4" s="25" t="s">
        <v>81</v>
      </c>
      <c r="F4" s="25" t="s">
        <v>82</v>
      </c>
      <c r="G4" s="25" t="s">
        <v>81</v>
      </c>
      <c r="H4" s="99" t="s">
        <v>82</v>
      </c>
      <c r="I4" s="25" t="s">
        <v>81</v>
      </c>
      <c r="J4" s="99" t="s">
        <v>82</v>
      </c>
      <c r="K4" s="155" t="s">
        <v>81</v>
      </c>
      <c r="L4" s="101" t="s">
        <v>82</v>
      </c>
    </row>
    <row r="5" customFormat="false" ht="22.5" hidden="true" customHeight="true" outlineLevel="0" collapsed="false">
      <c r="B5" s="136" t="s">
        <v>111</v>
      </c>
      <c r="C5" s="137" t="n">
        <f aca="false">PL!C11</f>
        <v>357115426</v>
      </c>
      <c r="D5" s="138" t="s">
        <v>112</v>
      </c>
      <c r="E5" s="139" t="n">
        <f aca="false">PL!E11</f>
        <v>245854292</v>
      </c>
      <c r="F5" s="138" t="s">
        <v>112</v>
      </c>
      <c r="G5" s="139" t="n">
        <f aca="false">PL!G11</f>
        <v>279293828</v>
      </c>
      <c r="H5" s="138" t="s">
        <v>112</v>
      </c>
      <c r="I5" s="139" t="n">
        <f aca="false">PL!I11</f>
        <v>0</v>
      </c>
      <c r="J5" s="138" t="s">
        <v>112</v>
      </c>
      <c r="K5" s="139" t="n">
        <f aca="false">PL!K11</f>
        <v>54441928</v>
      </c>
      <c r="L5" s="138" t="s">
        <v>112</v>
      </c>
      <c r="M5" s="135" t="s">
        <v>136</v>
      </c>
    </row>
    <row r="6" customFormat="false" ht="22.5" hidden="false" customHeight="true" outlineLevel="0" collapsed="false">
      <c r="B6" s="143" t="s">
        <v>137</v>
      </c>
      <c r="C6" s="61" t="n">
        <v>5820000</v>
      </c>
      <c r="D6" s="104" t="n">
        <f aca="false">IFERROR(C6/C$5,"")</f>
        <v>0.0162972517462743</v>
      </c>
      <c r="E6" s="35" t="n">
        <v>4319700</v>
      </c>
      <c r="F6" s="104" t="n">
        <f aca="false">IFERROR(E6/E$5,"")</f>
        <v>0.0175701630622743</v>
      </c>
      <c r="G6" s="35" t="n">
        <v>3819600</v>
      </c>
      <c r="H6" s="104" t="n">
        <f aca="false">IFERROR(G6/G$5,"")</f>
        <v>0.013675919827344</v>
      </c>
      <c r="I6" s="35"/>
      <c r="J6" s="104" t="str">
        <f aca="false">IFERROR(I6/I$5,"")</f>
        <v/>
      </c>
      <c r="K6" s="35" t="n">
        <v>636600</v>
      </c>
      <c r="L6" s="104" t="n">
        <f aca="false">IFERROR(K6/K$5,"")</f>
        <v>0.011693193525402</v>
      </c>
    </row>
    <row r="7" customFormat="false" ht="22.5" hidden="false" customHeight="true" outlineLevel="0" collapsed="false">
      <c r="B7" s="105" t="s">
        <v>138</v>
      </c>
      <c r="C7" s="61" t="n">
        <v>2556400</v>
      </c>
      <c r="D7" s="104" t="n">
        <f aca="false">IFERROR(C7/C$5,"")</f>
        <v>0.00715846982202331</v>
      </c>
      <c r="E7" s="35" t="n">
        <v>2561490</v>
      </c>
      <c r="F7" s="104" t="n">
        <f aca="false">IFERROR(E7/E$5,"")</f>
        <v>0.0104187320837986</v>
      </c>
      <c r="G7" s="35" t="n">
        <v>2563035</v>
      </c>
      <c r="H7" s="104" t="n">
        <f aca="false">IFERROR(G7/G$5,"")</f>
        <v>0.00917684081439852</v>
      </c>
      <c r="I7" s="35"/>
      <c r="J7" s="104" t="str">
        <f aca="false">IFERROR(I7/I$5,"")</f>
        <v/>
      </c>
      <c r="K7" s="35" t="n">
        <v>426000</v>
      </c>
      <c r="L7" s="104" t="n">
        <f aca="false">IFERROR(K7/K$5,"")</f>
        <v>0.00782485146374684</v>
      </c>
    </row>
    <row r="8" customFormat="false" ht="22.5" hidden="false" customHeight="true" outlineLevel="0" collapsed="false">
      <c r="B8" s="105" t="s">
        <v>118</v>
      </c>
      <c r="C8" s="61" t="n">
        <v>185722</v>
      </c>
      <c r="D8" s="104" t="n">
        <f aca="false">IFERROR(C8/C$5,"")</f>
        <v>0.000520061544471059</v>
      </c>
      <c r="E8" s="35" t="n">
        <v>303211</v>
      </c>
      <c r="F8" s="104" t="n">
        <f aca="false">IFERROR(E8/E$5,"")</f>
        <v>0.00123329553262385</v>
      </c>
      <c r="G8" s="35" t="n">
        <v>277614</v>
      </c>
      <c r="H8" s="104" t="n">
        <f aca="false">IFERROR(G8/G$5,"")</f>
        <v>0.000993985445321047</v>
      </c>
      <c r="I8" s="35"/>
      <c r="J8" s="104" t="str">
        <f aca="false">IFERROR(I8/I$5,"")</f>
        <v/>
      </c>
      <c r="K8" s="35" t="n">
        <v>21242</v>
      </c>
      <c r="L8" s="104" t="n">
        <f aca="false">IFERROR(K8/K$5,"")</f>
        <v>0.000390177217823733</v>
      </c>
    </row>
    <row r="9" customFormat="false" ht="22.5" hidden="false" customHeight="true" outlineLevel="0" collapsed="false">
      <c r="B9" s="105" t="s">
        <v>139</v>
      </c>
      <c r="C9" s="61" t="n">
        <v>0</v>
      </c>
      <c r="D9" s="104" t="n">
        <f aca="false">IFERROR(C9/C$5,"")</f>
        <v>0</v>
      </c>
      <c r="E9" s="35" t="n">
        <v>2596660</v>
      </c>
      <c r="F9" s="104" t="n">
        <f aca="false">IFERROR(E9/E$5,"")</f>
        <v>0.0105617842945772</v>
      </c>
      <c r="G9" s="35" t="n">
        <v>0</v>
      </c>
      <c r="H9" s="104" t="n">
        <f aca="false">IFERROR(G9/G$5,"")</f>
        <v>0</v>
      </c>
      <c r="I9" s="35"/>
      <c r="J9" s="104" t="str">
        <f aca="false">IFERROR(I9/I$5,"")</f>
        <v/>
      </c>
      <c r="K9" s="35" t="n">
        <v>1274</v>
      </c>
      <c r="L9" s="104" t="n">
        <f aca="false">IFERROR(K9/K$5,"")</f>
        <v>2.34010816075434E-005</v>
      </c>
    </row>
    <row r="10" customFormat="false" ht="22.5" hidden="false" customHeight="true" outlineLevel="0" collapsed="false">
      <c r="B10" s="105" t="s">
        <v>124</v>
      </c>
      <c r="C10" s="61" t="n">
        <v>9604</v>
      </c>
      <c r="D10" s="104" t="n">
        <f aca="false">IFERROR(C10/C$5,"")</f>
        <v>2.68932655964293E-005</v>
      </c>
      <c r="E10" s="35" t="n">
        <v>961753</v>
      </c>
      <c r="F10" s="104" t="n">
        <f aca="false">IFERROR(E10/E$5,"")</f>
        <v>0.00391188208339271</v>
      </c>
      <c r="G10" s="35" t="n">
        <v>835251</v>
      </c>
      <c r="H10" s="104" t="n">
        <f aca="false">IFERROR(G10/G$5,"")</f>
        <v>0.00299058166083069</v>
      </c>
      <c r="I10" s="35"/>
      <c r="J10" s="104" t="str">
        <f aca="false">IFERROR(I10/I$5,"")</f>
        <v/>
      </c>
      <c r="K10" s="35" t="n">
        <v>0</v>
      </c>
      <c r="L10" s="104" t="n">
        <f aca="false">IFERROR(K10/K$5,"")</f>
        <v>0</v>
      </c>
    </row>
    <row r="11" customFormat="false" ht="22.5" hidden="false" customHeight="true" outlineLevel="0" collapsed="false">
      <c r="B11" s="105" t="s">
        <v>126</v>
      </c>
      <c r="C11" s="61" t="n">
        <v>2751000</v>
      </c>
      <c r="D11" s="104" t="n">
        <f aca="false">IFERROR(C11/C$5,"")</f>
        <v>0.00770339167594513</v>
      </c>
      <c r="E11" s="35" t="n">
        <v>2533671</v>
      </c>
      <c r="F11" s="104" t="n">
        <f aca="false">IFERROR(E11/E$5,"")</f>
        <v>0.0103055796967742</v>
      </c>
      <c r="G11" s="35" t="n">
        <v>2973400</v>
      </c>
      <c r="H11" s="104" t="n">
        <f aca="false">IFERROR(G11/G$5,"")</f>
        <v>0.0106461357248467</v>
      </c>
      <c r="I11" s="35"/>
      <c r="J11" s="104" t="str">
        <f aca="false">IFERROR(I11/I$5,"")</f>
        <v/>
      </c>
      <c r="K11" s="35" t="n">
        <v>524300</v>
      </c>
      <c r="L11" s="104" t="n">
        <f aca="false">IFERROR(K11/K$5,"")</f>
        <v>0.00963044512310438</v>
      </c>
    </row>
    <row r="12" customFormat="false" ht="22.5" hidden="false" customHeight="true" outlineLevel="0" collapsed="false">
      <c r="B12" s="105" t="s">
        <v>125</v>
      </c>
      <c r="C12" s="61" t="n">
        <v>0</v>
      </c>
      <c r="D12" s="104" t="n">
        <f aca="false">IFERROR(C12/C$5,"")</f>
        <v>0</v>
      </c>
      <c r="E12" s="35" t="n">
        <v>390376</v>
      </c>
      <c r="F12" s="104" t="n">
        <f aca="false">IFERROR(E12/E$5,"")</f>
        <v>0.00158783479769391</v>
      </c>
      <c r="G12" s="35" t="n">
        <v>403476</v>
      </c>
      <c r="H12" s="104" t="n">
        <f aca="false">IFERROR(G12/G$5,"")</f>
        <v>0.00144462913086644</v>
      </c>
      <c r="I12" s="35"/>
      <c r="J12" s="104" t="str">
        <f aca="false">IFERROR(I12/I$5,"")</f>
        <v/>
      </c>
      <c r="K12" s="35" t="n">
        <v>0</v>
      </c>
      <c r="L12" s="104" t="n">
        <f aca="false">IFERROR(K12/K$5,"")</f>
        <v>0</v>
      </c>
    </row>
    <row r="13" customFormat="false" ht="22.5" hidden="false" customHeight="true" outlineLevel="0" collapsed="false">
      <c r="B13" s="105" t="s">
        <v>140</v>
      </c>
      <c r="C13" s="61" t="n">
        <v>112127</v>
      </c>
      <c r="D13" s="104" t="n">
        <f aca="false">IFERROR(C13/C$5,"")</f>
        <v>0.000313979715902835</v>
      </c>
      <c r="E13" s="35" t="n">
        <v>200726</v>
      </c>
      <c r="F13" s="104" t="n">
        <f aca="false">IFERROR(E13/E$5,"")</f>
        <v>0.000816442936046038</v>
      </c>
      <c r="G13" s="35" t="n">
        <v>85356</v>
      </c>
      <c r="H13" s="104" t="n">
        <f aca="false">IFERROR(G13/G$5,"")</f>
        <v>0.000305613627809921</v>
      </c>
      <c r="I13" s="35"/>
      <c r="J13" s="104" t="str">
        <f aca="false">IFERROR(I13/I$5,"")</f>
        <v/>
      </c>
      <c r="K13" s="35" t="n">
        <v>17963</v>
      </c>
      <c r="L13" s="104" t="n">
        <f aca="false">IFERROR(K13/K$5,"")</f>
        <v>0.000329947903387992</v>
      </c>
    </row>
    <row r="14" customFormat="false" ht="22.5" hidden="false" customHeight="true" outlineLevel="0" collapsed="false">
      <c r="B14" s="105" t="s">
        <v>123</v>
      </c>
      <c r="C14" s="61" t="n">
        <v>607568</v>
      </c>
      <c r="D14" s="104" t="n">
        <f aca="false">IFERROR(C14/C$5,"")</f>
        <v>0.00170132107370797</v>
      </c>
      <c r="E14" s="35" t="n">
        <v>286049</v>
      </c>
      <c r="F14" s="104" t="n">
        <f aca="false">IFERROR(E14/E$5,"")</f>
        <v>0.00116348995851575</v>
      </c>
      <c r="G14" s="35" t="n">
        <v>181224</v>
      </c>
      <c r="H14" s="104" t="n">
        <f aca="false">IFERROR(G14/G$5,"")</f>
        <v>0.000648865036860034</v>
      </c>
      <c r="I14" s="35"/>
      <c r="J14" s="104" t="str">
        <f aca="false">IFERROR(I14/I$5,"")</f>
        <v/>
      </c>
      <c r="K14" s="35" t="n">
        <v>54693</v>
      </c>
      <c r="L14" s="104" t="n">
        <f aca="false">IFERROR(K14/K$5,"")</f>
        <v>0.0010046117396871</v>
      </c>
    </row>
    <row r="15" customFormat="false" ht="22.5" hidden="false" customHeight="true" outlineLevel="0" collapsed="false">
      <c r="B15" s="105" t="s">
        <v>121</v>
      </c>
      <c r="C15" s="61" t="n">
        <v>2801634</v>
      </c>
      <c r="D15" s="104" t="n">
        <f aca="false">IFERROR(C15/C$5,"")</f>
        <v>0.00784517776613772</v>
      </c>
      <c r="E15" s="35" t="n">
        <v>144515</v>
      </c>
      <c r="F15" s="104" t="n">
        <f aca="false">IFERROR(E15/E$5,"")</f>
        <v>0.000587807513240403</v>
      </c>
      <c r="G15" s="35" t="n">
        <v>205500</v>
      </c>
      <c r="H15" s="104" t="n">
        <f aca="false">IFERROR(G15/G$5,"")</f>
        <v>0.000735784250842808</v>
      </c>
      <c r="I15" s="35"/>
      <c r="J15" s="104" t="str">
        <f aca="false">IFERROR(I15/I$5,"")</f>
        <v/>
      </c>
      <c r="K15" s="35" t="n">
        <v>31479</v>
      </c>
      <c r="L15" s="104" t="n">
        <f aca="false">IFERROR(K15/K$5,"")</f>
        <v>0.000578212439500673</v>
      </c>
    </row>
    <row r="16" customFormat="false" ht="22.5" hidden="false" customHeight="true" outlineLevel="0" collapsed="false">
      <c r="B16" s="105" t="s">
        <v>141</v>
      </c>
      <c r="C16" s="61" t="n">
        <v>103857</v>
      </c>
      <c r="D16" s="104" t="n">
        <f aca="false">IFERROR(C16/C$5,"")</f>
        <v>0.000290821937218696</v>
      </c>
      <c r="E16" s="35" t="n">
        <v>15273</v>
      </c>
      <c r="F16" s="104" t="n">
        <f aca="false">IFERROR(E16/E$5,"")</f>
        <v>6.21221613653993E-005</v>
      </c>
      <c r="G16" s="35" t="n">
        <v>1511</v>
      </c>
      <c r="H16" s="104" t="n">
        <f aca="false">IFERROR(G16/G$5,"")</f>
        <v>5.41007300741354E-006</v>
      </c>
      <c r="I16" s="35"/>
      <c r="J16" s="104" t="str">
        <f aca="false">IFERROR(I16/I$5,"")</f>
        <v/>
      </c>
      <c r="K16" s="35" t="n">
        <v>0</v>
      </c>
      <c r="L16" s="104" t="n">
        <f aca="false">IFERROR(K16/K$5,"")</f>
        <v>0</v>
      </c>
    </row>
    <row r="17" customFormat="false" ht="22.5" hidden="false" customHeight="true" outlineLevel="0" collapsed="false">
      <c r="B17" s="105" t="s">
        <v>142</v>
      </c>
      <c r="C17" s="61" t="n">
        <v>699844</v>
      </c>
      <c r="D17" s="104" t="n">
        <f aca="false">IFERROR(C17/C$5,"")</f>
        <v>0.00195971372012364</v>
      </c>
      <c r="E17" s="35" t="n">
        <v>1104158</v>
      </c>
      <c r="F17" s="104" t="n">
        <f aca="false">IFERROR(E17/E$5,"")</f>
        <v>0.00449110727747637</v>
      </c>
      <c r="G17" s="35" t="n">
        <v>1025474</v>
      </c>
      <c r="H17" s="104" t="n">
        <f aca="false">IFERROR(G17/G$5,"")</f>
        <v>0.00367166724500622</v>
      </c>
      <c r="I17" s="35"/>
      <c r="J17" s="104" t="str">
        <f aca="false">IFERROR(I17/I$5,"")</f>
        <v/>
      </c>
      <c r="K17" s="35" t="n">
        <v>234755</v>
      </c>
      <c r="L17" s="104" t="n">
        <f aca="false">IFERROR(K17/K$5,"")</f>
        <v>0.00431202583420631</v>
      </c>
    </row>
    <row r="18" customFormat="false" ht="22.5" hidden="false" customHeight="true" outlineLevel="0" collapsed="false">
      <c r="B18" s="105" t="s">
        <v>143</v>
      </c>
      <c r="C18" s="61" t="n">
        <v>1518694</v>
      </c>
      <c r="D18" s="104" t="n">
        <f aca="false">IFERROR(C18/C$5,"")</f>
        <v>0.0042526698356626</v>
      </c>
      <c r="E18" s="35" t="n">
        <v>2387546</v>
      </c>
      <c r="F18" s="104" t="n">
        <f aca="false">IFERROR(E18/E$5,"")</f>
        <v>0.00971122358929573</v>
      </c>
      <c r="G18" s="35" t="n">
        <v>2294626</v>
      </c>
      <c r="H18" s="104" t="n">
        <f aca="false">IFERROR(G18/G$5,"")</f>
        <v>0.00821581349087313</v>
      </c>
      <c r="I18" s="35"/>
      <c r="J18" s="104" t="str">
        <f aca="false">IFERROR(I18/I$5,"")</f>
        <v/>
      </c>
      <c r="K18" s="35" t="n">
        <v>288851</v>
      </c>
      <c r="L18" s="104" t="n">
        <f aca="false">IFERROR(K18/K$5,"")</f>
        <v>0.00530567176092662</v>
      </c>
    </row>
    <row r="19" customFormat="false" ht="22.5" hidden="false" customHeight="true" outlineLevel="0" collapsed="false">
      <c r="B19" s="105" t="s">
        <v>127</v>
      </c>
      <c r="C19" s="61" t="n">
        <v>64259</v>
      </c>
      <c r="D19" s="104" t="n">
        <f aca="false">IFERROR(C19/C$5,"")</f>
        <v>0.000179939020612344</v>
      </c>
      <c r="E19" s="35" t="n">
        <v>155356</v>
      </c>
      <c r="F19" s="104" t="n">
        <f aca="false">IFERROR(E19/E$5,"")</f>
        <v>0.000631902736926797</v>
      </c>
      <c r="G19" s="35" t="n">
        <v>58400</v>
      </c>
      <c r="H19" s="104" t="n">
        <f aca="false">IFERROR(G19/G$5,"")</f>
        <v>0.000209098784667737</v>
      </c>
      <c r="I19" s="35"/>
      <c r="J19" s="104" t="str">
        <f aca="false">IFERROR(I19/I$5,"")</f>
        <v/>
      </c>
      <c r="K19" s="35" t="n">
        <v>5000</v>
      </c>
      <c r="L19" s="104" t="n">
        <f aca="false">IFERROR(K19/K$5,"")</f>
        <v>9.18409796214418E-005</v>
      </c>
    </row>
    <row r="20" customFormat="false" ht="22.5" hidden="false" customHeight="true" outlineLevel="0" collapsed="false">
      <c r="B20" s="105" t="s">
        <v>144</v>
      </c>
      <c r="C20" s="61" t="n">
        <v>101508</v>
      </c>
      <c r="D20" s="104" t="n">
        <f aca="false">IFERROR(C20/C$5,"")</f>
        <v>0.000284244232003576</v>
      </c>
      <c r="E20" s="35" t="n">
        <v>62392</v>
      </c>
      <c r="F20" s="104" t="n">
        <f aca="false">IFERROR(E20/E$5,"")</f>
        <v>0.000253776330250114</v>
      </c>
      <c r="G20" s="35" t="n">
        <v>27168</v>
      </c>
      <c r="H20" s="104" t="n">
        <f aca="false">IFERROR(G20/G$5,"")</f>
        <v>9.72739003741966E-005</v>
      </c>
      <c r="I20" s="35"/>
      <c r="J20" s="104" t="str">
        <f aca="false">IFERROR(I20/I$5,"")</f>
        <v/>
      </c>
      <c r="K20" s="35" t="n">
        <v>13889</v>
      </c>
      <c r="L20" s="104" t="n">
        <f aca="false">IFERROR(K20/K$5,"")</f>
        <v>0.000255115873192441</v>
      </c>
    </row>
    <row r="21" customFormat="false" ht="22.5" hidden="false" customHeight="true" outlineLevel="0" collapsed="false">
      <c r="B21" s="105" t="s">
        <v>145</v>
      </c>
      <c r="C21" s="61" t="n">
        <v>967090</v>
      </c>
      <c r="D21" s="104" t="n">
        <f aca="false">IFERROR(C21/C$5,"")</f>
        <v>0.00270805999850592</v>
      </c>
      <c r="E21" s="35" t="n">
        <v>1027060</v>
      </c>
      <c r="F21" s="104" t="n">
        <f aca="false">IFERROR(E21/E$5,"")</f>
        <v>0.00417751502991862</v>
      </c>
      <c r="G21" s="35" t="n">
        <v>1146820</v>
      </c>
      <c r="H21" s="104" t="n">
        <f aca="false">IFERROR(G21/G$5,"")</f>
        <v>0.00410614157932627</v>
      </c>
      <c r="I21" s="35"/>
      <c r="J21" s="104" t="str">
        <f aca="false">IFERROR(I21/I$5,"")</f>
        <v/>
      </c>
      <c r="K21" s="35" t="n">
        <v>152500</v>
      </c>
      <c r="L21" s="104" t="n">
        <f aca="false">IFERROR(K21/K$5,"")</f>
        <v>0.00280114987845397</v>
      </c>
    </row>
    <row r="22" customFormat="false" ht="22.5" hidden="false" customHeight="true" outlineLevel="0" collapsed="false">
      <c r="B22" s="105" t="s">
        <v>146</v>
      </c>
      <c r="C22" s="61" t="n">
        <v>6000</v>
      </c>
      <c r="D22" s="104" t="n">
        <f aca="false">IFERROR(C22/C$5,"")</f>
        <v>1.68012904600766E-005</v>
      </c>
      <c r="E22" s="35" t="n">
        <v>24000</v>
      </c>
      <c r="F22" s="104" t="n">
        <f aca="false">IFERROR(E22/E$5,"")</f>
        <v>9.76187960956972E-005</v>
      </c>
      <c r="G22" s="35" t="n">
        <v>24000</v>
      </c>
      <c r="H22" s="104" t="n">
        <f aca="false">IFERROR(G22/G$5,"")</f>
        <v>8.59310073977002E-005</v>
      </c>
      <c r="I22" s="35"/>
      <c r="J22" s="104" t="str">
        <f aca="false">IFERROR(I22/I$5,"")</f>
        <v/>
      </c>
      <c r="K22" s="35" t="n">
        <v>0</v>
      </c>
      <c r="L22" s="104" t="n">
        <f aca="false">IFERROR(K22/K$5,"")</f>
        <v>0</v>
      </c>
    </row>
    <row r="23" customFormat="false" ht="22.5" hidden="false" customHeight="true" outlineLevel="0" collapsed="false">
      <c r="B23" s="105" t="s">
        <v>147</v>
      </c>
      <c r="C23" s="61" t="n">
        <v>704833</v>
      </c>
      <c r="D23" s="104" t="n">
        <f aca="false">IFERROR(C23/C$5,"")</f>
        <v>0.0019736839931412</v>
      </c>
      <c r="E23" s="35" t="n">
        <v>483970</v>
      </c>
      <c r="F23" s="104" t="n">
        <f aca="false">IFERROR(E23/E$5,"")</f>
        <v>0.00196852369776811</v>
      </c>
      <c r="G23" s="35" t="n">
        <v>495314</v>
      </c>
      <c r="H23" s="104" t="n">
        <f aca="false">IFERROR(G23/G$5,"")</f>
        <v>0.00177345129159102</v>
      </c>
      <c r="I23" s="35"/>
      <c r="J23" s="104" t="str">
        <f aca="false">IFERROR(I23/I$5,"")</f>
        <v/>
      </c>
      <c r="K23" s="35" t="n">
        <v>65696</v>
      </c>
      <c r="L23" s="104" t="n">
        <f aca="false">IFERROR(K23/K$5,"")</f>
        <v>0.00120671699944205</v>
      </c>
    </row>
    <row r="24" customFormat="false" ht="22.5" hidden="false" customHeight="true" outlineLevel="0" collapsed="false">
      <c r="B24" s="105" t="s">
        <v>148</v>
      </c>
      <c r="C24" s="61" t="n">
        <v>96000</v>
      </c>
      <c r="D24" s="104" t="n">
        <f aca="false">IFERROR(C24/C$5,"")</f>
        <v>0.000268820647361226</v>
      </c>
      <c r="E24" s="35" t="n">
        <v>102000</v>
      </c>
      <c r="F24" s="104" t="n">
        <f aca="false">IFERROR(E24/E$5,"")</f>
        <v>0.000414879883406713</v>
      </c>
      <c r="G24" s="35" t="n">
        <v>30000</v>
      </c>
      <c r="H24" s="104" t="n">
        <f aca="false">IFERROR(G24/G$5,"")</f>
        <v>0.000107413759247125</v>
      </c>
      <c r="I24" s="35"/>
      <c r="J24" s="104" t="str">
        <f aca="false">IFERROR(I24/I$5,"")</f>
        <v/>
      </c>
      <c r="K24" s="35" t="n">
        <v>0</v>
      </c>
      <c r="L24" s="104" t="n">
        <f aca="false">IFERROR(K24/K$5,"")</f>
        <v>0</v>
      </c>
    </row>
    <row r="25" customFormat="false" ht="22.5" hidden="false" customHeight="true" outlineLevel="0" collapsed="false">
      <c r="B25" s="105" t="s">
        <v>129</v>
      </c>
      <c r="C25" s="61" t="n">
        <v>75580</v>
      </c>
      <c r="D25" s="104" t="n">
        <f aca="false">IFERROR(C25/C$5,"")</f>
        <v>0.000211640255495432</v>
      </c>
      <c r="E25" s="35" t="n">
        <v>49770</v>
      </c>
      <c r="F25" s="104" t="n">
        <f aca="false">IFERROR(E25/E$5,"")</f>
        <v>0.000202436978403452</v>
      </c>
      <c r="G25" s="35" t="n">
        <v>55540</v>
      </c>
      <c r="H25" s="104" t="n">
        <f aca="false">IFERROR(G25/G$5,"")</f>
        <v>0.000198858672952845</v>
      </c>
      <c r="I25" s="35"/>
      <c r="J25" s="104" t="str">
        <f aca="false">IFERROR(I25/I$5,"")</f>
        <v/>
      </c>
      <c r="K25" s="35" t="n">
        <v>20092</v>
      </c>
      <c r="L25" s="104" t="n">
        <f aca="false">IFERROR(K25/K$5,"")</f>
        <v>0.000369053792510802</v>
      </c>
    </row>
    <row r="26" customFormat="false" ht="22.5" hidden="false" customHeight="true" outlineLevel="0" collapsed="false">
      <c r="B26" s="105"/>
      <c r="C26" s="61"/>
      <c r="D26" s="104" t="n">
        <f aca="false">IFERROR(C26/C$5,"")</f>
        <v>0</v>
      </c>
      <c r="E26" s="35"/>
      <c r="F26" s="104" t="n">
        <f aca="false">IFERROR(E26/E$5,"")</f>
        <v>0</v>
      </c>
      <c r="G26" s="35"/>
      <c r="H26" s="104" t="n">
        <f aca="false">IFERROR(G26/G$5,"")</f>
        <v>0</v>
      </c>
      <c r="I26" s="35"/>
      <c r="J26" s="104" t="str">
        <f aca="false">IFERROR(I26/I$5,"")</f>
        <v/>
      </c>
      <c r="K26" s="35"/>
      <c r="L26" s="104" t="n">
        <f aca="false">IFERROR(K26/K$5,"")</f>
        <v>0</v>
      </c>
    </row>
    <row r="27" customFormat="false" ht="22.5" hidden="false" customHeight="true" outlineLevel="0" collapsed="false">
      <c r="B27" s="105"/>
      <c r="C27" s="61"/>
      <c r="D27" s="104" t="n">
        <f aca="false">IFERROR(C27/C$5,"")</f>
        <v>0</v>
      </c>
      <c r="E27" s="35"/>
      <c r="F27" s="104" t="n">
        <f aca="false">IFERROR(E27/E$5,"")</f>
        <v>0</v>
      </c>
      <c r="G27" s="35"/>
      <c r="H27" s="104" t="n">
        <f aca="false">IFERROR(G27/G$5,"")</f>
        <v>0</v>
      </c>
      <c r="I27" s="35"/>
      <c r="J27" s="104" t="str">
        <f aca="false">IFERROR(I27/I$5,"")</f>
        <v/>
      </c>
      <c r="K27" s="35"/>
      <c r="L27" s="104" t="n">
        <f aca="false">IFERROR(K27/K$5,"")</f>
        <v>0</v>
      </c>
    </row>
    <row r="28" customFormat="false" ht="22.5" hidden="false" customHeight="true" outlineLevel="0" collapsed="false">
      <c r="B28" s="105"/>
      <c r="C28" s="61"/>
      <c r="D28" s="104" t="n">
        <f aca="false">IFERROR(C28/C$5,"")</f>
        <v>0</v>
      </c>
      <c r="E28" s="35"/>
      <c r="F28" s="104" t="n">
        <f aca="false">IFERROR(E28/E$5,"")</f>
        <v>0</v>
      </c>
      <c r="G28" s="35"/>
      <c r="H28" s="104" t="n">
        <f aca="false">IFERROR(G28/G$5,"")</f>
        <v>0</v>
      </c>
      <c r="I28" s="35"/>
      <c r="J28" s="104" t="str">
        <f aca="false">IFERROR(I28/I$5,"")</f>
        <v/>
      </c>
      <c r="K28" s="35"/>
      <c r="L28" s="104" t="n">
        <f aca="false">IFERROR(K28/K$5,"")</f>
        <v>0</v>
      </c>
    </row>
    <row r="29" customFormat="false" ht="22.5" hidden="false" customHeight="true" outlineLevel="0" collapsed="false">
      <c r="B29" s="105"/>
      <c r="C29" s="61"/>
      <c r="D29" s="104" t="n">
        <f aca="false">IFERROR(C29/C$5,"")</f>
        <v>0</v>
      </c>
      <c r="E29" s="35"/>
      <c r="F29" s="104" t="n">
        <f aca="false">IFERROR(E29/E$5,"")</f>
        <v>0</v>
      </c>
      <c r="G29" s="35"/>
      <c r="H29" s="104" t="n">
        <f aca="false">IFERROR(G29/G$5,"")</f>
        <v>0</v>
      </c>
      <c r="I29" s="35"/>
      <c r="J29" s="104" t="str">
        <f aca="false">IFERROR(I29/I$5,"")</f>
        <v/>
      </c>
      <c r="K29" s="35"/>
      <c r="L29" s="104" t="n">
        <f aca="false">IFERROR(K29/K$5,"")</f>
        <v>0</v>
      </c>
    </row>
    <row r="30" customFormat="false" ht="22.5" hidden="false" customHeight="true" outlineLevel="0" collapsed="false">
      <c r="B30" s="105"/>
      <c r="C30" s="61"/>
      <c r="D30" s="104" t="n">
        <f aca="false">IFERROR(C30/C$5,"")</f>
        <v>0</v>
      </c>
      <c r="E30" s="35"/>
      <c r="F30" s="104" t="n">
        <f aca="false">IFERROR(E30/E$5,"")</f>
        <v>0</v>
      </c>
      <c r="G30" s="35"/>
      <c r="H30" s="104" t="n">
        <f aca="false">IFERROR(G30/G$5,"")</f>
        <v>0</v>
      </c>
      <c r="I30" s="35"/>
      <c r="J30" s="104" t="str">
        <f aca="false">IFERROR(I30/I$5,"")</f>
        <v/>
      </c>
      <c r="K30" s="35"/>
      <c r="L30" s="104" t="n">
        <f aca="false">IFERROR(K30/K$5,"")</f>
        <v>0</v>
      </c>
    </row>
    <row r="31" customFormat="false" ht="22.5" hidden="false" customHeight="true" outlineLevel="0" collapsed="false">
      <c r="B31" s="105"/>
      <c r="C31" s="61"/>
      <c r="D31" s="104" t="n">
        <f aca="false">IFERROR(C31/C$5,"")</f>
        <v>0</v>
      </c>
      <c r="E31" s="35"/>
      <c r="F31" s="104" t="n">
        <f aca="false">IFERROR(E31/E$5,"")</f>
        <v>0</v>
      </c>
      <c r="G31" s="35"/>
      <c r="H31" s="104" t="n">
        <f aca="false">IFERROR(G31/G$5,"")</f>
        <v>0</v>
      </c>
      <c r="I31" s="35"/>
      <c r="J31" s="104" t="str">
        <f aca="false">IFERROR(I31/I$5,"")</f>
        <v/>
      </c>
      <c r="K31" s="35"/>
      <c r="L31" s="104" t="n">
        <f aca="false">IFERROR(K31/K$5,"")</f>
        <v>0</v>
      </c>
    </row>
    <row r="32" customFormat="false" ht="22.5" hidden="false" customHeight="true" outlineLevel="0" collapsed="false">
      <c r="B32" s="105"/>
      <c r="C32" s="61"/>
      <c r="D32" s="104" t="n">
        <f aca="false">IFERROR(C32/C$5,"")</f>
        <v>0</v>
      </c>
      <c r="E32" s="35"/>
      <c r="F32" s="104" t="n">
        <f aca="false">IFERROR(E32/E$5,"")</f>
        <v>0</v>
      </c>
      <c r="G32" s="35"/>
      <c r="H32" s="104" t="n">
        <f aca="false">IFERROR(G32/G$5,"")</f>
        <v>0</v>
      </c>
      <c r="I32" s="35"/>
      <c r="J32" s="104" t="str">
        <f aca="false">IFERROR(I32/I$5,"")</f>
        <v/>
      </c>
      <c r="K32" s="35"/>
      <c r="L32" s="104" t="n">
        <f aca="false">IFERROR(K32/K$5,"")</f>
        <v>0</v>
      </c>
    </row>
    <row r="33" customFormat="false" ht="22.5" hidden="false" customHeight="true" outlineLevel="0" collapsed="false">
      <c r="B33" s="105"/>
      <c r="C33" s="61"/>
      <c r="D33" s="104" t="n">
        <f aca="false">IFERROR(C33/C$5,"")</f>
        <v>0</v>
      </c>
      <c r="E33" s="35"/>
      <c r="F33" s="104" t="n">
        <f aca="false">IFERROR(E33/E$5,"")</f>
        <v>0</v>
      </c>
      <c r="G33" s="35"/>
      <c r="H33" s="104" t="n">
        <f aca="false">IFERROR(G33/G$5,"")</f>
        <v>0</v>
      </c>
      <c r="I33" s="35"/>
      <c r="J33" s="104" t="str">
        <f aca="false">IFERROR(I33/I$5,"")</f>
        <v/>
      </c>
      <c r="K33" s="35"/>
      <c r="L33" s="104" t="n">
        <f aca="false">IFERROR(K33/K$5,"")</f>
        <v>0</v>
      </c>
    </row>
    <row r="34" customFormat="false" ht="22.5" hidden="false" customHeight="true" outlineLevel="0" collapsed="false">
      <c r="B34" s="105"/>
      <c r="C34" s="61"/>
      <c r="D34" s="104" t="n">
        <f aca="false">IFERROR(C34/C$5,"")</f>
        <v>0</v>
      </c>
      <c r="E34" s="35"/>
      <c r="F34" s="104" t="n">
        <f aca="false">IFERROR(E34/E$5,"")</f>
        <v>0</v>
      </c>
      <c r="G34" s="35"/>
      <c r="H34" s="104" t="n">
        <f aca="false">IFERROR(G34/G$5,"")</f>
        <v>0</v>
      </c>
      <c r="I34" s="35"/>
      <c r="J34" s="104" t="str">
        <f aca="false">IFERROR(I34/I$5,"")</f>
        <v/>
      </c>
      <c r="K34" s="35"/>
      <c r="L34" s="104" t="n">
        <f aca="false">IFERROR(K34/K$5,"")</f>
        <v>0</v>
      </c>
    </row>
    <row r="35" customFormat="false" ht="22.5" hidden="false" customHeight="true" outlineLevel="0" collapsed="false">
      <c r="B35" s="105"/>
      <c r="C35" s="61"/>
      <c r="D35" s="104" t="n">
        <f aca="false">IFERROR(C35/C$5,"")</f>
        <v>0</v>
      </c>
      <c r="E35" s="35"/>
      <c r="F35" s="104" t="n">
        <f aca="false">IFERROR(E35/E$5,"")</f>
        <v>0</v>
      </c>
      <c r="G35" s="35"/>
      <c r="H35" s="104" t="n">
        <f aca="false">IFERROR(G35/G$5,"")</f>
        <v>0</v>
      </c>
      <c r="I35" s="35"/>
      <c r="J35" s="104" t="str">
        <f aca="false">IFERROR(I35/I$5,"")</f>
        <v/>
      </c>
      <c r="K35" s="35"/>
      <c r="L35" s="104" t="n">
        <f aca="false">IFERROR(K35/K$5,"")</f>
        <v>0</v>
      </c>
    </row>
    <row r="36" customFormat="false" ht="22.5" hidden="false" customHeight="true" outlineLevel="0" collapsed="false">
      <c r="B36" s="105"/>
      <c r="C36" s="61"/>
      <c r="D36" s="104" t="n">
        <f aca="false">IFERROR(C36/C$5,"")</f>
        <v>0</v>
      </c>
      <c r="E36" s="35"/>
      <c r="F36" s="104" t="n">
        <f aca="false">IFERROR(E36/E$5,"")</f>
        <v>0</v>
      </c>
      <c r="G36" s="35"/>
      <c r="H36" s="104" t="n">
        <f aca="false">IFERROR(G36/G$5,"")</f>
        <v>0</v>
      </c>
      <c r="I36" s="35"/>
      <c r="J36" s="104" t="str">
        <f aca="false">IFERROR(I36/I$5,"")</f>
        <v/>
      </c>
      <c r="K36" s="35"/>
      <c r="L36" s="104" t="n">
        <f aca="false">IFERROR(K36/K$5,"")</f>
        <v>0</v>
      </c>
    </row>
    <row r="37" customFormat="false" ht="22.5" hidden="false" customHeight="true" outlineLevel="0" collapsed="false">
      <c r="B37" s="105"/>
      <c r="C37" s="61"/>
      <c r="D37" s="104" t="n">
        <f aca="false">IFERROR(C37/C$5,"")</f>
        <v>0</v>
      </c>
      <c r="E37" s="35"/>
      <c r="F37" s="104" t="n">
        <f aca="false">IFERROR(E37/E$5,"")</f>
        <v>0</v>
      </c>
      <c r="G37" s="35"/>
      <c r="H37" s="104" t="n">
        <f aca="false">IFERROR(G37/G$5,"")</f>
        <v>0</v>
      </c>
      <c r="I37" s="35"/>
      <c r="J37" s="104" t="str">
        <f aca="false">IFERROR(I37/I$5,"")</f>
        <v/>
      </c>
      <c r="K37" s="35"/>
      <c r="L37" s="104" t="n">
        <f aca="false">IFERROR(K37/K$5,"")</f>
        <v>0</v>
      </c>
    </row>
    <row r="38" customFormat="false" ht="22.5" hidden="false" customHeight="true" outlineLevel="0" collapsed="false">
      <c r="B38" s="105"/>
      <c r="C38" s="61"/>
      <c r="D38" s="104" t="n">
        <f aca="false">IFERROR(C38/C$5,"")</f>
        <v>0</v>
      </c>
      <c r="E38" s="35"/>
      <c r="F38" s="104" t="n">
        <f aca="false">IFERROR(E38/E$5,"")</f>
        <v>0</v>
      </c>
      <c r="G38" s="35"/>
      <c r="H38" s="104" t="n">
        <f aca="false">IFERROR(G38/G$5,"")</f>
        <v>0</v>
      </c>
      <c r="I38" s="35"/>
      <c r="J38" s="104" t="str">
        <f aca="false">IFERROR(I38/I$5,"")</f>
        <v/>
      </c>
      <c r="K38" s="35"/>
      <c r="L38" s="104" t="n">
        <f aca="false">IFERROR(K38/K$5,"")</f>
        <v>0</v>
      </c>
    </row>
    <row r="39" customFormat="false" ht="22.5" hidden="false" customHeight="true" outlineLevel="0" collapsed="false">
      <c r="B39" s="105"/>
      <c r="C39" s="61"/>
      <c r="D39" s="104" t="n">
        <f aca="false">IFERROR(C39/C$5,"")</f>
        <v>0</v>
      </c>
      <c r="E39" s="35"/>
      <c r="F39" s="104" t="n">
        <f aca="false">IFERROR(E39/E$5,"")</f>
        <v>0</v>
      </c>
      <c r="G39" s="35"/>
      <c r="H39" s="104" t="n">
        <f aca="false">IFERROR(G39/G$5,"")</f>
        <v>0</v>
      </c>
      <c r="I39" s="35"/>
      <c r="J39" s="104" t="str">
        <f aca="false">IFERROR(I39/I$5,"")</f>
        <v/>
      </c>
      <c r="K39" s="35"/>
      <c r="L39" s="104" t="n">
        <f aca="false">IFERROR(K39/K$5,"")</f>
        <v>0</v>
      </c>
    </row>
    <row r="40" customFormat="false" ht="22.5" hidden="false" customHeight="true" outlineLevel="0" collapsed="false">
      <c r="B40" s="156" t="s">
        <v>149</v>
      </c>
      <c r="C40" s="157" t="n">
        <f aca="false">SUM(C6:C39)</f>
        <v>19181720</v>
      </c>
      <c r="D40" s="158" t="n">
        <f aca="false">IFERROR(C40/C5,"")</f>
        <v>0.0537129415406435</v>
      </c>
      <c r="E40" s="159" t="n">
        <f aca="false">SUM(E6:E39)</f>
        <v>19709676</v>
      </c>
      <c r="F40" s="158" t="n">
        <f aca="false">IFERROR(E40/E5,"")</f>
        <v>0.080168118439844</v>
      </c>
      <c r="G40" s="159" t="n">
        <f aca="false">SUM(G6:G39)</f>
        <v>16503309</v>
      </c>
      <c r="H40" s="158" t="n">
        <f aca="false">IFERROR(G40/G5,"")</f>
        <v>0.0590894153235638</v>
      </c>
      <c r="I40" s="159" t="n">
        <f aca="false">SUM(I6:I39)</f>
        <v>0</v>
      </c>
      <c r="J40" s="158" t="str">
        <f aca="false">IFERROR(I40/I5,"")</f>
        <v/>
      </c>
      <c r="K40" s="159" t="n">
        <f aca="false">SUM(K6:K39)</f>
        <v>2494334</v>
      </c>
      <c r="L40" s="158" t="n">
        <f aca="false">IFERROR(K40/K5,"")</f>
        <v>0.0458164156126139</v>
      </c>
    </row>
    <row r="41" customFormat="false" ht="18" hidden="false" customHeight="false" outlineLevel="0" collapsed="false">
      <c r="B41" s="47"/>
      <c r="C41" s="150"/>
      <c r="D41" s="19"/>
      <c r="E41" s="152"/>
      <c r="F41" s="19"/>
      <c r="G41" s="152"/>
      <c r="H41" s="19"/>
      <c r="I41" s="152"/>
      <c r="J41" s="19"/>
      <c r="K41" s="152"/>
      <c r="L41" s="19"/>
    </row>
    <row r="42" customFormat="false" ht="18" hidden="false" customHeight="false" outlineLevel="0" collapsed="false">
      <c r="B42" s="47"/>
      <c r="C42" s="150"/>
      <c r="D42" s="19"/>
      <c r="E42" s="152"/>
      <c r="F42" s="19"/>
      <c r="G42" s="152"/>
      <c r="H42" s="19"/>
      <c r="I42" s="152"/>
      <c r="J42" s="19"/>
      <c r="K42" s="152"/>
      <c r="L42" s="19"/>
    </row>
    <row r="43" customFormat="false" ht="18" hidden="false" customHeight="false" outlineLevel="0" collapsed="false">
      <c r="B43" s="47"/>
      <c r="C43" s="150"/>
      <c r="D43" s="19"/>
      <c r="E43" s="152"/>
      <c r="F43" s="19"/>
      <c r="G43" s="152"/>
      <c r="H43" s="19"/>
      <c r="I43" s="152"/>
      <c r="J43" s="19"/>
      <c r="K43" s="152"/>
      <c r="L43" s="19"/>
    </row>
    <row r="44" customFormat="false" ht="18" hidden="false" customHeight="false" outlineLevel="0" collapsed="false">
      <c r="B44" s="47"/>
      <c r="C44" s="150"/>
      <c r="D44" s="19"/>
      <c r="E44" s="152"/>
      <c r="F44" s="19"/>
      <c r="G44" s="152"/>
      <c r="H44" s="19"/>
      <c r="I44" s="152"/>
      <c r="J44" s="19"/>
      <c r="K44" s="152"/>
      <c r="L44" s="19"/>
    </row>
    <row r="45" customFormat="false" ht="18" hidden="false" customHeight="false" outlineLevel="0" collapsed="false">
      <c r="B45" s="47"/>
      <c r="C45" s="150"/>
      <c r="D45" s="19"/>
      <c r="E45" s="152"/>
      <c r="F45" s="19"/>
      <c r="G45" s="152"/>
      <c r="H45" s="19"/>
      <c r="I45" s="152"/>
      <c r="J45" s="19"/>
      <c r="K45" s="152"/>
      <c r="L45" s="19"/>
    </row>
    <row r="46" customFormat="false" ht="18" hidden="false" customHeight="false" outlineLevel="0" collapsed="false">
      <c r="B46" s="47"/>
      <c r="C46" s="150"/>
      <c r="D46" s="19"/>
      <c r="E46" s="152"/>
      <c r="F46" s="19"/>
      <c r="G46" s="152"/>
      <c r="H46" s="19"/>
      <c r="I46" s="152"/>
      <c r="J46" s="19"/>
      <c r="K46" s="152"/>
      <c r="L46" s="19"/>
    </row>
    <row r="47" customFormat="false" ht="18" hidden="false" customHeight="false" outlineLevel="0" collapsed="false">
      <c r="B47" s="47"/>
      <c r="C47" s="150"/>
      <c r="D47" s="19"/>
      <c r="E47" s="152"/>
      <c r="F47" s="19"/>
      <c r="G47" s="152"/>
      <c r="H47" s="19"/>
      <c r="I47" s="152"/>
      <c r="J47" s="19"/>
      <c r="K47" s="152"/>
      <c r="L47" s="19"/>
    </row>
    <row r="48" customFormat="false" ht="18" hidden="false" customHeight="false" outlineLevel="0" collapsed="false">
      <c r="B48" s="47"/>
      <c r="C48" s="150"/>
      <c r="D48" s="19"/>
      <c r="E48" s="152"/>
      <c r="F48" s="19"/>
      <c r="G48" s="152"/>
      <c r="H48" s="19"/>
      <c r="I48" s="152"/>
      <c r="J48" s="19"/>
      <c r="K48" s="152"/>
      <c r="L48" s="19"/>
    </row>
    <row r="49" customFormat="false" ht="18" hidden="false" customHeight="false" outlineLevel="0" collapsed="false">
      <c r="C49" s="43"/>
      <c r="E49" s="43"/>
      <c r="G49" s="43"/>
      <c r="I49" s="77"/>
      <c r="K49" s="43"/>
    </row>
    <row r="50" customFormat="false" ht="18" hidden="false" customHeight="false" outlineLevel="0" collapsed="false">
      <c r="C50" s="43"/>
      <c r="E50" s="43"/>
      <c r="G50" s="43"/>
      <c r="I50" s="77"/>
      <c r="K50" s="43"/>
    </row>
    <row r="51" customFormat="false" ht="18" hidden="false" customHeight="false" outlineLevel="0" collapsed="false">
      <c r="C51" s="43"/>
      <c r="E51" s="43"/>
      <c r="G51" s="43"/>
      <c r="I51" s="77"/>
      <c r="K51" s="43"/>
    </row>
    <row r="52" customFormat="false" ht="18" hidden="false" customHeight="false" outlineLevel="0" collapsed="false">
      <c r="C52" s="43"/>
      <c r="E52" s="43"/>
      <c r="G52" s="43"/>
      <c r="I52" s="77"/>
      <c r="K52" s="43"/>
    </row>
    <row r="53" customFormat="false" ht="18" hidden="false" customHeight="false" outlineLevel="0" collapsed="false">
      <c r="C53" s="43"/>
      <c r="E53" s="43"/>
      <c r="G53" s="43"/>
      <c r="I53" s="77"/>
      <c r="K53" s="43"/>
    </row>
    <row r="54" customFormat="false" ht="18" hidden="false" customHeight="fals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74" zoomScaleNormal="74" zoomScalePageLayoutView="100" workbookViewId="0">
      <selection pane="topLeft" activeCell="D5" activeCellId="0" sqref="D5"/>
    </sheetView>
  </sheetViews>
  <sheetFormatPr defaultColWidth="8.53125" defaultRowHeight="18" zeroHeight="false" outlineLevelRow="0" outlineLevelCol="0"/>
  <cols>
    <col collapsed="false" customWidth="true" hidden="false" outlineLevel="0" max="6" min="2" style="20" width="18.58"/>
  </cols>
  <sheetData>
    <row r="1" customFormat="false" ht="18" hidden="false" customHeight="false" outlineLevel="0" collapsed="false">
      <c r="A1" s="160" t="s">
        <v>150</v>
      </c>
    </row>
    <row r="2" customFormat="false" ht="18" hidden="false" customHeight="false" outlineLevel="0" collapsed="false">
      <c r="F2" s="48" t="s">
        <v>50</v>
      </c>
    </row>
    <row r="3" customFormat="false" ht="21.75" hidden="false" customHeight="true" outlineLevel="0" collapsed="false">
      <c r="B3" s="161"/>
      <c r="C3" s="162" t="s">
        <v>151</v>
      </c>
      <c r="D3" s="99" t="s">
        <v>152</v>
      </c>
      <c r="E3" s="163" t="s">
        <v>153</v>
      </c>
      <c r="F3" s="163"/>
    </row>
    <row r="4" customFormat="false" ht="31.5" hidden="false" customHeight="true" outlineLevel="0" collapsed="false">
      <c r="B4" s="164" t="s">
        <v>154</v>
      </c>
      <c r="C4" s="165" t="n">
        <v>0</v>
      </c>
      <c r="D4" s="166" t="n">
        <v>0</v>
      </c>
      <c r="E4" s="166" t="n">
        <v>0</v>
      </c>
      <c r="F4" s="165" t="n">
        <v>100</v>
      </c>
      <c r="I4" s="2"/>
    </row>
    <row r="5" customFormat="false" ht="31.5" hidden="false" customHeight="true" outlineLevel="0" collapsed="false">
      <c r="B5" s="164" t="s">
        <v>155</v>
      </c>
      <c r="C5" s="166" t="n">
        <f aca="false">'EV EBITDAマルチプル'!K7</f>
        <v>-27804811</v>
      </c>
      <c r="D5" s="167" t="n">
        <f aca="false">E5-C5</f>
        <v>0</v>
      </c>
      <c r="E5" s="166" t="n">
        <f aca="false">'EV EBITDAマルチプル'!M7</f>
        <v>-27804811</v>
      </c>
      <c r="F5" s="165" t="n">
        <v>0</v>
      </c>
    </row>
    <row r="6" customFormat="false" ht="31.5" hidden="false" customHeight="true" outlineLevel="0" collapsed="false">
      <c r="B6" s="168" t="s">
        <v>156</v>
      </c>
      <c r="C6" s="165" t="n">
        <f aca="false">年買法!K6</f>
        <v>-12586296</v>
      </c>
      <c r="D6" s="167" t="n">
        <f aca="false">E6-C6</f>
        <v>0</v>
      </c>
      <c r="E6" s="165" t="n">
        <f aca="false">年買法!M6</f>
        <v>-12586296</v>
      </c>
      <c r="F6" s="165"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0889C9"/>
    <pageSetUpPr fitToPage="false"/>
  </sheetPr>
  <dimension ref="B2:F119"/>
  <sheetViews>
    <sheetView showFormulas="false" showGridLines="false" showRowColHeaders="true" showZeros="true" rightToLeft="false" tabSelected="false" showOutlineSymbols="true" defaultGridColor="true" view="normal" topLeftCell="A1" colorId="64" zoomScale="91" zoomScaleNormal="91" zoomScalePageLayoutView="100" workbookViewId="0">
      <pane xSplit="0" ySplit="4" topLeftCell="A5" activePane="bottomLeft" state="frozen"/>
      <selection pane="topLeft" activeCell="A1" activeCellId="0" sqref="A1"/>
      <selection pane="bottomLeft" activeCell="E61" activeCellId="0" sqref="E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5" min="3" style="20" width="16.09"/>
    <col collapsed="false" customWidth="true" hidden="false" outlineLevel="0" max="6" min="6" style="20" width="70"/>
  </cols>
  <sheetData>
    <row r="2" customFormat="false" ht="18" hidden="false" customHeight="false" outlineLevel="0" collapsed="false">
      <c r="E2" s="48" t="s">
        <v>50</v>
      </c>
    </row>
    <row r="3" customFormat="false" ht="27.75" hidden="false" customHeight="true" outlineLevel="0" collapsed="false">
      <c r="B3" s="8" t="s">
        <v>5</v>
      </c>
      <c r="C3" s="8"/>
      <c r="D3" s="8"/>
      <c r="E3" s="8"/>
    </row>
    <row r="4" customFormat="false" ht="19.5" hidden="false" customHeight="true" outlineLevel="0" collapsed="false">
      <c r="B4" s="9" t="s">
        <v>6</v>
      </c>
      <c r="C4" s="169" t="str">
        <f aca="false">'BS(借方)'!E4</f>
        <v>26年5月期
（第37期）</v>
      </c>
      <c r="D4" s="11" t="s">
        <v>157</v>
      </c>
      <c r="E4" s="12" t="s">
        <v>158</v>
      </c>
    </row>
    <row r="5" customFormat="false" ht="22.5" hidden="false" customHeight="true" outlineLevel="0" collapsed="false">
      <c r="B5" s="13" t="s">
        <v>9</v>
      </c>
      <c r="C5" s="14" t="n">
        <f aca="false">SUM(C6:C19)</f>
        <v>38983092</v>
      </c>
      <c r="D5" s="14" t="n">
        <f aca="false">SUM(D6:D19)</f>
        <v>0</v>
      </c>
      <c r="E5" s="15" t="n">
        <f aca="false">C5+D5</f>
        <v>38983092</v>
      </c>
    </row>
    <row r="6" customFormat="false" ht="22.5" hidden="false" customHeight="true" outlineLevel="0" collapsed="false">
      <c r="B6" s="16" t="str">
        <f aca="false">IF('BS(借方)'!B6="","",'BS(借方)'!B6)</f>
        <v>現金及び預金</v>
      </c>
      <c r="C6" s="17" t="n">
        <f aca="false">'BS(借方)'!E6</f>
        <v>4903189</v>
      </c>
      <c r="D6" s="17"/>
      <c r="E6" s="18" t="n">
        <f aca="false">C6+D6</f>
        <v>4903189</v>
      </c>
    </row>
    <row r="7" customFormat="false" ht="22.5" hidden="false" customHeight="true" outlineLevel="0" collapsed="false">
      <c r="B7" s="16" t="str">
        <f aca="false">IF('BS(借方)'!B7="","",'BS(借方)'!B7)</f>
        <v>請負未収金</v>
      </c>
      <c r="C7" s="17" t="n">
        <f aca="false">'BS(借方)'!E7</f>
        <v>28451645</v>
      </c>
      <c r="D7" s="17"/>
      <c r="E7" s="18" t="n">
        <f aca="false">C7+D7</f>
        <v>28451645</v>
      </c>
      <c r="F7" s="46" t="s">
        <v>159</v>
      </c>
    </row>
    <row r="8" customFormat="false" ht="22.5" hidden="false" customHeight="true" outlineLevel="0" collapsed="false">
      <c r="B8" s="16" t="str">
        <f aca="false">IF('BS(借方)'!B8="","",'BS(借方)'!B8)</f>
        <v>貯蔵品（梱包資材）</v>
      </c>
      <c r="C8" s="17" t="n">
        <f aca="false">'BS(借方)'!E8</f>
        <v>3269850</v>
      </c>
      <c r="D8" s="17"/>
      <c r="E8" s="18" t="n">
        <f aca="false">C8+D8</f>
        <v>3269850</v>
      </c>
    </row>
    <row r="9" customFormat="false" ht="22.5" hidden="false" customHeight="true" outlineLevel="0" collapsed="false">
      <c r="B9" s="16" t="str">
        <f aca="false">IF('BS(借方)'!B9="","",'BS(借方)'!B9)</f>
        <v>短期貸付金</v>
      </c>
      <c r="C9" s="17" t="n">
        <f aca="false">'BS(借方)'!E9</f>
        <v>0</v>
      </c>
      <c r="D9" s="17"/>
      <c r="E9" s="18" t="n">
        <f aca="false">C9+D9</f>
        <v>0</v>
      </c>
    </row>
    <row r="10" customFormat="false" ht="22.5" hidden="false" customHeight="true" outlineLevel="0" collapsed="false">
      <c r="B10" s="16" t="str">
        <f aca="false">IF('BS(借方)'!B10="","",'BS(借方)'!B10)</f>
        <v>前払費用</v>
      </c>
      <c r="C10" s="17" t="n">
        <f aca="false">'BS(借方)'!E10</f>
        <v>2293807</v>
      </c>
      <c r="D10" s="17"/>
      <c r="E10" s="18" t="n">
        <f aca="false">C10+D10</f>
        <v>2293807</v>
      </c>
    </row>
    <row r="11" customFormat="false" ht="22.5" hidden="false" customHeight="true" outlineLevel="0" collapsed="false">
      <c r="B11" s="16" t="str">
        <f aca="false">IF('BS(借方)'!B11="","",'BS(借方)'!B11)</f>
        <v>仮払金</v>
      </c>
      <c r="C11" s="17" t="n">
        <f aca="false">'BS(借方)'!E11</f>
        <v>64601</v>
      </c>
      <c r="D11" s="17"/>
      <c r="E11" s="18" t="n">
        <f aca="false">C11+D11</f>
        <v>64601</v>
      </c>
    </row>
    <row r="12" customFormat="false" ht="22.5" hidden="false" customHeight="true" outlineLevel="0" collapsed="false">
      <c r="B12" s="16" t="str">
        <f aca="false">IF('BS(借方)'!B12="","",'BS(借方)'!B12)</f>
        <v>未収消費税等</v>
      </c>
      <c r="C12" s="17" t="n">
        <f aca="false">'BS(借方)'!E12</f>
        <v>0</v>
      </c>
      <c r="D12" s="17"/>
      <c r="E12" s="18" t="n">
        <f aca="false">C12+D12</f>
        <v>0</v>
      </c>
    </row>
    <row r="13" customFormat="false" ht="22.5" hidden="false" customHeight="true" outlineLevel="0" collapsed="false">
      <c r="B13" s="16" t="str">
        <f aca="false">IF('BS(借方)'!B13="","",'BS(借方)'!B13)</f>
        <v>仮払消費税等</v>
      </c>
      <c r="C13" s="17" t="n">
        <f aca="false">'BS(借方)'!E13</f>
        <v>0</v>
      </c>
      <c r="D13" s="17"/>
      <c r="E13" s="18" t="n">
        <f aca="false">C13+D13</f>
        <v>0</v>
      </c>
    </row>
    <row r="14" customFormat="false" ht="22.5" hidden="false" customHeight="true" outlineLevel="0" collapsed="false">
      <c r="B14" s="16" t="str">
        <f aca="false">IF('BS(借方)'!B14="","",'BS(借方)'!B14)</f>
        <v>その他（元帳未掲載差額・要確認）</v>
      </c>
      <c r="C14" s="17" t="n">
        <f aca="false">'BS(借方)'!E14</f>
        <v>0</v>
      </c>
      <c r="D14" s="17"/>
      <c r="E14" s="18" t="n">
        <f aca="false">C14+D14</f>
        <v>0</v>
      </c>
    </row>
    <row r="15" customFormat="false" ht="22.5" hidden="false" customHeight="true" outlineLevel="0" collapsed="false">
      <c r="B15" s="16" t="str">
        <f aca="false">IF('BS(借方)'!B15="","",'BS(借方)'!B15)</f>
        <v/>
      </c>
      <c r="C15" s="17" t="n">
        <f aca="false">'BS(借方)'!E15</f>
        <v>0</v>
      </c>
      <c r="D15" s="17"/>
      <c r="E15" s="18" t="n">
        <f aca="false">C15+D15</f>
        <v>0</v>
      </c>
    </row>
    <row r="16" customFormat="false" ht="22.5" hidden="false" customHeight="true" outlineLevel="0" collapsed="false">
      <c r="B16" s="16" t="str">
        <f aca="false">IF('BS(借方)'!B16="","",'BS(借方)'!B16)</f>
        <v/>
      </c>
      <c r="C16" s="17" t="n">
        <f aca="false">'BS(借方)'!E16</f>
        <v>0</v>
      </c>
      <c r="D16" s="17"/>
      <c r="E16" s="18" t="n">
        <f aca="false">C16+D16</f>
        <v>0</v>
      </c>
    </row>
    <row r="17" customFormat="false" ht="22.5" hidden="false" customHeight="true" outlineLevel="0" collapsed="false">
      <c r="B17" s="16" t="str">
        <f aca="false">IF('BS(借方)'!B17="","",'BS(借方)'!B17)</f>
        <v/>
      </c>
      <c r="C17" s="17" t="n">
        <f aca="false">'BS(借方)'!E17</f>
        <v>0</v>
      </c>
      <c r="D17" s="17"/>
      <c r="E17" s="18" t="n">
        <f aca="false">C17+D17</f>
        <v>0</v>
      </c>
    </row>
    <row r="18" customFormat="false" ht="22.5" hidden="false" customHeight="true" outlineLevel="0" collapsed="false">
      <c r="B18" s="16" t="str">
        <f aca="false">IF('BS(借方)'!B18="","",'BS(借方)'!B18)</f>
        <v/>
      </c>
      <c r="C18" s="17" t="n">
        <f aca="false">'BS(借方)'!E18</f>
        <v>0</v>
      </c>
      <c r="D18" s="17"/>
      <c r="E18" s="18" t="n">
        <f aca="false">C18+D18</f>
        <v>0</v>
      </c>
    </row>
    <row r="19" customFormat="false" ht="22.5" hidden="false" customHeight="true" outlineLevel="0" collapsed="false">
      <c r="B19" s="30" t="str">
        <f aca="false">IF('BS(借方)'!B19="","",'BS(借方)'!B19)</f>
        <v/>
      </c>
      <c r="C19" s="56" t="n">
        <f aca="false">'BS(借方)'!E19</f>
        <v>0</v>
      </c>
      <c r="D19" s="56"/>
      <c r="E19" s="18" t="n">
        <f aca="false">C19+D19</f>
        <v>0</v>
      </c>
    </row>
    <row r="20" customFormat="false" ht="22.5" hidden="false" customHeight="true" outlineLevel="0" collapsed="false">
      <c r="B20" s="13" t="s">
        <v>30</v>
      </c>
      <c r="C20" s="159" t="n">
        <f aca="false">C21+C35+C46</f>
        <v>14338078</v>
      </c>
      <c r="D20" s="159" t="n">
        <f aca="false">D21+D35+D46</f>
        <v>-1022934</v>
      </c>
      <c r="E20" s="170" t="n">
        <f aca="false">C20+D20</f>
        <v>13315144</v>
      </c>
    </row>
    <row r="21" customFormat="false" ht="22.5" hidden="false" customHeight="true" outlineLevel="0" collapsed="false">
      <c r="B21" s="32" t="s">
        <v>31</v>
      </c>
      <c r="C21" s="34" t="n">
        <f aca="false">SUM(C22:C34)</f>
        <v>7511411</v>
      </c>
      <c r="D21" s="34" t="n">
        <f aca="false">SUM(D22:D34)</f>
        <v>0</v>
      </c>
      <c r="E21" s="171" t="n">
        <f aca="false">C21+D21</f>
        <v>7511411</v>
      </c>
    </row>
    <row r="22" customFormat="false" ht="22.5" hidden="false" customHeight="true" outlineLevel="0" collapsed="false">
      <c r="B22" s="16" t="str">
        <f aca="false">IF('BS(借方)'!B22="","",'BS(借方)'!B22)</f>
        <v>建物</v>
      </c>
      <c r="C22" s="17" t="n">
        <f aca="false">'BS(借方)'!E22</f>
        <v>1</v>
      </c>
      <c r="D22" s="17"/>
      <c r="E22" s="18" t="n">
        <f aca="false">C22+D22</f>
        <v>1</v>
      </c>
    </row>
    <row r="23" customFormat="false" ht="22.5" hidden="false" customHeight="true" outlineLevel="0" collapsed="false">
      <c r="B23" s="16" t="str">
        <f aca="false">IF('BS(借方)'!B23="","",'BS(借方)'!B23)</f>
        <v>建物付属設備</v>
      </c>
      <c r="C23" s="17" t="n">
        <f aca="false">'BS(借方)'!E23</f>
        <v>6928000</v>
      </c>
      <c r="D23" s="17"/>
      <c r="E23" s="18" t="n">
        <f aca="false">C23+D23</f>
        <v>6928000</v>
      </c>
      <c r="F23" s="46" t="s">
        <v>160</v>
      </c>
    </row>
    <row r="24" customFormat="false" ht="22.5" hidden="false" customHeight="true" outlineLevel="0" collapsed="false">
      <c r="B24" s="16" t="str">
        <f aca="false">IF('BS(借方)'!B24="","",'BS(借方)'!B24)</f>
        <v>構築物</v>
      </c>
      <c r="C24" s="17" t="n">
        <f aca="false">'BS(借方)'!E24</f>
        <v>103055</v>
      </c>
      <c r="D24" s="17"/>
      <c r="E24" s="18" t="n">
        <f aca="false">C24+D24</f>
        <v>103055</v>
      </c>
    </row>
    <row r="25" customFormat="false" ht="22.5" hidden="false" customHeight="true" outlineLevel="0" collapsed="false">
      <c r="B25" s="16" t="str">
        <f aca="false">IF('BS(借方)'!B25="","",'BS(借方)'!B25)</f>
        <v>機械装置</v>
      </c>
      <c r="C25" s="17" t="n">
        <f aca="false">'BS(借方)'!E25</f>
        <v>3</v>
      </c>
      <c r="D25" s="17"/>
      <c r="E25" s="18" t="n">
        <f aca="false">C25+D25</f>
        <v>3</v>
      </c>
    </row>
    <row r="26" customFormat="false" ht="22.5" hidden="false" customHeight="true" outlineLevel="0" collapsed="false">
      <c r="B26" s="16" t="str">
        <f aca="false">IF('BS(借方)'!B26="","",'BS(借方)'!B26)</f>
        <v>車両運搬具</v>
      </c>
      <c r="C26" s="17" t="n">
        <f aca="false">'BS(借方)'!E26</f>
        <v>133002</v>
      </c>
      <c r="D26" s="17"/>
      <c r="E26" s="18" t="n">
        <f aca="false">C26+D26</f>
        <v>133002</v>
      </c>
    </row>
    <row r="27" customFormat="false" ht="22.5" hidden="false" customHeight="true" outlineLevel="0" collapsed="false">
      <c r="B27" s="16" t="str">
        <f aca="false">IF('BS(借方)'!B27="","",'BS(借方)'!B27)</f>
        <v>工具器具備品</v>
      </c>
      <c r="C27" s="17" t="n">
        <f aca="false">'BS(借方)'!E27</f>
        <v>347350</v>
      </c>
      <c r="D27" s="17"/>
      <c r="E27" s="18" t="n">
        <f aca="false">C27+D27</f>
        <v>347350</v>
      </c>
    </row>
    <row r="28" customFormat="false" ht="22.5" hidden="false" customHeight="true" outlineLevel="0" collapsed="false">
      <c r="B28" s="16" t="str">
        <f aca="false">IF('BS(借方)'!B28="","",'BS(借方)'!B28)</f>
        <v/>
      </c>
      <c r="C28" s="17" t="n">
        <f aca="false">'BS(借方)'!E28</f>
        <v>0</v>
      </c>
      <c r="D28" s="17"/>
      <c r="E28" s="18" t="n">
        <f aca="false">C28+D28</f>
        <v>0</v>
      </c>
    </row>
    <row r="29" customFormat="false" ht="22.5" hidden="false" customHeight="true" outlineLevel="0" collapsed="false">
      <c r="B29" s="16" t="str">
        <f aca="false">IF('BS(借方)'!B29="","",'BS(借方)'!B29)</f>
        <v/>
      </c>
      <c r="C29" s="17" t="n">
        <f aca="false">'BS(借方)'!E29</f>
        <v>0</v>
      </c>
      <c r="D29" s="17"/>
      <c r="E29" s="18" t="n">
        <f aca="false">C29+D29</f>
        <v>0</v>
      </c>
    </row>
    <row r="30" customFormat="false" ht="22.5" hidden="false" customHeight="true" outlineLevel="0" collapsed="false">
      <c r="B30" s="16" t="str">
        <f aca="false">IF('BS(借方)'!B30="","",'BS(借方)'!B30)</f>
        <v/>
      </c>
      <c r="C30" s="17" t="n">
        <f aca="false">'BS(借方)'!E30</f>
        <v>0</v>
      </c>
      <c r="D30" s="17"/>
      <c r="E30" s="18" t="n">
        <f aca="false">C30+D30</f>
        <v>0</v>
      </c>
    </row>
    <row r="31" customFormat="false" ht="22.5" hidden="false" customHeight="true" outlineLevel="0" collapsed="false">
      <c r="B31" s="16" t="str">
        <f aca="false">IF('BS(借方)'!B31="","",'BS(借方)'!B31)</f>
        <v/>
      </c>
      <c r="C31" s="17" t="n">
        <f aca="false">'BS(借方)'!E31</f>
        <v>0</v>
      </c>
      <c r="D31" s="17"/>
      <c r="E31" s="18" t="n">
        <f aca="false">C31+D31</f>
        <v>0</v>
      </c>
    </row>
    <row r="32" customFormat="false" ht="22.5" hidden="true" customHeight="true" outlineLevel="0" collapsed="false">
      <c r="B32" s="16" t="str">
        <f aca="false">IF('BS(借方)'!B32="","",'BS(借方)'!B32)</f>
        <v/>
      </c>
      <c r="C32" s="17" t="n">
        <f aca="false">'BS(借方)'!E32</f>
        <v>0</v>
      </c>
      <c r="D32" s="17"/>
      <c r="E32" s="18" t="n">
        <f aca="false">C32+D32</f>
        <v>0</v>
      </c>
    </row>
    <row r="33" customFormat="false" ht="22.5" hidden="true" customHeight="true" outlineLevel="0" collapsed="false">
      <c r="B33" s="16" t="str">
        <f aca="false">IF('BS(借方)'!B33="","",'BS(借方)'!B33)</f>
        <v/>
      </c>
      <c r="C33" s="17" t="n">
        <f aca="false">'BS(借方)'!E33</f>
        <v>0</v>
      </c>
      <c r="D33" s="17"/>
      <c r="E33" s="18" t="n">
        <f aca="false">C33+D33</f>
        <v>0</v>
      </c>
    </row>
    <row r="34" customFormat="false" ht="22.5" hidden="true" customHeight="true" outlineLevel="0" collapsed="false">
      <c r="B34" s="30" t="str">
        <f aca="false">IF('BS(借方)'!B34="","",'BS(借方)'!B34)</f>
        <v/>
      </c>
      <c r="C34" s="56" t="n">
        <f aca="false">'BS(借方)'!E34</f>
        <v>0</v>
      </c>
      <c r="D34" s="56"/>
      <c r="E34" s="18" t="n">
        <f aca="false">C34+D34</f>
        <v>0</v>
      </c>
    </row>
    <row r="35" customFormat="false" ht="22.5" hidden="false" customHeight="true" outlineLevel="0" collapsed="false">
      <c r="B35" s="32" t="s">
        <v>38</v>
      </c>
      <c r="C35" s="172" t="n">
        <f aca="false">SUM(C36:C45)</f>
        <v>119100</v>
      </c>
      <c r="D35" s="173" t="n">
        <f aca="false">SUM(D36:D45)</f>
        <v>-119100</v>
      </c>
      <c r="E35" s="174" t="n">
        <f aca="false">C35+D35</f>
        <v>0</v>
      </c>
    </row>
    <row r="36" customFormat="false" ht="21.75" hidden="false" customHeight="true" outlineLevel="0" collapsed="false">
      <c r="B36" s="16" t="str">
        <f aca="false">IF('BS(借方)'!B36="","",'BS(借方)'!B36)</f>
        <v>電話加入権</v>
      </c>
      <c r="C36" s="17" t="n">
        <f aca="false">'BS(借方)'!E36</f>
        <v>119100</v>
      </c>
      <c r="D36" s="17" t="n">
        <f aca="false">-C36</f>
        <v>-119100</v>
      </c>
      <c r="E36" s="18" t="n">
        <f aca="false">C36+D36</f>
        <v>0</v>
      </c>
      <c r="F36" s="46" t="s">
        <v>161</v>
      </c>
    </row>
    <row r="37" customFormat="false" ht="21.75" hidden="true" customHeight="true" outlineLevel="0" collapsed="false">
      <c r="B37" s="16" t="str">
        <f aca="false">IF('BS(借方)'!B37="","",'BS(借方)'!B37)</f>
        <v/>
      </c>
      <c r="C37" s="17" t="n">
        <f aca="false">'BS(借方)'!E37</f>
        <v>0</v>
      </c>
      <c r="D37" s="17"/>
      <c r="E37" s="18" t="n">
        <f aca="false">C37+D37</f>
        <v>0</v>
      </c>
    </row>
    <row r="38" customFormat="false" ht="21.75" hidden="true" customHeight="true" outlineLevel="0" collapsed="false">
      <c r="B38" s="16" t="str">
        <f aca="false">IF('BS(借方)'!B38="","",'BS(借方)'!B38)</f>
        <v/>
      </c>
      <c r="C38" s="17" t="n">
        <f aca="false">'BS(借方)'!E38</f>
        <v>0</v>
      </c>
      <c r="D38" s="17"/>
      <c r="E38" s="18" t="n">
        <f aca="false">C38+D38</f>
        <v>0</v>
      </c>
    </row>
    <row r="39" customFormat="false" ht="21.75" hidden="true" customHeight="true" outlineLevel="0" collapsed="false">
      <c r="B39" s="16" t="str">
        <f aca="false">IF('BS(借方)'!B39="","",'BS(借方)'!B39)</f>
        <v/>
      </c>
      <c r="C39" s="17" t="n">
        <f aca="false">'BS(借方)'!E39</f>
        <v>0</v>
      </c>
      <c r="D39" s="17"/>
      <c r="E39" s="18" t="n">
        <f aca="false">C39+D39</f>
        <v>0</v>
      </c>
    </row>
    <row r="40" customFormat="false" ht="21.75" hidden="true" customHeight="true" outlineLevel="0" collapsed="false">
      <c r="B40" s="16" t="str">
        <f aca="false">IF('BS(借方)'!B40="","",'BS(借方)'!B40)</f>
        <v/>
      </c>
      <c r="C40" s="17" t="n">
        <f aca="false">'BS(借方)'!E40</f>
        <v>0</v>
      </c>
      <c r="D40" s="17"/>
      <c r="E40" s="18" t="n">
        <f aca="false">C40+D40</f>
        <v>0</v>
      </c>
    </row>
    <row r="41" customFormat="false" ht="21.75" hidden="true" customHeight="true" outlineLevel="0" collapsed="false">
      <c r="B41" s="16" t="str">
        <f aca="false">IF('BS(借方)'!B41="","",'BS(借方)'!B41)</f>
        <v/>
      </c>
      <c r="C41" s="17" t="n">
        <f aca="false">'BS(借方)'!E41</f>
        <v>0</v>
      </c>
      <c r="D41" s="17"/>
      <c r="E41" s="18" t="n">
        <f aca="false">C41+D41</f>
        <v>0</v>
      </c>
    </row>
    <row r="42" customFormat="false" ht="21.75" hidden="true" customHeight="true" outlineLevel="0" collapsed="false">
      <c r="B42" s="16" t="str">
        <f aca="false">IF('BS(借方)'!B42="","",'BS(借方)'!B42)</f>
        <v/>
      </c>
      <c r="C42" s="17" t="n">
        <f aca="false">'BS(借方)'!E42</f>
        <v>0</v>
      </c>
      <c r="D42" s="17"/>
      <c r="E42" s="18" t="n">
        <f aca="false">C42+D42</f>
        <v>0</v>
      </c>
    </row>
    <row r="43" customFormat="false" ht="21.75" hidden="true" customHeight="true" outlineLevel="0" collapsed="false">
      <c r="B43" s="16" t="str">
        <f aca="false">IF('BS(借方)'!B43="","",'BS(借方)'!B43)</f>
        <v/>
      </c>
      <c r="C43" s="17" t="n">
        <f aca="false">'BS(借方)'!E43</f>
        <v>0</v>
      </c>
      <c r="D43" s="17"/>
      <c r="E43" s="18" t="n">
        <f aca="false">C43+D43</f>
        <v>0</v>
      </c>
    </row>
    <row r="44" customFormat="false" ht="21.75" hidden="true" customHeight="true" outlineLevel="0" collapsed="false">
      <c r="B44" s="16" t="str">
        <f aca="false">IF('BS(借方)'!B44="","",'BS(借方)'!B44)</f>
        <v/>
      </c>
      <c r="C44" s="17" t="n">
        <f aca="false">'BS(借方)'!E44</f>
        <v>0</v>
      </c>
      <c r="D44" s="17"/>
      <c r="E44" s="18" t="n">
        <f aca="false">C44+D44</f>
        <v>0</v>
      </c>
    </row>
    <row r="45" customFormat="false" ht="21.75" hidden="true" customHeight="true" outlineLevel="0" collapsed="false">
      <c r="B45" s="30" t="str">
        <f aca="false">IF('BS(借方)'!B45="","",'BS(借方)'!B45)</f>
        <v/>
      </c>
      <c r="C45" s="56" t="n">
        <f aca="false">'BS(借方)'!E45</f>
        <v>0</v>
      </c>
      <c r="D45" s="56"/>
      <c r="E45" s="18" t="n">
        <f aca="false">C45+D45</f>
        <v>0</v>
      </c>
    </row>
    <row r="46" customFormat="false" ht="21.75" hidden="false" customHeight="true" outlineLevel="0" collapsed="false">
      <c r="B46" s="32" t="s">
        <v>40</v>
      </c>
      <c r="C46" s="175" t="n">
        <f aca="false">SUM(C47:C54)</f>
        <v>6707567</v>
      </c>
      <c r="D46" s="176" t="n">
        <f aca="false">SUM(D47:D54)</f>
        <v>-903834</v>
      </c>
      <c r="E46" s="177" t="n">
        <f aca="false">C46+D46</f>
        <v>5803733</v>
      </c>
    </row>
    <row r="47" customFormat="false" ht="22.5" hidden="false" customHeight="true" outlineLevel="0" collapsed="false">
      <c r="B47" s="178" t="str">
        <f aca="false">IF('BS(借方)'!B47="","",'BS(借方)'!B47)</f>
        <v>出資金</v>
      </c>
      <c r="C47" s="17" t="n">
        <f aca="false">'BS(借方)'!E47</f>
        <v>50000</v>
      </c>
      <c r="D47" s="17"/>
      <c r="E47" s="18" t="n">
        <f aca="false">C47+D47</f>
        <v>50000</v>
      </c>
    </row>
    <row r="48" customFormat="false" ht="22.5" hidden="false" customHeight="true" outlineLevel="0" collapsed="false">
      <c r="B48" s="178" t="str">
        <f aca="false">IF('BS(借方)'!B48="","",'BS(借方)'!B48)</f>
        <v>長期前払費用（信用保証料）</v>
      </c>
      <c r="C48" s="17" t="n">
        <f aca="false">'BS(借方)'!E48</f>
        <v>903834</v>
      </c>
      <c r="D48" s="17" t="n">
        <f aca="false">-C48</f>
        <v>-903834</v>
      </c>
      <c r="E48" s="18" t="n">
        <f aca="false">C48+D48</f>
        <v>0</v>
      </c>
      <c r="F48" s="46" t="s">
        <v>162</v>
      </c>
    </row>
    <row r="49" customFormat="false" ht="22.5" hidden="false" customHeight="true" outlineLevel="0" collapsed="false">
      <c r="B49" s="178" t="str">
        <f aca="false">IF('BS(借方)'!B49="","",'BS(借方)'!B49)</f>
        <v>敷金</v>
      </c>
      <c r="C49" s="17" t="n">
        <f aca="false">'BS(借方)'!E49</f>
        <v>5753733</v>
      </c>
      <c r="D49" s="17"/>
      <c r="E49" s="18" t="n">
        <f aca="false">C49+D49</f>
        <v>5753733</v>
      </c>
      <c r="F49" s="46" t="s">
        <v>163</v>
      </c>
    </row>
    <row r="50" customFormat="false" ht="22.5" hidden="false" customHeight="true" outlineLevel="0" collapsed="false">
      <c r="B50" s="178" t="str">
        <f aca="false">IF('BS(借方)'!B50="","",'BS(借方)'!B50)</f>
        <v>預け保証金</v>
      </c>
      <c r="C50" s="17" t="n">
        <f aca="false">'BS(借方)'!E50</f>
        <v>0</v>
      </c>
      <c r="D50" s="17"/>
      <c r="E50" s="18" t="n">
        <f aca="false">C50+D50</f>
        <v>0</v>
      </c>
    </row>
    <row r="51" customFormat="false" ht="22.5" hidden="false" customHeight="true" outlineLevel="0" collapsed="false">
      <c r="B51" s="178" t="str">
        <f aca="false">IF('BS(借方)'!B51="","",'BS(借方)'!B51)</f>
        <v/>
      </c>
      <c r="C51" s="17" t="n">
        <f aca="false">'BS(借方)'!E51</f>
        <v>0</v>
      </c>
      <c r="D51" s="17"/>
      <c r="E51" s="18" t="n">
        <f aca="false">C51+D51</f>
        <v>0</v>
      </c>
    </row>
    <row r="52" customFormat="false" ht="22.5" hidden="true" customHeight="true" outlineLevel="0" collapsed="false">
      <c r="B52" s="178" t="str">
        <f aca="false">IF('BS(借方)'!B52="","",'BS(借方)'!B52)</f>
        <v/>
      </c>
      <c r="C52" s="17" t="n">
        <f aca="false">'BS(借方)'!E52</f>
        <v>0</v>
      </c>
      <c r="D52" s="17"/>
      <c r="E52" s="18" t="n">
        <f aca="false">C52+D52</f>
        <v>0</v>
      </c>
    </row>
    <row r="53" customFormat="false" ht="22.5" hidden="true" customHeight="true" outlineLevel="0" collapsed="false">
      <c r="B53" s="178" t="str">
        <f aca="false">IF('BS(借方)'!B53="","",'BS(借方)'!B53)</f>
        <v/>
      </c>
      <c r="C53" s="17" t="n">
        <f aca="false">'BS(借方)'!E53</f>
        <v>0</v>
      </c>
      <c r="D53" s="17"/>
      <c r="E53" s="18" t="n">
        <f aca="false">C53+D53</f>
        <v>0</v>
      </c>
    </row>
    <row r="54" customFormat="false" ht="22.5" hidden="true" customHeight="true" outlineLevel="0" collapsed="false">
      <c r="B54" s="178" t="str">
        <f aca="false">IF('BS(借方)'!B54="","",'BS(借方)'!B54)</f>
        <v/>
      </c>
      <c r="C54" s="17" t="n">
        <f aca="false">'BS(借方)'!E54</f>
        <v>0</v>
      </c>
      <c r="D54" s="17"/>
      <c r="E54" s="18" t="n">
        <f aca="false">C54+D54</f>
        <v>0</v>
      </c>
    </row>
    <row r="55" customFormat="false" ht="21.75" hidden="true" customHeight="true" outlineLevel="0" collapsed="false">
      <c r="B55" s="179" t="s">
        <v>45</v>
      </c>
      <c r="C55" s="40" t="n">
        <f aca="false">SUM(C56:C59)</f>
        <v>0</v>
      </c>
      <c r="D55" s="40" t="n">
        <f aca="false">SUM(D56:D59)</f>
        <v>0</v>
      </c>
      <c r="E55" s="180" t="n">
        <f aca="false">C55+D55</f>
        <v>0</v>
      </c>
    </row>
    <row r="56" customFormat="false" ht="21.75" hidden="true" customHeight="true" outlineLevel="0" collapsed="false">
      <c r="B56" s="181"/>
      <c r="C56" s="182"/>
      <c r="D56" s="183"/>
      <c r="E56" s="184" t="n">
        <f aca="false">C56+D56</f>
        <v>0</v>
      </c>
    </row>
    <row r="57" customFormat="false" ht="21.75" hidden="true" customHeight="true" outlineLevel="0" collapsed="false">
      <c r="B57" s="178"/>
      <c r="C57" s="185"/>
      <c r="D57" s="185"/>
      <c r="E57" s="18" t="n">
        <f aca="false">C57+D57</f>
        <v>0</v>
      </c>
    </row>
    <row r="58" customFormat="false" ht="21.75" hidden="true" customHeight="true" outlineLevel="0" collapsed="false">
      <c r="B58" s="178"/>
      <c r="C58" s="185"/>
      <c r="D58" s="185"/>
      <c r="E58" s="18" t="n">
        <f aca="false">C58+D58</f>
        <v>0</v>
      </c>
    </row>
    <row r="59" customFormat="false" ht="21.75" hidden="true" customHeight="true" outlineLevel="0" collapsed="false">
      <c r="B59" s="186"/>
      <c r="C59" s="187"/>
      <c r="D59" s="187"/>
      <c r="E59" s="188" t="n">
        <f aca="false">C59+D59</f>
        <v>0</v>
      </c>
    </row>
    <row r="60" customFormat="false" ht="21.75" hidden="true" customHeight="true" outlineLevel="0" collapsed="false">
      <c r="B60" s="189" t="s">
        <v>164</v>
      </c>
      <c r="C60" s="190" t="n">
        <v>0</v>
      </c>
      <c r="D60" s="190" t="n">
        <v>0</v>
      </c>
      <c r="E60" s="191" t="n">
        <f aca="false">C60+D60</f>
        <v>0</v>
      </c>
    </row>
    <row r="61" customFormat="false" ht="22.5" hidden="false" customHeight="true" outlineLevel="0" collapsed="false">
      <c r="B61" s="41" t="s">
        <v>46</v>
      </c>
      <c r="C61" s="192" t="n">
        <f aca="false">C5+C20+C55+C60</f>
        <v>53321170</v>
      </c>
      <c r="D61" s="192" t="n">
        <f aca="false">D5+D20+D55+D60</f>
        <v>-1022934</v>
      </c>
      <c r="E61" s="193" t="n">
        <f aca="false">C61+D61</f>
        <v>52298236</v>
      </c>
    </row>
    <row r="62" customFormat="false" ht="18" hidden="false" customHeight="false" outlineLevel="0" collapsed="false">
      <c r="C62" s="194"/>
      <c r="D62" s="194"/>
      <c r="E62" s="194"/>
    </row>
    <row r="63" customFormat="false" ht="18" hidden="false" customHeight="false" outlineLevel="0" collapsed="false">
      <c r="C63" s="194"/>
      <c r="D63" s="194"/>
      <c r="E63" s="194"/>
    </row>
    <row r="64" customFormat="false" ht="18" hidden="false" customHeight="false" outlineLevel="0" collapsed="false">
      <c r="C64" s="194"/>
      <c r="D64" s="194"/>
      <c r="E64" s="194"/>
    </row>
    <row r="65" customFormat="false" ht="18" hidden="false" customHeight="false" outlineLevel="0" collapsed="false">
      <c r="C65" s="194"/>
      <c r="D65" s="194"/>
      <c r="E65" s="194"/>
    </row>
    <row r="66" customFormat="false" ht="18" hidden="false" customHeight="false" outlineLevel="0" collapsed="false">
      <c r="C66" s="194"/>
      <c r="D66" s="194"/>
      <c r="E66" s="194"/>
    </row>
    <row r="67" customFormat="false" ht="18" hidden="false" customHeight="false" outlineLevel="0" collapsed="false">
      <c r="C67" s="194"/>
      <c r="D67" s="194"/>
      <c r="E67" s="194"/>
    </row>
    <row r="68" customFormat="false" ht="18" hidden="false" customHeight="false" outlineLevel="0" collapsed="false">
      <c r="C68" s="194"/>
      <c r="D68" s="194"/>
      <c r="E68" s="194"/>
    </row>
    <row r="69" customFormat="false" ht="18" hidden="false" customHeight="false" outlineLevel="0" collapsed="false">
      <c r="C69" s="194"/>
      <c r="D69" s="194"/>
      <c r="E69" s="194"/>
    </row>
    <row r="70" customFormat="false" ht="18" hidden="false" customHeight="false" outlineLevel="0" collapsed="false">
      <c r="C70" s="194"/>
      <c r="D70" s="194"/>
      <c r="E70" s="194"/>
    </row>
    <row r="71" customFormat="false" ht="18" hidden="false" customHeight="false" outlineLevel="0" collapsed="false">
      <c r="C71" s="194"/>
      <c r="D71" s="194"/>
      <c r="E71" s="194"/>
    </row>
    <row r="72" customFormat="false" ht="18" hidden="false" customHeight="false" outlineLevel="0" collapsed="false">
      <c r="C72" s="194"/>
      <c r="D72" s="194"/>
      <c r="E72" s="194"/>
    </row>
    <row r="73" customFormat="false" ht="18" hidden="false" customHeight="false" outlineLevel="0" collapsed="false">
      <c r="C73" s="194"/>
      <c r="D73" s="194"/>
      <c r="E73" s="194"/>
    </row>
    <row r="74" customFormat="false" ht="18" hidden="false" customHeight="false" outlineLevel="0" collapsed="false">
      <c r="C74" s="194"/>
      <c r="D74" s="194"/>
      <c r="E74" s="194"/>
    </row>
    <row r="75" customFormat="false" ht="18" hidden="false" customHeight="false" outlineLevel="0" collapsed="false">
      <c r="C75" s="194"/>
      <c r="D75" s="194"/>
      <c r="E75" s="194"/>
    </row>
    <row r="76" customFormat="false" ht="18" hidden="false" customHeight="false" outlineLevel="0" collapsed="false">
      <c r="C76" s="194"/>
      <c r="D76" s="194"/>
      <c r="E76" s="194"/>
    </row>
    <row r="77" customFormat="false" ht="18" hidden="false" customHeight="false" outlineLevel="0" collapsed="false">
      <c r="C77" s="194"/>
      <c r="D77" s="194"/>
      <c r="E77" s="194"/>
    </row>
    <row r="78" customFormat="false" ht="18" hidden="false" customHeight="false" outlineLevel="0" collapsed="false">
      <c r="C78" s="194"/>
      <c r="D78" s="194"/>
      <c r="E78" s="194"/>
    </row>
    <row r="79" customFormat="false" ht="18" hidden="false" customHeight="false" outlineLevel="0" collapsed="false">
      <c r="C79" s="194"/>
      <c r="D79" s="194"/>
      <c r="E79" s="194"/>
    </row>
    <row r="80" customFormat="false" ht="18" hidden="false" customHeight="false" outlineLevel="0" collapsed="false">
      <c r="C80" s="194"/>
      <c r="D80" s="194"/>
      <c r="E80" s="194"/>
    </row>
    <row r="81" customFormat="false" ht="18" hidden="false" customHeight="false" outlineLevel="0" collapsed="false">
      <c r="C81" s="194"/>
      <c r="D81" s="194"/>
      <c r="E81" s="194"/>
    </row>
    <row r="82" customFormat="false" ht="18" hidden="false" customHeight="false" outlineLevel="0" collapsed="false">
      <c r="C82" s="194"/>
      <c r="D82" s="194"/>
      <c r="E82" s="194"/>
    </row>
    <row r="83" customFormat="false" ht="18" hidden="false" customHeight="false" outlineLevel="0" collapsed="false">
      <c r="C83" s="194"/>
      <c r="D83" s="194"/>
      <c r="E83" s="194"/>
    </row>
    <row r="84" customFormat="false" ht="18" hidden="false" customHeight="false" outlineLevel="0" collapsed="false">
      <c r="C84" s="194"/>
      <c r="D84" s="194"/>
      <c r="E84" s="194"/>
    </row>
    <row r="85" customFormat="false" ht="18" hidden="false" customHeight="false" outlineLevel="0" collapsed="false">
      <c r="C85" s="194"/>
      <c r="D85" s="194"/>
      <c r="E85" s="194"/>
    </row>
    <row r="86" customFormat="false" ht="18" hidden="false" customHeight="false" outlineLevel="0" collapsed="false">
      <c r="C86" s="194"/>
      <c r="D86" s="194"/>
      <c r="E86" s="194"/>
    </row>
    <row r="87" customFormat="false" ht="18" hidden="false" customHeight="false" outlineLevel="0" collapsed="false">
      <c r="C87" s="194"/>
      <c r="D87" s="194"/>
      <c r="E87" s="194"/>
    </row>
    <row r="88" customFormat="false" ht="18" hidden="false" customHeight="false" outlineLevel="0" collapsed="false">
      <c r="C88" s="194"/>
      <c r="D88" s="194"/>
      <c r="E88" s="194"/>
    </row>
    <row r="89" customFormat="false" ht="18" hidden="false" customHeight="false" outlineLevel="0" collapsed="false">
      <c r="C89" s="194"/>
      <c r="D89" s="194"/>
      <c r="E89" s="194"/>
    </row>
    <row r="90" customFormat="false" ht="18" hidden="false" customHeight="false" outlineLevel="0" collapsed="false">
      <c r="C90" s="194"/>
      <c r="D90" s="194"/>
      <c r="E90" s="194"/>
    </row>
    <row r="91" customFormat="false" ht="18" hidden="false" customHeight="false" outlineLevel="0" collapsed="false">
      <c r="C91" s="194"/>
      <c r="D91" s="194"/>
      <c r="E91" s="194"/>
    </row>
    <row r="92" customFormat="false" ht="18" hidden="false" customHeight="false" outlineLevel="0" collapsed="false">
      <c r="C92" s="194"/>
      <c r="D92" s="194"/>
      <c r="E92" s="194"/>
    </row>
    <row r="93" customFormat="false" ht="18" hidden="false" customHeight="false" outlineLevel="0" collapsed="false">
      <c r="C93" s="194"/>
      <c r="D93" s="194"/>
      <c r="E93" s="194"/>
    </row>
    <row r="94" customFormat="false" ht="18" hidden="false" customHeight="false" outlineLevel="0" collapsed="false">
      <c r="C94" s="194"/>
      <c r="D94" s="194"/>
      <c r="E94" s="194"/>
    </row>
    <row r="95" customFormat="false" ht="18" hidden="false" customHeight="false" outlineLevel="0" collapsed="false">
      <c r="C95" s="194"/>
      <c r="D95" s="194"/>
      <c r="E95" s="194"/>
    </row>
    <row r="96" customFormat="false" ht="18" hidden="false" customHeight="false" outlineLevel="0" collapsed="false">
      <c r="C96" s="195"/>
      <c r="D96" s="195"/>
      <c r="E96" s="195"/>
    </row>
    <row r="97" customFormat="false" ht="18" hidden="false" customHeight="false" outlineLevel="0" collapsed="false">
      <c r="C97" s="195"/>
      <c r="D97" s="195"/>
      <c r="E97" s="195"/>
    </row>
    <row r="98" customFormat="false" ht="18" hidden="false" customHeight="false" outlineLevel="0" collapsed="false">
      <c r="C98" s="195"/>
      <c r="D98" s="195"/>
      <c r="E98" s="195"/>
    </row>
    <row r="99" customFormat="false" ht="18" hidden="false" customHeight="false" outlineLevel="0" collapsed="false">
      <c r="C99" s="195"/>
      <c r="D99" s="195"/>
      <c r="E99" s="195"/>
    </row>
    <row r="100" customFormat="false" ht="18" hidden="false" customHeight="false" outlineLevel="0" collapsed="false">
      <c r="C100" s="195"/>
      <c r="D100" s="195"/>
      <c r="E100" s="195"/>
    </row>
    <row r="101" customFormat="false" ht="18" hidden="false" customHeight="false" outlineLevel="0" collapsed="false">
      <c r="C101" s="195"/>
      <c r="D101" s="195"/>
      <c r="E101" s="195"/>
    </row>
    <row r="102" customFormat="false" ht="18" hidden="false" customHeight="false" outlineLevel="0" collapsed="false">
      <c r="C102" s="195"/>
      <c r="D102" s="195"/>
      <c r="E102" s="195"/>
    </row>
    <row r="103" customFormat="false" ht="18" hidden="false" customHeight="false" outlineLevel="0" collapsed="false">
      <c r="C103" s="195"/>
      <c r="D103" s="195"/>
      <c r="E103" s="195"/>
    </row>
    <row r="104" customFormat="false" ht="18" hidden="false" customHeight="false" outlineLevel="0" collapsed="false">
      <c r="C104" s="195"/>
      <c r="D104" s="195"/>
      <c r="E104" s="195"/>
    </row>
    <row r="105" customFormat="false" ht="18" hidden="false" customHeight="false" outlineLevel="0" collapsed="false">
      <c r="C105" s="195"/>
      <c r="D105" s="195"/>
      <c r="E105" s="195"/>
    </row>
    <row r="106" customFormat="false" ht="18" hidden="false" customHeight="false" outlineLevel="0" collapsed="false">
      <c r="C106" s="195"/>
      <c r="D106" s="195"/>
      <c r="E106" s="195"/>
    </row>
    <row r="107" customFormat="false" ht="18" hidden="false" customHeight="false" outlineLevel="0" collapsed="false">
      <c r="C107" s="195"/>
      <c r="D107" s="195"/>
      <c r="E107" s="195"/>
    </row>
    <row r="108" customFormat="false" ht="18" hidden="false" customHeight="false" outlineLevel="0" collapsed="false">
      <c r="C108" s="195"/>
      <c r="D108" s="195"/>
      <c r="E108" s="195"/>
    </row>
    <row r="109" customFormat="false" ht="18" hidden="false" customHeight="false" outlineLevel="0" collapsed="false">
      <c r="C109" s="196"/>
      <c r="D109" s="196"/>
      <c r="E109" s="196"/>
    </row>
    <row r="110" customFormat="false" ht="18" hidden="false" customHeight="false" outlineLevel="0" collapsed="false">
      <c r="C110" s="196"/>
      <c r="D110" s="196"/>
      <c r="E110" s="196"/>
    </row>
    <row r="111" customFormat="false" ht="18" hidden="false" customHeight="false" outlineLevel="0" collapsed="false">
      <c r="C111" s="196"/>
      <c r="D111" s="196"/>
      <c r="E111" s="196"/>
    </row>
    <row r="112" customFormat="false" ht="18" hidden="false" customHeight="false" outlineLevel="0" collapsed="false">
      <c r="C112" s="196"/>
      <c r="D112" s="196"/>
      <c r="E112" s="196"/>
    </row>
    <row r="113" customFormat="false" ht="18" hidden="false" customHeight="false" outlineLevel="0" collapsed="false">
      <c r="C113" s="196"/>
      <c r="D113" s="196"/>
      <c r="E113" s="196"/>
    </row>
    <row r="114" customFormat="false" ht="18" hidden="false" customHeight="false" outlineLevel="0" collapsed="false">
      <c r="C114" s="196"/>
      <c r="D114" s="196"/>
      <c r="E114" s="196"/>
    </row>
    <row r="115" customFormat="false" ht="18" hidden="false" customHeight="false" outlineLevel="0" collapsed="false">
      <c r="C115" s="196"/>
      <c r="D115" s="196"/>
      <c r="E115" s="196"/>
    </row>
    <row r="116" customFormat="false" ht="18" hidden="false" customHeight="false" outlineLevel="0" collapsed="false">
      <c r="C116" s="196"/>
      <c r="D116" s="196"/>
      <c r="E116" s="196"/>
    </row>
    <row r="117" customFormat="false" ht="18" hidden="false" customHeight="false" outlineLevel="0" collapsed="false">
      <c r="C117" s="196"/>
      <c r="D117" s="196"/>
      <c r="E117" s="196"/>
    </row>
    <row r="118" customFormat="false" ht="18" hidden="false" customHeight="false" outlineLevel="0" collapsed="false">
      <c r="C118" s="196"/>
      <c r="D118" s="196"/>
      <c r="E118" s="196"/>
    </row>
    <row r="119" customFormat="false" ht="18" hidden="false" customHeight="false" outlineLevel="0" collapsed="false">
      <c r="C119" s="196"/>
      <c r="D119" s="196"/>
      <c r="E119" s="196"/>
    </row>
  </sheetData>
  <autoFilter ref="B4:E61"/>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0889C9"/>
    <pageSetUpPr fitToPage="false"/>
  </sheetPr>
  <dimension ref="B2:F103"/>
  <sheetViews>
    <sheetView showFormulas="false" showGridLines="false" showRowColHeaders="true" showZeros="true" rightToLeft="false" tabSelected="false" showOutlineSymbols="true" defaultGridColor="true" view="normal" topLeftCell="A1" colorId="64" zoomScale="83" zoomScaleNormal="83" zoomScalePageLayoutView="100" workbookViewId="0">
      <pane xSplit="0" ySplit="4" topLeftCell="A20" activePane="bottomLeft" state="frozen"/>
      <selection pane="topLeft" activeCell="A1" activeCellId="0" sqref="A1"/>
      <selection pane="bottomLeft" activeCell="E53" activeCellId="0" sqref="E53"/>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5" min="3" style="20" width="16.09"/>
    <col collapsed="false" customWidth="true" hidden="false" outlineLevel="0" max="6" min="6" style="20" width="70"/>
  </cols>
  <sheetData>
    <row r="2" customFormat="false" ht="18" hidden="false" customHeight="false" outlineLevel="0" collapsed="false">
      <c r="E2" s="48" t="s">
        <v>50</v>
      </c>
    </row>
    <row r="3" customFormat="false" ht="27.75" hidden="false" customHeight="true" outlineLevel="0" collapsed="false">
      <c r="B3" s="197" t="s">
        <v>51</v>
      </c>
      <c r="C3" s="197"/>
      <c r="D3" s="197"/>
      <c r="E3" s="197"/>
    </row>
    <row r="4" customFormat="false" ht="19.5" hidden="false" customHeight="true" outlineLevel="0" collapsed="false">
      <c r="B4" s="198" t="s">
        <v>6</v>
      </c>
      <c r="C4" s="199" t="str">
        <f aca="false">'BS (貸方)'!E4</f>
        <v>26年5月期
（第37期）</v>
      </c>
      <c r="D4" s="200" t="s">
        <v>157</v>
      </c>
      <c r="E4" s="12" t="s">
        <v>158</v>
      </c>
    </row>
    <row r="5" customFormat="false" ht="22.5" hidden="false" customHeight="true" outlineLevel="0" collapsed="false">
      <c r="B5" s="201" t="s">
        <v>52</v>
      </c>
      <c r="C5" s="111" t="n">
        <f aca="false">SUM(C6:C17)</f>
        <v>32246532</v>
      </c>
      <c r="D5" s="14" t="n">
        <f aca="false">SUM(D6:D17)</f>
        <v>0</v>
      </c>
      <c r="E5" s="15" t="n">
        <f aca="false">C5+D5</f>
        <v>32246532</v>
      </c>
    </row>
    <row r="6" customFormat="false" ht="22.5" hidden="false" customHeight="true" outlineLevel="0" collapsed="false">
      <c r="B6" s="120" t="str">
        <f aca="false">IF('BS (貸方)'!B6="","",'BS (貸方)'!B6)</f>
        <v>未払金</v>
      </c>
      <c r="C6" s="35" t="n">
        <f aca="false">'BS (貸方)'!E6</f>
        <v>22986677</v>
      </c>
      <c r="D6" s="53"/>
      <c r="E6" s="18" t="n">
        <f aca="false">C6+D6</f>
        <v>22986677</v>
      </c>
      <c r="F6" s="46" t="s">
        <v>165</v>
      </c>
    </row>
    <row r="7" customFormat="false" ht="22.5" hidden="false" customHeight="true" outlineLevel="0" collapsed="false">
      <c r="B7" s="120" t="str">
        <f aca="false">IF('BS (貸方)'!B7="","",'BS (貸方)'!B7)</f>
        <v>未払費用</v>
      </c>
      <c r="C7" s="35" t="n">
        <f aca="false">'BS (貸方)'!E7</f>
        <v>6948734</v>
      </c>
      <c r="D7" s="53"/>
      <c r="E7" s="18" t="n">
        <f aca="false">C7+D7</f>
        <v>6948734</v>
      </c>
    </row>
    <row r="8" customFormat="false" ht="22.5" hidden="false" customHeight="true" outlineLevel="0" collapsed="false">
      <c r="B8" s="120" t="str">
        <f aca="false">IF('BS (貸方)'!B8="","",'BS (貸方)'!B8)</f>
        <v>未払法人税等</v>
      </c>
      <c r="C8" s="35" t="n">
        <f aca="false">'BS (貸方)'!E8</f>
        <v>70000</v>
      </c>
      <c r="D8" s="53"/>
      <c r="E8" s="18" t="n">
        <f aca="false">C8+D8</f>
        <v>70000</v>
      </c>
      <c r="F8" s="46" t="s">
        <v>166</v>
      </c>
    </row>
    <row r="9" customFormat="false" ht="22.5" hidden="false" customHeight="true" outlineLevel="0" collapsed="false">
      <c r="B9" s="120" t="str">
        <f aca="false">IF('BS (貸方)'!B9="","",'BS (貸方)'!B9)</f>
        <v>未払消費税等</v>
      </c>
      <c r="C9" s="35" t="n">
        <f aca="false">'BS (貸方)'!E9</f>
        <v>2226600</v>
      </c>
      <c r="D9" s="53"/>
      <c r="E9" s="18" t="n">
        <f aca="false">C9+D9</f>
        <v>2226600</v>
      </c>
    </row>
    <row r="10" customFormat="false" ht="22.5" hidden="false" customHeight="true" outlineLevel="0" collapsed="false">
      <c r="B10" s="120" t="str">
        <f aca="false">IF('BS (貸方)'!B10="","",'BS (貸方)'!B10)</f>
        <v>預り金</v>
      </c>
      <c r="C10" s="35" t="n">
        <f aca="false">'BS (貸方)'!E10</f>
        <v>14521</v>
      </c>
      <c r="D10" s="53"/>
      <c r="E10" s="18" t="n">
        <f aca="false">C10+D10</f>
        <v>14521</v>
      </c>
    </row>
    <row r="11" customFormat="false" ht="22.5" hidden="false" customHeight="true" outlineLevel="0" collapsed="false">
      <c r="B11" s="120" t="str">
        <f aca="false">IF('BS (貸方)'!B11="","",'BS (貸方)'!B11)</f>
        <v>仮受消費税等</v>
      </c>
      <c r="C11" s="35" t="n">
        <f aca="false">'BS (貸方)'!E11</f>
        <v>0</v>
      </c>
      <c r="D11" s="53"/>
      <c r="E11" s="18" t="n">
        <f aca="false">C11+D11</f>
        <v>0</v>
      </c>
    </row>
    <row r="12" customFormat="false" ht="22.5" hidden="false" customHeight="true" outlineLevel="0" collapsed="false">
      <c r="B12" s="120" t="str">
        <f aca="false">IF('BS (貸方)'!B12="","",'BS (貸方)'!B12)</f>
        <v/>
      </c>
      <c r="C12" s="35" t="n">
        <f aca="false">'BS (貸方)'!E12</f>
        <v>0</v>
      </c>
      <c r="D12" s="53"/>
      <c r="E12" s="18" t="n">
        <f aca="false">C12+D12</f>
        <v>0</v>
      </c>
    </row>
    <row r="13" customFormat="false" ht="22.5" hidden="true" customHeight="true" outlineLevel="0" collapsed="false">
      <c r="B13" s="120" t="str">
        <f aca="false">IF('BS (貸方)'!B13="","",'BS (貸方)'!B13)</f>
        <v/>
      </c>
      <c r="C13" s="35" t="n">
        <f aca="false">'BS (貸方)'!E13</f>
        <v>0</v>
      </c>
      <c r="D13" s="53"/>
      <c r="E13" s="18" t="n">
        <f aca="false">C13+D13</f>
        <v>0</v>
      </c>
    </row>
    <row r="14" customFormat="false" ht="22.5" hidden="true" customHeight="true" outlineLevel="0" collapsed="false">
      <c r="B14" s="120" t="str">
        <f aca="false">IF('BS (貸方)'!B14="","",'BS (貸方)'!B14)</f>
        <v/>
      </c>
      <c r="C14" s="35" t="n">
        <f aca="false">'BS (貸方)'!E14</f>
        <v>0</v>
      </c>
      <c r="D14" s="53"/>
      <c r="E14" s="18" t="n">
        <f aca="false">C14+D14</f>
        <v>0</v>
      </c>
    </row>
    <row r="15" customFormat="false" ht="22.5" hidden="true" customHeight="true" outlineLevel="0" collapsed="false">
      <c r="B15" s="120" t="str">
        <f aca="false">IF('BS (貸方)'!B15="","",'BS (貸方)'!B15)</f>
        <v/>
      </c>
      <c r="C15" s="35" t="n">
        <f aca="false">'BS (貸方)'!E15</f>
        <v>0</v>
      </c>
      <c r="D15" s="53"/>
      <c r="E15" s="18" t="n">
        <f aca="false">C15+D15</f>
        <v>0</v>
      </c>
    </row>
    <row r="16" customFormat="false" ht="22.5" hidden="true" customHeight="true" outlineLevel="0" collapsed="false">
      <c r="B16" s="120" t="str">
        <f aca="false">IF('BS (貸方)'!B16="","",'BS (貸方)'!B16)</f>
        <v/>
      </c>
      <c r="C16" s="35" t="n">
        <f aca="false">'BS (貸方)'!E16</f>
        <v>0</v>
      </c>
      <c r="D16" s="53"/>
      <c r="E16" s="18" t="n">
        <f aca="false">C16+D16</f>
        <v>0</v>
      </c>
    </row>
    <row r="17" customFormat="false" ht="22.5" hidden="true" customHeight="true" outlineLevel="0" collapsed="false">
      <c r="B17" s="121" t="str">
        <f aca="false">IF('BS (貸方)'!B17="","",'BS (貸方)'!B17)</f>
        <v/>
      </c>
      <c r="C17" s="37" t="n">
        <f aca="false">'BS (貸方)'!E17</f>
        <v>0</v>
      </c>
      <c r="D17" s="55"/>
      <c r="E17" s="18" t="n">
        <f aca="false">C17+D17</f>
        <v>0</v>
      </c>
    </row>
    <row r="18" customFormat="false" ht="22.5" hidden="false" customHeight="true" outlineLevel="0" collapsed="false">
      <c r="B18" s="201" t="s">
        <v>59</v>
      </c>
      <c r="C18" s="111" t="n">
        <f aca="false">SUM(C19:C26)</f>
        <v>32638000</v>
      </c>
      <c r="D18" s="14" t="n">
        <f aca="false">SUM(D19:D26)</f>
        <v>0</v>
      </c>
      <c r="E18" s="170" t="n">
        <f aca="false">C18+D18</f>
        <v>32638000</v>
      </c>
    </row>
    <row r="19" customFormat="false" ht="22.5" hidden="false" customHeight="true" outlineLevel="0" collapsed="false">
      <c r="B19" s="120" t="str">
        <f aca="false">IF('BS (貸方)'!B19="","",'BS (貸方)'!B19)</f>
        <v>長期借入金</v>
      </c>
      <c r="C19" s="35" t="n">
        <f aca="false">'BS (貸方)'!E19</f>
        <v>32638000</v>
      </c>
      <c r="D19" s="53"/>
      <c r="E19" s="18" t="n">
        <f aca="false">C19+D19</f>
        <v>32638000</v>
      </c>
      <c r="F19" s="46" t="s">
        <v>167</v>
      </c>
    </row>
    <row r="20" customFormat="false" ht="22.5" hidden="false" customHeight="true" outlineLevel="0" collapsed="false">
      <c r="B20" s="120" t="str">
        <f aca="false">IF('BS (貸方)'!B20="","",'BS (貸方)'!B20)</f>
        <v/>
      </c>
      <c r="C20" s="35" t="n">
        <f aca="false">'BS (貸方)'!E20</f>
        <v>0</v>
      </c>
      <c r="D20" s="53"/>
      <c r="E20" s="18" t="n">
        <f aca="false">C20+D20</f>
        <v>0</v>
      </c>
    </row>
    <row r="21" customFormat="false" ht="22.5" hidden="true" customHeight="true" outlineLevel="0" collapsed="false">
      <c r="B21" s="120" t="str">
        <f aca="false">IF('BS (貸方)'!B21="","",'BS (貸方)'!B21)</f>
        <v/>
      </c>
      <c r="C21" s="35" t="n">
        <f aca="false">'BS (貸方)'!E21</f>
        <v>0</v>
      </c>
      <c r="D21" s="53"/>
      <c r="E21" s="18" t="n">
        <f aca="false">C21+D21</f>
        <v>0</v>
      </c>
    </row>
    <row r="22" customFormat="false" ht="22.5" hidden="true" customHeight="true" outlineLevel="0" collapsed="false">
      <c r="B22" s="120" t="str">
        <f aca="false">IF('BS (貸方)'!B22="","",'BS (貸方)'!B22)</f>
        <v/>
      </c>
      <c r="C22" s="35" t="n">
        <f aca="false">'BS (貸方)'!E22</f>
        <v>0</v>
      </c>
      <c r="D22" s="53"/>
      <c r="E22" s="18" t="n">
        <f aca="false">C22+D22</f>
        <v>0</v>
      </c>
    </row>
    <row r="23" customFormat="false" ht="22.5" hidden="true" customHeight="true" outlineLevel="0" collapsed="false">
      <c r="B23" s="120" t="str">
        <f aca="false">IF('BS (貸方)'!B23="","",'BS (貸方)'!B23)</f>
        <v/>
      </c>
      <c r="C23" s="35" t="n">
        <f aca="false">'BS (貸方)'!E23</f>
        <v>0</v>
      </c>
      <c r="D23" s="53"/>
      <c r="E23" s="18" t="n">
        <f aca="false">C23+D23</f>
        <v>0</v>
      </c>
    </row>
    <row r="24" customFormat="false" ht="22.5" hidden="true" customHeight="true" outlineLevel="0" collapsed="false">
      <c r="B24" s="120" t="str">
        <f aca="false">IF('BS (貸方)'!B24="","",'BS (貸方)'!B24)</f>
        <v/>
      </c>
      <c r="C24" s="35" t="n">
        <f aca="false">'BS (貸方)'!E24</f>
        <v>0</v>
      </c>
      <c r="D24" s="53"/>
      <c r="E24" s="18" t="n">
        <f aca="false">C24+D24</f>
        <v>0</v>
      </c>
    </row>
    <row r="25" customFormat="false" ht="22.5" hidden="true" customHeight="true" outlineLevel="0" collapsed="false">
      <c r="B25" s="120"/>
      <c r="C25" s="35"/>
      <c r="D25" s="53"/>
      <c r="E25" s="18" t="n">
        <f aca="false">C25+D25</f>
        <v>0</v>
      </c>
    </row>
    <row r="26" customFormat="false" ht="22.5" hidden="true" customHeight="true" outlineLevel="0" collapsed="false">
      <c r="B26" s="120"/>
      <c r="C26" s="35"/>
      <c r="D26" s="53"/>
      <c r="E26" s="18" t="n">
        <f aca="false">C26+D26</f>
        <v>0</v>
      </c>
    </row>
    <row r="27" customFormat="false" ht="22.5" hidden="false" customHeight="true" outlineLevel="0" collapsed="false">
      <c r="B27" s="110" t="s">
        <v>168</v>
      </c>
      <c r="C27" s="159" t="n">
        <v>0</v>
      </c>
      <c r="D27" s="202" t="n">
        <v>0</v>
      </c>
      <c r="E27" s="170" t="n">
        <f aca="false">C27+D27</f>
        <v>0</v>
      </c>
      <c r="F27" s="46" t="s">
        <v>169</v>
      </c>
    </row>
    <row r="28" customFormat="false" ht="22.5" hidden="false" customHeight="true" outlineLevel="0" collapsed="false">
      <c r="B28" s="203" t="s">
        <v>61</v>
      </c>
      <c r="C28" s="204" t="n">
        <f aca="false">C5+C18+C27</f>
        <v>64884532</v>
      </c>
      <c r="D28" s="58" t="n">
        <f aca="false">D5+D18+D27</f>
        <v>0</v>
      </c>
      <c r="E28" s="205" t="n">
        <f aca="false">C28+D28</f>
        <v>64884532</v>
      </c>
    </row>
    <row r="29" customFormat="false" ht="22.5" hidden="true" customHeight="true" outlineLevel="0" collapsed="false">
      <c r="B29" s="206"/>
      <c r="C29" s="61"/>
      <c r="D29" s="61"/>
      <c r="E29" s="61"/>
    </row>
    <row r="30" customFormat="false" ht="22.5" hidden="true" customHeight="true" outlineLevel="0" collapsed="false">
      <c r="B30" s="206"/>
      <c r="C30" s="17"/>
      <c r="D30" s="17"/>
      <c r="E30" s="17"/>
    </row>
    <row r="31" customFormat="false" ht="22.5" hidden="true" customHeight="true" outlineLevel="0" collapsed="false">
      <c r="B31" s="206"/>
      <c r="C31" s="17"/>
      <c r="D31" s="17"/>
      <c r="E31" s="17"/>
    </row>
    <row r="32" customFormat="false" ht="22.5" hidden="true" customHeight="true" outlineLevel="0" collapsed="false">
      <c r="B32" s="206"/>
      <c r="C32" s="17"/>
      <c r="D32" s="17"/>
      <c r="E32" s="17"/>
    </row>
    <row r="33" customFormat="false" ht="22.5" hidden="true" customHeight="true" outlineLevel="0" collapsed="false">
      <c r="B33" s="206"/>
      <c r="C33" s="17"/>
      <c r="D33" s="17"/>
      <c r="E33" s="17"/>
    </row>
    <row r="34" customFormat="false" ht="21.75" hidden="false" customHeight="true" outlineLevel="0" collapsed="false">
      <c r="B34" s="207" t="s">
        <v>62</v>
      </c>
      <c r="C34" s="207"/>
      <c r="D34" s="207"/>
      <c r="E34" s="207"/>
    </row>
    <row r="35" customFormat="false" ht="21.75" hidden="false" customHeight="true" outlineLevel="0" collapsed="false">
      <c r="B35" s="201" t="s">
        <v>63</v>
      </c>
      <c r="C35" s="111" t="n">
        <f aca="false">SUM(C36:C38)</f>
        <v>10000000</v>
      </c>
      <c r="D35" s="14" t="n">
        <f aca="false">SUM(D36:D38)</f>
        <v>0</v>
      </c>
      <c r="E35" s="15" t="n">
        <f aca="false">C35+D35</f>
        <v>10000000</v>
      </c>
    </row>
    <row r="36" customFormat="false" ht="21.75" hidden="false" customHeight="true" outlineLevel="0" collapsed="false">
      <c r="B36" s="208" t="s">
        <v>64</v>
      </c>
      <c r="C36" s="61" t="n">
        <f aca="false">'BS (貸方)'!E36</f>
        <v>10000000</v>
      </c>
      <c r="D36" s="17"/>
      <c r="E36" s="18" t="n">
        <f aca="false">C36+D36</f>
        <v>10000000</v>
      </c>
    </row>
    <row r="37" customFormat="false" ht="21.75" hidden="true" customHeight="true" outlineLevel="0" collapsed="false">
      <c r="B37" s="208"/>
      <c r="C37" s="17"/>
      <c r="D37" s="17"/>
      <c r="E37" s="18" t="n">
        <f aca="false">C37+D37</f>
        <v>0</v>
      </c>
    </row>
    <row r="38" customFormat="false" ht="21.75" hidden="true" customHeight="true" outlineLevel="0" collapsed="false">
      <c r="B38" s="209"/>
      <c r="C38" s="37"/>
      <c r="D38" s="55"/>
      <c r="E38" s="18" t="n">
        <f aca="false">C38+D38</f>
        <v>0</v>
      </c>
    </row>
    <row r="39" customFormat="false" ht="21.75" hidden="true" customHeight="true" outlineLevel="0" collapsed="false">
      <c r="B39" s="201" t="s">
        <v>65</v>
      </c>
      <c r="C39" s="159" t="n">
        <f aca="false">SUM(C40:C42)</f>
        <v>0</v>
      </c>
      <c r="D39" s="202" t="n">
        <f aca="false">SUM(D40:D42)</f>
        <v>0</v>
      </c>
      <c r="E39" s="170" t="n">
        <f aca="false">C39+D39</f>
        <v>0</v>
      </c>
    </row>
    <row r="40" customFormat="false" ht="21.75" hidden="true" customHeight="true" outlineLevel="0" collapsed="false">
      <c r="B40" s="210"/>
      <c r="C40" s="211"/>
      <c r="D40" s="212"/>
      <c r="E40" s="184" t="n">
        <f aca="false">C40+D40</f>
        <v>0</v>
      </c>
    </row>
    <row r="41" customFormat="false" ht="21.75" hidden="true" customHeight="true" outlineLevel="0" collapsed="false">
      <c r="B41" s="208"/>
      <c r="C41" s="35"/>
      <c r="D41" s="53"/>
      <c r="E41" s="18" t="n">
        <f aca="false">C41+D41</f>
        <v>0</v>
      </c>
    </row>
    <row r="42" customFormat="false" ht="21.75" hidden="true" customHeight="true" outlineLevel="0" collapsed="false">
      <c r="B42" s="213"/>
      <c r="C42" s="37"/>
      <c r="D42" s="55"/>
      <c r="E42" s="18" t="n">
        <f aca="false">C42+D42</f>
        <v>0</v>
      </c>
    </row>
    <row r="43" customFormat="false" ht="22.5" hidden="false" customHeight="true" outlineLevel="0" collapsed="false">
      <c r="B43" s="214" t="s">
        <v>66</v>
      </c>
      <c r="C43" s="159" t="n">
        <f aca="false">SUM(C44:C47)</f>
        <v>-21563362</v>
      </c>
      <c r="D43" s="202" t="n">
        <f aca="false">SUM(D44:D47)</f>
        <v>0</v>
      </c>
      <c r="E43" s="170" t="n">
        <f aca="false">C43+D43</f>
        <v>-21563362</v>
      </c>
    </row>
    <row r="44" customFormat="false" ht="22.5" hidden="false" customHeight="true" outlineLevel="0" collapsed="false">
      <c r="B44" s="208" t="s">
        <v>67</v>
      </c>
      <c r="C44" s="61" t="n">
        <f aca="false">'BS (貸方)'!E44</f>
        <v>2750000</v>
      </c>
      <c r="D44" s="17"/>
      <c r="E44" s="18" t="n">
        <f aca="false">C44+D44</f>
        <v>2750000</v>
      </c>
    </row>
    <row r="45" customFormat="false" ht="22.5" hidden="false" customHeight="true" outlineLevel="0" collapsed="false">
      <c r="B45" s="208" t="s">
        <v>68</v>
      </c>
      <c r="C45" s="17" t="n">
        <f aca="false">'BS (貸方)'!E45</f>
        <v>36000000</v>
      </c>
      <c r="D45" s="17"/>
      <c r="E45" s="18" t="n">
        <f aca="false">C45+D45</f>
        <v>36000000</v>
      </c>
    </row>
    <row r="46" customFormat="false" ht="22.5" hidden="true" customHeight="true" outlineLevel="0" collapsed="false">
      <c r="B46" s="208" t="s">
        <v>69</v>
      </c>
      <c r="C46" s="17" t="n">
        <f aca="false">'BS (貸方)'!E46</f>
        <v>-60313362</v>
      </c>
      <c r="D46" s="17"/>
      <c r="E46" s="18" t="n">
        <f aca="false">C46+D46</f>
        <v>-60313362</v>
      </c>
    </row>
    <row r="47" customFormat="false" ht="22.5" hidden="true" customHeight="true" outlineLevel="0" collapsed="false">
      <c r="B47" s="209"/>
      <c r="C47" s="37"/>
      <c r="D47" s="55"/>
      <c r="E47" s="18" t="n">
        <f aca="false">C47+D47</f>
        <v>0</v>
      </c>
    </row>
    <row r="48" customFormat="false" ht="22.5" hidden="true" customHeight="true" outlineLevel="0" collapsed="false">
      <c r="B48" s="110" t="s">
        <v>70</v>
      </c>
      <c r="C48" s="159" t="n">
        <v>0</v>
      </c>
      <c r="D48" s="202" t="n">
        <v>0</v>
      </c>
      <c r="E48" s="170" t="n">
        <f aca="false">C48+D48</f>
        <v>0</v>
      </c>
    </row>
    <row r="49" customFormat="false" ht="22.5" hidden="false" customHeight="true" outlineLevel="0" collapsed="false">
      <c r="B49" s="110" t="s">
        <v>170</v>
      </c>
      <c r="C49" s="159"/>
      <c r="D49" s="202" t="n">
        <f aca="false">SUM(D50:D51)</f>
        <v>-1022934</v>
      </c>
      <c r="E49" s="170" t="n">
        <f aca="false">C49+D49</f>
        <v>-1022934</v>
      </c>
    </row>
    <row r="50" customFormat="false" ht="22.5" hidden="true" customHeight="true" outlineLevel="0" collapsed="false">
      <c r="B50" s="215" t="s">
        <v>157</v>
      </c>
      <c r="C50" s="216"/>
      <c r="D50" s="217" t="n">
        <f aca="false">'修正BS(借方)'!D61-D28</f>
        <v>-1022934</v>
      </c>
      <c r="E50" s="218" t="n">
        <f aca="false">C50+D50</f>
        <v>-1022934</v>
      </c>
    </row>
    <row r="51" customFormat="false" ht="22.5" hidden="true" customHeight="true" outlineLevel="0" collapsed="false">
      <c r="B51" s="219" t="s">
        <v>171</v>
      </c>
      <c r="C51" s="34"/>
      <c r="D51" s="220" t="n">
        <f aca="false">'修正BS(借方)'!D60-D27</f>
        <v>0</v>
      </c>
      <c r="E51" s="171" t="n">
        <f aca="false">C51+D51</f>
        <v>0</v>
      </c>
    </row>
    <row r="52" customFormat="false" ht="22.5" hidden="false" customHeight="true" outlineLevel="0" collapsed="false">
      <c r="B52" s="221" t="s">
        <v>71</v>
      </c>
      <c r="C52" s="222" t="n">
        <f aca="false">C35+C39+C43+C48</f>
        <v>-11563362</v>
      </c>
      <c r="D52" s="222" t="n">
        <f aca="false">D35+D39+D43+D48+D49</f>
        <v>-1022934</v>
      </c>
      <c r="E52" s="223" t="n">
        <f aca="false">C52+D52</f>
        <v>-12586296</v>
      </c>
    </row>
    <row r="53" customFormat="false" ht="22.5" hidden="false" customHeight="true" outlineLevel="0" collapsed="false">
      <c r="B53" s="224" t="s">
        <v>72</v>
      </c>
      <c r="C53" s="225" t="n">
        <f aca="false">C28+C52</f>
        <v>53321170</v>
      </c>
      <c r="D53" s="225" t="n">
        <f aca="false">D28+D52</f>
        <v>-1022934</v>
      </c>
      <c r="E53" s="226" t="n">
        <f aca="false">C53+D53</f>
        <v>52298236</v>
      </c>
    </row>
    <row r="54" customFormat="false" ht="18" hidden="false" customHeight="false" outlineLevel="0" collapsed="false">
      <c r="C54" s="43"/>
      <c r="D54" s="43"/>
      <c r="E54" s="43"/>
    </row>
    <row r="55" customFormat="false" ht="18" hidden="false" customHeight="false" outlineLevel="0" collapsed="false">
      <c r="C55" s="43"/>
      <c r="D55" s="43"/>
      <c r="E55" s="43"/>
    </row>
    <row r="56" customFormat="false" ht="18" hidden="false" customHeight="false" outlineLevel="0" collapsed="false">
      <c r="C56" s="43"/>
      <c r="D56" s="43"/>
      <c r="E56" s="43"/>
    </row>
    <row r="57" customFormat="false" ht="18" hidden="false" customHeight="false" outlineLevel="0" collapsed="false">
      <c r="C57" s="43"/>
      <c r="D57" s="43"/>
      <c r="E57" s="43"/>
    </row>
    <row r="58" customFormat="false" ht="18" hidden="false" customHeight="false" outlineLevel="0" collapsed="false">
      <c r="C58" s="43"/>
      <c r="D58" s="43"/>
      <c r="E58" s="43"/>
    </row>
    <row r="59" customFormat="false" ht="18" hidden="false" customHeight="false" outlineLevel="0" collapsed="false">
      <c r="C59" s="43"/>
      <c r="D59" s="43"/>
      <c r="E59" s="43"/>
    </row>
    <row r="60" customFormat="false" ht="18" hidden="false" customHeight="false" outlineLevel="0" collapsed="false">
      <c r="C60" s="43"/>
      <c r="D60" s="43"/>
      <c r="E60" s="43"/>
    </row>
    <row r="61" customFormat="false" ht="18" hidden="false" customHeight="false" outlineLevel="0" collapsed="false">
      <c r="C61" s="43"/>
      <c r="D61" s="43"/>
      <c r="E61" s="43"/>
    </row>
    <row r="62" customFormat="false" ht="18" hidden="false" customHeight="false" outlineLevel="0" collapsed="false">
      <c r="C62" s="43"/>
      <c r="D62" s="43"/>
      <c r="E62" s="43"/>
    </row>
    <row r="63" customFormat="false" ht="18" hidden="false" customHeight="false" outlineLevel="0" collapsed="false">
      <c r="C63" s="43"/>
      <c r="D63" s="43"/>
      <c r="E63" s="43"/>
    </row>
    <row r="64" customFormat="false" ht="18" hidden="false" customHeight="false" outlineLevel="0" collapsed="false">
      <c r="C64" s="43"/>
      <c r="D64" s="43"/>
      <c r="E64" s="43"/>
    </row>
    <row r="65" customFormat="false" ht="18" hidden="false" customHeight="false" outlineLevel="0" collapsed="false">
      <c r="C65" s="43"/>
      <c r="D65" s="43"/>
      <c r="E65" s="43"/>
    </row>
    <row r="66" customFormat="false" ht="18" hidden="false" customHeight="false" outlineLevel="0" collapsed="false">
      <c r="C66" s="43"/>
      <c r="D66" s="43"/>
      <c r="E66" s="43"/>
    </row>
    <row r="67" customFormat="false" ht="18" hidden="false" customHeight="false" outlineLevel="0" collapsed="false">
      <c r="C67" s="43"/>
      <c r="D67" s="43"/>
      <c r="E67" s="43"/>
    </row>
    <row r="68" customFormat="false" ht="18" hidden="false" customHeight="false" outlineLevel="0" collapsed="false">
      <c r="C68" s="43"/>
      <c r="D68" s="43"/>
      <c r="E68" s="43"/>
    </row>
    <row r="69" customFormat="false" ht="18" hidden="false" customHeight="false" outlineLevel="0" collapsed="false">
      <c r="C69" s="43"/>
      <c r="D69" s="43"/>
      <c r="E69" s="43"/>
    </row>
    <row r="70" customFormat="false" ht="18" hidden="false" customHeight="false" outlineLevel="0" collapsed="false">
      <c r="C70" s="43"/>
      <c r="D70" s="43"/>
      <c r="E70" s="43"/>
    </row>
    <row r="71" customFormat="false" ht="18" hidden="false" customHeight="false" outlineLevel="0" collapsed="false">
      <c r="C71" s="43"/>
      <c r="D71" s="43"/>
      <c r="E71" s="43"/>
    </row>
    <row r="72" customFormat="false" ht="18" hidden="false" customHeight="false" outlineLevel="0" collapsed="false">
      <c r="C72" s="43"/>
      <c r="D72" s="43"/>
      <c r="E72" s="43"/>
    </row>
    <row r="73" customFormat="false" ht="18" hidden="false" customHeight="false" outlineLevel="0" collapsed="false">
      <c r="C73" s="43"/>
      <c r="D73" s="43"/>
      <c r="E73" s="43"/>
    </row>
    <row r="74" customFormat="false" ht="18" hidden="false" customHeight="false" outlineLevel="0" collapsed="false">
      <c r="C74" s="43"/>
      <c r="D74" s="43"/>
      <c r="E74" s="43"/>
    </row>
    <row r="75" customFormat="false" ht="18" hidden="false" customHeight="false" outlineLevel="0" collapsed="false">
      <c r="C75" s="43"/>
      <c r="D75" s="43"/>
      <c r="E75" s="43"/>
    </row>
    <row r="76" customFormat="false" ht="18" hidden="false" customHeight="false" outlineLevel="0" collapsed="false">
      <c r="C76" s="43"/>
      <c r="D76" s="43"/>
      <c r="E76" s="43"/>
    </row>
    <row r="77" customFormat="false" ht="18" hidden="false" customHeight="false" outlineLevel="0" collapsed="false">
      <c r="C77" s="43"/>
      <c r="D77" s="43"/>
      <c r="E77" s="43"/>
    </row>
    <row r="78" customFormat="false" ht="18" hidden="false" customHeight="false" outlineLevel="0" collapsed="false">
      <c r="C78" s="43"/>
      <c r="D78" s="43"/>
      <c r="E78" s="43"/>
    </row>
    <row r="79" customFormat="false" ht="18" hidden="false" customHeight="false" outlineLevel="0" collapsed="false">
      <c r="C79" s="43"/>
      <c r="D79" s="43"/>
      <c r="E79" s="43"/>
    </row>
    <row r="80" customFormat="false" ht="18" hidden="false" customHeight="false" outlineLevel="0" collapsed="false">
      <c r="C80" s="43"/>
      <c r="D80" s="43"/>
      <c r="E80" s="43"/>
    </row>
    <row r="81" customFormat="false" ht="18" hidden="false" customHeight="false" outlineLevel="0" collapsed="false">
      <c r="C81" s="43"/>
      <c r="D81" s="43"/>
      <c r="E81" s="43"/>
    </row>
    <row r="82" customFormat="false" ht="18" hidden="false" customHeight="false" outlineLevel="0" collapsed="false">
      <c r="C82" s="43"/>
      <c r="D82" s="43"/>
      <c r="E82" s="43"/>
    </row>
    <row r="83" customFormat="false" ht="18" hidden="false" customHeight="false" outlineLevel="0" collapsed="false">
      <c r="C83" s="43"/>
      <c r="D83" s="43"/>
      <c r="E83" s="43"/>
    </row>
    <row r="84" customFormat="false" ht="18" hidden="false" customHeight="false" outlineLevel="0" collapsed="false">
      <c r="C84" s="43"/>
      <c r="D84" s="43"/>
      <c r="E84" s="43"/>
    </row>
    <row r="85" customFormat="false" ht="18" hidden="false" customHeight="false" outlineLevel="0" collapsed="false">
      <c r="C85" s="43"/>
      <c r="D85" s="43"/>
      <c r="E85" s="43"/>
    </row>
    <row r="86" customFormat="false" ht="18" hidden="false" customHeight="false" outlineLevel="0" collapsed="false">
      <c r="C86" s="43"/>
      <c r="D86" s="43"/>
      <c r="E86" s="43"/>
    </row>
    <row r="87" customFormat="false" ht="18" hidden="false" customHeight="false" outlineLevel="0" collapsed="false">
      <c r="C87" s="43"/>
      <c r="D87" s="43"/>
      <c r="E87" s="43"/>
    </row>
    <row r="88" customFormat="false" ht="18" hidden="false" customHeight="false" outlineLevel="0" collapsed="false">
      <c r="C88" s="43"/>
      <c r="D88" s="43"/>
      <c r="E88" s="43"/>
    </row>
    <row r="89" customFormat="false" ht="18" hidden="false" customHeight="false" outlineLevel="0" collapsed="false">
      <c r="C89" s="43"/>
      <c r="D89" s="43"/>
      <c r="E89" s="43"/>
    </row>
    <row r="90" customFormat="false" ht="18" hidden="false" customHeight="false" outlineLevel="0" collapsed="false">
      <c r="C90" s="43"/>
      <c r="D90" s="43"/>
      <c r="E90" s="43"/>
    </row>
    <row r="91" customFormat="false" ht="18" hidden="false" customHeight="false" outlineLevel="0" collapsed="false">
      <c r="C91" s="43"/>
      <c r="D91" s="43"/>
      <c r="E91" s="43"/>
    </row>
    <row r="92" customFormat="false" ht="18" hidden="false" customHeight="false" outlineLevel="0" collapsed="false">
      <c r="C92" s="43"/>
      <c r="D92" s="43"/>
      <c r="E92" s="43"/>
    </row>
    <row r="93" customFormat="false" ht="18" hidden="false" customHeight="false" outlineLevel="0" collapsed="false">
      <c r="C93" s="43"/>
      <c r="D93" s="43"/>
      <c r="E93" s="43"/>
    </row>
    <row r="94" customFormat="false" ht="18" hidden="false" customHeight="false" outlineLevel="0" collapsed="false">
      <c r="C94" s="43"/>
      <c r="D94" s="43"/>
      <c r="E94" s="43"/>
    </row>
    <row r="95" customFormat="false" ht="18" hidden="false" customHeight="false" outlineLevel="0" collapsed="false">
      <c r="C95" s="43"/>
      <c r="D95" s="43"/>
      <c r="E95" s="43"/>
    </row>
    <row r="96" customFormat="false" ht="18" hidden="false" customHeight="false" outlineLevel="0" collapsed="false">
      <c r="C96" s="43"/>
      <c r="D96" s="43"/>
      <c r="E96" s="43"/>
    </row>
    <row r="97" customFormat="false" ht="18" hidden="false" customHeight="false" outlineLevel="0" collapsed="false">
      <c r="C97" s="43"/>
      <c r="D97" s="43"/>
      <c r="E97" s="43"/>
    </row>
    <row r="98" customFormat="false" ht="18" hidden="false" customHeight="false" outlineLevel="0" collapsed="false">
      <c r="C98" s="43"/>
      <c r="D98" s="43"/>
      <c r="E98" s="43"/>
    </row>
    <row r="99" customFormat="false" ht="18" hidden="false" customHeight="false" outlineLevel="0" collapsed="false">
      <c r="C99" s="43"/>
      <c r="D99" s="43"/>
      <c r="E99" s="43"/>
    </row>
    <row r="100" customFormat="false" ht="18" hidden="false" customHeight="false" outlineLevel="0" collapsed="false">
      <c r="C100" s="43"/>
      <c r="D100" s="43"/>
      <c r="E100" s="43"/>
    </row>
    <row r="101" customFormat="false" ht="18" hidden="false" customHeight="false" outlineLevel="0" collapsed="false">
      <c r="C101" s="43"/>
      <c r="D101" s="43"/>
      <c r="E101" s="43"/>
    </row>
    <row r="102" customFormat="false" ht="18" hidden="false" customHeight="false" outlineLevel="0" collapsed="false">
      <c r="C102" s="43"/>
      <c r="D102" s="43"/>
      <c r="E102" s="43"/>
    </row>
    <row r="103" customFormat="false" ht="18" hidden="false" customHeight="false" outlineLevel="0" collapsed="false">
      <c r="C103" s="43"/>
      <c r="D103" s="43"/>
      <c r="E103" s="43"/>
    </row>
  </sheetData>
  <autoFilter ref="B4:E53"/>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0889C9"/>
    <pageSetUpPr fitToPage="false"/>
  </sheetPr>
  <dimension ref="B1:S67"/>
  <sheetViews>
    <sheetView showFormulas="false" showGridLines="false" showRowColHeaders="true" showZeros="true" rightToLeft="false" tabSelected="false" showOutlineSymbols="true" defaultGridColor="true" view="normal" topLeftCell="A1" colorId="64" zoomScale="73" zoomScaleNormal="73" zoomScalePageLayoutView="100" workbookViewId="0">
      <pane xSplit="0" ySplit="4" topLeftCell="A8" activePane="bottomLeft" state="frozen"/>
      <selection pane="topLeft" activeCell="A1" activeCellId="0" sqref="A1"/>
      <selection pane="bottomLeft" activeCell="K45" activeCellId="0" sqref="K45"/>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17" min="3" style="19" width="15"/>
    <col collapsed="false" customWidth="true" hidden="false" outlineLevel="0" max="18" min="18" style="20" width="16.09"/>
    <col collapsed="false" customWidth="true" hidden="false" outlineLevel="0" max="19" min="19" style="20" width="80"/>
  </cols>
  <sheetData>
    <row r="1" customFormat="false" ht="18" hidden="false" customHeight="false" outlineLevel="0" collapsed="false">
      <c r="B1" s="19"/>
      <c r="C1" s="2"/>
      <c r="D1" s="2"/>
      <c r="E1" s="2"/>
      <c r="F1" s="2"/>
      <c r="G1" s="2"/>
      <c r="H1" s="2"/>
      <c r="I1" s="2"/>
      <c r="J1" s="2"/>
      <c r="K1" s="2"/>
      <c r="L1" s="2"/>
      <c r="M1" s="2"/>
      <c r="N1" s="2"/>
      <c r="O1" s="2"/>
      <c r="P1" s="2"/>
      <c r="Q1" s="2"/>
    </row>
    <row r="2" customFormat="false" ht="18" hidden="false" customHeight="false" outlineLevel="0" collapsed="false">
      <c r="B2" s="2"/>
      <c r="C2" s="47"/>
      <c r="D2" s="2"/>
      <c r="E2" s="2"/>
      <c r="F2" s="47"/>
      <c r="G2" s="2"/>
      <c r="H2" s="2"/>
      <c r="I2" s="47"/>
      <c r="J2" s="2"/>
      <c r="K2" s="48" t="s">
        <v>50</v>
      </c>
      <c r="L2" s="47"/>
      <c r="M2" s="2"/>
      <c r="N2" s="2"/>
      <c r="O2" s="47"/>
      <c r="P2" s="2"/>
      <c r="Q2" s="2"/>
      <c r="S2" s="48"/>
    </row>
    <row r="3" customFormat="false" ht="20.25" hidden="false" customHeight="true" outlineLevel="0" collapsed="false">
      <c r="B3" s="8" t="s">
        <v>6</v>
      </c>
      <c r="C3" s="227" t="str">
        <f aca="false">'BS(借方)'!C4</f>
        <v>24年5月期
（第35期）</v>
      </c>
      <c r="D3" s="227"/>
      <c r="E3" s="227"/>
      <c r="F3" s="227" t="str">
        <f aca="false">'BS(借方)'!D4</f>
        <v>25年5月期
（第36期）</v>
      </c>
      <c r="G3" s="227"/>
      <c r="H3" s="227"/>
      <c r="I3" s="227" t="str">
        <f aca="false">'BS(借方)'!E4</f>
        <v>26年5月期
（第37期）</v>
      </c>
      <c r="J3" s="227"/>
      <c r="K3" s="227"/>
      <c r="L3" s="227" t="str">
        <f aca="false">'BS(借方)'!F4</f>
        <v>－</v>
      </c>
      <c r="M3" s="227"/>
      <c r="N3" s="227"/>
      <c r="O3" s="228" t="str">
        <f aca="false">'BS(借方)'!G4</f>
        <v>26年7月
（進行期2か月TB）</v>
      </c>
      <c r="P3" s="228"/>
      <c r="Q3" s="228"/>
    </row>
    <row r="4" customFormat="false" ht="19.5" hidden="false" customHeight="true" outlineLevel="0" collapsed="false">
      <c r="B4" s="8"/>
      <c r="C4" s="130" t="s">
        <v>81</v>
      </c>
      <c r="D4" s="229" t="s">
        <v>157</v>
      </c>
      <c r="E4" s="230" t="s">
        <v>158</v>
      </c>
      <c r="F4" s="231" t="s">
        <v>81</v>
      </c>
      <c r="G4" s="229" t="s">
        <v>157</v>
      </c>
      <c r="H4" s="230" t="s">
        <v>158</v>
      </c>
      <c r="I4" s="130" t="s">
        <v>81</v>
      </c>
      <c r="J4" s="229" t="s">
        <v>157</v>
      </c>
      <c r="K4" s="230" t="s">
        <v>158</v>
      </c>
      <c r="L4" s="130" t="s">
        <v>81</v>
      </c>
      <c r="M4" s="229" t="s">
        <v>157</v>
      </c>
      <c r="N4" s="230" t="s">
        <v>158</v>
      </c>
      <c r="O4" s="133" t="s">
        <v>81</v>
      </c>
      <c r="P4" s="133" t="s">
        <v>157</v>
      </c>
      <c r="Q4" s="230" t="s">
        <v>158</v>
      </c>
    </row>
    <row r="5" customFormat="false" ht="22.5" hidden="false" customHeight="true" outlineLevel="0" collapsed="false">
      <c r="B5" s="102" t="str">
        <f aca="false">PL!B5</f>
        <v>梱包収入</v>
      </c>
      <c r="C5" s="35" t="n">
        <f aca="false">PL!C5</f>
        <v>173684305</v>
      </c>
      <c r="D5" s="53"/>
      <c r="E5" s="18" t="n">
        <f aca="false">C5+D5</f>
        <v>173684305</v>
      </c>
      <c r="F5" s="35" t="n">
        <f aca="false">PL!E5</f>
        <v>208996360</v>
      </c>
      <c r="G5" s="53"/>
      <c r="H5" s="18" t="n">
        <f aca="false">F5+G5</f>
        <v>208996360</v>
      </c>
      <c r="I5" s="35" t="n">
        <f aca="false">PL!G5</f>
        <v>209138985</v>
      </c>
      <c r="J5" s="53"/>
      <c r="K5" s="18" t="n">
        <f aca="false">I5+J5</f>
        <v>209138985</v>
      </c>
      <c r="L5" s="35" t="n">
        <f aca="false">PL!I5</f>
        <v>0</v>
      </c>
      <c r="M5" s="53"/>
      <c r="N5" s="18" t="n">
        <f aca="false">L5+M5</f>
        <v>0</v>
      </c>
      <c r="O5" s="35" t="n">
        <f aca="false">PL!K5</f>
        <v>43889327</v>
      </c>
      <c r="P5" s="53"/>
      <c r="Q5" s="18" t="n">
        <f aca="false">O5+P5</f>
        <v>43889327</v>
      </c>
    </row>
    <row r="6" customFormat="false" ht="22.5" hidden="false" customHeight="true" outlineLevel="0" collapsed="false">
      <c r="B6" s="105" t="str">
        <f aca="false">PL!B6</f>
        <v>梱包外収入（保税・輸出入作業等）</v>
      </c>
      <c r="C6" s="35" t="n">
        <f aca="false">PL!C6</f>
        <v>76514123</v>
      </c>
      <c r="D6" s="53"/>
      <c r="E6" s="18" t="n">
        <f aca="false">C6+D6</f>
        <v>76514123</v>
      </c>
      <c r="F6" s="35" t="n">
        <f aca="false">PL!E6</f>
        <v>20901148</v>
      </c>
      <c r="G6" s="53"/>
      <c r="H6" s="18" t="n">
        <f aca="false">F6+G6</f>
        <v>20901148</v>
      </c>
      <c r="I6" s="35" t="n">
        <f aca="false">PL!G6</f>
        <v>34050269</v>
      </c>
      <c r="J6" s="53"/>
      <c r="K6" s="18" t="n">
        <f aca="false">I6+J6</f>
        <v>34050269</v>
      </c>
      <c r="L6" s="35" t="n">
        <f aca="false">PL!I6</f>
        <v>0</v>
      </c>
      <c r="M6" s="53"/>
      <c r="N6" s="18" t="n">
        <f aca="false">L6+M6</f>
        <v>0</v>
      </c>
      <c r="O6" s="35" t="n">
        <f aca="false">PL!K6</f>
        <v>3553157</v>
      </c>
      <c r="P6" s="53"/>
      <c r="Q6" s="18" t="n">
        <f aca="false">O6+P6</f>
        <v>3553157</v>
      </c>
    </row>
    <row r="7" customFormat="false" ht="22.5" hidden="false" customHeight="true" outlineLevel="0" collapsed="false">
      <c r="B7" s="105" t="s">
        <v>172</v>
      </c>
      <c r="C7" s="35" t="n">
        <f aca="false">PL!C7+PL!C8</f>
        <v>106916998</v>
      </c>
      <c r="D7" s="53"/>
      <c r="E7" s="18" t="n">
        <f aca="false">C7+D7</f>
        <v>106916998</v>
      </c>
      <c r="F7" s="35" t="n">
        <f aca="false">PL!E7+PL!E8</f>
        <v>15956784</v>
      </c>
      <c r="G7" s="53"/>
      <c r="H7" s="18" t="n">
        <f aca="false">F7+G7</f>
        <v>15956784</v>
      </c>
      <c r="I7" s="35" t="n">
        <f aca="false">PL!G7+PL!G8</f>
        <v>36104574</v>
      </c>
      <c r="J7" s="53"/>
      <c r="K7" s="18" t="n">
        <f aca="false">I7+J7</f>
        <v>36104574</v>
      </c>
      <c r="L7" s="35" t="n">
        <f aca="false">PL!I7+PL!I8</f>
        <v>0</v>
      </c>
      <c r="M7" s="53"/>
      <c r="N7" s="18" t="n">
        <f aca="false">L7+M7</f>
        <v>0</v>
      </c>
      <c r="O7" s="35" t="n">
        <f aca="false">PL!K7+PL!K8</f>
        <v>6999444</v>
      </c>
      <c r="P7" s="53"/>
      <c r="Q7" s="18" t="n">
        <f aca="false">O7+P7</f>
        <v>6999444</v>
      </c>
    </row>
    <row r="8" customFormat="false" ht="22.5" hidden="false" customHeight="true" outlineLevel="0" collapsed="false">
      <c r="B8" s="232" t="s">
        <v>173</v>
      </c>
      <c r="C8" s="37" t="n">
        <v>0</v>
      </c>
      <c r="D8" s="55" t="n">
        <f aca="false">C21</f>
        <v>731249</v>
      </c>
      <c r="E8" s="188" t="n">
        <f aca="false">C8+D8</f>
        <v>731249</v>
      </c>
      <c r="F8" s="37" t="n">
        <v>0</v>
      </c>
      <c r="G8" s="55" t="n">
        <f aca="false">F21</f>
        <v>811865</v>
      </c>
      <c r="H8" s="188" t="n">
        <f aca="false">F8+G8</f>
        <v>811865</v>
      </c>
      <c r="I8" s="37" t="n">
        <v>0</v>
      </c>
      <c r="J8" s="55" t="n">
        <f aca="false">I21</f>
        <v>615273</v>
      </c>
      <c r="K8" s="188" t="n">
        <f aca="false">I8+J8</f>
        <v>615273</v>
      </c>
      <c r="L8" s="37" t="n">
        <v>0</v>
      </c>
      <c r="M8" s="55" t="n">
        <f aca="false">L21</f>
        <v>0</v>
      </c>
      <c r="N8" s="188" t="n">
        <f aca="false">L8+M8</f>
        <v>0</v>
      </c>
      <c r="O8" s="37" t="n">
        <v>0</v>
      </c>
      <c r="P8" s="55" t="n">
        <f aca="false">O21</f>
        <v>220647</v>
      </c>
      <c r="Q8" s="188" t="n">
        <f aca="false">O8+P8</f>
        <v>220647</v>
      </c>
      <c r="S8" s="46" t="s">
        <v>174</v>
      </c>
    </row>
    <row r="9" customFormat="false" ht="22.5" hidden="false" customHeight="true" outlineLevel="0" collapsed="false">
      <c r="B9" s="110" t="s">
        <v>87</v>
      </c>
      <c r="C9" s="111" t="n">
        <f aca="false">SUM(C5:C8)</f>
        <v>357115426</v>
      </c>
      <c r="D9" s="111" t="n">
        <f aca="false">SUM(D5:D8)</f>
        <v>731249</v>
      </c>
      <c r="E9" s="15" t="n">
        <f aca="false">C9+D9</f>
        <v>357846675</v>
      </c>
      <c r="F9" s="111" t="n">
        <f aca="false">SUM(F5:F8)</f>
        <v>245854292</v>
      </c>
      <c r="G9" s="111" t="n">
        <f aca="false">SUM(G5:G8)</f>
        <v>811865</v>
      </c>
      <c r="H9" s="15" t="n">
        <f aca="false">F9+G9</f>
        <v>246666157</v>
      </c>
      <c r="I9" s="111" t="n">
        <f aca="false">SUM(I5:I8)</f>
        <v>279293828</v>
      </c>
      <c r="J9" s="111" t="n">
        <f aca="false">SUM(J5:J8)</f>
        <v>615273</v>
      </c>
      <c r="K9" s="15" t="n">
        <f aca="false">I9+J9</f>
        <v>279909101</v>
      </c>
      <c r="L9" s="111" t="n">
        <f aca="false">SUM(L5:L8)</f>
        <v>0</v>
      </c>
      <c r="M9" s="111" t="n">
        <f aca="false">SUM(M5:M8)</f>
        <v>0</v>
      </c>
      <c r="N9" s="15" t="n">
        <f aca="false">L9+M9</f>
        <v>0</v>
      </c>
      <c r="O9" s="111" t="n">
        <f aca="false">SUM(O5:O8)</f>
        <v>54441928</v>
      </c>
      <c r="P9" s="111" t="n">
        <f aca="false">SUM(P5:P8)</f>
        <v>220647</v>
      </c>
      <c r="Q9" s="15" t="n">
        <f aca="false">O9+P9</f>
        <v>54662575</v>
      </c>
    </row>
    <row r="10" customFormat="false" ht="22.5" hidden="false" customHeight="true" outlineLevel="0" collapsed="false">
      <c r="B10" s="113" t="str">
        <f aca="false">PL!B12</f>
        <v>当期製造原価（CRより）</v>
      </c>
      <c r="C10" s="35" t="n">
        <f aca="false">PL!C12</f>
        <v>353076486</v>
      </c>
      <c r="D10" s="53"/>
      <c r="E10" s="18" t="n">
        <f aca="false">C10+D10</f>
        <v>353076486</v>
      </c>
      <c r="F10" s="35" t="n">
        <f aca="false">PL!E12</f>
        <v>264751125</v>
      </c>
      <c r="G10" s="53"/>
      <c r="H10" s="18" t="n">
        <f aca="false">F10+G10</f>
        <v>264751125</v>
      </c>
      <c r="I10" s="35" t="n">
        <f aca="false">PL!G12</f>
        <v>273790092</v>
      </c>
      <c r="J10" s="53"/>
      <c r="K10" s="18" t="n">
        <f aca="false">I10+J10</f>
        <v>273790092</v>
      </c>
      <c r="L10" s="35" t="n">
        <f aca="false">PL!I12</f>
        <v>0</v>
      </c>
      <c r="M10" s="53"/>
      <c r="N10" s="18" t="n">
        <f aca="false">L10+M10</f>
        <v>0</v>
      </c>
      <c r="O10" s="35" t="n">
        <f aca="false">PL!K12</f>
        <v>52337050</v>
      </c>
      <c r="P10" s="53"/>
      <c r="Q10" s="18" t="n">
        <f aca="false">O10+P10</f>
        <v>52337050</v>
      </c>
    </row>
    <row r="11" customFormat="false" ht="22.5" hidden="false" customHeight="true" outlineLevel="0" collapsed="false">
      <c r="B11" s="105" t="s">
        <v>175</v>
      </c>
      <c r="C11" s="35" t="n">
        <v>0</v>
      </c>
      <c r="D11" s="53"/>
      <c r="E11" s="18" t="n">
        <f aca="false">C11+D11</f>
        <v>0</v>
      </c>
      <c r="F11" s="35" t="n">
        <v>0</v>
      </c>
      <c r="G11" s="53" t="n">
        <v>-1204684</v>
      </c>
      <c r="H11" s="18" t="n">
        <f aca="false">F11+G11</f>
        <v>-1204684</v>
      </c>
      <c r="I11" s="35" t="n">
        <v>0</v>
      </c>
      <c r="J11" s="53"/>
      <c r="K11" s="18" t="n">
        <f aca="false">I11+J11</f>
        <v>0</v>
      </c>
      <c r="L11" s="35" t="n">
        <v>0</v>
      </c>
      <c r="M11" s="53"/>
      <c r="N11" s="18" t="n">
        <f aca="false">L11+M11</f>
        <v>0</v>
      </c>
      <c r="O11" s="35" t="n">
        <v>0</v>
      </c>
      <c r="P11" s="53"/>
      <c r="Q11" s="18" t="n">
        <f aca="false">O11+P11</f>
        <v>0</v>
      </c>
      <c r="S11" s="91" t="s">
        <v>176</v>
      </c>
    </row>
    <row r="12" customFormat="false" ht="22.5" hidden="false" customHeight="true" outlineLevel="0" collapsed="false">
      <c r="B12" s="105"/>
      <c r="C12" s="35"/>
      <c r="D12" s="53"/>
      <c r="E12" s="18" t="n">
        <f aca="false">C12+D12</f>
        <v>0</v>
      </c>
      <c r="F12" s="35"/>
      <c r="G12" s="53"/>
      <c r="H12" s="18" t="n">
        <f aca="false">F12+G12</f>
        <v>0</v>
      </c>
      <c r="I12" s="35"/>
      <c r="J12" s="53"/>
      <c r="K12" s="18" t="n">
        <f aca="false">I12+J12</f>
        <v>0</v>
      </c>
      <c r="L12" s="35"/>
      <c r="M12" s="53"/>
      <c r="N12" s="18" t="n">
        <f aca="false">L12+M12</f>
        <v>0</v>
      </c>
      <c r="O12" s="35"/>
      <c r="P12" s="53"/>
      <c r="Q12" s="18" t="n">
        <f aca="false">O12+P12</f>
        <v>0</v>
      </c>
    </row>
    <row r="13" customFormat="false" ht="22.5" hidden="false" customHeight="true" outlineLevel="0" collapsed="false">
      <c r="B13" s="105"/>
      <c r="C13" s="35"/>
      <c r="D13" s="53"/>
      <c r="E13" s="18" t="n">
        <f aca="false">C13+D13</f>
        <v>0</v>
      </c>
      <c r="F13" s="35"/>
      <c r="G13" s="53"/>
      <c r="H13" s="18" t="n">
        <f aca="false">F13+G13</f>
        <v>0</v>
      </c>
      <c r="I13" s="35"/>
      <c r="J13" s="53"/>
      <c r="K13" s="18" t="n">
        <f aca="false">I13+J13</f>
        <v>0</v>
      </c>
      <c r="L13" s="35"/>
      <c r="M13" s="53"/>
      <c r="N13" s="18" t="n">
        <f aca="false">L13+M13</f>
        <v>0</v>
      </c>
      <c r="O13" s="35"/>
      <c r="P13" s="53"/>
      <c r="Q13" s="18" t="n">
        <f aca="false">O13+P13</f>
        <v>0</v>
      </c>
    </row>
    <row r="14" customFormat="false" ht="22.5" hidden="false" customHeight="true" outlineLevel="0" collapsed="false">
      <c r="B14" s="114" t="s">
        <v>89</v>
      </c>
      <c r="C14" s="115" t="n">
        <f aca="false">SUM(C10:C13)</f>
        <v>353076486</v>
      </c>
      <c r="D14" s="115" t="n">
        <f aca="false">SUM(D10:D13)</f>
        <v>0</v>
      </c>
      <c r="E14" s="233" t="n">
        <f aca="false">C14+D14</f>
        <v>353076486</v>
      </c>
      <c r="F14" s="115" t="n">
        <f aca="false">SUM(F10:F13)</f>
        <v>264751125</v>
      </c>
      <c r="G14" s="115" t="n">
        <f aca="false">SUM(G10:G13)</f>
        <v>-1204684</v>
      </c>
      <c r="H14" s="233" t="n">
        <f aca="false">F14+G14</f>
        <v>263546441</v>
      </c>
      <c r="I14" s="115" t="n">
        <f aca="false">SUM(I10:I13)</f>
        <v>273790092</v>
      </c>
      <c r="J14" s="115" t="n">
        <f aca="false">SUM(J10:J13)</f>
        <v>0</v>
      </c>
      <c r="K14" s="233" t="n">
        <f aca="false">I14+J14</f>
        <v>273790092</v>
      </c>
      <c r="L14" s="115" t="n">
        <f aca="false">SUM(L10:L13)</f>
        <v>0</v>
      </c>
      <c r="M14" s="115" t="n">
        <f aca="false">SUM(M10:M13)</f>
        <v>0</v>
      </c>
      <c r="N14" s="233" t="n">
        <f aca="false">L14+M14</f>
        <v>0</v>
      </c>
      <c r="O14" s="115" t="n">
        <f aca="false">SUM(O10:O13)</f>
        <v>52337050</v>
      </c>
      <c r="P14" s="115" t="n">
        <f aca="false">SUM(P10:P13)</f>
        <v>0</v>
      </c>
      <c r="Q14" s="233" t="n">
        <f aca="false">O14+P14</f>
        <v>52337050</v>
      </c>
    </row>
    <row r="15" customFormat="false" ht="22.5" hidden="false" customHeight="true" outlineLevel="0" collapsed="false">
      <c r="B15" s="110" t="s">
        <v>90</v>
      </c>
      <c r="C15" s="111" t="n">
        <f aca="false">C9-C14</f>
        <v>4038940</v>
      </c>
      <c r="D15" s="111" t="n">
        <f aca="false">D9-D14</f>
        <v>731249</v>
      </c>
      <c r="E15" s="15" t="n">
        <f aca="false">C15+D15</f>
        <v>4770189</v>
      </c>
      <c r="F15" s="111" t="n">
        <f aca="false">F9-F14</f>
        <v>-18896833</v>
      </c>
      <c r="G15" s="111" t="n">
        <f aca="false">G9-G14</f>
        <v>2016549</v>
      </c>
      <c r="H15" s="15" t="n">
        <f aca="false">F15+G15</f>
        <v>-16880284</v>
      </c>
      <c r="I15" s="111" t="n">
        <f aca="false">I9-I14</f>
        <v>5503736</v>
      </c>
      <c r="J15" s="111" t="n">
        <f aca="false">J9-J14</f>
        <v>615273</v>
      </c>
      <c r="K15" s="15" t="n">
        <f aca="false">I15+J15</f>
        <v>6119009</v>
      </c>
      <c r="L15" s="111" t="n">
        <f aca="false">L9-L14</f>
        <v>0</v>
      </c>
      <c r="M15" s="111" t="n">
        <f aca="false">M9-M14</f>
        <v>0</v>
      </c>
      <c r="N15" s="15" t="n">
        <f aca="false">L15+M15</f>
        <v>0</v>
      </c>
      <c r="O15" s="111" t="n">
        <f aca="false">O9-O14</f>
        <v>2104878</v>
      </c>
      <c r="P15" s="111" t="n">
        <f aca="false">P9-P14</f>
        <v>220647</v>
      </c>
      <c r="Q15" s="15" t="n">
        <f aca="false">O15+P15</f>
        <v>2325525</v>
      </c>
    </row>
    <row r="16" customFormat="false" ht="22.5" hidden="false" customHeight="true" outlineLevel="0" collapsed="false">
      <c r="B16" s="114" t="s">
        <v>91</v>
      </c>
      <c r="C16" s="117" t="n">
        <f aca="false">修正SGA!C39</f>
        <v>19181720</v>
      </c>
      <c r="D16" s="234" t="n">
        <f aca="false">修正SGA!D39</f>
        <v>0</v>
      </c>
      <c r="E16" s="235" t="n">
        <f aca="false">C16+D16</f>
        <v>19181720</v>
      </c>
      <c r="F16" s="117" t="n">
        <f aca="false">修正SGA!F39</f>
        <v>19709676</v>
      </c>
      <c r="G16" s="234" t="n">
        <f aca="false">修正SGA!G39</f>
        <v>0</v>
      </c>
      <c r="H16" s="235" t="n">
        <f aca="false">F16+G16</f>
        <v>19709676</v>
      </c>
      <c r="I16" s="117" t="n">
        <f aca="false">修正SGA!I39</f>
        <v>16503309</v>
      </c>
      <c r="J16" s="234" t="n">
        <f aca="false">修正SGA!J39</f>
        <v>0</v>
      </c>
      <c r="K16" s="235" t="n">
        <f aca="false">I16+J16</f>
        <v>16503309</v>
      </c>
      <c r="L16" s="117" t="n">
        <f aca="false">修正SGA!L39</f>
        <v>0</v>
      </c>
      <c r="M16" s="234" t="n">
        <f aca="false">修正SGA!M39</f>
        <v>0</v>
      </c>
      <c r="N16" s="235" t="n">
        <f aca="false">L16+M16</f>
        <v>0</v>
      </c>
      <c r="O16" s="117" t="n">
        <f aca="false">修正SGA!O39</f>
        <v>2494334</v>
      </c>
      <c r="P16" s="234" t="n">
        <f aca="false">修正SGA!P39</f>
        <v>0</v>
      </c>
      <c r="Q16" s="235" t="n">
        <f aca="false">O16+P16</f>
        <v>2494334</v>
      </c>
    </row>
    <row r="17" customFormat="false" ht="22.5" hidden="false" customHeight="true" outlineLevel="0" collapsed="false">
      <c r="B17" s="110" t="s">
        <v>92</v>
      </c>
      <c r="C17" s="111" t="n">
        <f aca="false">C15- C16</f>
        <v>-15142780</v>
      </c>
      <c r="D17" s="111" t="n">
        <f aca="false">D15- D16</f>
        <v>731249</v>
      </c>
      <c r="E17" s="15" t="n">
        <f aca="false">C17+D17</f>
        <v>-14411531</v>
      </c>
      <c r="F17" s="111" t="n">
        <f aca="false">F15- F16</f>
        <v>-38606509</v>
      </c>
      <c r="G17" s="111" t="n">
        <f aca="false">G15- G16</f>
        <v>2016549</v>
      </c>
      <c r="H17" s="15" t="n">
        <f aca="false">F17+G17</f>
        <v>-36589960</v>
      </c>
      <c r="I17" s="111" t="n">
        <f aca="false">I15- I16</f>
        <v>-10999573</v>
      </c>
      <c r="J17" s="111" t="n">
        <f aca="false">J15- J16</f>
        <v>615273</v>
      </c>
      <c r="K17" s="15" t="n">
        <f aca="false">I17+J17</f>
        <v>-10384300</v>
      </c>
      <c r="L17" s="111" t="n">
        <f aca="false">L15- L16</f>
        <v>0</v>
      </c>
      <c r="M17" s="111" t="n">
        <f aca="false">M15- M16</f>
        <v>0</v>
      </c>
      <c r="N17" s="15" t="n">
        <f aca="false">L17+M17</f>
        <v>0</v>
      </c>
      <c r="O17" s="111" t="n">
        <f aca="false">O15- O16</f>
        <v>-389456</v>
      </c>
      <c r="P17" s="111" t="n">
        <f aca="false">P15- P16</f>
        <v>220647</v>
      </c>
      <c r="Q17" s="15" t="n">
        <f aca="false">O17+P17</f>
        <v>-168809</v>
      </c>
    </row>
    <row r="18" customFormat="false" ht="22.5" hidden="false" customHeight="true" outlineLevel="0" collapsed="false">
      <c r="B18" s="114" t="s">
        <v>93</v>
      </c>
      <c r="C18" s="117" t="n">
        <f aca="false">SUM(C19:C23)</f>
        <v>10732792</v>
      </c>
      <c r="D18" s="117" t="n">
        <f aca="false">SUM(D19:D23)</f>
        <v>-10731249</v>
      </c>
      <c r="E18" s="235" t="n">
        <f aca="false">C18+D18</f>
        <v>1543</v>
      </c>
      <c r="F18" s="117" t="n">
        <f aca="false">SUM(F19:F23)</f>
        <v>10819186</v>
      </c>
      <c r="G18" s="117" t="n">
        <f aca="false">SUM(G19:G23)</f>
        <v>-10812236</v>
      </c>
      <c r="H18" s="235" t="n">
        <f aca="false">F18+G18</f>
        <v>6950</v>
      </c>
      <c r="I18" s="117" t="n">
        <f aca="false">SUM(I19:I23)</f>
        <v>622946</v>
      </c>
      <c r="J18" s="117" t="n">
        <f aca="false">SUM(J19:J23)</f>
        <v>-615273</v>
      </c>
      <c r="K18" s="235" t="n">
        <f aca="false">I18+J18</f>
        <v>7673</v>
      </c>
      <c r="L18" s="117" t="n">
        <f aca="false">SUM(L19:L23)</f>
        <v>0</v>
      </c>
      <c r="M18" s="117" t="n">
        <f aca="false">SUM(M19:M23)</f>
        <v>0</v>
      </c>
      <c r="N18" s="235" t="n">
        <f aca="false">L18+M18</f>
        <v>0</v>
      </c>
      <c r="O18" s="117" t="n">
        <f aca="false">SUM(O19:O23)</f>
        <v>221841</v>
      </c>
      <c r="P18" s="117" t="n">
        <f aca="false">SUM(P19:P23)</f>
        <v>-220647</v>
      </c>
      <c r="Q18" s="235" t="n">
        <f aca="false">O18+P18</f>
        <v>1194</v>
      </c>
    </row>
    <row r="19" customFormat="false" ht="22.5" hidden="false" customHeight="true" outlineLevel="0" collapsed="false">
      <c r="B19" s="119" t="str">
        <f aca="false">PL!B21</f>
        <v>受取利息</v>
      </c>
      <c r="C19" s="35" t="n">
        <f aca="false">PL!C21</f>
        <v>43</v>
      </c>
      <c r="D19" s="53"/>
      <c r="E19" s="18" t="n">
        <f aca="false">C19+D19</f>
        <v>43</v>
      </c>
      <c r="F19" s="35" t="n">
        <f aca="false">PL!E21</f>
        <v>5450</v>
      </c>
      <c r="G19" s="53"/>
      <c r="H19" s="18" t="n">
        <f aca="false">F19+G19</f>
        <v>5450</v>
      </c>
      <c r="I19" s="35" t="n">
        <f aca="false">PL!G21</f>
        <v>6173</v>
      </c>
      <c r="J19" s="53"/>
      <c r="K19" s="18" t="n">
        <f aca="false">I19+J19</f>
        <v>6173</v>
      </c>
      <c r="L19" s="35" t="n">
        <f aca="false">PL!I21</f>
        <v>0</v>
      </c>
      <c r="M19" s="53"/>
      <c r="N19" s="18" t="n">
        <f aca="false">L19+M19</f>
        <v>0</v>
      </c>
      <c r="O19" s="35" t="n">
        <f aca="false">PL!K21</f>
        <v>0</v>
      </c>
      <c r="P19" s="53"/>
      <c r="Q19" s="18" t="n">
        <f aca="false">O19+P19</f>
        <v>0</v>
      </c>
    </row>
    <row r="20" customFormat="false" ht="22.5" hidden="false" customHeight="true" outlineLevel="0" collapsed="false">
      <c r="B20" s="120" t="str">
        <f aca="false">PL!B22</f>
        <v>受取配当金</v>
      </c>
      <c r="C20" s="35" t="n">
        <f aca="false">PL!C22</f>
        <v>1500</v>
      </c>
      <c r="D20" s="53"/>
      <c r="E20" s="18" t="n">
        <f aca="false">C20+D20</f>
        <v>1500</v>
      </c>
      <c r="F20" s="35" t="n">
        <f aca="false">PL!E22</f>
        <v>1500</v>
      </c>
      <c r="G20" s="53"/>
      <c r="H20" s="18" t="n">
        <f aca="false">F20+G20</f>
        <v>1500</v>
      </c>
      <c r="I20" s="35" t="n">
        <f aca="false">PL!G22</f>
        <v>1500</v>
      </c>
      <c r="J20" s="53"/>
      <c r="K20" s="18" t="n">
        <f aca="false">I20+J20</f>
        <v>1500</v>
      </c>
      <c r="L20" s="35" t="n">
        <f aca="false">PL!I22</f>
        <v>0</v>
      </c>
      <c r="M20" s="53"/>
      <c r="N20" s="18" t="n">
        <f aca="false">L20+M20</f>
        <v>0</v>
      </c>
      <c r="O20" s="35" t="n">
        <f aca="false">PL!K22</f>
        <v>1194</v>
      </c>
      <c r="P20" s="53"/>
      <c r="Q20" s="18" t="n">
        <f aca="false">O20+P20</f>
        <v>1194</v>
      </c>
    </row>
    <row r="21" customFormat="false" ht="22.5" hidden="false" customHeight="true" outlineLevel="0" collapsed="false">
      <c r="B21" s="120" t="str">
        <f aca="false">PL!B23</f>
        <v>雑収入（鉄屑売却等）</v>
      </c>
      <c r="C21" s="35" t="n">
        <f aca="false">PL!C23</f>
        <v>731249</v>
      </c>
      <c r="D21" s="53" t="n">
        <f aca="false">-C21</f>
        <v>-731249</v>
      </c>
      <c r="E21" s="18" t="n">
        <f aca="false">C21+D21</f>
        <v>0</v>
      </c>
      <c r="F21" s="35" t="n">
        <f aca="false">PL!E23</f>
        <v>811865</v>
      </c>
      <c r="G21" s="53" t="n">
        <f aca="false">-F21</f>
        <v>-811865</v>
      </c>
      <c r="H21" s="18" t="n">
        <f aca="false">F21+G21</f>
        <v>0</v>
      </c>
      <c r="I21" s="35" t="n">
        <f aca="false">PL!G23</f>
        <v>615273</v>
      </c>
      <c r="J21" s="53" t="n">
        <f aca="false">-I21</f>
        <v>-615273</v>
      </c>
      <c r="K21" s="18" t="n">
        <f aca="false">I21+J21</f>
        <v>0</v>
      </c>
      <c r="L21" s="35" t="n">
        <f aca="false">PL!I23</f>
        <v>0</v>
      </c>
      <c r="M21" s="53" t="n">
        <f aca="false">-L21</f>
        <v>-0</v>
      </c>
      <c r="N21" s="18" t="n">
        <f aca="false">L21+M21</f>
        <v>0</v>
      </c>
      <c r="O21" s="35" t="n">
        <f aca="false">PL!K23</f>
        <v>220647</v>
      </c>
      <c r="P21" s="53" t="n">
        <f aca="false">-O21</f>
        <v>-220647</v>
      </c>
      <c r="Q21" s="18" t="n">
        <f aca="false">O21+P21</f>
        <v>0</v>
      </c>
      <c r="S21" s="46" t="s">
        <v>177</v>
      </c>
    </row>
    <row r="22" customFormat="false" ht="22.5" hidden="true" customHeight="true" outlineLevel="0" collapsed="false">
      <c r="B22" s="120" t="str">
        <f aca="false">PL!B24</f>
        <v>雑収入（立退解決金）</v>
      </c>
      <c r="C22" s="35" t="n">
        <f aca="false">PL!C24</f>
        <v>10000000</v>
      </c>
      <c r="D22" s="53" t="n">
        <f aca="false">-C22</f>
        <v>-10000000</v>
      </c>
      <c r="E22" s="18" t="n">
        <f aca="false">C22+D22</f>
        <v>0</v>
      </c>
      <c r="F22" s="35" t="n">
        <f aca="false">PL!E24</f>
        <v>10000000</v>
      </c>
      <c r="G22" s="53" t="n">
        <f aca="false">-F22</f>
        <v>-10000000</v>
      </c>
      <c r="H22" s="18" t="n">
        <f aca="false">F22+G22</f>
        <v>0</v>
      </c>
      <c r="I22" s="35" t="n">
        <f aca="false">PL!G24</f>
        <v>0</v>
      </c>
      <c r="J22" s="53" t="n">
        <f aca="false">-I22</f>
        <v>-0</v>
      </c>
      <c r="K22" s="18" t="n">
        <f aca="false">I22+J22</f>
        <v>0</v>
      </c>
      <c r="L22" s="35" t="n">
        <f aca="false">PL!I24</f>
        <v>0</v>
      </c>
      <c r="M22" s="53" t="n">
        <f aca="false">-L22</f>
        <v>-0</v>
      </c>
      <c r="N22" s="18" t="n">
        <f aca="false">L22+M22</f>
        <v>0</v>
      </c>
      <c r="O22" s="35" t="n">
        <f aca="false">PL!K24</f>
        <v>0</v>
      </c>
      <c r="P22" s="53" t="n">
        <f aca="false">-O22</f>
        <v>-0</v>
      </c>
      <c r="Q22" s="18" t="n">
        <f aca="false">O22+P22</f>
        <v>0</v>
      </c>
      <c r="S22" s="46" t="s">
        <v>178</v>
      </c>
    </row>
    <row r="23" customFormat="false" ht="22.5" hidden="true" customHeight="true" outlineLevel="0" collapsed="false">
      <c r="B23" s="121" t="str">
        <f aca="false">PL!B25</f>
        <v>決算整理差額（要確認）</v>
      </c>
      <c r="C23" s="35" t="n">
        <f aca="false">PL!C25</f>
        <v>0</v>
      </c>
      <c r="D23" s="53" t="n">
        <f aca="false">-C23</f>
        <v>-0</v>
      </c>
      <c r="E23" s="18" t="n">
        <f aca="false">C23+D23</f>
        <v>0</v>
      </c>
      <c r="F23" s="35" t="n">
        <f aca="false">PL!E25</f>
        <v>371</v>
      </c>
      <c r="G23" s="53" t="n">
        <f aca="false">-F23</f>
        <v>-371</v>
      </c>
      <c r="H23" s="18" t="n">
        <f aca="false">F23+G23</f>
        <v>0</v>
      </c>
      <c r="I23" s="35" t="n">
        <f aca="false">PL!G25</f>
        <v>0</v>
      </c>
      <c r="J23" s="53" t="n">
        <f aca="false">-I23</f>
        <v>-0</v>
      </c>
      <c r="K23" s="18" t="n">
        <f aca="false">I23+J23</f>
        <v>0</v>
      </c>
      <c r="L23" s="35" t="n">
        <f aca="false">PL!I25</f>
        <v>0</v>
      </c>
      <c r="M23" s="55" t="n">
        <f aca="false">-L23</f>
        <v>-0</v>
      </c>
      <c r="N23" s="188" t="n">
        <f aca="false">L23+M23</f>
        <v>0</v>
      </c>
      <c r="O23" s="37" t="n">
        <f aca="false">PL!K25</f>
        <v>0</v>
      </c>
      <c r="P23" s="55" t="n">
        <f aca="false">-O23</f>
        <v>-0</v>
      </c>
      <c r="Q23" s="188" t="n">
        <f aca="false">O23+P23</f>
        <v>0</v>
      </c>
    </row>
    <row r="24" customFormat="false" ht="22.5" hidden="false" customHeight="true" outlineLevel="0" collapsed="false">
      <c r="B24" s="114" t="s">
        <v>99</v>
      </c>
      <c r="C24" s="236" t="n">
        <f aca="false">SUM(C25:C29)</f>
        <v>0</v>
      </c>
      <c r="D24" s="236" t="n">
        <f aca="false">SUM(D25:D29)</f>
        <v>0</v>
      </c>
      <c r="E24" s="237" t="n">
        <f aca="false">C24+D24</f>
        <v>0</v>
      </c>
      <c r="F24" s="236" t="n">
        <f aca="false">SUM(F25:F29)</f>
        <v>491887</v>
      </c>
      <c r="G24" s="236" t="n">
        <f aca="false">SUM(G25:G29)</f>
        <v>-491887</v>
      </c>
      <c r="H24" s="237" t="n">
        <f aca="false">F24+G24</f>
        <v>0</v>
      </c>
      <c r="I24" s="236" t="n">
        <f aca="false">SUM(I25:I29)</f>
        <v>885457</v>
      </c>
      <c r="J24" s="236" t="n">
        <f aca="false">SUM(J25:J29)</f>
        <v>-885457</v>
      </c>
      <c r="K24" s="237" t="n">
        <f aca="false">I24+J24</f>
        <v>0</v>
      </c>
      <c r="L24" s="236" t="n">
        <f aca="false">SUM(L25:L29)</f>
        <v>0</v>
      </c>
      <c r="M24" s="117" t="n">
        <f aca="false">SUM(M25:M29)</f>
        <v>0</v>
      </c>
      <c r="N24" s="235" t="n">
        <f aca="false">L24+M24</f>
        <v>0</v>
      </c>
      <c r="O24" s="117" t="n">
        <f aca="false">SUM(O25:O29)</f>
        <v>117601</v>
      </c>
      <c r="P24" s="117" t="n">
        <f aca="false">SUM(P25:P29)</f>
        <v>-117601</v>
      </c>
      <c r="Q24" s="235" t="n">
        <f aca="false">O24+P24</f>
        <v>0</v>
      </c>
    </row>
    <row r="25" customFormat="false" ht="22.5" hidden="false" customHeight="true" outlineLevel="0" collapsed="false">
      <c r="B25" s="119" t="str">
        <f aca="false">PL!B29</f>
        <v>支払利息</v>
      </c>
      <c r="C25" s="35" t="n">
        <f aca="false">PL!C29</f>
        <v>0</v>
      </c>
      <c r="D25" s="53" t="n">
        <f aca="false">-C25</f>
        <v>-0</v>
      </c>
      <c r="E25" s="18" t="n">
        <f aca="false">C25+D25</f>
        <v>0</v>
      </c>
      <c r="F25" s="35" t="n">
        <f aca="false">PL!E29</f>
        <v>491887</v>
      </c>
      <c r="G25" s="53" t="n">
        <f aca="false">-F25</f>
        <v>-491887</v>
      </c>
      <c r="H25" s="18" t="n">
        <f aca="false">F25+G25</f>
        <v>0</v>
      </c>
      <c r="I25" s="35" t="n">
        <f aca="false">PL!G29</f>
        <v>885457</v>
      </c>
      <c r="J25" s="53" t="n">
        <f aca="false">-I25</f>
        <v>-885457</v>
      </c>
      <c r="K25" s="18" t="n">
        <f aca="false">I25+J25</f>
        <v>0</v>
      </c>
      <c r="L25" s="35" t="n">
        <f aca="false">PL!I29</f>
        <v>0</v>
      </c>
      <c r="M25" s="53" t="n">
        <f aca="false">-L25</f>
        <v>-0</v>
      </c>
      <c r="N25" s="18" t="n">
        <f aca="false">L25+M25</f>
        <v>0</v>
      </c>
      <c r="O25" s="35" t="n">
        <f aca="false">PL!K29</f>
        <v>117601</v>
      </c>
      <c r="P25" s="53" t="n">
        <f aca="false">-O25</f>
        <v>-117601</v>
      </c>
      <c r="Q25" s="18" t="n">
        <f aca="false">O25+P25</f>
        <v>0</v>
      </c>
      <c r="S25" s="46" t="s">
        <v>179</v>
      </c>
    </row>
    <row r="26" customFormat="false" ht="22.5" hidden="false" customHeight="true" outlineLevel="0" collapsed="false">
      <c r="B26" s="120"/>
      <c r="C26" s="35"/>
      <c r="D26" s="53"/>
      <c r="E26" s="18" t="n">
        <f aca="false">C26+D26</f>
        <v>0</v>
      </c>
      <c r="F26" s="35"/>
      <c r="G26" s="53"/>
      <c r="H26" s="18" t="n">
        <f aca="false">F26+G26</f>
        <v>0</v>
      </c>
      <c r="I26" s="35"/>
      <c r="J26" s="53"/>
      <c r="K26" s="18" t="n">
        <f aca="false">I26+J26</f>
        <v>0</v>
      </c>
      <c r="L26" s="35"/>
      <c r="M26" s="53"/>
      <c r="N26" s="18" t="n">
        <f aca="false">L26+M26</f>
        <v>0</v>
      </c>
      <c r="O26" s="35"/>
      <c r="P26" s="53"/>
      <c r="Q26" s="18" t="n">
        <f aca="false">O26+P26</f>
        <v>0</v>
      </c>
    </row>
    <row r="27" customFormat="false" ht="22.5" hidden="true" customHeight="true" outlineLevel="0" collapsed="false">
      <c r="B27" s="120"/>
      <c r="C27" s="35"/>
      <c r="D27" s="53"/>
      <c r="E27" s="18" t="n">
        <f aca="false">C27+D27</f>
        <v>0</v>
      </c>
      <c r="F27" s="35"/>
      <c r="G27" s="53"/>
      <c r="H27" s="18" t="n">
        <f aca="false">F27+G27</f>
        <v>0</v>
      </c>
      <c r="I27" s="35"/>
      <c r="J27" s="53"/>
      <c r="K27" s="18" t="n">
        <f aca="false">I27+J27</f>
        <v>0</v>
      </c>
      <c r="L27" s="35"/>
      <c r="M27" s="53"/>
      <c r="N27" s="18" t="n">
        <f aca="false">L27+M27</f>
        <v>0</v>
      </c>
      <c r="O27" s="35"/>
      <c r="P27" s="53"/>
      <c r="Q27" s="18" t="n">
        <f aca="false">O27+P27</f>
        <v>0</v>
      </c>
    </row>
    <row r="28" customFormat="false" ht="22.5" hidden="true" customHeight="true" outlineLevel="0" collapsed="false">
      <c r="B28" s="120"/>
      <c r="C28" s="35"/>
      <c r="D28" s="53"/>
      <c r="E28" s="18" t="n">
        <f aca="false">C28+D28</f>
        <v>0</v>
      </c>
      <c r="F28" s="35"/>
      <c r="G28" s="53"/>
      <c r="H28" s="18" t="n">
        <f aca="false">F28+G28</f>
        <v>0</v>
      </c>
      <c r="I28" s="35"/>
      <c r="J28" s="53"/>
      <c r="K28" s="18" t="n">
        <f aca="false">I28+J28</f>
        <v>0</v>
      </c>
      <c r="L28" s="35"/>
      <c r="M28" s="53"/>
      <c r="N28" s="18" t="n">
        <f aca="false">L28+M28</f>
        <v>0</v>
      </c>
      <c r="O28" s="35"/>
      <c r="P28" s="53"/>
      <c r="Q28" s="18" t="n">
        <f aca="false">O28+P28</f>
        <v>0</v>
      </c>
    </row>
    <row r="29" customFormat="false" ht="22.5" hidden="true" customHeight="true" outlineLevel="0" collapsed="false">
      <c r="B29" s="121"/>
      <c r="C29" s="35"/>
      <c r="D29" s="53"/>
      <c r="E29" s="18" t="n">
        <f aca="false">C29+D29</f>
        <v>0</v>
      </c>
      <c r="F29" s="35"/>
      <c r="G29" s="53"/>
      <c r="H29" s="18" t="n">
        <f aca="false">F29+G29</f>
        <v>0</v>
      </c>
      <c r="I29" s="35"/>
      <c r="J29" s="53"/>
      <c r="K29" s="18" t="n">
        <f aca="false">I29+J29</f>
        <v>0</v>
      </c>
      <c r="L29" s="37"/>
      <c r="M29" s="55"/>
      <c r="N29" s="188" t="n">
        <f aca="false">L29+M29</f>
        <v>0</v>
      </c>
      <c r="O29" s="37"/>
      <c r="P29" s="55"/>
      <c r="Q29" s="188" t="n">
        <f aca="false">O29+P29</f>
        <v>0</v>
      </c>
    </row>
    <row r="30" customFormat="false" ht="22.5" hidden="false" customHeight="true" outlineLevel="0" collapsed="false">
      <c r="B30" s="110" t="s">
        <v>101</v>
      </c>
      <c r="C30" s="238" t="n">
        <f aca="false">C17+C18-C24</f>
        <v>-4409988</v>
      </c>
      <c r="D30" s="238" t="n">
        <f aca="false">D17+D18-D24</f>
        <v>-10000000</v>
      </c>
      <c r="E30" s="239" t="n">
        <f aca="false">C30+D30</f>
        <v>-14409988</v>
      </c>
      <c r="F30" s="238" t="n">
        <f aca="false">F17+F18-F24</f>
        <v>-28279210</v>
      </c>
      <c r="G30" s="238" t="n">
        <f aca="false">G17+G18-G24</f>
        <v>-8303800</v>
      </c>
      <c r="H30" s="239" t="n">
        <f aca="false">F30+G30</f>
        <v>-36583010</v>
      </c>
      <c r="I30" s="238" t="n">
        <f aca="false">I17+I18-I24</f>
        <v>-11262084</v>
      </c>
      <c r="J30" s="238" t="n">
        <f aca="false">J17+J18-J24</f>
        <v>885457</v>
      </c>
      <c r="K30" s="239" t="n">
        <f aca="false">I30+J30</f>
        <v>-10376627</v>
      </c>
      <c r="L30" s="111" t="n">
        <f aca="false">L17+L18-L24</f>
        <v>0</v>
      </c>
      <c r="M30" s="111" t="n">
        <f aca="false">M17+M18-M24</f>
        <v>0</v>
      </c>
      <c r="N30" s="15" t="n">
        <f aca="false">L30+M30</f>
        <v>0</v>
      </c>
      <c r="O30" s="111" t="n">
        <f aca="false">O17+O18-O24</f>
        <v>-285216</v>
      </c>
      <c r="P30" s="111" t="n">
        <f aca="false">P17+P18-P24</f>
        <v>117601</v>
      </c>
      <c r="Q30" s="15" t="n">
        <f aca="false">O30+P30</f>
        <v>-167615</v>
      </c>
    </row>
    <row r="31" customFormat="false" ht="22.5" hidden="false" customHeight="true" outlineLevel="0" collapsed="false">
      <c r="B31" s="114" t="s">
        <v>102</v>
      </c>
      <c r="C31" s="115" t="n">
        <f aca="false">SUM(C32:C35)</f>
        <v>0</v>
      </c>
      <c r="D31" s="115" t="n">
        <f aca="false">SUM(D32:D35)</f>
        <v>0</v>
      </c>
      <c r="E31" s="233" t="n">
        <f aca="false">C31+D31</f>
        <v>0</v>
      </c>
      <c r="F31" s="115" t="n">
        <f aca="false">SUM(F32:F35)</f>
        <v>0</v>
      </c>
      <c r="G31" s="115" t="n">
        <f aca="false">SUM(G32:G35)</f>
        <v>0</v>
      </c>
      <c r="H31" s="233" t="n">
        <f aca="false">F31+G31</f>
        <v>0</v>
      </c>
      <c r="I31" s="115" t="n">
        <f aca="false">SUM(I32:I35)</f>
        <v>0</v>
      </c>
      <c r="J31" s="115" t="n">
        <f aca="false">SUM(J32:J35)</f>
        <v>0</v>
      </c>
      <c r="K31" s="233" t="n">
        <f aca="false">I31+J31</f>
        <v>0</v>
      </c>
      <c r="L31" s="115" t="n">
        <f aca="false">SUM(L32:L35)</f>
        <v>0</v>
      </c>
      <c r="M31" s="115" t="n">
        <f aca="false">SUM(M32:M35)</f>
        <v>0</v>
      </c>
      <c r="N31" s="233" t="n">
        <f aca="false">L31+M31</f>
        <v>0</v>
      </c>
      <c r="O31" s="115" t="n">
        <f aca="false">SUM(O32:O35)</f>
        <v>0</v>
      </c>
      <c r="P31" s="115" t="n">
        <f aca="false">SUM(P32:P35)</f>
        <v>0</v>
      </c>
      <c r="Q31" s="233" t="n">
        <f aca="false">O31+P31</f>
        <v>0</v>
      </c>
    </row>
    <row r="32" customFormat="false" ht="22.5" hidden="false" customHeight="true" outlineLevel="0" collapsed="false">
      <c r="B32" s="120"/>
      <c r="C32" s="35"/>
      <c r="D32" s="53"/>
      <c r="E32" s="18" t="n">
        <f aca="false">C32+D32</f>
        <v>0</v>
      </c>
      <c r="F32" s="35"/>
      <c r="G32" s="53"/>
      <c r="H32" s="18" t="n">
        <f aca="false">F32+G32</f>
        <v>0</v>
      </c>
      <c r="I32" s="35"/>
      <c r="J32" s="53"/>
      <c r="K32" s="18" t="n">
        <f aca="false">I32+J32</f>
        <v>0</v>
      </c>
      <c r="L32" s="35"/>
      <c r="M32" s="53"/>
      <c r="N32" s="18" t="n">
        <f aca="false">L32+M32</f>
        <v>0</v>
      </c>
      <c r="O32" s="35"/>
      <c r="P32" s="53"/>
      <c r="Q32" s="18" t="n">
        <f aca="false">O32+P32</f>
        <v>0</v>
      </c>
    </row>
    <row r="33" customFormat="false" ht="22.5" hidden="true" customHeight="true" outlineLevel="0" collapsed="false">
      <c r="B33" s="120"/>
      <c r="C33" s="35"/>
      <c r="D33" s="53"/>
      <c r="E33" s="18" t="n">
        <f aca="false">C33+D33</f>
        <v>0</v>
      </c>
      <c r="F33" s="35"/>
      <c r="G33" s="53"/>
      <c r="H33" s="18" t="n">
        <f aca="false">F33+G33</f>
        <v>0</v>
      </c>
      <c r="I33" s="35"/>
      <c r="J33" s="53"/>
      <c r="K33" s="18" t="n">
        <f aca="false">I33+J33</f>
        <v>0</v>
      </c>
      <c r="L33" s="35"/>
      <c r="M33" s="53"/>
      <c r="N33" s="18" t="n">
        <f aca="false">L33+M33</f>
        <v>0</v>
      </c>
      <c r="O33" s="35"/>
      <c r="P33" s="53"/>
      <c r="Q33" s="18" t="n">
        <f aca="false">O33+P33</f>
        <v>0</v>
      </c>
    </row>
    <row r="34" customFormat="false" ht="22.5" hidden="true" customHeight="true" outlineLevel="0" collapsed="false">
      <c r="B34" s="120"/>
      <c r="C34" s="35"/>
      <c r="D34" s="53"/>
      <c r="E34" s="18" t="n">
        <f aca="false">C34+D34</f>
        <v>0</v>
      </c>
      <c r="F34" s="35"/>
      <c r="G34" s="53"/>
      <c r="H34" s="18" t="n">
        <f aca="false">F34+G34</f>
        <v>0</v>
      </c>
      <c r="I34" s="35"/>
      <c r="J34" s="53"/>
      <c r="K34" s="18" t="n">
        <f aca="false">I34+J34</f>
        <v>0</v>
      </c>
      <c r="L34" s="35"/>
      <c r="M34" s="53"/>
      <c r="N34" s="18" t="n">
        <f aca="false">L34+M34</f>
        <v>0</v>
      </c>
      <c r="O34" s="35"/>
      <c r="P34" s="53"/>
      <c r="Q34" s="18" t="n">
        <f aca="false">O34+P34</f>
        <v>0</v>
      </c>
    </row>
    <row r="35" customFormat="false" ht="22.5" hidden="true" customHeight="true" outlineLevel="0" collapsed="false">
      <c r="B35" s="121"/>
      <c r="C35" s="37"/>
      <c r="D35" s="53"/>
      <c r="E35" s="18" t="n">
        <f aca="false">C35+D35</f>
        <v>0</v>
      </c>
      <c r="F35" s="35"/>
      <c r="G35" s="53"/>
      <c r="H35" s="18" t="n">
        <f aca="false">F35+G35</f>
        <v>0</v>
      </c>
      <c r="I35" s="35"/>
      <c r="J35" s="53"/>
      <c r="K35" s="18" t="n">
        <f aca="false">I35+J35</f>
        <v>0</v>
      </c>
      <c r="L35" s="37"/>
      <c r="M35" s="55"/>
      <c r="N35" s="188" t="n">
        <f aca="false">L35+M35</f>
        <v>0</v>
      </c>
      <c r="O35" s="37"/>
      <c r="P35" s="55"/>
      <c r="Q35" s="188" t="n">
        <f aca="false">O35+P35</f>
        <v>0</v>
      </c>
    </row>
    <row r="36" customFormat="false" ht="22.5" hidden="false" customHeight="true" outlineLevel="0" collapsed="false">
      <c r="B36" s="114" t="s">
        <v>103</v>
      </c>
      <c r="C36" s="115" t="n">
        <f aca="false">SUM(C37:C40)</f>
        <v>0</v>
      </c>
      <c r="D36" s="236" t="n">
        <f aca="false">SUM(D37:D40)</f>
        <v>0</v>
      </c>
      <c r="E36" s="237" t="n">
        <f aca="false">C36+D36</f>
        <v>0</v>
      </c>
      <c r="F36" s="236" t="n">
        <f aca="false">SUM(F37:F40)</f>
        <v>0</v>
      </c>
      <c r="G36" s="236" t="n">
        <f aca="false">SUM(G37:G40)</f>
        <v>0</v>
      </c>
      <c r="H36" s="237" t="n">
        <f aca="false">F36+G36</f>
        <v>0</v>
      </c>
      <c r="I36" s="236" t="n">
        <f aca="false">SUM(I37:I40)</f>
        <v>0</v>
      </c>
      <c r="J36" s="236" t="n">
        <f aca="false">SUM(J37:J40)</f>
        <v>0</v>
      </c>
      <c r="K36" s="237" t="n">
        <f aca="false">I36+J36</f>
        <v>0</v>
      </c>
      <c r="L36" s="115" t="n">
        <f aca="false">SUM(L37:L40)</f>
        <v>0</v>
      </c>
      <c r="M36" s="115" t="n">
        <f aca="false">SUM(M37:M40)</f>
        <v>0</v>
      </c>
      <c r="N36" s="235" t="n">
        <f aca="false">L36+M36</f>
        <v>0</v>
      </c>
      <c r="O36" s="115" t="n">
        <f aca="false">SUM(O37:O40)</f>
        <v>0</v>
      </c>
      <c r="P36" s="115" t="n">
        <f aca="false">SUM(P37:P40)</f>
        <v>0</v>
      </c>
      <c r="Q36" s="235" t="n">
        <f aca="false">O36+P36</f>
        <v>0</v>
      </c>
    </row>
    <row r="37" customFormat="false" ht="22.5" hidden="true" customHeight="true" outlineLevel="0" collapsed="false">
      <c r="B37" s="119"/>
      <c r="C37" s="35"/>
      <c r="D37" s="53"/>
      <c r="E37" s="18" t="n">
        <f aca="false">C37+D37</f>
        <v>0</v>
      </c>
      <c r="F37" s="35"/>
      <c r="G37" s="53"/>
      <c r="H37" s="18" t="n">
        <f aca="false">F37+G37</f>
        <v>0</v>
      </c>
      <c r="I37" s="35"/>
      <c r="J37" s="53"/>
      <c r="K37" s="18" t="n">
        <f aca="false">I37+J37</f>
        <v>0</v>
      </c>
      <c r="L37" s="35"/>
      <c r="M37" s="53"/>
      <c r="N37" s="18" t="n">
        <f aca="false">L37+M37</f>
        <v>0</v>
      </c>
      <c r="O37" s="35"/>
      <c r="P37" s="53"/>
      <c r="Q37" s="18" t="n">
        <f aca="false">O37+P37</f>
        <v>0</v>
      </c>
    </row>
    <row r="38" customFormat="false" ht="22.5" hidden="true" customHeight="true" outlineLevel="0" collapsed="false">
      <c r="B38" s="120"/>
      <c r="C38" s="35"/>
      <c r="D38" s="53"/>
      <c r="E38" s="18" t="n">
        <f aca="false">C38+D38</f>
        <v>0</v>
      </c>
      <c r="F38" s="35"/>
      <c r="G38" s="53"/>
      <c r="H38" s="18" t="n">
        <f aca="false">F38+G38</f>
        <v>0</v>
      </c>
      <c r="I38" s="35"/>
      <c r="J38" s="53"/>
      <c r="K38" s="18" t="n">
        <f aca="false">I38+J38</f>
        <v>0</v>
      </c>
      <c r="L38" s="35"/>
      <c r="M38" s="53"/>
      <c r="N38" s="18" t="n">
        <f aca="false">L38+M38</f>
        <v>0</v>
      </c>
      <c r="O38" s="35"/>
      <c r="P38" s="53"/>
      <c r="Q38" s="18" t="n">
        <f aca="false">O38+P38</f>
        <v>0</v>
      </c>
    </row>
    <row r="39" customFormat="false" ht="22.5" hidden="true" customHeight="true" outlineLevel="0" collapsed="false">
      <c r="B39" s="120"/>
      <c r="C39" s="35"/>
      <c r="D39" s="53"/>
      <c r="E39" s="18" t="n">
        <f aca="false">C39+D39</f>
        <v>0</v>
      </c>
      <c r="F39" s="35"/>
      <c r="G39" s="53"/>
      <c r="H39" s="18" t="n">
        <f aca="false">F39+G39</f>
        <v>0</v>
      </c>
      <c r="I39" s="35"/>
      <c r="J39" s="53"/>
      <c r="K39" s="18" t="n">
        <f aca="false">I39+J39</f>
        <v>0</v>
      </c>
      <c r="L39" s="35"/>
      <c r="M39" s="53"/>
      <c r="N39" s="18" t="n">
        <f aca="false">L39+M39</f>
        <v>0</v>
      </c>
      <c r="O39" s="35"/>
      <c r="P39" s="53"/>
      <c r="Q39" s="18" t="n">
        <f aca="false">O39+P39</f>
        <v>0</v>
      </c>
    </row>
    <row r="40" customFormat="false" ht="22.5" hidden="true" customHeight="true" outlineLevel="0" collapsed="false">
      <c r="B40" s="121"/>
      <c r="C40" s="37"/>
      <c r="D40" s="55"/>
      <c r="E40" s="188" t="n">
        <f aca="false">C40+D40</f>
        <v>0</v>
      </c>
      <c r="F40" s="37"/>
      <c r="G40" s="55"/>
      <c r="H40" s="188" t="n">
        <f aca="false">F40+G40</f>
        <v>0</v>
      </c>
      <c r="I40" s="37"/>
      <c r="J40" s="55"/>
      <c r="K40" s="188" t="n">
        <f aca="false">I40+J40</f>
        <v>0</v>
      </c>
      <c r="L40" s="37"/>
      <c r="M40" s="55"/>
      <c r="N40" s="188" t="n">
        <f aca="false">L40+M40</f>
        <v>0</v>
      </c>
      <c r="O40" s="37"/>
      <c r="P40" s="55"/>
      <c r="Q40" s="188" t="n">
        <f aca="false">O40+P40</f>
        <v>0</v>
      </c>
    </row>
    <row r="41" customFormat="false" ht="22.5" hidden="false" customHeight="true" outlineLevel="0" collapsed="false">
      <c r="B41" s="110" t="s">
        <v>104</v>
      </c>
      <c r="C41" s="111" t="n">
        <f aca="false">C30+C31-C36</f>
        <v>-4409988</v>
      </c>
      <c r="D41" s="111" t="n">
        <f aca="false">D30+D31-D36</f>
        <v>-10000000</v>
      </c>
      <c r="E41" s="15" t="n">
        <f aca="false">C41+D41</f>
        <v>-14409988</v>
      </c>
      <c r="F41" s="111" t="n">
        <f aca="false">F30+F31-F36</f>
        <v>-28279210</v>
      </c>
      <c r="G41" s="111" t="n">
        <f aca="false">G30+G31-G36</f>
        <v>-8303800</v>
      </c>
      <c r="H41" s="15" t="n">
        <f aca="false">F41+G41</f>
        <v>-36583010</v>
      </c>
      <c r="I41" s="111" t="n">
        <f aca="false">I30+I31-I36</f>
        <v>-11262084</v>
      </c>
      <c r="J41" s="111" t="n">
        <f aca="false">J30+J31-J36</f>
        <v>885457</v>
      </c>
      <c r="K41" s="15" t="n">
        <f aca="false">I41+J41</f>
        <v>-10376627</v>
      </c>
      <c r="L41" s="111" t="n">
        <f aca="false">L30+L31-L36</f>
        <v>0</v>
      </c>
      <c r="M41" s="111" t="n">
        <f aca="false">M30+M31-M36</f>
        <v>0</v>
      </c>
      <c r="N41" s="15" t="n">
        <f aca="false">L41+M41</f>
        <v>0</v>
      </c>
      <c r="O41" s="111" t="n">
        <f aca="false">O30+O31-O36</f>
        <v>-285216</v>
      </c>
      <c r="P41" s="111" t="n">
        <f aca="false">P30+P31-P36</f>
        <v>117601</v>
      </c>
      <c r="Q41" s="15" t="n">
        <f aca="false">O41+P41</f>
        <v>-167615</v>
      </c>
    </row>
    <row r="42" customFormat="false" ht="22.5" hidden="false" customHeight="true" outlineLevel="0" collapsed="false">
      <c r="B42" s="114" t="s">
        <v>105</v>
      </c>
      <c r="C42" s="115" t="n">
        <f aca="false">SUM(C43:C44)</f>
        <v>70000</v>
      </c>
      <c r="D42" s="115" t="n">
        <f aca="false">SUM(D43:D44)</f>
        <v>0</v>
      </c>
      <c r="E42" s="233" t="n">
        <f aca="false">C42+D42</f>
        <v>70000</v>
      </c>
      <c r="F42" s="115" t="n">
        <f aca="false">SUM(F43:F44)</f>
        <v>70000</v>
      </c>
      <c r="G42" s="115" t="n">
        <f aca="false">SUM(G43:G44)</f>
        <v>0</v>
      </c>
      <c r="H42" s="233" t="n">
        <f aca="false">F42+G42</f>
        <v>70000</v>
      </c>
      <c r="I42" s="115" t="n">
        <f aca="false">SUM(I43:I44)</f>
        <v>70000</v>
      </c>
      <c r="J42" s="115" t="n">
        <f aca="false">SUM(J43:J44)</f>
        <v>0</v>
      </c>
      <c r="K42" s="233" t="n">
        <f aca="false">I42+J42</f>
        <v>70000</v>
      </c>
      <c r="L42" s="115" t="n">
        <f aca="false">SUM(L43:L44)</f>
        <v>0</v>
      </c>
      <c r="M42" s="115" t="n">
        <f aca="false">SUM(M43:M44)</f>
        <v>0</v>
      </c>
      <c r="N42" s="233" t="n">
        <f aca="false">L42+M42</f>
        <v>0</v>
      </c>
      <c r="O42" s="115" t="n">
        <f aca="false">SUM(O43:O44)</f>
        <v>0</v>
      </c>
      <c r="P42" s="115" t="n">
        <f aca="false">SUM(P43:P44)</f>
        <v>0</v>
      </c>
      <c r="Q42" s="233" t="n">
        <f aca="false">O42+P42</f>
        <v>0</v>
      </c>
    </row>
    <row r="43" customFormat="false" ht="22.5" hidden="false" customHeight="true" outlineLevel="0" collapsed="false">
      <c r="B43" s="120" t="str">
        <f aca="false">PL!B53</f>
        <v>法人税、住民税及び事業税</v>
      </c>
      <c r="C43" s="35" t="n">
        <f aca="false">PL!C53</f>
        <v>70000</v>
      </c>
      <c r="D43" s="53"/>
      <c r="E43" s="18" t="n">
        <f aca="false">C43+D43</f>
        <v>70000</v>
      </c>
      <c r="F43" s="35" t="n">
        <f aca="false">PL!E53</f>
        <v>70000</v>
      </c>
      <c r="G43" s="53"/>
      <c r="H43" s="18" t="n">
        <f aca="false">F43+G43</f>
        <v>70000</v>
      </c>
      <c r="I43" s="35" t="n">
        <f aca="false">PL!G53</f>
        <v>70000</v>
      </c>
      <c r="J43" s="53"/>
      <c r="K43" s="18" t="n">
        <f aca="false">I43+J43</f>
        <v>70000</v>
      </c>
      <c r="L43" s="35" t="n">
        <f aca="false">PL!I53</f>
        <v>0</v>
      </c>
      <c r="M43" s="53"/>
      <c r="N43" s="18" t="n">
        <f aca="false">L43+M43</f>
        <v>0</v>
      </c>
      <c r="O43" s="35" t="n">
        <f aca="false">PL!K53</f>
        <v>0</v>
      </c>
      <c r="P43" s="53"/>
      <c r="Q43" s="18" t="n">
        <f aca="false">O43+P43</f>
        <v>0</v>
      </c>
    </row>
    <row r="44" customFormat="false" ht="22.5" hidden="true" customHeight="true" outlineLevel="0" collapsed="false">
      <c r="B44" s="124"/>
      <c r="C44" s="35"/>
      <c r="D44" s="53"/>
      <c r="E44" s="18" t="n">
        <f aca="false">C44+D44</f>
        <v>0</v>
      </c>
      <c r="F44" s="35"/>
      <c r="G44" s="53"/>
      <c r="H44" s="18" t="n">
        <f aca="false">F44+G44</f>
        <v>0</v>
      </c>
      <c r="I44" s="35"/>
      <c r="J44" s="53"/>
      <c r="K44" s="18" t="n">
        <f aca="false">I44+J44</f>
        <v>0</v>
      </c>
      <c r="L44" s="37"/>
      <c r="M44" s="55"/>
      <c r="N44" s="188" t="n">
        <f aca="false">L44+M44</f>
        <v>0</v>
      </c>
      <c r="O44" s="37"/>
      <c r="P44" s="55"/>
      <c r="Q44" s="188" t="n">
        <f aca="false">O44+P44</f>
        <v>0</v>
      </c>
    </row>
    <row r="45" customFormat="false" ht="22.5" hidden="false" customHeight="true" outlineLevel="0" collapsed="false">
      <c r="B45" s="110" t="s">
        <v>107</v>
      </c>
      <c r="C45" s="238" t="n">
        <f aca="false">C41-C42</f>
        <v>-4479988</v>
      </c>
      <c r="D45" s="238" t="n">
        <f aca="false">D41-D42</f>
        <v>-10000000</v>
      </c>
      <c r="E45" s="240" t="n">
        <f aca="false">C45+D45</f>
        <v>-14479988</v>
      </c>
      <c r="F45" s="238" t="n">
        <f aca="false">F41-F42</f>
        <v>-28349210</v>
      </c>
      <c r="G45" s="238" t="n">
        <f aca="false">G41-G42</f>
        <v>-8303800</v>
      </c>
      <c r="H45" s="240" t="n">
        <f aca="false">F45+G45</f>
        <v>-36653010</v>
      </c>
      <c r="I45" s="238" t="n">
        <f aca="false">I41-I42</f>
        <v>-11332084</v>
      </c>
      <c r="J45" s="238" t="n">
        <f aca="false">J41-J42</f>
        <v>885457</v>
      </c>
      <c r="K45" s="240" t="n">
        <f aca="false">I45+J45</f>
        <v>-10446627</v>
      </c>
      <c r="L45" s="111" t="n">
        <f aca="false">L41-L42</f>
        <v>0</v>
      </c>
      <c r="M45" s="111" t="n">
        <f aca="false">M41-M42</f>
        <v>0</v>
      </c>
      <c r="N45" s="241" t="n">
        <f aca="false">L45+M45</f>
        <v>0</v>
      </c>
      <c r="O45" s="111" t="n">
        <f aca="false">O41-O42</f>
        <v>-285216</v>
      </c>
      <c r="P45" s="111" t="n">
        <f aca="false">P41-P42</f>
        <v>117601</v>
      </c>
      <c r="Q45" s="241" t="n">
        <f aca="false">O45+P45</f>
        <v>-167615</v>
      </c>
    </row>
    <row r="46" customFormat="false" ht="18" hidden="true" customHeight="false" outlineLevel="0" collapsed="false">
      <c r="C46" s="152"/>
      <c r="D46" s="152"/>
      <c r="E46" s="152" t="n">
        <f aca="false">C46+D46</f>
        <v>0</v>
      </c>
      <c r="F46" s="152"/>
      <c r="G46" s="152"/>
      <c r="H46" s="152" t="n">
        <f aca="false">F46+G46</f>
        <v>0</v>
      </c>
      <c r="I46" s="152"/>
      <c r="J46" s="152"/>
      <c r="K46" s="152" t="n">
        <f aca="false">I46+J46</f>
        <v>0</v>
      </c>
      <c r="L46" s="152"/>
      <c r="M46" s="152"/>
      <c r="N46" s="152" t="n">
        <f aca="false">L46+M46</f>
        <v>0</v>
      </c>
      <c r="O46" s="152"/>
      <c r="P46" s="152"/>
      <c r="Q46" s="152" t="n">
        <f aca="false">O46+P46</f>
        <v>0</v>
      </c>
    </row>
    <row r="47" customFormat="false" ht="18" hidden="true" customHeight="false" outlineLevel="0" collapsed="false">
      <c r="C47" s="152"/>
      <c r="D47" s="152"/>
      <c r="E47" s="152" t="n">
        <f aca="false">C47+D47</f>
        <v>0</v>
      </c>
      <c r="F47" s="152"/>
      <c r="G47" s="152"/>
      <c r="H47" s="152" t="n">
        <f aca="false">F47+G47</f>
        <v>0</v>
      </c>
      <c r="I47" s="152"/>
      <c r="J47" s="152"/>
      <c r="K47" s="152" t="n">
        <f aca="false">I47+J47</f>
        <v>0</v>
      </c>
      <c r="L47" s="152"/>
      <c r="M47" s="152"/>
      <c r="N47" s="152" t="n">
        <f aca="false">L47+M47</f>
        <v>0</v>
      </c>
      <c r="O47" s="152"/>
      <c r="P47" s="152"/>
      <c r="Q47" s="152" t="n">
        <f aca="false">O47+P47</f>
        <v>0</v>
      </c>
    </row>
    <row r="48" customFormat="false" ht="18" hidden="true" customHeight="false" outlineLevel="0" collapsed="false">
      <c r="C48" s="152"/>
      <c r="D48" s="152"/>
      <c r="E48" s="152" t="n">
        <f aca="false">C48+D48</f>
        <v>0</v>
      </c>
      <c r="F48" s="152"/>
      <c r="G48" s="152"/>
      <c r="H48" s="152" t="n">
        <f aca="false">F48+G48</f>
        <v>0</v>
      </c>
      <c r="I48" s="152"/>
      <c r="J48" s="152"/>
      <c r="K48" s="152" t="n">
        <f aca="false">I48+J48</f>
        <v>0</v>
      </c>
      <c r="L48" s="152"/>
      <c r="M48" s="152"/>
      <c r="N48" s="152" t="n">
        <f aca="false">L48+M48</f>
        <v>0</v>
      </c>
      <c r="O48" s="152"/>
      <c r="P48" s="152"/>
      <c r="Q48" s="152" t="n">
        <f aca="false">O48+P48</f>
        <v>0</v>
      </c>
    </row>
    <row r="49" customFormat="false" ht="18" hidden="true" customHeight="false" outlineLevel="0" collapsed="false">
      <c r="C49" s="152"/>
      <c r="D49" s="152"/>
      <c r="E49" s="152" t="n">
        <f aca="false">C49+D49</f>
        <v>0</v>
      </c>
      <c r="F49" s="152"/>
      <c r="G49" s="152"/>
      <c r="H49" s="152" t="n">
        <f aca="false">F49+G49</f>
        <v>0</v>
      </c>
      <c r="I49" s="152"/>
      <c r="J49" s="152"/>
      <c r="K49" s="152" t="n">
        <f aca="false">I49+J49</f>
        <v>0</v>
      </c>
      <c r="L49" s="152"/>
      <c r="M49" s="152"/>
      <c r="N49" s="152" t="n">
        <f aca="false">L49+M49</f>
        <v>0</v>
      </c>
      <c r="O49" s="152"/>
      <c r="P49" s="152"/>
      <c r="Q49" s="152" t="n">
        <f aca="false">O49+P49</f>
        <v>0</v>
      </c>
    </row>
    <row r="50" customFormat="false" ht="18" hidden="true" customHeight="false" outlineLevel="0" collapsed="false">
      <c r="C50" s="152"/>
      <c r="D50" s="152"/>
      <c r="E50" s="152" t="n">
        <f aca="false">C50+D50</f>
        <v>0</v>
      </c>
      <c r="F50" s="152"/>
      <c r="G50" s="152"/>
      <c r="H50" s="152" t="n">
        <f aca="false">F50+G50</f>
        <v>0</v>
      </c>
      <c r="I50" s="152"/>
      <c r="J50" s="152"/>
      <c r="K50" s="152" t="n">
        <f aca="false">I50+J50</f>
        <v>0</v>
      </c>
      <c r="L50" s="152"/>
      <c r="M50" s="152"/>
      <c r="N50" s="152" t="n">
        <f aca="false">L50+M50</f>
        <v>0</v>
      </c>
      <c r="O50" s="152"/>
      <c r="P50" s="152"/>
      <c r="Q50" s="152" t="n">
        <f aca="false">O50+P50</f>
        <v>0</v>
      </c>
    </row>
    <row r="51" customFormat="false" ht="18" hidden="true" customHeight="false" outlineLevel="0" collapsed="false">
      <c r="C51" s="152"/>
      <c r="D51" s="152"/>
      <c r="E51" s="152" t="n">
        <f aca="false">C51+D51</f>
        <v>0</v>
      </c>
      <c r="F51" s="152"/>
      <c r="G51" s="152"/>
      <c r="H51" s="152" t="n">
        <f aca="false">F51+G51</f>
        <v>0</v>
      </c>
      <c r="I51" s="152"/>
      <c r="J51" s="152"/>
      <c r="K51" s="152" t="n">
        <f aca="false">I51+J51</f>
        <v>0</v>
      </c>
      <c r="L51" s="152"/>
      <c r="M51" s="152"/>
      <c r="N51" s="152" t="n">
        <f aca="false">L51+M51</f>
        <v>0</v>
      </c>
      <c r="O51" s="152"/>
      <c r="P51" s="152"/>
      <c r="Q51" s="152" t="n">
        <f aca="false">O51+P51</f>
        <v>0</v>
      </c>
    </row>
    <row r="52" customFormat="false" ht="18" hidden="true" customHeight="false" outlineLevel="0" collapsed="false">
      <c r="C52" s="152"/>
      <c r="D52" s="152"/>
      <c r="E52" s="152" t="n">
        <f aca="false">C52+D52</f>
        <v>0</v>
      </c>
      <c r="F52" s="152"/>
      <c r="G52" s="152"/>
      <c r="H52" s="152" t="n">
        <f aca="false">F52+G52</f>
        <v>0</v>
      </c>
      <c r="I52" s="152"/>
      <c r="J52" s="152"/>
      <c r="K52" s="152" t="n">
        <f aca="false">I52+J52</f>
        <v>0</v>
      </c>
      <c r="L52" s="152"/>
      <c r="M52" s="152"/>
      <c r="N52" s="152" t="n">
        <f aca="false">L52+M52</f>
        <v>0</v>
      </c>
      <c r="O52" s="152"/>
      <c r="P52" s="152"/>
      <c r="Q52" s="152" t="n">
        <f aca="false">O52+P52</f>
        <v>0</v>
      </c>
    </row>
    <row r="53" customFormat="false" ht="18" hidden="true" customHeight="false" outlineLevel="0" collapsed="false">
      <c r="C53" s="152"/>
      <c r="D53" s="152"/>
      <c r="E53" s="152" t="n">
        <f aca="false">C53+D53</f>
        <v>0</v>
      </c>
      <c r="F53" s="152"/>
      <c r="G53" s="152"/>
      <c r="H53" s="152" t="n">
        <f aca="false">F53+G53</f>
        <v>0</v>
      </c>
      <c r="I53" s="152"/>
      <c r="J53" s="152"/>
      <c r="K53" s="152" t="n">
        <f aca="false">I53+J53</f>
        <v>0</v>
      </c>
      <c r="L53" s="152"/>
      <c r="M53" s="152"/>
      <c r="N53" s="152" t="n">
        <f aca="false">L53+M53</f>
        <v>0</v>
      </c>
      <c r="O53" s="152"/>
      <c r="P53" s="152"/>
      <c r="Q53" s="152" t="n">
        <f aca="false">O53+P53</f>
        <v>0</v>
      </c>
    </row>
    <row r="54" customFormat="false" ht="18" hidden="true" customHeight="false" outlineLevel="0" collapsed="false">
      <c r="C54" s="152"/>
      <c r="D54" s="152"/>
      <c r="E54" s="152" t="n">
        <f aca="false">C54+D54</f>
        <v>0</v>
      </c>
      <c r="F54" s="152"/>
      <c r="G54" s="152"/>
      <c r="H54" s="152" t="n">
        <f aca="false">F54+G54</f>
        <v>0</v>
      </c>
      <c r="I54" s="152"/>
      <c r="J54" s="152"/>
      <c r="K54" s="152" t="n">
        <f aca="false">I54+J54</f>
        <v>0</v>
      </c>
      <c r="L54" s="152"/>
      <c r="M54" s="152"/>
      <c r="N54" s="152" t="n">
        <f aca="false">L54+M54</f>
        <v>0</v>
      </c>
      <c r="O54" s="152"/>
      <c r="P54" s="152"/>
      <c r="Q54" s="152" t="n">
        <f aca="false">O54+P54</f>
        <v>0</v>
      </c>
    </row>
    <row r="55" customFormat="false" ht="18" hidden="true" customHeight="false" outlineLevel="0" collapsed="false">
      <c r="C55" s="152"/>
      <c r="D55" s="152"/>
      <c r="E55" s="152" t="n">
        <f aca="false">C55+D55</f>
        <v>0</v>
      </c>
      <c r="F55" s="152"/>
      <c r="G55" s="152"/>
      <c r="H55" s="152" t="n">
        <f aca="false">F55+G55</f>
        <v>0</v>
      </c>
      <c r="I55" s="152"/>
      <c r="J55" s="152"/>
      <c r="K55" s="152" t="n">
        <f aca="false">I55+J55</f>
        <v>0</v>
      </c>
      <c r="L55" s="152"/>
      <c r="M55" s="152"/>
      <c r="N55" s="152" t="n">
        <f aca="false">L55+M55</f>
        <v>0</v>
      </c>
      <c r="O55" s="152"/>
      <c r="P55" s="152"/>
      <c r="Q55" s="152" t="n">
        <f aca="false">O55+P55</f>
        <v>0</v>
      </c>
    </row>
    <row r="56" customFormat="false" ht="18" hidden="true" customHeight="false" outlineLevel="0" collapsed="false">
      <c r="C56" s="152"/>
      <c r="D56" s="152"/>
      <c r="E56" s="152" t="n">
        <f aca="false">C56+D56</f>
        <v>0</v>
      </c>
      <c r="F56" s="152"/>
      <c r="G56" s="152"/>
      <c r="H56" s="152" t="n">
        <f aca="false">F56+G56</f>
        <v>0</v>
      </c>
      <c r="I56" s="152"/>
      <c r="J56" s="152"/>
      <c r="K56" s="152" t="n">
        <f aca="false">I56+J56</f>
        <v>0</v>
      </c>
      <c r="L56" s="152"/>
      <c r="M56" s="152"/>
      <c r="N56" s="152" t="n">
        <f aca="false">L56+M56</f>
        <v>0</v>
      </c>
      <c r="O56" s="152"/>
      <c r="P56" s="152"/>
      <c r="Q56" s="152" t="n">
        <f aca="false">O56+P56</f>
        <v>0</v>
      </c>
    </row>
    <row r="57" customFormat="false" ht="18" hidden="true" customHeight="false" outlineLevel="0" collapsed="false">
      <c r="C57" s="152"/>
      <c r="D57" s="152"/>
      <c r="E57" s="152" t="n">
        <f aca="false">C57+D57</f>
        <v>0</v>
      </c>
      <c r="F57" s="152"/>
      <c r="G57" s="152"/>
      <c r="H57" s="152" t="n">
        <f aca="false">F57+G57</f>
        <v>0</v>
      </c>
      <c r="I57" s="152"/>
      <c r="J57" s="152"/>
      <c r="K57" s="152" t="n">
        <f aca="false">I57+J57</f>
        <v>0</v>
      </c>
      <c r="L57" s="152"/>
      <c r="M57" s="152"/>
      <c r="N57" s="152" t="n">
        <f aca="false">L57+M57</f>
        <v>0</v>
      </c>
      <c r="O57" s="152"/>
      <c r="P57" s="152"/>
      <c r="Q57" s="152" t="n">
        <f aca="false">O57+P57</f>
        <v>0</v>
      </c>
    </row>
    <row r="58" customFormat="false" ht="18" hidden="true" customHeight="false" outlineLevel="0" collapsed="false">
      <c r="C58" s="152"/>
      <c r="D58" s="152"/>
      <c r="E58" s="152" t="n">
        <f aca="false">C58+D58</f>
        <v>0</v>
      </c>
      <c r="F58" s="152"/>
      <c r="G58" s="152"/>
      <c r="H58" s="152" t="n">
        <f aca="false">F58+G58</f>
        <v>0</v>
      </c>
      <c r="I58" s="152"/>
      <c r="J58" s="152"/>
      <c r="K58" s="152" t="n">
        <f aca="false">I58+J58</f>
        <v>0</v>
      </c>
      <c r="L58" s="152"/>
      <c r="M58" s="152"/>
      <c r="N58" s="152" t="n">
        <f aca="false">L58+M58</f>
        <v>0</v>
      </c>
      <c r="O58" s="152"/>
      <c r="P58" s="152"/>
      <c r="Q58" s="152" t="n">
        <f aca="false">O58+P58</f>
        <v>0</v>
      </c>
    </row>
    <row r="59" customFormat="false" ht="18" hidden="true" customHeight="false" outlineLevel="0" collapsed="false">
      <c r="C59" s="152"/>
      <c r="D59" s="152"/>
      <c r="E59" s="152" t="n">
        <f aca="false">C59+D59</f>
        <v>0</v>
      </c>
      <c r="F59" s="152"/>
      <c r="G59" s="152"/>
      <c r="H59" s="152" t="n">
        <f aca="false">F59+G59</f>
        <v>0</v>
      </c>
      <c r="I59" s="152"/>
      <c r="J59" s="152"/>
      <c r="K59" s="152" t="n">
        <f aca="false">I59+J59</f>
        <v>0</v>
      </c>
      <c r="L59" s="152"/>
      <c r="M59" s="152"/>
      <c r="N59" s="152" t="n">
        <f aca="false">L59+M59</f>
        <v>0</v>
      </c>
      <c r="O59" s="152"/>
      <c r="P59" s="152"/>
      <c r="Q59" s="152" t="n">
        <f aca="false">O59+P59</f>
        <v>0</v>
      </c>
    </row>
    <row r="60" customFormat="false" ht="18" hidden="true" customHeight="false" outlineLevel="0" collapsed="false">
      <c r="C60" s="152"/>
      <c r="D60" s="152"/>
      <c r="E60" s="152" t="n">
        <f aca="false">C60+D60</f>
        <v>0</v>
      </c>
      <c r="F60" s="152"/>
      <c r="G60" s="152"/>
      <c r="H60" s="152" t="n">
        <f aca="false">F60+G60</f>
        <v>0</v>
      </c>
      <c r="I60" s="152"/>
      <c r="J60" s="152"/>
      <c r="K60" s="152" t="n">
        <f aca="false">I60+J60</f>
        <v>0</v>
      </c>
      <c r="L60" s="152"/>
      <c r="M60" s="152"/>
      <c r="N60" s="152" t="n">
        <f aca="false">L60+M60</f>
        <v>0</v>
      </c>
      <c r="O60" s="152"/>
      <c r="P60" s="152"/>
      <c r="Q60" s="152" t="n">
        <f aca="false">O60+P60</f>
        <v>0</v>
      </c>
    </row>
    <row r="61" customFormat="false" ht="18" hidden="true" customHeight="false" outlineLevel="0" collapsed="false">
      <c r="C61" s="152"/>
      <c r="D61" s="152"/>
      <c r="E61" s="152" t="n">
        <f aca="false">C61+D61</f>
        <v>0</v>
      </c>
      <c r="F61" s="152"/>
      <c r="G61" s="152"/>
      <c r="H61" s="152" t="n">
        <f aca="false">F61+G61</f>
        <v>0</v>
      </c>
      <c r="I61" s="152"/>
      <c r="J61" s="152"/>
      <c r="K61" s="152" t="n">
        <f aca="false">I61+J61</f>
        <v>0</v>
      </c>
      <c r="L61" s="152"/>
      <c r="M61" s="152"/>
      <c r="N61" s="152" t="n">
        <f aca="false">L61+M61</f>
        <v>0</v>
      </c>
      <c r="O61" s="152"/>
      <c r="P61" s="152"/>
      <c r="Q61" s="152" t="n">
        <f aca="false">O61+P61</f>
        <v>0</v>
      </c>
    </row>
    <row r="62" customFormat="false" ht="18" hidden="true" customHeight="false" outlineLevel="0" collapsed="false">
      <c r="C62" s="152"/>
      <c r="D62" s="152"/>
      <c r="E62" s="152" t="n">
        <f aca="false">C62+D62</f>
        <v>0</v>
      </c>
      <c r="F62" s="152"/>
      <c r="G62" s="152"/>
      <c r="H62" s="152" t="n">
        <f aca="false">F62+G62</f>
        <v>0</v>
      </c>
      <c r="I62" s="152"/>
      <c r="J62" s="152"/>
      <c r="K62" s="152" t="n">
        <f aca="false">I62+J62</f>
        <v>0</v>
      </c>
      <c r="L62" s="152"/>
      <c r="M62" s="152"/>
      <c r="N62" s="152" t="n">
        <f aca="false">L62+M62</f>
        <v>0</v>
      </c>
      <c r="O62" s="152"/>
      <c r="P62" s="152"/>
      <c r="Q62" s="152" t="n">
        <f aca="false">O62+P62</f>
        <v>0</v>
      </c>
    </row>
    <row r="63" customFormat="false" ht="18" hidden="true" customHeight="false" outlineLevel="0" collapsed="false">
      <c r="C63" s="152"/>
      <c r="D63" s="152"/>
      <c r="E63" s="152" t="n">
        <f aca="false">C63+D63</f>
        <v>0</v>
      </c>
      <c r="F63" s="152"/>
      <c r="G63" s="152"/>
      <c r="H63" s="152" t="n">
        <f aca="false">F63+G63</f>
        <v>0</v>
      </c>
      <c r="I63" s="152"/>
      <c r="J63" s="152"/>
      <c r="K63" s="152" t="n">
        <f aca="false">I63+J63</f>
        <v>0</v>
      </c>
      <c r="L63" s="152"/>
      <c r="M63" s="152"/>
      <c r="N63" s="152" t="n">
        <f aca="false">L63+M63</f>
        <v>0</v>
      </c>
      <c r="O63" s="152"/>
      <c r="P63" s="152"/>
      <c r="Q63" s="152" t="n">
        <f aca="false">O63+P63</f>
        <v>0</v>
      </c>
    </row>
    <row r="64" customFormat="false" ht="18" hidden="true" customHeight="false" outlineLevel="0" collapsed="false">
      <c r="C64" s="152"/>
      <c r="D64" s="152"/>
      <c r="E64" s="152" t="n">
        <f aca="false">C64+D64</f>
        <v>0</v>
      </c>
      <c r="F64" s="152"/>
      <c r="G64" s="152"/>
      <c r="H64" s="152" t="n">
        <f aca="false">F64+G64</f>
        <v>0</v>
      </c>
      <c r="I64" s="152"/>
      <c r="J64" s="152"/>
      <c r="K64" s="152" t="n">
        <f aca="false">I64+J64</f>
        <v>0</v>
      </c>
      <c r="L64" s="152"/>
      <c r="M64" s="152"/>
      <c r="N64" s="152" t="n">
        <f aca="false">L64+M64</f>
        <v>0</v>
      </c>
      <c r="O64" s="152"/>
      <c r="P64" s="152"/>
      <c r="Q64" s="152" t="n">
        <f aca="false">O64+P64</f>
        <v>0</v>
      </c>
    </row>
    <row r="65" customFormat="false" ht="18" hidden="true" customHeight="false" outlineLevel="0" collapsed="false">
      <c r="C65" s="152"/>
      <c r="D65" s="152"/>
      <c r="E65" s="152" t="n">
        <f aca="false">C65+D65</f>
        <v>0</v>
      </c>
      <c r="F65" s="152"/>
      <c r="G65" s="152"/>
      <c r="H65" s="152" t="n">
        <f aca="false">F65+G65</f>
        <v>0</v>
      </c>
      <c r="I65" s="152"/>
      <c r="J65" s="152"/>
      <c r="K65" s="152" t="n">
        <f aca="false">I65+J65</f>
        <v>0</v>
      </c>
      <c r="L65" s="152"/>
      <c r="M65" s="152"/>
      <c r="N65" s="152" t="n">
        <f aca="false">L65+M65</f>
        <v>0</v>
      </c>
      <c r="O65" s="152"/>
      <c r="P65" s="152"/>
      <c r="Q65" s="152" t="n">
        <f aca="false">O65+P65</f>
        <v>0</v>
      </c>
    </row>
    <row r="66" customFormat="false" ht="18" hidden="true" customHeight="false" outlineLevel="0" collapsed="false">
      <c r="E66" s="152" t="n">
        <f aca="false">C66+D66</f>
        <v>0</v>
      </c>
      <c r="H66" s="152" t="n">
        <f aca="false">F66+G66</f>
        <v>0</v>
      </c>
      <c r="K66" s="152" t="n">
        <f aca="false">I66+J66</f>
        <v>0</v>
      </c>
      <c r="N66" s="152" t="n">
        <f aca="false">L66+M66</f>
        <v>0</v>
      </c>
      <c r="Q66" s="152" t="n">
        <f aca="false">O66+P66</f>
        <v>0</v>
      </c>
    </row>
    <row r="67" customFormat="false" ht="18" hidden="true" customHeight="false" outlineLevel="0" collapsed="false">
      <c r="E67" s="152" t="n">
        <f aca="false">C67+D67</f>
        <v>0</v>
      </c>
      <c r="H67" s="152" t="n">
        <f aca="false">F67+G67</f>
        <v>0</v>
      </c>
      <c r="K67" s="152" t="n">
        <f aca="false">I67+J67</f>
        <v>0</v>
      </c>
      <c r="N67" s="152" t="n">
        <f aca="false">L67+M67</f>
        <v>0</v>
      </c>
      <c r="Q67" s="152" t="n">
        <f aca="false">O67+P67</f>
        <v>0</v>
      </c>
    </row>
  </sheetData>
  <autoFilter ref="C4:K67"/>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39"/>
  <sheetViews>
    <sheetView showFormulas="false" showGridLines="false" showRowColHeaders="true" showZeros="true" rightToLeft="false" tabSelected="false" showOutlineSymbols="true" defaultGridColor="true" view="normal" topLeftCell="A1" colorId="64" zoomScale="48" zoomScaleNormal="48" zoomScalePageLayoutView="100" workbookViewId="0">
      <pane xSplit="0" ySplit="4" topLeftCell="A5" activePane="bottomLeft" state="frozen"/>
      <selection pane="topLeft" activeCell="A1" activeCellId="0" sqref="A1"/>
      <selection pane="bottomLeft" activeCell="K39" activeCellId="0" sqref="K39"/>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 hidden="false" customHeight="false" outlineLevel="0" collapsed="false">
      <c r="B2" s="2"/>
      <c r="C2" s="47"/>
      <c r="F2" s="47"/>
      <c r="I2" s="47"/>
      <c r="K2" s="48" t="s">
        <v>50</v>
      </c>
      <c r="L2" s="47"/>
      <c r="O2" s="47"/>
    </row>
    <row r="3" customFormat="false" ht="20.25" hidden="false" customHeight="true" outlineLevel="0" collapsed="false">
      <c r="B3" s="154" t="s">
        <v>6</v>
      </c>
      <c r="C3" s="227" t="str">
        <f aca="false">'BS(借方)'!C4</f>
        <v>24年5月期
（第35期）</v>
      </c>
      <c r="D3" s="227"/>
      <c r="E3" s="227"/>
      <c r="F3" s="227" t="str">
        <f aca="false">'BS(借方)'!D4</f>
        <v>25年5月期
（第36期）</v>
      </c>
      <c r="G3" s="227"/>
      <c r="H3" s="227"/>
      <c r="I3" s="227" t="str">
        <f aca="false">'BS(借方)'!E4</f>
        <v>26年5月期
（第37期）</v>
      </c>
      <c r="J3" s="227"/>
      <c r="K3" s="227"/>
      <c r="L3" s="227" t="str">
        <f aca="false">'BS(借方)'!F4</f>
        <v>－</v>
      </c>
      <c r="M3" s="227"/>
      <c r="N3" s="227"/>
      <c r="O3" s="228" t="str">
        <f aca="false">'BS(借方)'!G4</f>
        <v>26年7月
（進行期2か月TB）</v>
      </c>
      <c r="P3" s="228"/>
      <c r="Q3" s="228"/>
    </row>
    <row r="4" customFormat="false" ht="19.5" hidden="false" customHeight="true" outlineLevel="0" collapsed="false">
      <c r="B4" s="154"/>
      <c r="C4" s="130" t="s">
        <v>81</v>
      </c>
      <c r="D4" s="229" t="s">
        <v>157</v>
      </c>
      <c r="E4" s="230" t="s">
        <v>158</v>
      </c>
      <c r="F4" s="130" t="s">
        <v>81</v>
      </c>
      <c r="G4" s="229" t="s">
        <v>157</v>
      </c>
      <c r="H4" s="230" t="s">
        <v>158</v>
      </c>
      <c r="I4" s="130" t="s">
        <v>81</v>
      </c>
      <c r="J4" s="229" t="s">
        <v>157</v>
      </c>
      <c r="K4" s="230" t="s">
        <v>158</v>
      </c>
      <c r="L4" s="130" t="s">
        <v>81</v>
      </c>
      <c r="M4" s="229" t="s">
        <v>157</v>
      </c>
      <c r="N4" s="230" t="s">
        <v>158</v>
      </c>
      <c r="O4" s="133" t="s">
        <v>81</v>
      </c>
      <c r="P4" s="242" t="s">
        <v>157</v>
      </c>
      <c r="Q4" s="230" t="s">
        <v>158</v>
      </c>
    </row>
    <row r="5" customFormat="false" ht="22.5" hidden="false" customHeight="true" outlineLevel="0" collapsed="false">
      <c r="B5" s="243" t="str">
        <f aca="false">IF(SGA!B6="","",SGA!B6)</f>
        <v>役員報酬</v>
      </c>
      <c r="C5" s="35" t="n">
        <f aca="false">SGA!C6</f>
        <v>5820000</v>
      </c>
      <c r="D5" s="17"/>
      <c r="E5" s="18" t="n">
        <f aca="false">C5+D5</f>
        <v>5820000</v>
      </c>
      <c r="F5" s="35" t="n">
        <f aca="false">SGA!E6</f>
        <v>4319700</v>
      </c>
      <c r="G5" s="17"/>
      <c r="H5" s="18" t="n">
        <f aca="false">F5+G5</f>
        <v>4319700</v>
      </c>
      <c r="I5" s="35" t="n">
        <f aca="false">SGA!G6</f>
        <v>3819600</v>
      </c>
      <c r="J5" s="17"/>
      <c r="K5" s="18" t="n">
        <f aca="false">I5+J5</f>
        <v>3819600</v>
      </c>
      <c r="L5" s="35" t="n">
        <f aca="false">SGA!I6</f>
        <v>0</v>
      </c>
      <c r="M5" s="17"/>
      <c r="N5" s="18" t="n">
        <f aca="false">L5+M5</f>
        <v>0</v>
      </c>
      <c r="O5" s="35" t="n">
        <f aca="false">SGA!K6</f>
        <v>636600</v>
      </c>
      <c r="P5" s="17"/>
      <c r="Q5" s="18" t="n">
        <f aca="false">O5+P5</f>
        <v>636600</v>
      </c>
      <c r="S5" s="46" t="s">
        <v>180</v>
      </c>
    </row>
    <row r="6" customFormat="false" ht="22.5" hidden="false" customHeight="true" outlineLevel="0" collapsed="false">
      <c r="B6" s="105" t="str">
        <f aca="false">IF(SGA!B7="","",SGA!B7)</f>
        <v>給料手当</v>
      </c>
      <c r="C6" s="53" t="n">
        <f aca="false">SGA!C7</f>
        <v>2556400</v>
      </c>
      <c r="D6" s="17"/>
      <c r="E6" s="18" t="n">
        <f aca="false">C6+D6</f>
        <v>2556400</v>
      </c>
      <c r="F6" s="53" t="n">
        <f aca="false">SGA!E7</f>
        <v>2561490</v>
      </c>
      <c r="G6" s="17"/>
      <c r="H6" s="18" t="n">
        <f aca="false">F6+G6</f>
        <v>2561490</v>
      </c>
      <c r="I6" s="53" t="n">
        <f aca="false">SGA!G7</f>
        <v>2563035</v>
      </c>
      <c r="J6" s="17"/>
      <c r="K6" s="18" t="n">
        <f aca="false">I6+J6</f>
        <v>2563035</v>
      </c>
      <c r="L6" s="53" t="n">
        <f aca="false">SGA!I7</f>
        <v>0</v>
      </c>
      <c r="M6" s="17"/>
      <c r="N6" s="18" t="n">
        <f aca="false">L6+M6</f>
        <v>0</v>
      </c>
      <c r="O6" s="53" t="n">
        <f aca="false">SGA!K7</f>
        <v>426000</v>
      </c>
      <c r="P6" s="17"/>
      <c r="Q6" s="18" t="n">
        <f aca="false">O6+P6</f>
        <v>426000</v>
      </c>
    </row>
    <row r="7" customFormat="false" ht="22.5" hidden="false" customHeight="true" outlineLevel="0" collapsed="false">
      <c r="B7" s="105" t="str">
        <f aca="false">IF(SGA!B8="","",SGA!B8)</f>
        <v>厚生費</v>
      </c>
      <c r="C7" s="53" t="n">
        <f aca="false">SGA!C8</f>
        <v>185722</v>
      </c>
      <c r="D7" s="17"/>
      <c r="E7" s="18" t="n">
        <f aca="false">C7+D7</f>
        <v>185722</v>
      </c>
      <c r="F7" s="53" t="n">
        <f aca="false">SGA!E8</f>
        <v>303211</v>
      </c>
      <c r="G7" s="17"/>
      <c r="H7" s="18" t="n">
        <f aca="false">F7+G7</f>
        <v>303211</v>
      </c>
      <c r="I7" s="53" t="n">
        <f aca="false">SGA!G8</f>
        <v>277614</v>
      </c>
      <c r="J7" s="17"/>
      <c r="K7" s="18" t="n">
        <f aca="false">I7+J7</f>
        <v>277614</v>
      </c>
      <c r="L7" s="53" t="n">
        <f aca="false">SGA!I8</f>
        <v>0</v>
      </c>
      <c r="M7" s="17"/>
      <c r="N7" s="18" t="n">
        <f aca="false">L7+M7</f>
        <v>0</v>
      </c>
      <c r="O7" s="53" t="n">
        <f aca="false">SGA!K8</f>
        <v>21242</v>
      </c>
      <c r="P7" s="17"/>
      <c r="Q7" s="18" t="n">
        <f aca="false">O7+P7</f>
        <v>21242</v>
      </c>
    </row>
    <row r="8" customFormat="false" ht="22.5" hidden="false" customHeight="true" outlineLevel="0" collapsed="false">
      <c r="B8" s="105" t="str">
        <f aca="false">IF(SGA!B9="","",SGA!B9)</f>
        <v>荷造運賃</v>
      </c>
      <c r="C8" s="53" t="n">
        <f aca="false">SGA!C9</f>
        <v>0</v>
      </c>
      <c r="D8" s="17"/>
      <c r="E8" s="18" t="n">
        <f aca="false">C8+D8</f>
        <v>0</v>
      </c>
      <c r="F8" s="53" t="n">
        <f aca="false">SGA!E9</f>
        <v>2596660</v>
      </c>
      <c r="G8" s="17"/>
      <c r="H8" s="18" t="n">
        <f aca="false">F8+G8</f>
        <v>2596660</v>
      </c>
      <c r="I8" s="53" t="n">
        <f aca="false">SGA!G9</f>
        <v>0</v>
      </c>
      <c r="J8" s="17"/>
      <c r="K8" s="18" t="n">
        <f aca="false">I8+J8</f>
        <v>0</v>
      </c>
      <c r="L8" s="53" t="n">
        <f aca="false">SGA!I9</f>
        <v>0</v>
      </c>
      <c r="M8" s="17"/>
      <c r="N8" s="18" t="n">
        <f aca="false">L8+M8</f>
        <v>0</v>
      </c>
      <c r="O8" s="53" t="n">
        <f aca="false">SGA!K9</f>
        <v>1274</v>
      </c>
      <c r="P8" s="17"/>
      <c r="Q8" s="18" t="n">
        <f aca="false">O8+P8</f>
        <v>1274</v>
      </c>
    </row>
    <row r="9" customFormat="false" ht="22.5" hidden="false" customHeight="true" outlineLevel="0" collapsed="false">
      <c r="B9" s="105" t="str">
        <f aca="false">IF(SGA!B10="","",SGA!B10)</f>
        <v>減価償却費</v>
      </c>
      <c r="C9" s="53" t="n">
        <f aca="false">SGA!C10</f>
        <v>9604</v>
      </c>
      <c r="D9" s="17"/>
      <c r="E9" s="18" t="n">
        <f aca="false">C9+D9</f>
        <v>9604</v>
      </c>
      <c r="F9" s="53" t="n">
        <f aca="false">SGA!E10</f>
        <v>961753</v>
      </c>
      <c r="G9" s="17"/>
      <c r="H9" s="18" t="n">
        <f aca="false">F9+G9</f>
        <v>961753</v>
      </c>
      <c r="I9" s="53" t="n">
        <f aca="false">SGA!G10</f>
        <v>835251</v>
      </c>
      <c r="J9" s="17"/>
      <c r="K9" s="18" t="n">
        <f aca="false">I9+J9</f>
        <v>835251</v>
      </c>
      <c r="L9" s="53" t="n">
        <f aca="false">SGA!I10</f>
        <v>0</v>
      </c>
      <c r="M9" s="17"/>
      <c r="N9" s="18" t="n">
        <f aca="false">L9+M9</f>
        <v>0</v>
      </c>
      <c r="O9" s="53" t="n">
        <f aca="false">SGA!K10</f>
        <v>0</v>
      </c>
      <c r="P9" s="17"/>
      <c r="Q9" s="18" t="n">
        <f aca="false">O9+P9</f>
        <v>0</v>
      </c>
    </row>
    <row r="10" customFormat="false" ht="22.5" hidden="false" customHeight="true" outlineLevel="0" collapsed="false">
      <c r="B10" s="105" t="str">
        <f aca="false">IF(SGA!B11="","",SGA!B11)</f>
        <v>賃借料</v>
      </c>
      <c r="C10" s="53" t="n">
        <f aca="false">SGA!C11</f>
        <v>2751000</v>
      </c>
      <c r="D10" s="17"/>
      <c r="E10" s="18" t="n">
        <f aca="false">C10+D10</f>
        <v>2751000</v>
      </c>
      <c r="F10" s="53" t="n">
        <f aca="false">SGA!E11</f>
        <v>2533671</v>
      </c>
      <c r="G10" s="17"/>
      <c r="H10" s="18" t="n">
        <f aca="false">F10+G10</f>
        <v>2533671</v>
      </c>
      <c r="I10" s="53" t="n">
        <f aca="false">SGA!G11</f>
        <v>2973400</v>
      </c>
      <c r="J10" s="17"/>
      <c r="K10" s="18" t="n">
        <f aca="false">I10+J10</f>
        <v>2973400</v>
      </c>
      <c r="L10" s="53" t="n">
        <f aca="false">SGA!I11</f>
        <v>0</v>
      </c>
      <c r="M10" s="17"/>
      <c r="N10" s="18" t="n">
        <f aca="false">L10+M10</f>
        <v>0</v>
      </c>
      <c r="O10" s="53" t="n">
        <f aca="false">SGA!K11</f>
        <v>524300</v>
      </c>
      <c r="P10" s="17"/>
      <c r="Q10" s="18" t="n">
        <f aca="false">O10+P10</f>
        <v>524300</v>
      </c>
    </row>
    <row r="11" customFormat="false" ht="22.5" hidden="false" customHeight="true" outlineLevel="0" collapsed="false">
      <c r="B11" s="105" t="str">
        <f aca="false">IF(SGA!B12="","",SGA!B12)</f>
        <v>修繕費</v>
      </c>
      <c r="C11" s="53" t="n">
        <f aca="false">SGA!C12</f>
        <v>0</v>
      </c>
      <c r="D11" s="17"/>
      <c r="E11" s="18" t="n">
        <f aca="false">C11+D11</f>
        <v>0</v>
      </c>
      <c r="F11" s="53" t="n">
        <f aca="false">SGA!E12</f>
        <v>390376</v>
      </c>
      <c r="G11" s="17"/>
      <c r="H11" s="18" t="n">
        <f aca="false">F11+G11</f>
        <v>390376</v>
      </c>
      <c r="I11" s="53" t="n">
        <f aca="false">SGA!G12</f>
        <v>403476</v>
      </c>
      <c r="J11" s="17"/>
      <c r="K11" s="18" t="n">
        <f aca="false">I11+J11</f>
        <v>403476</v>
      </c>
      <c r="L11" s="53" t="n">
        <f aca="false">SGA!I12</f>
        <v>0</v>
      </c>
      <c r="M11" s="17"/>
      <c r="N11" s="18" t="n">
        <f aca="false">L11+M11</f>
        <v>0</v>
      </c>
      <c r="O11" s="53" t="n">
        <f aca="false">SGA!K12</f>
        <v>0</v>
      </c>
      <c r="P11" s="17"/>
      <c r="Q11" s="18" t="n">
        <f aca="false">O11+P11</f>
        <v>0</v>
      </c>
    </row>
    <row r="12" customFormat="false" ht="22.5" hidden="false" customHeight="true" outlineLevel="0" collapsed="false">
      <c r="B12" s="105" t="str">
        <f aca="false">IF(SGA!B13="","",SGA!B13)</f>
        <v>事務用品費</v>
      </c>
      <c r="C12" s="53" t="n">
        <f aca="false">SGA!C13</f>
        <v>112127</v>
      </c>
      <c r="D12" s="17"/>
      <c r="E12" s="18" t="n">
        <f aca="false">C12+D12</f>
        <v>112127</v>
      </c>
      <c r="F12" s="53" t="n">
        <f aca="false">SGA!E13</f>
        <v>200726</v>
      </c>
      <c r="G12" s="17"/>
      <c r="H12" s="18" t="n">
        <f aca="false">F12+G12</f>
        <v>200726</v>
      </c>
      <c r="I12" s="53" t="n">
        <f aca="false">SGA!G13</f>
        <v>85356</v>
      </c>
      <c r="J12" s="17"/>
      <c r="K12" s="18" t="n">
        <f aca="false">I12+J12</f>
        <v>85356</v>
      </c>
      <c r="L12" s="53" t="n">
        <f aca="false">SGA!I13</f>
        <v>0</v>
      </c>
      <c r="M12" s="17"/>
      <c r="N12" s="18" t="n">
        <f aca="false">L12+M12</f>
        <v>0</v>
      </c>
      <c r="O12" s="53" t="n">
        <f aca="false">SGA!K13</f>
        <v>17963</v>
      </c>
      <c r="P12" s="17"/>
      <c r="Q12" s="18" t="n">
        <f aca="false">O12+P12</f>
        <v>17963</v>
      </c>
    </row>
    <row r="13" customFormat="false" ht="22.5" hidden="false" customHeight="true" outlineLevel="0" collapsed="false">
      <c r="B13" s="105" t="str">
        <f aca="false">IF(SGA!B14="","",SGA!B14)</f>
        <v>消耗品費</v>
      </c>
      <c r="C13" s="53" t="n">
        <f aca="false">SGA!C14</f>
        <v>607568</v>
      </c>
      <c r="D13" s="17"/>
      <c r="E13" s="18" t="n">
        <f aca="false">C13+D13</f>
        <v>607568</v>
      </c>
      <c r="F13" s="53" t="n">
        <f aca="false">SGA!E14</f>
        <v>286049</v>
      </c>
      <c r="G13" s="17"/>
      <c r="H13" s="18" t="n">
        <f aca="false">F13+G13</f>
        <v>286049</v>
      </c>
      <c r="I13" s="53" t="n">
        <f aca="false">SGA!G14</f>
        <v>181224</v>
      </c>
      <c r="J13" s="17"/>
      <c r="K13" s="18" t="n">
        <f aca="false">I13+J13</f>
        <v>181224</v>
      </c>
      <c r="L13" s="53" t="n">
        <f aca="false">SGA!I14</f>
        <v>0</v>
      </c>
      <c r="M13" s="17"/>
      <c r="N13" s="18" t="n">
        <f aca="false">L13+M13</f>
        <v>0</v>
      </c>
      <c r="O13" s="53" t="n">
        <f aca="false">SGA!K14</f>
        <v>54693</v>
      </c>
      <c r="P13" s="17"/>
      <c r="Q13" s="18" t="n">
        <f aca="false">O13+P13</f>
        <v>54693</v>
      </c>
    </row>
    <row r="14" customFormat="false" ht="22.5" hidden="false" customHeight="true" outlineLevel="0" collapsed="false">
      <c r="B14" s="105" t="str">
        <f aca="false">IF(SGA!B15="","",SGA!B15)</f>
        <v>水道光熱費</v>
      </c>
      <c r="C14" s="53" t="n">
        <f aca="false">SGA!C15</f>
        <v>2801634</v>
      </c>
      <c r="D14" s="17"/>
      <c r="E14" s="18" t="n">
        <f aca="false">C14+D14</f>
        <v>2801634</v>
      </c>
      <c r="F14" s="53" t="n">
        <f aca="false">SGA!E15</f>
        <v>144515</v>
      </c>
      <c r="G14" s="17"/>
      <c r="H14" s="18" t="n">
        <f aca="false">F14+G14</f>
        <v>144515</v>
      </c>
      <c r="I14" s="53" t="n">
        <f aca="false">SGA!G15</f>
        <v>205500</v>
      </c>
      <c r="J14" s="17"/>
      <c r="K14" s="18" t="n">
        <f aca="false">I14+J14</f>
        <v>205500</v>
      </c>
      <c r="L14" s="53" t="n">
        <f aca="false">SGA!I15</f>
        <v>0</v>
      </c>
      <c r="M14" s="17"/>
      <c r="N14" s="18" t="n">
        <f aca="false">L14+M14</f>
        <v>0</v>
      </c>
      <c r="O14" s="53" t="n">
        <f aca="false">SGA!K15</f>
        <v>31479</v>
      </c>
      <c r="P14" s="17"/>
      <c r="Q14" s="18" t="n">
        <f aca="false">O14+P14</f>
        <v>31479</v>
      </c>
    </row>
    <row r="15" customFormat="false" ht="22.5" hidden="false" customHeight="true" outlineLevel="0" collapsed="false">
      <c r="B15" s="244" t="str">
        <f aca="false">IF(SGA!B16="","",SGA!B16)</f>
        <v>旅費交通費</v>
      </c>
      <c r="C15" s="245" t="n">
        <f aca="false">SGA!C16</f>
        <v>103857</v>
      </c>
      <c r="D15" s="246"/>
      <c r="E15" s="247" t="n">
        <f aca="false">C15+D15</f>
        <v>103857</v>
      </c>
      <c r="F15" s="245" t="n">
        <f aca="false">SGA!E16</f>
        <v>15273</v>
      </c>
      <c r="G15" s="246"/>
      <c r="H15" s="247" t="n">
        <f aca="false">F15+G15</f>
        <v>15273</v>
      </c>
      <c r="I15" s="245" t="n">
        <f aca="false">SGA!G16</f>
        <v>1511</v>
      </c>
      <c r="J15" s="246"/>
      <c r="K15" s="247" t="n">
        <f aca="false">I15+J15</f>
        <v>1511</v>
      </c>
      <c r="L15" s="53" t="n">
        <f aca="false">SGA!I16</f>
        <v>0</v>
      </c>
      <c r="M15" s="17"/>
      <c r="N15" s="18" t="n">
        <f aca="false">L15+M15</f>
        <v>0</v>
      </c>
      <c r="O15" s="53" t="n">
        <f aca="false">SGA!K16</f>
        <v>0</v>
      </c>
      <c r="P15" s="17"/>
      <c r="Q15" s="18" t="n">
        <f aca="false">O15+P15</f>
        <v>0</v>
      </c>
    </row>
    <row r="16" customFormat="false" ht="22.5" hidden="false" customHeight="true" outlineLevel="0" collapsed="false">
      <c r="B16" s="244" t="str">
        <f aca="false">IF(SGA!B17="","",SGA!B17)</f>
        <v>通信費</v>
      </c>
      <c r="C16" s="245" t="n">
        <f aca="false">SGA!C17</f>
        <v>699844</v>
      </c>
      <c r="D16" s="246"/>
      <c r="E16" s="247" t="n">
        <f aca="false">C16+D16</f>
        <v>699844</v>
      </c>
      <c r="F16" s="245" t="n">
        <f aca="false">SGA!E17</f>
        <v>1104158</v>
      </c>
      <c r="G16" s="246"/>
      <c r="H16" s="247" t="n">
        <f aca="false">F16+G16</f>
        <v>1104158</v>
      </c>
      <c r="I16" s="245" t="n">
        <f aca="false">SGA!G17</f>
        <v>1025474</v>
      </c>
      <c r="J16" s="246"/>
      <c r="K16" s="247" t="n">
        <f aca="false">I16+J16</f>
        <v>1025474</v>
      </c>
      <c r="L16" s="53" t="n">
        <f aca="false">SGA!I17</f>
        <v>0</v>
      </c>
      <c r="M16" s="17"/>
      <c r="N16" s="18" t="n">
        <f aca="false">L16+M16</f>
        <v>0</v>
      </c>
      <c r="O16" s="53" t="n">
        <f aca="false">SGA!K17</f>
        <v>234755</v>
      </c>
      <c r="P16" s="17"/>
      <c r="Q16" s="18" t="n">
        <f aca="false">O16+P16</f>
        <v>234755</v>
      </c>
    </row>
    <row r="17" customFormat="false" ht="22.5" hidden="false" customHeight="true" outlineLevel="0" collapsed="false">
      <c r="B17" s="105" t="str">
        <f aca="false">IF(SGA!B18="","",SGA!B18)</f>
        <v>手数料</v>
      </c>
      <c r="C17" s="53" t="n">
        <f aca="false">SGA!C18</f>
        <v>1518694</v>
      </c>
      <c r="D17" s="17"/>
      <c r="E17" s="18" t="n">
        <f aca="false">C17+D17</f>
        <v>1518694</v>
      </c>
      <c r="F17" s="53" t="n">
        <f aca="false">SGA!E18</f>
        <v>2387546</v>
      </c>
      <c r="G17" s="17"/>
      <c r="H17" s="18" t="n">
        <f aca="false">F17+G17</f>
        <v>2387546</v>
      </c>
      <c r="I17" s="53" t="n">
        <f aca="false">SGA!G18</f>
        <v>2294626</v>
      </c>
      <c r="J17" s="17"/>
      <c r="K17" s="18" t="n">
        <f aca="false">I17+J17</f>
        <v>2294626</v>
      </c>
      <c r="L17" s="53" t="n">
        <f aca="false">SGA!I18</f>
        <v>0</v>
      </c>
      <c r="M17" s="17"/>
      <c r="N17" s="18" t="n">
        <f aca="false">L17+M17</f>
        <v>0</v>
      </c>
      <c r="O17" s="53" t="n">
        <f aca="false">SGA!K18</f>
        <v>288851</v>
      </c>
      <c r="P17" s="17"/>
      <c r="Q17" s="18" t="n">
        <f aca="false">O17+P17</f>
        <v>288851</v>
      </c>
    </row>
    <row r="18" customFormat="false" ht="22.5" hidden="false" customHeight="true" outlineLevel="0" collapsed="false">
      <c r="B18" s="105" t="str">
        <f aca="false">IF(SGA!B19="","",SGA!B19)</f>
        <v>租税公課</v>
      </c>
      <c r="C18" s="53" t="n">
        <f aca="false">SGA!C19</f>
        <v>64259</v>
      </c>
      <c r="D18" s="17"/>
      <c r="E18" s="18" t="n">
        <f aca="false">C18+D18</f>
        <v>64259</v>
      </c>
      <c r="F18" s="53" t="n">
        <f aca="false">SGA!E19</f>
        <v>155356</v>
      </c>
      <c r="G18" s="17"/>
      <c r="H18" s="18" t="n">
        <f aca="false">F18+G18</f>
        <v>155356</v>
      </c>
      <c r="I18" s="53" t="n">
        <f aca="false">SGA!G19</f>
        <v>58400</v>
      </c>
      <c r="J18" s="17"/>
      <c r="K18" s="18" t="n">
        <f aca="false">I18+J18</f>
        <v>58400</v>
      </c>
      <c r="L18" s="53" t="n">
        <f aca="false">SGA!I19</f>
        <v>0</v>
      </c>
      <c r="M18" s="17"/>
      <c r="N18" s="18" t="n">
        <f aca="false">L18+M18</f>
        <v>0</v>
      </c>
      <c r="O18" s="53" t="n">
        <f aca="false">SGA!K19</f>
        <v>5000</v>
      </c>
      <c r="P18" s="17"/>
      <c r="Q18" s="18" t="n">
        <f aca="false">O18+P18</f>
        <v>5000</v>
      </c>
    </row>
    <row r="19" customFormat="false" ht="22.5" hidden="false" customHeight="true" outlineLevel="0" collapsed="false">
      <c r="B19" s="105" t="str">
        <f aca="false">IF(SGA!B20="","",SGA!B20)</f>
        <v>交際接待費</v>
      </c>
      <c r="C19" s="53" t="n">
        <f aca="false">SGA!C20</f>
        <v>101508</v>
      </c>
      <c r="D19" s="17"/>
      <c r="E19" s="18" t="n">
        <f aca="false">C19+D19</f>
        <v>101508</v>
      </c>
      <c r="F19" s="53" t="n">
        <f aca="false">SGA!E20</f>
        <v>62392</v>
      </c>
      <c r="G19" s="17"/>
      <c r="H19" s="18" t="n">
        <f aca="false">F19+G19</f>
        <v>62392</v>
      </c>
      <c r="I19" s="53" t="n">
        <f aca="false">SGA!G20</f>
        <v>27168</v>
      </c>
      <c r="J19" s="17"/>
      <c r="K19" s="18" t="n">
        <f aca="false">I19+J19</f>
        <v>27168</v>
      </c>
      <c r="L19" s="53" t="n">
        <f aca="false">SGA!I20</f>
        <v>0</v>
      </c>
      <c r="M19" s="17"/>
      <c r="N19" s="18" t="n">
        <f aca="false">L19+M19</f>
        <v>0</v>
      </c>
      <c r="O19" s="53" t="n">
        <f aca="false">SGA!K20</f>
        <v>13889</v>
      </c>
      <c r="P19" s="17"/>
      <c r="Q19" s="18" t="n">
        <f aca="false">O19+P19</f>
        <v>13889</v>
      </c>
    </row>
    <row r="20" customFormat="false" ht="22.5" hidden="false" customHeight="true" outlineLevel="0" collapsed="false">
      <c r="B20" s="105" t="str">
        <f aca="false">IF(SGA!B21="","",SGA!B21)</f>
        <v>保険料</v>
      </c>
      <c r="C20" s="53" t="n">
        <f aca="false">SGA!C21</f>
        <v>967090</v>
      </c>
      <c r="D20" s="17"/>
      <c r="E20" s="18" t="n">
        <f aca="false">C20+D20</f>
        <v>967090</v>
      </c>
      <c r="F20" s="53" t="n">
        <f aca="false">SGA!E21</f>
        <v>1027060</v>
      </c>
      <c r="G20" s="17"/>
      <c r="H20" s="18" t="n">
        <f aca="false">F20+G20</f>
        <v>1027060</v>
      </c>
      <c r="I20" s="53" t="n">
        <f aca="false">SGA!G21</f>
        <v>1146820</v>
      </c>
      <c r="J20" s="17"/>
      <c r="K20" s="18" t="n">
        <f aca="false">I20+J20</f>
        <v>1146820</v>
      </c>
      <c r="L20" s="53" t="n">
        <f aca="false">SGA!I21</f>
        <v>0</v>
      </c>
      <c r="M20" s="17"/>
      <c r="N20" s="18" t="n">
        <f aca="false">L20+M20</f>
        <v>0</v>
      </c>
      <c r="O20" s="53" t="n">
        <f aca="false">SGA!K21</f>
        <v>152500</v>
      </c>
      <c r="P20" s="17"/>
      <c r="Q20" s="18" t="n">
        <f aca="false">O20+P20</f>
        <v>152500</v>
      </c>
    </row>
    <row r="21" customFormat="false" ht="22.5" hidden="false" customHeight="true" outlineLevel="0" collapsed="false">
      <c r="B21" s="105" t="str">
        <f aca="false">IF(SGA!B22="","",SGA!B22)</f>
        <v>諸会費</v>
      </c>
      <c r="C21" s="53" t="n">
        <f aca="false">SGA!C22</f>
        <v>6000</v>
      </c>
      <c r="D21" s="17"/>
      <c r="E21" s="18" t="n">
        <f aca="false">C21+D21</f>
        <v>6000</v>
      </c>
      <c r="F21" s="53" t="n">
        <f aca="false">SGA!E22</f>
        <v>24000</v>
      </c>
      <c r="G21" s="17"/>
      <c r="H21" s="18" t="n">
        <f aca="false">F21+G21</f>
        <v>24000</v>
      </c>
      <c r="I21" s="53" t="n">
        <f aca="false">SGA!G22</f>
        <v>24000</v>
      </c>
      <c r="J21" s="17"/>
      <c r="K21" s="18" t="n">
        <f aca="false">I21+J21</f>
        <v>24000</v>
      </c>
      <c r="L21" s="53" t="n">
        <f aca="false">SGA!I22</f>
        <v>0</v>
      </c>
      <c r="M21" s="17"/>
      <c r="N21" s="18" t="n">
        <f aca="false">L21+M21</f>
        <v>0</v>
      </c>
      <c r="O21" s="53" t="n">
        <f aca="false">SGA!K22</f>
        <v>0</v>
      </c>
      <c r="P21" s="17"/>
      <c r="Q21" s="18" t="n">
        <f aca="false">O21+P21</f>
        <v>0</v>
      </c>
    </row>
    <row r="22" customFormat="false" ht="22.5" hidden="false" customHeight="true" outlineLevel="0" collapsed="false">
      <c r="B22" s="105" t="str">
        <f aca="false">IF(SGA!B23="","",SGA!B23)</f>
        <v>車輌費</v>
      </c>
      <c r="C22" s="53" t="n">
        <f aca="false">SGA!C23</f>
        <v>704833</v>
      </c>
      <c r="D22" s="17"/>
      <c r="E22" s="18" t="n">
        <f aca="false">C22+D22</f>
        <v>704833</v>
      </c>
      <c r="F22" s="53" t="n">
        <f aca="false">SGA!E23</f>
        <v>483970</v>
      </c>
      <c r="G22" s="17"/>
      <c r="H22" s="18" t="n">
        <f aca="false">F22+G22</f>
        <v>483970</v>
      </c>
      <c r="I22" s="53" t="n">
        <f aca="false">SGA!G23</f>
        <v>495314</v>
      </c>
      <c r="J22" s="17"/>
      <c r="K22" s="18" t="n">
        <f aca="false">I22+J22</f>
        <v>495314</v>
      </c>
      <c r="L22" s="53" t="n">
        <f aca="false">SGA!I23</f>
        <v>0</v>
      </c>
      <c r="M22" s="17"/>
      <c r="N22" s="18" t="n">
        <f aca="false">L22+M22</f>
        <v>0</v>
      </c>
      <c r="O22" s="53" t="n">
        <f aca="false">SGA!K23</f>
        <v>65696</v>
      </c>
      <c r="P22" s="17"/>
      <c r="Q22" s="18" t="n">
        <f aca="false">O22+P22</f>
        <v>65696</v>
      </c>
    </row>
    <row r="23" customFormat="false" ht="22.5" hidden="false" customHeight="true" outlineLevel="0" collapsed="false">
      <c r="B23" s="105" t="str">
        <f aca="false">IF(SGA!B24="","",SGA!B24)</f>
        <v>新聞図書費</v>
      </c>
      <c r="C23" s="53" t="n">
        <f aca="false">SGA!C24</f>
        <v>96000</v>
      </c>
      <c r="D23" s="17"/>
      <c r="E23" s="18" t="n">
        <f aca="false">C23+D23</f>
        <v>96000</v>
      </c>
      <c r="F23" s="53" t="n">
        <f aca="false">SGA!E24</f>
        <v>102000</v>
      </c>
      <c r="G23" s="17"/>
      <c r="H23" s="18" t="n">
        <f aca="false">F23+G23</f>
        <v>102000</v>
      </c>
      <c r="I23" s="53" t="n">
        <f aca="false">SGA!G24</f>
        <v>30000</v>
      </c>
      <c r="J23" s="17"/>
      <c r="K23" s="18" t="n">
        <f aca="false">I23+J23</f>
        <v>30000</v>
      </c>
      <c r="L23" s="53" t="n">
        <f aca="false">SGA!I24</f>
        <v>0</v>
      </c>
      <c r="M23" s="17"/>
      <c r="N23" s="18" t="n">
        <f aca="false">L23+M23</f>
        <v>0</v>
      </c>
      <c r="O23" s="53" t="n">
        <f aca="false">SGA!K24</f>
        <v>0</v>
      </c>
      <c r="P23" s="17"/>
      <c r="Q23" s="18" t="n">
        <f aca="false">O23+P23</f>
        <v>0</v>
      </c>
    </row>
    <row r="24" customFormat="false" ht="22.5" hidden="false" customHeight="true" outlineLevel="0" collapsed="false">
      <c r="B24" s="105" t="str">
        <f aca="false">IF(SGA!B25="","",SGA!B25)</f>
        <v>雑費</v>
      </c>
      <c r="C24" s="53" t="n">
        <f aca="false">SGA!C25</f>
        <v>75580</v>
      </c>
      <c r="D24" s="17"/>
      <c r="E24" s="18" t="n">
        <f aca="false">C24+D24</f>
        <v>75580</v>
      </c>
      <c r="F24" s="53" t="n">
        <f aca="false">SGA!E25</f>
        <v>49770</v>
      </c>
      <c r="G24" s="17"/>
      <c r="H24" s="18" t="n">
        <f aca="false">F24+G24</f>
        <v>49770</v>
      </c>
      <c r="I24" s="53" t="n">
        <f aca="false">SGA!G25</f>
        <v>55540</v>
      </c>
      <c r="J24" s="17"/>
      <c r="K24" s="18" t="n">
        <f aca="false">I24+J24</f>
        <v>55540</v>
      </c>
      <c r="L24" s="53" t="n">
        <f aca="false">SGA!I25</f>
        <v>0</v>
      </c>
      <c r="M24" s="17"/>
      <c r="N24" s="18" t="n">
        <f aca="false">L24+M24</f>
        <v>0</v>
      </c>
      <c r="O24" s="53" t="n">
        <f aca="false">SGA!K25</f>
        <v>20092</v>
      </c>
      <c r="P24" s="17"/>
      <c r="Q24" s="18" t="n">
        <f aca="false">O24+P24</f>
        <v>20092</v>
      </c>
    </row>
    <row r="25" customFormat="false" ht="22.5" hidden="false" customHeight="true" outlineLevel="0" collapsed="false">
      <c r="B25" s="105" t="str">
        <f aca="false">IF(SGA!B26="","",SGA!B26)</f>
        <v/>
      </c>
      <c r="C25" s="53" t="n">
        <f aca="false">SGA!C26</f>
        <v>0</v>
      </c>
      <c r="D25" s="17"/>
      <c r="E25" s="18" t="n">
        <f aca="false">C25+D25</f>
        <v>0</v>
      </c>
      <c r="F25" s="53" t="n">
        <f aca="false">SGA!E26</f>
        <v>0</v>
      </c>
      <c r="G25" s="17"/>
      <c r="H25" s="18" t="n">
        <f aca="false">F25+G25</f>
        <v>0</v>
      </c>
      <c r="I25" s="53" t="n">
        <f aca="false">SGA!G26</f>
        <v>0</v>
      </c>
      <c r="J25" s="17"/>
      <c r="K25" s="18" t="n">
        <f aca="false">I25+J25</f>
        <v>0</v>
      </c>
      <c r="L25" s="53" t="n">
        <f aca="false">SGA!I26</f>
        <v>0</v>
      </c>
      <c r="M25" s="17"/>
      <c r="N25" s="18" t="n">
        <f aca="false">L25+M25</f>
        <v>0</v>
      </c>
      <c r="O25" s="53" t="n">
        <f aca="false">SGA!K26</f>
        <v>0</v>
      </c>
      <c r="P25" s="17"/>
      <c r="Q25" s="18" t="n">
        <f aca="false">O25+P25</f>
        <v>0</v>
      </c>
    </row>
    <row r="26" customFormat="false" ht="22.5" hidden="false" customHeight="true" outlineLevel="0" collapsed="false">
      <c r="B26" s="244" t="str">
        <f aca="false">IF(SGA!B27="","",SGA!B27)</f>
        <v/>
      </c>
      <c r="C26" s="245" t="n">
        <f aca="false">SGA!C27</f>
        <v>0</v>
      </c>
      <c r="D26" s="246"/>
      <c r="E26" s="247" t="n">
        <f aca="false">C26+D26</f>
        <v>0</v>
      </c>
      <c r="F26" s="245" t="n">
        <f aca="false">SGA!E27</f>
        <v>0</v>
      </c>
      <c r="G26" s="246"/>
      <c r="H26" s="247" t="n">
        <f aca="false">F26+G26</f>
        <v>0</v>
      </c>
      <c r="I26" s="245" t="n">
        <f aca="false">SGA!G27</f>
        <v>0</v>
      </c>
      <c r="J26" s="246"/>
      <c r="K26" s="247" t="n">
        <f aca="false">I26+J26</f>
        <v>0</v>
      </c>
      <c r="L26" s="53" t="n">
        <f aca="false">SGA!I27</f>
        <v>0</v>
      </c>
      <c r="M26" s="17"/>
      <c r="N26" s="18" t="n">
        <f aca="false">L26+M26</f>
        <v>0</v>
      </c>
      <c r="O26" s="53" t="n">
        <f aca="false">SGA!K27</f>
        <v>0</v>
      </c>
      <c r="P26" s="17"/>
      <c r="Q26" s="18" t="n">
        <f aca="false">O26+P26</f>
        <v>0</v>
      </c>
    </row>
    <row r="27" customFormat="false" ht="22.5" hidden="false" customHeight="true" outlineLevel="0" collapsed="false">
      <c r="B27" s="105" t="str">
        <f aca="false">IF(SGA!B28="","",SGA!B28)</f>
        <v/>
      </c>
      <c r="C27" s="53" t="n">
        <f aca="false">SGA!C28</f>
        <v>0</v>
      </c>
      <c r="D27" s="17"/>
      <c r="E27" s="18" t="n">
        <f aca="false">C27+D27</f>
        <v>0</v>
      </c>
      <c r="F27" s="53" t="n">
        <f aca="false">SGA!E28</f>
        <v>0</v>
      </c>
      <c r="G27" s="17"/>
      <c r="H27" s="18" t="n">
        <f aca="false">F27+G27</f>
        <v>0</v>
      </c>
      <c r="I27" s="53" t="n">
        <f aca="false">SGA!G28</f>
        <v>0</v>
      </c>
      <c r="J27" s="17"/>
      <c r="K27" s="18" t="n">
        <f aca="false">I27+J27</f>
        <v>0</v>
      </c>
      <c r="L27" s="53" t="n">
        <f aca="false">SGA!I28</f>
        <v>0</v>
      </c>
      <c r="M27" s="17"/>
      <c r="N27" s="18" t="n">
        <f aca="false">L27+M27</f>
        <v>0</v>
      </c>
      <c r="O27" s="53" t="n">
        <f aca="false">SGA!K28</f>
        <v>0</v>
      </c>
      <c r="P27" s="17"/>
      <c r="Q27" s="18" t="n">
        <f aca="false">O27+P27</f>
        <v>0</v>
      </c>
    </row>
    <row r="28" customFormat="false" ht="22.5" hidden="false" customHeight="true" outlineLevel="0" collapsed="false">
      <c r="B28" s="105" t="str">
        <f aca="false">IF(SGA!B29="","",SGA!B29)</f>
        <v/>
      </c>
      <c r="C28" s="53" t="n">
        <f aca="false">SGA!C29</f>
        <v>0</v>
      </c>
      <c r="D28" s="17"/>
      <c r="E28" s="18" t="n">
        <f aca="false">C28+D28</f>
        <v>0</v>
      </c>
      <c r="F28" s="53" t="n">
        <f aca="false">SGA!E29</f>
        <v>0</v>
      </c>
      <c r="G28" s="17"/>
      <c r="H28" s="18" t="n">
        <f aca="false">F28+G28</f>
        <v>0</v>
      </c>
      <c r="I28" s="53" t="n">
        <f aca="false">SGA!G29</f>
        <v>0</v>
      </c>
      <c r="J28" s="17"/>
      <c r="K28" s="18" t="n">
        <f aca="false">I28+J28</f>
        <v>0</v>
      </c>
      <c r="L28" s="53" t="n">
        <f aca="false">SGA!I29</f>
        <v>0</v>
      </c>
      <c r="M28" s="17"/>
      <c r="N28" s="18" t="n">
        <f aca="false">L28+M28</f>
        <v>0</v>
      </c>
      <c r="O28" s="53" t="n">
        <f aca="false">SGA!K29</f>
        <v>0</v>
      </c>
      <c r="P28" s="17"/>
      <c r="Q28" s="18" t="n">
        <f aca="false">O28+P28</f>
        <v>0</v>
      </c>
    </row>
    <row r="29" customFormat="false" ht="22.5" hidden="false" customHeight="true" outlineLevel="0" collapsed="false">
      <c r="B29" s="105" t="str">
        <f aca="false">IF(SGA!B30="","",SGA!B30)</f>
        <v/>
      </c>
      <c r="C29" s="53" t="n">
        <f aca="false">SGA!C30</f>
        <v>0</v>
      </c>
      <c r="D29" s="17"/>
      <c r="E29" s="18" t="n">
        <f aca="false">C29+D29</f>
        <v>0</v>
      </c>
      <c r="F29" s="53" t="n">
        <f aca="false">SGA!E30</f>
        <v>0</v>
      </c>
      <c r="G29" s="17"/>
      <c r="H29" s="18" t="n">
        <f aca="false">F29+G29</f>
        <v>0</v>
      </c>
      <c r="I29" s="53" t="n">
        <f aca="false">SGA!G30</f>
        <v>0</v>
      </c>
      <c r="J29" s="17"/>
      <c r="K29" s="18" t="n">
        <f aca="false">I29+J29</f>
        <v>0</v>
      </c>
      <c r="L29" s="53" t="n">
        <f aca="false">SGA!I30</f>
        <v>0</v>
      </c>
      <c r="M29" s="17"/>
      <c r="N29" s="18" t="n">
        <f aca="false">L29+M29</f>
        <v>0</v>
      </c>
      <c r="O29" s="53" t="n">
        <f aca="false">SGA!K30</f>
        <v>0</v>
      </c>
      <c r="P29" s="17"/>
      <c r="Q29" s="18" t="n">
        <f aca="false">O29+P29</f>
        <v>0</v>
      </c>
    </row>
    <row r="30" customFormat="false" ht="22.5" hidden="false" customHeight="true" outlineLevel="0" collapsed="false">
      <c r="B30" s="105" t="str">
        <f aca="false">IF(SGA!B31="","",SGA!B31)</f>
        <v/>
      </c>
      <c r="C30" s="53" t="n">
        <f aca="false">SGA!C31</f>
        <v>0</v>
      </c>
      <c r="D30" s="17"/>
      <c r="E30" s="18" t="n">
        <f aca="false">C30+D30</f>
        <v>0</v>
      </c>
      <c r="F30" s="53" t="n">
        <f aca="false">SGA!E31</f>
        <v>0</v>
      </c>
      <c r="G30" s="17"/>
      <c r="H30" s="18" t="n">
        <f aca="false">F30+G30</f>
        <v>0</v>
      </c>
      <c r="I30" s="53" t="n">
        <f aca="false">SGA!G31</f>
        <v>0</v>
      </c>
      <c r="J30" s="17"/>
      <c r="K30" s="18" t="n">
        <f aca="false">I30+J30</f>
        <v>0</v>
      </c>
      <c r="L30" s="53" t="n">
        <f aca="false">SGA!I31</f>
        <v>0</v>
      </c>
      <c r="M30" s="17"/>
      <c r="N30" s="18" t="n">
        <f aca="false">L30+M30</f>
        <v>0</v>
      </c>
      <c r="O30" s="53" t="n">
        <f aca="false">SGA!K31</f>
        <v>0</v>
      </c>
      <c r="P30" s="17"/>
      <c r="Q30" s="18" t="n">
        <f aca="false">O30+P30</f>
        <v>0</v>
      </c>
    </row>
    <row r="31" customFormat="false" ht="22.5" hidden="false" customHeight="true" outlineLevel="0" collapsed="false">
      <c r="B31" s="105" t="str">
        <f aca="false">IF(SGA!B32="","",SGA!B32)</f>
        <v/>
      </c>
      <c r="C31" s="53" t="n">
        <f aca="false">SGA!C32</f>
        <v>0</v>
      </c>
      <c r="D31" s="17"/>
      <c r="E31" s="18" t="n">
        <f aca="false">C31+D31</f>
        <v>0</v>
      </c>
      <c r="F31" s="53" t="n">
        <f aca="false">SGA!E32</f>
        <v>0</v>
      </c>
      <c r="G31" s="17"/>
      <c r="H31" s="18" t="n">
        <f aca="false">F31+G31</f>
        <v>0</v>
      </c>
      <c r="I31" s="53" t="n">
        <f aca="false">SGA!G32</f>
        <v>0</v>
      </c>
      <c r="J31" s="17"/>
      <c r="K31" s="18" t="n">
        <f aca="false">I31+J31</f>
        <v>0</v>
      </c>
      <c r="L31" s="53" t="n">
        <f aca="false">SGA!I32</f>
        <v>0</v>
      </c>
      <c r="M31" s="17"/>
      <c r="N31" s="18" t="n">
        <f aca="false">L31+M31</f>
        <v>0</v>
      </c>
      <c r="O31" s="53" t="n">
        <f aca="false">SGA!K32</f>
        <v>0</v>
      </c>
      <c r="P31" s="17"/>
      <c r="Q31" s="18" t="n">
        <f aca="false">O31+P31</f>
        <v>0</v>
      </c>
    </row>
    <row r="32" customFormat="false" ht="22.5" hidden="false" customHeight="true" outlineLevel="0" collapsed="false">
      <c r="B32" s="105" t="str">
        <f aca="false">IF(SGA!B33="","",SGA!B33)</f>
        <v/>
      </c>
      <c r="C32" s="53" t="n">
        <f aca="false">SGA!C33</f>
        <v>0</v>
      </c>
      <c r="D32" s="17"/>
      <c r="E32" s="18" t="n">
        <f aca="false">C32+D32</f>
        <v>0</v>
      </c>
      <c r="F32" s="53" t="n">
        <f aca="false">SGA!E33</f>
        <v>0</v>
      </c>
      <c r="G32" s="17"/>
      <c r="H32" s="18" t="n">
        <f aca="false">F32+G32</f>
        <v>0</v>
      </c>
      <c r="I32" s="53" t="n">
        <f aca="false">SGA!G33</f>
        <v>0</v>
      </c>
      <c r="J32" s="17"/>
      <c r="K32" s="18" t="n">
        <f aca="false">I32+J32</f>
        <v>0</v>
      </c>
      <c r="L32" s="53" t="n">
        <f aca="false">SGA!I33</f>
        <v>0</v>
      </c>
      <c r="M32" s="17"/>
      <c r="N32" s="18" t="n">
        <f aca="false">L32+M32</f>
        <v>0</v>
      </c>
      <c r="O32" s="53" t="n">
        <f aca="false">SGA!K33</f>
        <v>0</v>
      </c>
      <c r="P32" s="17"/>
      <c r="Q32" s="18" t="n">
        <f aca="false">O32+P32</f>
        <v>0</v>
      </c>
    </row>
    <row r="33" customFormat="false" ht="22.5" hidden="false" customHeight="true" outlineLevel="0" collapsed="false">
      <c r="B33" s="105" t="str">
        <f aca="false">IF(SGA!B34="","",SGA!B34)</f>
        <v/>
      </c>
      <c r="C33" s="53" t="n">
        <f aca="false">SGA!C34</f>
        <v>0</v>
      </c>
      <c r="D33" s="17"/>
      <c r="E33" s="18" t="n">
        <f aca="false">C33+D33</f>
        <v>0</v>
      </c>
      <c r="F33" s="53" t="n">
        <f aca="false">SGA!E34</f>
        <v>0</v>
      </c>
      <c r="G33" s="17"/>
      <c r="H33" s="18" t="n">
        <f aca="false">F33+G33</f>
        <v>0</v>
      </c>
      <c r="I33" s="53" t="n">
        <f aca="false">SGA!G34</f>
        <v>0</v>
      </c>
      <c r="J33" s="17"/>
      <c r="K33" s="18" t="n">
        <f aca="false">I33+J33</f>
        <v>0</v>
      </c>
      <c r="L33" s="53" t="n">
        <f aca="false">SGA!I34</f>
        <v>0</v>
      </c>
      <c r="M33" s="17"/>
      <c r="N33" s="18" t="n">
        <f aca="false">L33+M33</f>
        <v>0</v>
      </c>
      <c r="O33" s="53" t="n">
        <f aca="false">SGA!K34</f>
        <v>0</v>
      </c>
      <c r="P33" s="17"/>
      <c r="Q33" s="18" t="n">
        <f aca="false">O33+P33</f>
        <v>0</v>
      </c>
    </row>
    <row r="34" customFormat="false" ht="22.5" hidden="false" customHeight="true" outlineLevel="0" collapsed="false">
      <c r="B34" s="105" t="str">
        <f aca="false">IF(SGA!B35="","",SGA!B35)</f>
        <v/>
      </c>
      <c r="C34" s="53" t="n">
        <f aca="false">SGA!C35</f>
        <v>0</v>
      </c>
      <c r="D34" s="17"/>
      <c r="E34" s="18" t="n">
        <f aca="false">C34+D34</f>
        <v>0</v>
      </c>
      <c r="F34" s="53" t="n">
        <f aca="false">SGA!E35</f>
        <v>0</v>
      </c>
      <c r="G34" s="17"/>
      <c r="H34" s="18" t="n">
        <f aca="false">F34+G34</f>
        <v>0</v>
      </c>
      <c r="I34" s="53" t="n">
        <f aca="false">SGA!G35</f>
        <v>0</v>
      </c>
      <c r="J34" s="17"/>
      <c r="K34" s="18" t="n">
        <f aca="false">I34+J34</f>
        <v>0</v>
      </c>
      <c r="L34" s="53" t="n">
        <f aca="false">SGA!I35</f>
        <v>0</v>
      </c>
      <c r="M34" s="17"/>
      <c r="N34" s="18" t="n">
        <f aca="false">L34+M34</f>
        <v>0</v>
      </c>
      <c r="O34" s="53" t="n">
        <f aca="false">SGA!K35</f>
        <v>0</v>
      </c>
      <c r="P34" s="17"/>
      <c r="Q34" s="18" t="n">
        <f aca="false">O34+P34</f>
        <v>0</v>
      </c>
    </row>
    <row r="35" customFormat="false" ht="22.5" hidden="false" customHeight="true" outlineLevel="0" collapsed="false">
      <c r="B35" s="105" t="str">
        <f aca="false">IF(SGA!B36="","",SGA!B36)</f>
        <v/>
      </c>
      <c r="C35" s="53" t="n">
        <f aca="false">SGA!C36</f>
        <v>0</v>
      </c>
      <c r="D35" s="17"/>
      <c r="E35" s="18" t="n">
        <f aca="false">C35+D35</f>
        <v>0</v>
      </c>
      <c r="F35" s="53" t="n">
        <f aca="false">SGA!E36</f>
        <v>0</v>
      </c>
      <c r="G35" s="17"/>
      <c r="H35" s="18" t="n">
        <f aca="false">F35+G35</f>
        <v>0</v>
      </c>
      <c r="I35" s="53" t="n">
        <f aca="false">SGA!G36</f>
        <v>0</v>
      </c>
      <c r="J35" s="17"/>
      <c r="K35" s="18" t="n">
        <f aca="false">I35+J35</f>
        <v>0</v>
      </c>
      <c r="L35" s="53" t="n">
        <f aca="false">SGA!I36</f>
        <v>0</v>
      </c>
      <c r="M35" s="17"/>
      <c r="N35" s="18" t="n">
        <f aca="false">L35+M35</f>
        <v>0</v>
      </c>
      <c r="O35" s="53" t="n">
        <f aca="false">SGA!K36</f>
        <v>0</v>
      </c>
      <c r="P35" s="17"/>
      <c r="Q35" s="18" t="n">
        <f aca="false">O35+P35</f>
        <v>0</v>
      </c>
    </row>
    <row r="36" customFormat="false" ht="22.5" hidden="false" customHeight="true" outlineLevel="0" collapsed="false">
      <c r="B36" s="105" t="str">
        <f aca="false">IF(SGA!B37="","",SGA!B37)</f>
        <v/>
      </c>
      <c r="C36" s="53" t="n">
        <f aca="false">SGA!C37</f>
        <v>0</v>
      </c>
      <c r="D36" s="17"/>
      <c r="E36" s="18" t="n">
        <f aca="false">C36+D36</f>
        <v>0</v>
      </c>
      <c r="F36" s="53" t="n">
        <f aca="false">SGA!E37</f>
        <v>0</v>
      </c>
      <c r="G36" s="17"/>
      <c r="H36" s="18" t="n">
        <f aca="false">F36+G36</f>
        <v>0</v>
      </c>
      <c r="I36" s="53" t="n">
        <f aca="false">SGA!G37</f>
        <v>0</v>
      </c>
      <c r="J36" s="17"/>
      <c r="K36" s="18" t="n">
        <f aca="false">I36+J36</f>
        <v>0</v>
      </c>
      <c r="L36" s="53" t="n">
        <f aca="false">SGA!I37</f>
        <v>0</v>
      </c>
      <c r="M36" s="17"/>
      <c r="N36" s="18" t="n">
        <f aca="false">L36+M36</f>
        <v>0</v>
      </c>
      <c r="O36" s="53" t="n">
        <f aca="false">SGA!K37</f>
        <v>0</v>
      </c>
      <c r="P36" s="17"/>
      <c r="Q36" s="18" t="n">
        <f aca="false">O36+P36</f>
        <v>0</v>
      </c>
    </row>
    <row r="37" customFormat="false" ht="22.5" hidden="false" customHeight="true" outlineLevel="0" collapsed="false">
      <c r="B37" s="105" t="str">
        <f aca="false">IF(SGA!B38="","",SGA!B38)</f>
        <v/>
      </c>
      <c r="C37" s="53" t="n">
        <f aca="false">SGA!C38</f>
        <v>0</v>
      </c>
      <c r="D37" s="17"/>
      <c r="E37" s="18" t="n">
        <f aca="false">C37+D37</f>
        <v>0</v>
      </c>
      <c r="F37" s="53" t="n">
        <f aca="false">SGA!E38</f>
        <v>0</v>
      </c>
      <c r="G37" s="17"/>
      <c r="H37" s="18" t="n">
        <f aca="false">F37+G37</f>
        <v>0</v>
      </c>
      <c r="I37" s="53" t="n">
        <f aca="false">SGA!G38</f>
        <v>0</v>
      </c>
      <c r="J37" s="17"/>
      <c r="K37" s="18" t="n">
        <f aca="false">I37+J37</f>
        <v>0</v>
      </c>
      <c r="L37" s="53" t="n">
        <f aca="false">SGA!I38</f>
        <v>0</v>
      </c>
      <c r="M37" s="17"/>
      <c r="N37" s="18" t="n">
        <f aca="false">L37+M37</f>
        <v>0</v>
      </c>
      <c r="O37" s="53" t="n">
        <f aca="false">SGA!K38</f>
        <v>0</v>
      </c>
      <c r="P37" s="17"/>
      <c r="Q37" s="18" t="n">
        <f aca="false">O37+P37</f>
        <v>0</v>
      </c>
    </row>
    <row r="38" customFormat="false" ht="22.5" hidden="true" customHeight="true" outlineLevel="0" collapsed="false">
      <c r="B38" s="105" t="str">
        <f aca="false">IF(SGA!B39="","",SGA!B39)</f>
        <v/>
      </c>
      <c r="C38" s="35" t="n">
        <f aca="false">SGA!C39</f>
        <v>0</v>
      </c>
      <c r="D38" s="17"/>
      <c r="E38" s="18" t="n">
        <f aca="false">C38+D38</f>
        <v>0</v>
      </c>
      <c r="F38" s="35" t="n">
        <f aca="false">SGA!E39</f>
        <v>0</v>
      </c>
      <c r="G38" s="17"/>
      <c r="H38" s="18" t="n">
        <f aca="false">F38+G38</f>
        <v>0</v>
      </c>
      <c r="I38" s="35" t="n">
        <f aca="false">SGA!G39</f>
        <v>0</v>
      </c>
      <c r="J38" s="17"/>
      <c r="K38" s="18" t="n">
        <f aca="false">I38+J38</f>
        <v>0</v>
      </c>
      <c r="L38" s="37" t="n">
        <f aca="false">SGA!I39</f>
        <v>0</v>
      </c>
      <c r="M38" s="56"/>
      <c r="N38" s="18" t="n">
        <f aca="false">L38+M38</f>
        <v>0</v>
      </c>
      <c r="O38" s="37" t="n">
        <f aca="false">SGA!K39</f>
        <v>0</v>
      </c>
      <c r="P38" s="56"/>
      <c r="Q38" s="18" t="n">
        <f aca="false">O38+P38</f>
        <v>0</v>
      </c>
    </row>
    <row r="39" customFormat="false" ht="22.5" hidden="false" customHeight="true" outlineLevel="0" collapsed="false">
      <c r="B39" s="248" t="s">
        <v>149</v>
      </c>
      <c r="C39" s="238" t="n">
        <f aca="false">SUM(C5:C38)</f>
        <v>19181720</v>
      </c>
      <c r="D39" s="238" t="n">
        <f aca="false">SUM(D5:D38)</f>
        <v>0</v>
      </c>
      <c r="E39" s="240" t="n">
        <f aca="false">C39+D39</f>
        <v>19181720</v>
      </c>
      <c r="F39" s="238" t="n">
        <f aca="false">SUM(F5:F38)</f>
        <v>19709676</v>
      </c>
      <c r="G39" s="238" t="n">
        <f aca="false">SUM(G5:G38)</f>
        <v>0</v>
      </c>
      <c r="H39" s="240" t="n">
        <f aca="false">F39+G39</f>
        <v>19709676</v>
      </c>
      <c r="I39" s="238" t="n">
        <f aca="false">SUM(I5:I38)</f>
        <v>16503309</v>
      </c>
      <c r="J39" s="238" t="n">
        <f aca="false">SUM(J5:J38)</f>
        <v>0</v>
      </c>
      <c r="K39" s="240" t="n">
        <f aca="false">I39+J39</f>
        <v>16503309</v>
      </c>
      <c r="L39" s="111" t="n">
        <f aca="false">SUM(L5:L38)</f>
        <v>0</v>
      </c>
      <c r="M39" s="111" t="n">
        <f aca="false">SUM(M5:M38)</f>
        <v>0</v>
      </c>
      <c r="N39" s="249" t="n">
        <f aca="false">L39+M39</f>
        <v>0</v>
      </c>
      <c r="O39" s="111" t="n">
        <f aca="false">SUM(O5:O38)</f>
        <v>2494334</v>
      </c>
      <c r="P39" s="111" t="n">
        <f aca="false">SUM(P5:P38)</f>
        <v>0</v>
      </c>
      <c r="Q39" s="249" t="n">
        <f aca="false">O39+P39</f>
        <v>2494334</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F1" colorId="64" zoomScale="79" zoomScaleNormal="79" zoomScalePageLayoutView="100" workbookViewId="0">
      <selection pane="topLeft" activeCell="K6" activeCellId="0" sqref="K6"/>
    </sheetView>
  </sheetViews>
  <sheetFormatPr defaultColWidth="8.53125" defaultRowHeight="18" zeroHeight="false" outlineLevelRow="0" outlineLevelCol="0"/>
  <cols>
    <col collapsed="false" customWidth="true" hidden="false" outlineLevel="0" max="3" min="2" style="20" width="18.58"/>
    <col collapsed="false" customWidth="true" hidden="false" outlineLevel="0" max="5" min="5" style="20" width="24.59"/>
    <col collapsed="false" customWidth="true" hidden="false" outlineLevel="0" max="8" min="6" style="20" width="18.58"/>
    <col collapsed="false" customWidth="true" hidden="false" outlineLevel="0" max="13" min="10" style="20" width="20.25"/>
  </cols>
  <sheetData>
    <row r="2" customFormat="false" ht="18" hidden="false" customHeight="false" outlineLevel="0" collapsed="false">
      <c r="C2" s="48" t="s">
        <v>50</v>
      </c>
      <c r="H2" s="48" t="s">
        <v>50</v>
      </c>
      <c r="M2" s="48" t="s">
        <v>50</v>
      </c>
    </row>
    <row r="3" customFormat="false" ht="21.75" hidden="false" customHeight="true" outlineLevel="0" collapsed="false">
      <c r="B3" s="250" t="str">
        <f aca="false">修正PL!I3</f>
        <v>26年5月期
（第37期）</v>
      </c>
      <c r="C3" s="79" t="s">
        <v>75</v>
      </c>
      <c r="E3" s="62"/>
      <c r="F3" s="250" t="str">
        <f aca="false">修正PL!C3</f>
        <v>24年5月期
（第35期）</v>
      </c>
      <c r="G3" s="250" t="str">
        <f aca="false">修正PL!F3</f>
        <v>25年5月期
（第36期）</v>
      </c>
      <c r="H3" s="250" t="str">
        <f aca="false">修正PL!I3</f>
        <v>26年5月期
（第37期）</v>
      </c>
      <c r="J3" s="62" t="s">
        <v>181</v>
      </c>
      <c r="K3" s="250" t="s">
        <v>182</v>
      </c>
      <c r="L3" s="250" t="s">
        <v>183</v>
      </c>
      <c r="M3" s="250" t="s">
        <v>184</v>
      </c>
    </row>
    <row r="4" s="251" customFormat="true" ht="31.5" hidden="false" customHeight="true" outlineLevel="0" collapsed="false">
      <c r="B4" s="252" t="s">
        <v>185</v>
      </c>
      <c r="C4" s="103" t="n">
        <f aca="false">'修正BS(貸方) '!C52</f>
        <v>-11563362</v>
      </c>
      <c r="E4" s="252" t="s">
        <v>186</v>
      </c>
      <c r="F4" s="103" t="n">
        <f aca="false">修正PL!C17</f>
        <v>-15142780</v>
      </c>
      <c r="G4" s="103" t="n">
        <f aca="false">修正PL!F17</f>
        <v>-38606509</v>
      </c>
      <c r="H4" s="103" t="n">
        <f aca="false">修正PL!I17</f>
        <v>-10999573</v>
      </c>
      <c r="J4" s="253" t="s">
        <v>187</v>
      </c>
      <c r="K4" s="254" t="n">
        <f aca="false">C6</f>
        <v>-12586296</v>
      </c>
      <c r="L4" s="255" t="n">
        <f aca="false">K4</f>
        <v>-12586296</v>
      </c>
      <c r="M4" s="255" t="n">
        <f aca="false">K4</f>
        <v>-12586296</v>
      </c>
    </row>
    <row r="5" s="251" customFormat="true" ht="31.5" hidden="false" customHeight="true" outlineLevel="0" collapsed="false">
      <c r="B5" s="164" t="s">
        <v>157</v>
      </c>
      <c r="C5" s="256" t="n">
        <f aca="false">'修正BS(貸方) '!D52</f>
        <v>-1022934</v>
      </c>
      <c r="E5" s="164" t="s">
        <v>157</v>
      </c>
      <c r="F5" s="256" t="n">
        <f aca="false">修正PL!D17</f>
        <v>731249</v>
      </c>
      <c r="G5" s="256" t="n">
        <f aca="false">修正PL!G17</f>
        <v>2016549</v>
      </c>
      <c r="H5" s="256" t="n">
        <f aca="false">修正PL!J17</f>
        <v>615273</v>
      </c>
      <c r="J5" s="178" t="s">
        <v>188</v>
      </c>
      <c r="K5" s="35" t="n">
        <f aca="false">MAX(H10,0)*1</f>
        <v>0</v>
      </c>
      <c r="L5" s="211" t="n">
        <f aca="false">MAX(H10,0)*2</f>
        <v>0</v>
      </c>
      <c r="M5" s="211" t="n">
        <f aca="false">MAX(H10,0)*3</f>
        <v>0</v>
      </c>
    </row>
    <row r="6" s="251" customFormat="true" ht="31.5" hidden="false" customHeight="true" outlineLevel="0" collapsed="false">
      <c r="B6" s="87" t="s">
        <v>187</v>
      </c>
      <c r="C6" s="257" t="n">
        <f aca="false">SUM(C4:C5)</f>
        <v>-12586296</v>
      </c>
      <c r="E6" s="258" t="s">
        <v>189</v>
      </c>
      <c r="F6" s="159" t="n">
        <f aca="false">SUM(F4:F5)</f>
        <v>-14411531</v>
      </c>
      <c r="G6" s="159" t="n">
        <f aca="false">SUM(G4:G5)</f>
        <v>-36589960</v>
      </c>
      <c r="H6" s="159" t="n">
        <f aca="false">SUM(H4:H5)</f>
        <v>-10384300</v>
      </c>
      <c r="J6" s="259" t="s">
        <v>190</v>
      </c>
      <c r="K6" s="260" t="n">
        <f aca="false">K4+K5</f>
        <v>-12586296</v>
      </c>
      <c r="L6" s="260" t="n">
        <f aca="false">L4+L5</f>
        <v>-12586296</v>
      </c>
      <c r="M6" s="261" t="n">
        <f aca="false">M4+M5</f>
        <v>-12586296</v>
      </c>
    </row>
    <row r="7" s="251" customFormat="true" ht="31.5" hidden="false" customHeight="true" outlineLevel="0" collapsed="false">
      <c r="E7" s="164" t="s">
        <v>191</v>
      </c>
      <c r="F7" s="256" t="n">
        <f aca="false">-MAX(F6,0)*0.34</f>
        <v>-0</v>
      </c>
      <c r="G7" s="256" t="n">
        <f aca="false">-MAX(G6,0)*0.34</f>
        <v>-0</v>
      </c>
      <c r="H7" s="256" t="n">
        <f aca="false">-MAX(H6,0)*0.34</f>
        <v>-0</v>
      </c>
    </row>
    <row r="8" s="251" customFormat="true" ht="31.5" hidden="false" customHeight="true" outlineLevel="0" collapsed="false">
      <c r="E8" s="262" t="s">
        <v>192</v>
      </c>
      <c r="F8" s="257" t="n">
        <f aca="false">F6+F7</f>
        <v>-14411531</v>
      </c>
      <c r="G8" s="257" t="n">
        <f aca="false">G6+G7</f>
        <v>-36589960</v>
      </c>
      <c r="H8" s="257" t="n">
        <f aca="false">H6+H7</f>
        <v>-10384300</v>
      </c>
    </row>
    <row r="9" s="251" customFormat="true" ht="15" hidden="false" customHeight="true" outlineLevel="0" collapsed="false"/>
    <row r="10" s="251" customFormat="true" ht="41.25" hidden="false" customHeight="true" outlineLevel="0" collapsed="false">
      <c r="B10" s="2"/>
      <c r="C10" s="2"/>
      <c r="G10" s="263" t="s">
        <v>193</v>
      </c>
      <c r="H10" s="257" t="n">
        <f aca="false">(H8*0.5+G8*0.3+F8*0.2)</f>
        <v>-19051444.2</v>
      </c>
    </row>
    <row r="12" customFormat="false" ht="18" hidden="false" customHeight="false" outlineLevel="0" collapsed="false">
      <c r="B12" s="46" t="s">
        <v>194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true" showOutlineSymbols="true" defaultGridColor="true" view="normal" topLeftCell="C1" colorId="64" zoomScale="46" zoomScaleNormal="46" zoomScalePageLayoutView="100" workbookViewId="0">
      <selection pane="topLeft" activeCell="M6" activeCellId="0" sqref="M6"/>
    </sheetView>
  </sheetViews>
  <sheetFormatPr defaultColWidth="8.53125" defaultRowHeight="18" zeroHeight="false" outlineLevelRow="0" outlineLevelCol="0"/>
  <cols>
    <col collapsed="false" customWidth="true" hidden="false" outlineLevel="0" max="3" min="2" style="20" width="18.58"/>
    <col collapsed="false" customWidth="true" hidden="false" outlineLevel="0" max="5" min="5" style="20" width="24.59"/>
    <col collapsed="false" customWidth="true" hidden="false" outlineLevel="0" max="8" min="6" style="20" width="18.58"/>
    <col collapsed="false" customWidth="true" hidden="false" outlineLevel="0" max="10" min="10" style="20" width="26"/>
    <col collapsed="false" customWidth="true" hidden="false" outlineLevel="0" max="13" min="11" style="20" width="20.25"/>
  </cols>
  <sheetData>
    <row r="2" customFormat="false" ht="18" hidden="false" customHeight="false" outlineLevel="0" collapsed="false">
      <c r="C2" s="48" t="s">
        <v>50</v>
      </c>
      <c r="H2" s="48" t="s">
        <v>50</v>
      </c>
      <c r="M2" s="48" t="s">
        <v>50</v>
      </c>
    </row>
    <row r="3" customFormat="false" ht="21.75" hidden="false" customHeight="true" outlineLevel="0" collapsed="false">
      <c r="B3" s="250" t="str">
        <f aca="false">修正PL!I3</f>
        <v>26年5月期
（第37期）</v>
      </c>
      <c r="C3" s="79" t="s">
        <v>75</v>
      </c>
      <c r="E3" s="62"/>
      <c r="F3" s="250" t="str">
        <f aca="false">修正PL!C3</f>
        <v>24年5月期
（第35期）</v>
      </c>
      <c r="G3" s="250" t="str">
        <f aca="false">修正PL!F3</f>
        <v>25年5月期
（第36期）</v>
      </c>
      <c r="H3" s="250" t="str">
        <f aca="false">修正PL!I3</f>
        <v>26年5月期
（第37期）</v>
      </c>
      <c r="J3" s="62" t="s">
        <v>195</v>
      </c>
      <c r="K3" s="250" t="s">
        <v>184</v>
      </c>
      <c r="L3" s="250" t="s">
        <v>196</v>
      </c>
      <c r="M3" s="250" t="s">
        <v>197</v>
      </c>
    </row>
    <row r="4" s="251" customFormat="true" ht="31.5" hidden="false" customHeight="true" outlineLevel="0" collapsed="false">
      <c r="B4" s="264" t="s">
        <v>198</v>
      </c>
      <c r="C4" s="103" t="n">
        <f aca="false">ネットキャッシュ!C13</f>
        <v>4903189</v>
      </c>
      <c r="E4" s="252" t="s">
        <v>186</v>
      </c>
      <c r="F4" s="103" t="n">
        <f aca="false">修正PL!C17</f>
        <v>-15142780</v>
      </c>
      <c r="G4" s="103" t="n">
        <f aca="false">修正PL!F17</f>
        <v>-38606509</v>
      </c>
      <c r="H4" s="103" t="n">
        <f aca="false">修正PL!I17</f>
        <v>-10999573</v>
      </c>
      <c r="J4" s="265" t="s">
        <v>199</v>
      </c>
      <c r="K4" s="266" t="n">
        <f aca="false">MAX(H10,0)*3</f>
        <v>0</v>
      </c>
      <c r="L4" s="267" t="n">
        <f aca="false">MAX(H10,0)*4</f>
        <v>0</v>
      </c>
      <c r="M4" s="267" t="n">
        <f aca="false">MAX(H10,0)*5</f>
        <v>0</v>
      </c>
    </row>
    <row r="5" s="251" customFormat="true" ht="31.5" hidden="false" customHeight="true" outlineLevel="0" collapsed="false">
      <c r="B5" s="268" t="s">
        <v>200</v>
      </c>
      <c r="C5" s="256" t="n">
        <f aca="false">ネットキャッシュ!F13</f>
        <v>32708000</v>
      </c>
      <c r="E5" s="164" t="s">
        <v>157</v>
      </c>
      <c r="F5" s="256" t="n">
        <f aca="false">修正PL!D17</f>
        <v>731249</v>
      </c>
      <c r="G5" s="256" t="n">
        <f aca="false">修正PL!G17</f>
        <v>2016549</v>
      </c>
      <c r="H5" s="256" t="n">
        <f aca="false">修正PL!J17</f>
        <v>615273</v>
      </c>
      <c r="J5" s="269" t="s">
        <v>201</v>
      </c>
      <c r="K5" s="270" t="n">
        <f aca="false">-K4*0.3</f>
        <v>-0</v>
      </c>
      <c r="L5" s="271" t="n">
        <f aca="false">-L4*0.3</f>
        <v>-0</v>
      </c>
      <c r="M5" s="271" t="n">
        <f aca="false">-M4*0.3</f>
        <v>-0</v>
      </c>
    </row>
    <row r="6" s="251" customFormat="true" ht="31.5" hidden="false" customHeight="true" outlineLevel="0" collapsed="false">
      <c r="B6" s="87" t="s">
        <v>78</v>
      </c>
      <c r="C6" s="257" t="n">
        <f aca="false">C4-C5</f>
        <v>-27804811</v>
      </c>
      <c r="E6" s="258" t="s">
        <v>189</v>
      </c>
      <c r="F6" s="159" t="n">
        <f aca="false">SUM(F4:F5)</f>
        <v>-14411531</v>
      </c>
      <c r="G6" s="159" t="n">
        <f aca="false">SUM(G4:G5)</f>
        <v>-36589960</v>
      </c>
      <c r="H6" s="159" t="n">
        <f aca="false">SUM(H4:H5)</f>
        <v>-10384300</v>
      </c>
      <c r="J6" s="272" t="s">
        <v>78</v>
      </c>
      <c r="K6" s="273" t="n">
        <f aca="false">$C$6</f>
        <v>-27804811</v>
      </c>
      <c r="L6" s="273" t="n">
        <f aca="false">$C$6</f>
        <v>-27804811</v>
      </c>
      <c r="M6" s="274" t="n">
        <f aca="false">$C$6</f>
        <v>-27804811</v>
      </c>
    </row>
    <row r="7" s="251" customFormat="true" ht="31.5" hidden="false" customHeight="true" outlineLevel="0" collapsed="false">
      <c r="E7" s="164" t="s">
        <v>202</v>
      </c>
      <c r="F7" s="256" t="n">
        <f aca="false">修正SGA!E9+CR!C37</f>
        <v>555074</v>
      </c>
      <c r="G7" s="256" t="n">
        <f aca="false">修正SGA!H9+CR!E37</f>
        <v>1507223</v>
      </c>
      <c r="H7" s="256" t="n">
        <f aca="false">修正SGA!K9+CR!G37</f>
        <v>835251</v>
      </c>
      <c r="J7" s="275" t="s">
        <v>190</v>
      </c>
      <c r="K7" s="276" t="n">
        <f aca="false">SUM(K4:K6)</f>
        <v>-27804811</v>
      </c>
      <c r="L7" s="276" t="n">
        <f aca="false">SUM(L4:L6)</f>
        <v>-27804811</v>
      </c>
      <c r="M7" s="276" t="n">
        <f aca="false">SUM(M4:M6)</f>
        <v>-27804811</v>
      </c>
    </row>
    <row r="8" s="251" customFormat="true" ht="31.5" hidden="false" customHeight="true" outlineLevel="0" collapsed="false">
      <c r="E8" s="277" t="s">
        <v>203</v>
      </c>
      <c r="F8" s="257" t="n">
        <f aca="false">SUM(F6:F7)</f>
        <v>-13856457</v>
      </c>
      <c r="G8" s="257" t="n">
        <f aca="false">SUM(G6:G7)</f>
        <v>-35082737</v>
      </c>
      <c r="H8" s="257" t="n">
        <f aca="false">SUM(H6:H7)</f>
        <v>-9549049</v>
      </c>
    </row>
    <row r="9" s="251" customFormat="true" ht="15" hidden="false" customHeight="true" outlineLevel="0" collapsed="false"/>
    <row r="10" s="251" customFormat="true" ht="31.5" hidden="false" customHeight="true" outlineLevel="0" collapsed="false">
      <c r="G10" s="263" t="s">
        <v>204</v>
      </c>
      <c r="H10" s="257" t="n">
        <f aca="false">(H8*0.5+G8*0.3+F8*0.2)</f>
        <v>-18070637</v>
      </c>
      <c r="J10" s="2"/>
      <c r="K10" s="2"/>
      <c r="L10" s="2"/>
      <c r="M10" s="2"/>
    </row>
    <row r="12" customFormat="false" ht="18" hidden="false" customHeight="false" outlineLevel="0" collapsed="false">
      <c r="B12" s="46" t="s">
        <v>205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125" defaultRowHeight="18" zeroHeight="false" outlineLevelRow="0" outlineLevelCol="0"/>
  <cols>
    <col collapsed="false" customWidth="true" hidden="false" outlineLevel="0" max="5" min="2" style="20" width="18.58"/>
    <col collapsed="false" customWidth="true" hidden="false" outlineLevel="0" max="6" min="6" style="20" width="40.08"/>
  </cols>
  <sheetData>
    <row r="2" customFormat="false" ht="18" hidden="false" customHeight="false" outlineLevel="0" collapsed="false">
      <c r="E2" s="48" t="s">
        <v>50</v>
      </c>
    </row>
    <row r="3" customFormat="false" ht="21.75" hidden="false" customHeight="true" outlineLevel="0" collapsed="false">
      <c r="A3" s="2" t="s">
        <v>206</v>
      </c>
      <c r="B3" s="62" t="s">
        <v>207</v>
      </c>
      <c r="C3" s="79" t="s">
        <v>81</v>
      </c>
      <c r="D3" s="79" t="s">
        <v>208</v>
      </c>
      <c r="E3" s="79" t="s">
        <v>209</v>
      </c>
      <c r="F3" s="198" t="s">
        <v>210</v>
      </c>
    </row>
    <row r="4" customFormat="false" ht="31.5" hidden="false" customHeight="true" outlineLevel="0" collapsed="false">
      <c r="B4" s="278" t="s">
        <v>211</v>
      </c>
      <c r="C4" s="103" t="n">
        <v>7244944</v>
      </c>
      <c r="D4" s="103" t="n">
        <v>0</v>
      </c>
      <c r="E4" s="103" t="n">
        <f aca="false">SUM(C4,D4)</f>
        <v>7244944</v>
      </c>
      <c r="F4" s="279" t="s">
        <v>212</v>
      </c>
    </row>
    <row r="5" customFormat="false" ht="31.5" hidden="false" customHeight="true" outlineLevel="0" collapsed="false">
      <c r="B5" s="252" t="s">
        <v>213</v>
      </c>
      <c r="C5" s="256" t="n">
        <v>6523561</v>
      </c>
      <c r="D5" s="256" t="n">
        <v>0</v>
      </c>
      <c r="E5" s="256" t="n">
        <f aca="false">SUM(C5,D5)</f>
        <v>6523561</v>
      </c>
      <c r="F5" s="280"/>
    </row>
    <row r="6" customFormat="false" ht="31.5" hidden="false" customHeight="true" outlineLevel="0" collapsed="false">
      <c r="B6" s="252" t="s">
        <v>214</v>
      </c>
      <c r="C6" s="256" t="n">
        <v>6472574</v>
      </c>
      <c r="D6" s="256" t="n">
        <v>0</v>
      </c>
      <c r="E6" s="256" t="n">
        <f aca="false">SUM(C6,D6)</f>
        <v>6472574</v>
      </c>
      <c r="F6" s="280"/>
    </row>
    <row r="7" customFormat="false" ht="31.5" hidden="false" customHeight="true" outlineLevel="0" collapsed="false">
      <c r="B7" s="281" t="s">
        <v>215</v>
      </c>
      <c r="C7" s="282" t="n">
        <v>5295023</v>
      </c>
      <c r="D7" s="282" t="n">
        <v>0</v>
      </c>
      <c r="E7" s="282" t="n">
        <f aca="false">SUM(C7,D7)</f>
        <v>5295023</v>
      </c>
      <c r="F7" s="283"/>
    </row>
    <row r="8" customFormat="false" ht="31.5" hidden="false" customHeight="true" outlineLevel="0" collapsed="false">
      <c r="B8" s="87" t="s">
        <v>216</v>
      </c>
      <c r="C8" s="257" t="n">
        <v>1248562</v>
      </c>
      <c r="D8" s="257" t="n">
        <v>0</v>
      </c>
      <c r="E8" s="257" t="n">
        <f aca="false">SUM(C8,D8)</f>
        <v>1248562</v>
      </c>
      <c r="F8" s="284"/>
    </row>
    <row r="9" customFormat="false" ht="18" hidden="false" customHeight="false" outlineLevel="0" collapsed="false">
      <c r="B9" s="285" t="s">
        <v>217</v>
      </c>
      <c r="C9" s="20" t="n">
        <v>1666981</v>
      </c>
      <c r="D9" s="20" t="n">
        <v>0</v>
      </c>
      <c r="E9" s="20" t="n">
        <f aca="false">SUM(C9,D9)</f>
        <v>1666981</v>
      </c>
    </row>
    <row r="10" customFormat="false" ht="18" hidden="false" customHeight="false" outlineLevel="0" collapsed="false">
      <c r="B10" s="285" t="s">
        <v>77</v>
      </c>
      <c r="C10" s="20" t="n">
        <f aca="false">SUM(C4:C9)</f>
        <v>28451645</v>
      </c>
      <c r="D10" s="20" t="n">
        <f aca="false">SUM(D4:D9)</f>
        <v>0</v>
      </c>
      <c r="E10" s="20" t="n">
        <f aca="false">C10+D10</f>
        <v>28451645</v>
      </c>
    </row>
    <row r="12" customFormat="false" ht="18" hidden="false" customHeight="false" outlineLevel="0" collapsed="false">
      <c r="E12" s="48" t="s">
        <v>50</v>
      </c>
    </row>
    <row r="13" customFormat="false" ht="21.75" hidden="false" customHeight="true" outlineLevel="0" collapsed="false">
      <c r="A13" s="2" t="s">
        <v>218</v>
      </c>
      <c r="B13" s="286" t="s">
        <v>207</v>
      </c>
      <c r="C13" s="287" t="s">
        <v>81</v>
      </c>
      <c r="D13" s="287" t="s">
        <v>208</v>
      </c>
      <c r="E13" s="287" t="s">
        <v>209</v>
      </c>
      <c r="F13" s="198" t="s">
        <v>210</v>
      </c>
    </row>
    <row r="14" customFormat="false" ht="31.5" hidden="false" customHeight="true" outlineLevel="0" collapsed="false">
      <c r="B14" s="288" t="s">
        <v>219</v>
      </c>
      <c r="C14" s="289" t="n">
        <v>3269850</v>
      </c>
      <c r="D14" s="289" t="n">
        <v>0</v>
      </c>
      <c r="E14" s="289" t="n">
        <f aca="false">C14+D14</f>
        <v>3269850</v>
      </c>
      <c r="F14" s="290" t="s">
        <v>220</v>
      </c>
    </row>
    <row r="15" customFormat="false" ht="31.5" hidden="false" customHeight="true" outlineLevel="0" collapsed="false">
      <c r="B15" s="291"/>
      <c r="C15" s="289"/>
      <c r="D15" s="289"/>
      <c r="E15" s="289"/>
      <c r="F15" s="292"/>
    </row>
    <row r="16" customFormat="false" ht="31.5" hidden="false" customHeight="true" outlineLevel="0" collapsed="false">
      <c r="B16" s="293"/>
      <c r="C16" s="17"/>
      <c r="D16" s="17"/>
      <c r="E16" s="17"/>
      <c r="F16" s="294"/>
    </row>
    <row r="17" customFormat="false" ht="31.5" hidden="false" customHeight="true" outlineLevel="0" collapsed="false">
      <c r="B17" s="295"/>
      <c r="C17" s="296"/>
      <c r="D17" s="296"/>
      <c r="E17" s="296"/>
      <c r="F17" s="297"/>
    </row>
    <row r="18" customFormat="false" ht="31.5" hidden="false" customHeight="true" outlineLevel="0" collapsed="false">
      <c r="B18" s="87" t="s">
        <v>77</v>
      </c>
      <c r="C18" s="298" t="n">
        <f aca="false">SUM(C14:C17)</f>
        <v>3269850</v>
      </c>
      <c r="D18" s="298" t="n">
        <f aca="false">SUM(D14:D17)</f>
        <v>0</v>
      </c>
      <c r="E18" s="298" t="n">
        <f aca="false">C18+D18</f>
        <v>3269850</v>
      </c>
      <c r="F18" s="29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
    </sheetView>
  </sheetViews>
  <sheetFormatPr defaultColWidth="8.53125" defaultRowHeight="18" zeroHeight="false" outlineLevelRow="0" outlineLevelCol="0"/>
  <cols>
    <col collapsed="false" customWidth="true" hidden="false" outlineLevel="0" max="5" min="2" style="20" width="18.58"/>
    <col collapsed="false" customWidth="true" hidden="false" outlineLevel="0" max="6" min="6" style="20" width="25.76"/>
  </cols>
  <sheetData>
    <row r="2" customFormat="false" ht="18" hidden="false" customHeight="false" outlineLevel="0" collapsed="false">
      <c r="E2" s="48" t="s">
        <v>50</v>
      </c>
    </row>
    <row r="3" customFormat="false" ht="21.75" hidden="false" customHeight="true" outlineLevel="0" collapsed="false">
      <c r="B3" s="62" t="s">
        <v>221</v>
      </c>
      <c r="C3" s="79" t="s">
        <v>81</v>
      </c>
      <c r="D3" s="79" t="s">
        <v>208</v>
      </c>
      <c r="E3" s="79" t="s">
        <v>209</v>
      </c>
      <c r="F3" s="198" t="s">
        <v>210</v>
      </c>
    </row>
    <row r="4" customFormat="false" ht="31.5" hidden="false" customHeight="true" outlineLevel="0" collapsed="false">
      <c r="B4" s="252" t="s">
        <v>222</v>
      </c>
      <c r="C4" s="103" t="n">
        <v>6928000</v>
      </c>
      <c r="D4" s="103" t="n">
        <v>0</v>
      </c>
      <c r="E4" s="103" t="n">
        <f aca="false">SUM(C4,D4)</f>
        <v>6928000</v>
      </c>
      <c r="F4" s="279" t="s">
        <v>223</v>
      </c>
    </row>
    <row r="5" customFormat="false" ht="31.5" hidden="false" customHeight="true" outlineLevel="0" collapsed="false">
      <c r="B5" s="252" t="s">
        <v>224</v>
      </c>
      <c r="C5" s="256" t="n">
        <v>103055</v>
      </c>
      <c r="D5" s="256" t="n">
        <v>0</v>
      </c>
      <c r="E5" s="256" t="n">
        <f aca="false">SUM(C5,D5)</f>
        <v>103055</v>
      </c>
      <c r="F5" s="279" t="s">
        <v>225</v>
      </c>
    </row>
    <row r="6" customFormat="false" ht="31.5" hidden="false" customHeight="true" outlineLevel="0" collapsed="false">
      <c r="B6" s="252" t="s">
        <v>36</v>
      </c>
      <c r="C6" s="256" t="n">
        <v>133002</v>
      </c>
      <c r="D6" s="256" t="n">
        <v>0</v>
      </c>
      <c r="E6" s="256" t="n">
        <f aca="false">SUM(C6,D6)</f>
        <v>133002</v>
      </c>
      <c r="F6" s="279" t="s">
        <v>226</v>
      </c>
    </row>
    <row r="7" customFormat="false" ht="31.5" hidden="false" customHeight="true" outlineLevel="0" collapsed="false">
      <c r="B7" s="300" t="s">
        <v>227</v>
      </c>
      <c r="C7" s="282" t="n">
        <v>347354</v>
      </c>
      <c r="D7" s="282" t="n">
        <v>0</v>
      </c>
      <c r="E7" s="282" t="n">
        <f aca="false">SUM(C7,D7)</f>
        <v>347354</v>
      </c>
      <c r="F7" s="301" t="s">
        <v>228</v>
      </c>
    </row>
    <row r="8" customFormat="false" ht="31.5" hidden="false" customHeight="true" outlineLevel="0" collapsed="false">
      <c r="B8" s="87" t="s">
        <v>77</v>
      </c>
      <c r="C8" s="257" t="n">
        <f aca="false">SUM(C4:C7)</f>
        <v>7511411</v>
      </c>
      <c r="D8" s="257" t="n">
        <f aca="false">SUM(D4:D7)</f>
        <v>0</v>
      </c>
      <c r="E8" s="257" t="n">
        <f aca="false">C8+D8</f>
        <v>7511411</v>
      </c>
      <c r="F8" s="28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8.53125" defaultRowHeight="18" zeroHeight="false" outlineLevelRow="0" outlineLevelCol="0"/>
  <cols>
    <col collapsed="false" customWidth="true" hidden="false" outlineLevel="0" max="2" min="2" style="20" width="49.5"/>
    <col collapsed="false" customWidth="true" hidden="false" outlineLevel="0" max="6" min="3" style="20" width="18.58"/>
    <col collapsed="false" customWidth="true" hidden="false" outlineLevel="0" max="7" min="7" style="20" width="32.83"/>
  </cols>
  <sheetData>
    <row r="2" customFormat="false" ht="18" hidden="false" customHeight="false" outlineLevel="0" collapsed="false">
      <c r="E2" s="48"/>
      <c r="F2" s="48" t="s">
        <v>50</v>
      </c>
    </row>
    <row r="3" customFormat="false" ht="21.75" hidden="false" customHeight="true" outlineLevel="0" collapsed="false">
      <c r="B3" s="62" t="s">
        <v>229</v>
      </c>
      <c r="C3" s="79" t="s">
        <v>230</v>
      </c>
      <c r="D3" s="79" t="s">
        <v>81</v>
      </c>
      <c r="E3" s="79" t="s">
        <v>208</v>
      </c>
      <c r="F3" s="79" t="s">
        <v>231</v>
      </c>
      <c r="G3" s="198" t="s">
        <v>210</v>
      </c>
    </row>
    <row r="4" customFormat="false" ht="31.5" hidden="false" customHeight="true" outlineLevel="0" collapsed="false">
      <c r="B4" s="168" t="s">
        <v>232</v>
      </c>
      <c r="C4" s="302"/>
      <c r="D4" s="303"/>
      <c r="E4" s="303"/>
      <c r="F4" s="256"/>
      <c r="G4" s="279" t="s">
        <v>233</v>
      </c>
    </row>
    <row r="5" customFormat="false" ht="31.5" hidden="false" customHeight="true" outlineLevel="0" collapsed="false">
      <c r="B5" s="168"/>
      <c r="C5" s="302"/>
      <c r="F5" s="256"/>
      <c r="G5" s="279"/>
    </row>
    <row r="6" customFormat="false" ht="31.5" hidden="false" customHeight="true" outlineLevel="0" collapsed="false">
      <c r="B6" s="168"/>
      <c r="C6" s="302"/>
      <c r="F6" s="256"/>
      <c r="G6" s="279"/>
    </row>
    <row r="7" customFormat="false" ht="31.5" hidden="false" customHeight="true" outlineLevel="0" collapsed="false">
      <c r="B7" s="168"/>
      <c r="C7" s="302"/>
      <c r="F7" s="256"/>
      <c r="G7" s="279"/>
    </row>
    <row r="8" customFormat="false" ht="31.5" hidden="false" customHeight="true" outlineLevel="0" collapsed="false">
      <c r="B8" s="168"/>
      <c r="C8" s="302"/>
      <c r="D8" s="303"/>
      <c r="E8" s="303"/>
      <c r="F8" s="256"/>
      <c r="G8" s="279"/>
    </row>
    <row r="9" customFormat="false" ht="31.5" hidden="false" customHeight="true" outlineLevel="0" collapsed="false">
      <c r="B9" s="178"/>
      <c r="C9" s="302"/>
      <c r="F9" s="256"/>
      <c r="G9" s="279"/>
    </row>
    <row r="10" customFormat="false" ht="31.5" hidden="false" customHeight="true" outlineLevel="0" collapsed="false">
      <c r="B10" s="168"/>
      <c r="C10" s="302"/>
      <c r="F10" s="256"/>
      <c r="G10" s="279"/>
    </row>
    <row r="11" customFormat="false" ht="31.5" hidden="false" customHeight="true" outlineLevel="0" collapsed="false">
      <c r="B11" s="168"/>
      <c r="C11" s="302"/>
      <c r="D11" s="303"/>
      <c r="E11" s="303"/>
      <c r="F11" s="256"/>
      <c r="G11" s="279"/>
    </row>
    <row r="12" customFormat="false" ht="31.5" hidden="false" customHeight="true" outlineLevel="0" collapsed="false">
      <c r="B12" s="168"/>
      <c r="C12" s="302"/>
      <c r="F12" s="256"/>
      <c r="G12" s="279"/>
    </row>
    <row r="13" customFormat="false" ht="31.5" hidden="false" customHeight="true" outlineLevel="0" collapsed="false">
      <c r="B13" s="168"/>
      <c r="C13" s="302"/>
      <c r="D13" s="303"/>
      <c r="E13" s="256"/>
      <c r="F13" s="256"/>
      <c r="G13" s="279"/>
    </row>
    <row r="14" customFormat="false" ht="31.5" hidden="true" customHeight="true" outlineLevel="0" collapsed="false">
      <c r="B14" s="168"/>
      <c r="C14" s="302"/>
      <c r="D14" s="303"/>
      <c r="E14" s="256"/>
      <c r="F14" s="256"/>
      <c r="G14" s="279"/>
    </row>
    <row r="15" customFormat="false" ht="31.5" hidden="true" customHeight="true" outlineLevel="0" collapsed="false">
      <c r="B15" s="168"/>
      <c r="C15" s="302"/>
      <c r="D15" s="256"/>
      <c r="E15" s="256"/>
      <c r="F15" s="256"/>
      <c r="G15" s="279"/>
    </row>
    <row r="16" customFormat="false" ht="31.5" hidden="false" customHeight="true" outlineLevel="0" collapsed="false">
      <c r="B16" s="87" t="s">
        <v>77</v>
      </c>
      <c r="C16" s="304" t="n">
        <v>0</v>
      </c>
      <c r="D16" s="257" t="n">
        <v>0</v>
      </c>
      <c r="E16" s="257" t="n">
        <v>0</v>
      </c>
      <c r="F16" s="257" t="n">
        <v>0</v>
      </c>
      <c r="G16" s="28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4"/>
  <sheetViews>
    <sheetView showFormulas="false" showGridLines="false" showRowColHeaders="true" showZeros="true" rightToLeft="false" tabSelected="false" showOutlineSymbols="true" defaultGridColor="true" view="normal" topLeftCell="A50" colorId="64" zoomScale="85" zoomScaleNormal="85" zoomScalePageLayoutView="100" workbookViewId="0">
      <selection pane="topLeft" activeCell="I64" activeCellId="0" sqref="I64"/>
    </sheetView>
  </sheetViews>
  <sheetFormatPr defaultColWidth="8.75390625" defaultRowHeight="18" zeroHeight="false" outlineLevelRow="0" outlineLevelCol="0"/>
  <cols>
    <col collapsed="false" customWidth="false" hidden="false" outlineLevel="0" max="1" min="1" style="305" width="8.76"/>
    <col collapsed="false" customWidth="true" hidden="false" outlineLevel="0" max="2" min="2" style="305" width="10.25"/>
    <col collapsed="false" customWidth="true" hidden="false" outlineLevel="0" max="3" min="3" style="305" width="16.09"/>
    <col collapsed="false" customWidth="true" hidden="false" outlineLevel="0" max="4" min="4" style="305" width="28.08"/>
    <col collapsed="false" customWidth="true" hidden="false" outlineLevel="0" max="5" min="5" style="306" width="16.5"/>
    <col collapsed="false" customWidth="true" hidden="false" outlineLevel="0" max="6" min="6" style="305" width="16.75"/>
    <col collapsed="false" customWidth="true" hidden="false" outlineLevel="0" max="7" min="7" style="305" width="20.33"/>
    <col collapsed="false" customWidth="true" hidden="false" outlineLevel="0" max="10" min="8" style="195" width="13.33"/>
    <col collapsed="false" customWidth="true" hidden="false" outlineLevel="0" max="11" min="11" style="305" width="34.08"/>
    <col collapsed="false" customWidth="false" hidden="false" outlineLevel="0" max="16384" min="12" style="305" width="8.76"/>
  </cols>
  <sheetData>
    <row r="1" s="2" customFormat="true" ht="18" hidden="false" customHeight="false" outlineLevel="0" collapsed="false">
      <c r="A1" s="305"/>
      <c r="B1" s="305"/>
      <c r="C1" s="305"/>
      <c r="D1" s="305"/>
      <c r="E1" s="196"/>
      <c r="F1" s="305"/>
      <c r="G1" s="305"/>
      <c r="H1" s="305"/>
      <c r="I1" s="2" t="s">
        <v>234</v>
      </c>
    </row>
    <row r="2" s="2" customFormat="true" ht="18" hidden="false" customHeight="false" outlineLevel="0" collapsed="false">
      <c r="B2" s="307" t="s">
        <v>235</v>
      </c>
      <c r="C2" s="307"/>
      <c r="E2" s="196"/>
    </row>
    <row r="3" s="2" customFormat="true" ht="39.75" hidden="false" customHeight="true" outlineLevel="0" collapsed="false">
      <c r="B3" s="308" t="s">
        <v>236</v>
      </c>
      <c r="C3" s="308" t="s">
        <v>237</v>
      </c>
      <c r="D3" s="309" t="s">
        <v>238</v>
      </c>
      <c r="E3" s="309" t="s">
        <v>239</v>
      </c>
      <c r="F3" s="309" t="s">
        <v>240</v>
      </c>
      <c r="G3" s="309" t="s">
        <v>241</v>
      </c>
      <c r="H3" s="309" t="s">
        <v>242</v>
      </c>
      <c r="I3" s="309" t="s">
        <v>243</v>
      </c>
      <c r="J3" s="309" t="s">
        <v>244</v>
      </c>
      <c r="K3" s="198" t="s">
        <v>245</v>
      </c>
    </row>
    <row r="4" s="2" customFormat="true" ht="22.5" hidden="false" customHeight="true" outlineLevel="0" collapsed="false">
      <c r="B4" s="310"/>
      <c r="C4" s="311"/>
      <c r="D4" s="311"/>
      <c r="E4" s="312"/>
      <c r="F4" s="311"/>
      <c r="G4" s="313"/>
      <c r="H4" s="314"/>
      <c r="I4" s="314"/>
      <c r="J4" s="314"/>
      <c r="K4" s="315"/>
    </row>
    <row r="5" s="2" customFormat="true" ht="22.5" hidden="false" customHeight="true" outlineLevel="0" collapsed="false">
      <c r="C5" s="311"/>
      <c r="D5" s="316"/>
      <c r="E5" s="317"/>
      <c r="F5" s="316"/>
      <c r="G5" s="313"/>
      <c r="H5" s="318"/>
      <c r="I5" s="318"/>
      <c r="J5" s="318"/>
      <c r="K5" s="315"/>
    </row>
    <row r="6" s="2" customFormat="true" ht="22.5" hidden="false" customHeight="true" outlineLevel="0" collapsed="false">
      <c r="C6" s="311"/>
      <c r="D6" s="316"/>
      <c r="E6" s="317"/>
      <c r="F6" s="316"/>
      <c r="G6" s="313"/>
      <c r="H6" s="318"/>
      <c r="I6" s="318"/>
      <c r="J6" s="318"/>
      <c r="K6" s="315"/>
    </row>
    <row r="7" s="2" customFormat="true" ht="22.5" hidden="false" customHeight="true" outlineLevel="0" collapsed="false">
      <c r="C7" s="311"/>
      <c r="D7" s="316"/>
      <c r="E7" s="317"/>
      <c r="F7" s="316"/>
      <c r="G7" s="313"/>
      <c r="H7" s="318"/>
      <c r="I7" s="318"/>
      <c r="J7" s="318"/>
      <c r="K7" s="315"/>
    </row>
    <row r="8" s="2" customFormat="true" ht="22.5" hidden="false" customHeight="true" outlineLevel="0" collapsed="false">
      <c r="C8" s="311"/>
      <c r="D8" s="316"/>
      <c r="E8" s="317"/>
      <c r="F8" s="316"/>
      <c r="G8" s="313"/>
      <c r="H8" s="318"/>
      <c r="I8" s="318"/>
      <c r="J8" s="318"/>
      <c r="K8" s="315"/>
    </row>
    <row r="9" s="2" customFormat="true" ht="22.5" hidden="false" customHeight="true" outlineLevel="0" collapsed="false">
      <c r="C9" s="311"/>
      <c r="D9" s="316"/>
      <c r="E9" s="317"/>
      <c r="F9" s="316"/>
      <c r="G9" s="313"/>
      <c r="H9" s="318"/>
      <c r="I9" s="318"/>
      <c r="J9" s="318"/>
      <c r="K9" s="315"/>
    </row>
    <row r="10" s="2" customFormat="true" ht="22.5" hidden="false" customHeight="true" outlineLevel="0" collapsed="false">
      <c r="C10" s="311"/>
      <c r="D10" s="316"/>
      <c r="E10" s="317"/>
      <c r="F10" s="316"/>
      <c r="G10" s="313"/>
      <c r="H10" s="318"/>
      <c r="I10" s="318"/>
      <c r="J10" s="318"/>
      <c r="K10" s="315"/>
    </row>
    <row r="11" s="2" customFormat="true" ht="22.5" hidden="false" customHeight="true" outlineLevel="0" collapsed="false">
      <c r="C11" s="311"/>
      <c r="D11" s="316"/>
      <c r="E11" s="317"/>
      <c r="F11" s="316"/>
      <c r="G11" s="313"/>
      <c r="H11" s="318"/>
      <c r="I11" s="318"/>
      <c r="J11" s="318"/>
      <c r="K11" s="315"/>
    </row>
    <row r="12" s="2" customFormat="true" ht="22.5" hidden="false" customHeight="true" outlineLevel="0" collapsed="false">
      <c r="C12" s="311"/>
      <c r="D12" s="316"/>
      <c r="E12" s="317"/>
      <c r="F12" s="316"/>
      <c r="G12" s="313"/>
      <c r="H12" s="318"/>
      <c r="I12" s="318"/>
      <c r="J12" s="318"/>
      <c r="K12" s="315"/>
    </row>
    <row r="13" s="2" customFormat="true" ht="22.5" hidden="false" customHeight="true" outlineLevel="0" collapsed="false">
      <c r="C13" s="311"/>
      <c r="D13" s="316"/>
      <c r="E13" s="317"/>
      <c r="F13" s="316"/>
      <c r="G13" s="313"/>
      <c r="H13" s="318"/>
      <c r="I13" s="318"/>
      <c r="J13" s="318"/>
      <c r="K13" s="315"/>
    </row>
    <row r="14" s="2" customFormat="true" ht="22.5" hidden="false" customHeight="true" outlineLevel="0" collapsed="false">
      <c r="C14" s="311"/>
      <c r="D14" s="316"/>
      <c r="E14" s="317"/>
      <c r="F14" s="316"/>
      <c r="G14" s="313"/>
      <c r="H14" s="318"/>
      <c r="I14" s="318"/>
      <c r="J14" s="318"/>
      <c r="K14" s="315"/>
    </row>
    <row r="15" s="2" customFormat="true" ht="22.5" hidden="false" customHeight="true" outlineLevel="0" collapsed="false">
      <c r="C15" s="311"/>
      <c r="D15" s="316"/>
      <c r="E15" s="317"/>
      <c r="F15" s="316"/>
      <c r="G15" s="313"/>
      <c r="H15" s="318"/>
      <c r="I15" s="318"/>
      <c r="J15" s="318"/>
      <c r="K15" s="315"/>
    </row>
    <row r="16" s="2" customFormat="true" ht="22.5" hidden="false" customHeight="true" outlineLevel="0" collapsed="false">
      <c r="C16" s="311"/>
      <c r="D16" s="316"/>
      <c r="E16" s="317"/>
      <c r="F16" s="316"/>
      <c r="G16" s="313"/>
      <c r="H16" s="318"/>
      <c r="I16" s="318"/>
      <c r="J16" s="318"/>
      <c r="K16" s="315"/>
    </row>
    <row r="17" s="2" customFormat="true" ht="22.5" hidden="false" customHeight="true" outlineLevel="0" collapsed="false">
      <c r="C17" s="311"/>
      <c r="D17" s="316"/>
      <c r="E17" s="317"/>
      <c r="F17" s="316"/>
      <c r="G17" s="313"/>
      <c r="H17" s="318"/>
      <c r="I17" s="318"/>
      <c r="J17" s="318"/>
      <c r="K17" s="315"/>
    </row>
    <row r="18" s="2" customFormat="true" ht="22.5" hidden="false" customHeight="true" outlineLevel="0" collapsed="false">
      <c r="C18" s="311"/>
      <c r="D18" s="316"/>
      <c r="E18" s="317"/>
      <c r="F18" s="316"/>
      <c r="G18" s="313"/>
      <c r="H18" s="318"/>
      <c r="I18" s="318"/>
      <c r="J18" s="318"/>
      <c r="K18" s="315"/>
    </row>
    <row r="19" s="2" customFormat="true" ht="22.5" hidden="false" customHeight="true" outlineLevel="0" collapsed="false">
      <c r="C19" s="311"/>
      <c r="D19" s="316"/>
      <c r="E19" s="317"/>
      <c r="F19" s="316"/>
      <c r="G19" s="313"/>
      <c r="H19" s="318"/>
      <c r="I19" s="318"/>
      <c r="J19" s="318"/>
      <c r="K19" s="315"/>
    </row>
    <row r="20" s="2" customFormat="true" ht="22.5" hidden="false" customHeight="true" outlineLevel="0" collapsed="false">
      <c r="C20" s="311"/>
      <c r="D20" s="316"/>
      <c r="E20" s="317"/>
      <c r="F20" s="316"/>
      <c r="G20" s="313"/>
      <c r="H20" s="318"/>
      <c r="I20" s="318"/>
      <c r="J20" s="318"/>
      <c r="K20" s="315"/>
    </row>
    <row r="21" s="2" customFormat="true" ht="22.5" hidden="false" customHeight="true" outlineLevel="0" collapsed="false">
      <c r="C21" s="311"/>
      <c r="D21" s="316"/>
      <c r="E21" s="317"/>
      <c r="F21" s="316"/>
      <c r="G21" s="313"/>
      <c r="H21" s="318"/>
      <c r="I21" s="318"/>
      <c r="J21" s="318"/>
      <c r="K21" s="315"/>
    </row>
    <row r="22" s="2" customFormat="true" ht="22.5" hidden="false" customHeight="true" outlineLevel="0" collapsed="false">
      <c r="C22" s="311"/>
      <c r="D22" s="316"/>
      <c r="E22" s="317"/>
      <c r="F22" s="316"/>
      <c r="G22" s="313"/>
      <c r="H22" s="318"/>
      <c r="I22" s="318"/>
      <c r="J22" s="318"/>
      <c r="K22" s="315"/>
    </row>
    <row r="23" s="2" customFormat="true" ht="22.5" hidden="false" customHeight="true" outlineLevel="0" collapsed="false">
      <c r="C23" s="311"/>
      <c r="D23" s="316"/>
      <c r="E23" s="317"/>
      <c r="F23" s="316"/>
      <c r="G23" s="313"/>
      <c r="H23" s="318"/>
      <c r="I23" s="318"/>
      <c r="J23" s="318"/>
      <c r="K23" s="315"/>
    </row>
    <row r="24" s="2" customFormat="true" ht="22.5" hidden="false" customHeight="true" outlineLevel="0" collapsed="false">
      <c r="C24" s="311"/>
      <c r="D24" s="316"/>
      <c r="E24" s="317"/>
      <c r="F24" s="316"/>
      <c r="G24" s="313"/>
      <c r="H24" s="318"/>
      <c r="I24" s="318"/>
      <c r="J24" s="318"/>
      <c r="K24" s="315"/>
    </row>
    <row r="25" s="2" customFormat="true" ht="22.5" hidden="false" customHeight="true" outlineLevel="0" collapsed="false">
      <c r="C25" s="311"/>
      <c r="D25" s="316"/>
      <c r="E25" s="317"/>
      <c r="F25" s="316"/>
      <c r="G25" s="313"/>
      <c r="H25" s="318"/>
      <c r="I25" s="318"/>
      <c r="J25" s="318"/>
      <c r="K25" s="315"/>
    </row>
    <row r="26" s="2" customFormat="true" ht="22.5" hidden="false" customHeight="true" outlineLevel="0" collapsed="false">
      <c r="C26" s="311"/>
      <c r="D26" s="316"/>
      <c r="E26" s="317"/>
      <c r="F26" s="316"/>
      <c r="G26" s="313"/>
      <c r="H26" s="318"/>
      <c r="I26" s="318"/>
      <c r="J26" s="318"/>
      <c r="K26" s="315"/>
    </row>
    <row r="27" s="2" customFormat="true" ht="22.5" hidden="false" customHeight="true" outlineLevel="0" collapsed="false">
      <c r="C27" s="311"/>
      <c r="D27" s="316"/>
      <c r="E27" s="317"/>
      <c r="F27" s="316"/>
      <c r="G27" s="313"/>
      <c r="H27" s="318"/>
      <c r="I27" s="318"/>
      <c r="J27" s="318"/>
      <c r="K27" s="315"/>
    </row>
    <row r="28" s="2" customFormat="true" ht="22.5" hidden="false" customHeight="true" outlineLevel="0" collapsed="false">
      <c r="C28" s="311"/>
      <c r="D28" s="316"/>
      <c r="E28" s="317"/>
      <c r="F28" s="316"/>
      <c r="G28" s="313"/>
      <c r="H28" s="318"/>
      <c r="I28" s="318"/>
      <c r="J28" s="318"/>
      <c r="K28" s="315"/>
    </row>
    <row r="29" s="2" customFormat="true" ht="22.5" hidden="false" customHeight="true" outlineLevel="0" collapsed="false">
      <c r="C29" s="311"/>
      <c r="D29" s="316"/>
      <c r="E29" s="317"/>
      <c r="F29" s="316"/>
      <c r="G29" s="313"/>
      <c r="H29" s="318"/>
      <c r="I29" s="318"/>
      <c r="J29" s="318"/>
      <c r="K29" s="315"/>
    </row>
    <row r="30" s="2" customFormat="true" ht="22.5" hidden="false" customHeight="true" outlineLevel="0" collapsed="false">
      <c r="C30" s="311"/>
      <c r="D30" s="316"/>
      <c r="E30" s="317"/>
      <c r="F30" s="316"/>
      <c r="G30" s="313"/>
      <c r="H30" s="318"/>
      <c r="I30" s="318"/>
      <c r="J30" s="318"/>
      <c r="K30" s="315"/>
    </row>
    <row r="31" s="2" customFormat="true" ht="22.5" hidden="false" customHeight="true" outlineLevel="0" collapsed="false">
      <c r="C31" s="311"/>
      <c r="D31" s="316"/>
      <c r="E31" s="317"/>
      <c r="F31" s="316"/>
      <c r="G31" s="313"/>
      <c r="H31" s="318"/>
      <c r="I31" s="318"/>
      <c r="J31" s="318"/>
      <c r="K31" s="315"/>
    </row>
    <row r="32" s="2" customFormat="true" ht="22.5" hidden="false" customHeight="true" outlineLevel="0" collapsed="false">
      <c r="C32" s="311"/>
      <c r="D32" s="316"/>
      <c r="E32" s="317"/>
      <c r="F32" s="316"/>
      <c r="G32" s="313"/>
      <c r="H32" s="318"/>
      <c r="I32" s="318"/>
      <c r="J32" s="318"/>
      <c r="K32" s="315"/>
    </row>
    <row r="33" s="2" customFormat="true" ht="22.5" hidden="false" customHeight="true" outlineLevel="0" collapsed="false">
      <c r="C33" s="311"/>
      <c r="D33" s="316"/>
      <c r="E33" s="317"/>
      <c r="F33" s="316"/>
      <c r="G33" s="313"/>
      <c r="H33" s="318"/>
      <c r="I33" s="318"/>
      <c r="J33" s="318"/>
      <c r="K33" s="315"/>
    </row>
    <row r="34" s="2" customFormat="true" ht="22.5" hidden="false" customHeight="true" outlineLevel="0" collapsed="false">
      <c r="C34" s="311"/>
      <c r="D34" s="316"/>
      <c r="E34" s="317"/>
      <c r="F34" s="316"/>
      <c r="G34" s="313"/>
      <c r="H34" s="318"/>
      <c r="I34" s="318"/>
      <c r="J34" s="318"/>
      <c r="K34" s="315"/>
    </row>
    <row r="35" s="2" customFormat="true" ht="22.5" hidden="false" customHeight="true" outlineLevel="0" collapsed="false">
      <c r="C35" s="311"/>
      <c r="D35" s="316"/>
      <c r="E35" s="317"/>
      <c r="F35" s="316"/>
      <c r="G35" s="313"/>
      <c r="H35" s="318"/>
      <c r="I35" s="318"/>
      <c r="J35" s="318"/>
      <c r="K35" s="315"/>
    </row>
    <row r="36" s="2" customFormat="true" ht="39.75" hidden="false" customHeight="true" outlineLevel="0" collapsed="false">
      <c r="C36" s="319"/>
      <c r="D36" s="319"/>
      <c r="E36" s="320"/>
      <c r="F36" s="321"/>
      <c r="G36" s="322"/>
      <c r="H36" s="31"/>
      <c r="I36" s="31"/>
      <c r="J36" s="31"/>
      <c r="K36" s="323"/>
    </row>
    <row r="37" s="2" customFormat="true" ht="39.75" hidden="false" customHeight="true" outlineLevel="0" collapsed="false">
      <c r="C37" s="319"/>
      <c r="D37" s="319"/>
      <c r="E37" s="320"/>
      <c r="F37" s="321"/>
      <c r="G37" s="324"/>
      <c r="H37" s="31"/>
      <c r="I37" s="31"/>
      <c r="J37" s="31"/>
      <c r="K37" s="323"/>
    </row>
    <row r="38" s="2" customFormat="true" ht="39.75" hidden="false" customHeight="true" outlineLevel="0" collapsed="false">
      <c r="C38" s="319"/>
      <c r="D38" s="319"/>
      <c r="E38" s="320"/>
      <c r="F38" s="321"/>
      <c r="G38" s="324"/>
      <c r="H38" s="31"/>
      <c r="I38" s="31"/>
      <c r="J38" s="31"/>
      <c r="K38" s="323"/>
    </row>
    <row r="39" s="2" customFormat="true" ht="39.75" hidden="false" customHeight="true" outlineLevel="0" collapsed="false">
      <c r="C39" s="319"/>
      <c r="D39" s="319"/>
      <c r="E39" s="320"/>
      <c r="F39" s="321"/>
      <c r="G39" s="324"/>
      <c r="H39" s="31"/>
      <c r="I39" s="31"/>
      <c r="J39" s="31"/>
      <c r="K39" s="323"/>
    </row>
    <row r="40" s="2" customFormat="true" ht="39.75" hidden="false" customHeight="true" outlineLevel="0" collapsed="false">
      <c r="C40" s="319"/>
      <c r="D40" s="319"/>
      <c r="E40" s="320"/>
      <c r="F40" s="321"/>
      <c r="G40" s="324"/>
      <c r="H40" s="31"/>
      <c r="I40" s="31"/>
      <c r="J40" s="31"/>
      <c r="K40" s="323"/>
    </row>
    <row r="41" s="2" customFormat="true" ht="39.75" hidden="false" customHeight="true" outlineLevel="0" collapsed="false">
      <c r="C41" s="319"/>
      <c r="D41" s="319"/>
      <c r="E41" s="320"/>
      <c r="F41" s="321"/>
      <c r="G41" s="324"/>
      <c r="H41" s="31"/>
      <c r="I41" s="31"/>
      <c r="J41" s="31"/>
      <c r="K41" s="323"/>
    </row>
    <row r="42" s="2" customFormat="true" ht="22.5" hidden="false" customHeight="true" outlineLevel="0" collapsed="false">
      <c r="B42" s="325"/>
      <c r="C42" s="311"/>
      <c r="D42" s="311"/>
      <c r="E42" s="312"/>
      <c r="F42" s="311"/>
      <c r="G42" s="313"/>
      <c r="H42" s="314"/>
      <c r="I42" s="314"/>
      <c r="J42" s="314"/>
      <c r="K42" s="315"/>
    </row>
    <row r="43" s="2" customFormat="true" ht="22.5" hidden="false" customHeight="true" outlineLevel="0" collapsed="false">
      <c r="C43" s="311"/>
      <c r="D43" s="316"/>
      <c r="E43" s="317"/>
      <c r="F43" s="316"/>
      <c r="G43" s="313"/>
      <c r="H43" s="318"/>
      <c r="I43" s="318"/>
      <c r="J43" s="318"/>
      <c r="K43" s="315"/>
    </row>
    <row r="44" s="2" customFormat="true" ht="22.5" hidden="false" customHeight="true" outlineLevel="0" collapsed="false">
      <c r="C44" s="311"/>
      <c r="D44" s="316"/>
      <c r="E44" s="317"/>
      <c r="F44" s="316"/>
      <c r="G44" s="313"/>
      <c r="H44" s="318"/>
      <c r="I44" s="318"/>
      <c r="J44" s="318"/>
      <c r="K44" s="315"/>
    </row>
    <row r="45" s="2" customFormat="true" ht="22.5" hidden="false" customHeight="true" outlineLevel="0" collapsed="false">
      <c r="C45" s="311"/>
      <c r="D45" s="316"/>
      <c r="E45" s="317"/>
      <c r="F45" s="316"/>
      <c r="G45" s="313"/>
      <c r="H45" s="318"/>
      <c r="I45" s="318"/>
      <c r="J45" s="318"/>
      <c r="K45" s="315"/>
    </row>
    <row r="46" s="2" customFormat="true" ht="22.5" hidden="false" customHeight="true" outlineLevel="0" collapsed="false">
      <c r="C46" s="311"/>
      <c r="D46" s="316"/>
      <c r="E46" s="317"/>
      <c r="F46" s="316"/>
      <c r="G46" s="313"/>
      <c r="H46" s="318"/>
      <c r="I46" s="318"/>
      <c r="J46" s="318"/>
      <c r="K46" s="315"/>
    </row>
    <row r="47" s="2" customFormat="true" ht="22.5" hidden="false" customHeight="true" outlineLevel="0" collapsed="false">
      <c r="C47" s="311"/>
      <c r="D47" s="316"/>
      <c r="E47" s="317"/>
      <c r="F47" s="316"/>
      <c r="G47" s="313"/>
      <c r="H47" s="318"/>
      <c r="I47" s="318"/>
      <c r="J47" s="318"/>
      <c r="K47" s="315"/>
    </row>
    <row r="48" s="2" customFormat="true" ht="22.5" hidden="false" customHeight="true" outlineLevel="0" collapsed="false">
      <c r="C48" s="311"/>
      <c r="D48" s="316"/>
      <c r="E48" s="317"/>
      <c r="F48" s="316"/>
      <c r="G48" s="313"/>
      <c r="H48" s="318"/>
      <c r="I48" s="318"/>
      <c r="J48" s="318"/>
      <c r="K48" s="315"/>
    </row>
    <row r="49" s="2" customFormat="true" ht="22.5" hidden="false" customHeight="true" outlineLevel="0" collapsed="false">
      <c r="C49" s="311"/>
      <c r="D49" s="316"/>
      <c r="E49" s="317"/>
      <c r="F49" s="316"/>
      <c r="G49" s="313"/>
      <c r="H49" s="318"/>
      <c r="I49" s="318"/>
      <c r="J49" s="318"/>
      <c r="K49" s="315"/>
    </row>
    <row r="50" s="2" customFormat="true" ht="22.5" hidden="false" customHeight="true" outlineLevel="0" collapsed="false">
      <c r="C50" s="311"/>
      <c r="D50" s="316"/>
      <c r="E50" s="317"/>
      <c r="F50" s="316"/>
      <c r="G50" s="313"/>
      <c r="H50" s="318"/>
      <c r="I50" s="318"/>
      <c r="J50" s="318"/>
      <c r="K50" s="315"/>
    </row>
    <row r="51" s="2" customFormat="true" ht="22.5" hidden="false" customHeight="true" outlineLevel="0" collapsed="false">
      <c r="C51" s="311"/>
      <c r="D51" s="316"/>
      <c r="E51" s="317"/>
      <c r="F51" s="316"/>
      <c r="G51" s="313"/>
      <c r="H51" s="318"/>
      <c r="I51" s="318"/>
      <c r="J51" s="318"/>
      <c r="K51" s="315"/>
    </row>
    <row r="52" s="2" customFormat="true" ht="22.5" hidden="false" customHeight="true" outlineLevel="0" collapsed="false">
      <c r="C52" s="311"/>
      <c r="D52" s="316"/>
      <c r="E52" s="317"/>
      <c r="F52" s="316"/>
      <c r="G52" s="313"/>
      <c r="H52" s="318"/>
      <c r="I52" s="318"/>
      <c r="J52" s="318"/>
      <c r="K52" s="315"/>
    </row>
    <row r="53" s="2" customFormat="true" ht="22.5" hidden="false" customHeight="true" outlineLevel="0" collapsed="false">
      <c r="C53" s="311"/>
      <c r="D53" s="316"/>
      <c r="E53" s="317"/>
      <c r="F53" s="316"/>
      <c r="G53" s="313"/>
      <c r="H53" s="318"/>
      <c r="I53" s="318"/>
      <c r="J53" s="318"/>
      <c r="K53" s="315"/>
    </row>
    <row r="54" s="2" customFormat="true" ht="22.5" hidden="false" customHeight="true" outlineLevel="0" collapsed="false">
      <c r="C54" s="311"/>
      <c r="D54" s="316"/>
      <c r="E54" s="317"/>
      <c r="F54" s="316"/>
      <c r="G54" s="313"/>
      <c r="H54" s="318"/>
      <c r="I54" s="318"/>
      <c r="J54" s="318"/>
      <c r="K54" s="315"/>
    </row>
    <row r="55" s="2" customFormat="true" ht="22.5" hidden="false" customHeight="true" outlineLevel="0" collapsed="false">
      <c r="C55" s="311"/>
      <c r="D55" s="311"/>
      <c r="E55" s="312"/>
      <c r="F55" s="311"/>
      <c r="G55" s="313"/>
      <c r="H55" s="314"/>
      <c r="I55" s="314"/>
      <c r="J55" s="314"/>
      <c r="K55" s="315"/>
    </row>
    <row r="56" s="2" customFormat="true" ht="18" hidden="false" customHeight="false" outlineLevel="0" collapsed="false">
      <c r="E56" s="306"/>
      <c r="H56" s="195"/>
      <c r="I56" s="195"/>
      <c r="J56" s="195"/>
    </row>
    <row r="57" s="2" customFormat="true" ht="18" hidden="false" customHeight="false" outlineLevel="0" collapsed="false">
      <c r="E57" s="306"/>
      <c r="H57" s="195"/>
      <c r="I57" s="195"/>
      <c r="J57" s="195"/>
    </row>
    <row r="58" s="2" customFormat="true" ht="18" hidden="false" customHeight="false" outlineLevel="0" collapsed="false">
      <c r="B58" s="307"/>
      <c r="C58" s="307"/>
      <c r="E58" s="196"/>
    </row>
    <row r="59" s="2" customFormat="true" ht="39.75" hidden="false" customHeight="true" outlineLevel="0" collapsed="false">
      <c r="B59" s="308"/>
      <c r="C59" s="308"/>
      <c r="D59" s="309"/>
      <c r="E59" s="326"/>
      <c r="F59" s="309"/>
      <c r="G59" s="309"/>
      <c r="H59" s="309"/>
      <c r="I59" s="309"/>
      <c r="J59" s="309"/>
      <c r="K59" s="198"/>
    </row>
    <row r="60" s="2" customFormat="true" ht="22.5" hidden="false" customHeight="true" outlineLevel="0" collapsed="false">
      <c r="B60" s="327"/>
      <c r="C60" s="328"/>
      <c r="D60" s="319"/>
      <c r="E60" s="329"/>
      <c r="F60" s="319"/>
      <c r="G60" s="330"/>
      <c r="H60" s="31"/>
      <c r="I60" s="31"/>
      <c r="J60" s="31"/>
      <c r="K60" s="331"/>
    </row>
    <row r="61" s="2" customFormat="true" ht="22.5" hidden="false" customHeight="true" outlineLevel="0" collapsed="false">
      <c r="C61" s="328"/>
      <c r="D61" s="319"/>
      <c r="E61" s="329"/>
      <c r="F61" s="319"/>
      <c r="G61" s="330"/>
      <c r="H61" s="31"/>
      <c r="I61" s="31"/>
      <c r="J61" s="31"/>
      <c r="K61" s="331"/>
    </row>
    <row r="62" s="2" customFormat="true" ht="22.5" hidden="false" customHeight="true" outlineLevel="0" collapsed="false">
      <c r="C62" s="328"/>
      <c r="D62" s="319"/>
      <c r="E62" s="329"/>
      <c r="F62" s="319"/>
      <c r="G62" s="330"/>
      <c r="H62" s="31"/>
      <c r="I62" s="31"/>
      <c r="J62" s="31"/>
      <c r="K62" s="331"/>
    </row>
    <row r="63" s="2" customFormat="true" ht="22.5" hidden="false" customHeight="true" outlineLevel="0" collapsed="false">
      <c r="C63" s="328"/>
      <c r="D63" s="319"/>
      <c r="E63" s="329"/>
      <c r="F63" s="319"/>
      <c r="G63" s="330"/>
      <c r="H63" s="31"/>
      <c r="I63" s="31"/>
      <c r="J63" s="31"/>
      <c r="K63" s="331"/>
    </row>
    <row r="64" s="2" customFormat="true" ht="22.5" hidden="false" customHeight="true" outlineLevel="0" collapsed="false">
      <c r="B64" s="332"/>
      <c r="C64" s="328"/>
      <c r="D64" s="319"/>
      <c r="E64" s="329"/>
      <c r="F64" s="319"/>
      <c r="G64" s="330"/>
      <c r="H64" s="31"/>
      <c r="I64" s="31"/>
      <c r="J64" s="31"/>
      <c r="K64" s="331"/>
    </row>
    <row r="65" s="2" customFormat="true" ht="22.5" hidden="false" customHeight="true" outlineLevel="0" collapsed="false">
      <c r="C65" s="328"/>
      <c r="D65" s="319"/>
      <c r="E65" s="329"/>
      <c r="F65" s="319"/>
      <c r="G65" s="330"/>
      <c r="H65" s="31"/>
      <c r="I65" s="31"/>
      <c r="J65" s="31"/>
      <c r="K65" s="331"/>
    </row>
    <row r="66" s="2" customFormat="true" ht="22.5" hidden="false" customHeight="true" outlineLevel="0" collapsed="false">
      <c r="C66" s="328"/>
      <c r="D66" s="319"/>
      <c r="E66" s="329"/>
      <c r="F66" s="319"/>
      <c r="G66" s="330"/>
      <c r="H66" s="31"/>
      <c r="I66" s="31"/>
      <c r="J66" s="31"/>
      <c r="K66" s="331"/>
    </row>
    <row r="67" s="2" customFormat="true" ht="39.75" hidden="false" customHeight="true" outlineLevel="0" collapsed="false">
      <c r="B67" s="333"/>
      <c r="C67" s="319"/>
      <c r="D67" s="319"/>
      <c r="E67" s="320"/>
      <c r="F67" s="321"/>
      <c r="G67" s="324"/>
      <c r="H67" s="31"/>
      <c r="I67" s="31"/>
      <c r="J67" s="31"/>
      <c r="K67" s="323"/>
    </row>
    <row r="68" s="2" customFormat="true" ht="22.5" hidden="false" customHeight="true" outlineLevel="0" collapsed="false">
      <c r="B68" s="333"/>
      <c r="C68" s="328"/>
      <c r="D68" s="319"/>
      <c r="E68" s="329"/>
      <c r="F68" s="319"/>
      <c r="G68" s="330"/>
      <c r="H68" s="31"/>
      <c r="I68" s="31"/>
      <c r="J68" s="31"/>
      <c r="K68" s="331"/>
    </row>
    <row r="69" s="2" customFormat="true" ht="22.5" hidden="false" customHeight="true" outlineLevel="0" collapsed="false">
      <c r="C69" s="328"/>
      <c r="D69" s="319"/>
      <c r="E69" s="329"/>
      <c r="F69" s="319"/>
      <c r="G69" s="330"/>
      <c r="H69" s="31"/>
      <c r="I69" s="31"/>
      <c r="J69" s="31"/>
      <c r="K69" s="331"/>
    </row>
    <row r="70" s="2" customFormat="true" ht="39.75" hidden="false" customHeight="true" outlineLevel="0" collapsed="false">
      <c r="C70" s="319"/>
      <c r="D70" s="319"/>
      <c r="E70" s="320"/>
      <c r="F70" s="321"/>
      <c r="G70" s="324"/>
      <c r="H70" s="31"/>
      <c r="I70" s="31"/>
      <c r="J70" s="31"/>
      <c r="K70" s="323"/>
    </row>
    <row r="71" s="2" customFormat="true" ht="39.75" hidden="false" customHeight="true" outlineLevel="0" collapsed="false">
      <c r="C71" s="319"/>
      <c r="D71" s="319"/>
      <c r="E71" s="320"/>
      <c r="F71" s="321"/>
      <c r="G71" s="324"/>
      <c r="H71" s="31"/>
      <c r="I71" s="31"/>
      <c r="J71" s="31"/>
      <c r="K71" s="323"/>
    </row>
    <row r="72" s="2" customFormat="true" ht="22.5" hidden="false" customHeight="true" outlineLevel="0" collapsed="false">
      <c r="B72" s="334"/>
      <c r="C72" s="334"/>
      <c r="D72" s="319"/>
      <c r="E72" s="329"/>
      <c r="F72" s="319"/>
      <c r="G72" s="322"/>
      <c r="H72" s="31"/>
      <c r="I72" s="31"/>
      <c r="J72" s="31"/>
      <c r="K72" s="323"/>
    </row>
    <row r="73" s="2" customFormat="true" ht="22.5" hidden="false" customHeight="true" outlineLevel="0" collapsed="false">
      <c r="B73" s="334"/>
      <c r="C73" s="334"/>
      <c r="D73" s="319"/>
      <c r="E73" s="329"/>
      <c r="F73" s="319"/>
      <c r="G73" s="322"/>
      <c r="H73" s="31"/>
      <c r="I73" s="31"/>
      <c r="J73" s="31"/>
      <c r="K73" s="323"/>
    </row>
    <row r="74" s="2" customFormat="true" ht="22.5" hidden="false" customHeight="true" outlineLevel="0" collapsed="false">
      <c r="B74" s="334"/>
      <c r="C74" s="334"/>
      <c r="D74" s="319"/>
      <c r="E74" s="329"/>
      <c r="F74" s="319"/>
      <c r="G74" s="322"/>
      <c r="H74" s="31"/>
      <c r="I74" s="31"/>
      <c r="J74" s="31"/>
      <c r="K74" s="323"/>
    </row>
    <row r="75" s="2" customFormat="true" ht="18" hidden="false" customHeight="false" outlineLevel="0" collapsed="false">
      <c r="E75" s="306"/>
      <c r="H75" s="195"/>
      <c r="I75" s="195"/>
      <c r="J75" s="195"/>
    </row>
    <row r="76" s="2" customFormat="true" ht="18" hidden="false" customHeight="false" outlineLevel="0" collapsed="false">
      <c r="E76" s="306"/>
      <c r="H76" s="195"/>
      <c r="I76" s="195"/>
      <c r="J76" s="195"/>
    </row>
    <row r="77" s="2" customFormat="true" ht="18" hidden="false" customHeight="false" outlineLevel="0" collapsed="false">
      <c r="E77" s="306"/>
      <c r="H77" s="195"/>
      <c r="I77" s="195"/>
      <c r="J77" s="195"/>
    </row>
    <row r="78" s="2" customFormat="true" ht="18" hidden="false" customHeight="false" outlineLevel="0" collapsed="false">
      <c r="E78" s="306"/>
      <c r="H78" s="195"/>
      <c r="I78" s="195"/>
      <c r="J78" s="195"/>
    </row>
    <row r="79" s="2" customFormat="true" ht="18" hidden="false" customHeight="false" outlineLevel="0" collapsed="false">
      <c r="E79" s="306"/>
      <c r="H79" s="195"/>
      <c r="I79" s="195"/>
      <c r="J79" s="195"/>
    </row>
    <row r="80" s="2" customFormat="true" ht="18" hidden="false" customHeight="false" outlineLevel="0" collapsed="false">
      <c r="E80" s="306"/>
      <c r="H80" s="195"/>
      <c r="I80" s="195"/>
      <c r="J80" s="195"/>
    </row>
    <row r="81" s="2" customFormat="true" ht="18" hidden="false" customHeight="false" outlineLevel="0" collapsed="false">
      <c r="E81" s="306"/>
      <c r="H81" s="195"/>
      <c r="I81" s="195"/>
      <c r="J81" s="195"/>
    </row>
    <row r="82" s="2" customFormat="true" ht="18" hidden="false" customHeight="false" outlineLevel="0" collapsed="false">
      <c r="E82" s="306"/>
      <c r="H82" s="195"/>
      <c r="I82" s="195"/>
      <c r="J82" s="195"/>
    </row>
    <row r="83" s="2" customFormat="true" ht="18" hidden="false" customHeight="false" outlineLevel="0" collapsed="false">
      <c r="E83" s="306"/>
      <c r="H83" s="195"/>
      <c r="I83" s="195"/>
      <c r="J83" s="195"/>
    </row>
    <row r="84" s="2" customFormat="true" ht="18" hidden="false" customHeight="false" outlineLevel="0" collapsed="false">
      <c r="E84" s="306"/>
      <c r="H84" s="195"/>
      <c r="I84" s="195"/>
      <c r="J84" s="195"/>
    </row>
    <row r="85" s="2" customFormat="true" ht="18" hidden="false" customHeight="false" outlineLevel="0" collapsed="false">
      <c r="E85" s="306"/>
      <c r="H85" s="195"/>
      <c r="I85" s="195"/>
      <c r="J85" s="195"/>
    </row>
    <row r="86" s="2" customFormat="true" ht="18" hidden="false" customHeight="false" outlineLevel="0" collapsed="false">
      <c r="E86" s="306"/>
      <c r="H86" s="195"/>
      <c r="I86" s="195"/>
      <c r="J86" s="195"/>
    </row>
    <row r="87" s="2" customFormat="true" ht="18" hidden="false" customHeight="false" outlineLevel="0" collapsed="false">
      <c r="E87" s="306"/>
      <c r="H87" s="195"/>
      <c r="I87" s="195"/>
      <c r="J87" s="195"/>
    </row>
    <row r="88" s="2" customFormat="true" ht="18" hidden="false" customHeight="false" outlineLevel="0" collapsed="false">
      <c r="E88" s="306"/>
      <c r="H88" s="195"/>
      <c r="I88" s="195"/>
      <c r="J88" s="195"/>
    </row>
    <row r="89" s="2" customFormat="true" ht="18" hidden="false" customHeight="false" outlineLevel="0" collapsed="false">
      <c r="E89" s="306"/>
      <c r="H89" s="195"/>
      <c r="I89" s="195"/>
      <c r="J89" s="195"/>
    </row>
    <row r="90" s="2" customFormat="true" ht="18" hidden="false" customHeight="false" outlineLevel="0" collapsed="false">
      <c r="E90" s="306"/>
      <c r="H90" s="195"/>
      <c r="I90" s="195"/>
      <c r="J90" s="195"/>
    </row>
    <row r="91" s="2" customFormat="true" ht="18" hidden="false" customHeight="false" outlineLevel="0" collapsed="false">
      <c r="E91" s="306"/>
      <c r="H91" s="195"/>
      <c r="I91" s="195"/>
      <c r="J91" s="195"/>
    </row>
    <row r="92" s="2" customFormat="true" ht="18" hidden="false" customHeight="false" outlineLevel="0" collapsed="false">
      <c r="E92" s="306"/>
      <c r="H92" s="195"/>
      <c r="I92" s="195"/>
      <c r="J92" s="195"/>
    </row>
    <row r="93" s="2" customFormat="true" ht="18" hidden="false" customHeight="false" outlineLevel="0" collapsed="false">
      <c r="E93" s="306"/>
      <c r="H93" s="195"/>
      <c r="I93" s="195"/>
      <c r="J93" s="195"/>
    </row>
    <row r="94" s="2" customFormat="true" ht="18" hidden="false" customHeight="false" outlineLevel="0" collapsed="false">
      <c r="E94" s="306"/>
      <c r="H94" s="195"/>
      <c r="I94" s="195"/>
      <c r="J94" s="195"/>
    </row>
    <row r="95" s="2" customFormat="true" ht="18" hidden="false" customHeight="false" outlineLevel="0" collapsed="false">
      <c r="E95" s="306"/>
      <c r="H95" s="195"/>
      <c r="I95" s="195"/>
      <c r="J95" s="195"/>
    </row>
    <row r="96" s="2" customFormat="true" ht="18" hidden="false" customHeight="false" outlineLevel="0" collapsed="false">
      <c r="E96" s="306"/>
      <c r="H96" s="195"/>
      <c r="I96" s="195"/>
      <c r="J96" s="195"/>
    </row>
    <row r="97" s="2" customFormat="true" ht="18" hidden="false" customHeight="false" outlineLevel="0" collapsed="false">
      <c r="E97" s="306"/>
      <c r="H97" s="195"/>
      <c r="I97" s="195"/>
      <c r="J97" s="195"/>
    </row>
    <row r="98" s="2" customFormat="true" ht="18" hidden="false" customHeight="false" outlineLevel="0" collapsed="false">
      <c r="E98" s="306"/>
      <c r="H98" s="195"/>
      <c r="I98" s="195"/>
      <c r="J98" s="195"/>
    </row>
    <row r="99" s="2" customFormat="true" ht="18" hidden="false" customHeight="false" outlineLevel="0" collapsed="false">
      <c r="E99" s="306"/>
      <c r="H99" s="195"/>
      <c r="I99" s="195"/>
      <c r="J99" s="195"/>
    </row>
    <row r="100" s="2" customFormat="true" ht="18" hidden="false" customHeight="false" outlineLevel="0" collapsed="false">
      <c r="E100" s="306"/>
      <c r="H100" s="195"/>
      <c r="I100" s="195"/>
      <c r="J100" s="195"/>
    </row>
    <row r="101" s="2" customFormat="true" ht="18" hidden="false" customHeight="false" outlineLevel="0" collapsed="false">
      <c r="E101" s="306"/>
      <c r="H101" s="195"/>
      <c r="I101" s="195"/>
      <c r="J101" s="195"/>
    </row>
    <row r="102" s="2" customFormat="true" ht="18" hidden="false" customHeight="false" outlineLevel="0" collapsed="false">
      <c r="E102" s="306"/>
      <c r="H102" s="195"/>
      <c r="I102" s="195"/>
      <c r="J102" s="195"/>
    </row>
    <row r="103" s="2" customFormat="true" ht="18" hidden="false" customHeight="false" outlineLevel="0" collapsed="false">
      <c r="E103" s="306"/>
      <c r="H103" s="195"/>
      <c r="I103" s="195"/>
      <c r="J103" s="195"/>
    </row>
    <row r="104" s="2" customFormat="true" ht="18" hidden="false" customHeight="false" outlineLevel="0" collapsed="false">
      <c r="E104" s="306"/>
      <c r="H104" s="195"/>
      <c r="I104" s="195"/>
      <c r="J104" s="195"/>
    </row>
    <row r="105" s="2" customFormat="true" ht="18" hidden="false" customHeight="false" outlineLevel="0" collapsed="false">
      <c r="E105" s="306"/>
      <c r="H105" s="195"/>
      <c r="I105" s="195"/>
      <c r="J105" s="195"/>
    </row>
    <row r="106" s="2" customFormat="true" ht="18" hidden="false" customHeight="false" outlineLevel="0" collapsed="false">
      <c r="E106" s="306"/>
      <c r="H106" s="195"/>
      <c r="I106" s="195"/>
      <c r="J106" s="195"/>
    </row>
    <row r="107" s="2" customFormat="true" ht="18" hidden="false" customHeight="false" outlineLevel="0" collapsed="false">
      <c r="E107" s="306"/>
      <c r="H107" s="195"/>
      <c r="I107" s="195"/>
      <c r="J107" s="195"/>
    </row>
    <row r="108" s="2" customFormat="true" ht="18" hidden="false" customHeight="false" outlineLevel="0" collapsed="false">
      <c r="E108" s="306"/>
      <c r="H108" s="195"/>
      <c r="I108" s="195"/>
      <c r="J108" s="195"/>
    </row>
    <row r="109" s="2" customFormat="true" ht="18" hidden="false" customHeight="false" outlineLevel="0" collapsed="false">
      <c r="E109" s="306"/>
      <c r="H109" s="195"/>
      <c r="I109" s="195"/>
      <c r="J109" s="195"/>
    </row>
    <row r="110" s="2" customFormat="true" ht="18" hidden="false" customHeight="false" outlineLevel="0" collapsed="false">
      <c r="E110" s="306"/>
      <c r="H110" s="195"/>
      <c r="I110" s="195"/>
      <c r="J110" s="195"/>
    </row>
    <row r="111" s="2" customFormat="true" ht="18" hidden="false" customHeight="false" outlineLevel="0" collapsed="false">
      <c r="E111" s="306"/>
      <c r="H111" s="195"/>
      <c r="I111" s="195"/>
      <c r="J111" s="195"/>
    </row>
    <row r="112" s="2" customFormat="true" ht="18" hidden="false" customHeight="false" outlineLevel="0" collapsed="false">
      <c r="E112" s="306"/>
      <c r="H112" s="195"/>
      <c r="I112" s="195"/>
      <c r="J112" s="195"/>
    </row>
    <row r="113" s="2" customFormat="true" ht="18" hidden="false" customHeight="false" outlineLevel="0" collapsed="false">
      <c r="E113" s="306"/>
      <c r="H113" s="195"/>
      <c r="I113" s="195"/>
      <c r="J113" s="195"/>
    </row>
    <row r="114" s="2" customFormat="true" ht="18" hidden="false" customHeight="false" outlineLevel="0" collapsed="false">
      <c r="E114" s="306"/>
      <c r="H114" s="195"/>
      <c r="I114" s="195"/>
      <c r="J114" s="195"/>
    </row>
    <row r="115" s="2" customFormat="true" ht="18" hidden="false" customHeight="false" outlineLevel="0" collapsed="false">
      <c r="E115" s="306"/>
      <c r="H115" s="195"/>
      <c r="I115" s="195"/>
      <c r="J115" s="195"/>
    </row>
    <row r="116" s="2" customFormat="true" ht="18" hidden="false" customHeight="false" outlineLevel="0" collapsed="false">
      <c r="E116" s="306"/>
      <c r="H116" s="195"/>
      <c r="I116" s="195"/>
      <c r="J116" s="195"/>
    </row>
    <row r="117" s="2" customFormat="true" ht="18" hidden="false" customHeight="false" outlineLevel="0" collapsed="false">
      <c r="E117" s="306"/>
      <c r="H117" s="195"/>
      <c r="I117" s="195"/>
      <c r="J117" s="195"/>
    </row>
    <row r="118" s="2" customFormat="true" ht="18" hidden="false" customHeight="false" outlineLevel="0" collapsed="false">
      <c r="E118" s="306"/>
      <c r="H118" s="195"/>
      <c r="I118" s="195"/>
      <c r="J118" s="195"/>
    </row>
    <row r="119" s="2" customFormat="true" ht="18" hidden="false" customHeight="false" outlineLevel="0" collapsed="false">
      <c r="E119" s="306"/>
      <c r="H119" s="195"/>
      <c r="I119" s="195"/>
      <c r="J119" s="195"/>
    </row>
    <row r="120" s="2" customFormat="true" ht="18" hidden="false" customHeight="false" outlineLevel="0" collapsed="false">
      <c r="E120" s="306"/>
      <c r="H120" s="195"/>
      <c r="I120" s="195"/>
      <c r="J120" s="195"/>
    </row>
    <row r="121" s="2" customFormat="true" ht="18" hidden="false" customHeight="false" outlineLevel="0" collapsed="false">
      <c r="E121" s="306"/>
      <c r="H121" s="195"/>
      <c r="I121" s="195"/>
      <c r="J121" s="195"/>
    </row>
    <row r="122" s="2" customFormat="true" ht="18" hidden="false" customHeight="false" outlineLevel="0" collapsed="false">
      <c r="E122" s="306"/>
      <c r="H122" s="195"/>
      <c r="I122" s="195"/>
      <c r="J122" s="195"/>
    </row>
    <row r="123" s="2" customFormat="true" ht="18" hidden="false" customHeight="false" outlineLevel="0" collapsed="false">
      <c r="E123" s="306"/>
      <c r="H123" s="195"/>
      <c r="I123" s="195"/>
      <c r="J123" s="195"/>
    </row>
    <row r="124" s="2" customFormat="true" ht="18" hidden="false" customHeight="false" outlineLevel="0" collapsed="false">
      <c r="E124" s="306"/>
      <c r="H124" s="195"/>
      <c r="I124" s="195"/>
      <c r="J124" s="195"/>
    </row>
    <row r="125" s="2" customFormat="true" ht="18" hidden="false" customHeight="false" outlineLevel="0" collapsed="false">
      <c r="E125" s="306"/>
      <c r="H125" s="195"/>
      <c r="I125" s="195"/>
      <c r="J125" s="195"/>
    </row>
    <row r="126" s="2" customFormat="true" ht="18" hidden="false" customHeight="false" outlineLevel="0" collapsed="false">
      <c r="E126" s="306"/>
      <c r="H126" s="195"/>
      <c r="I126" s="195"/>
      <c r="J126" s="195"/>
    </row>
    <row r="127" s="2" customFormat="true" ht="18" hidden="false" customHeight="false" outlineLevel="0" collapsed="false">
      <c r="E127" s="306"/>
      <c r="H127" s="195"/>
      <c r="I127" s="195"/>
      <c r="J127" s="195"/>
    </row>
    <row r="128" s="2" customFormat="true" ht="18" hidden="false" customHeight="false" outlineLevel="0" collapsed="false">
      <c r="E128" s="306"/>
      <c r="H128" s="195"/>
      <c r="I128" s="195"/>
      <c r="J128" s="195"/>
    </row>
    <row r="129" s="2" customFormat="true" ht="18" hidden="false" customHeight="false" outlineLevel="0" collapsed="false">
      <c r="E129" s="306"/>
      <c r="H129" s="195"/>
      <c r="I129" s="195"/>
      <c r="J129" s="195"/>
    </row>
    <row r="130" s="2" customFormat="true" ht="18" hidden="false" customHeight="false" outlineLevel="0" collapsed="false">
      <c r="E130" s="306"/>
      <c r="H130" s="195"/>
      <c r="I130" s="195"/>
      <c r="J130" s="195"/>
    </row>
    <row r="131" s="2" customFormat="true" ht="18" hidden="false" customHeight="false" outlineLevel="0" collapsed="false">
      <c r="E131" s="306"/>
      <c r="H131" s="195"/>
      <c r="I131" s="195"/>
      <c r="J131" s="195"/>
    </row>
    <row r="132" s="2" customFormat="true" ht="18" hidden="false" customHeight="false" outlineLevel="0" collapsed="false">
      <c r="E132" s="306"/>
      <c r="H132" s="195"/>
      <c r="I132" s="195"/>
      <c r="J132" s="195"/>
    </row>
    <row r="133" s="2" customFormat="true" ht="18" hidden="false" customHeight="false" outlineLevel="0" collapsed="false">
      <c r="E133" s="306"/>
      <c r="H133" s="195"/>
      <c r="I133" s="195"/>
      <c r="J133" s="195"/>
    </row>
    <row r="134" s="2" customFormat="true" ht="18" hidden="false" customHeight="false" outlineLevel="0" collapsed="false">
      <c r="E134" s="306"/>
      <c r="H134" s="195"/>
      <c r="I134" s="195"/>
      <c r="J134" s="195"/>
    </row>
    <row r="135" s="2" customFormat="true" ht="18" hidden="false" customHeight="false" outlineLevel="0" collapsed="false">
      <c r="E135" s="306"/>
      <c r="H135" s="195"/>
      <c r="I135" s="195"/>
      <c r="J135" s="195"/>
    </row>
    <row r="136" s="2" customFormat="true" ht="18" hidden="false" customHeight="false" outlineLevel="0" collapsed="false">
      <c r="E136" s="306"/>
      <c r="H136" s="195"/>
      <c r="I136" s="195"/>
      <c r="J136" s="195"/>
    </row>
    <row r="137" s="2" customFormat="true" ht="18" hidden="false" customHeight="false" outlineLevel="0" collapsed="false">
      <c r="E137" s="306"/>
      <c r="H137" s="195"/>
      <c r="I137" s="195"/>
      <c r="J137" s="195"/>
    </row>
    <row r="138" s="2" customFormat="true" ht="18" hidden="false" customHeight="false" outlineLevel="0" collapsed="false">
      <c r="E138" s="306"/>
      <c r="H138" s="195"/>
      <c r="I138" s="195"/>
      <c r="J138" s="195"/>
    </row>
    <row r="139" s="2" customFormat="true" ht="18" hidden="false" customHeight="false" outlineLevel="0" collapsed="false">
      <c r="E139" s="306"/>
      <c r="H139" s="195"/>
      <c r="I139" s="195"/>
      <c r="J139" s="195"/>
    </row>
    <row r="140" s="2" customFormat="true" ht="18" hidden="false" customHeight="false" outlineLevel="0" collapsed="false">
      <c r="E140" s="306"/>
      <c r="H140" s="195"/>
      <c r="I140" s="195"/>
      <c r="J140" s="195"/>
    </row>
    <row r="141" s="2" customFormat="true" ht="18" hidden="false" customHeight="false" outlineLevel="0" collapsed="false">
      <c r="E141" s="306"/>
      <c r="H141" s="195"/>
      <c r="I141" s="195"/>
      <c r="J141" s="195"/>
    </row>
    <row r="142" s="2" customFormat="true" ht="18" hidden="false" customHeight="false" outlineLevel="0" collapsed="false">
      <c r="E142" s="306"/>
      <c r="H142" s="195"/>
      <c r="I142" s="195"/>
      <c r="J142" s="195"/>
    </row>
    <row r="143" s="2" customFormat="true" ht="18" hidden="false" customHeight="false" outlineLevel="0" collapsed="false">
      <c r="E143" s="306"/>
      <c r="H143" s="195"/>
      <c r="I143" s="195"/>
      <c r="J143" s="195"/>
    </row>
    <row r="144" s="2" customFormat="true" ht="18" hidden="false" customHeight="false" outlineLevel="0" collapsed="false">
      <c r="E144" s="306"/>
      <c r="H144" s="195"/>
      <c r="I144" s="195"/>
      <c r="J144" s="195"/>
    </row>
    <row r="145" s="2" customFormat="true" ht="18" hidden="false" customHeight="false" outlineLevel="0" collapsed="false">
      <c r="E145" s="306"/>
      <c r="H145" s="195"/>
      <c r="I145" s="195"/>
      <c r="J145" s="195"/>
    </row>
    <row r="146" s="2" customFormat="true" ht="18" hidden="false" customHeight="false" outlineLevel="0" collapsed="false">
      <c r="E146" s="306"/>
      <c r="H146" s="195"/>
      <c r="I146" s="195"/>
      <c r="J146" s="195"/>
    </row>
    <row r="147" s="2" customFormat="true" ht="18" hidden="false" customHeight="false" outlineLevel="0" collapsed="false">
      <c r="E147" s="306"/>
      <c r="H147" s="195"/>
      <c r="I147" s="195"/>
      <c r="J147" s="195"/>
    </row>
    <row r="148" s="2" customFormat="true" ht="18" hidden="false" customHeight="false" outlineLevel="0" collapsed="false">
      <c r="E148" s="306"/>
      <c r="H148" s="195"/>
      <c r="I148" s="195"/>
      <c r="J148" s="195"/>
    </row>
    <row r="149" s="2" customFormat="true" ht="18" hidden="false" customHeight="false" outlineLevel="0" collapsed="false">
      <c r="E149" s="306"/>
      <c r="H149" s="195"/>
      <c r="I149" s="195"/>
      <c r="J149" s="195"/>
    </row>
    <row r="150" s="2" customFormat="true" ht="18" hidden="false" customHeight="false" outlineLevel="0" collapsed="false">
      <c r="E150" s="306"/>
      <c r="H150" s="195"/>
      <c r="I150" s="195"/>
      <c r="J150" s="195"/>
    </row>
    <row r="151" s="2" customFormat="true" ht="18" hidden="false" customHeight="false" outlineLevel="0" collapsed="false">
      <c r="E151" s="306"/>
      <c r="H151" s="195"/>
      <c r="I151" s="195"/>
      <c r="J151" s="195"/>
    </row>
    <row r="152" s="2" customFormat="true" ht="18" hidden="false" customHeight="false" outlineLevel="0" collapsed="false">
      <c r="E152" s="306"/>
      <c r="H152" s="195"/>
      <c r="I152" s="195"/>
      <c r="J152" s="195"/>
    </row>
    <row r="153" s="2" customFormat="true" ht="18" hidden="false" customHeight="false" outlineLevel="0" collapsed="false">
      <c r="E153" s="306"/>
      <c r="H153" s="195"/>
      <c r="I153" s="195"/>
      <c r="J153" s="195"/>
    </row>
    <row r="154" s="2" customFormat="true" ht="18" hidden="false" customHeight="false" outlineLevel="0" collapsed="false">
      <c r="E154" s="306"/>
      <c r="H154" s="195"/>
      <c r="I154" s="195"/>
      <c r="J154" s="195"/>
    </row>
    <row r="155" s="2" customFormat="true" ht="18" hidden="false" customHeight="false" outlineLevel="0" collapsed="false">
      <c r="E155" s="306"/>
      <c r="H155" s="195"/>
      <c r="I155" s="195"/>
      <c r="J155" s="195"/>
    </row>
    <row r="156" s="2" customFormat="true" ht="18" hidden="false" customHeight="false" outlineLevel="0" collapsed="false">
      <c r="E156" s="306"/>
      <c r="H156" s="195"/>
      <c r="I156" s="195"/>
      <c r="J156" s="195"/>
    </row>
    <row r="157" s="2" customFormat="true" ht="18" hidden="false" customHeight="false" outlineLevel="0" collapsed="false">
      <c r="E157" s="306"/>
      <c r="H157" s="195"/>
      <c r="I157" s="195"/>
      <c r="J157" s="195"/>
    </row>
    <row r="158" s="2" customFormat="true" ht="18" hidden="false" customHeight="false" outlineLevel="0" collapsed="false">
      <c r="E158" s="306"/>
      <c r="H158" s="195"/>
      <c r="I158" s="195"/>
      <c r="J158" s="195"/>
    </row>
    <row r="159" s="2" customFormat="true" ht="18" hidden="false" customHeight="false" outlineLevel="0" collapsed="false">
      <c r="E159" s="306"/>
      <c r="H159" s="195"/>
      <c r="I159" s="195"/>
      <c r="J159" s="195"/>
    </row>
    <row r="160" s="2" customFormat="true" ht="18" hidden="false" customHeight="false" outlineLevel="0" collapsed="false">
      <c r="E160" s="306"/>
      <c r="H160" s="195"/>
      <c r="I160" s="195"/>
      <c r="J160" s="195"/>
    </row>
    <row r="161" s="2" customFormat="true" ht="18" hidden="false" customHeight="false" outlineLevel="0" collapsed="false">
      <c r="E161" s="306"/>
      <c r="H161" s="195"/>
      <c r="I161" s="195"/>
      <c r="J161" s="195"/>
    </row>
    <row r="162" s="2" customFormat="true" ht="18" hidden="false" customHeight="false" outlineLevel="0" collapsed="false">
      <c r="E162" s="306"/>
      <c r="H162" s="195"/>
      <c r="I162" s="195"/>
      <c r="J162" s="195"/>
    </row>
    <row r="163" s="2" customFormat="true" ht="18" hidden="false" customHeight="false" outlineLevel="0" collapsed="false">
      <c r="E163" s="306"/>
      <c r="H163" s="195"/>
      <c r="I163" s="195"/>
      <c r="J163" s="195"/>
    </row>
    <row r="164" s="2" customFormat="true" ht="18" hidden="false" customHeight="false" outlineLevel="0" collapsed="false">
      <c r="E164" s="306"/>
      <c r="H164" s="195"/>
      <c r="I164" s="195"/>
      <c r="J164" s="195"/>
    </row>
    <row r="165" s="2" customFormat="true" ht="18" hidden="false" customHeight="false" outlineLevel="0" collapsed="false">
      <c r="E165" s="306"/>
      <c r="H165" s="195"/>
      <c r="I165" s="195"/>
      <c r="J165" s="195"/>
    </row>
    <row r="166" s="2" customFormat="true" ht="18" hidden="false" customHeight="false" outlineLevel="0" collapsed="false">
      <c r="E166" s="306"/>
      <c r="H166" s="195"/>
      <c r="I166" s="195"/>
      <c r="J166" s="195"/>
    </row>
    <row r="167" s="2" customFormat="true" ht="18" hidden="false" customHeight="false" outlineLevel="0" collapsed="false">
      <c r="E167" s="306"/>
      <c r="H167" s="195"/>
      <c r="I167" s="195"/>
      <c r="J167" s="195"/>
    </row>
    <row r="168" s="2" customFormat="true" ht="18" hidden="false" customHeight="false" outlineLevel="0" collapsed="false">
      <c r="E168" s="306"/>
      <c r="H168" s="195"/>
      <c r="I168" s="195"/>
      <c r="J168" s="195"/>
    </row>
    <row r="169" s="2" customFormat="true" ht="18" hidden="false" customHeight="false" outlineLevel="0" collapsed="false">
      <c r="E169" s="306"/>
      <c r="H169" s="195"/>
      <c r="I169" s="195"/>
      <c r="J169" s="195"/>
    </row>
    <row r="170" s="2" customFormat="true" ht="18" hidden="false" customHeight="false" outlineLevel="0" collapsed="false">
      <c r="E170" s="306"/>
      <c r="H170" s="195"/>
      <c r="I170" s="195"/>
      <c r="J170" s="195"/>
    </row>
    <row r="171" s="2" customFormat="true" ht="18" hidden="false" customHeight="false" outlineLevel="0" collapsed="false">
      <c r="E171" s="306"/>
      <c r="H171" s="195"/>
      <c r="I171" s="195"/>
      <c r="J171" s="195"/>
    </row>
    <row r="172" s="2" customFormat="true" ht="18" hidden="false" customHeight="false" outlineLevel="0" collapsed="false">
      <c r="E172" s="306"/>
      <c r="H172" s="195"/>
      <c r="I172" s="195"/>
      <c r="J172" s="195"/>
    </row>
    <row r="173" s="2" customFormat="true" ht="18" hidden="false" customHeight="false" outlineLevel="0" collapsed="false">
      <c r="E173" s="306"/>
      <c r="H173" s="195"/>
      <c r="I173" s="195"/>
      <c r="J173" s="195"/>
    </row>
    <row r="174" s="2" customFormat="true" ht="18" hidden="false" customHeight="false" outlineLevel="0" collapsed="false">
      <c r="E174" s="306"/>
      <c r="H174" s="195"/>
      <c r="I174" s="195"/>
      <c r="J174" s="195"/>
    </row>
    <row r="175" s="2" customFormat="true" ht="18" hidden="false" customHeight="false" outlineLevel="0" collapsed="false">
      <c r="E175" s="306"/>
      <c r="H175" s="195"/>
      <c r="I175" s="195"/>
      <c r="J175" s="195"/>
    </row>
    <row r="176" s="2" customFormat="true" ht="18" hidden="false" customHeight="false" outlineLevel="0" collapsed="false">
      <c r="E176" s="306"/>
      <c r="H176" s="195"/>
      <c r="I176" s="195"/>
      <c r="J176" s="195"/>
    </row>
    <row r="177" s="2" customFormat="true" ht="18" hidden="false" customHeight="false" outlineLevel="0" collapsed="false">
      <c r="E177" s="306"/>
      <c r="H177" s="195"/>
      <c r="I177" s="195"/>
      <c r="J177" s="195"/>
    </row>
    <row r="178" s="2" customFormat="true" ht="18" hidden="false" customHeight="false" outlineLevel="0" collapsed="false">
      <c r="E178" s="306"/>
      <c r="H178" s="195"/>
      <c r="I178" s="195"/>
      <c r="J178" s="195"/>
    </row>
    <row r="179" s="2" customFormat="true" ht="18" hidden="false" customHeight="false" outlineLevel="0" collapsed="false">
      <c r="E179" s="306"/>
      <c r="H179" s="195"/>
      <c r="I179" s="195"/>
      <c r="J179" s="195"/>
    </row>
    <row r="180" s="2" customFormat="true" ht="18" hidden="false" customHeight="false" outlineLevel="0" collapsed="false">
      <c r="E180" s="306"/>
      <c r="H180" s="195"/>
      <c r="I180" s="195"/>
      <c r="J180" s="195"/>
    </row>
    <row r="181" s="2" customFormat="true" ht="18" hidden="false" customHeight="false" outlineLevel="0" collapsed="false">
      <c r="E181" s="306"/>
      <c r="H181" s="195"/>
      <c r="I181" s="195"/>
      <c r="J181" s="195"/>
    </row>
    <row r="182" s="2" customFormat="true" ht="18" hidden="false" customHeight="false" outlineLevel="0" collapsed="false">
      <c r="E182" s="306"/>
      <c r="H182" s="195"/>
      <c r="I182" s="195"/>
      <c r="J182" s="195"/>
    </row>
    <row r="183" s="2" customFormat="true" ht="18" hidden="false" customHeight="false" outlineLevel="0" collapsed="false">
      <c r="E183" s="306"/>
      <c r="H183" s="195"/>
      <c r="I183" s="195"/>
      <c r="J183" s="195"/>
    </row>
    <row r="184" s="2" customFormat="true" ht="18" hidden="false" customHeight="false" outlineLevel="0" collapsed="false">
      <c r="E184" s="306"/>
      <c r="H184" s="195"/>
      <c r="I184" s="195"/>
      <c r="J184" s="195"/>
    </row>
    <row r="185" s="2" customFormat="true" ht="18" hidden="false" customHeight="false" outlineLevel="0" collapsed="false">
      <c r="E185" s="306"/>
      <c r="H185" s="195"/>
      <c r="I185" s="195"/>
      <c r="J185" s="195"/>
    </row>
    <row r="186" s="2" customFormat="true" ht="18" hidden="false" customHeight="false" outlineLevel="0" collapsed="false">
      <c r="E186" s="306"/>
      <c r="H186" s="195"/>
      <c r="I186" s="195"/>
      <c r="J186" s="195"/>
    </row>
    <row r="187" s="2" customFormat="true" ht="18" hidden="false" customHeight="false" outlineLevel="0" collapsed="false">
      <c r="E187" s="306"/>
      <c r="H187" s="195"/>
      <c r="I187" s="195"/>
      <c r="J187" s="195"/>
    </row>
    <row r="188" s="2" customFormat="true" ht="18" hidden="false" customHeight="false" outlineLevel="0" collapsed="false">
      <c r="E188" s="306"/>
      <c r="H188" s="195"/>
      <c r="I188" s="195"/>
      <c r="J188" s="195"/>
    </row>
    <row r="189" s="2" customFormat="true" ht="18" hidden="false" customHeight="false" outlineLevel="0" collapsed="false">
      <c r="E189" s="306"/>
      <c r="H189" s="195"/>
      <c r="I189" s="195"/>
      <c r="J189" s="195"/>
    </row>
    <row r="190" s="2" customFormat="true" ht="18" hidden="false" customHeight="false" outlineLevel="0" collapsed="false">
      <c r="E190" s="306"/>
      <c r="H190" s="195"/>
      <c r="I190" s="195"/>
      <c r="J190" s="195"/>
    </row>
    <row r="191" s="2" customFormat="true" ht="18" hidden="false" customHeight="false" outlineLevel="0" collapsed="false">
      <c r="E191" s="306"/>
      <c r="H191" s="195"/>
      <c r="I191" s="195"/>
      <c r="J191" s="195"/>
    </row>
    <row r="192" s="2" customFormat="true" ht="18" hidden="false" customHeight="false" outlineLevel="0" collapsed="false">
      <c r="E192" s="306"/>
      <c r="H192" s="195"/>
      <c r="I192" s="195"/>
      <c r="J192" s="195"/>
    </row>
    <row r="193" s="2" customFormat="true" ht="18" hidden="false" customHeight="false" outlineLevel="0" collapsed="false">
      <c r="E193" s="306"/>
      <c r="H193" s="195"/>
      <c r="I193" s="195"/>
      <c r="J193" s="195"/>
    </row>
    <row r="194" s="2" customFormat="true" ht="18" hidden="false" customHeight="false" outlineLevel="0" collapsed="false">
      <c r="E194" s="306"/>
      <c r="H194" s="195"/>
      <c r="I194" s="195"/>
      <c r="J194" s="195"/>
    </row>
    <row r="195" s="2" customFormat="true" ht="18" hidden="false" customHeight="false" outlineLevel="0" collapsed="false">
      <c r="E195" s="306"/>
      <c r="H195" s="195"/>
      <c r="I195" s="195"/>
      <c r="J195" s="195"/>
    </row>
    <row r="196" s="2" customFormat="true" ht="18" hidden="false" customHeight="false" outlineLevel="0" collapsed="false">
      <c r="E196" s="306"/>
      <c r="H196" s="195"/>
      <c r="I196" s="195"/>
      <c r="J196" s="195"/>
    </row>
    <row r="197" s="2" customFormat="true" ht="18" hidden="false" customHeight="false" outlineLevel="0" collapsed="false">
      <c r="E197" s="306"/>
      <c r="H197" s="195"/>
      <c r="I197" s="195"/>
      <c r="J197" s="195"/>
    </row>
    <row r="198" s="2" customFormat="true" ht="18" hidden="false" customHeight="false" outlineLevel="0" collapsed="false">
      <c r="E198" s="306"/>
      <c r="H198" s="195"/>
      <c r="I198" s="195"/>
      <c r="J198" s="195"/>
    </row>
    <row r="199" s="2" customFormat="true" ht="18" hidden="false" customHeight="false" outlineLevel="0" collapsed="false">
      <c r="E199" s="306"/>
      <c r="H199" s="195"/>
      <c r="I199" s="195"/>
      <c r="J199" s="195"/>
    </row>
    <row r="200" s="2" customFormat="true" ht="18" hidden="false" customHeight="false" outlineLevel="0" collapsed="false">
      <c r="E200" s="306"/>
      <c r="H200" s="195"/>
      <c r="I200" s="195"/>
      <c r="J200" s="195"/>
    </row>
    <row r="201" s="2" customFormat="true" ht="18" hidden="false" customHeight="false" outlineLevel="0" collapsed="false">
      <c r="E201" s="306"/>
      <c r="H201" s="195"/>
      <c r="I201" s="195"/>
      <c r="J201" s="195"/>
    </row>
    <row r="202" s="2" customFormat="true" ht="18" hidden="false" customHeight="false" outlineLevel="0" collapsed="false">
      <c r="E202" s="306"/>
      <c r="H202" s="195"/>
      <c r="I202" s="195"/>
      <c r="J202" s="195"/>
    </row>
    <row r="203" s="2" customFormat="true" ht="18" hidden="false" customHeight="false" outlineLevel="0" collapsed="false">
      <c r="E203" s="306"/>
      <c r="H203" s="195"/>
      <c r="I203" s="195"/>
      <c r="J203" s="195"/>
    </row>
    <row r="204" s="2" customFormat="true" ht="18" hidden="false" customHeight="false" outlineLevel="0" collapsed="false">
      <c r="E204" s="306"/>
      <c r="H204" s="195"/>
      <c r="I204" s="195"/>
      <c r="J204" s="195"/>
    </row>
    <row r="205" s="2" customFormat="true" ht="18" hidden="false" customHeight="false" outlineLevel="0" collapsed="false">
      <c r="E205" s="306"/>
      <c r="H205" s="195"/>
      <c r="I205" s="195"/>
      <c r="J205" s="195"/>
    </row>
    <row r="206" s="2" customFormat="true" ht="18" hidden="false" customHeight="false" outlineLevel="0" collapsed="false">
      <c r="E206" s="306"/>
      <c r="H206" s="195"/>
      <c r="I206" s="195"/>
      <c r="J206" s="195"/>
    </row>
    <row r="207" s="2" customFormat="true" ht="18" hidden="false" customHeight="false" outlineLevel="0" collapsed="false">
      <c r="E207" s="306"/>
      <c r="H207" s="195"/>
      <c r="I207" s="195"/>
      <c r="J207" s="195"/>
    </row>
    <row r="208" s="2" customFormat="true" ht="18" hidden="false" customHeight="false" outlineLevel="0" collapsed="false">
      <c r="E208" s="306"/>
      <c r="H208" s="195"/>
      <c r="I208" s="195"/>
      <c r="J208" s="195"/>
    </row>
    <row r="209" s="2" customFormat="true" ht="18" hidden="false" customHeight="false" outlineLevel="0" collapsed="false">
      <c r="E209" s="306"/>
      <c r="H209" s="195"/>
      <c r="I209" s="195"/>
      <c r="J209" s="195"/>
    </row>
    <row r="210" s="2" customFormat="true" ht="18" hidden="false" customHeight="false" outlineLevel="0" collapsed="false">
      <c r="E210" s="306"/>
      <c r="H210" s="195"/>
      <c r="I210" s="195"/>
      <c r="J210" s="195"/>
    </row>
    <row r="211" s="2" customFormat="true" ht="18" hidden="false" customHeight="false" outlineLevel="0" collapsed="false">
      <c r="E211" s="306"/>
      <c r="H211" s="195"/>
      <c r="I211" s="195"/>
      <c r="J211" s="195"/>
    </row>
    <row r="212" s="2" customFormat="true" ht="18" hidden="false" customHeight="false" outlineLevel="0" collapsed="false">
      <c r="E212" s="306"/>
      <c r="H212" s="195"/>
      <c r="I212" s="195"/>
      <c r="J212" s="195"/>
    </row>
    <row r="213" s="2" customFormat="true" ht="18" hidden="false" customHeight="false" outlineLevel="0" collapsed="false">
      <c r="E213" s="306"/>
      <c r="H213" s="195"/>
      <c r="I213" s="195"/>
      <c r="J213" s="195"/>
    </row>
    <row r="214" s="2" customFormat="true" ht="18" hidden="false" customHeight="false" outlineLevel="0" collapsed="false">
      <c r="E214" s="306"/>
      <c r="H214" s="195"/>
      <c r="I214" s="195"/>
      <c r="J214" s="195"/>
    </row>
    <row r="215" s="2" customFormat="true" ht="18" hidden="false" customHeight="false" outlineLevel="0" collapsed="false">
      <c r="E215" s="306"/>
      <c r="H215" s="195"/>
      <c r="I215" s="195"/>
      <c r="J215" s="195"/>
    </row>
    <row r="216" s="2" customFormat="true" ht="18" hidden="false" customHeight="false" outlineLevel="0" collapsed="false">
      <c r="E216" s="306"/>
      <c r="H216" s="195"/>
      <c r="I216" s="195"/>
      <c r="J216" s="195"/>
    </row>
    <row r="217" s="2" customFormat="true" ht="18" hidden="false" customHeight="false" outlineLevel="0" collapsed="false">
      <c r="E217" s="306"/>
      <c r="H217" s="195"/>
      <c r="I217" s="195"/>
      <c r="J217" s="195"/>
    </row>
    <row r="218" s="2" customFormat="true" ht="18" hidden="false" customHeight="false" outlineLevel="0" collapsed="false">
      <c r="E218" s="306"/>
      <c r="H218" s="195"/>
      <c r="I218" s="195"/>
      <c r="J218" s="195"/>
    </row>
    <row r="219" s="2" customFormat="true" ht="18" hidden="false" customHeight="false" outlineLevel="0" collapsed="false">
      <c r="E219" s="306"/>
      <c r="H219" s="195"/>
      <c r="I219" s="195"/>
      <c r="J219" s="195"/>
    </row>
    <row r="220" s="2" customFormat="true" ht="18" hidden="false" customHeight="false" outlineLevel="0" collapsed="false">
      <c r="E220" s="306"/>
      <c r="H220" s="195"/>
      <c r="I220" s="195"/>
      <c r="J220" s="195"/>
    </row>
    <row r="221" s="2" customFormat="true" ht="18" hidden="false" customHeight="false" outlineLevel="0" collapsed="false">
      <c r="E221" s="306"/>
      <c r="H221" s="195"/>
      <c r="I221" s="195"/>
      <c r="J221" s="195"/>
    </row>
    <row r="222" s="2" customFormat="true" ht="18" hidden="false" customHeight="false" outlineLevel="0" collapsed="false">
      <c r="E222" s="306"/>
      <c r="H222" s="195"/>
      <c r="I222" s="195"/>
      <c r="J222" s="195"/>
    </row>
    <row r="223" s="2" customFormat="true" ht="18" hidden="false" customHeight="false" outlineLevel="0" collapsed="false">
      <c r="E223" s="306"/>
      <c r="H223" s="195"/>
      <c r="I223" s="195"/>
      <c r="J223" s="195"/>
    </row>
    <row r="224" s="2" customFormat="true" ht="18" hidden="false" customHeight="false" outlineLevel="0" collapsed="false">
      <c r="E224" s="306"/>
      <c r="H224" s="195"/>
      <c r="I224" s="195"/>
      <c r="J224" s="195"/>
    </row>
    <row r="225" s="2" customFormat="true" ht="18" hidden="false" customHeight="false" outlineLevel="0" collapsed="false">
      <c r="E225" s="306"/>
      <c r="H225" s="195"/>
      <c r="I225" s="195"/>
      <c r="J225" s="195"/>
    </row>
    <row r="226" s="2" customFormat="true" ht="18" hidden="false" customHeight="false" outlineLevel="0" collapsed="false">
      <c r="E226" s="306"/>
      <c r="H226" s="195"/>
      <c r="I226" s="195"/>
      <c r="J226" s="195"/>
    </row>
    <row r="227" s="2" customFormat="true" ht="18" hidden="false" customHeight="false" outlineLevel="0" collapsed="false">
      <c r="E227" s="306"/>
      <c r="H227" s="195"/>
      <c r="I227" s="195"/>
      <c r="J227" s="195"/>
    </row>
    <row r="228" s="2" customFormat="true" ht="18" hidden="false" customHeight="false" outlineLevel="0" collapsed="false">
      <c r="E228" s="306"/>
      <c r="H228" s="195"/>
      <c r="I228" s="195"/>
      <c r="J228" s="195"/>
    </row>
    <row r="229" s="2" customFormat="true" ht="18" hidden="false" customHeight="false" outlineLevel="0" collapsed="false">
      <c r="E229" s="306"/>
      <c r="H229" s="195"/>
      <c r="I229" s="195"/>
      <c r="J229" s="195"/>
    </row>
    <row r="230" s="2" customFormat="true" ht="18" hidden="false" customHeight="false" outlineLevel="0" collapsed="false">
      <c r="E230" s="306"/>
      <c r="H230" s="195"/>
      <c r="I230" s="195"/>
      <c r="J230" s="195"/>
    </row>
    <row r="231" s="2" customFormat="true" ht="18" hidden="false" customHeight="false" outlineLevel="0" collapsed="false">
      <c r="E231" s="306"/>
      <c r="H231" s="195"/>
      <c r="I231" s="195"/>
      <c r="J231" s="195"/>
    </row>
    <row r="232" s="2" customFormat="true" ht="18" hidden="false" customHeight="false" outlineLevel="0" collapsed="false">
      <c r="E232" s="306"/>
      <c r="H232" s="195"/>
      <c r="I232" s="195"/>
      <c r="J232" s="195"/>
    </row>
    <row r="233" s="2" customFormat="true" ht="18" hidden="false" customHeight="false" outlineLevel="0" collapsed="false">
      <c r="E233" s="306"/>
      <c r="H233" s="195"/>
      <c r="I233" s="195"/>
      <c r="J233" s="195"/>
    </row>
    <row r="234" s="2" customFormat="true" ht="18" hidden="false" customHeight="false" outlineLevel="0" collapsed="false">
      <c r="E234" s="306"/>
      <c r="H234" s="195"/>
      <c r="I234" s="195"/>
      <c r="J234" s="195"/>
    </row>
    <row r="235" s="2" customFormat="true" ht="18" hidden="false" customHeight="false" outlineLevel="0" collapsed="false">
      <c r="E235" s="306"/>
      <c r="H235" s="195"/>
      <c r="I235" s="195"/>
      <c r="J235" s="195"/>
    </row>
    <row r="236" s="2" customFormat="true" ht="18" hidden="false" customHeight="false" outlineLevel="0" collapsed="false">
      <c r="E236" s="306"/>
      <c r="H236" s="195"/>
      <c r="I236" s="195"/>
      <c r="J236" s="195"/>
    </row>
    <row r="237" s="2" customFormat="true" ht="18" hidden="false" customHeight="false" outlineLevel="0" collapsed="false">
      <c r="E237" s="306"/>
      <c r="H237" s="195"/>
      <c r="I237" s="195"/>
      <c r="J237" s="195"/>
    </row>
    <row r="238" s="2" customFormat="true" ht="18" hidden="false" customHeight="false" outlineLevel="0" collapsed="false">
      <c r="E238" s="306"/>
      <c r="H238" s="195"/>
      <c r="I238" s="195"/>
      <c r="J238" s="195"/>
    </row>
    <row r="239" s="2" customFormat="true" ht="18" hidden="false" customHeight="false" outlineLevel="0" collapsed="false">
      <c r="E239" s="306"/>
      <c r="H239" s="195"/>
      <c r="I239" s="195"/>
      <c r="J239" s="195"/>
    </row>
    <row r="240" s="2" customFormat="true" ht="18" hidden="false" customHeight="false" outlineLevel="0" collapsed="false">
      <c r="E240" s="306"/>
      <c r="H240" s="195"/>
      <c r="I240" s="195"/>
      <c r="J240" s="195"/>
    </row>
    <row r="241" s="2" customFormat="true" ht="18" hidden="false" customHeight="false" outlineLevel="0" collapsed="false">
      <c r="E241" s="306"/>
      <c r="H241" s="195"/>
      <c r="I241" s="195"/>
      <c r="J241" s="195"/>
    </row>
    <row r="242" s="2" customFormat="true" ht="18" hidden="false" customHeight="false" outlineLevel="0" collapsed="false">
      <c r="E242" s="306"/>
      <c r="H242" s="195"/>
      <c r="I242" s="195"/>
      <c r="J242" s="195"/>
    </row>
    <row r="243" s="2" customFormat="true" ht="18" hidden="false" customHeight="false" outlineLevel="0" collapsed="false">
      <c r="E243" s="306"/>
      <c r="H243" s="195"/>
      <c r="I243" s="195"/>
      <c r="J243" s="195"/>
    </row>
    <row r="244" s="2" customFormat="true" ht="18" hidden="false" customHeight="false" outlineLevel="0" collapsed="false">
      <c r="E244" s="306"/>
      <c r="H244" s="195"/>
      <c r="I244" s="195"/>
      <c r="J244" s="195"/>
    </row>
    <row r="245" s="2" customFormat="true" ht="18" hidden="false" customHeight="false" outlineLevel="0" collapsed="false">
      <c r="E245" s="306"/>
      <c r="H245" s="195"/>
      <c r="I245" s="195"/>
      <c r="J245" s="195"/>
    </row>
    <row r="246" s="2" customFormat="true" ht="18" hidden="false" customHeight="false" outlineLevel="0" collapsed="false">
      <c r="E246" s="306"/>
      <c r="H246" s="195"/>
      <c r="I246" s="195"/>
      <c r="J246" s="195"/>
    </row>
    <row r="247" s="2" customFormat="true" ht="18" hidden="false" customHeight="false" outlineLevel="0" collapsed="false">
      <c r="E247" s="306"/>
      <c r="H247" s="195"/>
      <c r="I247" s="195"/>
      <c r="J247" s="195"/>
    </row>
    <row r="248" s="2" customFormat="true" ht="18" hidden="false" customHeight="false" outlineLevel="0" collapsed="false">
      <c r="E248" s="306"/>
      <c r="H248" s="195"/>
      <c r="I248" s="195"/>
      <c r="J248" s="195"/>
    </row>
    <row r="249" s="2" customFormat="true" ht="18" hidden="false" customHeight="false" outlineLevel="0" collapsed="false">
      <c r="E249" s="306"/>
      <c r="H249" s="195"/>
      <c r="I249" s="195"/>
      <c r="J249" s="195"/>
    </row>
    <row r="250" s="2" customFormat="true" ht="18" hidden="false" customHeight="false" outlineLevel="0" collapsed="false">
      <c r="E250" s="306"/>
      <c r="H250" s="195"/>
      <c r="I250" s="195"/>
      <c r="J250" s="195"/>
    </row>
    <row r="251" s="2" customFormat="true" ht="18" hidden="false" customHeight="false" outlineLevel="0" collapsed="false">
      <c r="E251" s="306"/>
      <c r="H251" s="195"/>
      <c r="I251" s="195"/>
      <c r="J251" s="195"/>
    </row>
    <row r="252" s="2" customFormat="true" ht="18" hidden="false" customHeight="false" outlineLevel="0" collapsed="false">
      <c r="E252" s="306"/>
      <c r="H252" s="195"/>
      <c r="I252" s="195"/>
      <c r="J252" s="195"/>
    </row>
    <row r="253" s="2" customFormat="true" ht="18" hidden="false" customHeight="false" outlineLevel="0" collapsed="false">
      <c r="E253" s="306"/>
      <c r="H253" s="195"/>
      <c r="I253" s="195"/>
      <c r="J253" s="195"/>
    </row>
    <row r="254" s="2" customFormat="true" ht="18" hidden="false" customHeight="false" outlineLevel="0" collapsed="false">
      <c r="E254" s="306"/>
      <c r="H254" s="195"/>
      <c r="I254" s="195"/>
      <c r="J254" s="195"/>
    </row>
    <row r="255" s="2" customFormat="true" ht="18" hidden="false" customHeight="false" outlineLevel="0" collapsed="false">
      <c r="E255" s="306"/>
      <c r="H255" s="195"/>
      <c r="I255" s="195"/>
      <c r="J255" s="195"/>
    </row>
    <row r="256" s="2" customFormat="true" ht="18" hidden="false" customHeight="false" outlineLevel="0" collapsed="false">
      <c r="E256" s="306"/>
      <c r="H256" s="195"/>
      <c r="I256" s="195"/>
      <c r="J256" s="195"/>
    </row>
    <row r="257" s="2" customFormat="true" ht="18" hidden="false" customHeight="false" outlineLevel="0" collapsed="false">
      <c r="E257" s="306"/>
      <c r="H257" s="195"/>
      <c r="I257" s="195"/>
      <c r="J257" s="195"/>
    </row>
    <row r="258" s="2" customFormat="true" ht="18" hidden="false" customHeight="false" outlineLevel="0" collapsed="false">
      <c r="E258" s="306"/>
      <c r="H258" s="195"/>
      <c r="I258" s="195"/>
      <c r="J258" s="195"/>
    </row>
    <row r="259" s="2" customFormat="true" ht="18" hidden="false" customHeight="false" outlineLevel="0" collapsed="false">
      <c r="E259" s="306"/>
      <c r="H259" s="195"/>
      <c r="I259" s="195"/>
      <c r="J259" s="195"/>
    </row>
    <row r="260" s="2" customFormat="true" ht="18" hidden="false" customHeight="false" outlineLevel="0" collapsed="false">
      <c r="E260" s="306"/>
      <c r="H260" s="195"/>
      <c r="I260" s="195"/>
      <c r="J260" s="195"/>
    </row>
    <row r="261" s="2" customFormat="true" ht="18" hidden="false" customHeight="false" outlineLevel="0" collapsed="false">
      <c r="E261" s="306"/>
      <c r="H261" s="195"/>
      <c r="I261" s="195"/>
      <c r="J261" s="195"/>
    </row>
    <row r="262" s="2" customFormat="true" ht="18" hidden="false" customHeight="false" outlineLevel="0" collapsed="false">
      <c r="E262" s="306"/>
      <c r="H262" s="195"/>
      <c r="I262" s="195"/>
      <c r="J262" s="195"/>
    </row>
    <row r="263" s="2" customFormat="true" ht="18" hidden="false" customHeight="false" outlineLevel="0" collapsed="false">
      <c r="E263" s="306"/>
      <c r="H263" s="195"/>
      <c r="I263" s="195"/>
      <c r="J263" s="195"/>
    </row>
    <row r="264" s="2" customFormat="true" ht="18" hidden="false" customHeight="false" outlineLevel="0" collapsed="false">
      <c r="E264" s="306"/>
      <c r="H264" s="195"/>
      <c r="I264" s="195"/>
      <c r="J264" s="195"/>
    </row>
    <row r="265" s="2" customFormat="true" ht="18" hidden="false" customHeight="false" outlineLevel="0" collapsed="false">
      <c r="E265" s="306"/>
      <c r="H265" s="195"/>
      <c r="I265" s="195"/>
      <c r="J265" s="195"/>
    </row>
    <row r="266" s="2" customFormat="true" ht="18" hidden="false" customHeight="false" outlineLevel="0" collapsed="false">
      <c r="E266" s="306"/>
      <c r="H266" s="195"/>
      <c r="I266" s="195"/>
      <c r="J266" s="195"/>
    </row>
    <row r="267" s="2" customFormat="true" ht="18" hidden="false" customHeight="false" outlineLevel="0" collapsed="false">
      <c r="E267" s="306"/>
      <c r="H267" s="195"/>
      <c r="I267" s="195"/>
      <c r="J267" s="195"/>
    </row>
    <row r="268" s="2" customFormat="true" ht="18" hidden="false" customHeight="false" outlineLevel="0" collapsed="false">
      <c r="E268" s="306"/>
      <c r="H268" s="195"/>
      <c r="I268" s="195"/>
      <c r="J268" s="195"/>
    </row>
    <row r="269" s="2" customFormat="true" ht="18" hidden="false" customHeight="false" outlineLevel="0" collapsed="false">
      <c r="E269" s="306"/>
      <c r="H269" s="195"/>
      <c r="I269" s="195"/>
      <c r="J269" s="195"/>
    </row>
    <row r="270" s="2" customFormat="true" ht="18" hidden="false" customHeight="false" outlineLevel="0" collapsed="false">
      <c r="E270" s="306"/>
      <c r="H270" s="195"/>
      <c r="I270" s="195"/>
      <c r="J270" s="195"/>
    </row>
    <row r="271" s="2" customFormat="true" ht="18" hidden="false" customHeight="false" outlineLevel="0" collapsed="false">
      <c r="E271" s="306"/>
      <c r="H271" s="195"/>
      <c r="I271" s="195"/>
      <c r="J271" s="195"/>
    </row>
    <row r="272" s="2" customFormat="true" ht="18" hidden="false" customHeight="false" outlineLevel="0" collapsed="false">
      <c r="E272" s="306"/>
      <c r="H272" s="195"/>
      <c r="I272" s="195"/>
      <c r="J272" s="195"/>
    </row>
    <row r="273" s="2" customFormat="true" ht="18" hidden="false" customHeight="false" outlineLevel="0" collapsed="false">
      <c r="E273" s="306"/>
      <c r="H273" s="195"/>
      <c r="I273" s="195"/>
      <c r="J273" s="195"/>
    </row>
    <row r="274" s="2" customFormat="true" ht="18" hidden="false" customHeight="false" outlineLevel="0" collapsed="false">
      <c r="E274" s="306"/>
      <c r="H274" s="195"/>
      <c r="I274" s="195"/>
      <c r="J274" s="195"/>
    </row>
    <row r="275" s="2" customFormat="true" ht="18" hidden="false" customHeight="false" outlineLevel="0" collapsed="false">
      <c r="E275" s="306"/>
      <c r="H275" s="195"/>
      <c r="I275" s="195"/>
      <c r="J275" s="195"/>
    </row>
    <row r="276" s="2" customFormat="true" ht="18" hidden="false" customHeight="false" outlineLevel="0" collapsed="false">
      <c r="E276" s="306"/>
      <c r="H276" s="195"/>
      <c r="I276" s="195"/>
      <c r="J276" s="195"/>
    </row>
    <row r="277" s="2" customFormat="true" ht="18" hidden="false" customHeight="false" outlineLevel="0" collapsed="false">
      <c r="E277" s="306"/>
      <c r="H277" s="195"/>
      <c r="I277" s="195"/>
      <c r="J277" s="195"/>
    </row>
    <row r="278" s="2" customFormat="true" ht="18" hidden="false" customHeight="false" outlineLevel="0" collapsed="false">
      <c r="E278" s="306"/>
      <c r="H278" s="195"/>
      <c r="I278" s="195"/>
      <c r="J278" s="195"/>
    </row>
    <row r="279" s="2" customFormat="true" ht="18" hidden="false" customHeight="false" outlineLevel="0" collapsed="false">
      <c r="E279" s="306"/>
      <c r="H279" s="195"/>
      <c r="I279" s="195"/>
      <c r="J279" s="195"/>
    </row>
    <row r="280" s="2" customFormat="true" ht="18" hidden="false" customHeight="false" outlineLevel="0" collapsed="false">
      <c r="E280" s="306"/>
      <c r="H280" s="195"/>
      <c r="I280" s="195"/>
      <c r="J280" s="195"/>
    </row>
    <row r="281" s="2" customFormat="true" ht="18" hidden="false" customHeight="false" outlineLevel="0" collapsed="false">
      <c r="E281" s="306"/>
      <c r="H281" s="195"/>
      <c r="I281" s="195"/>
      <c r="J281" s="195"/>
    </row>
    <row r="282" s="2" customFormat="true" ht="18" hidden="false" customHeight="false" outlineLevel="0" collapsed="false">
      <c r="E282" s="306"/>
      <c r="H282" s="195"/>
      <c r="I282" s="195"/>
      <c r="J282" s="195"/>
    </row>
    <row r="283" s="2" customFormat="true" ht="18" hidden="false" customHeight="false" outlineLevel="0" collapsed="false">
      <c r="E283" s="306"/>
      <c r="H283" s="195"/>
      <c r="I283" s="195"/>
      <c r="J283" s="195"/>
    </row>
    <row r="284" s="2" customFormat="true" ht="18" hidden="false" customHeight="false" outlineLevel="0" collapsed="false">
      <c r="E284" s="306"/>
      <c r="H284" s="195"/>
      <c r="I284" s="195"/>
      <c r="J284" s="195"/>
    </row>
    <row r="285" s="2" customFormat="true" ht="18" hidden="false" customHeight="false" outlineLevel="0" collapsed="false">
      <c r="E285" s="306"/>
      <c r="H285" s="195"/>
      <c r="I285" s="195"/>
      <c r="J285" s="195"/>
    </row>
    <row r="286" s="2" customFormat="true" ht="18" hidden="false" customHeight="false" outlineLevel="0" collapsed="false">
      <c r="E286" s="306"/>
      <c r="H286" s="195"/>
      <c r="I286" s="195"/>
      <c r="J286" s="195"/>
    </row>
    <row r="287" s="2" customFormat="true" ht="18" hidden="false" customHeight="false" outlineLevel="0" collapsed="false">
      <c r="E287" s="306"/>
      <c r="H287" s="195"/>
      <c r="I287" s="195"/>
      <c r="J287" s="195"/>
    </row>
    <row r="288" s="2" customFormat="true" ht="18" hidden="false" customHeight="false" outlineLevel="0" collapsed="false">
      <c r="E288" s="306"/>
      <c r="H288" s="195"/>
      <c r="I288" s="195"/>
      <c r="J288" s="195"/>
    </row>
    <row r="289" s="2" customFormat="true" ht="18" hidden="false" customHeight="false" outlineLevel="0" collapsed="false">
      <c r="E289" s="306"/>
      <c r="H289" s="195"/>
      <c r="I289" s="195"/>
      <c r="J289" s="195"/>
    </row>
    <row r="290" s="2" customFormat="true" ht="18" hidden="false" customHeight="false" outlineLevel="0" collapsed="false">
      <c r="E290" s="306"/>
      <c r="H290" s="195"/>
      <c r="I290" s="195"/>
      <c r="J290" s="195"/>
    </row>
    <row r="291" s="2" customFormat="true" ht="18" hidden="false" customHeight="false" outlineLevel="0" collapsed="false">
      <c r="E291" s="306"/>
      <c r="H291" s="195"/>
      <c r="I291" s="195"/>
      <c r="J291" s="195"/>
    </row>
    <row r="292" s="2" customFormat="true" ht="18" hidden="false" customHeight="false" outlineLevel="0" collapsed="false">
      <c r="E292" s="306"/>
      <c r="H292" s="195"/>
      <c r="I292" s="195"/>
      <c r="J292" s="195"/>
    </row>
    <row r="293" s="2" customFormat="true" ht="18" hidden="false" customHeight="false" outlineLevel="0" collapsed="false">
      <c r="E293" s="306"/>
      <c r="H293" s="195"/>
      <c r="I293" s="195"/>
      <c r="J293" s="195"/>
    </row>
    <row r="294" s="2" customFormat="true" ht="18" hidden="false" customHeight="false" outlineLevel="0" collapsed="false">
      <c r="E294" s="306"/>
      <c r="H294" s="195"/>
      <c r="I294" s="195"/>
      <c r="J294" s="195"/>
    </row>
    <row r="295" s="2" customFormat="true" ht="18" hidden="false" customHeight="false" outlineLevel="0" collapsed="false">
      <c r="E295" s="306"/>
      <c r="H295" s="195"/>
      <c r="I295" s="195"/>
      <c r="J295" s="195"/>
    </row>
    <row r="296" s="2" customFormat="true" ht="18" hidden="false" customHeight="false" outlineLevel="0" collapsed="false">
      <c r="E296" s="306"/>
      <c r="H296" s="195"/>
      <c r="I296" s="195"/>
      <c r="J296" s="195"/>
    </row>
    <row r="297" s="2" customFormat="true" ht="18" hidden="false" customHeight="false" outlineLevel="0" collapsed="false">
      <c r="E297" s="306"/>
      <c r="H297" s="195"/>
      <c r="I297" s="195"/>
      <c r="J297" s="195"/>
    </row>
    <row r="298" s="2" customFormat="true" ht="18" hidden="false" customHeight="false" outlineLevel="0" collapsed="false">
      <c r="E298" s="306"/>
      <c r="H298" s="195"/>
      <c r="I298" s="195"/>
      <c r="J298" s="195"/>
    </row>
    <row r="299" s="2" customFormat="true" ht="18" hidden="false" customHeight="false" outlineLevel="0" collapsed="false">
      <c r="E299" s="306"/>
      <c r="H299" s="195"/>
      <c r="I299" s="195"/>
      <c r="J299" s="195"/>
    </row>
    <row r="300" s="2" customFormat="true" ht="18" hidden="false" customHeight="false" outlineLevel="0" collapsed="false">
      <c r="E300" s="306"/>
      <c r="H300" s="195"/>
      <c r="I300" s="195"/>
      <c r="J300" s="195"/>
    </row>
    <row r="301" s="2" customFormat="true" ht="18" hidden="false" customHeight="false" outlineLevel="0" collapsed="false">
      <c r="E301" s="306"/>
      <c r="H301" s="195"/>
      <c r="I301" s="195"/>
      <c r="J301" s="195"/>
    </row>
    <row r="302" s="2" customFormat="true" ht="18" hidden="false" customHeight="false" outlineLevel="0" collapsed="false">
      <c r="E302" s="306"/>
      <c r="H302" s="195"/>
      <c r="I302" s="195"/>
      <c r="J302" s="195"/>
    </row>
    <row r="303" s="2" customFormat="true" ht="18" hidden="false" customHeight="false" outlineLevel="0" collapsed="false">
      <c r="E303" s="306"/>
      <c r="H303" s="195"/>
      <c r="I303" s="195"/>
      <c r="J303" s="195"/>
    </row>
    <row r="304" s="2" customFormat="true" ht="18" hidden="false" customHeight="false" outlineLevel="0" collapsed="false">
      <c r="E304" s="306"/>
      <c r="H304" s="195"/>
      <c r="I304" s="195"/>
      <c r="J304" s="195"/>
    </row>
    <row r="305" s="2" customFormat="true" ht="18" hidden="false" customHeight="false" outlineLevel="0" collapsed="false">
      <c r="E305" s="306"/>
      <c r="H305" s="195"/>
      <c r="I305" s="195"/>
      <c r="J305" s="195"/>
    </row>
    <row r="306" s="2" customFormat="true" ht="18" hidden="false" customHeight="false" outlineLevel="0" collapsed="false">
      <c r="E306" s="306"/>
      <c r="H306" s="195"/>
      <c r="I306" s="195"/>
      <c r="J306" s="195"/>
    </row>
    <row r="307" s="2" customFormat="true" ht="18" hidden="false" customHeight="false" outlineLevel="0" collapsed="false">
      <c r="E307" s="306"/>
      <c r="H307" s="195"/>
      <c r="I307" s="195"/>
      <c r="J307" s="195"/>
    </row>
    <row r="308" s="2" customFormat="true" ht="18" hidden="false" customHeight="false" outlineLevel="0" collapsed="false">
      <c r="E308" s="306"/>
      <c r="H308" s="195"/>
      <c r="I308" s="195"/>
      <c r="J308" s="195"/>
    </row>
    <row r="309" s="2" customFormat="true" ht="18" hidden="false" customHeight="false" outlineLevel="0" collapsed="false">
      <c r="E309" s="306"/>
      <c r="H309" s="195"/>
      <c r="I309" s="195"/>
      <c r="J309" s="195"/>
    </row>
    <row r="310" s="2" customFormat="true" ht="18" hidden="false" customHeight="false" outlineLevel="0" collapsed="false">
      <c r="E310" s="306"/>
      <c r="H310" s="195"/>
      <c r="I310" s="195"/>
      <c r="J310" s="195"/>
    </row>
    <row r="311" s="2" customFormat="true" ht="18" hidden="false" customHeight="false" outlineLevel="0" collapsed="false">
      <c r="E311" s="306"/>
      <c r="H311" s="195"/>
      <c r="I311" s="195"/>
      <c r="J311" s="195"/>
    </row>
    <row r="312" s="2" customFormat="true" ht="18" hidden="false" customHeight="false" outlineLevel="0" collapsed="false">
      <c r="E312" s="306"/>
      <c r="H312" s="195"/>
      <c r="I312" s="195"/>
      <c r="J312" s="195"/>
    </row>
    <row r="313" s="2" customFormat="true" ht="18" hidden="false" customHeight="false" outlineLevel="0" collapsed="false">
      <c r="E313" s="306"/>
      <c r="H313" s="195"/>
      <c r="I313" s="195"/>
      <c r="J313" s="195"/>
    </row>
    <row r="314" s="2" customFormat="true" ht="18" hidden="false" customHeight="false" outlineLevel="0" collapsed="false">
      <c r="E314" s="306"/>
      <c r="H314" s="195"/>
      <c r="I314" s="195"/>
      <c r="J314" s="195"/>
    </row>
    <row r="315" s="2" customFormat="true" ht="18" hidden="false" customHeight="false" outlineLevel="0" collapsed="false">
      <c r="E315" s="306"/>
      <c r="H315" s="195"/>
      <c r="I315" s="195"/>
      <c r="J315" s="195"/>
    </row>
    <row r="316" s="2" customFormat="true" ht="18" hidden="false" customHeight="false" outlineLevel="0" collapsed="false">
      <c r="E316" s="306"/>
      <c r="H316" s="195"/>
      <c r="I316" s="195"/>
      <c r="J316" s="195"/>
    </row>
    <row r="317" s="2" customFormat="true" ht="18" hidden="false" customHeight="false" outlineLevel="0" collapsed="false">
      <c r="E317" s="306"/>
      <c r="H317" s="195"/>
      <c r="I317" s="195"/>
      <c r="J317" s="195"/>
    </row>
    <row r="318" s="2" customFormat="true" ht="18" hidden="false" customHeight="false" outlineLevel="0" collapsed="false">
      <c r="E318" s="306"/>
      <c r="H318" s="195"/>
      <c r="I318" s="195"/>
      <c r="J318" s="195"/>
    </row>
    <row r="319" s="2" customFormat="true" ht="18" hidden="false" customHeight="false" outlineLevel="0" collapsed="false">
      <c r="E319" s="306"/>
      <c r="H319" s="195"/>
      <c r="I319" s="195"/>
      <c r="J319" s="195"/>
    </row>
    <row r="320" s="2" customFormat="true" ht="18" hidden="false" customHeight="false" outlineLevel="0" collapsed="false">
      <c r="E320" s="306"/>
      <c r="H320" s="195"/>
      <c r="I320" s="195"/>
      <c r="J320" s="195"/>
    </row>
    <row r="321" s="2" customFormat="true" ht="18" hidden="false" customHeight="false" outlineLevel="0" collapsed="false">
      <c r="E321" s="306"/>
      <c r="H321" s="195"/>
      <c r="I321" s="195"/>
      <c r="J321" s="195"/>
    </row>
    <row r="322" s="2" customFormat="true" ht="18" hidden="false" customHeight="false" outlineLevel="0" collapsed="false">
      <c r="E322" s="306"/>
      <c r="H322" s="195"/>
      <c r="I322" s="195"/>
      <c r="J322" s="195"/>
    </row>
    <row r="323" s="2" customFormat="true" ht="18" hidden="false" customHeight="false" outlineLevel="0" collapsed="false">
      <c r="E323" s="306"/>
      <c r="H323" s="195"/>
      <c r="I323" s="195"/>
      <c r="J323" s="195"/>
    </row>
    <row r="324" s="2" customFormat="true" ht="18" hidden="false" customHeight="false" outlineLevel="0" collapsed="false">
      <c r="E324" s="306"/>
      <c r="H324" s="195"/>
      <c r="I324" s="195"/>
      <c r="J324" s="195"/>
    </row>
    <row r="325" s="2" customFormat="true" ht="18" hidden="false" customHeight="false" outlineLevel="0" collapsed="false">
      <c r="E325" s="306"/>
      <c r="H325" s="195"/>
      <c r="I325" s="195"/>
      <c r="J325" s="195"/>
    </row>
    <row r="326" s="2" customFormat="true" ht="18" hidden="false" customHeight="false" outlineLevel="0" collapsed="false">
      <c r="E326" s="306"/>
      <c r="H326" s="195"/>
      <c r="I326" s="195"/>
      <c r="J326" s="195"/>
    </row>
    <row r="327" s="2" customFormat="true" ht="18" hidden="false" customHeight="false" outlineLevel="0" collapsed="false">
      <c r="E327" s="306"/>
      <c r="H327" s="195"/>
      <c r="I327" s="195"/>
      <c r="J327" s="195"/>
    </row>
    <row r="328" s="2" customFormat="true" ht="18" hidden="false" customHeight="false" outlineLevel="0" collapsed="false">
      <c r="E328" s="306"/>
      <c r="H328" s="195"/>
      <c r="I328" s="195"/>
      <c r="J328" s="195"/>
    </row>
    <row r="329" s="2" customFormat="true" ht="18" hidden="false" customHeight="false" outlineLevel="0" collapsed="false">
      <c r="E329" s="306"/>
      <c r="H329" s="195"/>
      <c r="I329" s="195"/>
      <c r="J329" s="195"/>
    </row>
    <row r="330" s="2" customFormat="true" ht="18" hidden="false" customHeight="false" outlineLevel="0" collapsed="false">
      <c r="E330" s="306"/>
      <c r="H330" s="195"/>
      <c r="I330" s="195"/>
      <c r="J330" s="195"/>
    </row>
    <row r="331" s="2" customFormat="true" ht="18" hidden="false" customHeight="false" outlineLevel="0" collapsed="false">
      <c r="E331" s="306"/>
      <c r="H331" s="195"/>
      <c r="I331" s="195"/>
      <c r="J331" s="195"/>
    </row>
    <row r="332" s="2" customFormat="true" ht="18" hidden="false" customHeight="false" outlineLevel="0" collapsed="false">
      <c r="E332" s="306"/>
      <c r="H332" s="195"/>
      <c r="I332" s="195"/>
      <c r="J332" s="195"/>
    </row>
    <row r="333" s="2" customFormat="true" ht="18" hidden="false" customHeight="false" outlineLevel="0" collapsed="false">
      <c r="E333" s="306"/>
      <c r="H333" s="195"/>
      <c r="I333" s="195"/>
      <c r="J333" s="195"/>
    </row>
    <row r="334" s="2" customFormat="true" ht="18" hidden="false" customHeight="false" outlineLevel="0" collapsed="false">
      <c r="E334" s="306"/>
      <c r="H334" s="195"/>
      <c r="I334" s="195"/>
      <c r="J334" s="195"/>
    </row>
    <row r="335" s="2" customFormat="true" ht="18" hidden="false" customHeight="false" outlineLevel="0" collapsed="false">
      <c r="E335" s="306"/>
      <c r="H335" s="195"/>
      <c r="I335" s="195"/>
      <c r="J335" s="195"/>
    </row>
    <row r="336" s="2" customFormat="true" ht="18" hidden="false" customHeight="false" outlineLevel="0" collapsed="false">
      <c r="E336" s="306"/>
      <c r="H336" s="195"/>
      <c r="I336" s="195"/>
      <c r="J336" s="195"/>
    </row>
    <row r="337" s="2" customFormat="true" ht="18" hidden="false" customHeight="false" outlineLevel="0" collapsed="false">
      <c r="E337" s="306"/>
      <c r="H337" s="195"/>
      <c r="I337" s="195"/>
      <c r="J337" s="195"/>
    </row>
    <row r="338" s="2" customFormat="true" ht="18" hidden="false" customHeight="false" outlineLevel="0" collapsed="false">
      <c r="E338" s="306"/>
      <c r="H338" s="195"/>
      <c r="I338" s="195"/>
      <c r="J338" s="195"/>
    </row>
    <row r="339" s="2" customFormat="true" ht="18" hidden="false" customHeight="false" outlineLevel="0" collapsed="false">
      <c r="E339" s="306"/>
      <c r="H339" s="195"/>
      <c r="I339" s="195"/>
      <c r="J339" s="195"/>
    </row>
    <row r="340" s="2" customFormat="true" ht="18" hidden="false" customHeight="false" outlineLevel="0" collapsed="false">
      <c r="E340" s="306"/>
      <c r="H340" s="195"/>
      <c r="I340" s="195"/>
      <c r="J340" s="195"/>
    </row>
    <row r="341" s="2" customFormat="true" ht="18" hidden="false" customHeight="false" outlineLevel="0" collapsed="false">
      <c r="E341" s="306"/>
      <c r="H341" s="195"/>
      <c r="I341" s="195"/>
      <c r="J341" s="195"/>
    </row>
    <row r="342" s="2" customFormat="true" ht="18" hidden="false" customHeight="false" outlineLevel="0" collapsed="false">
      <c r="E342" s="306"/>
      <c r="H342" s="195"/>
      <c r="I342" s="195"/>
      <c r="J342" s="195"/>
    </row>
    <row r="343" s="2" customFormat="true" ht="18" hidden="false" customHeight="false" outlineLevel="0" collapsed="false">
      <c r="E343" s="306"/>
      <c r="H343" s="195"/>
      <c r="I343" s="195"/>
      <c r="J343" s="195"/>
    </row>
    <row r="344" s="2" customFormat="true" ht="18" hidden="false" customHeight="false" outlineLevel="0" collapsed="false">
      <c r="E344" s="306"/>
      <c r="H344" s="195"/>
      <c r="I344" s="195"/>
      <c r="J344" s="195"/>
    </row>
    <row r="345" s="2" customFormat="true" ht="18" hidden="false" customHeight="false" outlineLevel="0" collapsed="false">
      <c r="E345" s="306"/>
      <c r="H345" s="195"/>
      <c r="I345" s="195"/>
      <c r="J345" s="195"/>
    </row>
    <row r="346" s="2" customFormat="true" ht="18" hidden="false" customHeight="false" outlineLevel="0" collapsed="false">
      <c r="E346" s="306"/>
      <c r="H346" s="195"/>
      <c r="I346" s="195"/>
      <c r="J346" s="195"/>
    </row>
    <row r="347" s="2" customFormat="true" ht="18" hidden="false" customHeight="false" outlineLevel="0" collapsed="false">
      <c r="E347" s="306"/>
      <c r="H347" s="195"/>
      <c r="I347" s="195"/>
      <c r="J347" s="195"/>
    </row>
    <row r="348" s="2" customFormat="true" ht="18" hidden="false" customHeight="false" outlineLevel="0" collapsed="false">
      <c r="E348" s="306"/>
      <c r="H348" s="195"/>
      <c r="I348" s="195"/>
      <c r="J348" s="195"/>
    </row>
    <row r="349" s="2" customFormat="true" ht="18" hidden="false" customHeight="false" outlineLevel="0" collapsed="false">
      <c r="E349" s="306"/>
      <c r="H349" s="195"/>
      <c r="I349" s="195"/>
      <c r="J349" s="195"/>
    </row>
    <row r="350" s="2" customFormat="true" ht="18" hidden="false" customHeight="false" outlineLevel="0" collapsed="false">
      <c r="E350" s="306"/>
      <c r="H350" s="195"/>
      <c r="I350" s="195"/>
      <c r="J350" s="195"/>
    </row>
    <row r="351" s="2" customFormat="true" ht="18" hidden="false" customHeight="false" outlineLevel="0" collapsed="false">
      <c r="E351" s="306"/>
      <c r="H351" s="195"/>
      <c r="I351" s="195"/>
      <c r="J351" s="195"/>
    </row>
    <row r="352" s="2" customFormat="true" ht="18" hidden="false" customHeight="false" outlineLevel="0" collapsed="false">
      <c r="E352" s="306"/>
      <c r="H352" s="195"/>
      <c r="I352" s="195"/>
      <c r="J352" s="195"/>
    </row>
    <row r="353" s="2" customFormat="true" ht="18" hidden="false" customHeight="false" outlineLevel="0" collapsed="false">
      <c r="E353" s="306"/>
      <c r="H353" s="195"/>
      <c r="I353" s="195"/>
      <c r="J353" s="195"/>
    </row>
    <row r="354" s="2" customFormat="true" ht="18" hidden="false" customHeight="false" outlineLevel="0" collapsed="false">
      <c r="E354" s="306"/>
      <c r="H354" s="195"/>
      <c r="I354" s="195"/>
      <c r="J354" s="195"/>
    </row>
    <row r="355" s="2" customFormat="true" ht="18" hidden="false" customHeight="false" outlineLevel="0" collapsed="false">
      <c r="E355" s="306"/>
      <c r="H355" s="195"/>
      <c r="I355" s="195"/>
      <c r="J355" s="195"/>
    </row>
    <row r="356" s="2" customFormat="true" ht="18" hidden="false" customHeight="false" outlineLevel="0" collapsed="false">
      <c r="E356" s="306"/>
      <c r="H356" s="195"/>
      <c r="I356" s="195"/>
      <c r="J356" s="195"/>
    </row>
    <row r="357" s="2" customFormat="true" ht="18" hidden="false" customHeight="false" outlineLevel="0" collapsed="false">
      <c r="E357" s="306"/>
      <c r="H357" s="195"/>
      <c r="I357" s="195"/>
      <c r="J357" s="195"/>
    </row>
    <row r="358" s="2" customFormat="true" ht="18" hidden="false" customHeight="false" outlineLevel="0" collapsed="false">
      <c r="E358" s="306"/>
      <c r="H358" s="195"/>
      <c r="I358" s="195"/>
      <c r="J358" s="195"/>
    </row>
    <row r="359" s="2" customFormat="true" ht="18" hidden="false" customHeight="false" outlineLevel="0" collapsed="false">
      <c r="E359" s="306"/>
      <c r="H359" s="195"/>
      <c r="I359" s="195"/>
      <c r="J359" s="195"/>
    </row>
    <row r="360" s="2" customFormat="true" ht="18" hidden="false" customHeight="false" outlineLevel="0" collapsed="false">
      <c r="E360" s="306"/>
      <c r="H360" s="195"/>
      <c r="I360" s="195"/>
      <c r="J360" s="195"/>
    </row>
    <row r="361" s="2" customFormat="true" ht="18" hidden="false" customHeight="false" outlineLevel="0" collapsed="false">
      <c r="E361" s="306"/>
      <c r="H361" s="195"/>
      <c r="I361" s="195"/>
      <c r="J361" s="195"/>
    </row>
    <row r="362" s="2" customFormat="true" ht="18" hidden="false" customHeight="false" outlineLevel="0" collapsed="false">
      <c r="E362" s="306"/>
      <c r="H362" s="195"/>
      <c r="I362" s="195"/>
      <c r="J362" s="195"/>
    </row>
    <row r="363" s="2" customFormat="true" ht="18" hidden="false" customHeight="false" outlineLevel="0" collapsed="false">
      <c r="E363" s="306"/>
      <c r="H363" s="195"/>
      <c r="I363" s="195"/>
      <c r="J363" s="195"/>
    </row>
    <row r="364" s="2" customFormat="true" ht="18" hidden="false" customHeight="false" outlineLevel="0" collapsed="false">
      <c r="E364" s="306"/>
      <c r="H364" s="195"/>
      <c r="I364" s="195"/>
      <c r="J364" s="195"/>
    </row>
    <row r="365" s="2" customFormat="true" ht="18" hidden="false" customHeight="false" outlineLevel="0" collapsed="false">
      <c r="E365" s="306"/>
      <c r="H365" s="195"/>
      <c r="I365" s="195"/>
      <c r="J365" s="195"/>
    </row>
    <row r="366" s="2" customFormat="true" ht="18" hidden="false" customHeight="false" outlineLevel="0" collapsed="false">
      <c r="E366" s="306"/>
      <c r="H366" s="195"/>
      <c r="I366" s="195"/>
      <c r="J366" s="195"/>
    </row>
    <row r="367" s="2" customFormat="true" ht="18" hidden="false" customHeight="false" outlineLevel="0" collapsed="false">
      <c r="E367" s="306"/>
      <c r="H367" s="195"/>
      <c r="I367" s="195"/>
      <c r="J367" s="195"/>
    </row>
    <row r="368" s="2" customFormat="true" ht="18" hidden="false" customHeight="false" outlineLevel="0" collapsed="false">
      <c r="E368" s="306"/>
      <c r="H368" s="195"/>
      <c r="I368" s="195"/>
      <c r="J368" s="195"/>
    </row>
    <row r="369" s="2" customFormat="true" ht="18" hidden="false" customHeight="false" outlineLevel="0" collapsed="false">
      <c r="E369" s="306"/>
      <c r="H369" s="195"/>
      <c r="I369" s="195"/>
      <c r="J369" s="195"/>
    </row>
    <row r="370" s="2" customFormat="true" ht="18" hidden="false" customHeight="false" outlineLevel="0" collapsed="false">
      <c r="E370" s="306"/>
      <c r="H370" s="195"/>
      <c r="I370" s="195"/>
      <c r="J370" s="195"/>
    </row>
    <row r="371" s="2" customFormat="true" ht="18" hidden="false" customHeight="false" outlineLevel="0" collapsed="false">
      <c r="E371" s="306"/>
      <c r="H371" s="195"/>
      <c r="I371" s="195"/>
      <c r="J371" s="195"/>
    </row>
    <row r="372" s="2" customFormat="true" ht="18" hidden="false" customHeight="false" outlineLevel="0" collapsed="false">
      <c r="E372" s="306"/>
      <c r="H372" s="195"/>
      <c r="I372" s="195"/>
      <c r="J372" s="195"/>
    </row>
    <row r="373" s="2" customFormat="true" ht="18" hidden="false" customHeight="false" outlineLevel="0" collapsed="false">
      <c r="E373" s="306"/>
      <c r="H373" s="195"/>
      <c r="I373" s="195"/>
      <c r="J373" s="195"/>
    </row>
    <row r="374" s="2" customFormat="true" ht="18" hidden="false" customHeight="false" outlineLevel="0" collapsed="false">
      <c r="E374" s="306"/>
      <c r="H374" s="195"/>
      <c r="I374" s="195"/>
      <c r="J374" s="195"/>
    </row>
    <row r="375" s="2" customFormat="true" ht="18" hidden="false" customHeight="false" outlineLevel="0" collapsed="false">
      <c r="E375" s="306"/>
      <c r="H375" s="195"/>
      <c r="I375" s="195"/>
      <c r="J375" s="195"/>
    </row>
    <row r="376" s="2" customFormat="true" ht="18" hidden="false" customHeight="false" outlineLevel="0" collapsed="false">
      <c r="E376" s="306"/>
      <c r="H376" s="195"/>
      <c r="I376" s="195"/>
      <c r="J376" s="195"/>
    </row>
    <row r="377" s="2" customFormat="true" ht="18" hidden="false" customHeight="false" outlineLevel="0" collapsed="false">
      <c r="E377" s="306"/>
      <c r="H377" s="195"/>
      <c r="I377" s="195"/>
      <c r="J377" s="195"/>
    </row>
    <row r="378" s="2" customFormat="true" ht="18" hidden="false" customHeight="false" outlineLevel="0" collapsed="false">
      <c r="E378" s="306"/>
      <c r="H378" s="195"/>
      <c r="I378" s="195"/>
      <c r="J378" s="195"/>
    </row>
    <row r="379" s="2" customFormat="true" ht="18" hidden="false" customHeight="false" outlineLevel="0" collapsed="false">
      <c r="E379" s="306"/>
      <c r="H379" s="195"/>
      <c r="I379" s="195"/>
      <c r="J379" s="195"/>
    </row>
    <row r="380" s="2" customFormat="true" ht="18" hidden="false" customHeight="false" outlineLevel="0" collapsed="false">
      <c r="E380" s="306"/>
      <c r="H380" s="195"/>
      <c r="I380" s="195"/>
      <c r="J380" s="195"/>
    </row>
    <row r="381" s="2" customFormat="true" ht="18" hidden="false" customHeight="false" outlineLevel="0" collapsed="false">
      <c r="E381" s="306"/>
      <c r="H381" s="195"/>
      <c r="I381" s="195"/>
      <c r="J381" s="195"/>
    </row>
    <row r="382" s="2" customFormat="true" ht="18" hidden="false" customHeight="false" outlineLevel="0" collapsed="false">
      <c r="E382" s="306"/>
      <c r="H382" s="195"/>
      <c r="I382" s="195"/>
      <c r="J382" s="195"/>
    </row>
    <row r="383" s="2" customFormat="true" ht="18" hidden="false" customHeight="false" outlineLevel="0" collapsed="false">
      <c r="E383" s="306"/>
      <c r="H383" s="195"/>
      <c r="I383" s="195"/>
      <c r="J383" s="195"/>
    </row>
    <row r="384" s="2" customFormat="true" ht="18" hidden="false" customHeight="false" outlineLevel="0" collapsed="false">
      <c r="E384" s="306"/>
      <c r="H384" s="195"/>
      <c r="I384" s="195"/>
      <c r="J384" s="195"/>
    </row>
    <row r="385" s="2" customFormat="true" ht="18" hidden="false" customHeight="false" outlineLevel="0" collapsed="false">
      <c r="E385" s="306"/>
      <c r="H385" s="195"/>
      <c r="I385" s="195"/>
      <c r="J385" s="195"/>
    </row>
    <row r="386" s="2" customFormat="true" ht="18" hidden="false" customHeight="false" outlineLevel="0" collapsed="false">
      <c r="E386" s="306"/>
      <c r="H386" s="195"/>
      <c r="I386" s="195"/>
      <c r="J386" s="195"/>
    </row>
    <row r="387" s="2" customFormat="true" ht="18" hidden="false" customHeight="false" outlineLevel="0" collapsed="false">
      <c r="E387" s="306"/>
      <c r="H387" s="195"/>
      <c r="I387" s="195"/>
      <c r="J387" s="195"/>
    </row>
    <row r="388" s="2" customFormat="true" ht="18" hidden="false" customHeight="false" outlineLevel="0" collapsed="false">
      <c r="E388" s="306"/>
      <c r="H388" s="195"/>
      <c r="I388" s="195"/>
      <c r="J388" s="195"/>
    </row>
    <row r="389" s="2" customFormat="true" ht="18" hidden="false" customHeight="false" outlineLevel="0" collapsed="false">
      <c r="E389" s="306"/>
      <c r="H389" s="195"/>
      <c r="I389" s="195"/>
      <c r="J389" s="195"/>
    </row>
    <row r="390" s="2" customFormat="true" ht="18" hidden="false" customHeight="false" outlineLevel="0" collapsed="false">
      <c r="E390" s="306"/>
      <c r="H390" s="195"/>
      <c r="I390" s="195"/>
      <c r="J390" s="195"/>
    </row>
    <row r="391" s="2" customFormat="true" ht="18" hidden="false" customHeight="false" outlineLevel="0" collapsed="false">
      <c r="E391" s="306"/>
      <c r="H391" s="195"/>
      <c r="I391" s="195"/>
      <c r="J391" s="195"/>
    </row>
    <row r="392" s="2" customFormat="true" ht="18" hidden="false" customHeight="false" outlineLevel="0" collapsed="false">
      <c r="E392" s="306"/>
      <c r="H392" s="195"/>
      <c r="I392" s="195"/>
      <c r="J392" s="195"/>
    </row>
    <row r="393" s="2" customFormat="true" ht="18" hidden="false" customHeight="false" outlineLevel="0" collapsed="false">
      <c r="E393" s="306"/>
      <c r="H393" s="195"/>
      <c r="I393" s="195"/>
      <c r="J393" s="195"/>
    </row>
    <row r="394" s="2" customFormat="true" ht="18" hidden="false" customHeight="false" outlineLevel="0" collapsed="false">
      <c r="E394" s="306"/>
      <c r="H394" s="195"/>
      <c r="I394" s="195"/>
      <c r="J394" s="195"/>
    </row>
    <row r="395" s="2" customFormat="true" ht="18" hidden="false" customHeight="false" outlineLevel="0" collapsed="false">
      <c r="E395" s="306"/>
      <c r="H395" s="195"/>
      <c r="I395" s="195"/>
      <c r="J395" s="195"/>
    </row>
    <row r="396" s="2" customFormat="true" ht="18" hidden="false" customHeight="false" outlineLevel="0" collapsed="false">
      <c r="E396" s="306"/>
      <c r="H396" s="195"/>
      <c r="I396" s="195"/>
      <c r="J396" s="195"/>
    </row>
    <row r="397" s="2" customFormat="true" ht="18" hidden="false" customHeight="false" outlineLevel="0" collapsed="false">
      <c r="E397" s="306"/>
      <c r="H397" s="195"/>
      <c r="I397" s="195"/>
      <c r="J397" s="195"/>
    </row>
    <row r="398" s="2" customFormat="true" ht="18" hidden="false" customHeight="false" outlineLevel="0" collapsed="false">
      <c r="E398" s="306"/>
      <c r="H398" s="195"/>
      <c r="I398" s="195"/>
      <c r="J398" s="195"/>
    </row>
    <row r="399" s="2" customFormat="true" ht="18" hidden="false" customHeight="false" outlineLevel="0" collapsed="false">
      <c r="E399" s="306"/>
      <c r="H399" s="195"/>
      <c r="I399" s="195"/>
      <c r="J399" s="195"/>
    </row>
    <row r="400" s="2" customFormat="true" ht="18" hidden="false" customHeight="false" outlineLevel="0" collapsed="false">
      <c r="E400" s="306"/>
      <c r="H400" s="195"/>
      <c r="I400" s="195"/>
      <c r="J400" s="195"/>
    </row>
    <row r="401" s="2" customFormat="true" ht="18" hidden="false" customHeight="false" outlineLevel="0" collapsed="false">
      <c r="E401" s="306"/>
      <c r="H401" s="195"/>
      <c r="I401" s="195"/>
      <c r="J401" s="195"/>
    </row>
    <row r="402" s="2" customFormat="true" ht="18" hidden="false" customHeight="false" outlineLevel="0" collapsed="false">
      <c r="E402" s="306"/>
      <c r="H402" s="195"/>
      <c r="I402" s="195"/>
      <c r="J402" s="195"/>
    </row>
    <row r="403" s="2" customFormat="true" ht="18" hidden="false" customHeight="false" outlineLevel="0" collapsed="false">
      <c r="E403" s="306"/>
      <c r="H403" s="195"/>
      <c r="I403" s="195"/>
      <c r="J403" s="195"/>
    </row>
    <row r="404" s="2" customFormat="true" ht="18" hidden="false" customHeight="false" outlineLevel="0" collapsed="false">
      <c r="E404" s="306"/>
      <c r="H404" s="195"/>
      <c r="I404" s="195"/>
      <c r="J404" s="195"/>
    </row>
    <row r="405" s="2" customFormat="true" ht="18" hidden="false" customHeight="false" outlineLevel="0" collapsed="false">
      <c r="E405" s="306"/>
      <c r="H405" s="195"/>
      <c r="I405" s="195"/>
      <c r="J405" s="195"/>
    </row>
    <row r="406" s="2" customFormat="true" ht="18" hidden="false" customHeight="false" outlineLevel="0" collapsed="false">
      <c r="E406" s="306"/>
      <c r="H406" s="195"/>
      <c r="I406" s="195"/>
      <c r="J406" s="195"/>
    </row>
    <row r="407" s="2" customFormat="true" ht="18" hidden="false" customHeight="false" outlineLevel="0" collapsed="false">
      <c r="E407" s="306"/>
      <c r="H407" s="195"/>
      <c r="I407" s="195"/>
      <c r="J407" s="195"/>
    </row>
    <row r="408" s="2" customFormat="true" ht="18" hidden="false" customHeight="false" outlineLevel="0" collapsed="false">
      <c r="E408" s="306"/>
      <c r="H408" s="195"/>
      <c r="I408" s="195"/>
      <c r="J408" s="195"/>
    </row>
    <row r="409" s="2" customFormat="true" ht="18" hidden="false" customHeight="false" outlineLevel="0" collapsed="false">
      <c r="E409" s="306"/>
      <c r="H409" s="195"/>
      <c r="I409" s="195"/>
      <c r="J409" s="195"/>
    </row>
    <row r="410" s="2" customFormat="true" ht="18" hidden="false" customHeight="false" outlineLevel="0" collapsed="false">
      <c r="E410" s="306"/>
      <c r="H410" s="195"/>
      <c r="I410" s="195"/>
      <c r="J410" s="195"/>
    </row>
    <row r="411" s="2" customFormat="true" ht="18" hidden="false" customHeight="false" outlineLevel="0" collapsed="false">
      <c r="E411" s="306"/>
      <c r="H411" s="195"/>
      <c r="I411" s="195"/>
      <c r="J411" s="195"/>
    </row>
    <row r="412" s="2" customFormat="true" ht="18" hidden="false" customHeight="false" outlineLevel="0" collapsed="false">
      <c r="E412" s="306"/>
      <c r="H412" s="195"/>
      <c r="I412" s="195"/>
      <c r="J412" s="195"/>
    </row>
    <row r="413" s="2" customFormat="true" ht="18" hidden="false" customHeight="false" outlineLevel="0" collapsed="false">
      <c r="E413" s="306"/>
      <c r="H413" s="195"/>
      <c r="I413" s="195"/>
      <c r="J413" s="195"/>
    </row>
    <row r="414" s="2" customFormat="true" ht="18" hidden="false" customHeight="false" outlineLevel="0" collapsed="false">
      <c r="E414" s="306"/>
      <c r="H414" s="195"/>
      <c r="I414" s="195"/>
      <c r="J414" s="195"/>
    </row>
    <row r="415" s="2" customFormat="true" ht="18" hidden="false" customHeight="false" outlineLevel="0" collapsed="false">
      <c r="E415" s="306"/>
      <c r="H415" s="195"/>
      <c r="I415" s="195"/>
      <c r="J415" s="195"/>
    </row>
    <row r="416" s="2" customFormat="true" ht="18" hidden="false" customHeight="false" outlineLevel="0" collapsed="false">
      <c r="E416" s="306"/>
      <c r="H416" s="195"/>
      <c r="I416" s="195"/>
      <c r="J416" s="195"/>
    </row>
    <row r="417" s="2" customFormat="true" ht="18" hidden="false" customHeight="false" outlineLevel="0" collapsed="false">
      <c r="E417" s="306"/>
      <c r="H417" s="195"/>
      <c r="I417" s="195"/>
      <c r="J417" s="195"/>
    </row>
    <row r="418" s="2" customFormat="true" ht="18" hidden="false" customHeight="false" outlineLevel="0" collapsed="false">
      <c r="E418" s="306"/>
      <c r="H418" s="195"/>
      <c r="I418" s="195"/>
      <c r="J418" s="195"/>
    </row>
    <row r="419" s="2" customFormat="true" ht="18" hidden="false" customHeight="false" outlineLevel="0" collapsed="false">
      <c r="E419" s="306"/>
      <c r="H419" s="195"/>
      <c r="I419" s="195"/>
      <c r="J419" s="195"/>
    </row>
    <row r="420" s="2" customFormat="true" ht="18" hidden="false" customHeight="false" outlineLevel="0" collapsed="false">
      <c r="E420" s="306"/>
      <c r="H420" s="195"/>
      <c r="I420" s="195"/>
      <c r="J420" s="195"/>
    </row>
    <row r="421" s="2" customFormat="true" ht="18" hidden="false" customHeight="false" outlineLevel="0" collapsed="false">
      <c r="E421" s="306"/>
      <c r="H421" s="195"/>
      <c r="I421" s="195"/>
      <c r="J421" s="195"/>
    </row>
    <row r="422" s="2" customFormat="true" ht="18" hidden="false" customHeight="false" outlineLevel="0" collapsed="false">
      <c r="E422" s="306"/>
      <c r="H422" s="195"/>
      <c r="I422" s="195"/>
      <c r="J422" s="195"/>
    </row>
    <row r="423" s="2" customFormat="true" ht="18" hidden="false" customHeight="false" outlineLevel="0" collapsed="false">
      <c r="E423" s="306"/>
      <c r="H423" s="195"/>
      <c r="I423" s="195"/>
      <c r="J423" s="195"/>
    </row>
    <row r="424" s="2" customFormat="true" ht="18" hidden="false" customHeight="false" outlineLevel="0" collapsed="false">
      <c r="E424" s="306"/>
      <c r="H424" s="195"/>
      <c r="I424" s="195"/>
      <c r="J424" s="195"/>
    </row>
    <row r="425" s="2" customFormat="true" ht="18" hidden="false" customHeight="false" outlineLevel="0" collapsed="false">
      <c r="E425" s="306"/>
      <c r="H425" s="195"/>
      <c r="I425" s="195"/>
      <c r="J425" s="195"/>
    </row>
    <row r="426" s="2" customFormat="true" ht="18" hidden="false" customHeight="false" outlineLevel="0" collapsed="false">
      <c r="E426" s="306"/>
      <c r="H426" s="195"/>
      <c r="I426" s="195"/>
      <c r="J426" s="195"/>
    </row>
    <row r="427" s="2" customFormat="true" ht="18" hidden="false" customHeight="false" outlineLevel="0" collapsed="false">
      <c r="E427" s="306"/>
      <c r="H427" s="195"/>
      <c r="I427" s="195"/>
      <c r="J427" s="195"/>
    </row>
    <row r="428" s="2" customFormat="true" ht="18" hidden="false" customHeight="false" outlineLevel="0" collapsed="false">
      <c r="E428" s="306"/>
      <c r="H428" s="195"/>
      <c r="I428" s="195"/>
      <c r="J428" s="195"/>
    </row>
    <row r="429" s="2" customFormat="true" ht="18" hidden="false" customHeight="false" outlineLevel="0" collapsed="false">
      <c r="E429" s="306"/>
      <c r="H429" s="195"/>
      <c r="I429" s="195"/>
      <c r="J429" s="195"/>
    </row>
    <row r="430" s="2" customFormat="true" ht="18" hidden="false" customHeight="false" outlineLevel="0" collapsed="false">
      <c r="E430" s="306"/>
      <c r="H430" s="195"/>
      <c r="I430" s="195"/>
      <c r="J430" s="195"/>
    </row>
    <row r="431" s="2" customFormat="true" ht="18" hidden="false" customHeight="false" outlineLevel="0" collapsed="false">
      <c r="E431" s="306"/>
      <c r="H431" s="195"/>
      <c r="I431" s="195"/>
      <c r="J431" s="195"/>
    </row>
    <row r="432" s="2" customFormat="true" ht="18" hidden="false" customHeight="false" outlineLevel="0" collapsed="false">
      <c r="E432" s="306"/>
      <c r="H432" s="195"/>
      <c r="I432" s="195"/>
      <c r="J432" s="195"/>
    </row>
    <row r="433" s="2" customFormat="true" ht="18" hidden="false" customHeight="false" outlineLevel="0" collapsed="false">
      <c r="E433" s="306"/>
      <c r="H433" s="195"/>
      <c r="I433" s="195"/>
      <c r="J433" s="195"/>
    </row>
    <row r="434" s="2" customFormat="true" ht="18" hidden="false" customHeight="false" outlineLevel="0" collapsed="false">
      <c r="E434" s="306"/>
      <c r="H434" s="195"/>
      <c r="I434" s="195"/>
      <c r="J434" s="195"/>
    </row>
    <row r="435" s="2" customFormat="true" ht="18" hidden="false" customHeight="false" outlineLevel="0" collapsed="false">
      <c r="E435" s="306"/>
      <c r="H435" s="195"/>
      <c r="I435" s="195"/>
      <c r="J435" s="195"/>
    </row>
    <row r="436" s="2" customFormat="true" ht="18" hidden="false" customHeight="false" outlineLevel="0" collapsed="false">
      <c r="E436" s="306"/>
      <c r="H436" s="195"/>
      <c r="I436" s="195"/>
      <c r="J436" s="195"/>
    </row>
    <row r="437" s="2" customFormat="true" ht="18" hidden="false" customHeight="false" outlineLevel="0" collapsed="false">
      <c r="E437" s="306"/>
      <c r="H437" s="195"/>
      <c r="I437" s="195"/>
      <c r="J437" s="195"/>
    </row>
    <row r="438" s="2" customFormat="true" ht="18" hidden="false" customHeight="false" outlineLevel="0" collapsed="false">
      <c r="E438" s="306"/>
      <c r="H438" s="195"/>
      <c r="I438" s="195"/>
      <c r="J438" s="195"/>
    </row>
    <row r="439" s="2" customFormat="true" ht="18" hidden="false" customHeight="false" outlineLevel="0" collapsed="false">
      <c r="E439" s="306"/>
      <c r="H439" s="195"/>
      <c r="I439" s="195"/>
      <c r="J439" s="195"/>
    </row>
    <row r="440" s="2" customFormat="true" ht="18" hidden="false" customHeight="false" outlineLevel="0" collapsed="false">
      <c r="E440" s="306"/>
      <c r="H440" s="195"/>
      <c r="I440" s="195"/>
      <c r="J440" s="195"/>
    </row>
    <row r="441" s="2" customFormat="true" ht="18" hidden="false" customHeight="false" outlineLevel="0" collapsed="false">
      <c r="E441" s="306"/>
      <c r="H441" s="195"/>
      <c r="I441" s="195"/>
      <c r="J441" s="195"/>
    </row>
    <row r="442" s="2" customFormat="true" ht="18" hidden="false" customHeight="false" outlineLevel="0" collapsed="false">
      <c r="E442" s="306"/>
      <c r="H442" s="195"/>
      <c r="I442" s="195"/>
      <c r="J442" s="195"/>
    </row>
    <row r="443" s="2" customFormat="true" ht="18" hidden="false" customHeight="false" outlineLevel="0" collapsed="false">
      <c r="E443" s="306"/>
      <c r="H443" s="195"/>
      <c r="I443" s="195"/>
      <c r="J443" s="195"/>
    </row>
    <row r="444" s="2" customFormat="true" ht="18" hidden="false" customHeight="false" outlineLevel="0" collapsed="false">
      <c r="E444" s="306"/>
      <c r="H444" s="195"/>
      <c r="I444" s="195"/>
      <c r="J444" s="195"/>
    </row>
    <row r="445" s="2" customFormat="true" ht="18" hidden="false" customHeight="false" outlineLevel="0" collapsed="false">
      <c r="E445" s="306"/>
      <c r="H445" s="195"/>
      <c r="I445" s="195"/>
      <c r="J445" s="195"/>
    </row>
    <row r="446" s="2" customFormat="true" ht="18" hidden="false" customHeight="false" outlineLevel="0" collapsed="false">
      <c r="E446" s="306"/>
      <c r="H446" s="195"/>
      <c r="I446" s="195"/>
      <c r="J446" s="195"/>
    </row>
    <row r="447" s="2" customFormat="true" ht="18" hidden="false" customHeight="false" outlineLevel="0" collapsed="false">
      <c r="E447" s="306"/>
      <c r="H447" s="195"/>
      <c r="I447" s="195"/>
      <c r="J447" s="195"/>
    </row>
    <row r="448" s="2" customFormat="true" ht="18" hidden="false" customHeight="false" outlineLevel="0" collapsed="false">
      <c r="E448" s="306"/>
      <c r="H448" s="195"/>
      <c r="I448" s="195"/>
      <c r="J448" s="195"/>
    </row>
    <row r="449" s="2" customFormat="true" ht="18" hidden="false" customHeight="false" outlineLevel="0" collapsed="false">
      <c r="E449" s="306"/>
      <c r="H449" s="195"/>
      <c r="I449" s="195"/>
      <c r="J449" s="195"/>
    </row>
    <row r="450" s="2" customFormat="true" ht="18" hidden="false" customHeight="false" outlineLevel="0" collapsed="false">
      <c r="E450" s="306"/>
      <c r="H450" s="195"/>
      <c r="I450" s="195"/>
      <c r="J450" s="195"/>
    </row>
    <row r="451" s="2" customFormat="true" ht="18" hidden="false" customHeight="false" outlineLevel="0" collapsed="false">
      <c r="E451" s="306"/>
      <c r="H451" s="195"/>
      <c r="I451" s="195"/>
      <c r="J451" s="195"/>
    </row>
    <row r="452" s="2" customFormat="true" ht="18" hidden="false" customHeight="false" outlineLevel="0" collapsed="false">
      <c r="E452" s="306"/>
      <c r="H452" s="195"/>
      <c r="I452" s="195"/>
      <c r="J452" s="195"/>
    </row>
    <row r="453" s="2" customFormat="true" ht="18" hidden="false" customHeight="false" outlineLevel="0" collapsed="false">
      <c r="E453" s="306"/>
      <c r="H453" s="195"/>
      <c r="I453" s="195"/>
      <c r="J453" s="195"/>
    </row>
    <row r="454" s="2" customFormat="true" ht="18" hidden="false" customHeight="false" outlineLevel="0" collapsed="false">
      <c r="E454" s="306"/>
      <c r="H454" s="195"/>
      <c r="I454" s="195"/>
      <c r="J454" s="195"/>
    </row>
    <row r="455" s="2" customFormat="true" ht="18" hidden="false" customHeight="false" outlineLevel="0" collapsed="false">
      <c r="E455" s="306"/>
      <c r="H455" s="195"/>
      <c r="I455" s="195"/>
      <c r="J455" s="195"/>
    </row>
    <row r="456" s="2" customFormat="true" ht="18" hidden="false" customHeight="false" outlineLevel="0" collapsed="false">
      <c r="E456" s="306"/>
      <c r="H456" s="195"/>
      <c r="I456" s="195"/>
      <c r="J456" s="195"/>
    </row>
    <row r="457" s="2" customFormat="true" ht="18" hidden="false" customHeight="false" outlineLevel="0" collapsed="false">
      <c r="E457" s="306"/>
      <c r="H457" s="195"/>
      <c r="I457" s="195"/>
      <c r="J457" s="195"/>
    </row>
    <row r="458" s="2" customFormat="true" ht="18" hidden="false" customHeight="false" outlineLevel="0" collapsed="false">
      <c r="E458" s="306"/>
      <c r="H458" s="195"/>
      <c r="I458" s="195"/>
      <c r="J458" s="195"/>
    </row>
    <row r="459" s="2" customFormat="true" ht="18" hidden="false" customHeight="false" outlineLevel="0" collapsed="false">
      <c r="E459" s="306"/>
      <c r="H459" s="195"/>
      <c r="I459" s="195"/>
      <c r="J459" s="195"/>
    </row>
    <row r="460" s="2" customFormat="true" ht="18" hidden="false" customHeight="false" outlineLevel="0" collapsed="false">
      <c r="E460" s="306"/>
      <c r="H460" s="195"/>
      <c r="I460" s="195"/>
      <c r="J460" s="195"/>
    </row>
    <row r="461" s="2" customFormat="true" ht="18" hidden="false" customHeight="false" outlineLevel="0" collapsed="false">
      <c r="E461" s="306"/>
      <c r="H461" s="195"/>
      <c r="I461" s="195"/>
      <c r="J461" s="195"/>
    </row>
    <row r="462" s="2" customFormat="true" ht="18" hidden="false" customHeight="false" outlineLevel="0" collapsed="false">
      <c r="E462" s="306"/>
      <c r="H462" s="195"/>
      <c r="I462" s="195"/>
      <c r="J462" s="195"/>
    </row>
    <row r="463" s="2" customFormat="true" ht="18" hidden="false" customHeight="false" outlineLevel="0" collapsed="false">
      <c r="E463" s="306"/>
      <c r="H463" s="195"/>
      <c r="I463" s="195"/>
      <c r="J463" s="195"/>
    </row>
    <row r="464" s="2" customFormat="true" ht="18" hidden="false" customHeight="false" outlineLevel="0" collapsed="false">
      <c r="E464" s="306"/>
      <c r="H464" s="195"/>
      <c r="I464" s="195"/>
      <c r="J464" s="195"/>
    </row>
    <row r="465" s="2" customFormat="true" ht="18" hidden="false" customHeight="false" outlineLevel="0" collapsed="false">
      <c r="E465" s="306"/>
      <c r="H465" s="195"/>
      <c r="I465" s="195"/>
      <c r="J465" s="195"/>
    </row>
    <row r="466" s="2" customFormat="true" ht="18" hidden="false" customHeight="false" outlineLevel="0" collapsed="false">
      <c r="E466" s="306"/>
      <c r="H466" s="195"/>
      <c r="I466" s="195"/>
      <c r="J466" s="195"/>
    </row>
    <row r="467" s="2" customFormat="true" ht="18" hidden="false" customHeight="false" outlineLevel="0" collapsed="false">
      <c r="E467" s="306"/>
      <c r="H467" s="195"/>
      <c r="I467" s="195"/>
      <c r="J467" s="195"/>
    </row>
    <row r="468" s="2" customFormat="true" ht="18" hidden="false" customHeight="false" outlineLevel="0" collapsed="false">
      <c r="E468" s="306"/>
      <c r="H468" s="195"/>
      <c r="I468" s="195"/>
      <c r="J468" s="195"/>
    </row>
    <row r="469" s="2" customFormat="true" ht="18" hidden="false" customHeight="false" outlineLevel="0" collapsed="false">
      <c r="E469" s="306"/>
      <c r="H469" s="195"/>
      <c r="I469" s="195"/>
      <c r="J469" s="195"/>
    </row>
    <row r="470" s="2" customFormat="true" ht="18" hidden="false" customHeight="false" outlineLevel="0" collapsed="false">
      <c r="E470" s="306"/>
      <c r="H470" s="195"/>
      <c r="I470" s="195"/>
      <c r="J470" s="195"/>
    </row>
    <row r="471" s="2" customFormat="true" ht="18" hidden="false" customHeight="false" outlineLevel="0" collapsed="false">
      <c r="E471" s="306"/>
      <c r="H471" s="195"/>
      <c r="I471" s="195"/>
      <c r="J471" s="195"/>
    </row>
    <row r="472" s="2" customFormat="true" ht="18" hidden="false" customHeight="false" outlineLevel="0" collapsed="false">
      <c r="E472" s="306"/>
      <c r="H472" s="195"/>
      <c r="I472" s="195"/>
      <c r="J472" s="195"/>
    </row>
    <row r="473" s="2" customFormat="true" ht="18" hidden="false" customHeight="false" outlineLevel="0" collapsed="false">
      <c r="E473" s="306"/>
      <c r="H473" s="195"/>
      <c r="I473" s="195"/>
      <c r="J473" s="195"/>
    </row>
    <row r="474" s="2" customFormat="true" ht="18" hidden="false" customHeight="false" outlineLevel="0" collapsed="false">
      <c r="E474" s="306"/>
      <c r="H474" s="195"/>
      <c r="I474" s="195"/>
      <c r="J474" s="195"/>
    </row>
    <row r="475" s="2" customFormat="true" ht="18" hidden="false" customHeight="false" outlineLevel="0" collapsed="false">
      <c r="E475" s="306"/>
      <c r="H475" s="195"/>
      <c r="I475" s="195"/>
      <c r="J475" s="195"/>
    </row>
    <row r="476" s="2" customFormat="true" ht="18" hidden="false" customHeight="false" outlineLevel="0" collapsed="false">
      <c r="E476" s="306"/>
      <c r="H476" s="195"/>
      <c r="I476" s="195"/>
      <c r="J476" s="195"/>
    </row>
    <row r="477" s="2" customFormat="true" ht="18" hidden="false" customHeight="false" outlineLevel="0" collapsed="false">
      <c r="E477" s="306"/>
      <c r="H477" s="195"/>
      <c r="I477" s="195"/>
      <c r="J477" s="195"/>
    </row>
    <row r="478" s="2" customFormat="true" ht="18" hidden="false" customHeight="false" outlineLevel="0" collapsed="false">
      <c r="E478" s="306"/>
      <c r="H478" s="195"/>
      <c r="I478" s="195"/>
      <c r="J478" s="195"/>
    </row>
    <row r="479" s="2" customFormat="true" ht="18" hidden="false" customHeight="false" outlineLevel="0" collapsed="false">
      <c r="E479" s="306"/>
      <c r="H479" s="195"/>
      <c r="I479" s="195"/>
      <c r="J479" s="195"/>
    </row>
    <row r="480" s="2" customFormat="true" ht="18" hidden="false" customHeight="false" outlineLevel="0" collapsed="false">
      <c r="E480" s="306"/>
      <c r="H480" s="195"/>
      <c r="I480" s="195"/>
      <c r="J480" s="195"/>
    </row>
    <row r="481" s="2" customFormat="true" ht="18" hidden="false" customHeight="false" outlineLevel="0" collapsed="false">
      <c r="E481" s="306"/>
      <c r="H481" s="195"/>
      <c r="I481" s="195"/>
      <c r="J481" s="195"/>
    </row>
    <row r="482" s="2" customFormat="true" ht="18" hidden="false" customHeight="false" outlineLevel="0" collapsed="false">
      <c r="E482" s="306"/>
      <c r="H482" s="195"/>
      <c r="I482" s="195"/>
      <c r="J482" s="195"/>
    </row>
    <row r="483" s="2" customFormat="true" ht="18" hidden="false" customHeight="false" outlineLevel="0" collapsed="false">
      <c r="E483" s="306"/>
      <c r="H483" s="195"/>
      <c r="I483" s="195"/>
      <c r="J483" s="195"/>
    </row>
    <row r="484" s="2" customFormat="true" ht="18" hidden="false" customHeight="false" outlineLevel="0" collapsed="false">
      <c r="E484" s="306"/>
      <c r="H484" s="195"/>
      <c r="I484" s="195"/>
      <c r="J484" s="195"/>
    </row>
    <row r="485" s="2" customFormat="true" ht="18" hidden="false" customHeight="false" outlineLevel="0" collapsed="false">
      <c r="E485" s="306"/>
      <c r="H485" s="195"/>
      <c r="I485" s="195"/>
      <c r="J485" s="195"/>
    </row>
    <row r="486" s="2" customFormat="true" ht="18" hidden="false" customHeight="false" outlineLevel="0" collapsed="false">
      <c r="E486" s="306"/>
      <c r="H486" s="195"/>
      <c r="I486" s="195"/>
      <c r="J486" s="195"/>
    </row>
    <row r="487" s="2" customFormat="true" ht="18" hidden="false" customHeight="false" outlineLevel="0" collapsed="false">
      <c r="E487" s="306"/>
      <c r="H487" s="195"/>
      <c r="I487" s="195"/>
      <c r="J487" s="195"/>
    </row>
    <row r="488" s="2" customFormat="true" ht="18" hidden="false" customHeight="false" outlineLevel="0" collapsed="false">
      <c r="E488" s="306"/>
      <c r="H488" s="195"/>
      <c r="I488" s="195"/>
      <c r="J488" s="195"/>
    </row>
    <row r="489" s="2" customFormat="true" ht="18" hidden="false" customHeight="false" outlineLevel="0" collapsed="false">
      <c r="E489" s="306"/>
      <c r="H489" s="195"/>
      <c r="I489" s="195"/>
      <c r="J489" s="195"/>
    </row>
    <row r="490" s="2" customFormat="true" ht="18" hidden="false" customHeight="false" outlineLevel="0" collapsed="false">
      <c r="E490" s="306"/>
      <c r="H490" s="195"/>
      <c r="I490" s="195"/>
      <c r="J490" s="195"/>
    </row>
    <row r="491" s="2" customFormat="true" ht="18" hidden="false" customHeight="false" outlineLevel="0" collapsed="false">
      <c r="E491" s="306"/>
      <c r="H491" s="195"/>
      <c r="I491" s="195"/>
      <c r="J491" s="195"/>
    </row>
    <row r="492" s="2" customFormat="true" ht="18" hidden="false" customHeight="false" outlineLevel="0" collapsed="false">
      <c r="E492" s="306"/>
      <c r="H492" s="195"/>
      <c r="I492" s="195"/>
      <c r="J492" s="195"/>
    </row>
    <row r="493" s="2" customFormat="true" ht="18" hidden="false" customHeight="false" outlineLevel="0" collapsed="false">
      <c r="E493" s="306"/>
      <c r="H493" s="195"/>
      <c r="I493" s="195"/>
      <c r="J493" s="195"/>
    </row>
    <row r="494" s="2" customFormat="true" ht="18" hidden="false" customHeight="false" outlineLevel="0" collapsed="false">
      <c r="E494" s="306"/>
      <c r="H494" s="195"/>
      <c r="I494" s="195"/>
      <c r="J494" s="195"/>
    </row>
    <row r="495" s="2" customFormat="true" ht="18" hidden="false" customHeight="false" outlineLevel="0" collapsed="false">
      <c r="E495" s="306"/>
      <c r="H495" s="195"/>
      <c r="I495" s="195"/>
      <c r="J495" s="195"/>
    </row>
    <row r="496" s="2" customFormat="true" ht="18" hidden="false" customHeight="false" outlineLevel="0" collapsed="false">
      <c r="E496" s="306"/>
      <c r="H496" s="195"/>
      <c r="I496" s="195"/>
      <c r="J496" s="195"/>
    </row>
    <row r="497" s="2" customFormat="true" ht="18" hidden="false" customHeight="false" outlineLevel="0" collapsed="false">
      <c r="E497" s="306"/>
      <c r="H497" s="195"/>
      <c r="I497" s="195"/>
      <c r="J497" s="195"/>
    </row>
    <row r="498" s="2" customFormat="true" ht="18" hidden="false" customHeight="false" outlineLevel="0" collapsed="false">
      <c r="E498" s="306"/>
      <c r="H498" s="195"/>
      <c r="I498" s="195"/>
      <c r="J498" s="195"/>
    </row>
    <row r="499" s="2" customFormat="true" ht="18" hidden="false" customHeight="false" outlineLevel="0" collapsed="false">
      <c r="E499" s="306"/>
      <c r="H499" s="195"/>
      <c r="I499" s="195"/>
      <c r="J499" s="195"/>
    </row>
    <row r="500" s="2" customFormat="true" ht="18" hidden="false" customHeight="false" outlineLevel="0" collapsed="false">
      <c r="E500" s="306"/>
      <c r="H500" s="195"/>
      <c r="I500" s="195"/>
      <c r="J500" s="195"/>
    </row>
    <row r="501" s="2" customFormat="true" ht="18" hidden="false" customHeight="false" outlineLevel="0" collapsed="false">
      <c r="E501" s="306"/>
      <c r="H501" s="195"/>
      <c r="I501" s="195"/>
      <c r="J501" s="195"/>
    </row>
    <row r="502" s="2" customFormat="true" ht="18" hidden="false" customHeight="false" outlineLevel="0" collapsed="false">
      <c r="E502" s="306"/>
      <c r="H502" s="195"/>
      <c r="I502" s="195"/>
      <c r="J502" s="195"/>
    </row>
    <row r="503" s="2" customFormat="true" ht="18" hidden="false" customHeight="false" outlineLevel="0" collapsed="false">
      <c r="E503" s="306"/>
      <c r="H503" s="195"/>
      <c r="I503" s="195"/>
      <c r="J503" s="195"/>
    </row>
    <row r="504" s="2" customFormat="true" ht="18" hidden="false" customHeight="false" outlineLevel="0" collapsed="false">
      <c r="E504" s="306"/>
      <c r="H504" s="195"/>
      <c r="I504" s="195"/>
      <c r="J504" s="195"/>
    </row>
    <row r="505" s="2" customFormat="true" ht="18" hidden="false" customHeight="false" outlineLevel="0" collapsed="false">
      <c r="E505" s="306"/>
      <c r="H505" s="195"/>
      <c r="I505" s="195"/>
      <c r="J505" s="195"/>
    </row>
    <row r="506" s="2" customFormat="true" ht="18" hidden="false" customHeight="false" outlineLevel="0" collapsed="false">
      <c r="E506" s="306"/>
      <c r="H506" s="195"/>
      <c r="I506" s="195"/>
      <c r="J506" s="195"/>
    </row>
    <row r="507" s="2" customFormat="true" ht="18" hidden="false" customHeight="false" outlineLevel="0" collapsed="false">
      <c r="E507" s="306"/>
      <c r="H507" s="195"/>
      <c r="I507" s="195"/>
      <c r="J507" s="195"/>
    </row>
    <row r="508" s="2" customFormat="true" ht="18" hidden="false" customHeight="false" outlineLevel="0" collapsed="false">
      <c r="E508" s="306"/>
      <c r="H508" s="195"/>
      <c r="I508" s="195"/>
      <c r="J508" s="195"/>
    </row>
    <row r="509" s="2" customFormat="true" ht="18" hidden="false" customHeight="false" outlineLevel="0" collapsed="false">
      <c r="E509" s="306"/>
      <c r="H509" s="195"/>
      <c r="I509" s="195"/>
      <c r="J509" s="195"/>
    </row>
    <row r="510" s="2" customFormat="true" ht="18" hidden="false" customHeight="false" outlineLevel="0" collapsed="false">
      <c r="E510" s="306"/>
      <c r="H510" s="195"/>
      <c r="I510" s="195"/>
      <c r="J510" s="195"/>
    </row>
    <row r="511" s="2" customFormat="true" ht="18" hidden="false" customHeight="false" outlineLevel="0" collapsed="false">
      <c r="E511" s="306"/>
      <c r="H511" s="195"/>
      <c r="I511" s="195"/>
      <c r="J511" s="195"/>
    </row>
    <row r="512" s="2" customFormat="true" ht="18" hidden="false" customHeight="false" outlineLevel="0" collapsed="false">
      <c r="E512" s="306"/>
      <c r="H512" s="195"/>
      <c r="I512" s="195"/>
      <c r="J512" s="195"/>
    </row>
    <row r="513" s="2" customFormat="true" ht="18" hidden="false" customHeight="false" outlineLevel="0" collapsed="false">
      <c r="E513" s="306"/>
      <c r="H513" s="195"/>
      <c r="I513" s="195"/>
      <c r="J513" s="195"/>
    </row>
    <row r="514" s="2" customFormat="true" ht="18" hidden="false" customHeight="false" outlineLevel="0" collapsed="false">
      <c r="E514" s="306"/>
      <c r="H514" s="195"/>
      <c r="I514" s="195"/>
      <c r="J514" s="195"/>
    </row>
    <row r="515" s="2" customFormat="true" ht="18" hidden="false" customHeight="false" outlineLevel="0" collapsed="false">
      <c r="E515" s="306"/>
      <c r="H515" s="195"/>
      <c r="I515" s="195"/>
      <c r="J515" s="195"/>
    </row>
    <row r="516" s="2" customFormat="true" ht="18" hidden="false" customHeight="false" outlineLevel="0" collapsed="false">
      <c r="E516" s="306"/>
      <c r="H516" s="195"/>
      <c r="I516" s="195"/>
      <c r="J516" s="195"/>
    </row>
    <row r="517" s="2" customFormat="true" ht="18" hidden="false" customHeight="false" outlineLevel="0" collapsed="false">
      <c r="E517" s="306"/>
      <c r="H517" s="195"/>
      <c r="I517" s="195"/>
      <c r="J517" s="195"/>
    </row>
    <row r="518" s="2" customFormat="true" ht="18" hidden="false" customHeight="false" outlineLevel="0" collapsed="false">
      <c r="E518" s="306"/>
      <c r="H518" s="195"/>
      <c r="I518" s="195"/>
      <c r="J518" s="195"/>
    </row>
    <row r="519" s="2" customFormat="true" ht="18" hidden="false" customHeight="false" outlineLevel="0" collapsed="false">
      <c r="E519" s="306"/>
      <c r="H519" s="195"/>
      <c r="I519" s="195"/>
      <c r="J519" s="195"/>
    </row>
    <row r="520" s="2" customFormat="true" ht="18" hidden="false" customHeight="false" outlineLevel="0" collapsed="false">
      <c r="E520" s="306"/>
      <c r="H520" s="195"/>
      <c r="I520" s="195"/>
      <c r="J520" s="195"/>
    </row>
    <row r="521" s="2" customFormat="true" ht="18" hidden="false" customHeight="false" outlineLevel="0" collapsed="false">
      <c r="E521" s="306"/>
      <c r="H521" s="195"/>
      <c r="I521" s="195"/>
      <c r="J521" s="195"/>
    </row>
    <row r="522" s="2" customFormat="true" ht="18" hidden="false" customHeight="false" outlineLevel="0" collapsed="false">
      <c r="E522" s="306"/>
      <c r="H522" s="195"/>
      <c r="I522" s="195"/>
      <c r="J522" s="195"/>
    </row>
    <row r="523" s="2" customFormat="true" ht="18" hidden="false" customHeight="false" outlineLevel="0" collapsed="false">
      <c r="E523" s="306"/>
      <c r="H523" s="195"/>
      <c r="I523" s="195"/>
      <c r="J523" s="195"/>
    </row>
    <row r="524" s="2" customFormat="true" ht="18" hidden="false" customHeight="false" outlineLevel="0" collapsed="false">
      <c r="E524" s="306"/>
      <c r="H524" s="195"/>
      <c r="I524" s="195"/>
      <c r="J524" s="195"/>
    </row>
    <row r="525" s="2" customFormat="true" ht="18" hidden="false" customHeight="false" outlineLevel="0" collapsed="false">
      <c r="E525" s="306"/>
      <c r="H525" s="195"/>
      <c r="I525" s="195"/>
      <c r="J525" s="195"/>
    </row>
    <row r="526" s="2" customFormat="true" ht="18" hidden="false" customHeight="false" outlineLevel="0" collapsed="false">
      <c r="E526" s="306"/>
      <c r="H526" s="195"/>
      <c r="I526" s="195"/>
      <c r="J526" s="195"/>
    </row>
    <row r="527" s="2" customFormat="true" ht="18" hidden="false" customHeight="false" outlineLevel="0" collapsed="false">
      <c r="E527" s="306"/>
      <c r="H527" s="195"/>
      <c r="I527" s="195"/>
      <c r="J527" s="195"/>
    </row>
    <row r="528" s="2" customFormat="true" ht="18" hidden="false" customHeight="false" outlineLevel="0" collapsed="false">
      <c r="E528" s="306"/>
      <c r="H528" s="195"/>
      <c r="I528" s="195"/>
      <c r="J528" s="195"/>
    </row>
    <row r="529" s="2" customFormat="true" ht="18" hidden="false" customHeight="false" outlineLevel="0" collapsed="false">
      <c r="E529" s="306"/>
      <c r="H529" s="195"/>
      <c r="I529" s="195"/>
      <c r="J529" s="195"/>
    </row>
    <row r="530" s="2" customFormat="true" ht="18" hidden="false" customHeight="false" outlineLevel="0" collapsed="false">
      <c r="E530" s="306"/>
      <c r="H530" s="195"/>
      <c r="I530" s="195"/>
      <c r="J530" s="195"/>
    </row>
    <row r="531" s="2" customFormat="true" ht="18" hidden="false" customHeight="false" outlineLevel="0" collapsed="false">
      <c r="E531" s="306"/>
      <c r="H531" s="195"/>
      <c r="I531" s="195"/>
      <c r="J531" s="195"/>
    </row>
    <row r="532" s="2" customFormat="true" ht="18" hidden="false" customHeight="false" outlineLevel="0" collapsed="false">
      <c r="E532" s="306"/>
      <c r="H532" s="195"/>
      <c r="I532" s="195"/>
      <c r="J532" s="195"/>
    </row>
    <row r="533" s="2" customFormat="true" ht="18" hidden="false" customHeight="false" outlineLevel="0" collapsed="false">
      <c r="E533" s="306"/>
      <c r="H533" s="195"/>
      <c r="I533" s="195"/>
      <c r="J533" s="195"/>
    </row>
    <row r="534" s="2" customFormat="true" ht="18" hidden="false" customHeight="false" outlineLevel="0" collapsed="false">
      <c r="E534" s="306"/>
      <c r="H534" s="195"/>
      <c r="I534" s="195"/>
      <c r="J534" s="195"/>
    </row>
    <row r="535" s="2" customFormat="true" ht="18" hidden="false" customHeight="false" outlineLevel="0" collapsed="false">
      <c r="E535" s="306"/>
      <c r="H535" s="195"/>
      <c r="I535" s="195"/>
      <c r="J535" s="195"/>
    </row>
    <row r="536" s="2" customFormat="true" ht="18" hidden="false" customHeight="false" outlineLevel="0" collapsed="false">
      <c r="E536" s="306"/>
      <c r="H536" s="195"/>
      <c r="I536" s="195"/>
      <c r="J536" s="195"/>
    </row>
    <row r="537" s="2" customFormat="true" ht="18" hidden="false" customHeight="false" outlineLevel="0" collapsed="false">
      <c r="E537" s="306"/>
      <c r="H537" s="195"/>
      <c r="I537" s="195"/>
      <c r="J537" s="195"/>
    </row>
    <row r="538" s="2" customFormat="true" ht="18" hidden="false" customHeight="false" outlineLevel="0" collapsed="false">
      <c r="E538" s="306"/>
      <c r="H538" s="195"/>
      <c r="I538" s="195"/>
      <c r="J538" s="195"/>
    </row>
    <row r="539" s="2" customFormat="true" ht="18" hidden="false" customHeight="false" outlineLevel="0" collapsed="false">
      <c r="E539" s="306"/>
      <c r="H539" s="195"/>
      <c r="I539" s="195"/>
      <c r="J539" s="195"/>
    </row>
    <row r="540" s="2" customFormat="true" ht="18" hidden="false" customHeight="false" outlineLevel="0" collapsed="false">
      <c r="E540" s="306"/>
      <c r="H540" s="195"/>
      <c r="I540" s="195"/>
      <c r="J540" s="195"/>
    </row>
    <row r="541" s="2" customFormat="true" ht="18" hidden="false" customHeight="false" outlineLevel="0" collapsed="false">
      <c r="E541" s="306"/>
      <c r="H541" s="195"/>
      <c r="I541" s="195"/>
      <c r="J541" s="195"/>
    </row>
    <row r="542" s="2" customFormat="true" ht="18" hidden="false" customHeight="false" outlineLevel="0" collapsed="false">
      <c r="E542" s="306"/>
      <c r="H542" s="195"/>
      <c r="I542" s="195"/>
      <c r="J542" s="195"/>
    </row>
    <row r="543" s="2" customFormat="true" ht="18" hidden="false" customHeight="false" outlineLevel="0" collapsed="false">
      <c r="E543" s="306"/>
      <c r="H543" s="195"/>
      <c r="I543" s="195"/>
      <c r="J543" s="195"/>
    </row>
    <row r="544" s="2" customFormat="true" ht="18" hidden="false" customHeight="false" outlineLevel="0" collapsed="false">
      <c r="E544" s="306"/>
      <c r="H544" s="195"/>
      <c r="I544" s="195"/>
      <c r="J544" s="195"/>
    </row>
    <row r="545" s="2" customFormat="true" ht="18" hidden="false" customHeight="false" outlineLevel="0" collapsed="false">
      <c r="E545" s="306"/>
      <c r="H545" s="195"/>
      <c r="I545" s="195"/>
      <c r="J545" s="195"/>
    </row>
    <row r="546" s="2" customFormat="true" ht="18" hidden="false" customHeight="false" outlineLevel="0" collapsed="false">
      <c r="E546" s="306"/>
      <c r="H546" s="195"/>
      <c r="I546" s="195"/>
      <c r="J546" s="195"/>
    </row>
    <row r="547" s="2" customFormat="true" ht="18" hidden="false" customHeight="false" outlineLevel="0" collapsed="false">
      <c r="E547" s="306"/>
      <c r="H547" s="195"/>
      <c r="I547" s="195"/>
      <c r="J547" s="195"/>
    </row>
    <row r="548" s="2" customFormat="true" ht="18" hidden="false" customHeight="false" outlineLevel="0" collapsed="false">
      <c r="E548" s="306"/>
      <c r="H548" s="195"/>
      <c r="I548" s="195"/>
      <c r="J548" s="195"/>
    </row>
    <row r="549" s="2" customFormat="true" ht="18" hidden="false" customHeight="false" outlineLevel="0" collapsed="false">
      <c r="E549" s="306"/>
      <c r="H549" s="195"/>
      <c r="I549" s="195"/>
      <c r="J549" s="195"/>
    </row>
    <row r="550" s="2" customFormat="true" ht="18" hidden="false" customHeight="false" outlineLevel="0" collapsed="false">
      <c r="E550" s="306"/>
      <c r="H550" s="195"/>
      <c r="I550" s="195"/>
      <c r="J550" s="195"/>
    </row>
    <row r="551" s="2" customFormat="true" ht="18" hidden="false" customHeight="false" outlineLevel="0" collapsed="false">
      <c r="E551" s="306"/>
      <c r="H551" s="195"/>
      <c r="I551" s="195"/>
      <c r="J551" s="195"/>
    </row>
    <row r="552" s="2" customFormat="true" ht="18" hidden="false" customHeight="false" outlineLevel="0" collapsed="false">
      <c r="E552" s="306"/>
      <c r="H552" s="195"/>
      <c r="I552" s="195"/>
      <c r="J552" s="195"/>
    </row>
    <row r="553" s="2" customFormat="true" ht="18" hidden="false" customHeight="false" outlineLevel="0" collapsed="false">
      <c r="E553" s="306"/>
      <c r="H553" s="195"/>
      <c r="I553" s="195"/>
      <c r="J553" s="195"/>
    </row>
    <row r="554" s="2" customFormat="true" ht="18" hidden="false" customHeight="false" outlineLevel="0" collapsed="false">
      <c r="E554" s="306"/>
      <c r="H554" s="195"/>
      <c r="I554" s="195"/>
      <c r="J554" s="195"/>
    </row>
    <row r="555" s="2" customFormat="true" ht="18" hidden="false" customHeight="false" outlineLevel="0" collapsed="false">
      <c r="E555" s="306"/>
      <c r="H555" s="195"/>
      <c r="I555" s="195"/>
      <c r="J555" s="195"/>
    </row>
    <row r="556" s="2" customFormat="true" ht="18" hidden="false" customHeight="false" outlineLevel="0" collapsed="false">
      <c r="E556" s="306"/>
      <c r="H556" s="195"/>
      <c r="I556" s="195"/>
      <c r="J556" s="195"/>
    </row>
    <row r="557" s="2" customFormat="true" ht="18" hidden="false" customHeight="false" outlineLevel="0" collapsed="false">
      <c r="E557" s="306"/>
      <c r="H557" s="195"/>
      <c r="I557" s="195"/>
      <c r="J557" s="195"/>
    </row>
    <row r="558" s="2" customFormat="true" ht="18" hidden="false" customHeight="false" outlineLevel="0" collapsed="false">
      <c r="E558" s="306"/>
      <c r="H558" s="195"/>
      <c r="I558" s="195"/>
      <c r="J558" s="195"/>
    </row>
    <row r="559" s="2" customFormat="true" ht="18" hidden="false" customHeight="false" outlineLevel="0" collapsed="false">
      <c r="E559" s="306"/>
      <c r="H559" s="195"/>
      <c r="I559" s="195"/>
      <c r="J559" s="195"/>
    </row>
    <row r="560" s="2" customFormat="true" ht="18" hidden="false" customHeight="false" outlineLevel="0" collapsed="false">
      <c r="E560" s="306"/>
      <c r="H560" s="195"/>
      <c r="I560" s="195"/>
      <c r="J560" s="195"/>
    </row>
    <row r="561" s="2" customFormat="true" ht="18" hidden="false" customHeight="false" outlineLevel="0" collapsed="false">
      <c r="E561" s="306"/>
      <c r="H561" s="195"/>
      <c r="I561" s="195"/>
      <c r="J561" s="195"/>
    </row>
    <row r="562" s="2" customFormat="true" ht="18" hidden="false" customHeight="false" outlineLevel="0" collapsed="false">
      <c r="E562" s="306"/>
      <c r="H562" s="195"/>
      <c r="I562" s="195"/>
      <c r="J562" s="195"/>
    </row>
    <row r="563" s="2" customFormat="true" ht="18" hidden="false" customHeight="false" outlineLevel="0" collapsed="false">
      <c r="E563" s="306"/>
      <c r="H563" s="195"/>
      <c r="I563" s="195"/>
      <c r="J563" s="195"/>
    </row>
    <row r="564" s="2" customFormat="true" ht="18" hidden="false" customHeight="false" outlineLevel="0" collapsed="false">
      <c r="E564" s="306"/>
      <c r="H564" s="195"/>
      <c r="I564" s="195"/>
      <c r="J564" s="195"/>
    </row>
    <row r="565" s="2" customFormat="true" ht="18" hidden="false" customHeight="false" outlineLevel="0" collapsed="false">
      <c r="E565" s="306"/>
      <c r="H565" s="195"/>
      <c r="I565" s="195"/>
      <c r="J565" s="195"/>
    </row>
    <row r="566" s="2" customFormat="true" ht="18" hidden="false" customHeight="false" outlineLevel="0" collapsed="false">
      <c r="E566" s="306"/>
      <c r="H566" s="195"/>
      <c r="I566" s="195"/>
      <c r="J566" s="195"/>
    </row>
    <row r="567" s="2" customFormat="true" ht="18" hidden="false" customHeight="false" outlineLevel="0" collapsed="false">
      <c r="E567" s="306"/>
      <c r="H567" s="195"/>
      <c r="I567" s="195"/>
      <c r="J567" s="195"/>
    </row>
    <row r="568" s="2" customFormat="true" ht="18" hidden="false" customHeight="false" outlineLevel="0" collapsed="false">
      <c r="E568" s="306"/>
      <c r="H568" s="195"/>
      <c r="I568" s="195"/>
      <c r="J568" s="195"/>
    </row>
    <row r="569" s="2" customFormat="true" ht="18" hidden="false" customHeight="false" outlineLevel="0" collapsed="false">
      <c r="E569" s="306"/>
      <c r="H569" s="195"/>
      <c r="I569" s="195"/>
      <c r="J569" s="195"/>
    </row>
    <row r="570" s="2" customFormat="true" ht="18" hidden="false" customHeight="false" outlineLevel="0" collapsed="false">
      <c r="E570" s="306"/>
      <c r="H570" s="195"/>
      <c r="I570" s="195"/>
      <c r="J570" s="195"/>
    </row>
    <row r="571" s="2" customFormat="true" ht="18" hidden="false" customHeight="false" outlineLevel="0" collapsed="false">
      <c r="E571" s="306"/>
      <c r="H571" s="195"/>
      <c r="I571" s="195"/>
      <c r="J571" s="195"/>
    </row>
    <row r="572" s="2" customFormat="true" ht="18" hidden="false" customHeight="false" outlineLevel="0" collapsed="false">
      <c r="E572" s="306"/>
      <c r="H572" s="195"/>
      <c r="I572" s="195"/>
      <c r="J572" s="195"/>
    </row>
    <row r="573" s="2" customFormat="true" ht="18" hidden="false" customHeight="false" outlineLevel="0" collapsed="false">
      <c r="E573" s="306"/>
      <c r="H573" s="195"/>
      <c r="I573" s="195"/>
      <c r="J573" s="195"/>
    </row>
    <row r="574" s="2" customFormat="true" ht="18" hidden="false" customHeight="false" outlineLevel="0" collapsed="false">
      <c r="E574" s="306"/>
      <c r="H574" s="195"/>
      <c r="I574" s="195"/>
      <c r="J574" s="195"/>
    </row>
    <row r="575" s="2" customFormat="true" ht="18" hidden="false" customHeight="false" outlineLevel="0" collapsed="false">
      <c r="E575" s="306"/>
      <c r="H575" s="195"/>
      <c r="I575" s="195"/>
      <c r="J575" s="195"/>
    </row>
    <row r="576" s="2" customFormat="true" ht="18" hidden="false" customHeight="false" outlineLevel="0" collapsed="false">
      <c r="E576" s="306"/>
      <c r="H576" s="195"/>
      <c r="I576" s="195"/>
      <c r="J576" s="195"/>
    </row>
    <row r="577" s="2" customFormat="true" ht="18" hidden="false" customHeight="false" outlineLevel="0" collapsed="false">
      <c r="E577" s="306"/>
      <c r="H577" s="195"/>
      <c r="I577" s="195"/>
      <c r="J577" s="195"/>
    </row>
    <row r="578" s="2" customFormat="true" ht="18" hidden="false" customHeight="false" outlineLevel="0" collapsed="false">
      <c r="E578" s="306"/>
      <c r="H578" s="195"/>
      <c r="I578" s="195"/>
      <c r="J578" s="195"/>
    </row>
    <row r="579" s="2" customFormat="true" ht="18" hidden="false" customHeight="false" outlineLevel="0" collapsed="false">
      <c r="E579" s="306"/>
      <c r="H579" s="195"/>
      <c r="I579" s="195"/>
      <c r="J579" s="195"/>
    </row>
    <row r="580" s="2" customFormat="true" ht="18" hidden="false" customHeight="false" outlineLevel="0" collapsed="false">
      <c r="E580" s="306"/>
      <c r="H580" s="195"/>
      <c r="I580" s="195"/>
      <c r="J580" s="195"/>
    </row>
    <row r="581" s="2" customFormat="true" ht="18" hidden="false" customHeight="false" outlineLevel="0" collapsed="false">
      <c r="E581" s="306"/>
      <c r="H581" s="195"/>
      <c r="I581" s="195"/>
      <c r="J581" s="195"/>
    </row>
    <row r="582" s="2" customFormat="true" ht="18" hidden="false" customHeight="false" outlineLevel="0" collapsed="false">
      <c r="E582" s="306"/>
      <c r="H582" s="195"/>
      <c r="I582" s="195"/>
      <c r="J582" s="195"/>
    </row>
    <row r="583" s="2" customFormat="true" ht="18" hidden="false" customHeight="false" outlineLevel="0" collapsed="false">
      <c r="E583" s="306"/>
      <c r="H583" s="195"/>
      <c r="I583" s="195"/>
      <c r="J583" s="195"/>
    </row>
    <row r="584" s="2" customFormat="true" ht="18" hidden="false" customHeight="false" outlineLevel="0" collapsed="false">
      <c r="E584" s="306"/>
      <c r="H584" s="195"/>
      <c r="I584" s="195"/>
      <c r="J584" s="195"/>
    </row>
    <row r="585" s="2" customFormat="true" ht="18" hidden="false" customHeight="false" outlineLevel="0" collapsed="false">
      <c r="E585" s="306"/>
      <c r="H585" s="195"/>
      <c r="I585" s="195"/>
      <c r="J585" s="195"/>
    </row>
    <row r="586" s="2" customFormat="true" ht="18" hidden="false" customHeight="false" outlineLevel="0" collapsed="false">
      <c r="E586" s="306"/>
      <c r="H586" s="195"/>
      <c r="I586" s="195"/>
      <c r="J586" s="195"/>
    </row>
    <row r="587" s="2" customFormat="true" ht="18" hidden="false" customHeight="false" outlineLevel="0" collapsed="false">
      <c r="E587" s="306"/>
      <c r="H587" s="195"/>
      <c r="I587" s="195"/>
      <c r="J587" s="195"/>
    </row>
    <row r="588" s="2" customFormat="true" ht="18" hidden="false" customHeight="false" outlineLevel="0" collapsed="false">
      <c r="E588" s="306"/>
      <c r="H588" s="195"/>
      <c r="I588" s="195"/>
      <c r="J588" s="195"/>
    </row>
    <row r="589" s="2" customFormat="true" ht="18" hidden="false" customHeight="false" outlineLevel="0" collapsed="false">
      <c r="E589" s="306"/>
      <c r="H589" s="195"/>
      <c r="I589" s="195"/>
      <c r="J589" s="195"/>
    </row>
    <row r="590" s="2" customFormat="true" ht="18" hidden="false" customHeight="false" outlineLevel="0" collapsed="false">
      <c r="E590" s="306"/>
      <c r="H590" s="195"/>
      <c r="I590" s="195"/>
      <c r="J590" s="195"/>
    </row>
    <row r="591" s="2" customFormat="true" ht="18" hidden="false" customHeight="false" outlineLevel="0" collapsed="false">
      <c r="E591" s="306"/>
      <c r="H591" s="195"/>
      <c r="I591" s="195"/>
      <c r="J591" s="195"/>
    </row>
    <row r="592" s="2" customFormat="true" ht="18" hidden="false" customHeight="false" outlineLevel="0" collapsed="false">
      <c r="E592" s="306"/>
      <c r="H592" s="195"/>
      <c r="I592" s="195"/>
      <c r="J592" s="195"/>
    </row>
    <row r="593" s="2" customFormat="true" ht="18" hidden="false" customHeight="false" outlineLevel="0" collapsed="false">
      <c r="E593" s="306"/>
      <c r="H593" s="195"/>
      <c r="I593" s="195"/>
      <c r="J593" s="195"/>
    </row>
    <row r="594" s="2" customFormat="true" ht="18" hidden="false" customHeight="false" outlineLevel="0" collapsed="false">
      <c r="E594" s="306"/>
      <c r="H594" s="195"/>
      <c r="I594" s="195"/>
      <c r="J594" s="195"/>
    </row>
    <row r="595" s="2" customFormat="true" ht="18" hidden="false" customHeight="false" outlineLevel="0" collapsed="false">
      <c r="E595" s="306"/>
      <c r="H595" s="195"/>
      <c r="I595" s="195"/>
      <c r="J595" s="195"/>
    </row>
    <row r="596" s="2" customFormat="true" ht="18" hidden="false" customHeight="false" outlineLevel="0" collapsed="false">
      <c r="E596" s="306"/>
      <c r="H596" s="195"/>
      <c r="I596" s="195"/>
      <c r="J596" s="195"/>
    </row>
    <row r="597" s="2" customFormat="true" ht="18" hidden="false" customHeight="false" outlineLevel="0" collapsed="false">
      <c r="E597" s="306"/>
      <c r="H597" s="195"/>
      <c r="I597" s="195"/>
      <c r="J597" s="195"/>
    </row>
    <row r="598" s="2" customFormat="true" ht="18" hidden="false" customHeight="false" outlineLevel="0" collapsed="false">
      <c r="E598" s="306"/>
      <c r="H598" s="195"/>
      <c r="I598" s="195"/>
      <c r="J598" s="195"/>
    </row>
    <row r="599" s="2" customFormat="true" ht="18" hidden="false" customHeight="false" outlineLevel="0" collapsed="false">
      <c r="E599" s="306"/>
      <c r="H599" s="195"/>
      <c r="I599" s="195"/>
      <c r="J599" s="195"/>
    </row>
    <row r="600" s="2" customFormat="true" ht="18" hidden="false" customHeight="false" outlineLevel="0" collapsed="false">
      <c r="E600" s="306"/>
      <c r="H600" s="195"/>
      <c r="I600" s="195"/>
      <c r="J600" s="195"/>
    </row>
    <row r="601" s="2" customFormat="true" ht="18" hidden="false" customHeight="false" outlineLevel="0" collapsed="false">
      <c r="E601" s="306"/>
      <c r="H601" s="195"/>
      <c r="I601" s="195"/>
      <c r="J601" s="195"/>
    </row>
    <row r="602" s="2" customFormat="true" ht="18" hidden="false" customHeight="false" outlineLevel="0" collapsed="false">
      <c r="E602" s="306"/>
      <c r="H602" s="195"/>
      <c r="I602" s="195"/>
      <c r="J602" s="195"/>
    </row>
    <row r="603" s="2" customFormat="true" ht="18" hidden="false" customHeight="false" outlineLevel="0" collapsed="false">
      <c r="E603" s="306"/>
      <c r="H603" s="195"/>
      <c r="I603" s="195"/>
      <c r="J603" s="195"/>
    </row>
    <row r="604" s="2" customFormat="true" ht="18" hidden="false" customHeight="false" outlineLevel="0" collapsed="false">
      <c r="E604" s="306"/>
      <c r="H604" s="195"/>
      <c r="I604" s="195"/>
      <c r="J604" s="195"/>
    </row>
    <row r="605" s="2" customFormat="true" ht="18" hidden="false" customHeight="false" outlineLevel="0" collapsed="false">
      <c r="E605" s="306"/>
      <c r="H605" s="195"/>
      <c r="I605" s="195"/>
      <c r="J605" s="195"/>
    </row>
    <row r="606" s="2" customFormat="true" ht="18" hidden="false" customHeight="false" outlineLevel="0" collapsed="false">
      <c r="E606" s="306"/>
      <c r="H606" s="195"/>
      <c r="I606" s="195"/>
      <c r="J606" s="195"/>
    </row>
    <row r="607" s="2" customFormat="true" ht="18" hidden="false" customHeight="false" outlineLevel="0" collapsed="false">
      <c r="E607" s="306"/>
      <c r="H607" s="195"/>
      <c r="I607" s="195"/>
      <c r="J607" s="195"/>
    </row>
    <row r="608" s="2" customFormat="true" ht="18" hidden="false" customHeight="false" outlineLevel="0" collapsed="false">
      <c r="E608" s="306"/>
      <c r="H608" s="195"/>
      <c r="I608" s="195"/>
      <c r="J608" s="195"/>
    </row>
    <row r="609" s="2" customFormat="true" ht="18" hidden="false" customHeight="false" outlineLevel="0" collapsed="false">
      <c r="E609" s="306"/>
      <c r="H609" s="195"/>
      <c r="I609" s="195"/>
      <c r="J609" s="195"/>
    </row>
    <row r="610" s="2" customFormat="true" ht="18" hidden="false" customHeight="false" outlineLevel="0" collapsed="false">
      <c r="E610" s="306"/>
      <c r="H610" s="195"/>
      <c r="I610" s="195"/>
      <c r="J610" s="195"/>
    </row>
    <row r="611" s="2" customFormat="true" ht="18" hidden="false" customHeight="false" outlineLevel="0" collapsed="false">
      <c r="E611" s="306"/>
      <c r="H611" s="195"/>
      <c r="I611" s="195"/>
      <c r="J611" s="195"/>
    </row>
    <row r="612" s="2" customFormat="true" ht="18" hidden="false" customHeight="false" outlineLevel="0" collapsed="false">
      <c r="E612" s="306"/>
      <c r="H612" s="195"/>
      <c r="I612" s="195"/>
      <c r="J612" s="195"/>
    </row>
    <row r="613" s="2" customFormat="true" ht="18" hidden="false" customHeight="false" outlineLevel="0" collapsed="false">
      <c r="E613" s="306"/>
      <c r="H613" s="195"/>
      <c r="I613" s="195"/>
      <c r="J613" s="195"/>
    </row>
    <row r="614" s="2" customFormat="true" ht="18" hidden="false" customHeight="false" outlineLevel="0" collapsed="false">
      <c r="E614" s="306"/>
      <c r="H614" s="195"/>
      <c r="I614" s="195"/>
      <c r="J614" s="195"/>
    </row>
    <row r="615" s="2" customFormat="true" ht="18" hidden="false" customHeight="false" outlineLevel="0" collapsed="false">
      <c r="E615" s="306"/>
      <c r="H615" s="195"/>
      <c r="I615" s="195"/>
      <c r="J615" s="195"/>
    </row>
    <row r="616" s="2" customFormat="true" ht="18" hidden="false" customHeight="false" outlineLevel="0" collapsed="false">
      <c r="E616" s="306"/>
      <c r="H616" s="195"/>
      <c r="I616" s="195"/>
      <c r="J616" s="195"/>
    </row>
    <row r="617" s="2" customFormat="true" ht="18" hidden="false" customHeight="false" outlineLevel="0" collapsed="false">
      <c r="E617" s="306"/>
      <c r="H617" s="195"/>
      <c r="I617" s="195"/>
      <c r="J617" s="195"/>
    </row>
    <row r="618" s="2" customFormat="true" ht="18" hidden="false" customHeight="false" outlineLevel="0" collapsed="false">
      <c r="E618" s="306"/>
      <c r="H618" s="195"/>
      <c r="I618" s="195"/>
      <c r="J618" s="195"/>
    </row>
    <row r="619" s="2" customFormat="true" ht="18" hidden="false" customHeight="false" outlineLevel="0" collapsed="false">
      <c r="E619" s="306"/>
      <c r="H619" s="195"/>
      <c r="I619" s="195"/>
      <c r="J619" s="195"/>
    </row>
    <row r="620" s="2" customFormat="true" ht="18" hidden="false" customHeight="false" outlineLevel="0" collapsed="false">
      <c r="E620" s="306"/>
      <c r="H620" s="195"/>
      <c r="I620" s="195"/>
      <c r="J620" s="195"/>
    </row>
    <row r="621" s="2" customFormat="true" ht="18" hidden="false" customHeight="false" outlineLevel="0" collapsed="false">
      <c r="E621" s="306"/>
      <c r="H621" s="195"/>
      <c r="I621" s="195"/>
      <c r="J621" s="195"/>
    </row>
    <row r="622" s="2" customFormat="true" ht="18" hidden="false" customHeight="false" outlineLevel="0" collapsed="false">
      <c r="E622" s="306"/>
      <c r="H622" s="195"/>
      <c r="I622" s="195"/>
      <c r="J622" s="195"/>
    </row>
    <row r="623" s="2" customFormat="true" ht="18" hidden="false" customHeight="false" outlineLevel="0" collapsed="false">
      <c r="E623" s="306"/>
      <c r="H623" s="195"/>
      <c r="I623" s="195"/>
      <c r="J623" s="195"/>
    </row>
    <row r="624" s="2" customFormat="true" ht="18" hidden="false" customHeight="false" outlineLevel="0" collapsed="false">
      <c r="E624" s="306"/>
      <c r="H624" s="195"/>
      <c r="I624" s="195"/>
      <c r="J624" s="195"/>
    </row>
    <row r="625" s="2" customFormat="true" ht="18" hidden="false" customHeight="false" outlineLevel="0" collapsed="false">
      <c r="E625" s="306"/>
      <c r="H625" s="195"/>
      <c r="I625" s="195"/>
      <c r="J625" s="195"/>
    </row>
    <row r="626" s="2" customFormat="true" ht="18" hidden="false" customHeight="false" outlineLevel="0" collapsed="false">
      <c r="E626" s="306"/>
      <c r="H626" s="195"/>
      <c r="I626" s="195"/>
      <c r="J626" s="195"/>
    </row>
    <row r="627" s="2" customFormat="true" ht="18" hidden="false" customHeight="false" outlineLevel="0" collapsed="false">
      <c r="E627" s="306"/>
      <c r="H627" s="195"/>
      <c r="I627" s="195"/>
      <c r="J627" s="195"/>
    </row>
    <row r="628" s="2" customFormat="true" ht="18" hidden="false" customHeight="false" outlineLevel="0" collapsed="false">
      <c r="E628" s="306"/>
      <c r="H628" s="195"/>
      <c r="I628" s="195"/>
      <c r="J628" s="195"/>
    </row>
    <row r="629" s="2" customFormat="true" ht="18" hidden="false" customHeight="false" outlineLevel="0" collapsed="false">
      <c r="E629" s="306"/>
      <c r="H629" s="195"/>
      <c r="I629" s="195"/>
      <c r="J629" s="195"/>
    </row>
    <row r="630" s="2" customFormat="true" ht="18" hidden="false" customHeight="false" outlineLevel="0" collapsed="false">
      <c r="E630" s="306"/>
      <c r="H630" s="195"/>
      <c r="I630" s="195"/>
      <c r="J630" s="195"/>
    </row>
    <row r="631" s="2" customFormat="true" ht="18" hidden="false" customHeight="false" outlineLevel="0" collapsed="false">
      <c r="E631" s="306"/>
      <c r="H631" s="195"/>
      <c r="I631" s="195"/>
      <c r="J631" s="195"/>
    </row>
    <row r="632" s="2" customFormat="true" ht="18" hidden="false" customHeight="false" outlineLevel="0" collapsed="false">
      <c r="E632" s="306"/>
      <c r="H632" s="195"/>
      <c r="I632" s="195"/>
      <c r="J632" s="195"/>
    </row>
    <row r="633" s="2" customFormat="true" ht="18" hidden="false" customHeight="false" outlineLevel="0" collapsed="false">
      <c r="E633" s="306"/>
      <c r="H633" s="195"/>
      <c r="I633" s="195"/>
      <c r="J633" s="195"/>
    </row>
    <row r="634" s="2" customFormat="true" ht="18" hidden="false" customHeight="false" outlineLevel="0" collapsed="false">
      <c r="E634" s="306"/>
      <c r="H634" s="195"/>
      <c r="I634" s="195"/>
      <c r="J634" s="195"/>
    </row>
    <row r="635" s="2" customFormat="true" ht="18" hidden="false" customHeight="false" outlineLevel="0" collapsed="false">
      <c r="E635" s="306"/>
      <c r="H635" s="195"/>
      <c r="I635" s="195"/>
      <c r="J635" s="195"/>
    </row>
    <row r="636" s="2" customFormat="true" ht="18" hidden="false" customHeight="false" outlineLevel="0" collapsed="false">
      <c r="E636" s="306"/>
      <c r="H636" s="195"/>
      <c r="I636" s="195"/>
      <c r="J636" s="195"/>
    </row>
    <row r="637" s="2" customFormat="true" ht="18" hidden="false" customHeight="false" outlineLevel="0" collapsed="false">
      <c r="E637" s="306"/>
      <c r="H637" s="195"/>
      <c r="I637" s="195"/>
      <c r="J637" s="195"/>
    </row>
    <row r="638" s="2" customFormat="true" ht="18" hidden="false" customHeight="false" outlineLevel="0" collapsed="false">
      <c r="E638" s="306"/>
      <c r="H638" s="195"/>
      <c r="I638" s="195"/>
      <c r="J638" s="195"/>
    </row>
    <row r="639" s="2" customFormat="true" ht="18" hidden="false" customHeight="false" outlineLevel="0" collapsed="false">
      <c r="E639" s="306"/>
      <c r="H639" s="195"/>
      <c r="I639" s="195"/>
      <c r="J639" s="195"/>
    </row>
    <row r="640" s="2" customFormat="true" ht="18" hidden="false" customHeight="false" outlineLevel="0" collapsed="false">
      <c r="E640" s="306"/>
      <c r="H640" s="195"/>
      <c r="I640" s="195"/>
      <c r="J640" s="195"/>
    </row>
    <row r="641" s="2" customFormat="true" ht="18" hidden="false" customHeight="false" outlineLevel="0" collapsed="false">
      <c r="E641" s="306"/>
      <c r="H641" s="195"/>
      <c r="I641" s="195"/>
      <c r="J641" s="195"/>
    </row>
    <row r="642" s="2" customFormat="true" ht="18" hidden="false" customHeight="false" outlineLevel="0" collapsed="false">
      <c r="E642" s="306"/>
      <c r="H642" s="195"/>
      <c r="I642" s="195"/>
      <c r="J642" s="195"/>
    </row>
    <row r="643" s="2" customFormat="true" ht="18" hidden="false" customHeight="false" outlineLevel="0" collapsed="false">
      <c r="E643" s="306"/>
      <c r="H643" s="195"/>
      <c r="I643" s="195"/>
      <c r="J643" s="195"/>
    </row>
    <row r="644" s="2" customFormat="true" ht="18" hidden="false" customHeight="false" outlineLevel="0" collapsed="false">
      <c r="E644" s="306"/>
      <c r="H644" s="195"/>
      <c r="I644" s="195"/>
      <c r="J644" s="195"/>
    </row>
    <row r="645" s="2" customFormat="true" ht="18" hidden="false" customHeight="false" outlineLevel="0" collapsed="false">
      <c r="E645" s="306"/>
      <c r="H645" s="195"/>
      <c r="I645" s="195"/>
      <c r="J645" s="195"/>
    </row>
    <row r="646" s="2" customFormat="true" ht="18" hidden="false" customHeight="false" outlineLevel="0" collapsed="false">
      <c r="E646" s="306"/>
      <c r="H646" s="195"/>
      <c r="I646" s="195"/>
      <c r="J646" s="195"/>
    </row>
    <row r="647" s="2" customFormat="true" ht="18" hidden="false" customHeight="false" outlineLevel="0" collapsed="false">
      <c r="E647" s="306"/>
      <c r="H647" s="195"/>
      <c r="I647" s="195"/>
      <c r="J647" s="195"/>
    </row>
    <row r="648" s="2" customFormat="true" ht="18" hidden="false" customHeight="false" outlineLevel="0" collapsed="false">
      <c r="E648" s="306"/>
      <c r="H648" s="195"/>
      <c r="I648" s="195"/>
      <c r="J648" s="195"/>
    </row>
    <row r="649" s="2" customFormat="true" ht="18" hidden="false" customHeight="false" outlineLevel="0" collapsed="false">
      <c r="E649" s="306"/>
      <c r="H649" s="195"/>
      <c r="I649" s="195"/>
      <c r="J649" s="195"/>
    </row>
    <row r="650" s="2" customFormat="true" ht="18" hidden="false" customHeight="false" outlineLevel="0" collapsed="false">
      <c r="E650" s="306"/>
      <c r="H650" s="195"/>
      <c r="I650" s="195"/>
      <c r="J650" s="195"/>
    </row>
    <row r="651" s="2" customFormat="true" ht="18" hidden="false" customHeight="false" outlineLevel="0" collapsed="false">
      <c r="E651" s="306"/>
      <c r="H651" s="195"/>
      <c r="I651" s="195"/>
      <c r="J651" s="195"/>
    </row>
    <row r="652" s="2" customFormat="true" ht="18" hidden="false" customHeight="false" outlineLevel="0" collapsed="false">
      <c r="E652" s="306"/>
      <c r="H652" s="195"/>
      <c r="I652" s="195"/>
      <c r="J652" s="195"/>
    </row>
    <row r="653" s="2" customFormat="true" ht="18" hidden="false" customHeight="false" outlineLevel="0" collapsed="false">
      <c r="E653" s="306"/>
      <c r="H653" s="195"/>
      <c r="I653" s="195"/>
      <c r="J653" s="195"/>
    </row>
    <row r="654" s="2" customFormat="true" ht="18" hidden="false" customHeight="false" outlineLevel="0" collapsed="false">
      <c r="E654" s="306"/>
      <c r="H654" s="195"/>
      <c r="I654" s="195"/>
      <c r="J654" s="195"/>
    </row>
    <row r="655" s="2" customFormat="true" ht="18" hidden="false" customHeight="false" outlineLevel="0" collapsed="false">
      <c r="E655" s="306"/>
      <c r="H655" s="195"/>
      <c r="I655" s="195"/>
      <c r="J655" s="195"/>
    </row>
    <row r="656" s="2" customFormat="true" ht="18" hidden="false" customHeight="false" outlineLevel="0" collapsed="false">
      <c r="E656" s="306"/>
      <c r="H656" s="195"/>
      <c r="I656" s="195"/>
      <c r="J656" s="195"/>
    </row>
    <row r="657" s="2" customFormat="true" ht="18" hidden="false" customHeight="false" outlineLevel="0" collapsed="false">
      <c r="E657" s="306"/>
      <c r="H657" s="195"/>
      <c r="I657" s="195"/>
      <c r="J657" s="195"/>
    </row>
    <row r="658" s="2" customFormat="true" ht="18" hidden="false" customHeight="false" outlineLevel="0" collapsed="false">
      <c r="E658" s="306"/>
      <c r="H658" s="195"/>
      <c r="I658" s="195"/>
      <c r="J658" s="195"/>
    </row>
    <row r="659" s="2" customFormat="true" ht="18" hidden="false" customHeight="false" outlineLevel="0" collapsed="false">
      <c r="E659" s="306"/>
      <c r="H659" s="195"/>
      <c r="I659" s="195"/>
      <c r="J659" s="195"/>
    </row>
    <row r="660" s="2" customFormat="true" ht="18" hidden="false" customHeight="false" outlineLevel="0" collapsed="false">
      <c r="E660" s="306"/>
      <c r="H660" s="195"/>
      <c r="I660" s="195"/>
      <c r="J660" s="195"/>
    </row>
    <row r="661" s="2" customFormat="true" ht="18" hidden="false" customHeight="false" outlineLevel="0" collapsed="false">
      <c r="E661" s="306"/>
      <c r="H661" s="195"/>
      <c r="I661" s="195"/>
      <c r="J661" s="195"/>
    </row>
    <row r="662" s="2" customFormat="true" ht="18" hidden="false" customHeight="false" outlineLevel="0" collapsed="false">
      <c r="E662" s="306"/>
      <c r="H662" s="195"/>
      <c r="I662" s="195"/>
      <c r="J662" s="195"/>
    </row>
    <row r="663" s="2" customFormat="true" ht="18" hidden="false" customHeight="false" outlineLevel="0" collapsed="false">
      <c r="E663" s="306"/>
      <c r="H663" s="195"/>
      <c r="I663" s="195"/>
      <c r="J663" s="195"/>
    </row>
    <row r="664" s="2" customFormat="true" ht="18" hidden="false" customHeight="false" outlineLevel="0" collapsed="false">
      <c r="E664" s="306"/>
      <c r="H664" s="195"/>
      <c r="I664" s="195"/>
      <c r="J664" s="195"/>
    </row>
    <row r="665" s="2" customFormat="true" ht="18" hidden="false" customHeight="false" outlineLevel="0" collapsed="false">
      <c r="E665" s="306"/>
      <c r="H665" s="195"/>
      <c r="I665" s="195"/>
      <c r="J665" s="195"/>
    </row>
    <row r="666" s="2" customFormat="true" ht="18" hidden="false" customHeight="false" outlineLevel="0" collapsed="false">
      <c r="E666" s="306"/>
      <c r="H666" s="195"/>
      <c r="I666" s="195"/>
      <c r="J666" s="195"/>
    </row>
    <row r="667" s="2" customFormat="true" ht="18" hidden="false" customHeight="false" outlineLevel="0" collapsed="false">
      <c r="E667" s="306"/>
      <c r="H667" s="195"/>
      <c r="I667" s="195"/>
      <c r="J667" s="195"/>
    </row>
    <row r="668" s="2" customFormat="true" ht="18" hidden="false" customHeight="false" outlineLevel="0" collapsed="false">
      <c r="E668" s="306"/>
      <c r="H668" s="195"/>
      <c r="I668" s="195"/>
      <c r="J668" s="195"/>
    </row>
    <row r="669" s="2" customFormat="true" ht="18" hidden="false" customHeight="false" outlineLevel="0" collapsed="false">
      <c r="E669" s="306"/>
      <c r="H669" s="195"/>
      <c r="I669" s="195"/>
      <c r="J669" s="195"/>
    </row>
    <row r="670" s="2" customFormat="true" ht="18" hidden="false" customHeight="false" outlineLevel="0" collapsed="false">
      <c r="E670" s="306"/>
      <c r="H670" s="195"/>
      <c r="I670" s="195"/>
      <c r="J670" s="195"/>
    </row>
    <row r="671" s="2" customFormat="true" ht="18" hidden="false" customHeight="false" outlineLevel="0" collapsed="false">
      <c r="E671" s="306"/>
      <c r="H671" s="195"/>
      <c r="I671" s="195"/>
      <c r="J671" s="195"/>
    </row>
    <row r="672" s="2" customFormat="true" ht="18" hidden="false" customHeight="false" outlineLevel="0" collapsed="false">
      <c r="E672" s="306"/>
      <c r="H672" s="195"/>
      <c r="I672" s="195"/>
      <c r="J672" s="195"/>
    </row>
    <row r="673" s="2" customFormat="true" ht="18" hidden="false" customHeight="false" outlineLevel="0" collapsed="false">
      <c r="E673" s="306"/>
      <c r="H673" s="195"/>
      <c r="I673" s="195"/>
      <c r="J673" s="195"/>
    </row>
    <row r="674" s="2" customFormat="true" ht="18" hidden="false" customHeight="false" outlineLevel="0" collapsed="false">
      <c r="E674" s="306"/>
      <c r="H674" s="195"/>
      <c r="I674" s="195"/>
      <c r="J674" s="195"/>
    </row>
    <row r="675" s="2" customFormat="true" ht="18" hidden="false" customHeight="false" outlineLevel="0" collapsed="false">
      <c r="E675" s="306"/>
      <c r="H675" s="195"/>
      <c r="I675" s="195"/>
      <c r="J675" s="195"/>
    </row>
    <row r="676" s="2" customFormat="true" ht="18" hidden="false" customHeight="false" outlineLevel="0" collapsed="false">
      <c r="E676" s="306"/>
      <c r="H676" s="195"/>
      <c r="I676" s="195"/>
      <c r="J676" s="195"/>
    </row>
    <row r="677" s="2" customFormat="true" ht="18" hidden="false" customHeight="false" outlineLevel="0" collapsed="false">
      <c r="E677" s="306"/>
      <c r="H677" s="195"/>
      <c r="I677" s="195"/>
      <c r="J677" s="195"/>
    </row>
    <row r="678" s="2" customFormat="true" ht="18" hidden="false" customHeight="false" outlineLevel="0" collapsed="false">
      <c r="E678" s="306"/>
      <c r="H678" s="195"/>
      <c r="I678" s="195"/>
      <c r="J678" s="195"/>
    </row>
    <row r="679" s="2" customFormat="true" ht="18" hidden="false" customHeight="false" outlineLevel="0" collapsed="false">
      <c r="E679" s="306"/>
      <c r="H679" s="195"/>
      <c r="I679" s="195"/>
      <c r="J679" s="195"/>
    </row>
    <row r="680" s="2" customFormat="true" ht="18" hidden="false" customHeight="false" outlineLevel="0" collapsed="false">
      <c r="E680" s="306"/>
      <c r="H680" s="195"/>
      <c r="I680" s="195"/>
      <c r="J680" s="195"/>
    </row>
    <row r="681" s="2" customFormat="true" ht="18" hidden="false" customHeight="false" outlineLevel="0" collapsed="false">
      <c r="E681" s="306"/>
      <c r="H681" s="195"/>
      <c r="I681" s="195"/>
      <c r="J681" s="195"/>
    </row>
    <row r="682" s="2" customFormat="true" ht="18" hidden="false" customHeight="false" outlineLevel="0" collapsed="false">
      <c r="E682" s="306"/>
      <c r="H682" s="195"/>
      <c r="I682" s="195"/>
      <c r="J682" s="195"/>
    </row>
    <row r="683" s="2" customFormat="true" ht="18" hidden="false" customHeight="false" outlineLevel="0" collapsed="false">
      <c r="E683" s="306"/>
      <c r="H683" s="195"/>
      <c r="I683" s="195"/>
      <c r="J683" s="195"/>
    </row>
    <row r="684" s="2" customFormat="true" ht="18" hidden="false" customHeight="false" outlineLevel="0" collapsed="false">
      <c r="E684" s="306"/>
      <c r="H684" s="195"/>
      <c r="I684" s="195"/>
      <c r="J684" s="195"/>
    </row>
    <row r="685" s="2" customFormat="true" ht="18" hidden="false" customHeight="false" outlineLevel="0" collapsed="false">
      <c r="E685" s="306"/>
      <c r="H685" s="195"/>
      <c r="I685" s="195"/>
      <c r="J685" s="195"/>
    </row>
    <row r="686" s="2" customFormat="true" ht="18" hidden="false" customHeight="false" outlineLevel="0" collapsed="false">
      <c r="E686" s="306"/>
      <c r="H686" s="195"/>
      <c r="I686" s="195"/>
      <c r="J686" s="195"/>
    </row>
    <row r="687" s="2" customFormat="true" ht="18" hidden="false" customHeight="false" outlineLevel="0" collapsed="false">
      <c r="E687" s="306"/>
      <c r="H687" s="195"/>
      <c r="I687" s="195"/>
      <c r="J687" s="195"/>
    </row>
    <row r="688" s="2" customFormat="true" ht="18" hidden="false" customHeight="false" outlineLevel="0" collapsed="false">
      <c r="E688" s="306"/>
      <c r="H688" s="195"/>
      <c r="I688" s="195"/>
      <c r="J688" s="195"/>
    </row>
    <row r="689" s="2" customFormat="true" ht="18" hidden="false" customHeight="false" outlineLevel="0" collapsed="false">
      <c r="E689" s="306"/>
      <c r="H689" s="195"/>
      <c r="I689" s="195"/>
      <c r="J689" s="195"/>
    </row>
    <row r="690" s="2" customFormat="true" ht="18" hidden="false" customHeight="false" outlineLevel="0" collapsed="false">
      <c r="E690" s="306"/>
      <c r="H690" s="195"/>
      <c r="I690" s="195"/>
      <c r="J690" s="195"/>
    </row>
    <row r="691" s="2" customFormat="true" ht="18" hidden="false" customHeight="false" outlineLevel="0" collapsed="false">
      <c r="E691" s="306"/>
      <c r="H691" s="195"/>
      <c r="I691" s="195"/>
      <c r="J691" s="195"/>
    </row>
    <row r="692" s="2" customFormat="true" ht="18" hidden="false" customHeight="false" outlineLevel="0" collapsed="false">
      <c r="E692" s="306"/>
      <c r="H692" s="195"/>
      <c r="I692" s="195"/>
      <c r="J692" s="195"/>
    </row>
    <row r="693" s="2" customFormat="true" ht="18" hidden="false" customHeight="false" outlineLevel="0" collapsed="false">
      <c r="E693" s="306"/>
      <c r="H693" s="195"/>
      <c r="I693" s="195"/>
      <c r="J693" s="195"/>
    </row>
    <row r="694" s="2" customFormat="true" ht="18" hidden="false" customHeight="false" outlineLevel="0" collapsed="false">
      <c r="E694" s="306"/>
      <c r="H694" s="195"/>
      <c r="I694" s="195"/>
      <c r="J694" s="195"/>
    </row>
    <row r="695" s="2" customFormat="true" ht="18" hidden="false" customHeight="false" outlineLevel="0" collapsed="false">
      <c r="E695" s="306"/>
      <c r="H695" s="195"/>
      <c r="I695" s="195"/>
      <c r="J695" s="195"/>
    </row>
    <row r="696" s="2" customFormat="true" ht="18" hidden="false" customHeight="false" outlineLevel="0" collapsed="false">
      <c r="E696" s="306"/>
      <c r="H696" s="195"/>
      <c r="I696" s="195"/>
      <c r="J696" s="195"/>
    </row>
    <row r="697" s="2" customFormat="true" ht="18" hidden="false" customHeight="false" outlineLevel="0" collapsed="false">
      <c r="E697" s="306"/>
      <c r="H697" s="195"/>
      <c r="I697" s="195"/>
      <c r="J697" s="195"/>
    </row>
    <row r="698" s="2" customFormat="true" ht="18" hidden="false" customHeight="false" outlineLevel="0" collapsed="false">
      <c r="E698" s="306"/>
      <c r="H698" s="195"/>
      <c r="I698" s="195"/>
      <c r="J698" s="195"/>
    </row>
    <row r="699" s="2" customFormat="true" ht="18" hidden="false" customHeight="false" outlineLevel="0" collapsed="false">
      <c r="E699" s="306"/>
      <c r="H699" s="195"/>
      <c r="I699" s="195"/>
      <c r="J699" s="195"/>
    </row>
    <row r="700" s="2" customFormat="true" ht="18" hidden="false" customHeight="false" outlineLevel="0" collapsed="false">
      <c r="E700" s="306"/>
      <c r="H700" s="195"/>
      <c r="I700" s="195"/>
      <c r="J700" s="195"/>
    </row>
    <row r="701" s="2" customFormat="true" ht="18" hidden="false" customHeight="false" outlineLevel="0" collapsed="false">
      <c r="E701" s="306"/>
      <c r="H701" s="195"/>
      <c r="I701" s="195"/>
      <c r="J701" s="195"/>
    </row>
    <row r="702" s="2" customFormat="true" ht="18" hidden="false" customHeight="false" outlineLevel="0" collapsed="false">
      <c r="E702" s="306"/>
      <c r="H702" s="195"/>
      <c r="I702" s="195"/>
      <c r="J702" s="195"/>
    </row>
    <row r="703" s="2" customFormat="true" ht="18" hidden="false" customHeight="false" outlineLevel="0" collapsed="false">
      <c r="E703" s="306"/>
      <c r="H703" s="195"/>
      <c r="I703" s="195"/>
      <c r="J703" s="195"/>
    </row>
    <row r="704" s="2" customFormat="true" ht="18" hidden="false" customHeight="false" outlineLevel="0" collapsed="false">
      <c r="E704" s="306"/>
      <c r="H704" s="195"/>
      <c r="I704" s="195"/>
      <c r="J704" s="195"/>
    </row>
    <row r="705" s="2" customFormat="true" ht="18" hidden="false" customHeight="false" outlineLevel="0" collapsed="false">
      <c r="E705" s="306"/>
      <c r="H705" s="195"/>
      <c r="I705" s="195"/>
      <c r="J705" s="195"/>
    </row>
    <row r="706" s="2" customFormat="true" ht="18" hidden="false" customHeight="false" outlineLevel="0" collapsed="false">
      <c r="E706" s="306"/>
      <c r="H706" s="195"/>
      <c r="I706" s="195"/>
      <c r="J706" s="195"/>
    </row>
    <row r="707" s="2" customFormat="true" ht="18" hidden="false" customHeight="false" outlineLevel="0" collapsed="false">
      <c r="E707" s="306"/>
      <c r="H707" s="195"/>
      <c r="I707" s="195"/>
      <c r="J707" s="195"/>
    </row>
    <row r="708" s="2" customFormat="true" ht="18" hidden="false" customHeight="false" outlineLevel="0" collapsed="false">
      <c r="E708" s="306"/>
      <c r="H708" s="195"/>
      <c r="I708" s="195"/>
      <c r="J708" s="195"/>
    </row>
    <row r="709" s="2" customFormat="true" ht="18" hidden="false" customHeight="false" outlineLevel="0" collapsed="false">
      <c r="E709" s="306"/>
      <c r="H709" s="195"/>
      <c r="I709" s="195"/>
      <c r="J709" s="195"/>
    </row>
    <row r="710" s="2" customFormat="true" ht="18" hidden="false" customHeight="false" outlineLevel="0" collapsed="false">
      <c r="E710" s="306"/>
      <c r="H710" s="195"/>
      <c r="I710" s="195"/>
      <c r="J710" s="195"/>
    </row>
    <row r="711" s="2" customFormat="true" ht="18" hidden="false" customHeight="false" outlineLevel="0" collapsed="false">
      <c r="E711" s="306"/>
      <c r="H711" s="195"/>
      <c r="I711" s="195"/>
      <c r="J711" s="195"/>
    </row>
    <row r="712" s="2" customFormat="true" ht="18" hidden="false" customHeight="false" outlineLevel="0" collapsed="false">
      <c r="E712" s="306"/>
      <c r="H712" s="195"/>
      <c r="I712" s="195"/>
      <c r="J712" s="195"/>
    </row>
    <row r="713" s="2" customFormat="true" ht="18" hidden="false" customHeight="false" outlineLevel="0" collapsed="false">
      <c r="E713" s="306"/>
      <c r="H713" s="195"/>
      <c r="I713" s="195"/>
      <c r="J713" s="195"/>
    </row>
    <row r="714" s="2" customFormat="true" ht="18" hidden="false" customHeight="false" outlineLevel="0" collapsed="false">
      <c r="E714" s="306"/>
      <c r="H714" s="195"/>
      <c r="I714" s="195"/>
      <c r="J714" s="195"/>
    </row>
    <row r="715" s="2" customFormat="true" ht="18" hidden="false" customHeight="false" outlineLevel="0" collapsed="false">
      <c r="E715" s="306"/>
      <c r="H715" s="195"/>
      <c r="I715" s="195"/>
      <c r="J715" s="195"/>
    </row>
    <row r="716" s="2" customFormat="true" ht="18" hidden="false" customHeight="false" outlineLevel="0" collapsed="false">
      <c r="E716" s="306"/>
      <c r="H716" s="195"/>
      <c r="I716" s="195"/>
      <c r="J716" s="195"/>
    </row>
    <row r="717" s="2" customFormat="true" ht="18" hidden="false" customHeight="false" outlineLevel="0" collapsed="false">
      <c r="E717" s="306"/>
      <c r="H717" s="195"/>
      <c r="I717" s="195"/>
      <c r="J717" s="195"/>
    </row>
    <row r="718" s="2" customFormat="true" ht="18" hidden="false" customHeight="false" outlineLevel="0" collapsed="false">
      <c r="E718" s="306"/>
      <c r="H718" s="195"/>
      <c r="I718" s="195"/>
      <c r="J718" s="195"/>
    </row>
    <row r="719" s="2" customFormat="true" ht="18" hidden="false" customHeight="false" outlineLevel="0" collapsed="false">
      <c r="E719" s="306"/>
      <c r="H719" s="195"/>
      <c r="I719" s="195"/>
      <c r="J719" s="195"/>
    </row>
    <row r="720" s="2" customFormat="true" ht="18" hidden="false" customHeight="false" outlineLevel="0" collapsed="false">
      <c r="E720" s="306"/>
      <c r="H720" s="195"/>
      <c r="I720" s="195"/>
      <c r="J720" s="195"/>
    </row>
    <row r="721" s="2" customFormat="true" ht="18" hidden="false" customHeight="false" outlineLevel="0" collapsed="false">
      <c r="E721" s="306"/>
      <c r="H721" s="195"/>
      <c r="I721" s="195"/>
      <c r="J721" s="195"/>
    </row>
    <row r="722" s="2" customFormat="true" ht="18" hidden="false" customHeight="false" outlineLevel="0" collapsed="false">
      <c r="E722" s="306"/>
      <c r="H722" s="195"/>
      <c r="I722" s="195"/>
      <c r="J722" s="195"/>
    </row>
    <row r="723" s="2" customFormat="true" ht="18" hidden="false" customHeight="false" outlineLevel="0" collapsed="false">
      <c r="E723" s="306"/>
      <c r="H723" s="195"/>
      <c r="I723" s="195"/>
      <c r="J723" s="195"/>
    </row>
    <row r="724" s="2" customFormat="true" ht="18" hidden="false" customHeight="false" outlineLevel="0" collapsed="false">
      <c r="E724" s="306"/>
      <c r="H724" s="195"/>
      <c r="I724" s="195"/>
      <c r="J724" s="195"/>
    </row>
    <row r="725" s="2" customFormat="true" ht="18" hidden="false" customHeight="false" outlineLevel="0" collapsed="false">
      <c r="E725" s="306"/>
      <c r="H725" s="195"/>
      <c r="I725" s="195"/>
      <c r="J725" s="195"/>
    </row>
    <row r="726" s="2" customFormat="true" ht="18" hidden="false" customHeight="false" outlineLevel="0" collapsed="false">
      <c r="E726" s="306"/>
      <c r="H726" s="195"/>
      <c r="I726" s="195"/>
      <c r="J726" s="195"/>
    </row>
    <row r="727" s="2" customFormat="true" ht="18" hidden="false" customHeight="false" outlineLevel="0" collapsed="false">
      <c r="E727" s="306"/>
      <c r="H727" s="195"/>
      <c r="I727" s="195"/>
      <c r="J727" s="195"/>
    </row>
    <row r="728" s="2" customFormat="true" ht="18" hidden="false" customHeight="false" outlineLevel="0" collapsed="false">
      <c r="E728" s="306"/>
      <c r="H728" s="195"/>
      <c r="I728" s="195"/>
      <c r="J728" s="195"/>
    </row>
    <row r="729" s="2" customFormat="true" ht="18" hidden="false" customHeight="false" outlineLevel="0" collapsed="false">
      <c r="E729" s="306"/>
      <c r="H729" s="195"/>
      <c r="I729" s="195"/>
      <c r="J729" s="195"/>
    </row>
    <row r="730" s="2" customFormat="true" ht="18" hidden="false" customHeight="false" outlineLevel="0" collapsed="false">
      <c r="E730" s="306"/>
      <c r="H730" s="195"/>
      <c r="I730" s="195"/>
      <c r="J730" s="195"/>
    </row>
    <row r="731" s="2" customFormat="true" ht="18" hidden="false" customHeight="false" outlineLevel="0" collapsed="false">
      <c r="E731" s="306"/>
      <c r="H731" s="195"/>
      <c r="I731" s="195"/>
      <c r="J731" s="195"/>
    </row>
    <row r="732" s="2" customFormat="true" ht="18" hidden="false" customHeight="false" outlineLevel="0" collapsed="false">
      <c r="E732" s="306"/>
      <c r="H732" s="195"/>
      <c r="I732" s="195"/>
      <c r="J732" s="195"/>
    </row>
    <row r="733" s="2" customFormat="true" ht="18" hidden="false" customHeight="false" outlineLevel="0" collapsed="false">
      <c r="E733" s="306"/>
      <c r="H733" s="195"/>
      <c r="I733" s="195"/>
      <c r="J733" s="195"/>
    </row>
    <row r="734" s="2" customFormat="true" ht="18" hidden="false" customHeight="false" outlineLevel="0" collapsed="false">
      <c r="E734" s="306"/>
      <c r="H734" s="195"/>
      <c r="I734" s="195"/>
      <c r="J734" s="195"/>
    </row>
    <row r="735" s="2" customFormat="true" ht="18" hidden="false" customHeight="false" outlineLevel="0" collapsed="false">
      <c r="E735" s="306"/>
      <c r="H735" s="195"/>
      <c r="I735" s="195"/>
      <c r="J735" s="195"/>
    </row>
    <row r="736" s="2" customFormat="true" ht="18" hidden="false" customHeight="false" outlineLevel="0" collapsed="false">
      <c r="E736" s="306"/>
      <c r="H736" s="195"/>
      <c r="I736" s="195"/>
      <c r="J736" s="195"/>
    </row>
    <row r="737" s="2" customFormat="true" ht="18" hidden="false" customHeight="false" outlineLevel="0" collapsed="false">
      <c r="E737" s="306"/>
      <c r="H737" s="195"/>
      <c r="I737" s="195"/>
      <c r="J737" s="195"/>
    </row>
    <row r="738" s="2" customFormat="true" ht="18" hidden="false" customHeight="false" outlineLevel="0" collapsed="false">
      <c r="E738" s="306"/>
      <c r="H738" s="195"/>
      <c r="I738" s="195"/>
      <c r="J738" s="195"/>
    </row>
    <row r="739" s="2" customFormat="true" ht="18" hidden="false" customHeight="false" outlineLevel="0" collapsed="false">
      <c r="E739" s="306"/>
      <c r="H739" s="195"/>
      <c r="I739" s="195"/>
      <c r="J739" s="195"/>
    </row>
    <row r="740" s="2" customFormat="true" ht="18" hidden="false" customHeight="false" outlineLevel="0" collapsed="false">
      <c r="E740" s="306"/>
      <c r="H740" s="195"/>
      <c r="I740" s="195"/>
      <c r="J740" s="195"/>
    </row>
    <row r="741" s="2" customFormat="true" ht="18" hidden="false" customHeight="false" outlineLevel="0" collapsed="false">
      <c r="E741" s="306"/>
      <c r="H741" s="195"/>
      <c r="I741" s="195"/>
      <c r="J741" s="195"/>
    </row>
    <row r="742" s="2" customFormat="true" ht="18" hidden="false" customHeight="false" outlineLevel="0" collapsed="false">
      <c r="E742" s="306"/>
      <c r="H742" s="195"/>
      <c r="I742" s="195"/>
      <c r="J742" s="195"/>
    </row>
    <row r="743" s="2" customFormat="true" ht="18" hidden="false" customHeight="false" outlineLevel="0" collapsed="false">
      <c r="E743" s="306"/>
      <c r="H743" s="195"/>
      <c r="I743" s="195"/>
      <c r="J743" s="195"/>
    </row>
    <row r="744" s="2" customFormat="true" ht="18" hidden="false" customHeight="false" outlineLevel="0" collapsed="false">
      <c r="E744" s="306"/>
      <c r="H744" s="195"/>
      <c r="I744" s="195"/>
      <c r="J744" s="195"/>
    </row>
    <row r="745" s="2" customFormat="true" ht="18" hidden="false" customHeight="false" outlineLevel="0" collapsed="false">
      <c r="E745" s="306"/>
      <c r="H745" s="195"/>
      <c r="I745" s="195"/>
      <c r="J745" s="195"/>
    </row>
    <row r="746" s="2" customFormat="true" ht="18" hidden="false" customHeight="false" outlineLevel="0" collapsed="false">
      <c r="E746" s="306"/>
      <c r="H746" s="195"/>
      <c r="I746" s="195"/>
      <c r="J746" s="195"/>
    </row>
    <row r="747" s="2" customFormat="true" ht="18" hidden="false" customHeight="false" outlineLevel="0" collapsed="false">
      <c r="E747" s="306"/>
      <c r="H747" s="195"/>
      <c r="I747" s="195"/>
      <c r="J747" s="195"/>
    </row>
    <row r="748" s="2" customFormat="true" ht="18" hidden="false" customHeight="false" outlineLevel="0" collapsed="false">
      <c r="E748" s="306"/>
      <c r="H748" s="195"/>
      <c r="I748" s="195"/>
      <c r="J748" s="195"/>
    </row>
    <row r="749" s="2" customFormat="true" ht="18" hidden="false" customHeight="false" outlineLevel="0" collapsed="false">
      <c r="E749" s="306"/>
      <c r="H749" s="195"/>
      <c r="I749" s="195"/>
      <c r="J749" s="195"/>
    </row>
    <row r="750" s="2" customFormat="true" ht="18" hidden="false" customHeight="false" outlineLevel="0" collapsed="false">
      <c r="E750" s="306"/>
      <c r="H750" s="195"/>
      <c r="I750" s="195"/>
      <c r="J750" s="195"/>
    </row>
    <row r="751" s="2" customFormat="true" ht="18" hidden="false" customHeight="false" outlineLevel="0" collapsed="false">
      <c r="E751" s="306"/>
      <c r="H751" s="195"/>
      <c r="I751" s="195"/>
      <c r="J751" s="195"/>
    </row>
    <row r="752" s="2" customFormat="true" ht="18" hidden="false" customHeight="false" outlineLevel="0" collapsed="false">
      <c r="E752" s="306"/>
      <c r="H752" s="195"/>
      <c r="I752" s="195"/>
      <c r="J752" s="195"/>
    </row>
    <row r="753" s="2" customFormat="true" ht="18" hidden="false" customHeight="false" outlineLevel="0" collapsed="false">
      <c r="E753" s="306"/>
      <c r="H753" s="195"/>
      <c r="I753" s="195"/>
      <c r="J753" s="195"/>
    </row>
    <row r="754" s="2" customFormat="true" ht="18" hidden="false" customHeight="false" outlineLevel="0" collapsed="false">
      <c r="E754" s="306"/>
      <c r="H754" s="195"/>
      <c r="I754" s="195"/>
      <c r="J754" s="195"/>
    </row>
    <row r="755" s="2" customFormat="true" ht="18" hidden="false" customHeight="false" outlineLevel="0" collapsed="false">
      <c r="E755" s="306"/>
      <c r="H755" s="195"/>
      <c r="I755" s="195"/>
      <c r="J755" s="195"/>
    </row>
    <row r="756" s="2" customFormat="true" ht="18" hidden="false" customHeight="false" outlineLevel="0" collapsed="false">
      <c r="E756" s="306"/>
      <c r="H756" s="195"/>
      <c r="I756" s="195"/>
      <c r="J756" s="195"/>
    </row>
    <row r="757" s="2" customFormat="true" ht="18" hidden="false" customHeight="false" outlineLevel="0" collapsed="false">
      <c r="E757" s="306"/>
      <c r="H757" s="195"/>
      <c r="I757" s="195"/>
      <c r="J757" s="195"/>
    </row>
    <row r="758" s="2" customFormat="true" ht="18" hidden="false" customHeight="false" outlineLevel="0" collapsed="false">
      <c r="E758" s="306"/>
      <c r="H758" s="195"/>
      <c r="I758" s="195"/>
      <c r="J758" s="195"/>
    </row>
    <row r="759" s="2" customFormat="true" ht="18" hidden="false" customHeight="false" outlineLevel="0" collapsed="false">
      <c r="E759" s="306"/>
      <c r="H759" s="195"/>
      <c r="I759" s="195"/>
      <c r="J759" s="195"/>
    </row>
    <row r="760" s="2" customFormat="true" ht="18" hidden="false" customHeight="false" outlineLevel="0" collapsed="false">
      <c r="E760" s="306"/>
      <c r="H760" s="195"/>
      <c r="I760" s="195"/>
      <c r="J760" s="195"/>
    </row>
    <row r="761" s="2" customFormat="true" ht="18" hidden="false" customHeight="false" outlineLevel="0" collapsed="false">
      <c r="E761" s="306"/>
      <c r="H761" s="195"/>
      <c r="I761" s="195"/>
      <c r="J761" s="195"/>
    </row>
    <row r="762" s="2" customFormat="true" ht="18" hidden="false" customHeight="false" outlineLevel="0" collapsed="false">
      <c r="E762" s="306"/>
      <c r="H762" s="195"/>
      <c r="I762" s="195"/>
      <c r="J762" s="195"/>
    </row>
    <row r="763" s="2" customFormat="true" ht="18" hidden="false" customHeight="false" outlineLevel="0" collapsed="false">
      <c r="E763" s="306"/>
      <c r="H763" s="195"/>
      <c r="I763" s="195"/>
      <c r="J763" s="195"/>
    </row>
    <row r="764" s="2" customFormat="true" ht="18" hidden="false" customHeight="false" outlineLevel="0" collapsed="false">
      <c r="E764" s="306"/>
      <c r="H764" s="195"/>
      <c r="I764" s="195"/>
      <c r="J764" s="195"/>
    </row>
    <row r="765" s="2" customFormat="true" ht="18" hidden="false" customHeight="false" outlineLevel="0" collapsed="false">
      <c r="E765" s="306"/>
      <c r="H765" s="195"/>
      <c r="I765" s="195"/>
      <c r="J765" s="195"/>
    </row>
    <row r="766" s="2" customFormat="true" ht="18" hidden="false" customHeight="false" outlineLevel="0" collapsed="false">
      <c r="E766" s="306"/>
      <c r="H766" s="195"/>
      <c r="I766" s="195"/>
      <c r="J766" s="195"/>
    </row>
    <row r="767" s="2" customFormat="true" ht="18" hidden="false" customHeight="false" outlineLevel="0" collapsed="false">
      <c r="E767" s="306"/>
      <c r="H767" s="195"/>
      <c r="I767" s="195"/>
      <c r="J767" s="195"/>
    </row>
    <row r="768" s="2" customFormat="true" ht="18" hidden="false" customHeight="false" outlineLevel="0" collapsed="false">
      <c r="E768" s="306"/>
      <c r="H768" s="195"/>
      <c r="I768" s="195"/>
      <c r="J768" s="195"/>
    </row>
    <row r="769" s="2" customFormat="true" ht="18" hidden="false" customHeight="false" outlineLevel="0" collapsed="false">
      <c r="E769" s="306"/>
      <c r="H769" s="195"/>
      <c r="I769" s="195"/>
      <c r="J769" s="195"/>
    </row>
    <row r="770" s="2" customFormat="true" ht="18" hidden="false" customHeight="false" outlineLevel="0" collapsed="false">
      <c r="E770" s="306"/>
      <c r="H770" s="195"/>
      <c r="I770" s="195"/>
      <c r="J770" s="195"/>
    </row>
    <row r="771" s="2" customFormat="true" ht="18" hidden="false" customHeight="false" outlineLevel="0" collapsed="false">
      <c r="E771" s="306"/>
      <c r="H771" s="195"/>
      <c r="I771" s="195"/>
      <c r="J771" s="195"/>
    </row>
    <row r="772" s="2" customFormat="true" ht="18" hidden="false" customHeight="false" outlineLevel="0" collapsed="false">
      <c r="E772" s="306"/>
      <c r="H772" s="195"/>
      <c r="I772" s="195"/>
      <c r="J772" s="195"/>
    </row>
    <row r="773" s="2" customFormat="true" ht="18" hidden="false" customHeight="false" outlineLevel="0" collapsed="false">
      <c r="E773" s="306"/>
      <c r="H773" s="195"/>
      <c r="I773" s="195"/>
      <c r="J773" s="195"/>
    </row>
    <row r="774" s="2" customFormat="true" ht="18" hidden="false" customHeight="false" outlineLevel="0" collapsed="false">
      <c r="E774" s="306"/>
      <c r="H774" s="195"/>
      <c r="I774" s="195"/>
      <c r="J774" s="195"/>
    </row>
    <row r="775" s="2" customFormat="true" ht="18" hidden="false" customHeight="false" outlineLevel="0" collapsed="false">
      <c r="E775" s="306"/>
      <c r="H775" s="195"/>
      <c r="I775" s="195"/>
      <c r="J775" s="195"/>
    </row>
    <row r="776" s="2" customFormat="true" ht="18" hidden="false" customHeight="false" outlineLevel="0" collapsed="false">
      <c r="E776" s="306"/>
      <c r="H776" s="195"/>
      <c r="I776" s="195"/>
      <c r="J776" s="195"/>
    </row>
    <row r="777" s="2" customFormat="true" ht="18" hidden="false" customHeight="false" outlineLevel="0" collapsed="false">
      <c r="E777" s="306"/>
      <c r="H777" s="195"/>
      <c r="I777" s="195"/>
      <c r="J777" s="195"/>
    </row>
    <row r="778" s="2" customFormat="true" ht="18" hidden="false" customHeight="false" outlineLevel="0" collapsed="false">
      <c r="E778" s="306"/>
      <c r="H778" s="195"/>
      <c r="I778" s="195"/>
      <c r="J778" s="195"/>
    </row>
    <row r="779" s="2" customFormat="true" ht="18" hidden="false" customHeight="false" outlineLevel="0" collapsed="false">
      <c r="E779" s="306"/>
      <c r="H779" s="195"/>
      <c r="I779" s="195"/>
      <c r="J779" s="195"/>
    </row>
    <row r="780" s="2" customFormat="true" ht="18" hidden="false" customHeight="false" outlineLevel="0" collapsed="false">
      <c r="E780" s="306"/>
      <c r="H780" s="195"/>
      <c r="I780" s="195"/>
      <c r="J780" s="195"/>
    </row>
    <row r="781" s="2" customFormat="true" ht="18" hidden="false" customHeight="false" outlineLevel="0" collapsed="false">
      <c r="E781" s="306"/>
      <c r="H781" s="195"/>
      <c r="I781" s="195"/>
      <c r="J781" s="195"/>
    </row>
    <row r="782" s="2" customFormat="true" ht="18" hidden="false" customHeight="false" outlineLevel="0" collapsed="false">
      <c r="E782" s="306"/>
      <c r="H782" s="195"/>
      <c r="I782" s="195"/>
      <c r="J782" s="195"/>
    </row>
    <row r="783" s="2" customFormat="true" ht="18" hidden="false" customHeight="false" outlineLevel="0" collapsed="false">
      <c r="E783" s="306"/>
      <c r="H783" s="195"/>
      <c r="I783" s="195"/>
      <c r="J783" s="195"/>
    </row>
    <row r="784" s="2" customFormat="true" ht="18" hidden="false" customHeight="false" outlineLevel="0" collapsed="false">
      <c r="E784" s="306"/>
      <c r="H784" s="195"/>
      <c r="I784" s="195"/>
      <c r="J784" s="195"/>
    </row>
    <row r="785" s="2" customFormat="true" ht="18" hidden="false" customHeight="false" outlineLevel="0" collapsed="false">
      <c r="E785" s="306"/>
      <c r="H785" s="195"/>
      <c r="I785" s="195"/>
      <c r="J785" s="195"/>
    </row>
    <row r="786" s="2" customFormat="true" ht="18" hidden="false" customHeight="false" outlineLevel="0" collapsed="false">
      <c r="E786" s="306"/>
      <c r="H786" s="195"/>
      <c r="I786" s="195"/>
      <c r="J786" s="195"/>
    </row>
    <row r="787" s="2" customFormat="true" ht="18" hidden="false" customHeight="false" outlineLevel="0" collapsed="false">
      <c r="E787" s="306"/>
      <c r="H787" s="195"/>
      <c r="I787" s="195"/>
      <c r="J787" s="195"/>
    </row>
    <row r="788" s="2" customFormat="true" ht="18" hidden="false" customHeight="false" outlineLevel="0" collapsed="false">
      <c r="E788" s="306"/>
      <c r="H788" s="195"/>
      <c r="I788" s="195"/>
      <c r="J788" s="195"/>
    </row>
    <row r="789" s="2" customFormat="true" ht="18" hidden="false" customHeight="false" outlineLevel="0" collapsed="false">
      <c r="E789" s="306"/>
      <c r="H789" s="195"/>
      <c r="I789" s="195"/>
      <c r="J789" s="195"/>
    </row>
    <row r="790" s="2" customFormat="true" ht="18" hidden="false" customHeight="false" outlineLevel="0" collapsed="false">
      <c r="E790" s="306"/>
      <c r="H790" s="195"/>
      <c r="I790" s="195"/>
      <c r="J790" s="195"/>
    </row>
    <row r="791" s="2" customFormat="true" ht="18" hidden="false" customHeight="false" outlineLevel="0" collapsed="false">
      <c r="E791" s="306"/>
      <c r="H791" s="195"/>
      <c r="I791" s="195"/>
      <c r="J791" s="195"/>
    </row>
    <row r="792" s="2" customFormat="true" ht="18" hidden="false" customHeight="false" outlineLevel="0" collapsed="false">
      <c r="E792" s="306"/>
      <c r="H792" s="195"/>
      <c r="I792" s="195"/>
      <c r="J792" s="195"/>
    </row>
    <row r="793" s="2" customFormat="true" ht="18" hidden="false" customHeight="false" outlineLevel="0" collapsed="false">
      <c r="E793" s="306"/>
      <c r="H793" s="195"/>
      <c r="I793" s="195"/>
      <c r="J793" s="195"/>
    </row>
    <row r="794" s="2" customFormat="true" ht="18" hidden="false" customHeight="false" outlineLevel="0" collapsed="false">
      <c r="E794" s="306"/>
      <c r="H794" s="195"/>
      <c r="I794" s="195"/>
      <c r="J794" s="195"/>
    </row>
    <row r="795" s="2" customFormat="true" ht="18" hidden="false" customHeight="false" outlineLevel="0" collapsed="false">
      <c r="E795" s="306"/>
      <c r="H795" s="195"/>
      <c r="I795" s="195"/>
      <c r="J795" s="195"/>
    </row>
    <row r="796" s="2" customFormat="true" ht="18" hidden="false" customHeight="false" outlineLevel="0" collapsed="false">
      <c r="E796" s="306"/>
      <c r="H796" s="195"/>
      <c r="I796" s="195"/>
      <c r="J796" s="195"/>
    </row>
    <row r="797" s="2" customFormat="true" ht="18" hidden="false" customHeight="false" outlineLevel="0" collapsed="false">
      <c r="E797" s="306"/>
      <c r="H797" s="195"/>
      <c r="I797" s="195"/>
      <c r="J797" s="195"/>
    </row>
    <row r="798" s="2" customFormat="true" ht="18" hidden="false" customHeight="false" outlineLevel="0" collapsed="false">
      <c r="E798" s="306"/>
      <c r="H798" s="195"/>
      <c r="I798" s="195"/>
      <c r="J798" s="195"/>
    </row>
    <row r="799" s="2" customFormat="true" ht="18" hidden="false" customHeight="false" outlineLevel="0" collapsed="false">
      <c r="E799" s="306"/>
      <c r="H799" s="195"/>
      <c r="I799" s="195"/>
      <c r="J799" s="195"/>
    </row>
    <row r="800" s="2" customFormat="true" ht="18" hidden="false" customHeight="false" outlineLevel="0" collapsed="false">
      <c r="E800" s="306"/>
      <c r="H800" s="195"/>
      <c r="I800" s="195"/>
      <c r="J800" s="195"/>
    </row>
    <row r="801" s="2" customFormat="true" ht="18" hidden="false" customHeight="false" outlineLevel="0" collapsed="false">
      <c r="E801" s="306"/>
      <c r="H801" s="195"/>
      <c r="I801" s="195"/>
      <c r="J801" s="195"/>
    </row>
    <row r="802" s="2" customFormat="true" ht="18" hidden="false" customHeight="false" outlineLevel="0" collapsed="false">
      <c r="E802" s="306"/>
      <c r="H802" s="195"/>
      <c r="I802" s="195"/>
      <c r="J802" s="195"/>
    </row>
    <row r="803" s="2" customFormat="true" ht="18" hidden="false" customHeight="false" outlineLevel="0" collapsed="false">
      <c r="E803" s="306"/>
      <c r="H803" s="195"/>
      <c r="I803" s="195"/>
      <c r="J803" s="195"/>
    </row>
    <row r="804" s="2" customFormat="true" ht="18" hidden="false" customHeight="false" outlineLevel="0" collapsed="false">
      <c r="E804" s="306"/>
      <c r="H804" s="195"/>
      <c r="I804" s="195"/>
      <c r="J804" s="195"/>
    </row>
    <row r="805" s="2" customFormat="true" ht="18" hidden="false" customHeight="false" outlineLevel="0" collapsed="false">
      <c r="E805" s="306"/>
      <c r="H805" s="195"/>
      <c r="I805" s="195"/>
      <c r="J805" s="195"/>
    </row>
    <row r="806" s="2" customFormat="true" ht="18" hidden="false" customHeight="false" outlineLevel="0" collapsed="false">
      <c r="E806" s="306"/>
      <c r="H806" s="195"/>
      <c r="I806" s="195"/>
      <c r="J806" s="195"/>
    </row>
    <row r="807" s="2" customFormat="true" ht="18" hidden="false" customHeight="false" outlineLevel="0" collapsed="false">
      <c r="E807" s="306"/>
      <c r="H807" s="195"/>
      <c r="I807" s="195"/>
      <c r="J807" s="195"/>
    </row>
    <row r="808" s="2" customFormat="true" ht="18" hidden="false" customHeight="false" outlineLevel="0" collapsed="false">
      <c r="E808" s="306"/>
      <c r="H808" s="195"/>
      <c r="I808" s="195"/>
      <c r="J808" s="195"/>
    </row>
    <row r="809" s="2" customFormat="true" ht="18" hidden="false" customHeight="false" outlineLevel="0" collapsed="false">
      <c r="E809" s="306"/>
      <c r="H809" s="195"/>
      <c r="I809" s="195"/>
      <c r="J809" s="195"/>
    </row>
    <row r="810" s="2" customFormat="true" ht="18" hidden="false" customHeight="false" outlineLevel="0" collapsed="false">
      <c r="E810" s="306"/>
      <c r="H810" s="195"/>
      <c r="I810" s="195"/>
      <c r="J810" s="195"/>
    </row>
    <row r="811" s="2" customFormat="true" ht="18" hidden="false" customHeight="false" outlineLevel="0" collapsed="false">
      <c r="E811" s="306"/>
      <c r="H811" s="195"/>
      <c r="I811" s="195"/>
      <c r="J811" s="195"/>
    </row>
    <row r="812" s="2" customFormat="true" ht="18" hidden="false" customHeight="false" outlineLevel="0" collapsed="false">
      <c r="E812" s="306"/>
      <c r="H812" s="195"/>
      <c r="I812" s="195"/>
      <c r="J812" s="195"/>
    </row>
    <row r="813" s="2" customFormat="true" ht="18" hidden="false" customHeight="false" outlineLevel="0" collapsed="false">
      <c r="E813" s="306"/>
      <c r="H813" s="195"/>
      <c r="I813" s="195"/>
      <c r="J813" s="195"/>
    </row>
    <row r="814" s="2" customFormat="true" ht="18" hidden="false" customHeight="false" outlineLevel="0" collapsed="false">
      <c r="E814" s="306"/>
      <c r="H814" s="195"/>
      <c r="I814" s="195"/>
      <c r="J814" s="195"/>
    </row>
    <row r="815" s="2" customFormat="true" ht="18" hidden="false" customHeight="false" outlineLevel="0" collapsed="false">
      <c r="E815" s="306"/>
      <c r="H815" s="195"/>
      <c r="I815" s="195"/>
      <c r="J815" s="195"/>
    </row>
    <row r="816" s="2" customFormat="true" ht="18" hidden="false" customHeight="false" outlineLevel="0" collapsed="false">
      <c r="E816" s="306"/>
      <c r="H816" s="195"/>
      <c r="I816" s="195"/>
      <c r="J816" s="195"/>
    </row>
    <row r="817" s="2" customFormat="true" ht="18" hidden="false" customHeight="false" outlineLevel="0" collapsed="false">
      <c r="E817" s="306"/>
      <c r="H817" s="195"/>
      <c r="I817" s="195"/>
      <c r="J817" s="195"/>
    </row>
    <row r="818" s="2" customFormat="true" ht="18" hidden="false" customHeight="false" outlineLevel="0" collapsed="false">
      <c r="E818" s="306"/>
      <c r="H818" s="195"/>
      <c r="I818" s="195"/>
      <c r="J818" s="195"/>
    </row>
    <row r="819" s="2" customFormat="true" ht="18" hidden="false" customHeight="false" outlineLevel="0" collapsed="false">
      <c r="E819" s="306"/>
      <c r="H819" s="195"/>
      <c r="I819" s="195"/>
      <c r="J819" s="195"/>
    </row>
    <row r="820" s="2" customFormat="true" ht="18" hidden="false" customHeight="false" outlineLevel="0" collapsed="false">
      <c r="E820" s="306"/>
      <c r="H820" s="195"/>
      <c r="I820" s="195"/>
      <c r="J820" s="195"/>
    </row>
    <row r="821" s="2" customFormat="true" ht="18" hidden="false" customHeight="false" outlineLevel="0" collapsed="false">
      <c r="E821" s="306"/>
      <c r="H821" s="195"/>
      <c r="I821" s="195"/>
      <c r="J821" s="195"/>
    </row>
    <row r="822" s="2" customFormat="true" ht="18" hidden="false" customHeight="false" outlineLevel="0" collapsed="false">
      <c r="E822" s="306"/>
      <c r="H822" s="195"/>
      <c r="I822" s="195"/>
      <c r="J822" s="195"/>
    </row>
    <row r="823" s="2" customFormat="true" ht="18" hidden="false" customHeight="false" outlineLevel="0" collapsed="false">
      <c r="E823" s="306"/>
      <c r="H823" s="195"/>
      <c r="I823" s="195"/>
      <c r="J823" s="195"/>
    </row>
    <row r="824" s="2" customFormat="true" ht="18" hidden="false" customHeight="false" outlineLevel="0" collapsed="false">
      <c r="E824" s="306"/>
      <c r="H824" s="195"/>
      <c r="I824" s="195"/>
      <c r="J824" s="195"/>
    </row>
    <row r="825" s="2" customFormat="true" ht="18" hidden="false" customHeight="false" outlineLevel="0" collapsed="false">
      <c r="E825" s="306"/>
      <c r="H825" s="195"/>
      <c r="I825" s="195"/>
      <c r="J825" s="195"/>
    </row>
    <row r="826" s="2" customFormat="true" ht="18" hidden="false" customHeight="false" outlineLevel="0" collapsed="false">
      <c r="E826" s="306"/>
      <c r="H826" s="195"/>
      <c r="I826" s="195"/>
      <c r="J826" s="195"/>
    </row>
    <row r="827" s="2" customFormat="true" ht="18" hidden="false" customHeight="false" outlineLevel="0" collapsed="false">
      <c r="E827" s="306"/>
      <c r="H827" s="195"/>
      <c r="I827" s="195"/>
      <c r="J827" s="195"/>
    </row>
    <row r="828" s="2" customFormat="true" ht="18" hidden="false" customHeight="false" outlineLevel="0" collapsed="false">
      <c r="E828" s="306"/>
      <c r="H828" s="195"/>
      <c r="I828" s="195"/>
      <c r="J828" s="195"/>
    </row>
    <row r="829" s="2" customFormat="true" ht="18" hidden="false" customHeight="false" outlineLevel="0" collapsed="false">
      <c r="E829" s="306"/>
      <c r="H829" s="195"/>
      <c r="I829" s="195"/>
      <c r="J829" s="195"/>
    </row>
    <row r="830" s="2" customFormat="true" ht="18" hidden="false" customHeight="false" outlineLevel="0" collapsed="false">
      <c r="E830" s="306"/>
      <c r="H830" s="195"/>
      <c r="I830" s="195"/>
      <c r="J830" s="195"/>
    </row>
    <row r="831" s="2" customFormat="true" ht="18" hidden="false" customHeight="false" outlineLevel="0" collapsed="false">
      <c r="E831" s="306"/>
      <c r="H831" s="195"/>
      <c r="I831" s="195"/>
      <c r="J831" s="195"/>
    </row>
    <row r="832" s="2" customFormat="true" ht="18" hidden="false" customHeight="false" outlineLevel="0" collapsed="false">
      <c r="E832" s="306"/>
      <c r="H832" s="195"/>
      <c r="I832" s="195"/>
      <c r="J832" s="195"/>
    </row>
    <row r="833" s="2" customFormat="true" ht="18" hidden="false" customHeight="false" outlineLevel="0" collapsed="false">
      <c r="E833" s="306"/>
      <c r="H833" s="195"/>
      <c r="I833" s="195"/>
      <c r="J833" s="195"/>
    </row>
    <row r="834" s="2" customFormat="true" ht="18" hidden="false" customHeight="false" outlineLevel="0" collapsed="false">
      <c r="E834" s="306"/>
      <c r="H834" s="195"/>
      <c r="I834" s="195"/>
      <c r="J834" s="195"/>
    </row>
    <row r="835" s="2" customFormat="true" ht="18" hidden="false" customHeight="false" outlineLevel="0" collapsed="false">
      <c r="E835" s="306"/>
      <c r="H835" s="195"/>
      <c r="I835" s="195"/>
      <c r="J835" s="195"/>
    </row>
    <row r="836" s="2" customFormat="true" ht="18" hidden="false" customHeight="false" outlineLevel="0" collapsed="false">
      <c r="E836" s="306"/>
      <c r="H836" s="195"/>
      <c r="I836" s="195"/>
      <c r="J836" s="195"/>
    </row>
    <row r="837" s="2" customFormat="true" ht="18" hidden="false" customHeight="false" outlineLevel="0" collapsed="false">
      <c r="E837" s="306"/>
      <c r="H837" s="195"/>
      <c r="I837" s="195"/>
      <c r="J837" s="195"/>
    </row>
    <row r="838" s="2" customFormat="true" ht="18" hidden="false" customHeight="false" outlineLevel="0" collapsed="false">
      <c r="E838" s="306"/>
      <c r="H838" s="195"/>
      <c r="I838" s="195"/>
      <c r="J838" s="195"/>
    </row>
    <row r="839" s="2" customFormat="true" ht="18" hidden="false" customHeight="false" outlineLevel="0" collapsed="false">
      <c r="E839" s="306"/>
      <c r="H839" s="195"/>
      <c r="I839" s="195"/>
      <c r="J839" s="195"/>
    </row>
    <row r="840" s="2" customFormat="true" ht="18" hidden="false" customHeight="false" outlineLevel="0" collapsed="false">
      <c r="E840" s="306"/>
      <c r="H840" s="195"/>
      <c r="I840" s="195"/>
      <c r="J840" s="195"/>
    </row>
    <row r="841" s="2" customFormat="true" ht="18" hidden="false" customHeight="false" outlineLevel="0" collapsed="false">
      <c r="E841" s="306"/>
      <c r="H841" s="195"/>
      <c r="I841" s="195"/>
      <c r="J841" s="195"/>
    </row>
    <row r="842" s="2" customFormat="true" ht="18" hidden="false" customHeight="false" outlineLevel="0" collapsed="false">
      <c r="E842" s="306"/>
      <c r="H842" s="195"/>
      <c r="I842" s="195"/>
      <c r="J842" s="195"/>
    </row>
    <row r="843" s="2" customFormat="true" ht="18" hidden="false" customHeight="false" outlineLevel="0" collapsed="false">
      <c r="E843" s="306"/>
      <c r="H843" s="195"/>
      <c r="I843" s="195"/>
      <c r="J843" s="195"/>
    </row>
    <row r="844" s="2" customFormat="true" ht="18" hidden="false" customHeight="false" outlineLevel="0" collapsed="false">
      <c r="E844" s="306"/>
      <c r="H844" s="195"/>
      <c r="I844" s="195"/>
      <c r="J844" s="195"/>
    </row>
    <row r="845" s="2" customFormat="true" ht="18" hidden="false" customHeight="false" outlineLevel="0" collapsed="false">
      <c r="E845" s="306"/>
      <c r="H845" s="195"/>
      <c r="I845" s="195"/>
      <c r="J845" s="195"/>
    </row>
    <row r="846" s="2" customFormat="true" ht="18" hidden="false" customHeight="false" outlineLevel="0" collapsed="false">
      <c r="E846" s="306"/>
      <c r="H846" s="195"/>
      <c r="I846" s="195"/>
      <c r="J846" s="195"/>
    </row>
    <row r="847" s="2" customFormat="true" ht="18" hidden="false" customHeight="false" outlineLevel="0" collapsed="false">
      <c r="E847" s="306"/>
      <c r="H847" s="195"/>
      <c r="I847" s="195"/>
      <c r="J847" s="195"/>
    </row>
    <row r="848" s="2" customFormat="true" ht="18" hidden="false" customHeight="false" outlineLevel="0" collapsed="false">
      <c r="E848" s="306"/>
      <c r="H848" s="195"/>
      <c r="I848" s="195"/>
      <c r="J848" s="195"/>
    </row>
    <row r="849" s="2" customFormat="true" ht="18" hidden="false" customHeight="false" outlineLevel="0" collapsed="false">
      <c r="E849" s="306"/>
      <c r="H849" s="195"/>
      <c r="I849" s="195"/>
      <c r="J849" s="195"/>
    </row>
    <row r="850" s="2" customFormat="true" ht="18" hidden="false" customHeight="false" outlineLevel="0" collapsed="false">
      <c r="E850" s="306"/>
      <c r="H850" s="195"/>
      <c r="I850" s="195"/>
      <c r="J850" s="195"/>
    </row>
    <row r="851" s="2" customFormat="true" ht="18" hidden="false" customHeight="false" outlineLevel="0" collapsed="false">
      <c r="E851" s="306"/>
      <c r="H851" s="195"/>
      <c r="I851" s="195"/>
      <c r="J851" s="195"/>
    </row>
    <row r="852" s="2" customFormat="true" ht="18" hidden="false" customHeight="false" outlineLevel="0" collapsed="false">
      <c r="E852" s="306"/>
      <c r="H852" s="195"/>
      <c r="I852" s="195"/>
      <c r="J852" s="195"/>
    </row>
    <row r="853" s="2" customFormat="true" ht="18" hidden="false" customHeight="false" outlineLevel="0" collapsed="false">
      <c r="E853" s="306"/>
      <c r="H853" s="195"/>
      <c r="I853" s="195"/>
      <c r="J853" s="195"/>
    </row>
    <row r="854" s="2" customFormat="true" ht="18" hidden="false" customHeight="false" outlineLevel="0" collapsed="false">
      <c r="E854" s="306"/>
      <c r="H854" s="195"/>
      <c r="I854" s="195"/>
      <c r="J854" s="195"/>
    </row>
    <row r="855" s="2" customFormat="true" ht="18" hidden="false" customHeight="false" outlineLevel="0" collapsed="false">
      <c r="E855" s="306"/>
      <c r="H855" s="195"/>
      <c r="I855" s="195"/>
      <c r="J855" s="195"/>
    </row>
    <row r="856" s="2" customFormat="true" ht="18" hidden="false" customHeight="false" outlineLevel="0" collapsed="false">
      <c r="E856" s="306"/>
      <c r="H856" s="195"/>
      <c r="I856" s="195"/>
      <c r="J856" s="195"/>
    </row>
    <row r="857" s="2" customFormat="true" ht="18" hidden="false" customHeight="false" outlineLevel="0" collapsed="false">
      <c r="E857" s="306"/>
      <c r="H857" s="195"/>
      <c r="I857" s="195"/>
      <c r="J857" s="195"/>
    </row>
    <row r="858" s="2" customFormat="true" ht="18" hidden="false" customHeight="false" outlineLevel="0" collapsed="false">
      <c r="E858" s="306"/>
      <c r="H858" s="195"/>
      <c r="I858" s="195"/>
      <c r="J858" s="195"/>
    </row>
    <row r="859" s="2" customFormat="true" ht="18" hidden="false" customHeight="false" outlineLevel="0" collapsed="false">
      <c r="E859" s="306"/>
      <c r="H859" s="195"/>
      <c r="I859" s="195"/>
      <c r="J859" s="195"/>
    </row>
    <row r="860" s="2" customFormat="true" ht="18" hidden="false" customHeight="false" outlineLevel="0" collapsed="false">
      <c r="E860" s="306"/>
      <c r="H860" s="195"/>
      <c r="I860" s="195"/>
      <c r="J860" s="195"/>
    </row>
    <row r="861" s="2" customFormat="true" ht="18" hidden="false" customHeight="false" outlineLevel="0" collapsed="false">
      <c r="E861" s="306"/>
      <c r="H861" s="195"/>
      <c r="I861" s="195"/>
      <c r="J861" s="195"/>
    </row>
    <row r="862" s="2" customFormat="true" ht="18" hidden="false" customHeight="false" outlineLevel="0" collapsed="false">
      <c r="E862" s="306"/>
      <c r="H862" s="195"/>
      <c r="I862" s="195"/>
      <c r="J862" s="195"/>
    </row>
    <row r="863" s="2" customFormat="true" ht="18" hidden="false" customHeight="false" outlineLevel="0" collapsed="false">
      <c r="E863" s="306"/>
      <c r="H863" s="195"/>
      <c r="I863" s="195"/>
      <c r="J863" s="195"/>
    </row>
    <row r="864" s="2" customFormat="true" ht="18" hidden="false" customHeight="false" outlineLevel="0" collapsed="false">
      <c r="E864" s="306"/>
      <c r="H864" s="195"/>
      <c r="I864" s="195"/>
      <c r="J864" s="195"/>
    </row>
    <row r="865" s="2" customFormat="true" ht="18" hidden="false" customHeight="false" outlineLevel="0" collapsed="false">
      <c r="E865" s="306"/>
      <c r="H865" s="195"/>
      <c r="I865" s="195"/>
      <c r="J865" s="195"/>
    </row>
    <row r="866" s="2" customFormat="true" ht="18" hidden="false" customHeight="false" outlineLevel="0" collapsed="false">
      <c r="E866" s="306"/>
      <c r="H866" s="195"/>
      <c r="I866" s="195"/>
      <c r="J866" s="195"/>
    </row>
    <row r="867" s="2" customFormat="true" ht="18" hidden="false" customHeight="false" outlineLevel="0" collapsed="false">
      <c r="E867" s="306"/>
      <c r="H867" s="195"/>
      <c r="I867" s="195"/>
      <c r="J867" s="195"/>
    </row>
    <row r="868" s="2" customFormat="true" ht="18" hidden="false" customHeight="false" outlineLevel="0" collapsed="false">
      <c r="E868" s="306"/>
      <c r="H868" s="195"/>
      <c r="I868" s="195"/>
      <c r="J868" s="195"/>
    </row>
    <row r="869" s="2" customFormat="true" ht="18" hidden="false" customHeight="false" outlineLevel="0" collapsed="false">
      <c r="E869" s="306"/>
      <c r="H869" s="195"/>
      <c r="I869" s="195"/>
      <c r="J869" s="195"/>
    </row>
    <row r="870" s="2" customFormat="true" ht="18" hidden="false" customHeight="false" outlineLevel="0" collapsed="false">
      <c r="E870" s="306"/>
      <c r="H870" s="195"/>
      <c r="I870" s="195"/>
      <c r="J870" s="195"/>
    </row>
    <row r="871" s="2" customFormat="true" ht="18" hidden="false" customHeight="false" outlineLevel="0" collapsed="false">
      <c r="E871" s="306"/>
      <c r="H871" s="195"/>
      <c r="I871" s="195"/>
      <c r="J871" s="195"/>
    </row>
    <row r="872" s="2" customFormat="true" ht="18" hidden="false" customHeight="false" outlineLevel="0" collapsed="false">
      <c r="E872" s="306"/>
      <c r="H872" s="195"/>
      <c r="I872" s="195"/>
      <c r="J872" s="195"/>
    </row>
    <row r="873" s="2" customFormat="true" ht="18" hidden="false" customHeight="false" outlineLevel="0" collapsed="false">
      <c r="E873" s="306"/>
      <c r="H873" s="195"/>
      <c r="I873" s="195"/>
      <c r="J873" s="195"/>
    </row>
    <row r="874" s="2" customFormat="true" ht="18" hidden="false" customHeight="false" outlineLevel="0" collapsed="false">
      <c r="E874" s="306"/>
      <c r="H874" s="195"/>
      <c r="I874" s="195"/>
      <c r="J874" s="195"/>
    </row>
    <row r="875" s="2" customFormat="true" ht="18" hidden="false" customHeight="false" outlineLevel="0" collapsed="false">
      <c r="E875" s="306"/>
      <c r="H875" s="195"/>
      <c r="I875" s="195"/>
      <c r="J875" s="195"/>
    </row>
    <row r="876" s="2" customFormat="true" ht="18" hidden="false" customHeight="false" outlineLevel="0" collapsed="false">
      <c r="E876" s="306"/>
      <c r="H876" s="195"/>
      <c r="I876" s="195"/>
      <c r="J876" s="195"/>
    </row>
    <row r="877" s="2" customFormat="true" ht="18" hidden="false" customHeight="false" outlineLevel="0" collapsed="false">
      <c r="E877" s="306"/>
      <c r="H877" s="195"/>
      <c r="I877" s="195"/>
      <c r="J877" s="195"/>
    </row>
    <row r="878" s="2" customFormat="true" ht="18" hidden="false" customHeight="false" outlineLevel="0" collapsed="false">
      <c r="E878" s="306"/>
      <c r="H878" s="195"/>
      <c r="I878" s="195"/>
      <c r="J878" s="195"/>
    </row>
    <row r="879" s="2" customFormat="true" ht="18" hidden="false" customHeight="false" outlineLevel="0" collapsed="false">
      <c r="E879" s="306"/>
      <c r="H879" s="195"/>
      <c r="I879" s="195"/>
      <c r="J879" s="195"/>
    </row>
    <row r="880" s="2" customFormat="true" ht="18" hidden="false" customHeight="false" outlineLevel="0" collapsed="false">
      <c r="E880" s="306"/>
      <c r="H880" s="195"/>
      <c r="I880" s="195"/>
      <c r="J880" s="195"/>
    </row>
    <row r="881" s="2" customFormat="true" ht="18" hidden="false" customHeight="false" outlineLevel="0" collapsed="false">
      <c r="E881" s="306"/>
      <c r="H881" s="195"/>
      <c r="I881" s="195"/>
      <c r="J881" s="195"/>
    </row>
    <row r="882" s="2" customFormat="true" ht="18" hidden="false" customHeight="false" outlineLevel="0" collapsed="false">
      <c r="E882" s="306"/>
      <c r="H882" s="195"/>
      <c r="I882" s="195"/>
      <c r="J882" s="195"/>
    </row>
    <row r="883" s="2" customFormat="true" ht="18" hidden="false" customHeight="false" outlineLevel="0" collapsed="false">
      <c r="E883" s="306"/>
      <c r="H883" s="195"/>
      <c r="I883" s="195"/>
      <c r="J883" s="195"/>
    </row>
    <row r="884" s="2" customFormat="true" ht="18" hidden="false" customHeight="false" outlineLevel="0" collapsed="false">
      <c r="E884" s="306"/>
      <c r="H884" s="195"/>
      <c r="I884" s="195"/>
      <c r="J884" s="195"/>
    </row>
    <row r="885" s="2" customFormat="true" ht="18" hidden="false" customHeight="false" outlineLevel="0" collapsed="false">
      <c r="E885" s="306"/>
      <c r="H885" s="195"/>
      <c r="I885" s="195"/>
      <c r="J885" s="195"/>
    </row>
    <row r="886" s="2" customFormat="true" ht="18" hidden="false" customHeight="false" outlineLevel="0" collapsed="false">
      <c r="E886" s="306"/>
      <c r="H886" s="195"/>
      <c r="I886" s="195"/>
      <c r="J886" s="195"/>
    </row>
    <row r="887" s="2" customFormat="true" ht="18" hidden="false" customHeight="false" outlineLevel="0" collapsed="false">
      <c r="E887" s="306"/>
      <c r="H887" s="195"/>
      <c r="I887" s="195"/>
      <c r="J887" s="195"/>
    </row>
    <row r="888" s="2" customFormat="true" ht="18" hidden="false" customHeight="false" outlineLevel="0" collapsed="false">
      <c r="E888" s="306"/>
      <c r="H888" s="195"/>
      <c r="I888" s="195"/>
      <c r="J888" s="195"/>
    </row>
    <row r="889" s="2" customFormat="true" ht="18" hidden="false" customHeight="false" outlineLevel="0" collapsed="false">
      <c r="E889" s="306"/>
      <c r="H889" s="195"/>
      <c r="I889" s="195"/>
      <c r="J889" s="195"/>
    </row>
    <row r="890" s="2" customFormat="true" ht="18" hidden="false" customHeight="false" outlineLevel="0" collapsed="false">
      <c r="E890" s="306"/>
      <c r="H890" s="195"/>
      <c r="I890" s="195"/>
      <c r="J890" s="195"/>
    </row>
    <row r="891" s="2" customFormat="true" ht="18" hidden="false" customHeight="false" outlineLevel="0" collapsed="false">
      <c r="E891" s="306"/>
      <c r="H891" s="195"/>
      <c r="I891" s="195"/>
      <c r="J891" s="195"/>
    </row>
    <row r="892" s="2" customFormat="true" ht="18" hidden="false" customHeight="false" outlineLevel="0" collapsed="false">
      <c r="E892" s="306"/>
      <c r="H892" s="195"/>
      <c r="I892" s="195"/>
      <c r="J892" s="195"/>
    </row>
    <row r="893" s="2" customFormat="true" ht="18" hidden="false" customHeight="false" outlineLevel="0" collapsed="false">
      <c r="E893" s="306"/>
      <c r="H893" s="195"/>
      <c r="I893" s="195"/>
      <c r="J893" s="195"/>
    </row>
    <row r="894" s="2" customFormat="true" ht="18" hidden="false" customHeight="false" outlineLevel="0" collapsed="false">
      <c r="E894" s="306"/>
      <c r="H894" s="195"/>
      <c r="I894" s="195"/>
      <c r="J894" s="195"/>
    </row>
    <row r="895" s="2" customFormat="true" ht="18" hidden="false" customHeight="false" outlineLevel="0" collapsed="false">
      <c r="E895" s="306"/>
      <c r="H895" s="195"/>
      <c r="I895" s="195"/>
      <c r="J895" s="195"/>
    </row>
    <row r="896" s="2" customFormat="true" ht="18" hidden="false" customHeight="false" outlineLevel="0" collapsed="false">
      <c r="E896" s="306"/>
      <c r="H896" s="195"/>
      <c r="I896" s="195"/>
      <c r="J896" s="195"/>
    </row>
    <row r="897" s="2" customFormat="true" ht="18" hidden="false" customHeight="false" outlineLevel="0" collapsed="false">
      <c r="E897" s="306"/>
      <c r="H897" s="195"/>
      <c r="I897" s="195"/>
      <c r="J897" s="195"/>
    </row>
    <row r="898" s="2" customFormat="true" ht="18" hidden="false" customHeight="false" outlineLevel="0" collapsed="false">
      <c r="E898" s="306"/>
      <c r="H898" s="195"/>
      <c r="I898" s="195"/>
      <c r="J898" s="195"/>
    </row>
    <row r="899" s="2" customFormat="true" ht="18" hidden="false" customHeight="false" outlineLevel="0" collapsed="false">
      <c r="E899" s="306"/>
      <c r="H899" s="195"/>
      <c r="I899" s="195"/>
      <c r="J899" s="195"/>
    </row>
    <row r="900" s="2" customFormat="true" ht="18" hidden="false" customHeight="false" outlineLevel="0" collapsed="false">
      <c r="E900" s="306"/>
      <c r="H900" s="195"/>
      <c r="I900" s="195"/>
      <c r="J900" s="195"/>
    </row>
    <row r="901" s="2" customFormat="true" ht="18" hidden="false" customHeight="false" outlineLevel="0" collapsed="false">
      <c r="E901" s="306"/>
      <c r="H901" s="195"/>
      <c r="I901" s="195"/>
      <c r="J901" s="195"/>
    </row>
    <row r="902" s="2" customFormat="true" ht="18" hidden="false" customHeight="false" outlineLevel="0" collapsed="false">
      <c r="E902" s="306"/>
      <c r="H902" s="195"/>
      <c r="I902" s="195"/>
      <c r="J902" s="195"/>
    </row>
    <row r="903" s="2" customFormat="true" ht="18" hidden="false" customHeight="false" outlineLevel="0" collapsed="false">
      <c r="E903" s="306"/>
      <c r="H903" s="195"/>
      <c r="I903" s="195"/>
      <c r="J903" s="195"/>
    </row>
    <row r="904" s="2" customFormat="true" ht="18" hidden="false" customHeight="false" outlineLevel="0" collapsed="false">
      <c r="E904" s="306"/>
      <c r="H904" s="195"/>
      <c r="I904" s="195"/>
      <c r="J904" s="195"/>
    </row>
    <row r="905" s="2" customFormat="true" ht="18" hidden="false" customHeight="false" outlineLevel="0" collapsed="false">
      <c r="E905" s="306"/>
      <c r="H905" s="195"/>
      <c r="I905" s="195"/>
      <c r="J905" s="195"/>
    </row>
    <row r="906" s="2" customFormat="true" ht="18" hidden="false" customHeight="false" outlineLevel="0" collapsed="false">
      <c r="E906" s="306"/>
      <c r="H906" s="195"/>
      <c r="I906" s="195"/>
      <c r="J906" s="195"/>
    </row>
    <row r="907" s="2" customFormat="true" ht="18" hidden="false" customHeight="false" outlineLevel="0" collapsed="false">
      <c r="E907" s="306"/>
      <c r="H907" s="195"/>
      <c r="I907" s="195"/>
      <c r="J907" s="195"/>
    </row>
    <row r="908" s="2" customFormat="true" ht="18" hidden="false" customHeight="false" outlineLevel="0" collapsed="false">
      <c r="E908" s="306"/>
      <c r="H908" s="195"/>
      <c r="I908" s="195"/>
      <c r="J908" s="195"/>
    </row>
    <row r="909" s="2" customFormat="true" ht="18" hidden="false" customHeight="false" outlineLevel="0" collapsed="false">
      <c r="E909" s="306"/>
      <c r="H909" s="195"/>
      <c r="I909" s="195"/>
      <c r="J909" s="195"/>
    </row>
    <row r="910" s="2" customFormat="true" ht="18" hidden="false" customHeight="false" outlineLevel="0" collapsed="false">
      <c r="E910" s="306"/>
      <c r="H910" s="195"/>
      <c r="I910" s="195"/>
      <c r="J910" s="195"/>
    </row>
    <row r="911" s="2" customFormat="true" ht="18" hidden="false" customHeight="false" outlineLevel="0" collapsed="false">
      <c r="E911" s="306"/>
      <c r="H911" s="195"/>
      <c r="I911" s="195"/>
      <c r="J911" s="195"/>
    </row>
    <row r="912" s="2" customFormat="true" ht="18" hidden="false" customHeight="false" outlineLevel="0" collapsed="false">
      <c r="E912" s="306"/>
      <c r="H912" s="195"/>
      <c r="I912" s="195"/>
      <c r="J912" s="195"/>
    </row>
    <row r="913" s="2" customFormat="true" ht="18" hidden="false" customHeight="false" outlineLevel="0" collapsed="false">
      <c r="E913" s="306"/>
      <c r="H913" s="195"/>
      <c r="I913" s="195"/>
      <c r="J913" s="195"/>
    </row>
    <row r="914" s="2" customFormat="true" ht="18" hidden="false" customHeight="false" outlineLevel="0" collapsed="false">
      <c r="E914" s="306"/>
      <c r="H914" s="195"/>
      <c r="I914" s="195"/>
      <c r="J914" s="195"/>
    </row>
    <row r="915" s="2" customFormat="true" ht="18" hidden="false" customHeight="false" outlineLevel="0" collapsed="false">
      <c r="E915" s="306"/>
      <c r="H915" s="195"/>
      <c r="I915" s="195"/>
      <c r="J915" s="195"/>
    </row>
    <row r="916" s="2" customFormat="true" ht="18" hidden="false" customHeight="false" outlineLevel="0" collapsed="false">
      <c r="E916" s="306"/>
      <c r="H916" s="195"/>
      <c r="I916" s="195"/>
      <c r="J916" s="195"/>
    </row>
    <row r="917" s="2" customFormat="true" ht="18" hidden="false" customHeight="false" outlineLevel="0" collapsed="false">
      <c r="E917" s="306"/>
      <c r="H917" s="195"/>
      <c r="I917" s="195"/>
      <c r="J917" s="195"/>
    </row>
    <row r="918" s="2" customFormat="true" ht="18" hidden="false" customHeight="false" outlineLevel="0" collapsed="false">
      <c r="E918" s="306"/>
      <c r="H918" s="195"/>
      <c r="I918" s="195"/>
      <c r="J918" s="195"/>
    </row>
    <row r="919" s="2" customFormat="true" ht="18" hidden="false" customHeight="false" outlineLevel="0" collapsed="false">
      <c r="E919" s="306"/>
      <c r="H919" s="195"/>
      <c r="I919" s="195"/>
      <c r="J919" s="195"/>
    </row>
    <row r="920" s="2" customFormat="true" ht="18" hidden="false" customHeight="false" outlineLevel="0" collapsed="false">
      <c r="E920" s="306"/>
      <c r="H920" s="195"/>
      <c r="I920" s="195"/>
      <c r="J920" s="195"/>
    </row>
    <row r="921" s="2" customFormat="true" ht="18" hidden="false" customHeight="false" outlineLevel="0" collapsed="false">
      <c r="E921" s="306"/>
      <c r="H921" s="195"/>
      <c r="I921" s="195"/>
      <c r="J921" s="195"/>
    </row>
    <row r="922" s="2" customFormat="true" ht="18" hidden="false" customHeight="false" outlineLevel="0" collapsed="false">
      <c r="E922" s="306"/>
      <c r="H922" s="195"/>
      <c r="I922" s="195"/>
      <c r="J922" s="195"/>
    </row>
    <row r="923" s="2" customFormat="true" ht="18" hidden="false" customHeight="false" outlineLevel="0" collapsed="false">
      <c r="E923" s="306"/>
      <c r="H923" s="195"/>
      <c r="I923" s="195"/>
      <c r="J923" s="195"/>
    </row>
    <row r="924" s="2" customFormat="true" ht="18" hidden="false" customHeight="false" outlineLevel="0" collapsed="false">
      <c r="E924" s="306"/>
      <c r="H924" s="195"/>
      <c r="I924" s="195"/>
      <c r="J924" s="195"/>
    </row>
    <row r="925" s="2" customFormat="true" ht="18" hidden="false" customHeight="false" outlineLevel="0" collapsed="false">
      <c r="E925" s="306"/>
      <c r="H925" s="195"/>
      <c r="I925" s="195"/>
      <c r="J925" s="195"/>
    </row>
    <row r="926" s="2" customFormat="true" ht="18" hidden="false" customHeight="false" outlineLevel="0" collapsed="false">
      <c r="E926" s="306"/>
      <c r="H926" s="195"/>
      <c r="I926" s="195"/>
      <c r="J926" s="195"/>
    </row>
    <row r="927" s="2" customFormat="true" ht="18" hidden="false" customHeight="false" outlineLevel="0" collapsed="false">
      <c r="E927" s="306"/>
      <c r="H927" s="195"/>
      <c r="I927" s="195"/>
      <c r="J927" s="195"/>
    </row>
    <row r="928" s="2" customFormat="true" ht="18" hidden="false" customHeight="false" outlineLevel="0" collapsed="false">
      <c r="E928" s="306"/>
      <c r="H928" s="195"/>
      <c r="I928" s="195"/>
      <c r="J928" s="195"/>
    </row>
    <row r="929" s="2" customFormat="true" ht="18" hidden="false" customHeight="false" outlineLevel="0" collapsed="false">
      <c r="E929" s="306"/>
      <c r="H929" s="195"/>
      <c r="I929" s="195"/>
      <c r="J929" s="195"/>
    </row>
    <row r="930" s="2" customFormat="true" ht="18" hidden="false" customHeight="false" outlineLevel="0" collapsed="false">
      <c r="E930" s="306"/>
      <c r="H930" s="195"/>
      <c r="I930" s="195"/>
      <c r="J930" s="195"/>
    </row>
    <row r="931" s="2" customFormat="true" ht="18" hidden="false" customHeight="false" outlineLevel="0" collapsed="false">
      <c r="E931" s="306"/>
      <c r="H931" s="195"/>
      <c r="I931" s="195"/>
      <c r="J931" s="195"/>
    </row>
    <row r="932" s="2" customFormat="true" ht="18" hidden="false" customHeight="false" outlineLevel="0" collapsed="false">
      <c r="E932" s="306"/>
      <c r="H932" s="195"/>
      <c r="I932" s="195"/>
      <c r="J932" s="195"/>
    </row>
    <row r="933" s="2" customFormat="true" ht="18" hidden="false" customHeight="false" outlineLevel="0" collapsed="false">
      <c r="E933" s="306"/>
      <c r="H933" s="195"/>
      <c r="I933" s="195"/>
      <c r="J933" s="195"/>
    </row>
    <row r="934" s="2" customFormat="true" ht="18" hidden="false" customHeight="false" outlineLevel="0" collapsed="false">
      <c r="E934" s="306"/>
      <c r="H934" s="195"/>
      <c r="I934" s="195"/>
      <c r="J934" s="195"/>
    </row>
    <row r="935" s="2" customFormat="true" ht="18" hidden="false" customHeight="false" outlineLevel="0" collapsed="false">
      <c r="E935" s="306"/>
      <c r="H935" s="195"/>
      <c r="I935" s="195"/>
      <c r="J935" s="195"/>
    </row>
    <row r="936" s="2" customFormat="true" ht="18" hidden="false" customHeight="false" outlineLevel="0" collapsed="false">
      <c r="E936" s="306"/>
      <c r="H936" s="195"/>
      <c r="I936" s="195"/>
      <c r="J936" s="195"/>
    </row>
    <row r="937" s="2" customFormat="true" ht="18" hidden="false" customHeight="false" outlineLevel="0" collapsed="false">
      <c r="E937" s="306"/>
      <c r="H937" s="195"/>
      <c r="I937" s="195"/>
      <c r="J937" s="195"/>
    </row>
    <row r="938" s="2" customFormat="true" ht="18" hidden="false" customHeight="false" outlineLevel="0" collapsed="false">
      <c r="E938" s="306"/>
      <c r="H938" s="195"/>
      <c r="I938" s="195"/>
      <c r="J938" s="195"/>
    </row>
    <row r="939" s="2" customFormat="true" ht="18" hidden="false" customHeight="false" outlineLevel="0" collapsed="false">
      <c r="E939" s="306"/>
      <c r="H939" s="195"/>
      <c r="I939" s="195"/>
      <c r="J939" s="195"/>
    </row>
    <row r="940" s="2" customFormat="true" ht="18" hidden="false" customHeight="false" outlineLevel="0" collapsed="false">
      <c r="E940" s="306"/>
      <c r="H940" s="195"/>
      <c r="I940" s="195"/>
      <c r="J940" s="195"/>
    </row>
    <row r="941" s="2" customFormat="true" ht="18" hidden="false" customHeight="false" outlineLevel="0" collapsed="false">
      <c r="E941" s="306"/>
      <c r="H941" s="195"/>
      <c r="I941" s="195"/>
      <c r="J941" s="195"/>
    </row>
    <row r="942" s="2" customFormat="true" ht="18" hidden="false" customHeight="false" outlineLevel="0" collapsed="false">
      <c r="E942" s="306"/>
      <c r="H942" s="195"/>
      <c r="I942" s="195"/>
      <c r="J942" s="195"/>
    </row>
    <row r="943" s="2" customFormat="true" ht="18" hidden="false" customHeight="false" outlineLevel="0" collapsed="false">
      <c r="E943" s="306"/>
      <c r="H943" s="195"/>
      <c r="I943" s="195"/>
      <c r="J943" s="195"/>
    </row>
    <row r="944" s="2" customFormat="true" ht="18" hidden="false" customHeight="false" outlineLevel="0" collapsed="false">
      <c r="E944" s="306"/>
      <c r="H944" s="195"/>
      <c r="I944" s="195"/>
      <c r="J944" s="195"/>
    </row>
    <row r="945" s="2" customFormat="true" ht="18" hidden="false" customHeight="false" outlineLevel="0" collapsed="false">
      <c r="E945" s="306"/>
      <c r="H945" s="195"/>
      <c r="I945" s="195"/>
      <c r="J945" s="195"/>
    </row>
    <row r="946" s="2" customFormat="true" ht="18" hidden="false" customHeight="false" outlineLevel="0" collapsed="false">
      <c r="E946" s="306"/>
      <c r="H946" s="195"/>
      <c r="I946" s="195"/>
      <c r="J946" s="195"/>
    </row>
    <row r="947" s="2" customFormat="true" ht="18" hidden="false" customHeight="false" outlineLevel="0" collapsed="false">
      <c r="E947" s="306"/>
      <c r="H947" s="195"/>
      <c r="I947" s="195"/>
      <c r="J947" s="195"/>
    </row>
    <row r="948" s="2" customFormat="true" ht="18" hidden="false" customHeight="false" outlineLevel="0" collapsed="false">
      <c r="E948" s="306"/>
      <c r="H948" s="195"/>
      <c r="I948" s="195"/>
      <c r="J948" s="195"/>
    </row>
    <row r="949" s="2" customFormat="true" ht="18" hidden="false" customHeight="false" outlineLevel="0" collapsed="false">
      <c r="E949" s="306"/>
      <c r="H949" s="195"/>
      <c r="I949" s="195"/>
      <c r="J949" s="195"/>
    </row>
    <row r="950" s="2" customFormat="true" ht="18" hidden="false" customHeight="false" outlineLevel="0" collapsed="false">
      <c r="E950" s="306"/>
      <c r="H950" s="195"/>
      <c r="I950" s="195"/>
      <c r="J950" s="195"/>
    </row>
    <row r="951" s="2" customFormat="true" ht="18" hidden="false" customHeight="false" outlineLevel="0" collapsed="false">
      <c r="E951" s="306"/>
      <c r="H951" s="195"/>
      <c r="I951" s="195"/>
      <c r="J951" s="195"/>
    </row>
    <row r="952" s="2" customFormat="true" ht="18" hidden="false" customHeight="false" outlineLevel="0" collapsed="false">
      <c r="E952" s="306"/>
      <c r="H952" s="195"/>
      <c r="I952" s="195"/>
      <c r="J952" s="195"/>
    </row>
    <row r="953" s="2" customFormat="true" ht="18" hidden="false" customHeight="false" outlineLevel="0" collapsed="false">
      <c r="E953" s="306"/>
      <c r="H953" s="195"/>
      <c r="I953" s="195"/>
      <c r="J953" s="195"/>
    </row>
    <row r="954" s="2" customFormat="true" ht="18" hidden="false" customHeight="false" outlineLevel="0" collapsed="false">
      <c r="E954" s="306"/>
      <c r="H954" s="195"/>
      <c r="I954" s="195"/>
      <c r="J954" s="195"/>
    </row>
    <row r="955" s="2" customFormat="true" ht="18" hidden="false" customHeight="false" outlineLevel="0" collapsed="false">
      <c r="E955" s="306"/>
      <c r="H955" s="195"/>
      <c r="I955" s="195"/>
      <c r="J955" s="195"/>
    </row>
    <row r="956" s="2" customFormat="true" ht="18" hidden="false" customHeight="false" outlineLevel="0" collapsed="false">
      <c r="E956" s="306"/>
      <c r="H956" s="195"/>
      <c r="I956" s="195"/>
      <c r="J956" s="195"/>
    </row>
    <row r="957" s="2" customFormat="true" ht="18" hidden="false" customHeight="false" outlineLevel="0" collapsed="false">
      <c r="E957" s="306"/>
      <c r="H957" s="195"/>
      <c r="I957" s="195"/>
      <c r="J957" s="195"/>
    </row>
    <row r="958" s="2" customFormat="true" ht="18" hidden="false" customHeight="false" outlineLevel="0" collapsed="false">
      <c r="E958" s="306"/>
      <c r="H958" s="195"/>
      <c r="I958" s="195"/>
      <c r="J958" s="195"/>
    </row>
    <row r="959" s="2" customFormat="true" ht="18" hidden="false" customHeight="false" outlineLevel="0" collapsed="false">
      <c r="E959" s="306"/>
      <c r="H959" s="195"/>
      <c r="I959" s="195"/>
      <c r="J959" s="195"/>
    </row>
    <row r="960" s="2" customFormat="true" ht="18" hidden="false" customHeight="false" outlineLevel="0" collapsed="false">
      <c r="E960" s="306"/>
      <c r="H960" s="195"/>
      <c r="I960" s="195"/>
      <c r="J960" s="195"/>
    </row>
    <row r="961" s="2" customFormat="true" ht="18" hidden="false" customHeight="false" outlineLevel="0" collapsed="false">
      <c r="E961" s="306"/>
      <c r="H961" s="195"/>
      <c r="I961" s="195"/>
      <c r="J961" s="195"/>
    </row>
    <row r="962" s="2" customFormat="true" ht="18" hidden="false" customHeight="false" outlineLevel="0" collapsed="false">
      <c r="E962" s="306"/>
      <c r="H962" s="195"/>
      <c r="I962" s="195"/>
      <c r="J962" s="195"/>
    </row>
    <row r="963" s="2" customFormat="true" ht="18" hidden="false" customHeight="false" outlineLevel="0" collapsed="false">
      <c r="E963" s="306"/>
      <c r="H963" s="195"/>
      <c r="I963" s="195"/>
      <c r="J963" s="195"/>
    </row>
    <row r="964" s="2" customFormat="true" ht="18" hidden="false" customHeight="false" outlineLevel="0" collapsed="false">
      <c r="E964" s="306"/>
      <c r="H964" s="195"/>
      <c r="I964" s="195"/>
      <c r="J964" s="195"/>
    </row>
    <row r="965" s="2" customFormat="true" ht="18" hidden="false" customHeight="false" outlineLevel="0" collapsed="false">
      <c r="E965" s="306"/>
      <c r="H965" s="195"/>
      <c r="I965" s="195"/>
      <c r="J965" s="195"/>
    </row>
    <row r="966" s="2" customFormat="true" ht="18" hidden="false" customHeight="false" outlineLevel="0" collapsed="false">
      <c r="E966" s="306"/>
      <c r="H966" s="195"/>
      <c r="I966" s="195"/>
      <c r="J966" s="195"/>
    </row>
    <row r="967" s="2" customFormat="true" ht="18" hidden="false" customHeight="false" outlineLevel="0" collapsed="false">
      <c r="E967" s="306"/>
      <c r="H967" s="195"/>
      <c r="I967" s="195"/>
      <c r="J967" s="195"/>
    </row>
    <row r="968" s="2" customFormat="true" ht="18" hidden="false" customHeight="false" outlineLevel="0" collapsed="false">
      <c r="E968" s="306"/>
      <c r="H968" s="195"/>
      <c r="I968" s="195"/>
      <c r="J968" s="195"/>
    </row>
    <row r="969" s="2" customFormat="true" ht="18" hidden="false" customHeight="false" outlineLevel="0" collapsed="false">
      <c r="E969" s="306"/>
      <c r="H969" s="195"/>
      <c r="I969" s="195"/>
      <c r="J969" s="195"/>
    </row>
    <row r="970" s="2" customFormat="true" ht="18" hidden="false" customHeight="false" outlineLevel="0" collapsed="false">
      <c r="E970" s="306"/>
      <c r="H970" s="195"/>
      <c r="I970" s="195"/>
      <c r="J970" s="195"/>
    </row>
    <row r="971" s="2" customFormat="true" ht="18" hidden="false" customHeight="false" outlineLevel="0" collapsed="false">
      <c r="E971" s="306"/>
      <c r="H971" s="195"/>
      <c r="I971" s="195"/>
      <c r="J971" s="195"/>
    </row>
    <row r="972" s="2" customFormat="true" ht="18" hidden="false" customHeight="false" outlineLevel="0" collapsed="false">
      <c r="E972" s="306"/>
      <c r="H972" s="195"/>
      <c r="I972" s="195"/>
      <c r="J972" s="195"/>
    </row>
    <row r="973" s="2" customFormat="true" ht="18" hidden="false" customHeight="false" outlineLevel="0" collapsed="false">
      <c r="E973" s="306"/>
      <c r="H973" s="195"/>
      <c r="I973" s="195"/>
      <c r="J973" s="195"/>
    </row>
    <row r="974" s="2" customFormat="true" ht="18" hidden="false" customHeight="false" outlineLevel="0" collapsed="false">
      <c r="E974" s="306"/>
      <c r="H974" s="195"/>
      <c r="I974" s="195"/>
      <c r="J974" s="195"/>
    </row>
    <row r="975" s="2" customFormat="true" ht="18" hidden="false" customHeight="false" outlineLevel="0" collapsed="false">
      <c r="E975" s="306"/>
      <c r="H975" s="195"/>
      <c r="I975" s="195"/>
      <c r="J975" s="195"/>
    </row>
    <row r="976" s="2" customFormat="true" ht="18" hidden="false" customHeight="false" outlineLevel="0" collapsed="false">
      <c r="E976" s="306"/>
      <c r="H976" s="195"/>
      <c r="I976" s="195"/>
      <c r="J976" s="195"/>
    </row>
    <row r="977" s="2" customFormat="true" ht="18" hidden="false" customHeight="false" outlineLevel="0" collapsed="false">
      <c r="E977" s="306"/>
      <c r="H977" s="195"/>
      <c r="I977" s="195"/>
      <c r="J977" s="195"/>
    </row>
    <row r="978" s="2" customFormat="true" ht="18" hidden="false" customHeight="false" outlineLevel="0" collapsed="false">
      <c r="E978" s="306"/>
      <c r="H978" s="195"/>
      <c r="I978" s="195"/>
      <c r="J978" s="195"/>
    </row>
    <row r="979" s="2" customFormat="true" ht="18" hidden="false" customHeight="false" outlineLevel="0" collapsed="false">
      <c r="E979" s="306"/>
      <c r="H979" s="195"/>
      <c r="I979" s="195"/>
      <c r="J979" s="195"/>
    </row>
    <row r="980" s="2" customFormat="true" ht="18" hidden="false" customHeight="false" outlineLevel="0" collapsed="false">
      <c r="E980" s="306"/>
      <c r="H980" s="195"/>
      <c r="I980" s="195"/>
      <c r="J980" s="195"/>
    </row>
    <row r="981" s="2" customFormat="true" ht="18" hidden="false" customHeight="false" outlineLevel="0" collapsed="false">
      <c r="E981" s="306"/>
      <c r="H981" s="195"/>
      <c r="I981" s="195"/>
      <c r="J981" s="195"/>
    </row>
    <row r="982" s="2" customFormat="true" ht="18" hidden="false" customHeight="false" outlineLevel="0" collapsed="false">
      <c r="E982" s="306"/>
      <c r="H982" s="195"/>
      <c r="I982" s="195"/>
      <c r="J982" s="195"/>
    </row>
    <row r="983" s="2" customFormat="true" ht="18" hidden="false" customHeight="false" outlineLevel="0" collapsed="false">
      <c r="E983" s="306"/>
      <c r="H983" s="195"/>
      <c r="I983" s="195"/>
      <c r="J983" s="195"/>
    </row>
    <row r="984" s="2" customFormat="true" ht="18" hidden="false" customHeight="false" outlineLevel="0" collapsed="false">
      <c r="E984" s="306"/>
      <c r="H984" s="195"/>
      <c r="I984" s="195"/>
      <c r="J984" s="195"/>
    </row>
    <row r="985" s="2" customFormat="true" ht="18" hidden="false" customHeight="false" outlineLevel="0" collapsed="false">
      <c r="E985" s="306"/>
      <c r="H985" s="195"/>
      <c r="I985" s="195"/>
      <c r="J985" s="195"/>
    </row>
    <row r="986" s="2" customFormat="true" ht="18" hidden="false" customHeight="false" outlineLevel="0" collapsed="false">
      <c r="E986" s="306"/>
      <c r="H986" s="195"/>
      <c r="I986" s="195"/>
      <c r="J986" s="195"/>
    </row>
    <row r="987" s="2" customFormat="true" ht="18" hidden="false" customHeight="false" outlineLevel="0" collapsed="false">
      <c r="E987" s="306"/>
      <c r="H987" s="195"/>
      <c r="I987" s="195"/>
      <c r="J987" s="195"/>
    </row>
    <row r="988" s="2" customFormat="true" ht="18" hidden="false" customHeight="false" outlineLevel="0" collapsed="false">
      <c r="E988" s="306"/>
      <c r="H988" s="195"/>
      <c r="I988" s="195"/>
      <c r="J988" s="195"/>
    </row>
    <row r="989" s="2" customFormat="true" ht="18" hidden="false" customHeight="false" outlineLevel="0" collapsed="false">
      <c r="E989" s="306"/>
      <c r="H989" s="195"/>
      <c r="I989" s="195"/>
      <c r="J989" s="195"/>
    </row>
    <row r="990" s="2" customFormat="true" ht="18" hidden="false" customHeight="false" outlineLevel="0" collapsed="false">
      <c r="E990" s="306"/>
      <c r="H990" s="195"/>
      <c r="I990" s="195"/>
      <c r="J990" s="195"/>
    </row>
    <row r="991" s="2" customFormat="true" ht="18" hidden="false" customHeight="false" outlineLevel="0" collapsed="false">
      <c r="E991" s="306"/>
      <c r="H991" s="195"/>
      <c r="I991" s="195"/>
      <c r="J991" s="195"/>
    </row>
    <row r="992" s="2" customFormat="true" ht="18" hidden="false" customHeight="false" outlineLevel="0" collapsed="false">
      <c r="E992" s="306"/>
      <c r="H992" s="195"/>
      <c r="I992" s="195"/>
      <c r="J992" s="195"/>
    </row>
    <row r="993" s="2" customFormat="true" ht="18" hidden="false" customHeight="false" outlineLevel="0" collapsed="false">
      <c r="E993" s="306"/>
      <c r="H993" s="195"/>
      <c r="I993" s="195"/>
      <c r="J993" s="195"/>
    </row>
    <row r="994" s="2" customFormat="true" ht="18" hidden="false" customHeight="false" outlineLevel="0" collapsed="false">
      <c r="E994" s="306"/>
      <c r="H994" s="195"/>
      <c r="I994" s="195"/>
      <c r="J994" s="195"/>
    </row>
    <row r="995" s="2" customFormat="true" ht="18" hidden="false" customHeight="false" outlineLevel="0" collapsed="false">
      <c r="E995" s="306"/>
      <c r="H995" s="195"/>
      <c r="I995" s="195"/>
      <c r="J995" s="195"/>
    </row>
    <row r="996" s="2" customFormat="true" ht="18" hidden="false" customHeight="false" outlineLevel="0" collapsed="false">
      <c r="E996" s="306"/>
      <c r="H996" s="195"/>
      <c r="I996" s="195"/>
      <c r="J996" s="195"/>
    </row>
    <row r="997" s="2" customFormat="true" ht="18" hidden="false" customHeight="false" outlineLevel="0" collapsed="false">
      <c r="E997" s="306"/>
      <c r="H997" s="195"/>
      <c r="I997" s="195"/>
      <c r="J997" s="195"/>
    </row>
    <row r="998" s="2" customFormat="true" ht="18" hidden="false" customHeight="false" outlineLevel="0" collapsed="false">
      <c r="E998" s="306"/>
      <c r="H998" s="195"/>
      <c r="I998" s="195"/>
      <c r="J998" s="195"/>
    </row>
    <row r="999" s="2" customFormat="true" ht="18" hidden="false" customHeight="false" outlineLevel="0" collapsed="false">
      <c r="E999" s="306"/>
      <c r="H999" s="195"/>
      <c r="I999" s="195"/>
      <c r="J999" s="195"/>
    </row>
    <row r="1000" s="2" customFormat="true" ht="18" hidden="false" customHeight="false" outlineLevel="0" collapsed="false">
      <c r="E1000" s="306"/>
      <c r="H1000" s="195"/>
      <c r="I1000" s="195"/>
      <c r="J1000" s="195"/>
    </row>
    <row r="1001" s="2" customFormat="true" ht="18" hidden="false" customHeight="false" outlineLevel="0" collapsed="false">
      <c r="E1001" s="306"/>
      <c r="H1001" s="195"/>
      <c r="I1001" s="195"/>
      <c r="J1001" s="195"/>
    </row>
    <row r="1002" s="2" customFormat="true" ht="18" hidden="false" customHeight="false" outlineLevel="0" collapsed="false">
      <c r="E1002" s="306"/>
      <c r="H1002" s="195"/>
      <c r="I1002" s="195"/>
      <c r="J1002" s="195"/>
    </row>
    <row r="1003" s="2" customFormat="true" ht="18" hidden="false" customHeight="false" outlineLevel="0" collapsed="false">
      <c r="E1003" s="306"/>
      <c r="H1003" s="195"/>
      <c r="I1003" s="195"/>
      <c r="J1003" s="195"/>
    </row>
    <row r="1004" s="2" customFormat="true" ht="18" hidden="false" customHeight="false" outlineLevel="0" collapsed="false">
      <c r="E1004" s="306"/>
      <c r="H1004" s="195"/>
      <c r="I1004" s="195"/>
      <c r="J1004" s="195"/>
    </row>
    <row r="1005" s="2" customFormat="true" ht="18" hidden="false" customHeight="false" outlineLevel="0" collapsed="false">
      <c r="E1005" s="306"/>
      <c r="H1005" s="195"/>
      <c r="I1005" s="195"/>
      <c r="J1005" s="195"/>
    </row>
    <row r="1006" s="2" customFormat="true" ht="18" hidden="false" customHeight="false" outlineLevel="0" collapsed="false">
      <c r="E1006" s="306"/>
      <c r="H1006" s="195"/>
      <c r="I1006" s="195"/>
      <c r="J1006" s="195"/>
    </row>
    <row r="1007" s="2" customFormat="true" ht="18" hidden="false" customHeight="false" outlineLevel="0" collapsed="false">
      <c r="E1007" s="306"/>
      <c r="H1007" s="195"/>
      <c r="I1007" s="195"/>
      <c r="J1007" s="195"/>
    </row>
    <row r="1008" s="2" customFormat="true" ht="18" hidden="false" customHeight="false" outlineLevel="0" collapsed="false">
      <c r="E1008" s="306"/>
      <c r="H1008" s="195"/>
      <c r="I1008" s="195"/>
      <c r="J1008" s="195"/>
    </row>
    <row r="1009" s="2" customFormat="true" ht="18" hidden="false" customHeight="false" outlineLevel="0" collapsed="false">
      <c r="E1009" s="306"/>
      <c r="H1009" s="195"/>
      <c r="I1009" s="195"/>
      <c r="J1009" s="195"/>
    </row>
    <row r="1010" s="2" customFormat="true" ht="18" hidden="false" customHeight="false" outlineLevel="0" collapsed="false">
      <c r="E1010" s="306"/>
      <c r="H1010" s="195"/>
      <c r="I1010" s="195"/>
      <c r="J1010" s="195"/>
    </row>
    <row r="1011" s="2" customFormat="true" ht="18" hidden="false" customHeight="false" outlineLevel="0" collapsed="false">
      <c r="E1011" s="306"/>
      <c r="H1011" s="195"/>
      <c r="I1011" s="195"/>
      <c r="J1011" s="195"/>
    </row>
    <row r="1012" s="2" customFormat="true" ht="18" hidden="false" customHeight="false" outlineLevel="0" collapsed="false">
      <c r="E1012" s="306"/>
      <c r="H1012" s="195"/>
      <c r="I1012" s="195"/>
      <c r="J1012" s="195"/>
    </row>
    <row r="1013" s="2" customFormat="true" ht="18" hidden="false" customHeight="false" outlineLevel="0" collapsed="false">
      <c r="E1013" s="306"/>
      <c r="H1013" s="195"/>
      <c r="I1013" s="195"/>
      <c r="J1013" s="195"/>
    </row>
    <row r="1014" s="2" customFormat="true" ht="18" hidden="false" customHeight="false" outlineLevel="0" collapsed="false">
      <c r="E1014" s="306"/>
      <c r="H1014" s="195"/>
      <c r="I1014" s="195"/>
      <c r="J1014" s="195"/>
    </row>
    <row r="1015" s="2" customFormat="true" ht="18" hidden="false" customHeight="false" outlineLevel="0" collapsed="false">
      <c r="E1015" s="306"/>
      <c r="H1015" s="195"/>
      <c r="I1015" s="195"/>
      <c r="J1015" s="195"/>
    </row>
    <row r="1016" s="2" customFormat="true" ht="18" hidden="false" customHeight="false" outlineLevel="0" collapsed="false">
      <c r="E1016" s="306"/>
      <c r="H1016" s="195"/>
      <c r="I1016" s="195"/>
      <c r="J1016" s="195"/>
    </row>
    <row r="1017" s="2" customFormat="true" ht="18" hidden="false" customHeight="false" outlineLevel="0" collapsed="false">
      <c r="E1017" s="306"/>
      <c r="H1017" s="195"/>
      <c r="I1017" s="195"/>
      <c r="J1017" s="195"/>
    </row>
    <row r="1018" s="2" customFormat="true" ht="18" hidden="false" customHeight="false" outlineLevel="0" collapsed="false">
      <c r="E1018" s="306"/>
      <c r="H1018" s="195"/>
      <c r="I1018" s="195"/>
      <c r="J1018" s="195"/>
    </row>
    <row r="1019" s="2" customFormat="true" ht="18" hidden="false" customHeight="false" outlineLevel="0" collapsed="false">
      <c r="E1019" s="306"/>
      <c r="H1019" s="195"/>
      <c r="I1019" s="195"/>
      <c r="J1019" s="195"/>
    </row>
    <row r="1020" s="2" customFormat="true" ht="18" hidden="false" customHeight="false" outlineLevel="0" collapsed="false">
      <c r="E1020" s="306"/>
      <c r="H1020" s="195"/>
      <c r="I1020" s="195"/>
      <c r="J1020" s="195"/>
    </row>
    <row r="1021" s="2" customFormat="true" ht="18" hidden="false" customHeight="false" outlineLevel="0" collapsed="false">
      <c r="E1021" s="306"/>
      <c r="H1021" s="195"/>
      <c r="I1021" s="195"/>
      <c r="J1021" s="195"/>
    </row>
    <row r="1022" s="2" customFormat="true" ht="18" hidden="false" customHeight="false" outlineLevel="0" collapsed="false">
      <c r="E1022" s="306"/>
      <c r="H1022" s="195"/>
      <c r="I1022" s="195"/>
      <c r="J1022" s="195"/>
    </row>
    <row r="1023" s="2" customFormat="true" ht="18" hidden="false" customHeight="false" outlineLevel="0" collapsed="false">
      <c r="E1023" s="306"/>
      <c r="H1023" s="195"/>
      <c r="I1023" s="195"/>
      <c r="J1023" s="195"/>
    </row>
    <row r="1024" s="2" customFormat="true" ht="18" hidden="false" customHeight="false" outlineLevel="0" collapsed="false">
      <c r="E1024" s="306"/>
      <c r="H1024" s="195"/>
      <c r="I1024" s="195"/>
      <c r="J1024" s="195"/>
    </row>
    <row r="1025" s="2" customFormat="true" ht="18" hidden="false" customHeight="false" outlineLevel="0" collapsed="false">
      <c r="E1025" s="306"/>
      <c r="H1025" s="195"/>
      <c r="I1025" s="195"/>
      <c r="J1025" s="195"/>
    </row>
    <row r="1026" s="2" customFormat="true" ht="18" hidden="false" customHeight="false" outlineLevel="0" collapsed="false">
      <c r="E1026" s="306"/>
      <c r="H1026" s="195"/>
      <c r="I1026" s="195"/>
      <c r="J1026" s="195"/>
    </row>
    <row r="1027" s="2" customFormat="true" ht="18" hidden="false" customHeight="false" outlineLevel="0" collapsed="false">
      <c r="E1027" s="306"/>
      <c r="H1027" s="195"/>
      <c r="I1027" s="195"/>
      <c r="J1027" s="195"/>
    </row>
    <row r="1028" s="2" customFormat="true" ht="18" hidden="false" customHeight="false" outlineLevel="0" collapsed="false">
      <c r="E1028" s="306"/>
      <c r="H1028" s="195"/>
      <c r="I1028" s="195"/>
      <c r="J1028" s="195"/>
    </row>
    <row r="1029" s="2" customFormat="true" ht="18" hidden="false" customHeight="false" outlineLevel="0" collapsed="false">
      <c r="E1029" s="306"/>
      <c r="H1029" s="195"/>
      <c r="I1029" s="195"/>
      <c r="J1029" s="195"/>
    </row>
    <row r="1030" s="2" customFormat="true" ht="18" hidden="false" customHeight="false" outlineLevel="0" collapsed="false">
      <c r="E1030" s="306"/>
      <c r="H1030" s="195"/>
      <c r="I1030" s="195"/>
      <c r="J1030" s="195"/>
    </row>
    <row r="1031" s="2" customFormat="true" ht="18" hidden="false" customHeight="false" outlineLevel="0" collapsed="false">
      <c r="E1031" s="306"/>
      <c r="H1031" s="195"/>
      <c r="I1031" s="195"/>
      <c r="J1031" s="195"/>
    </row>
    <row r="1032" s="2" customFormat="true" ht="18" hidden="false" customHeight="false" outlineLevel="0" collapsed="false">
      <c r="E1032" s="306"/>
      <c r="H1032" s="195"/>
      <c r="I1032" s="195"/>
      <c r="J1032" s="195"/>
    </row>
    <row r="1033" s="2" customFormat="true" ht="18" hidden="false" customHeight="false" outlineLevel="0" collapsed="false">
      <c r="E1033" s="306"/>
      <c r="H1033" s="195"/>
      <c r="I1033" s="195"/>
      <c r="J1033" s="195"/>
    </row>
    <row r="1034" s="2" customFormat="true" ht="18" hidden="false" customHeight="false" outlineLevel="0" collapsed="false">
      <c r="E1034" s="306"/>
      <c r="H1034" s="195"/>
      <c r="I1034" s="195"/>
      <c r="J1034" s="195"/>
    </row>
    <row r="1035" s="2" customFormat="true" ht="18" hidden="false" customHeight="false" outlineLevel="0" collapsed="false">
      <c r="E1035" s="306"/>
      <c r="H1035" s="195"/>
      <c r="I1035" s="195"/>
      <c r="J1035" s="195"/>
    </row>
    <row r="1036" s="2" customFormat="true" ht="18" hidden="false" customHeight="false" outlineLevel="0" collapsed="false">
      <c r="E1036" s="306"/>
      <c r="H1036" s="195"/>
      <c r="I1036" s="195"/>
      <c r="J1036" s="195"/>
    </row>
    <row r="1037" s="2" customFormat="true" ht="18" hidden="false" customHeight="false" outlineLevel="0" collapsed="false">
      <c r="E1037" s="306"/>
      <c r="H1037" s="195"/>
      <c r="I1037" s="195"/>
      <c r="J1037" s="195"/>
    </row>
    <row r="1038" s="2" customFormat="true" ht="18" hidden="false" customHeight="false" outlineLevel="0" collapsed="false">
      <c r="E1038" s="306"/>
      <c r="H1038" s="195"/>
      <c r="I1038" s="195"/>
      <c r="J1038" s="195"/>
    </row>
    <row r="1039" s="2" customFormat="true" ht="18" hidden="false" customHeight="false" outlineLevel="0" collapsed="false">
      <c r="E1039" s="306"/>
      <c r="H1039" s="195"/>
      <c r="I1039" s="195"/>
      <c r="J1039" s="195"/>
    </row>
    <row r="1040" s="2" customFormat="true" ht="18" hidden="false" customHeight="false" outlineLevel="0" collapsed="false">
      <c r="E1040" s="306"/>
      <c r="H1040" s="195"/>
      <c r="I1040" s="195"/>
      <c r="J1040" s="195"/>
    </row>
    <row r="1041" s="2" customFormat="true" ht="18" hidden="false" customHeight="false" outlineLevel="0" collapsed="false">
      <c r="E1041" s="306"/>
      <c r="H1041" s="195"/>
      <c r="I1041" s="195"/>
      <c r="J1041" s="195"/>
    </row>
    <row r="1042" s="2" customFormat="true" ht="18" hidden="false" customHeight="false" outlineLevel="0" collapsed="false">
      <c r="E1042" s="306"/>
      <c r="H1042" s="195"/>
      <c r="I1042" s="195"/>
      <c r="J1042" s="195"/>
    </row>
    <row r="1043" s="2" customFormat="true" ht="18" hidden="false" customHeight="false" outlineLevel="0" collapsed="false">
      <c r="E1043" s="306"/>
      <c r="H1043" s="195"/>
      <c r="I1043" s="195"/>
      <c r="J1043" s="195"/>
    </row>
    <row r="1044" s="2" customFormat="true" ht="18" hidden="false" customHeight="false" outlineLevel="0" collapsed="false">
      <c r="E1044" s="306"/>
      <c r="H1044" s="195"/>
      <c r="I1044" s="195"/>
      <c r="J1044" s="195"/>
    </row>
    <row r="1045" s="2" customFormat="true" ht="18" hidden="false" customHeight="false" outlineLevel="0" collapsed="false">
      <c r="E1045" s="306"/>
      <c r="H1045" s="195"/>
      <c r="I1045" s="195"/>
      <c r="J1045" s="195"/>
    </row>
    <row r="1046" s="2" customFormat="true" ht="18" hidden="false" customHeight="false" outlineLevel="0" collapsed="false">
      <c r="E1046" s="306"/>
      <c r="H1046" s="195"/>
      <c r="I1046" s="195"/>
      <c r="J1046" s="195"/>
    </row>
    <row r="1047" s="2" customFormat="true" ht="18" hidden="false" customHeight="false" outlineLevel="0" collapsed="false">
      <c r="E1047" s="306"/>
      <c r="H1047" s="195"/>
      <c r="I1047" s="195"/>
      <c r="J1047" s="195"/>
    </row>
    <row r="1048" s="2" customFormat="true" ht="18" hidden="false" customHeight="false" outlineLevel="0" collapsed="false">
      <c r="E1048" s="306"/>
      <c r="H1048" s="195"/>
      <c r="I1048" s="195"/>
      <c r="J1048" s="195"/>
    </row>
    <row r="1049" s="2" customFormat="true" ht="18" hidden="false" customHeight="false" outlineLevel="0" collapsed="false">
      <c r="E1049" s="306"/>
      <c r="H1049" s="195"/>
      <c r="I1049" s="195"/>
      <c r="J1049" s="195"/>
    </row>
    <row r="1050" s="2" customFormat="true" ht="18" hidden="false" customHeight="false" outlineLevel="0" collapsed="false">
      <c r="E1050" s="306"/>
      <c r="H1050" s="195"/>
      <c r="I1050" s="195"/>
      <c r="J1050" s="195"/>
    </row>
    <row r="1051" s="2" customFormat="true" ht="18" hidden="false" customHeight="false" outlineLevel="0" collapsed="false">
      <c r="E1051" s="306"/>
      <c r="H1051" s="195"/>
      <c r="I1051" s="195"/>
      <c r="J1051" s="195"/>
    </row>
    <row r="1052" s="2" customFormat="true" ht="18" hidden="false" customHeight="false" outlineLevel="0" collapsed="false">
      <c r="E1052" s="306"/>
      <c r="H1052" s="195"/>
      <c r="I1052" s="195"/>
      <c r="J1052" s="195"/>
    </row>
    <row r="1053" s="2" customFormat="true" ht="18" hidden="false" customHeight="false" outlineLevel="0" collapsed="false">
      <c r="E1053" s="306"/>
      <c r="H1053" s="195"/>
      <c r="I1053" s="195"/>
      <c r="J1053" s="195"/>
    </row>
    <row r="1054" s="2" customFormat="true" ht="18" hidden="false" customHeight="false" outlineLevel="0" collapsed="false">
      <c r="E1054" s="306"/>
      <c r="H1054" s="195"/>
      <c r="I1054" s="195"/>
      <c r="J1054" s="195"/>
    </row>
    <row r="1055" s="2" customFormat="true" ht="18" hidden="false" customHeight="false" outlineLevel="0" collapsed="false">
      <c r="E1055" s="306"/>
      <c r="H1055" s="195"/>
      <c r="I1055" s="195"/>
      <c r="J1055" s="195"/>
    </row>
    <row r="1056" s="2" customFormat="true" ht="18" hidden="false" customHeight="false" outlineLevel="0" collapsed="false">
      <c r="E1056" s="306"/>
      <c r="H1056" s="195"/>
      <c r="I1056" s="195"/>
      <c r="J1056" s="195"/>
    </row>
    <row r="1057" s="2" customFormat="true" ht="18" hidden="false" customHeight="false" outlineLevel="0" collapsed="false">
      <c r="E1057" s="306"/>
      <c r="H1057" s="195"/>
      <c r="I1057" s="195"/>
      <c r="J1057" s="195"/>
    </row>
    <row r="1058" s="2" customFormat="true" ht="18" hidden="false" customHeight="false" outlineLevel="0" collapsed="false">
      <c r="E1058" s="306"/>
      <c r="H1058" s="195"/>
      <c r="I1058" s="195"/>
      <c r="J1058" s="195"/>
    </row>
    <row r="1059" s="2" customFormat="true" ht="18" hidden="false" customHeight="false" outlineLevel="0" collapsed="false">
      <c r="E1059" s="306"/>
      <c r="H1059" s="195"/>
      <c r="I1059" s="195"/>
      <c r="J1059" s="195"/>
    </row>
    <row r="1060" s="2" customFormat="true" ht="18" hidden="false" customHeight="false" outlineLevel="0" collapsed="false">
      <c r="E1060" s="306"/>
      <c r="H1060" s="195"/>
      <c r="I1060" s="195"/>
      <c r="J1060" s="195"/>
    </row>
    <row r="1061" s="2" customFormat="true" ht="18" hidden="false" customHeight="false" outlineLevel="0" collapsed="false">
      <c r="E1061" s="306"/>
      <c r="H1061" s="195"/>
      <c r="I1061" s="195"/>
      <c r="J1061" s="195"/>
    </row>
    <row r="1062" s="2" customFormat="true" ht="18" hidden="false" customHeight="false" outlineLevel="0" collapsed="false">
      <c r="E1062" s="306"/>
      <c r="H1062" s="195"/>
      <c r="I1062" s="195"/>
      <c r="J1062" s="195"/>
    </row>
    <row r="1063" s="2" customFormat="true" ht="18" hidden="false" customHeight="false" outlineLevel="0" collapsed="false">
      <c r="E1063" s="306"/>
      <c r="H1063" s="195"/>
      <c r="I1063" s="195"/>
      <c r="J1063" s="195"/>
    </row>
    <row r="1064" s="2" customFormat="true" ht="18" hidden="false" customHeight="false" outlineLevel="0" collapsed="false">
      <c r="E1064" s="306"/>
      <c r="H1064" s="195"/>
      <c r="I1064" s="195"/>
      <c r="J1064" s="195"/>
    </row>
    <row r="1065" s="2" customFormat="true" ht="18" hidden="false" customHeight="false" outlineLevel="0" collapsed="false">
      <c r="E1065" s="306"/>
      <c r="H1065" s="195"/>
      <c r="I1065" s="195"/>
      <c r="J1065" s="195"/>
    </row>
    <row r="1066" s="2" customFormat="true" ht="18" hidden="false" customHeight="false" outlineLevel="0" collapsed="false">
      <c r="E1066" s="306"/>
      <c r="H1066" s="195"/>
      <c r="I1066" s="195"/>
      <c r="J1066" s="195"/>
    </row>
    <row r="1067" s="2" customFormat="true" ht="18" hidden="false" customHeight="false" outlineLevel="0" collapsed="false">
      <c r="E1067" s="306"/>
      <c r="H1067" s="195"/>
      <c r="I1067" s="195"/>
      <c r="J1067" s="195"/>
    </row>
    <row r="1068" s="2" customFormat="true" ht="18" hidden="false" customHeight="false" outlineLevel="0" collapsed="false">
      <c r="E1068" s="306"/>
      <c r="H1068" s="195"/>
      <c r="I1068" s="195"/>
      <c r="J1068" s="195"/>
    </row>
    <row r="1069" s="2" customFormat="true" ht="18" hidden="false" customHeight="false" outlineLevel="0" collapsed="false">
      <c r="E1069" s="306"/>
      <c r="H1069" s="195"/>
      <c r="I1069" s="195"/>
      <c r="J1069" s="195"/>
    </row>
    <row r="1070" s="2" customFormat="true" ht="18" hidden="false" customHeight="false" outlineLevel="0" collapsed="false">
      <c r="E1070" s="306"/>
      <c r="H1070" s="195"/>
      <c r="I1070" s="195"/>
      <c r="J1070" s="195"/>
    </row>
    <row r="1071" s="2" customFormat="true" ht="18" hidden="false" customHeight="false" outlineLevel="0" collapsed="false">
      <c r="E1071" s="306"/>
      <c r="H1071" s="195"/>
      <c r="I1071" s="195"/>
      <c r="J1071" s="195"/>
    </row>
    <row r="1072" s="2" customFormat="true" ht="18" hidden="false" customHeight="false" outlineLevel="0" collapsed="false">
      <c r="E1072" s="306"/>
      <c r="H1072" s="195"/>
      <c r="I1072" s="195"/>
      <c r="J1072" s="195"/>
    </row>
    <row r="1073" s="2" customFormat="true" ht="18" hidden="false" customHeight="false" outlineLevel="0" collapsed="false">
      <c r="E1073" s="306"/>
      <c r="H1073" s="195"/>
      <c r="I1073" s="195"/>
      <c r="J1073" s="195"/>
    </row>
    <row r="1074" s="2" customFormat="true" ht="18" hidden="false" customHeight="false" outlineLevel="0" collapsed="false">
      <c r="E1074" s="306"/>
      <c r="H1074" s="195"/>
      <c r="I1074" s="195"/>
      <c r="J1074" s="19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125" defaultRowHeight="18" zeroHeight="false" outlineLevelRow="0" outlineLevelCol="0"/>
  <cols>
    <col collapsed="false" customWidth="true" hidden="false" outlineLevel="0" max="2" min="2" style="20" width="41.25"/>
    <col collapsed="false" customWidth="true" hidden="false" outlineLevel="0" max="5" min="3" style="20" width="18.58"/>
    <col collapsed="false" customWidth="true" hidden="false" outlineLevel="0" max="6" min="6" style="20" width="33.09"/>
  </cols>
  <sheetData>
    <row r="2" customFormat="false" ht="18" hidden="false" customHeight="false" outlineLevel="0" collapsed="false">
      <c r="E2" s="48" t="s">
        <v>50</v>
      </c>
    </row>
    <row r="3" customFormat="false" ht="21.75" hidden="false" customHeight="true" outlineLevel="0" collapsed="false">
      <c r="B3" s="62" t="s">
        <v>246</v>
      </c>
      <c r="C3" s="79" t="s">
        <v>81</v>
      </c>
      <c r="D3" s="79" t="s">
        <v>208</v>
      </c>
      <c r="E3" s="79" t="s">
        <v>209</v>
      </c>
      <c r="F3" s="198" t="s">
        <v>210</v>
      </c>
    </row>
    <row r="4" customFormat="false" ht="31.5" hidden="false" customHeight="true" outlineLevel="0" collapsed="false">
      <c r="B4" s="252" t="s">
        <v>232</v>
      </c>
      <c r="C4" s="103"/>
      <c r="D4" s="103"/>
      <c r="E4" s="103"/>
      <c r="F4" s="279" t="s">
        <v>247</v>
      </c>
    </row>
    <row r="5" customFormat="false" ht="31.5" hidden="false" customHeight="true" outlineLevel="0" collapsed="false">
      <c r="B5" s="168"/>
      <c r="C5" s="256"/>
      <c r="D5" s="256"/>
      <c r="E5" s="256"/>
      <c r="F5" s="279"/>
    </row>
    <row r="6" customFormat="false" ht="31.5" hidden="false" customHeight="true" outlineLevel="0" collapsed="false">
      <c r="B6" s="178"/>
      <c r="C6" s="256"/>
      <c r="D6" s="256"/>
      <c r="E6" s="256"/>
      <c r="F6" s="279"/>
    </row>
    <row r="7" customFormat="false" ht="31.5" hidden="false" customHeight="true" outlineLevel="0" collapsed="false">
      <c r="B7" s="300"/>
      <c r="C7" s="282"/>
      <c r="D7" s="282"/>
      <c r="E7" s="282"/>
      <c r="F7" s="301"/>
    </row>
    <row r="8" customFormat="false" ht="31.5" hidden="false" customHeight="true" outlineLevel="0" collapsed="false">
      <c r="B8" s="335" t="s">
        <v>77</v>
      </c>
      <c r="C8" s="257" t="n">
        <v>0</v>
      </c>
      <c r="D8" s="257" t="n">
        <v>0</v>
      </c>
      <c r="E8" s="257" t="n">
        <v>0</v>
      </c>
      <c r="F8" s="28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125" defaultRowHeight="18" zeroHeight="false" outlineLevelRow="0" outlineLevelCol="0"/>
  <cols>
    <col collapsed="false" customWidth="true" hidden="false" outlineLevel="0" max="2" min="2" style="20" width="35.09"/>
    <col collapsed="false" customWidth="true" hidden="false" outlineLevel="0" max="3" min="3" style="20" width="21.25"/>
    <col collapsed="false" customWidth="true" hidden="false" outlineLevel="0" max="6" min="4" style="20" width="18.58"/>
    <col collapsed="false" customWidth="true" hidden="false" outlineLevel="0" max="7" min="7" style="20" width="31.33"/>
  </cols>
  <sheetData>
    <row r="2" customFormat="false" ht="18" hidden="false" customHeight="false" outlineLevel="0" collapsed="false">
      <c r="F2" s="48" t="s">
        <v>50</v>
      </c>
    </row>
    <row r="3" customFormat="false" ht="21.75" hidden="false" customHeight="true" outlineLevel="0" collapsed="false">
      <c r="B3" s="62" t="s">
        <v>248</v>
      </c>
      <c r="C3" s="308" t="s">
        <v>249</v>
      </c>
      <c r="D3" s="79" t="s">
        <v>81</v>
      </c>
      <c r="E3" s="79" t="s">
        <v>208</v>
      </c>
      <c r="F3" s="79" t="s">
        <v>209</v>
      </c>
      <c r="G3" s="198" t="s">
        <v>210</v>
      </c>
    </row>
    <row r="4" customFormat="false" ht="31.5" hidden="false" customHeight="true" outlineLevel="0" collapsed="false">
      <c r="B4" s="252" t="s">
        <v>250</v>
      </c>
      <c r="C4" s="336" t="s">
        <v>112</v>
      </c>
      <c r="D4" s="103" t="n">
        <v>50000</v>
      </c>
      <c r="E4" s="103" t="n">
        <v>0</v>
      </c>
      <c r="F4" s="103" t="n">
        <f aca="false">D4+E4</f>
        <v>50000</v>
      </c>
      <c r="G4" s="279" t="s">
        <v>251</v>
      </c>
    </row>
    <row r="5" customFormat="false" ht="31.5" hidden="false" customHeight="true" outlineLevel="0" collapsed="false">
      <c r="B5" s="168"/>
      <c r="C5" s="337"/>
      <c r="D5" s="256"/>
      <c r="E5" s="256"/>
      <c r="F5" s="256"/>
      <c r="G5" s="279"/>
    </row>
    <row r="6" customFormat="false" ht="31.5" hidden="false" customHeight="true" outlineLevel="0" collapsed="false">
      <c r="B6" s="178"/>
      <c r="C6" s="338"/>
      <c r="D6" s="256"/>
      <c r="E6" s="256"/>
      <c r="F6" s="256"/>
      <c r="G6" s="279"/>
    </row>
    <row r="7" customFormat="false" ht="31.5" hidden="false" customHeight="true" outlineLevel="0" collapsed="false">
      <c r="B7" s="168"/>
      <c r="C7" s="337"/>
      <c r="D7" s="256"/>
      <c r="E7" s="256"/>
      <c r="F7" s="256"/>
      <c r="G7" s="279"/>
    </row>
    <row r="8" customFormat="false" ht="31.5" hidden="false" customHeight="true" outlineLevel="0" collapsed="false">
      <c r="B8" s="300"/>
      <c r="C8" s="339"/>
      <c r="D8" s="282"/>
      <c r="E8" s="35"/>
      <c r="F8" s="282"/>
      <c r="G8" s="301"/>
    </row>
    <row r="9" customFormat="false" ht="31.5" hidden="false" customHeight="true" outlineLevel="0" collapsed="false">
      <c r="B9" s="87" t="s">
        <v>77</v>
      </c>
      <c r="C9" s="340" t="s">
        <v>112</v>
      </c>
      <c r="D9" s="257" t="n">
        <f aca="false">SUM(D4:D8)</f>
        <v>50000</v>
      </c>
      <c r="E9" s="257" t="n">
        <f aca="false">SUM(E4:E8)</f>
        <v>0</v>
      </c>
      <c r="F9" s="257" t="n">
        <f aca="false">D9+E9</f>
        <v>50000</v>
      </c>
      <c r="G9" s="28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125" defaultRowHeight="18" zeroHeight="false" outlineLevelRow="0" outlineLevelCol="0"/>
  <cols>
    <col collapsed="false" customWidth="true" hidden="false" outlineLevel="0" max="2" min="2" style="20" width="37.09"/>
    <col collapsed="false" customWidth="true" hidden="false" outlineLevel="0" max="4" min="3" style="20" width="18.58"/>
    <col collapsed="false" customWidth="true" hidden="false" outlineLevel="0" max="7" min="5" style="20" width="19.75"/>
  </cols>
  <sheetData>
    <row r="2" customFormat="false" ht="18" hidden="false" customHeight="false" outlineLevel="0" collapsed="false">
      <c r="D2" s="48" t="s">
        <v>50</v>
      </c>
      <c r="E2" s="48" t="s">
        <v>50</v>
      </c>
      <c r="F2" s="48" t="s">
        <v>50</v>
      </c>
    </row>
    <row r="3" customFormat="false" ht="21.75" hidden="false" customHeight="true" outlineLevel="0" collapsed="false">
      <c r="B3" s="62" t="s">
        <v>252</v>
      </c>
      <c r="C3" s="79" t="s">
        <v>232</v>
      </c>
      <c r="D3" s="79" t="s">
        <v>253</v>
      </c>
      <c r="E3" s="341"/>
      <c r="F3" s="79"/>
    </row>
    <row r="4" customFormat="false" ht="31.5" hidden="false" customHeight="true" outlineLevel="0" collapsed="false">
      <c r="B4" s="342"/>
      <c r="C4" s="81"/>
      <c r="D4" s="343"/>
      <c r="E4" s="344"/>
      <c r="F4" s="343"/>
    </row>
    <row r="7" customFormat="false" ht="18" hidden="false" customHeight="false" outlineLevel="0" collapsed="false">
      <c r="D7" s="48"/>
      <c r="E7" s="48"/>
    </row>
    <row r="8" customFormat="false" ht="19.5" hidden="false" customHeight="true" outlineLevel="0" collapsed="false">
      <c r="B8" s="62" t="s">
        <v>116</v>
      </c>
      <c r="C8" s="79" t="s">
        <v>232</v>
      </c>
      <c r="D8" s="79" t="s">
        <v>254</v>
      </c>
      <c r="E8" s="79"/>
      <c r="F8" s="341"/>
      <c r="G8" s="341"/>
    </row>
    <row r="9" customFormat="false" ht="31.5" hidden="false" customHeight="true" outlineLevel="0" collapsed="false">
      <c r="B9" s="342"/>
      <c r="C9" s="81"/>
      <c r="D9" s="345"/>
      <c r="E9" s="346"/>
      <c r="F9" s="344"/>
      <c r="G9" s="347"/>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125" defaultRowHeight="18" zeroHeight="false" outlineLevelRow="0" outlineLevelCol="0"/>
  <cols>
    <col collapsed="false" customWidth="true" hidden="false" outlineLevel="0" max="2" min="2" style="20" width="4.76"/>
    <col collapsed="false" customWidth="true" hidden="false" outlineLevel="0" max="3" min="3" style="20" width="14.5"/>
    <col collapsed="false" customWidth="true" hidden="false" outlineLevel="0" max="11" min="4" style="20" width="18.58"/>
  </cols>
  <sheetData>
    <row r="2" customFormat="false" ht="18" hidden="false" customHeight="false" outlineLevel="0" collapsed="false">
      <c r="J2" s="48" t="s">
        <v>50</v>
      </c>
    </row>
    <row r="3" customFormat="false" ht="21.75" hidden="false" customHeight="true" outlineLevel="0" collapsed="false">
      <c r="B3" s="250" t="s">
        <v>255</v>
      </c>
      <c r="C3" s="62" t="s">
        <v>256</v>
      </c>
      <c r="D3" s="79" t="s">
        <v>257</v>
      </c>
      <c r="E3" s="79" t="s">
        <v>258</v>
      </c>
      <c r="F3" s="79" t="s">
        <v>259</v>
      </c>
      <c r="G3" s="79" t="s">
        <v>260</v>
      </c>
      <c r="H3" s="79" t="s">
        <v>261</v>
      </c>
      <c r="I3" s="79" t="s">
        <v>262</v>
      </c>
      <c r="J3" s="79" t="s">
        <v>263</v>
      </c>
    </row>
    <row r="4" customFormat="false" ht="31.5" hidden="false" customHeight="true" outlineLevel="0" collapsed="false">
      <c r="B4" s="348" t="s">
        <v>112</v>
      </c>
      <c r="C4" s="80" t="s">
        <v>232</v>
      </c>
      <c r="D4" s="349" t="s">
        <v>264</v>
      </c>
      <c r="E4" s="349"/>
      <c r="F4" s="349"/>
      <c r="G4" s="349"/>
      <c r="H4" s="349"/>
      <c r="I4" s="349"/>
      <c r="J4" s="349"/>
    </row>
    <row r="5" customFormat="false" ht="31.5" hidden="false" customHeight="true" outlineLevel="0" collapsed="false">
      <c r="B5" s="348"/>
      <c r="C5" s="80"/>
      <c r="D5" s="349"/>
      <c r="E5" s="349"/>
      <c r="F5" s="349"/>
      <c r="G5" s="349"/>
      <c r="H5" s="349"/>
      <c r="I5" s="349"/>
      <c r="J5" s="349"/>
    </row>
    <row r="6" customFormat="false" ht="31.5" hidden="false" customHeight="true" outlineLevel="0" collapsed="false">
      <c r="B6" s="348"/>
      <c r="C6" s="80"/>
      <c r="D6" s="349"/>
      <c r="E6" s="349"/>
      <c r="F6" s="349"/>
      <c r="G6" s="349"/>
      <c r="H6" s="349"/>
      <c r="I6" s="349"/>
      <c r="J6" s="349"/>
    </row>
    <row r="7" customFormat="false" ht="31.5" hidden="false" customHeight="true" outlineLevel="0" collapsed="false">
      <c r="B7" s="348"/>
      <c r="C7" s="80"/>
      <c r="D7" s="349"/>
      <c r="E7" s="349"/>
      <c r="F7" s="349"/>
      <c r="G7" s="349"/>
      <c r="H7" s="349"/>
      <c r="I7" s="349"/>
      <c r="J7" s="349"/>
    </row>
    <row r="8" customFormat="false" ht="31.5" hidden="false" customHeight="true" outlineLevel="0" collapsed="false">
      <c r="B8" s="348"/>
      <c r="C8" s="80"/>
      <c r="D8" s="349"/>
      <c r="E8" s="349"/>
      <c r="F8" s="349"/>
      <c r="G8" s="349"/>
      <c r="H8" s="349"/>
      <c r="I8" s="349"/>
      <c r="J8" s="349"/>
    </row>
    <row r="9" customFormat="false" ht="31.5" hidden="false" customHeight="true" outlineLevel="0" collapsed="false">
      <c r="B9" s="348"/>
      <c r="C9" s="80"/>
      <c r="D9" s="349"/>
      <c r="E9" s="349"/>
      <c r="F9" s="349"/>
      <c r="G9" s="349"/>
      <c r="H9" s="349"/>
      <c r="I9" s="349"/>
      <c r="J9" s="349"/>
    </row>
    <row r="10" customFormat="false" ht="31.5" hidden="false" customHeight="true" outlineLevel="0" collapsed="false">
      <c r="B10" s="87"/>
      <c r="C10" s="87"/>
      <c r="D10" s="340"/>
      <c r="E10" s="340"/>
      <c r="F10" s="340"/>
      <c r="G10" s="340"/>
      <c r="H10" s="257"/>
      <c r="I10" s="257"/>
      <c r="J10" s="25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125" defaultRowHeight="18" zeroHeight="false" outlineLevelRow="0" outlineLevelCol="0"/>
  <cols>
    <col collapsed="false" customWidth="true" hidden="false" outlineLevel="0" max="2" min="2" style="20" width="35.09"/>
    <col collapsed="false" customWidth="true" hidden="false" outlineLevel="0" max="3" min="3" style="20" width="21.25"/>
    <col collapsed="false" customWidth="true" hidden="false" outlineLevel="0" max="5" min="4" style="20" width="18.58"/>
    <col collapsed="false" customWidth="true" hidden="false" outlineLevel="0" max="6" min="6" style="20" width="51.5"/>
  </cols>
  <sheetData>
    <row r="2" customFormat="false" ht="18" hidden="false" customHeight="false" outlineLevel="0" collapsed="false">
      <c r="E2" s="48" t="s">
        <v>50</v>
      </c>
    </row>
    <row r="3" customFormat="false" ht="21.75" hidden="false" customHeight="true" outlineLevel="0" collapsed="false">
      <c r="B3" s="62" t="s">
        <v>265</v>
      </c>
      <c r="C3" s="308" t="s">
        <v>266</v>
      </c>
      <c r="D3" s="79" t="s">
        <v>157</v>
      </c>
      <c r="E3" s="79" t="s">
        <v>267</v>
      </c>
      <c r="F3" s="198" t="s">
        <v>245</v>
      </c>
    </row>
    <row r="4" customFormat="false" ht="31.5" hidden="false" customHeight="true" outlineLevel="0" collapsed="false">
      <c r="B4" s="252" t="s">
        <v>232</v>
      </c>
      <c r="C4" s="350" t="s">
        <v>268</v>
      </c>
      <c r="D4" s="103" t="n">
        <f aca="false">'修正BS(借方)'!D61</f>
        <v>-1022934</v>
      </c>
      <c r="E4" s="103" t="n">
        <v>0</v>
      </c>
      <c r="F4" s="351" t="s">
        <v>269</v>
      </c>
    </row>
    <row r="5" customFormat="false" ht="31.5" hidden="false" customHeight="true" outlineLevel="0" collapsed="false">
      <c r="B5" s="168"/>
      <c r="C5" s="352"/>
      <c r="D5" s="256"/>
      <c r="E5" s="256"/>
      <c r="F5" s="279"/>
    </row>
    <row r="6" customFormat="false" ht="31.5" hidden="false" customHeight="true" outlineLevel="0" collapsed="false">
      <c r="B6" s="168"/>
      <c r="C6" s="352"/>
      <c r="D6" s="256"/>
      <c r="E6" s="256"/>
      <c r="F6" s="279"/>
    </row>
    <row r="7" customFormat="false" ht="31.5" hidden="false" customHeight="true" outlineLevel="0" collapsed="false">
      <c r="B7" s="168"/>
      <c r="C7" s="352"/>
      <c r="D7" s="256"/>
      <c r="E7" s="353"/>
      <c r="F7" s="279"/>
    </row>
    <row r="8" customFormat="false" ht="31.5" hidden="false" customHeight="true" outlineLevel="0" collapsed="false">
      <c r="B8" s="168"/>
      <c r="C8" s="352"/>
      <c r="D8" s="256"/>
      <c r="E8" s="353"/>
      <c r="F8" s="279"/>
    </row>
    <row r="9" customFormat="false" ht="31.5" hidden="false" customHeight="true" outlineLevel="0" collapsed="false">
      <c r="B9" s="168"/>
      <c r="C9" s="352"/>
      <c r="D9" s="256"/>
      <c r="E9" s="256"/>
      <c r="F9" s="279"/>
    </row>
    <row r="10" customFormat="false" ht="31.5" hidden="false" customHeight="true" outlineLevel="0" collapsed="false">
      <c r="B10" s="168"/>
      <c r="C10" s="352"/>
      <c r="D10" s="256"/>
      <c r="E10" s="256"/>
      <c r="F10" s="279"/>
    </row>
    <row r="11" customFormat="false" ht="31.5" hidden="false" customHeight="true" outlineLevel="0" collapsed="false">
      <c r="B11" s="168"/>
      <c r="C11" s="352"/>
      <c r="D11" s="256"/>
      <c r="E11" s="256"/>
      <c r="F11" s="279"/>
    </row>
    <row r="12" customFormat="false" ht="31.5" hidden="false" customHeight="true" outlineLevel="0" collapsed="false">
      <c r="B12" s="168"/>
      <c r="C12" s="352"/>
      <c r="D12" s="256"/>
      <c r="E12" s="256"/>
      <c r="F12" s="279"/>
    </row>
    <row r="13" customFormat="false" ht="31.5" hidden="false" customHeight="true" outlineLevel="0" collapsed="false">
      <c r="B13" s="168"/>
      <c r="C13" s="352"/>
      <c r="D13" s="256"/>
      <c r="E13" s="256"/>
      <c r="F13" s="279"/>
    </row>
    <row r="14" customFormat="false" ht="31.5" hidden="false" customHeight="true" outlineLevel="0" collapsed="false">
      <c r="B14" s="168"/>
      <c r="C14" s="352"/>
      <c r="D14" s="256"/>
      <c r="E14" s="256"/>
      <c r="F14" s="279"/>
    </row>
    <row r="15" customFormat="false" ht="31.5" hidden="false" customHeight="true" outlineLevel="0" collapsed="false">
      <c r="B15" s="168"/>
      <c r="C15" s="352"/>
      <c r="D15" s="256"/>
      <c r="E15" s="256"/>
      <c r="F15" s="279"/>
    </row>
    <row r="16" customFormat="false" ht="31.5" hidden="false" customHeight="true" outlineLevel="0" collapsed="false">
      <c r="B16" s="168"/>
      <c r="C16" s="352"/>
      <c r="D16" s="256"/>
      <c r="E16" s="256"/>
      <c r="F16" s="279"/>
    </row>
    <row r="17" customFormat="false" ht="31.5" hidden="false" customHeight="true" outlineLevel="0" collapsed="false">
      <c r="B17" s="300"/>
      <c r="C17" s="354"/>
      <c r="D17" s="282"/>
      <c r="E17" s="35"/>
      <c r="F17" s="301"/>
    </row>
    <row r="18" customFormat="false" ht="31.5" hidden="false" customHeight="true" outlineLevel="0" collapsed="false">
      <c r="B18" s="87" t="s">
        <v>77</v>
      </c>
      <c r="C18" s="355" t="s">
        <v>112</v>
      </c>
      <c r="D18" s="257" t="n">
        <f aca="false">SUM(D4:D17)</f>
        <v>-1022934</v>
      </c>
      <c r="E18" s="257" t="n">
        <f aca="false">SUM(E4:E17)</f>
        <v>0</v>
      </c>
      <c r="F18" s="28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O17" activeCellId="0" sqref="O17"/>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 hidden="false" customHeight="false" outlineLevel="0" collapsed="false">
      <c r="B2" s="356" t="s">
        <v>270</v>
      </c>
      <c r="C2" s="47"/>
      <c r="F2" s="47"/>
      <c r="I2" s="47"/>
      <c r="K2" s="48" t="s">
        <v>50</v>
      </c>
      <c r="L2" s="47"/>
      <c r="O2" s="47"/>
    </row>
    <row r="3" customFormat="false" ht="20.25" hidden="false" customHeight="true" outlineLevel="0" collapsed="false">
      <c r="B3" s="129" t="s">
        <v>6</v>
      </c>
      <c r="C3" s="227" t="str">
        <f aca="false">'BS(借方)'!C4</f>
        <v>24年5月期
（第35期）</v>
      </c>
      <c r="D3" s="227"/>
      <c r="E3" s="227"/>
      <c r="F3" s="227" t="str">
        <f aca="false">'BS(借方)'!D4</f>
        <v>25年5月期
（第36期）</v>
      </c>
      <c r="G3" s="227"/>
      <c r="H3" s="227"/>
      <c r="I3" s="227" t="str">
        <f aca="false">'BS(借方)'!E4</f>
        <v>26年5月期
（第37期）</v>
      </c>
      <c r="J3" s="227"/>
      <c r="K3" s="227"/>
      <c r="L3" s="227" t="str">
        <f aca="false">'BS(借方)'!F4</f>
        <v>－</v>
      </c>
      <c r="M3" s="227"/>
      <c r="N3" s="227"/>
      <c r="O3" s="228" t="str">
        <f aca="false">'BS(借方)'!G4</f>
        <v>26年7月
（進行期2か月TB）</v>
      </c>
      <c r="P3" s="228"/>
      <c r="Q3" s="228"/>
    </row>
    <row r="4" customFormat="false" ht="19.5" hidden="false" customHeight="true" outlineLevel="0" collapsed="false">
      <c r="B4" s="129"/>
      <c r="C4" s="130" t="s">
        <v>81</v>
      </c>
      <c r="D4" s="229" t="s">
        <v>157</v>
      </c>
      <c r="E4" s="230" t="s">
        <v>158</v>
      </c>
      <c r="F4" s="130" t="s">
        <v>81</v>
      </c>
      <c r="G4" s="229" t="s">
        <v>157</v>
      </c>
      <c r="H4" s="230" t="s">
        <v>158</v>
      </c>
      <c r="I4" s="130" t="s">
        <v>81</v>
      </c>
      <c r="J4" s="229" t="s">
        <v>157</v>
      </c>
      <c r="K4" s="230" t="s">
        <v>158</v>
      </c>
      <c r="L4" s="130" t="s">
        <v>81</v>
      </c>
      <c r="M4" s="229" t="s">
        <v>157</v>
      </c>
      <c r="N4" s="230" t="s">
        <v>158</v>
      </c>
      <c r="O4" s="133" t="s">
        <v>81</v>
      </c>
      <c r="P4" s="242" t="s">
        <v>157</v>
      </c>
      <c r="Q4" s="230" t="s">
        <v>158</v>
      </c>
    </row>
    <row r="5" customFormat="false" ht="22.5" hidden="false" customHeight="true" outlineLevel="0" collapsed="false">
      <c r="B5" s="143" t="s">
        <v>271</v>
      </c>
      <c r="C5" s="35"/>
      <c r="D5" s="17"/>
      <c r="E5" s="18" t="n">
        <f aca="false">C5+D5</f>
        <v>0</v>
      </c>
      <c r="F5" s="35"/>
      <c r="G5" s="17"/>
      <c r="H5" s="18" t="n">
        <f aca="false">F5+G5</f>
        <v>0</v>
      </c>
      <c r="I5" s="35"/>
      <c r="J5" s="17"/>
      <c r="K5" s="18" t="n">
        <f aca="false">I5+J5</f>
        <v>0</v>
      </c>
      <c r="L5" s="35"/>
      <c r="M5" s="17"/>
      <c r="N5" s="18" t="n">
        <f aca="false">L5+M5</f>
        <v>0</v>
      </c>
      <c r="O5" s="35"/>
      <c r="P5" s="17"/>
      <c r="Q5" s="18" t="n">
        <f aca="false">O5+P5</f>
        <v>0</v>
      </c>
    </row>
    <row r="6" customFormat="false" ht="22.5" hidden="false" customHeight="true" outlineLevel="0" collapsed="false">
      <c r="B6" s="105" t="s">
        <v>113</v>
      </c>
      <c r="C6" s="53"/>
      <c r="D6" s="17"/>
      <c r="E6" s="18" t="n">
        <f aca="false">C6+D6</f>
        <v>0</v>
      </c>
      <c r="F6" s="53"/>
      <c r="G6" s="17"/>
      <c r="H6" s="18" t="n">
        <f aca="false">F6+G6</f>
        <v>0</v>
      </c>
      <c r="I6" s="53"/>
      <c r="J6" s="17"/>
      <c r="K6" s="18" t="n">
        <f aca="false">I6+J6</f>
        <v>0</v>
      </c>
      <c r="L6" s="53"/>
      <c r="M6" s="17"/>
      <c r="N6" s="18" t="n">
        <f aca="false">L6+M6</f>
        <v>0</v>
      </c>
      <c r="O6" s="53"/>
      <c r="P6" s="17"/>
      <c r="Q6" s="18" t="n">
        <f aca="false">O6+P6</f>
        <v>0</v>
      </c>
    </row>
    <row r="7" customFormat="false" ht="22.5" hidden="false" customHeight="true" outlineLevel="0" collapsed="false">
      <c r="B7" s="105" t="s">
        <v>272</v>
      </c>
      <c r="C7" s="53"/>
      <c r="D7" s="17"/>
      <c r="E7" s="18" t="n">
        <f aca="false">C7+D7</f>
        <v>0</v>
      </c>
      <c r="F7" s="53"/>
      <c r="G7" s="17"/>
      <c r="H7" s="18" t="n">
        <f aca="false">F7+G7</f>
        <v>0</v>
      </c>
      <c r="I7" s="53"/>
      <c r="J7" s="17"/>
      <c r="K7" s="18" t="n">
        <f aca="false">I7+J7</f>
        <v>0</v>
      </c>
      <c r="L7" s="53"/>
      <c r="M7" s="17"/>
      <c r="N7" s="18" t="n">
        <f aca="false">L7+M7</f>
        <v>0</v>
      </c>
      <c r="O7" s="53"/>
      <c r="P7" s="17"/>
      <c r="Q7" s="18" t="n">
        <f aca="false">O7+P7</f>
        <v>0</v>
      </c>
    </row>
    <row r="8" customFormat="false" ht="22.5" hidden="false" customHeight="true" outlineLevel="0" collapsed="false">
      <c r="B8" s="105" t="s">
        <v>273</v>
      </c>
      <c r="C8" s="53"/>
      <c r="D8" s="17"/>
      <c r="E8" s="18" t="n">
        <f aca="false">C8+D8</f>
        <v>0</v>
      </c>
      <c r="F8" s="53"/>
      <c r="G8" s="17"/>
      <c r="H8" s="18" t="n">
        <f aca="false">F8+G8</f>
        <v>0</v>
      </c>
      <c r="I8" s="53"/>
      <c r="J8" s="17"/>
      <c r="K8" s="18" t="n">
        <f aca="false">I8+J8</f>
        <v>0</v>
      </c>
      <c r="L8" s="53"/>
      <c r="M8" s="17"/>
      <c r="N8" s="18" t="n">
        <f aca="false">L8+M8</f>
        <v>0</v>
      </c>
      <c r="O8" s="53"/>
      <c r="P8" s="17"/>
      <c r="Q8" s="18" t="n">
        <f aca="false">O8+P8</f>
        <v>0</v>
      </c>
    </row>
    <row r="9" customFormat="false" ht="22.5" hidden="false" customHeight="true" outlineLevel="0" collapsed="false">
      <c r="B9" s="105"/>
      <c r="C9" s="53"/>
      <c r="D9" s="17"/>
      <c r="E9" s="18" t="n">
        <f aca="false">C9+D9</f>
        <v>0</v>
      </c>
      <c r="F9" s="53"/>
      <c r="G9" s="17"/>
      <c r="H9" s="18" t="n">
        <f aca="false">F9+G9</f>
        <v>0</v>
      </c>
      <c r="I9" s="53"/>
      <c r="J9" s="17"/>
      <c r="K9" s="18" t="n">
        <f aca="false">I9+J9</f>
        <v>0</v>
      </c>
      <c r="L9" s="53"/>
      <c r="M9" s="17"/>
      <c r="N9" s="18" t="n">
        <f aca="false">L9+M9</f>
        <v>0</v>
      </c>
      <c r="O9" s="53"/>
      <c r="P9" s="17"/>
      <c r="Q9" s="18" t="n">
        <f aca="false">O9+P9</f>
        <v>0</v>
      </c>
    </row>
    <row r="10" customFormat="false" ht="22.5" hidden="false" customHeight="true" outlineLevel="0" collapsed="false">
      <c r="B10" s="232"/>
      <c r="C10" s="37"/>
      <c r="D10" s="56"/>
      <c r="E10" s="18" t="n">
        <f aca="false">C10+D10</f>
        <v>0</v>
      </c>
      <c r="F10" s="37"/>
      <c r="G10" s="56"/>
      <c r="H10" s="18" t="n">
        <f aca="false">F10+G10</f>
        <v>0</v>
      </c>
      <c r="I10" s="37"/>
      <c r="J10" s="56"/>
      <c r="K10" s="18" t="n">
        <f aca="false">I10+J10</f>
        <v>0</v>
      </c>
      <c r="L10" s="37"/>
      <c r="M10" s="56"/>
      <c r="N10" s="18" t="n">
        <f aca="false">L10+M10</f>
        <v>0</v>
      </c>
      <c r="O10" s="37"/>
      <c r="P10" s="56"/>
      <c r="Q10" s="18" t="n">
        <f aca="false">O10+P10</f>
        <v>0</v>
      </c>
    </row>
    <row r="11" customFormat="false" ht="22.5" hidden="false" customHeight="true" outlineLevel="0" collapsed="false">
      <c r="B11" s="141" t="s">
        <v>114</v>
      </c>
      <c r="C11" s="111" t="n">
        <f aca="false">SUM(C5:C10)</f>
        <v>0</v>
      </c>
      <c r="D11" s="111" t="n">
        <f aca="false">SUM(D5:D10)</f>
        <v>0</v>
      </c>
      <c r="E11" s="170" t="n">
        <f aca="false">C11+D11</f>
        <v>0</v>
      </c>
      <c r="F11" s="111" t="n">
        <f aca="false">SUM(F5:F10)</f>
        <v>0</v>
      </c>
      <c r="G11" s="111" t="n">
        <f aca="false">SUM(G5:G10)</f>
        <v>0</v>
      </c>
      <c r="H11" s="170" t="n">
        <f aca="false">F11+G11</f>
        <v>0</v>
      </c>
      <c r="I11" s="111" t="n">
        <f aca="false">SUM(I5:I10)</f>
        <v>0</v>
      </c>
      <c r="J11" s="111" t="n">
        <f aca="false">SUM(J5:J10)</f>
        <v>0</v>
      </c>
      <c r="K11" s="170" t="n">
        <f aca="false">I11+J11</f>
        <v>0</v>
      </c>
      <c r="L11" s="111" t="n">
        <f aca="false">SUM(L5:L10)</f>
        <v>0</v>
      </c>
      <c r="M11" s="111" t="n">
        <f aca="false">SUM(M5:M10)</f>
        <v>0</v>
      </c>
      <c r="N11" s="170" t="n">
        <f aca="false">L11+M11</f>
        <v>0</v>
      </c>
      <c r="O11" s="111" t="n">
        <f aca="false">SUM(O5:O10)</f>
        <v>0</v>
      </c>
      <c r="P11" s="111" t="n">
        <f aca="false">SUM(P5:P10)</f>
        <v>0</v>
      </c>
      <c r="Q11" s="170" t="n">
        <f aca="false">O11+P11</f>
        <v>0</v>
      </c>
    </row>
    <row r="12" customFormat="false" ht="22.5" hidden="false" customHeight="true" outlineLevel="0" collapsed="false">
      <c r="B12" s="143"/>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105"/>
      <c r="C13" s="53"/>
      <c r="D13" s="17"/>
      <c r="E13" s="18" t="n">
        <f aca="false">C13+D13</f>
        <v>0</v>
      </c>
      <c r="F13" s="53"/>
      <c r="G13" s="17"/>
      <c r="H13" s="18" t="n">
        <f aca="false">F13+G13</f>
        <v>0</v>
      </c>
      <c r="I13" s="53"/>
      <c r="J13" s="17"/>
      <c r="K13" s="18" t="n">
        <f aca="false">I13+J13</f>
        <v>0</v>
      </c>
      <c r="L13" s="53"/>
      <c r="M13" s="17"/>
      <c r="N13" s="18" t="n">
        <f aca="false">L13+M13</f>
        <v>0</v>
      </c>
      <c r="O13" s="53"/>
      <c r="P13" s="17"/>
      <c r="Q13" s="18" t="n">
        <f aca="false">O13+P13</f>
        <v>0</v>
      </c>
    </row>
    <row r="14" customFormat="false" ht="22.5" hidden="false" customHeight="true" outlineLevel="0" collapsed="false">
      <c r="B14" s="105"/>
      <c r="C14" s="53"/>
      <c r="D14" s="17"/>
      <c r="E14" s="18" t="n">
        <f aca="false">C14+D14</f>
        <v>0</v>
      </c>
      <c r="F14" s="53"/>
      <c r="G14" s="17"/>
      <c r="H14" s="18" t="n">
        <f aca="false">F14+G14</f>
        <v>0</v>
      </c>
      <c r="I14" s="53"/>
      <c r="J14" s="17"/>
      <c r="K14" s="18" t="n">
        <f aca="false">I14+J14</f>
        <v>0</v>
      </c>
      <c r="L14" s="53"/>
      <c r="M14" s="17"/>
      <c r="N14" s="18" t="n">
        <f aca="false">L14+M14</f>
        <v>0</v>
      </c>
      <c r="O14" s="53"/>
      <c r="P14" s="17"/>
      <c r="Q14" s="18" t="n">
        <f aca="false">O14+P14</f>
        <v>0</v>
      </c>
    </row>
    <row r="15" customFormat="false" ht="22.5" hidden="false" customHeight="true" outlineLevel="0" collapsed="false">
      <c r="B15" s="105"/>
      <c r="C15" s="53"/>
      <c r="D15" s="17"/>
      <c r="E15" s="18" t="n">
        <f aca="false">C15+D15</f>
        <v>0</v>
      </c>
      <c r="F15" s="53"/>
      <c r="G15" s="17"/>
      <c r="H15" s="18" t="n">
        <f aca="false">F15+G15</f>
        <v>0</v>
      </c>
      <c r="I15" s="53"/>
      <c r="J15" s="17"/>
      <c r="K15" s="18" t="n">
        <f aca="false">I15+J15</f>
        <v>0</v>
      </c>
      <c r="L15" s="53"/>
      <c r="M15" s="17"/>
      <c r="N15" s="18" t="n">
        <f aca="false">L15+M15</f>
        <v>0</v>
      </c>
      <c r="O15" s="53"/>
      <c r="P15" s="17"/>
      <c r="Q15" s="18" t="n">
        <f aca="false">O15+P15</f>
        <v>0</v>
      </c>
    </row>
    <row r="16" customFormat="false" ht="22.5" hidden="false" customHeight="true" outlineLevel="0" collapsed="false">
      <c r="B16" s="105"/>
      <c r="C16" s="53"/>
      <c r="D16" s="17"/>
      <c r="E16" s="18" t="n">
        <f aca="false">C16+D16</f>
        <v>0</v>
      </c>
      <c r="F16" s="53"/>
      <c r="G16" s="17"/>
      <c r="H16" s="18" t="n">
        <f aca="false">F16+G16</f>
        <v>0</v>
      </c>
      <c r="I16" s="53"/>
      <c r="J16" s="17"/>
      <c r="K16" s="18" t="n">
        <f aca="false">I16+J16</f>
        <v>0</v>
      </c>
      <c r="L16" s="53"/>
      <c r="M16" s="17"/>
      <c r="N16" s="18" t="n">
        <f aca="false">L16+M16</f>
        <v>0</v>
      </c>
      <c r="O16" s="53"/>
      <c r="P16" s="17"/>
      <c r="Q16" s="18" t="n">
        <f aca="false">O16+P16</f>
        <v>0</v>
      </c>
    </row>
    <row r="17" customFormat="false" ht="22.5" hidden="false" customHeight="true" outlineLevel="0" collapsed="false">
      <c r="B17" s="232"/>
      <c r="C17" s="37"/>
      <c r="D17" s="56"/>
      <c r="E17" s="18" t="n">
        <f aca="false">C17+D17</f>
        <v>0</v>
      </c>
      <c r="F17" s="37"/>
      <c r="G17" s="56"/>
      <c r="H17" s="18" t="n">
        <f aca="false">F17+G17</f>
        <v>0</v>
      </c>
      <c r="I17" s="37"/>
      <c r="J17" s="56"/>
      <c r="K17" s="18" t="n">
        <f aca="false">I17+J17</f>
        <v>0</v>
      </c>
      <c r="L17" s="37"/>
      <c r="M17" s="56"/>
      <c r="N17" s="18" t="n">
        <f aca="false">L17+M17</f>
        <v>0</v>
      </c>
      <c r="O17" s="37"/>
      <c r="P17" s="56"/>
      <c r="Q17" s="18" t="n">
        <f aca="false">O17+P17</f>
        <v>0</v>
      </c>
    </row>
    <row r="18" customFormat="false" ht="22.5" hidden="false" customHeight="true" outlineLevel="0" collapsed="false">
      <c r="B18" s="141" t="s">
        <v>119</v>
      </c>
      <c r="C18" s="111" t="n">
        <f aca="false">SUM(C12:C17)</f>
        <v>0</v>
      </c>
      <c r="D18" s="111" t="n">
        <f aca="false">SUM(D12:D17)</f>
        <v>0</v>
      </c>
      <c r="E18" s="170" t="n">
        <f aca="false">C18+D18</f>
        <v>0</v>
      </c>
      <c r="F18" s="111" t="n">
        <f aca="false">SUM(F12:F17)</f>
        <v>0</v>
      </c>
      <c r="G18" s="111" t="n">
        <f aca="false">SUM(G12:G17)</f>
        <v>0</v>
      </c>
      <c r="H18" s="170" t="n">
        <f aca="false">F18+G18</f>
        <v>0</v>
      </c>
      <c r="I18" s="111" t="n">
        <f aca="false">SUM(I12:I17)</f>
        <v>0</v>
      </c>
      <c r="J18" s="111" t="n">
        <f aca="false">SUM(J12:J17)</f>
        <v>0</v>
      </c>
      <c r="K18" s="170" t="n">
        <f aca="false">I18+J18</f>
        <v>0</v>
      </c>
      <c r="L18" s="111" t="n">
        <f aca="false">SUM(L12:L17)</f>
        <v>0</v>
      </c>
      <c r="M18" s="111" t="n">
        <f aca="false">SUM(M12:M17)</f>
        <v>0</v>
      </c>
      <c r="N18" s="170" t="n">
        <f aca="false">L18+M18</f>
        <v>0</v>
      </c>
      <c r="O18" s="111" t="n">
        <f aca="false">SUM(O12:O17)</f>
        <v>0</v>
      </c>
      <c r="P18" s="111" t="n">
        <f aca="false">SUM(P12:P17)</f>
        <v>0</v>
      </c>
      <c r="Q18" s="170" t="n">
        <f aca="false">O18+P18</f>
        <v>0</v>
      </c>
    </row>
    <row r="19" customFormat="false" ht="22.5" hidden="false" customHeight="true" outlineLevel="0" collapsed="false">
      <c r="B19" s="143"/>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105"/>
      <c r="C20" s="53"/>
      <c r="D20" s="17"/>
      <c r="E20" s="18" t="n">
        <f aca="false">C20+D20</f>
        <v>0</v>
      </c>
      <c r="F20" s="53"/>
      <c r="G20" s="17"/>
      <c r="H20" s="18" t="n">
        <f aca="false">F20+G20</f>
        <v>0</v>
      </c>
      <c r="I20" s="53"/>
      <c r="J20" s="17"/>
      <c r="K20" s="18" t="n">
        <f aca="false">I20+J20</f>
        <v>0</v>
      </c>
      <c r="L20" s="53"/>
      <c r="M20" s="17"/>
      <c r="N20" s="18" t="n">
        <f aca="false">L20+M20</f>
        <v>0</v>
      </c>
      <c r="O20" s="53"/>
      <c r="P20" s="17"/>
      <c r="Q20" s="18" t="n">
        <f aca="false">O20+P20</f>
        <v>0</v>
      </c>
    </row>
    <row r="21" customFormat="false" ht="22.5" hidden="false" customHeight="true" outlineLevel="0" collapsed="false">
      <c r="B21" s="105"/>
      <c r="C21" s="53"/>
      <c r="D21" s="17"/>
      <c r="E21" s="18" t="n">
        <f aca="false">C21+D21</f>
        <v>0</v>
      </c>
      <c r="F21" s="53"/>
      <c r="G21" s="17"/>
      <c r="H21" s="18" t="n">
        <f aca="false">F21+G21</f>
        <v>0</v>
      </c>
      <c r="I21" s="53"/>
      <c r="J21" s="17"/>
      <c r="K21" s="18" t="n">
        <f aca="false">I21+J21</f>
        <v>0</v>
      </c>
      <c r="L21" s="53"/>
      <c r="M21" s="17"/>
      <c r="N21" s="18" t="n">
        <f aca="false">L21+M21</f>
        <v>0</v>
      </c>
      <c r="O21" s="53"/>
      <c r="P21" s="17"/>
      <c r="Q21" s="18" t="n">
        <f aca="false">O21+P21</f>
        <v>0</v>
      </c>
    </row>
    <row r="22" customFormat="false" ht="22.5" hidden="false" customHeight="true" outlineLevel="0" collapsed="false">
      <c r="B22" s="105"/>
      <c r="C22" s="53"/>
      <c r="D22" s="17"/>
      <c r="E22" s="18" t="n">
        <f aca="false">C22+D22</f>
        <v>0</v>
      </c>
      <c r="F22" s="53"/>
      <c r="G22" s="17"/>
      <c r="H22" s="18" t="n">
        <f aca="false">F22+G22</f>
        <v>0</v>
      </c>
      <c r="I22" s="53"/>
      <c r="J22" s="17"/>
      <c r="K22" s="18" t="n">
        <f aca="false">I22+J22</f>
        <v>0</v>
      </c>
      <c r="L22" s="53"/>
      <c r="M22" s="17"/>
      <c r="N22" s="18" t="n">
        <f aca="false">L22+M22</f>
        <v>0</v>
      </c>
      <c r="O22" s="53"/>
      <c r="P22" s="17"/>
      <c r="Q22" s="18" t="n">
        <f aca="false">O22+P22</f>
        <v>0</v>
      </c>
    </row>
    <row r="23" customFormat="false" ht="22.5" hidden="false" customHeight="true" outlineLevel="0" collapsed="false">
      <c r="B23" s="105"/>
      <c r="C23" s="53"/>
      <c r="D23" s="17"/>
      <c r="E23" s="18" t="n">
        <f aca="false">C23+D23</f>
        <v>0</v>
      </c>
      <c r="F23" s="53"/>
      <c r="G23" s="17"/>
      <c r="H23" s="18" t="n">
        <f aca="false">F23+G23</f>
        <v>0</v>
      </c>
      <c r="I23" s="53"/>
      <c r="J23" s="17"/>
      <c r="K23" s="18" t="n">
        <f aca="false">I23+J23</f>
        <v>0</v>
      </c>
      <c r="L23" s="53"/>
      <c r="M23" s="17"/>
      <c r="N23" s="18" t="n">
        <f aca="false">L23+M23</f>
        <v>0</v>
      </c>
      <c r="O23" s="53"/>
      <c r="P23" s="17"/>
      <c r="Q23" s="18" t="n">
        <f aca="false">O23+P23</f>
        <v>0</v>
      </c>
    </row>
    <row r="24" customFormat="false" ht="22.5" hidden="false" customHeight="true" outlineLevel="0" collapsed="false">
      <c r="B24" s="232"/>
      <c r="C24" s="37"/>
      <c r="D24" s="56"/>
      <c r="E24" s="18" t="n">
        <f aca="false">C24+D24</f>
        <v>0</v>
      </c>
      <c r="F24" s="37"/>
      <c r="G24" s="56"/>
      <c r="H24" s="18" t="n">
        <f aca="false">F24+G24</f>
        <v>0</v>
      </c>
      <c r="I24" s="37"/>
      <c r="J24" s="56"/>
      <c r="K24" s="18" t="n">
        <f aca="false">I24+J24</f>
        <v>0</v>
      </c>
      <c r="L24" s="37"/>
      <c r="M24" s="56"/>
      <c r="N24" s="18" t="n">
        <f aca="false">L24+M24</f>
        <v>0</v>
      </c>
      <c r="O24" s="37"/>
      <c r="P24" s="56"/>
      <c r="Q24" s="18" t="n">
        <f aca="false">O24+P24</f>
        <v>0</v>
      </c>
    </row>
    <row r="25" customFormat="false" ht="22.5" hidden="false" customHeight="true" outlineLevel="0" collapsed="false">
      <c r="B25" s="141" t="s">
        <v>274</v>
      </c>
      <c r="C25" s="111" t="n">
        <f aca="false">SUM(C19:C24)</f>
        <v>0</v>
      </c>
      <c r="D25" s="111" t="n">
        <f aca="false">SUM(D19:D24)</f>
        <v>0</v>
      </c>
      <c r="E25" s="170" t="n">
        <f aca="false">C25+D25</f>
        <v>0</v>
      </c>
      <c r="F25" s="111" t="n">
        <f aca="false">SUM(F19:F24)</f>
        <v>0</v>
      </c>
      <c r="G25" s="111" t="n">
        <f aca="false">SUM(G19:G24)</f>
        <v>0</v>
      </c>
      <c r="H25" s="170" t="n">
        <f aca="false">F25+G25</f>
        <v>0</v>
      </c>
      <c r="I25" s="111" t="n">
        <f aca="false">SUM(I19:I24)</f>
        <v>0</v>
      </c>
      <c r="J25" s="111" t="n">
        <f aca="false">SUM(J19:J24)</f>
        <v>0</v>
      </c>
      <c r="K25" s="170" t="n">
        <f aca="false">I25+J25</f>
        <v>0</v>
      </c>
      <c r="L25" s="111" t="n">
        <f aca="false">SUM(L19:L24)</f>
        <v>0</v>
      </c>
      <c r="M25" s="111" t="n">
        <f aca="false">SUM(M19:M24)</f>
        <v>0</v>
      </c>
      <c r="N25" s="170" t="n">
        <f aca="false">L25+M25</f>
        <v>0</v>
      </c>
      <c r="O25" s="111" t="n">
        <f aca="false">SUM(O19:O24)</f>
        <v>0</v>
      </c>
      <c r="P25" s="111" t="n">
        <f aca="false">SUM(P19:P24)</f>
        <v>0</v>
      </c>
      <c r="Q25" s="170" t="n">
        <f aca="false">O25+P25</f>
        <v>0</v>
      </c>
    </row>
    <row r="26" customFormat="false" ht="22.5" hidden="false" customHeight="true" outlineLevel="0" collapsed="false">
      <c r="B26" s="143"/>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105"/>
      <c r="C27" s="53"/>
      <c r="D27" s="17"/>
      <c r="E27" s="18" t="n">
        <f aca="false">C27+D27</f>
        <v>0</v>
      </c>
      <c r="F27" s="53"/>
      <c r="G27" s="17"/>
      <c r="H27" s="18" t="n">
        <f aca="false">F27+G27</f>
        <v>0</v>
      </c>
      <c r="I27" s="53"/>
      <c r="J27" s="17"/>
      <c r="K27" s="18" t="n">
        <f aca="false">I27+J27</f>
        <v>0</v>
      </c>
      <c r="L27" s="53"/>
      <c r="M27" s="17"/>
      <c r="N27" s="18" t="n">
        <f aca="false">L27+M27</f>
        <v>0</v>
      </c>
      <c r="O27" s="53"/>
      <c r="P27" s="17"/>
      <c r="Q27" s="18" t="n">
        <f aca="false">O27+P27</f>
        <v>0</v>
      </c>
    </row>
    <row r="28" customFormat="false" ht="22.5" hidden="false" customHeight="true" outlineLevel="0" collapsed="false">
      <c r="B28" s="105"/>
      <c r="C28" s="53"/>
      <c r="D28" s="17"/>
      <c r="E28" s="18" t="n">
        <f aca="false">C28+D28</f>
        <v>0</v>
      </c>
      <c r="F28" s="53"/>
      <c r="G28" s="17"/>
      <c r="H28" s="18" t="n">
        <f aca="false">F28+G28</f>
        <v>0</v>
      </c>
      <c r="I28" s="53"/>
      <c r="J28" s="17"/>
      <c r="K28" s="18" t="n">
        <f aca="false">I28+J28</f>
        <v>0</v>
      </c>
      <c r="L28" s="53"/>
      <c r="M28" s="17"/>
      <c r="N28" s="18" t="n">
        <f aca="false">L28+M28</f>
        <v>0</v>
      </c>
      <c r="O28" s="53"/>
      <c r="P28" s="17"/>
      <c r="Q28" s="18" t="n">
        <f aca="false">O28+P28</f>
        <v>0</v>
      </c>
    </row>
    <row r="29" customFormat="false" ht="22.5" hidden="false" customHeight="true" outlineLevel="0" collapsed="false">
      <c r="B29" s="105"/>
      <c r="C29" s="53"/>
      <c r="D29" s="17"/>
      <c r="E29" s="18" t="n">
        <f aca="false">C29+D29</f>
        <v>0</v>
      </c>
      <c r="F29" s="53"/>
      <c r="G29" s="17"/>
      <c r="H29" s="18" t="n">
        <f aca="false">F29+G29</f>
        <v>0</v>
      </c>
      <c r="I29" s="53"/>
      <c r="J29" s="17"/>
      <c r="K29" s="18" t="n">
        <f aca="false">I29+J29</f>
        <v>0</v>
      </c>
      <c r="L29" s="53"/>
      <c r="M29" s="17"/>
      <c r="N29" s="18" t="n">
        <f aca="false">L29+M29</f>
        <v>0</v>
      </c>
      <c r="O29" s="53"/>
      <c r="P29" s="17"/>
      <c r="Q29" s="18" t="n">
        <f aca="false">O29+P29</f>
        <v>0</v>
      </c>
    </row>
    <row r="30" customFormat="false" ht="22.5" hidden="false" customHeight="true" outlineLevel="0" collapsed="false">
      <c r="B30" s="105"/>
      <c r="C30" s="53"/>
      <c r="D30" s="17"/>
      <c r="E30" s="18" t="n">
        <f aca="false">C30+D30</f>
        <v>0</v>
      </c>
      <c r="F30" s="53"/>
      <c r="G30" s="17"/>
      <c r="H30" s="18" t="n">
        <f aca="false">F30+G30</f>
        <v>0</v>
      </c>
      <c r="I30" s="53"/>
      <c r="J30" s="17"/>
      <c r="K30" s="18" t="n">
        <f aca="false">I30+J30</f>
        <v>0</v>
      </c>
      <c r="L30" s="53"/>
      <c r="M30" s="17"/>
      <c r="N30" s="18" t="n">
        <f aca="false">L30+M30</f>
        <v>0</v>
      </c>
      <c r="O30" s="53"/>
      <c r="P30" s="17"/>
      <c r="Q30" s="18" t="n">
        <f aca="false">O30+P30</f>
        <v>0</v>
      </c>
    </row>
    <row r="31" customFormat="false" ht="22.5" hidden="false" customHeight="true" outlineLevel="0" collapsed="false">
      <c r="B31" s="105"/>
      <c r="C31" s="53"/>
      <c r="D31" s="17"/>
      <c r="E31" s="18" t="n">
        <f aca="false">C31+D31</f>
        <v>0</v>
      </c>
      <c r="F31" s="53"/>
      <c r="G31" s="17"/>
      <c r="H31" s="18" t="n">
        <f aca="false">F31+G31</f>
        <v>0</v>
      </c>
      <c r="I31" s="53"/>
      <c r="J31" s="17"/>
      <c r="K31" s="18" t="n">
        <f aca="false">I31+J31</f>
        <v>0</v>
      </c>
      <c r="L31" s="53"/>
      <c r="M31" s="17"/>
      <c r="N31" s="18" t="n">
        <f aca="false">L31+M31</f>
        <v>0</v>
      </c>
      <c r="O31" s="53"/>
      <c r="P31" s="17"/>
      <c r="Q31" s="18" t="n">
        <f aca="false">O31+P31</f>
        <v>0</v>
      </c>
    </row>
    <row r="32" customFormat="false" ht="22.5" hidden="false" customHeight="true" outlineLevel="0" collapsed="false">
      <c r="B32" s="105"/>
      <c r="C32" s="53"/>
      <c r="D32" s="17"/>
      <c r="E32" s="18" t="n">
        <f aca="false">C32+D32</f>
        <v>0</v>
      </c>
      <c r="F32" s="53"/>
      <c r="G32" s="17"/>
      <c r="H32" s="18" t="n">
        <f aca="false">F32+G32</f>
        <v>0</v>
      </c>
      <c r="I32" s="53"/>
      <c r="J32" s="17"/>
      <c r="K32" s="18" t="n">
        <f aca="false">I32+J32</f>
        <v>0</v>
      </c>
      <c r="L32" s="53"/>
      <c r="M32" s="17"/>
      <c r="N32" s="18" t="n">
        <f aca="false">L32+M32</f>
        <v>0</v>
      </c>
      <c r="O32" s="53"/>
      <c r="P32" s="17"/>
      <c r="Q32" s="18" t="n">
        <f aca="false">O32+P32</f>
        <v>0</v>
      </c>
    </row>
    <row r="33" customFormat="false" ht="22.5" hidden="false" customHeight="true" outlineLevel="0" collapsed="false">
      <c r="B33" s="105"/>
      <c r="C33" s="53"/>
      <c r="D33" s="17"/>
      <c r="E33" s="18" t="n">
        <f aca="false">C33+D33</f>
        <v>0</v>
      </c>
      <c r="F33" s="53"/>
      <c r="G33" s="17"/>
      <c r="H33" s="18" t="n">
        <f aca="false">F33+G33</f>
        <v>0</v>
      </c>
      <c r="I33" s="53"/>
      <c r="J33" s="17"/>
      <c r="K33" s="18" t="n">
        <f aca="false">I33+J33</f>
        <v>0</v>
      </c>
      <c r="L33" s="53"/>
      <c r="M33" s="17"/>
      <c r="N33" s="18" t="n">
        <f aca="false">L33+M33</f>
        <v>0</v>
      </c>
      <c r="O33" s="53"/>
      <c r="P33" s="17"/>
      <c r="Q33" s="18" t="n">
        <f aca="false">O33+P33</f>
        <v>0</v>
      </c>
    </row>
    <row r="34" customFormat="false" ht="22.5" hidden="false" customHeight="true" outlineLevel="0" collapsed="false">
      <c r="B34" s="105"/>
      <c r="C34" s="53"/>
      <c r="D34" s="17"/>
      <c r="E34" s="18" t="n">
        <f aca="false">C34+D34</f>
        <v>0</v>
      </c>
      <c r="F34" s="53"/>
      <c r="G34" s="17"/>
      <c r="H34" s="18" t="n">
        <f aca="false">F34+G34</f>
        <v>0</v>
      </c>
      <c r="I34" s="53"/>
      <c r="J34" s="17"/>
      <c r="K34" s="18" t="n">
        <f aca="false">I34+J34</f>
        <v>0</v>
      </c>
      <c r="L34" s="53"/>
      <c r="M34" s="17"/>
      <c r="N34" s="18" t="n">
        <f aca="false">L34+M34</f>
        <v>0</v>
      </c>
      <c r="O34" s="53"/>
      <c r="P34" s="17"/>
      <c r="Q34" s="18" t="n">
        <f aca="false">O34+P34</f>
        <v>0</v>
      </c>
    </row>
    <row r="35" customFormat="false" ht="22.5" hidden="false" customHeight="true" outlineLevel="0" collapsed="false">
      <c r="B35" s="232"/>
      <c r="C35" s="37"/>
      <c r="D35" s="56"/>
      <c r="E35" s="18" t="n">
        <f aca="false">C35+D35</f>
        <v>0</v>
      </c>
      <c r="F35" s="37"/>
      <c r="G35" s="56"/>
      <c r="H35" s="18" t="n">
        <f aca="false">F35+G35</f>
        <v>0</v>
      </c>
      <c r="I35" s="37"/>
      <c r="J35" s="56"/>
      <c r="K35" s="18" t="n">
        <f aca="false">I35+J35</f>
        <v>0</v>
      </c>
      <c r="L35" s="37"/>
      <c r="M35" s="56"/>
      <c r="N35" s="18" t="n">
        <f aca="false">L35+M35</f>
        <v>0</v>
      </c>
      <c r="O35" s="37"/>
      <c r="P35" s="56"/>
      <c r="Q35" s="18" t="n">
        <f aca="false">O35+P35</f>
        <v>0</v>
      </c>
    </row>
    <row r="36" customFormat="false" ht="22.5" hidden="false" customHeight="true" outlineLevel="0" collapsed="false">
      <c r="B36" s="141" t="s">
        <v>130</v>
      </c>
      <c r="C36" s="111" t="n">
        <f aca="false">SUM(C26:C35)</f>
        <v>0</v>
      </c>
      <c r="D36" s="111" t="n">
        <f aca="false">SUM(D26:D35)</f>
        <v>0</v>
      </c>
      <c r="E36" s="357" t="n">
        <f aca="false">C36+D36</f>
        <v>0</v>
      </c>
      <c r="F36" s="111" t="n">
        <f aca="false">SUM(F26:F35)</f>
        <v>0</v>
      </c>
      <c r="G36" s="111" t="n">
        <f aca="false">SUM(G26:G35)</f>
        <v>0</v>
      </c>
      <c r="H36" s="357" t="n">
        <f aca="false">F36+G36</f>
        <v>0</v>
      </c>
      <c r="I36" s="111" t="n">
        <f aca="false">SUM(I26:I35)</f>
        <v>0</v>
      </c>
      <c r="J36" s="111" t="n">
        <f aca="false">SUM(J26:J35)</f>
        <v>0</v>
      </c>
      <c r="K36" s="357" t="n">
        <f aca="false">I36+J36</f>
        <v>0</v>
      </c>
      <c r="L36" s="111" t="n">
        <f aca="false">SUM(L26:L35)</f>
        <v>0</v>
      </c>
      <c r="M36" s="111" t="n">
        <f aca="false">SUM(M26:M35)</f>
        <v>0</v>
      </c>
      <c r="N36" s="357" t="n">
        <f aca="false">L36+M36</f>
        <v>0</v>
      </c>
      <c r="O36" s="111" t="n">
        <f aca="false">SUM(O26:O35)</f>
        <v>0</v>
      </c>
      <c r="P36" s="111" t="n">
        <f aca="false">SUM(P26:P35)</f>
        <v>0</v>
      </c>
      <c r="Q36" s="357" t="n">
        <f aca="false">O36+P36</f>
        <v>0</v>
      </c>
    </row>
    <row r="37" customFormat="false" ht="22.5" hidden="false" customHeight="true" outlineLevel="0" collapsed="false">
      <c r="B37" s="144" t="s">
        <v>131</v>
      </c>
      <c r="C37" s="111" t="n">
        <f aca="false">C11+C18+C25+C36</f>
        <v>0</v>
      </c>
      <c r="D37" s="111" t="n">
        <f aca="false">D11+D18+D25+D36</f>
        <v>0</v>
      </c>
      <c r="E37" s="170" t="n">
        <f aca="false">C37+D37</f>
        <v>0</v>
      </c>
      <c r="F37" s="111" t="n">
        <f aca="false">F11+F18+F25+F36</f>
        <v>0</v>
      </c>
      <c r="G37" s="111" t="n">
        <f aca="false">G11+G18+G25+G36</f>
        <v>0</v>
      </c>
      <c r="H37" s="170" t="n">
        <f aca="false">F37+G37</f>
        <v>0</v>
      </c>
      <c r="I37" s="111" t="n">
        <f aca="false">I11+I18+I25+I36</f>
        <v>0</v>
      </c>
      <c r="J37" s="111" t="n">
        <f aca="false">J11+J18+J25+J36</f>
        <v>0</v>
      </c>
      <c r="K37" s="170" t="n">
        <f aca="false">I37+J37</f>
        <v>0</v>
      </c>
      <c r="L37" s="111" t="n">
        <f aca="false">L11+L18+L25+L36</f>
        <v>0</v>
      </c>
      <c r="M37" s="111" t="n">
        <f aca="false">M11+M18+M25+M36</f>
        <v>0</v>
      </c>
      <c r="N37" s="170" t="n">
        <f aca="false">L37+M37</f>
        <v>0</v>
      </c>
      <c r="O37" s="111" t="n">
        <f aca="false">O11+O18+O25+O36</f>
        <v>0</v>
      </c>
      <c r="P37" s="111" t="n">
        <f aca="false">P11+P18+P25+P36</f>
        <v>0</v>
      </c>
      <c r="Q37" s="170" t="n">
        <f aca="false">O37+P37</f>
        <v>0</v>
      </c>
    </row>
    <row r="38" customFormat="false" ht="22.5" hidden="false" customHeight="true" outlineLevel="0" collapsed="false">
      <c r="B38" s="145" t="s">
        <v>132</v>
      </c>
      <c r="C38" s="37"/>
      <c r="D38" s="56"/>
      <c r="E38" s="18" t="n">
        <f aca="false">C38+D38</f>
        <v>0</v>
      </c>
      <c r="F38" s="37"/>
      <c r="G38" s="56"/>
      <c r="H38" s="18" t="n">
        <f aca="false">F38+G38</f>
        <v>0</v>
      </c>
      <c r="I38" s="37"/>
      <c r="J38" s="56"/>
      <c r="K38" s="18" t="n">
        <f aca="false">I38+J38</f>
        <v>0</v>
      </c>
      <c r="L38" s="37"/>
      <c r="M38" s="56"/>
      <c r="N38" s="18" t="n">
        <f aca="false">L38+M38</f>
        <v>0</v>
      </c>
      <c r="O38" s="37"/>
      <c r="P38" s="56"/>
      <c r="Q38" s="18" t="n">
        <f aca="false">O38+P38</f>
        <v>0</v>
      </c>
    </row>
    <row r="39" customFormat="false" ht="22.5" hidden="false" customHeight="true" outlineLevel="0" collapsed="false">
      <c r="B39" s="110" t="s">
        <v>77</v>
      </c>
      <c r="C39" s="111" t="n">
        <f aca="false">SUM(C37:C38)</f>
        <v>0</v>
      </c>
      <c r="D39" s="111" t="n">
        <f aca="false">SUM(D37:D38)</f>
        <v>0</v>
      </c>
      <c r="E39" s="170" t="n">
        <f aca="false">C39+D39</f>
        <v>0</v>
      </c>
      <c r="F39" s="111" t="n">
        <f aca="false">SUM(F37:F38)</f>
        <v>0</v>
      </c>
      <c r="G39" s="111" t="n">
        <f aca="false">SUM(G37:G38)</f>
        <v>0</v>
      </c>
      <c r="H39" s="170" t="n">
        <f aca="false">F39+G39</f>
        <v>0</v>
      </c>
      <c r="I39" s="111" t="n">
        <f aca="false">SUM(I37:I38)</f>
        <v>0</v>
      </c>
      <c r="J39" s="111" t="n">
        <f aca="false">SUM(J37:J38)</f>
        <v>0</v>
      </c>
      <c r="K39" s="170" t="n">
        <f aca="false">I39+J39</f>
        <v>0</v>
      </c>
      <c r="L39" s="111" t="n">
        <f aca="false">SUM(L37:L38)</f>
        <v>0</v>
      </c>
      <c r="M39" s="111" t="n">
        <f aca="false">SUM(M37:M38)</f>
        <v>0</v>
      </c>
      <c r="N39" s="170" t="n">
        <f aca="false">L39+M39</f>
        <v>0</v>
      </c>
      <c r="O39" s="111" t="n">
        <f aca="false">SUM(O37:O38)</f>
        <v>0</v>
      </c>
      <c r="P39" s="111" t="n">
        <f aca="false">SUM(P37:P38)</f>
        <v>0</v>
      </c>
      <c r="Q39" s="170" t="n">
        <f aca="false">O39+P39</f>
        <v>0</v>
      </c>
    </row>
    <row r="40" customFormat="false" ht="22.5" hidden="false" customHeight="true" outlineLevel="0" collapsed="false">
      <c r="B40" s="146" t="s">
        <v>133</v>
      </c>
      <c r="C40" s="149"/>
      <c r="D40" s="358"/>
      <c r="E40" s="359" t="n">
        <f aca="false">C40+D40</f>
        <v>0</v>
      </c>
      <c r="F40" s="149"/>
      <c r="G40" s="358"/>
      <c r="H40" s="359" t="n">
        <f aca="false">F40+G40</f>
        <v>0</v>
      </c>
      <c r="I40" s="149"/>
      <c r="J40" s="358"/>
      <c r="K40" s="359" t="n">
        <f aca="false">I40+J40</f>
        <v>0</v>
      </c>
      <c r="L40" s="149"/>
      <c r="M40" s="358"/>
      <c r="N40" s="359" t="n">
        <f aca="false">L40+M40</f>
        <v>0</v>
      </c>
      <c r="O40" s="149"/>
      <c r="P40" s="358"/>
      <c r="Q40" s="359" t="n">
        <f aca="false">O40+P40</f>
        <v>0</v>
      </c>
    </row>
    <row r="41" customFormat="false" ht="22.5" hidden="false" customHeight="true" outlineLevel="0" collapsed="false">
      <c r="B41" s="110" t="s">
        <v>134</v>
      </c>
      <c r="C41" s="111" t="n">
        <f aca="false">C39-C40</f>
        <v>0</v>
      </c>
      <c r="D41" s="111" t="n">
        <f aca="false">D39-D40</f>
        <v>0</v>
      </c>
      <c r="E41" s="249" t="n">
        <f aca="false">C41+D41</f>
        <v>0</v>
      </c>
      <c r="F41" s="111" t="n">
        <f aca="false">F39-F40</f>
        <v>0</v>
      </c>
      <c r="G41" s="111" t="n">
        <f aca="false">G39-G40</f>
        <v>0</v>
      </c>
      <c r="H41" s="249" t="n">
        <f aca="false">F41+G41</f>
        <v>0</v>
      </c>
      <c r="I41" s="111" t="n">
        <f aca="false">I39-I40</f>
        <v>0</v>
      </c>
      <c r="J41" s="111" t="n">
        <f aca="false">J39-J40</f>
        <v>0</v>
      </c>
      <c r="K41" s="249" t="n">
        <f aca="false">I41+J41</f>
        <v>0</v>
      </c>
      <c r="L41" s="111" t="n">
        <f aca="false">L39-L40</f>
        <v>0</v>
      </c>
      <c r="M41" s="111" t="n">
        <f aca="false">M39-M40</f>
        <v>0</v>
      </c>
      <c r="N41" s="249" t="n">
        <f aca="false">L41+M41</f>
        <v>0</v>
      </c>
      <c r="O41" s="111" t="n">
        <f aca="false">O39-O40</f>
        <v>0</v>
      </c>
      <c r="P41" s="111" t="n">
        <f aca="false">P39-P40</f>
        <v>0</v>
      </c>
      <c r="Q41" s="249" t="n">
        <f aca="false">O41+P41</f>
        <v>0</v>
      </c>
    </row>
    <row r="42" customFormat="false" ht="18" hidden="false" customHeight="false" outlineLevel="0" collapsed="false">
      <c r="C42" s="43"/>
      <c r="D42" s="43"/>
      <c r="E42" s="43"/>
      <c r="F42" s="43"/>
      <c r="G42" s="43"/>
      <c r="H42" s="43"/>
      <c r="I42" s="43"/>
      <c r="J42" s="43"/>
      <c r="K42" s="43"/>
      <c r="L42" s="43"/>
      <c r="M42" s="43"/>
      <c r="N42" s="43"/>
      <c r="O42" s="43"/>
      <c r="P42" s="43"/>
      <c r="Q42" s="43"/>
    </row>
    <row r="43" customFormat="false" ht="18" hidden="false" customHeight="false" outlineLevel="0" collapsed="false">
      <c r="C43" s="43"/>
      <c r="D43" s="43"/>
      <c r="E43" s="43"/>
      <c r="F43" s="43"/>
      <c r="G43" s="43"/>
      <c r="H43" s="43"/>
      <c r="I43" s="43"/>
      <c r="J43" s="43"/>
      <c r="K43" s="43"/>
      <c r="L43" s="43"/>
      <c r="M43" s="43"/>
      <c r="N43" s="43"/>
      <c r="O43" s="43"/>
      <c r="P43" s="43"/>
      <c r="Q43" s="43"/>
    </row>
    <row r="44" customFormat="false" ht="18" hidden="false" customHeight="fals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125" defaultRowHeight="18" zeroHeight="false" outlineLevelRow="0" outlineLevelCol="0"/>
  <cols>
    <col collapsed="false" customWidth="true" hidden="false" outlineLevel="0" max="2" min="2" style="20" width="36.58"/>
    <col collapsed="false" customWidth="true" hidden="false" outlineLevel="0" max="3" min="3" style="20" width="18.58"/>
    <col collapsed="false" customWidth="true" hidden="false" outlineLevel="0" max="4" min="4" style="20" width="55.08"/>
    <col collapsed="false" customWidth="true" hidden="false" outlineLevel="0" max="5" min="5" style="20" width="18.58"/>
  </cols>
  <sheetData>
    <row r="2" customFormat="false" ht="18" hidden="false" customHeight="false" outlineLevel="0" collapsed="false">
      <c r="E2" s="48" t="s">
        <v>50</v>
      </c>
    </row>
    <row r="3" customFormat="false" ht="21.75" hidden="false" customHeight="true" outlineLevel="0" collapsed="false">
      <c r="B3" s="62" t="s">
        <v>275</v>
      </c>
      <c r="C3" s="308" t="s">
        <v>276</v>
      </c>
      <c r="D3" s="308" t="s">
        <v>277</v>
      </c>
      <c r="E3" s="360" t="s">
        <v>278</v>
      </c>
    </row>
    <row r="4" customFormat="false" ht="31.5" hidden="false" customHeight="true" outlineLevel="0" collapsed="false">
      <c r="B4" s="252" t="s">
        <v>279</v>
      </c>
      <c r="C4" s="361" t="s">
        <v>280</v>
      </c>
      <c r="D4" s="361" t="s">
        <v>281</v>
      </c>
      <c r="E4" s="362" t="s">
        <v>282</v>
      </c>
    </row>
    <row r="5" customFormat="false" ht="31.5" hidden="false" customHeight="true" outlineLevel="0" collapsed="false">
      <c r="B5" s="168" t="s">
        <v>283</v>
      </c>
      <c r="C5" s="363" t="s">
        <v>284</v>
      </c>
      <c r="D5" s="363" t="s">
        <v>285</v>
      </c>
      <c r="E5" s="364" t="s">
        <v>282</v>
      </c>
    </row>
    <row r="6" customFormat="false" ht="31.5" hidden="false" customHeight="true" outlineLevel="0" collapsed="false">
      <c r="B6" s="168" t="s">
        <v>286</v>
      </c>
      <c r="C6" s="363" t="s">
        <v>287</v>
      </c>
      <c r="D6" s="363" t="s">
        <v>288</v>
      </c>
      <c r="E6" s="364" t="s">
        <v>282</v>
      </c>
    </row>
    <row r="7" customFormat="false" ht="31.5" hidden="false" customHeight="true" outlineLevel="0" collapsed="false">
      <c r="B7" s="168" t="s">
        <v>289</v>
      </c>
      <c r="C7" s="363" t="s">
        <v>284</v>
      </c>
      <c r="D7" s="363" t="s">
        <v>290</v>
      </c>
      <c r="E7" s="364" t="s">
        <v>282</v>
      </c>
    </row>
    <row r="8" customFormat="false" ht="31.5" hidden="false" customHeight="true" outlineLevel="0" collapsed="false">
      <c r="B8" s="168" t="s">
        <v>291</v>
      </c>
      <c r="C8" s="363" t="s">
        <v>284</v>
      </c>
      <c r="D8" s="363" t="s">
        <v>288</v>
      </c>
      <c r="E8" s="364" t="s">
        <v>282</v>
      </c>
    </row>
    <row r="9" customFormat="false" ht="31.5" hidden="false" customHeight="true" outlineLevel="0" collapsed="false">
      <c r="B9" s="168" t="s">
        <v>292</v>
      </c>
      <c r="C9" s="363" t="s">
        <v>280</v>
      </c>
      <c r="D9" s="363" t="s">
        <v>293</v>
      </c>
      <c r="E9" s="364" t="s">
        <v>282</v>
      </c>
    </row>
    <row r="10" customFormat="false" ht="31.5" hidden="false" customHeight="true" outlineLevel="0" collapsed="false">
      <c r="B10" s="168"/>
      <c r="C10" s="363"/>
      <c r="D10" s="363"/>
      <c r="E10" s="364"/>
    </row>
    <row r="11" customFormat="false" ht="31.5" hidden="false" customHeight="true" outlineLevel="0" collapsed="false">
      <c r="B11" s="168"/>
      <c r="C11" s="363"/>
      <c r="D11" s="363"/>
      <c r="E11" s="364"/>
    </row>
    <row r="12" customFormat="false" ht="31.5" hidden="false" customHeight="true" outlineLevel="0" collapsed="false">
      <c r="B12" s="168"/>
      <c r="C12" s="363"/>
      <c r="D12" s="363"/>
      <c r="E12" s="364"/>
    </row>
    <row r="13" customFormat="false" ht="31.5" hidden="false" customHeight="true" outlineLevel="0" collapsed="false">
      <c r="B13" s="178"/>
      <c r="C13" s="365"/>
      <c r="D13" s="365"/>
      <c r="E13" s="366"/>
    </row>
    <row r="14" customFormat="false" ht="31.5" hidden="false" customHeight="true" outlineLevel="0" collapsed="false">
      <c r="B14" s="367"/>
      <c r="C14" s="367"/>
      <c r="D14" s="368" t="s">
        <v>294</v>
      </c>
      <c r="E14" s="369" t="str">
        <f aca="false">IFERROR(AVERAGE(E4:E13),"要更新")</f>
        <v>要更新</v>
      </c>
    </row>
    <row r="15" customFormat="false" ht="31.5" hidden="false" customHeight="true" outlineLevel="0" collapsed="false">
      <c r="B15" s="370"/>
      <c r="C15" s="370"/>
      <c r="D15" s="371" t="s">
        <v>295</v>
      </c>
      <c r="E15" s="372" t="str">
        <f aca="false">IFERROR(MEDIAN(E4:E13),"要更新")</f>
        <v>要更新</v>
      </c>
    </row>
    <row r="16" customFormat="false" ht="31.5" hidden="false" customHeight="true" outlineLevel="0" collapsed="false"/>
    <row r="17" customFormat="false" ht="31.5" hidden="false" customHeight="true" outlineLevel="0" collapsed="false">
      <c r="B17" s="46" t="s">
        <v>296</v>
      </c>
    </row>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N1" colorId="64" zoomScale="100" zoomScaleNormal="100" zoomScalePageLayoutView="100" workbookViewId="0">
      <selection pane="topLeft" activeCell="C15" activeCellId="0" sqref="C15"/>
    </sheetView>
  </sheetViews>
  <sheetFormatPr defaultColWidth="8.75390625" defaultRowHeight="18" zeroHeight="false" outlineLevelRow="0" outlineLevelCol="0"/>
  <cols>
    <col collapsed="false" customWidth="false" hidden="false" outlineLevel="0" max="1" min="1" style="2" width="8.76"/>
    <col collapsed="false" customWidth="true" hidden="false" outlineLevel="0" max="2" min="2" style="2" width="17.08"/>
    <col collapsed="false" customWidth="true" hidden="false" outlineLevel="0" max="3" min="3" style="2" width="58.75"/>
    <col collapsed="false" customWidth="false" hidden="false" outlineLevel="0" max="16384" min="4" style="2" width="8.76"/>
  </cols>
  <sheetData>
    <row r="2" customFormat="false" ht="19.5" hidden="false" customHeight="true" outlineLevel="0" collapsed="false">
      <c r="B2" s="62" t="s">
        <v>297</v>
      </c>
      <c r="C2" s="79" t="s">
        <v>237</v>
      </c>
    </row>
    <row r="3" customFormat="false" ht="22.5" hidden="false" customHeight="true" outlineLevel="0" collapsed="false">
      <c r="B3" s="253" t="s">
        <v>298</v>
      </c>
      <c r="C3" s="373" t="s">
        <v>299</v>
      </c>
    </row>
    <row r="4" customFormat="false" ht="22.5" hidden="false" customHeight="true" outlineLevel="0" collapsed="false">
      <c r="B4" s="164" t="s">
        <v>300</v>
      </c>
      <c r="C4" s="374" t="s">
        <v>301</v>
      </c>
    </row>
    <row r="5" customFormat="false" ht="57" hidden="false" customHeight="true" outlineLevel="0" collapsed="false">
      <c r="B5" s="164" t="s">
        <v>302</v>
      </c>
      <c r="C5" s="374" t="s">
        <v>303</v>
      </c>
    </row>
    <row r="6" customFormat="false" ht="22.5" hidden="false" customHeight="true" outlineLevel="0" collapsed="false">
      <c r="B6" s="164" t="s">
        <v>304</v>
      </c>
      <c r="C6" s="375" t="s">
        <v>305</v>
      </c>
    </row>
    <row r="7" customFormat="false" ht="22.5" hidden="false" customHeight="true" outlineLevel="0" collapsed="false">
      <c r="B7" s="164" t="s">
        <v>64</v>
      </c>
      <c r="C7" s="375" t="s">
        <v>306</v>
      </c>
    </row>
    <row r="8" customFormat="false" ht="22.5" hidden="false" customHeight="true" outlineLevel="0" collapsed="false">
      <c r="B8" s="164" t="s">
        <v>307</v>
      </c>
      <c r="C8" s="374" t="s">
        <v>308</v>
      </c>
    </row>
    <row r="9" customFormat="false" ht="39" hidden="false" customHeight="true" outlineLevel="0" collapsed="false">
      <c r="B9" s="164" t="s">
        <v>309</v>
      </c>
      <c r="C9" s="374" t="s">
        <v>310</v>
      </c>
    </row>
    <row r="10" customFormat="false" ht="22.5" hidden="false" customHeight="true" outlineLevel="0" collapsed="false">
      <c r="B10" s="164" t="s">
        <v>277</v>
      </c>
      <c r="C10" s="374" t="s">
        <v>311</v>
      </c>
    </row>
    <row r="11" customFormat="false" ht="22.5" hidden="false" customHeight="true" outlineLevel="0" collapsed="false">
      <c r="B11" s="164" t="s">
        <v>312</v>
      </c>
      <c r="C11" s="375" t="s">
        <v>313</v>
      </c>
    </row>
    <row r="12" customFormat="false" ht="22.5" hidden="false" customHeight="true" outlineLevel="0" collapsed="false">
      <c r="B12" s="164" t="s">
        <v>314</v>
      </c>
      <c r="C12" s="374" t="s">
        <v>315</v>
      </c>
    </row>
    <row r="13" customFormat="false" ht="22.5" hidden="false" customHeight="true" outlineLevel="0" collapsed="false">
      <c r="B13" s="164" t="s">
        <v>87</v>
      </c>
      <c r="C13" s="319" t="str">
        <f aca="false">TEXT(PL!G11/1000,"#,##0")&amp;"千円（2026年5月期）"</f>
        <v>279,294千円（2026年5月期）</v>
      </c>
    </row>
    <row r="14" customFormat="false" ht="22.5" hidden="false" customHeight="true" outlineLevel="0" collapsed="false">
      <c r="B14" s="164" t="s">
        <v>316</v>
      </c>
      <c r="C14" s="319" t="str">
        <f aca="false">TEXT(PLハイライト!E37/1000,"#,##0;△#,##0")&amp;"千円（2026年5月期）／基準EBITDA（3期加重平均）"&amp;TEXT('EV EBITDAマルチプル'!H10/1000,"#,##0;△#,##0")&amp;"千円"</f>
        <v>△9,549千円（2026年5月期）／基準EBITDA（3期加重平均）△18,071千円</v>
      </c>
    </row>
    <row r="15" customFormat="false" ht="22.5" hidden="false" customHeight="true" outlineLevel="0" collapsed="false">
      <c r="B15" s="164" t="s">
        <v>317</v>
      </c>
      <c r="C15" s="374" t="s">
        <v>318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107" zoomScaleNormal="107" zoomScalePageLayoutView="100" workbookViewId="0">
      <selection pane="topLeft" activeCell="B18" activeCellId="0" sqref="B18"/>
    </sheetView>
  </sheetViews>
  <sheetFormatPr defaultColWidth="8.75390625" defaultRowHeight="18" zeroHeight="false" outlineLevelRow="0" outlineLevelCol="0"/>
  <cols>
    <col collapsed="false" customWidth="false" hidden="false" outlineLevel="0" max="1" min="1" style="2" width="8.76"/>
    <col collapsed="false" customWidth="true" hidden="false" outlineLevel="0" max="2" min="2" style="2" width="24"/>
    <col collapsed="false" customWidth="true" hidden="false" outlineLevel="0" max="7" min="3" style="2" width="19.75"/>
    <col collapsed="false" customWidth="false" hidden="false" outlineLevel="0" max="16384" min="8" style="2" width="8.76"/>
  </cols>
  <sheetData>
    <row r="2" customFormat="false" ht="18" hidden="false" customHeight="false" outlineLevel="0" collapsed="false">
      <c r="E2" s="48" t="s">
        <v>50</v>
      </c>
    </row>
    <row r="3" customFormat="false" ht="19.5" hidden="false" customHeight="true" outlineLevel="0" collapsed="false">
      <c r="B3" s="376"/>
      <c r="C3" s="377" t="str">
        <f aca="false">'BS(借方)'!C4</f>
        <v>24年5月期
（第35期）</v>
      </c>
      <c r="D3" s="377" t="str">
        <f aca="false">'BS(借方)'!D4</f>
        <v>25年5月期
（第36期）</v>
      </c>
      <c r="E3" s="377" t="str">
        <f aca="false">'BS(借方)'!E4</f>
        <v>26年5月期
（第37期）</v>
      </c>
      <c r="F3" s="377" t="str">
        <f aca="false">'BS(借方)'!G4</f>
        <v>26年7月
（進行期2か月TB）</v>
      </c>
      <c r="G3" s="378"/>
    </row>
    <row r="4" customFormat="false" ht="22.5" hidden="false" customHeight="true" outlineLevel="0" collapsed="false">
      <c r="B4" s="252" t="s">
        <v>87</v>
      </c>
      <c r="C4" s="103" t="n">
        <f aca="false">PL!C11</f>
        <v>357115426</v>
      </c>
      <c r="D4" s="103" t="n">
        <f aca="false">PL!E11</f>
        <v>245854292</v>
      </c>
      <c r="E4" s="103" t="n">
        <f aca="false">PL!G11</f>
        <v>279293828</v>
      </c>
      <c r="F4" s="103" t="n">
        <f aca="false">PL!K11</f>
        <v>54441928</v>
      </c>
      <c r="G4" s="103"/>
      <c r="I4" s="379"/>
    </row>
    <row r="5" s="380" customFormat="true" ht="22.5" hidden="false" customHeight="true" outlineLevel="0" collapsed="false">
      <c r="B5" s="381" t="s">
        <v>319</v>
      </c>
      <c r="C5" s="382" t="s">
        <v>112</v>
      </c>
      <c r="D5" s="382" t="n">
        <f aca="false">IFERROR(D4/C4,"")</f>
        <v>0.688444895124749</v>
      </c>
      <c r="E5" s="382" t="n">
        <f aca="false">IFERROR(E4/D4,"")</f>
        <v>1.13601363526328</v>
      </c>
      <c r="F5" s="382" t="s">
        <v>112</v>
      </c>
      <c r="G5" s="382"/>
    </row>
    <row r="6" customFormat="false" ht="22.5" hidden="false" customHeight="true" outlineLevel="0" collapsed="false">
      <c r="B6" s="383" t="s">
        <v>90</v>
      </c>
      <c r="C6" s="35" t="n">
        <f aca="false">PL!C17</f>
        <v>4038940</v>
      </c>
      <c r="D6" s="35" t="n">
        <f aca="false">PL!E17</f>
        <v>-18896833</v>
      </c>
      <c r="E6" s="35" t="n">
        <f aca="false">PL!G17</f>
        <v>5503736</v>
      </c>
      <c r="F6" s="35" t="n">
        <f aca="false">PL!K17</f>
        <v>2104878</v>
      </c>
      <c r="G6" s="35"/>
    </row>
    <row r="7" s="380" customFormat="true" ht="22.5" hidden="false" customHeight="true" outlineLevel="0" collapsed="false">
      <c r="B7" s="381" t="s">
        <v>320</v>
      </c>
      <c r="C7" s="382" t="n">
        <f aca="false">IFERROR(C6/C$4,"")</f>
        <v>0.0113099006818036</v>
      </c>
      <c r="D7" s="382" t="n">
        <f aca="false">IFERROR(D6/D$4,"")</f>
        <v>-0.0768619203117268</v>
      </c>
      <c r="E7" s="382" t="n">
        <f aca="false">IFERROR(E6/E$4,"")</f>
        <v>0.0197058991221245</v>
      </c>
      <c r="F7" s="382" t="n">
        <f aca="false">IFERROR(F6/F$4,"")</f>
        <v>0.0386628115007242</v>
      </c>
      <c r="G7" s="382"/>
    </row>
    <row r="8" customFormat="false" ht="22.5" hidden="false" customHeight="true" outlineLevel="0" collapsed="false">
      <c r="B8" s="383" t="s">
        <v>92</v>
      </c>
      <c r="C8" s="35" t="n">
        <f aca="false">PL!C19</f>
        <v>-15142780</v>
      </c>
      <c r="D8" s="35" t="n">
        <f aca="false">PL!E19</f>
        <v>-38606509</v>
      </c>
      <c r="E8" s="35" t="n">
        <f aca="false">PL!G19</f>
        <v>-10999573</v>
      </c>
      <c r="F8" s="35" t="n">
        <f aca="false">PL!K19</f>
        <v>-389456</v>
      </c>
      <c r="G8" s="211"/>
    </row>
    <row r="9" s="380" customFormat="true" ht="22.5" hidden="false" customHeight="true" outlineLevel="0" collapsed="false">
      <c r="B9" s="381" t="s">
        <v>320</v>
      </c>
      <c r="C9" s="382" t="n">
        <f aca="false">IFERROR(C8/C$4,"")</f>
        <v>-0.0424030408588399</v>
      </c>
      <c r="D9" s="382" t="n">
        <f aca="false">IFERROR(D8/D$4,"")</f>
        <v>-0.157030038751571</v>
      </c>
      <c r="E9" s="382" t="n">
        <f aca="false">IFERROR(E8/E$4,"")</f>
        <v>-0.0393835162014393</v>
      </c>
      <c r="F9" s="382" t="n">
        <f aca="false">IFERROR(F8/F$4,"")</f>
        <v>-0.00715360411188965</v>
      </c>
      <c r="G9" s="382"/>
    </row>
    <row r="10" customFormat="false" ht="22.5" hidden="false" customHeight="true" outlineLevel="0" collapsed="false">
      <c r="B10" s="383" t="s">
        <v>101</v>
      </c>
      <c r="C10" s="35" t="n">
        <f aca="false">PL!C36</f>
        <v>-4409988</v>
      </c>
      <c r="D10" s="35" t="n">
        <f aca="false">PL!E36</f>
        <v>-28279210</v>
      </c>
      <c r="E10" s="35" t="n">
        <f aca="false">PL!G36</f>
        <v>-11262084</v>
      </c>
      <c r="F10" s="35" t="n">
        <f aca="false">PL!K36</f>
        <v>-285216</v>
      </c>
      <c r="G10" s="211"/>
    </row>
    <row r="11" s="380" customFormat="true" ht="22.5" hidden="false" customHeight="true" outlineLevel="0" collapsed="false">
      <c r="B11" s="381" t="s">
        <v>320</v>
      </c>
      <c r="C11" s="382" t="n">
        <f aca="false">IFERROR(C10/C$4,"")</f>
        <v>-0.0123489148855754</v>
      </c>
      <c r="D11" s="382" t="n">
        <f aca="false">IFERROR(D10/D$4,"")</f>
        <v>-0.115024268114058</v>
      </c>
      <c r="E11" s="382" t="n">
        <f aca="false">IFERROR(E10/E$4,"")</f>
        <v>-0.0403234259798967</v>
      </c>
      <c r="F11" s="382" t="n">
        <f aca="false">IFERROR(F10/F$4,"")</f>
        <v>-0.00523890336874183</v>
      </c>
      <c r="G11" s="382"/>
    </row>
    <row r="12" customFormat="false" ht="22.5" hidden="false" customHeight="true" outlineLevel="0" collapsed="false">
      <c r="B12" s="383" t="s">
        <v>107</v>
      </c>
      <c r="C12" s="35" t="n">
        <f aca="false">PL!C56</f>
        <v>-4479988</v>
      </c>
      <c r="D12" s="35" t="n">
        <f aca="false">PL!E56</f>
        <v>-28349210</v>
      </c>
      <c r="E12" s="35" t="n">
        <f aca="false">PL!G56</f>
        <v>-11332084</v>
      </c>
      <c r="F12" s="35" t="n">
        <f aca="false">PL!K56</f>
        <v>-285216</v>
      </c>
      <c r="G12" s="211"/>
    </row>
    <row r="13" s="380" customFormat="true" ht="22.5" hidden="false" customHeight="true" outlineLevel="0" collapsed="false">
      <c r="B13" s="381" t="s">
        <v>320</v>
      </c>
      <c r="C13" s="382" t="n">
        <f aca="false">IFERROR(C12/C$4,"")</f>
        <v>-0.012544929940943</v>
      </c>
      <c r="D13" s="382" t="n">
        <f aca="false">IFERROR(D12/D$4,"")</f>
        <v>-0.115308989602671</v>
      </c>
      <c r="E13" s="382" t="n">
        <f aca="false">IFERROR(E12/E$4,"")</f>
        <v>-0.0405740580848067</v>
      </c>
      <c r="F13" s="382" t="n">
        <f aca="false">IFERROR(F12/F$4,"")</f>
        <v>-0.00523890336874183</v>
      </c>
      <c r="G13" s="382"/>
    </row>
    <row r="14" customFormat="false" ht="14.25" hidden="false" customHeight="true" outlineLevel="0" collapsed="false">
      <c r="C14" s="194"/>
      <c r="D14" s="194"/>
      <c r="E14" s="194"/>
      <c r="F14" s="194"/>
      <c r="G14" s="194"/>
    </row>
    <row r="15" customFormat="false" ht="22.5" hidden="false" customHeight="true" outlineLevel="0" collapsed="false">
      <c r="B15" s="164" t="s">
        <v>124</v>
      </c>
      <c r="C15" s="384" t="n">
        <f aca="false">CR!C37+SGA!C10</f>
        <v>555074</v>
      </c>
      <c r="D15" s="384" t="n">
        <f aca="false">CR!E37+SGA!E10</f>
        <v>1507223</v>
      </c>
      <c r="E15" s="384" t="n">
        <f aca="false">CR!G37+SGA!G10</f>
        <v>835251</v>
      </c>
      <c r="F15" s="384" t="n">
        <f aca="false">CR!K37+SGA!K10</f>
        <v>0</v>
      </c>
      <c r="G15" s="384"/>
    </row>
    <row r="16" customFormat="false" ht="15" hidden="false" customHeight="true" outlineLevel="0" collapsed="false">
      <c r="C16" s="17"/>
      <c r="D16" s="17"/>
      <c r="E16" s="17"/>
      <c r="F16" s="17"/>
      <c r="G16" s="17"/>
    </row>
    <row r="17" customFormat="false" ht="19.5" hidden="false" customHeight="true" outlineLevel="0" collapsed="false">
      <c r="B17" s="110" t="s">
        <v>321</v>
      </c>
      <c r="C17" s="385" t="n">
        <f aca="false">SUM(C18:C27)</f>
        <v>731249</v>
      </c>
      <c r="D17" s="385" t="n">
        <f aca="false">SUM(D18:D27)</f>
        <v>2016549</v>
      </c>
      <c r="E17" s="385" t="n">
        <f aca="false">SUM(E18:E27)</f>
        <v>615273</v>
      </c>
      <c r="F17" s="385" t="n">
        <f aca="false">SUM(F18:F27)</f>
        <v>220647</v>
      </c>
      <c r="G17" s="385"/>
    </row>
    <row r="18" customFormat="false" ht="22.5" hidden="false" customHeight="true" outlineLevel="0" collapsed="false">
      <c r="B18" s="386" t="s">
        <v>173</v>
      </c>
      <c r="C18" s="387" t="n">
        <f aca="false">修正PL!D8</f>
        <v>731249</v>
      </c>
      <c r="D18" s="387" t="n">
        <f aca="false">修正PL!G8</f>
        <v>811865</v>
      </c>
      <c r="E18" s="387" t="n">
        <f aca="false">修正PL!J8</f>
        <v>615273</v>
      </c>
      <c r="F18" s="387" t="n">
        <f aca="false">修正PL!P8</f>
        <v>220647</v>
      </c>
      <c r="G18" s="387"/>
    </row>
    <row r="19" customFormat="false" ht="22.5" hidden="false" customHeight="true" outlineLevel="0" collapsed="false">
      <c r="B19" s="388" t="s">
        <v>322</v>
      </c>
      <c r="C19" s="389" t="n">
        <f aca="false">-修正PL!D11</f>
        <v>-0</v>
      </c>
      <c r="D19" s="390" t="n">
        <f aca="false">-修正PL!G11</f>
        <v>1204684</v>
      </c>
      <c r="E19" s="390" t="n">
        <f aca="false">-修正PL!J11</f>
        <v>-0</v>
      </c>
      <c r="F19" s="390" t="n">
        <f aca="false">-修正PL!P11</f>
        <v>-0</v>
      </c>
      <c r="G19" s="390"/>
    </row>
    <row r="20" customFormat="false" ht="22.5" hidden="false" customHeight="true" outlineLevel="0" collapsed="false">
      <c r="B20" s="388"/>
      <c r="C20" s="390"/>
      <c r="D20" s="390"/>
      <c r="E20" s="390"/>
      <c r="F20" s="390"/>
      <c r="G20" s="390"/>
    </row>
    <row r="21" customFormat="false" ht="22.5" hidden="false" customHeight="true" outlineLevel="0" collapsed="false">
      <c r="B21" s="388"/>
      <c r="C21" s="390"/>
      <c r="D21" s="390"/>
      <c r="E21" s="390"/>
      <c r="F21" s="390"/>
      <c r="G21" s="390"/>
    </row>
    <row r="22" customFormat="false" ht="22.5" hidden="false" customHeight="true" outlineLevel="0" collapsed="false">
      <c r="B22" s="388"/>
      <c r="C22" s="390"/>
      <c r="D22" s="390"/>
      <c r="E22" s="390"/>
      <c r="F22" s="390"/>
      <c r="G22" s="390"/>
    </row>
    <row r="23" customFormat="false" ht="22.5" hidden="false" customHeight="true" outlineLevel="0" collapsed="false">
      <c r="B23" s="388"/>
      <c r="C23" s="390"/>
      <c r="D23" s="390"/>
      <c r="E23" s="390"/>
      <c r="F23" s="390"/>
      <c r="G23" s="390"/>
    </row>
    <row r="24" customFormat="false" ht="22.5" hidden="false" customHeight="true" outlineLevel="0" collapsed="false">
      <c r="B24" s="388"/>
      <c r="C24" s="390"/>
      <c r="D24" s="390"/>
      <c r="E24" s="390"/>
      <c r="F24" s="390"/>
      <c r="G24" s="390"/>
    </row>
    <row r="25" customFormat="false" ht="22.5" hidden="false" customHeight="true" outlineLevel="0" collapsed="false">
      <c r="B25" s="388"/>
      <c r="C25" s="390"/>
      <c r="D25" s="390"/>
      <c r="E25" s="390"/>
      <c r="F25" s="390"/>
      <c r="G25" s="390"/>
    </row>
    <row r="26" customFormat="false" ht="22.5" hidden="false" customHeight="true" outlineLevel="0" collapsed="false">
      <c r="B26" s="388"/>
      <c r="C26" s="390"/>
      <c r="D26" s="390"/>
      <c r="E26" s="390"/>
      <c r="F26" s="390"/>
      <c r="G26" s="390"/>
    </row>
    <row r="27" customFormat="false" ht="22.5" hidden="false" customHeight="true" outlineLevel="0" collapsed="false">
      <c r="B27" s="391"/>
      <c r="C27" s="392"/>
      <c r="D27" s="392"/>
      <c r="E27" s="392"/>
      <c r="F27" s="392"/>
      <c r="G27" s="392"/>
    </row>
    <row r="28" customFormat="false" ht="22.5" hidden="true" customHeight="true" outlineLevel="0" collapsed="false">
      <c r="B28" s="393"/>
      <c r="C28" s="35"/>
      <c r="D28" s="35"/>
      <c r="E28" s="35"/>
      <c r="F28" s="35"/>
      <c r="G28" s="35"/>
    </row>
    <row r="29" customFormat="false" ht="22.5" hidden="true" customHeight="true" outlineLevel="0" collapsed="false">
      <c r="B29" s="393"/>
      <c r="C29" s="35"/>
      <c r="D29" s="35"/>
      <c r="E29" s="35"/>
      <c r="F29" s="35"/>
      <c r="G29" s="35"/>
    </row>
    <row r="30" customFormat="false" ht="22.5" hidden="true" customHeight="true" outlineLevel="0" collapsed="false">
      <c r="B30" s="393"/>
      <c r="C30" s="35"/>
      <c r="D30" s="35"/>
      <c r="E30" s="35"/>
      <c r="F30" s="35"/>
      <c r="G30" s="35"/>
    </row>
    <row r="31" customFormat="false" ht="22.5" hidden="true" customHeight="true" outlineLevel="0" collapsed="false">
      <c r="B31" s="393"/>
      <c r="C31" s="35"/>
      <c r="D31" s="35"/>
      <c r="E31" s="53"/>
      <c r="F31" s="53"/>
      <c r="G31" s="53"/>
    </row>
    <row r="32" customFormat="false" ht="22.5" hidden="true" customHeight="true" outlineLevel="0" collapsed="false">
      <c r="B32" s="393"/>
      <c r="C32" s="35"/>
      <c r="D32" s="35"/>
      <c r="E32" s="53"/>
      <c r="F32" s="53"/>
      <c r="G32" s="53"/>
    </row>
    <row r="33" customFormat="false" ht="22.5" hidden="true" customHeight="true" outlineLevel="0" collapsed="false">
      <c r="B33" s="393"/>
      <c r="C33" s="35"/>
      <c r="D33" s="35"/>
      <c r="E33" s="53"/>
      <c r="F33" s="53"/>
      <c r="G33" s="53"/>
    </row>
    <row r="34" customFormat="false" ht="22.5" hidden="true" customHeight="true" outlineLevel="0" collapsed="false">
      <c r="B34" s="393"/>
      <c r="C34" s="35"/>
      <c r="D34" s="35"/>
      <c r="E34" s="53"/>
      <c r="F34" s="53"/>
      <c r="G34" s="53"/>
    </row>
    <row r="35" customFormat="false" ht="22.5" hidden="true" customHeight="true" outlineLevel="0" collapsed="false">
      <c r="B35" s="393"/>
      <c r="C35" s="35"/>
      <c r="D35" s="35"/>
      <c r="E35" s="53"/>
      <c r="F35" s="53"/>
      <c r="G35" s="53"/>
    </row>
    <row r="36" customFormat="false" ht="15" hidden="false" customHeight="true" outlineLevel="0" collapsed="false">
      <c r="C36" s="194"/>
      <c r="D36" s="194"/>
      <c r="E36" s="194"/>
      <c r="F36" s="194"/>
      <c r="G36" s="194"/>
    </row>
    <row r="37" s="307" customFormat="true" ht="21" hidden="false" customHeight="true" outlineLevel="0" collapsed="false">
      <c r="B37" s="394" t="s">
        <v>323</v>
      </c>
      <c r="C37" s="395" t="n">
        <f aca="false">C8+C15+C17</f>
        <v>-13856457</v>
      </c>
      <c r="D37" s="395" t="n">
        <f aca="false">D8+D15+D17</f>
        <v>-35082737</v>
      </c>
      <c r="E37" s="395" t="n">
        <f aca="false">E8+E15+E17</f>
        <v>-9549049</v>
      </c>
      <c r="F37" s="395" t="n">
        <f aca="false">F8+F15+F17</f>
        <v>-168809</v>
      </c>
      <c r="G37" s="395"/>
    </row>
    <row r="38" customFormat="false" ht="18" hidden="false" customHeight="true" outlineLevel="0" collapsed="false">
      <c r="B38" s="396"/>
      <c r="C38" s="397"/>
      <c r="D38" s="397"/>
      <c r="E38" s="397"/>
      <c r="F38" s="397"/>
      <c r="G38" s="397"/>
    </row>
    <row r="39" customFormat="false" ht="18" hidden="false" customHeight="false" outlineLevel="0" collapsed="false">
      <c r="B39" s="2" t="s">
        <v>324</v>
      </c>
      <c r="C39" s="194" t="n">
        <f aca="false">'EV EBITDAマルチプル'!F8</f>
        <v>-13856457</v>
      </c>
      <c r="D39" s="194" t="n">
        <f aca="false">'EV EBITDAマルチプル'!G8</f>
        <v>-35082737</v>
      </c>
      <c r="E39" s="194" t="n">
        <f aca="false">'EV EBITDAマルチプル'!H8</f>
        <v>-9549049</v>
      </c>
      <c r="F39" s="194"/>
      <c r="G39" s="194"/>
    </row>
    <row r="40" customFormat="false" ht="18" hidden="false" customHeight="false" outlineLevel="0" collapsed="false">
      <c r="B40" s="398" t="s">
        <v>325</v>
      </c>
      <c r="C40" s="399" t="n">
        <f aca="false">ROUND(C37-C39,0)=0</f>
        <v>1</v>
      </c>
      <c r="D40" s="400" t="n">
        <f aca="false">ROUND(D37-D39,0)=0</f>
        <v>1</v>
      </c>
      <c r="E40" s="400" t="n">
        <f aca="false">ROUND(E37-E39,0)=0</f>
        <v>1</v>
      </c>
      <c r="F40" s="400"/>
      <c r="G40" s="400"/>
    </row>
    <row r="41" customFormat="false" ht="18" hidden="false" customHeight="false" outlineLevel="0" collapsed="false">
      <c r="B41" s="398"/>
      <c r="C41" s="399"/>
      <c r="D41" s="400"/>
      <c r="E41" s="400"/>
      <c r="F41" s="400"/>
      <c r="G41" s="400"/>
    </row>
    <row r="42" customFormat="false" ht="18" hidden="false" customHeight="false" outlineLevel="0" collapsed="false">
      <c r="B42" s="356" t="s">
        <v>326</v>
      </c>
      <c r="C42" s="399"/>
      <c r="D42" s="400"/>
      <c r="E42" s="400"/>
      <c r="F42" s="400"/>
      <c r="G42" s="400"/>
    </row>
    <row r="43" customFormat="false" ht="18" hidden="false" customHeight="false" outlineLevel="0" collapsed="false">
      <c r="B43" s="398"/>
      <c r="C43" s="399"/>
      <c r="D43" s="400"/>
      <c r="E43" s="400"/>
      <c r="F43" s="400"/>
      <c r="G43" s="400"/>
    </row>
    <row r="44" customFormat="false" ht="18" hidden="false" customHeight="false" outlineLevel="0" collapsed="false">
      <c r="B44" s="398"/>
      <c r="C44" s="399"/>
      <c r="D44" s="400"/>
      <c r="E44" s="400"/>
      <c r="F44" s="400"/>
      <c r="G44" s="400"/>
    </row>
    <row r="45" customFormat="false" ht="18" hidden="false" customHeight="false" outlineLevel="0" collapsed="false">
      <c r="B45" s="398"/>
      <c r="C45" s="401"/>
      <c r="D45" s="402"/>
      <c r="E45" s="402"/>
      <c r="F45" s="402"/>
      <c r="G45" s="402"/>
    </row>
    <row r="46" customFormat="false" ht="18" hidden="false" customHeight="false" outlineLevel="0" collapsed="false">
      <c r="B46" s="398"/>
      <c r="C46" s="401"/>
      <c r="D46" s="402"/>
      <c r="E46" s="402"/>
      <c r="F46" s="402"/>
      <c r="G46" s="402"/>
    </row>
    <row r="47" customFormat="false" ht="18" hidden="false" customHeight="false" outlineLevel="0" collapsed="false">
      <c r="B47" s="398"/>
      <c r="C47" s="403"/>
      <c r="D47" s="398"/>
      <c r="E47" s="398"/>
      <c r="F47" s="398"/>
      <c r="G47" s="398"/>
    </row>
    <row r="48" customFormat="false" ht="18" hidden="false" customHeight="false" outlineLevel="0" collapsed="false">
      <c r="B48" s="398"/>
      <c r="C48" s="403"/>
      <c r="D48" s="398"/>
      <c r="E48" s="398"/>
      <c r="F48" s="398"/>
      <c r="G48" s="39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13" activeCellId="0" sqref="H13"/>
    </sheetView>
  </sheetViews>
  <sheetFormatPr defaultColWidth="8.75390625" defaultRowHeight="18" zeroHeight="false" outlineLevelRow="0" outlineLevelCol="0"/>
  <cols>
    <col collapsed="false" customWidth="false" hidden="false" outlineLevel="0" max="1" min="1" style="2" width="8.76"/>
    <col collapsed="false" customWidth="true" hidden="false" outlineLevel="0" max="3" min="2" style="2" width="16.09"/>
    <col collapsed="false" customWidth="true" hidden="false" outlineLevel="0" max="4" min="4" style="2" width="1.09"/>
    <col collapsed="false" customWidth="true" hidden="false" outlineLevel="0" max="6" min="5" style="2" width="16.09"/>
    <col collapsed="false" customWidth="false" hidden="false" outlineLevel="0" max="16384" min="7" style="2" width="8.76"/>
  </cols>
  <sheetData>
    <row r="2" customFormat="false" ht="18" hidden="false" customHeight="false" outlineLevel="0" collapsed="false">
      <c r="F2" s="48" t="s">
        <v>50</v>
      </c>
    </row>
    <row r="3" customFormat="false" ht="19.5" hidden="false" customHeight="true" outlineLevel="0" collapsed="false">
      <c r="B3" s="404" t="str">
        <f aca="false">'BS(借方)'!E4</f>
        <v>26年5月期
（第37期）</v>
      </c>
      <c r="C3" s="404"/>
      <c r="D3" s="404"/>
      <c r="E3" s="404"/>
      <c r="F3" s="404"/>
    </row>
    <row r="4" customFormat="false" ht="22.5" hidden="false" customHeight="true" outlineLevel="0" collapsed="false">
      <c r="B4" s="405" t="s">
        <v>327</v>
      </c>
      <c r="C4" s="406" t="n">
        <f aca="false">SUM(C5:C10)</f>
        <v>38983092</v>
      </c>
      <c r="D4" s="407"/>
      <c r="E4" s="408" t="s">
        <v>328</v>
      </c>
      <c r="F4" s="409" t="n">
        <f aca="false">SUM(F5:F10)</f>
        <v>32246532</v>
      </c>
    </row>
    <row r="5" customFormat="false" ht="22.5" hidden="false" customHeight="true" outlineLevel="0" collapsed="false">
      <c r="B5" s="410" t="s">
        <v>329</v>
      </c>
      <c r="C5" s="29" t="n">
        <f aca="false">'BS(借方)'!E6</f>
        <v>4903189</v>
      </c>
      <c r="D5" s="411"/>
      <c r="E5" s="412" t="s">
        <v>53</v>
      </c>
      <c r="F5" s="413" t="n">
        <f aca="false">'BS (貸方)'!E6</f>
        <v>22986677</v>
      </c>
    </row>
    <row r="6" customFormat="false" ht="22.5" hidden="false" customHeight="true" outlineLevel="0" collapsed="false">
      <c r="B6" s="414" t="s">
        <v>22</v>
      </c>
      <c r="C6" s="206" t="n">
        <f aca="false">'BS(借方)'!E7</f>
        <v>28451645</v>
      </c>
      <c r="D6" s="415"/>
      <c r="E6" s="416" t="s">
        <v>54</v>
      </c>
      <c r="F6" s="417" t="n">
        <f aca="false">'BS (貸方)'!E7</f>
        <v>6948734</v>
      </c>
    </row>
    <row r="7" customFormat="false" ht="22.5" hidden="false" customHeight="true" outlineLevel="0" collapsed="false">
      <c r="B7" s="414" t="s">
        <v>23</v>
      </c>
      <c r="C7" s="206" t="n">
        <f aca="false">'BS(借方)'!E8</f>
        <v>3269850</v>
      </c>
      <c r="D7" s="415"/>
      <c r="E7" s="416" t="s">
        <v>55</v>
      </c>
      <c r="F7" s="417" t="n">
        <f aca="false">'BS (貸方)'!E8</f>
        <v>70000</v>
      </c>
    </row>
    <row r="8" customFormat="false" ht="22.5" hidden="false" customHeight="true" outlineLevel="0" collapsed="false">
      <c r="B8" s="414" t="s">
        <v>24</v>
      </c>
      <c r="C8" s="206" t="n">
        <f aca="false">'BS(借方)'!E9</f>
        <v>0</v>
      </c>
      <c r="D8" s="415"/>
      <c r="E8" s="416" t="s">
        <v>56</v>
      </c>
      <c r="F8" s="417" t="n">
        <f aca="false">'BS (貸方)'!E9</f>
        <v>2226600</v>
      </c>
    </row>
    <row r="9" customFormat="false" ht="22.5" hidden="false" customHeight="true" outlineLevel="0" collapsed="false">
      <c r="B9" s="414" t="s">
        <v>25</v>
      </c>
      <c r="C9" s="206" t="n">
        <f aca="false">'BS(借方)'!E10</f>
        <v>2293807</v>
      </c>
      <c r="D9" s="415"/>
      <c r="E9" s="416" t="s">
        <v>57</v>
      </c>
      <c r="F9" s="417" t="n">
        <f aca="false">'BS (貸方)'!E10</f>
        <v>14521</v>
      </c>
    </row>
    <row r="10" customFormat="false" ht="22.5" hidden="false" customHeight="true" outlineLevel="0" collapsed="false">
      <c r="B10" s="410" t="s">
        <v>217</v>
      </c>
      <c r="C10" s="29" t="n">
        <f aca="false">'BS(借方)'!E11+'BS(借方)'!E12+'BS(借方)'!E13+'BS(借方)'!E14+'BS(借方)'!E15+'BS(借方)'!E16+'BS(借方)'!E17+'BS(借方)'!E18+'BS(借方)'!E19</f>
        <v>64601</v>
      </c>
      <c r="D10" s="411"/>
      <c r="E10" s="412" t="s">
        <v>217</v>
      </c>
      <c r="F10" s="413" t="n">
        <f aca="false">'BS (貸方)'!E5-SUM(F5:F9)</f>
        <v>0</v>
      </c>
    </row>
    <row r="11" customFormat="false" ht="22.5" hidden="false" customHeight="true" outlineLevel="0" collapsed="false">
      <c r="B11" s="408" t="s">
        <v>330</v>
      </c>
      <c r="C11" s="418" t="n">
        <f aca="false">SUM(C12:C20)</f>
        <v>14338078</v>
      </c>
      <c r="D11" s="411"/>
      <c r="E11" s="408" t="s">
        <v>331</v>
      </c>
      <c r="F11" s="419" t="n">
        <f aca="false">SUM(F12:F14)</f>
        <v>32638000</v>
      </c>
    </row>
    <row r="12" customFormat="false" ht="22.5" hidden="false" customHeight="true" outlineLevel="0" collapsed="false">
      <c r="B12" s="414" t="s">
        <v>33</v>
      </c>
      <c r="C12" s="206" t="n">
        <f aca="false">'BS(借方)'!E23</f>
        <v>6928000</v>
      </c>
      <c r="D12" s="415"/>
      <c r="E12" s="416" t="s">
        <v>60</v>
      </c>
      <c r="F12" s="417" t="n">
        <f aca="false">'BS (貸方)'!E19</f>
        <v>32638000</v>
      </c>
    </row>
    <row r="13" customFormat="false" ht="22.5" hidden="false" customHeight="true" outlineLevel="0" collapsed="false">
      <c r="B13" s="414" t="s">
        <v>332</v>
      </c>
      <c r="C13" s="206" t="n">
        <f aca="false">'BS(借方)'!E25+'BS(借方)'!E26+'BS(借方)'!E27</f>
        <v>480355</v>
      </c>
      <c r="D13" s="415"/>
      <c r="E13" s="416"/>
      <c r="F13" s="417"/>
    </row>
    <row r="14" customFormat="false" ht="22.5" hidden="false" customHeight="true" outlineLevel="0" collapsed="false">
      <c r="B14" s="414" t="s">
        <v>333</v>
      </c>
      <c r="C14" s="206" t="n">
        <f aca="false">'BS(借方)'!E22+'BS(借方)'!E24</f>
        <v>103056</v>
      </c>
      <c r="D14" s="415"/>
      <c r="E14" s="416" t="s">
        <v>217</v>
      </c>
      <c r="F14" s="417" t="n">
        <f aca="false">'BS (貸方)'!E18-F12</f>
        <v>0</v>
      </c>
    </row>
    <row r="15" customFormat="false" ht="22.5" hidden="false" customHeight="true" outlineLevel="0" collapsed="false">
      <c r="B15" s="414" t="s">
        <v>39</v>
      </c>
      <c r="C15" s="206" t="n">
        <f aca="false">'BS(借方)'!E36</f>
        <v>119100</v>
      </c>
      <c r="D15" s="415"/>
      <c r="E15" s="420" t="s">
        <v>61</v>
      </c>
      <c r="F15" s="421" t="n">
        <f aca="false">F4+F11</f>
        <v>64884532</v>
      </c>
    </row>
    <row r="16" customFormat="false" ht="22.5" hidden="false" customHeight="true" outlineLevel="0" collapsed="false">
      <c r="B16" s="414" t="s">
        <v>41</v>
      </c>
      <c r="C16" s="206" t="n">
        <f aca="false">'BS(借方)'!E47</f>
        <v>50000</v>
      </c>
      <c r="D16" s="415"/>
      <c r="E16" s="416"/>
      <c r="F16" s="417"/>
    </row>
    <row r="17" customFormat="false" ht="22.5" hidden="false" customHeight="true" outlineLevel="0" collapsed="false">
      <c r="B17" s="414" t="s">
        <v>334</v>
      </c>
      <c r="C17" s="206" t="n">
        <f aca="false">'BS(借方)'!E48</f>
        <v>903834</v>
      </c>
      <c r="D17" s="415"/>
      <c r="E17" s="416" t="s">
        <v>64</v>
      </c>
      <c r="F17" s="417" t="n">
        <f aca="false">'BS (貸方)'!E35</f>
        <v>10000000</v>
      </c>
    </row>
    <row r="18" customFormat="false" ht="22.5" hidden="false" customHeight="true" outlineLevel="0" collapsed="false">
      <c r="B18" s="414" t="s">
        <v>43</v>
      </c>
      <c r="C18" s="206" t="n">
        <f aca="false">'BS(借方)'!E49</f>
        <v>5753733</v>
      </c>
      <c r="D18" s="415"/>
      <c r="E18" s="416" t="s">
        <v>335</v>
      </c>
      <c r="F18" s="417" t="n">
        <f aca="false">'BS (貸方)'!E43</f>
        <v>-21563362</v>
      </c>
    </row>
    <row r="19" customFormat="false" ht="22.5" hidden="false" customHeight="true" outlineLevel="0" collapsed="false">
      <c r="B19" s="414"/>
      <c r="C19" s="206"/>
      <c r="D19" s="415"/>
      <c r="E19" s="416"/>
      <c r="F19" s="417"/>
    </row>
    <row r="20" customFormat="false" ht="22.5" hidden="false" customHeight="true" outlineLevel="0" collapsed="false">
      <c r="B20" s="414" t="s">
        <v>217</v>
      </c>
      <c r="C20" s="206" t="n">
        <f aca="false">'BS(借方)'!E20-SUM(C12:C18)</f>
        <v>0</v>
      </c>
      <c r="D20" s="415"/>
      <c r="E20" s="422" t="s">
        <v>71</v>
      </c>
      <c r="F20" s="423" t="n">
        <f aca="false">SUM(F16:F19)</f>
        <v>-11563362</v>
      </c>
    </row>
    <row r="21" customFormat="false" ht="22.5" hidden="false" customHeight="true" outlineLevel="0" collapsed="false">
      <c r="B21" s="422" t="s">
        <v>46</v>
      </c>
      <c r="C21" s="424" t="n">
        <f aca="false">C4+C11</f>
        <v>53321170</v>
      </c>
      <c r="D21" s="415"/>
      <c r="E21" s="422" t="s">
        <v>72</v>
      </c>
      <c r="F21" s="423" t="n">
        <f aca="false">F15+F20</f>
        <v>53321170</v>
      </c>
    </row>
    <row r="22" customFormat="false" ht="18" hidden="false" customHeight="false" outlineLevel="0" collapsed="false">
      <c r="C22" s="425"/>
      <c r="F22" s="425"/>
    </row>
    <row r="23" customFormat="false" ht="18" hidden="false" customHeight="false" outlineLevel="0" collapsed="false">
      <c r="C23" s="425"/>
      <c r="F23" s="425"/>
    </row>
    <row r="24" customFormat="false" ht="18" hidden="false" customHeight="false" outlineLevel="0" collapsed="false">
      <c r="C24" s="425"/>
      <c r="F24" s="425"/>
    </row>
    <row r="25" customFormat="false" ht="18" hidden="false" customHeight="false" outlineLevel="0" collapsed="false">
      <c r="C25" s="425"/>
      <c r="F25" s="425"/>
    </row>
    <row r="26" customFormat="false" ht="18" hidden="false" customHeight="false" outlineLevel="0" collapsed="false">
      <c r="C26" s="425"/>
      <c r="F26" s="425"/>
    </row>
    <row r="27" customFormat="false" ht="18" hidden="false" customHeight="false" outlineLevel="0" collapsed="false">
      <c r="C27" s="425"/>
      <c r="F27" s="425"/>
    </row>
    <row r="28" customFormat="false" ht="18" hidden="false" customHeight="false" outlineLevel="0" collapsed="false">
      <c r="C28" s="425"/>
      <c r="F28" s="425"/>
    </row>
    <row r="29" customFormat="false" ht="18" hidden="false" customHeight="false" outlineLevel="0" collapsed="false">
      <c r="C29" s="425"/>
      <c r="F29" s="425"/>
    </row>
    <row r="30" customFormat="false" ht="18" hidden="false" customHeight="false" outlineLevel="0" collapsed="false">
      <c r="C30" s="425"/>
      <c r="F30" s="425"/>
    </row>
    <row r="31" customFormat="false" ht="18" hidden="false" customHeight="false" outlineLevel="0" collapsed="false">
      <c r="C31" s="425"/>
      <c r="F31" s="425"/>
    </row>
    <row r="32" customFormat="false" ht="18" hidden="false" customHeight="false" outlineLevel="0" collapsed="false">
      <c r="C32" s="425"/>
      <c r="F32" s="425"/>
    </row>
    <row r="33" customFormat="false" ht="18" hidden="false" customHeight="false" outlineLevel="0" collapsed="false">
      <c r="C33" s="425"/>
      <c r="F33" s="425"/>
    </row>
    <row r="34" customFormat="false" ht="18" hidden="false" customHeight="false" outlineLevel="0" collapsed="false">
      <c r="C34" s="425"/>
      <c r="F34" s="425"/>
    </row>
    <row r="35" customFormat="false" ht="18" hidden="false" customHeight="false" outlineLevel="0" collapsed="false">
      <c r="C35" s="425"/>
      <c r="F35" s="425"/>
    </row>
    <row r="36" customFormat="false" ht="18" hidden="false" customHeight="false" outlineLevel="0" collapsed="false">
      <c r="C36" s="425"/>
      <c r="F36" s="425"/>
    </row>
    <row r="37" customFormat="false" ht="18" hidden="false" customHeight="false" outlineLevel="0" collapsed="false">
      <c r="C37" s="425"/>
      <c r="F37" s="425"/>
    </row>
    <row r="38" customFormat="false" ht="18" hidden="false" customHeight="false" outlineLevel="0" collapsed="false">
      <c r="C38" s="425"/>
      <c r="F38" s="425"/>
    </row>
    <row r="39" customFormat="false" ht="18" hidden="false" customHeight="false" outlineLevel="0" collapsed="false">
      <c r="F39" s="425"/>
    </row>
    <row r="40" customFormat="false" ht="18" hidden="false" customHeight="false" outlineLevel="0" collapsed="false">
      <c r="F40" s="425"/>
    </row>
    <row r="41" customFormat="false" ht="18" hidden="false" customHeight="false" outlineLevel="0" collapsed="false">
      <c r="F41" s="425"/>
    </row>
    <row r="42" customFormat="false" ht="18" hidden="false" customHeight="false" outlineLevel="0" collapsed="false">
      <c r="F42" s="425"/>
    </row>
    <row r="43" customFormat="false" ht="18" hidden="false" customHeight="false" outlineLevel="0" collapsed="false">
      <c r="F43" s="425"/>
    </row>
    <row r="44" customFormat="false" ht="18" hidden="false" customHeight="false" outlineLevel="0" collapsed="false">
      <c r="F44" s="425"/>
    </row>
    <row r="45" customFormat="false" ht="18" hidden="false" customHeight="false" outlineLevel="0" collapsed="false">
      <c r="F45" s="425"/>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390625" defaultRowHeight="18" zeroHeight="false" outlineLevelRow="0" outlineLevelCol="0"/>
  <cols>
    <col collapsed="false" customWidth="true" hidden="false" outlineLevel="0" max="1" min="1" style="2" width="3.75"/>
    <col collapsed="false" customWidth="true" hidden="false" outlineLevel="0" max="2" min="2" style="2" width="4.33"/>
    <col collapsed="false" customWidth="true" hidden="false" outlineLevel="0" max="4" min="3" style="2" width="30.33"/>
    <col collapsed="false" customWidth="true" hidden="false" outlineLevel="0" max="5" min="5" style="2" width="16.09"/>
    <col collapsed="false" customWidth="true" hidden="false" outlineLevel="0" max="6" min="6" style="2" width="19.08"/>
    <col collapsed="false" customWidth="true" hidden="false" outlineLevel="0" max="7" min="7" style="2" width="11.5"/>
    <col collapsed="false" customWidth="true" hidden="false" outlineLevel="0" max="8" min="8" style="2" width="8.5"/>
    <col collapsed="false" customWidth="true" hidden="false" outlineLevel="0" max="9" min="9" style="2" width="11.5"/>
    <col collapsed="false" customWidth="true" hidden="false" outlineLevel="0" max="10" min="10" style="2" width="8.5"/>
    <col collapsed="false" customWidth="true" hidden="false" outlineLevel="0" max="11" min="11" style="2" width="11.5"/>
    <col collapsed="false" customWidth="true" hidden="false" outlineLevel="0" max="12" min="12" style="2" width="8.5"/>
    <col collapsed="false" customWidth="true" hidden="false" outlineLevel="0" max="13" min="13" style="2" width="31.5"/>
    <col collapsed="false" customWidth="false" hidden="false" outlineLevel="0" max="16384" min="14" style="2" width="8.76"/>
  </cols>
  <sheetData>
    <row r="2" customFormat="false" ht="18" hidden="false" customHeight="false" outlineLevel="0" collapsed="false">
      <c r="L2" s="48" t="s">
        <v>50</v>
      </c>
    </row>
    <row r="3" customFormat="false" ht="18.75" hidden="false" customHeight="true" outlineLevel="0" collapsed="false">
      <c r="B3" s="426" t="s">
        <v>255</v>
      </c>
      <c r="C3" s="24" t="s">
        <v>336</v>
      </c>
      <c r="D3" s="24" t="s">
        <v>337</v>
      </c>
      <c r="E3" s="24" t="s">
        <v>300</v>
      </c>
      <c r="F3" s="24" t="s">
        <v>338</v>
      </c>
      <c r="G3" s="95" t="str">
        <f aca="false">'BS(借方)'!D4</f>
        <v>25年5月期
（第36期）</v>
      </c>
      <c r="H3" s="95"/>
      <c r="I3" s="95" t="str">
        <f aca="false">'BS(借方)'!E4</f>
        <v>26年5月期
（第37期）</v>
      </c>
      <c r="J3" s="95"/>
      <c r="K3" s="95" t="s">
        <v>339</v>
      </c>
      <c r="L3" s="95"/>
      <c r="M3" s="129" t="s">
        <v>245</v>
      </c>
    </row>
    <row r="4" customFormat="false" ht="18.75" hidden="false" customHeight="true" outlineLevel="0" collapsed="false">
      <c r="B4" s="426"/>
      <c r="C4" s="426"/>
      <c r="D4" s="426"/>
      <c r="E4" s="426"/>
      <c r="F4" s="426"/>
      <c r="G4" s="130" t="s">
        <v>87</v>
      </c>
      <c r="H4" s="130" t="s">
        <v>340</v>
      </c>
      <c r="I4" s="130" t="s">
        <v>87</v>
      </c>
      <c r="J4" s="130" t="s">
        <v>340</v>
      </c>
      <c r="K4" s="130" t="s">
        <v>87</v>
      </c>
      <c r="L4" s="130" t="s">
        <v>340</v>
      </c>
      <c r="M4" s="129"/>
    </row>
    <row r="5" customFormat="false" ht="23.25" hidden="false" customHeight="true" outlineLevel="0" collapsed="false">
      <c r="B5" s="427" t="n">
        <v>1</v>
      </c>
      <c r="C5" s="428" t="s">
        <v>214</v>
      </c>
      <c r="D5" s="428" t="s">
        <v>341</v>
      </c>
      <c r="E5" s="428" t="s">
        <v>342</v>
      </c>
      <c r="F5" s="428" t="s">
        <v>343</v>
      </c>
      <c r="G5" s="429" t="n">
        <v>82269423</v>
      </c>
      <c r="H5" s="109" t="n">
        <f aca="false">G5/G$16</f>
        <v>0.334626751197819</v>
      </c>
      <c r="I5" s="429" t="n">
        <v>71237245</v>
      </c>
      <c r="J5" s="109" t="n">
        <f aca="false">I5/I$16</f>
        <v>0.255062009461949</v>
      </c>
      <c r="K5" s="429" t="n">
        <v>22061238</v>
      </c>
      <c r="L5" s="109" t="n">
        <f aca="false">K5/K$16</f>
        <v>0.288851778450025</v>
      </c>
      <c r="M5" s="38" t="s">
        <v>344</v>
      </c>
    </row>
    <row r="6" customFormat="false" ht="23.25" hidden="false" customHeight="true" outlineLevel="0" collapsed="false">
      <c r="B6" s="430" t="n">
        <v>2</v>
      </c>
      <c r="C6" s="428" t="s">
        <v>213</v>
      </c>
      <c r="D6" s="428" t="s">
        <v>345</v>
      </c>
      <c r="E6" s="428" t="s">
        <v>346</v>
      </c>
      <c r="F6" s="428" t="s">
        <v>347</v>
      </c>
      <c r="G6" s="429" t="n">
        <v>53032962</v>
      </c>
      <c r="H6" s="109" t="n">
        <f aca="false">G6/G$16</f>
        <v>0.215708912659536</v>
      </c>
      <c r="I6" s="429" t="n">
        <v>69182071</v>
      </c>
      <c r="J6" s="109" t="n">
        <f aca="false">I6/I$16</f>
        <v>0.247703543953717</v>
      </c>
      <c r="K6" s="429" t="n">
        <v>18857470</v>
      </c>
      <c r="L6" s="109" t="n">
        <f aca="false">K6/K$16</f>
        <v>0.24690426469122</v>
      </c>
      <c r="M6" s="431" t="s">
        <v>348</v>
      </c>
    </row>
    <row r="7" customFormat="false" ht="23.25" hidden="false" customHeight="true" outlineLevel="0" collapsed="false">
      <c r="B7" s="432" t="n">
        <v>3</v>
      </c>
      <c r="C7" s="319" t="s">
        <v>215</v>
      </c>
      <c r="D7" s="428" t="s">
        <v>349</v>
      </c>
      <c r="E7" s="428" t="s">
        <v>350</v>
      </c>
      <c r="F7" s="428" t="s">
        <v>351</v>
      </c>
      <c r="G7" s="429" t="n">
        <v>30216990</v>
      </c>
      <c r="H7" s="109" t="n">
        <f aca="false">G7/G$16</f>
        <v>0.122906091059822</v>
      </c>
      <c r="I7" s="429" t="n">
        <v>52711575</v>
      </c>
      <c r="J7" s="109" t="n">
        <f aca="false">I7/I$16</f>
        <v>0.188731614219559</v>
      </c>
      <c r="K7" s="429" t="n">
        <v>16127361</v>
      </c>
      <c r="L7" s="109" t="n">
        <f aca="false">K7/K$16</f>
        <v>0.211158453870793</v>
      </c>
      <c r="M7" s="433" t="s">
        <v>352</v>
      </c>
    </row>
    <row r="8" customFormat="false" ht="23.25" hidden="false" customHeight="true" outlineLevel="0" collapsed="false">
      <c r="B8" s="430" t="n">
        <v>4</v>
      </c>
      <c r="C8" s="319" t="s">
        <v>211</v>
      </c>
      <c r="D8" s="428" t="s">
        <v>353</v>
      </c>
      <c r="E8" s="428" t="s">
        <v>354</v>
      </c>
      <c r="F8" s="428" t="s">
        <v>355</v>
      </c>
      <c r="G8" s="429" t="n">
        <v>41292167</v>
      </c>
      <c r="H8" s="109" t="n">
        <f aca="false">G8/G$16</f>
        <v>0.16795381794677</v>
      </c>
      <c r="I8" s="429" t="n">
        <v>41499185</v>
      </c>
      <c r="J8" s="109" t="n">
        <f aca="false">I8/I$16</f>
        <v>0.148586115551397</v>
      </c>
      <c r="K8" s="429" t="n">
        <v>10793632</v>
      </c>
      <c r="L8" s="109" t="n">
        <f aca="false">K8/K$16</f>
        <v>0.141322975579843</v>
      </c>
      <c r="M8" s="431" t="s">
        <v>356</v>
      </c>
    </row>
    <row r="9" customFormat="false" ht="23.25" hidden="false" customHeight="true" outlineLevel="0" collapsed="false">
      <c r="B9" s="432" t="n">
        <v>5</v>
      </c>
      <c r="C9" s="428" t="s">
        <v>216</v>
      </c>
      <c r="D9" s="428" t="s">
        <v>357</v>
      </c>
      <c r="E9" s="428" t="s">
        <v>358</v>
      </c>
      <c r="F9" s="428" t="s">
        <v>359</v>
      </c>
      <c r="G9" s="429" t="n">
        <v>11911168</v>
      </c>
      <c r="H9" s="109" t="n">
        <f aca="false">G9/G$16</f>
        <v>0.0484480783438997</v>
      </c>
      <c r="I9" s="429" t="n">
        <v>29485971</v>
      </c>
      <c r="J9" s="109" t="n">
        <f aca="false">I9/I$16</f>
        <v>0.105573299672057</v>
      </c>
      <c r="K9" s="429" t="n">
        <v>4619634</v>
      </c>
      <c r="L9" s="109" t="n">
        <f aca="false">K9/K$16</f>
        <v>0.0604857033267219</v>
      </c>
      <c r="M9" s="431"/>
    </row>
    <row r="10" customFormat="false" ht="23.25" hidden="false" customHeight="true" outlineLevel="0" collapsed="false">
      <c r="B10" s="430" t="n">
        <v>6</v>
      </c>
      <c r="C10" s="428" t="s">
        <v>360</v>
      </c>
      <c r="D10" s="428" t="s">
        <v>361</v>
      </c>
      <c r="E10" s="428" t="s">
        <v>362</v>
      </c>
      <c r="F10" s="428" t="s">
        <v>363</v>
      </c>
      <c r="G10" s="429" t="n">
        <v>3992000</v>
      </c>
      <c r="H10" s="109" t="n">
        <f aca="false">G10/G$16</f>
        <v>0.0162372597505843</v>
      </c>
      <c r="I10" s="429" t="n">
        <v>4101279</v>
      </c>
      <c r="J10" s="109" t="n">
        <f aca="false">I10/I$16</f>
        <v>0.014684459837043</v>
      </c>
      <c r="K10" s="429" t="n">
        <v>599226</v>
      </c>
      <c r="L10" s="109" t="n">
        <f aca="false">K10/K$16</f>
        <v>0.00784577437555838</v>
      </c>
      <c r="M10" s="431"/>
    </row>
    <row r="11" customFormat="false" ht="23.25" hidden="false" customHeight="true" outlineLevel="0" collapsed="false">
      <c r="B11" s="432" t="n">
        <v>7</v>
      </c>
      <c r="C11" s="428" t="s">
        <v>364</v>
      </c>
      <c r="D11" s="428" t="s">
        <v>365</v>
      </c>
      <c r="E11" s="428" t="s">
        <v>362</v>
      </c>
      <c r="F11" s="428" t="s">
        <v>366</v>
      </c>
      <c r="G11" s="429" t="n">
        <v>4452000</v>
      </c>
      <c r="H11" s="109" t="n">
        <f aca="false">G11/G$16</f>
        <v>0.0181082866757518</v>
      </c>
      <c r="I11" s="429" t="n">
        <v>3464000</v>
      </c>
      <c r="J11" s="109" t="n">
        <f aca="false">I11/I$16</f>
        <v>0.0124027087344014</v>
      </c>
      <c r="K11" s="429" t="n">
        <v>872000</v>
      </c>
      <c r="L11" s="109" t="n">
        <f aca="false">K11/K$16</f>
        <v>0.0114172536830627</v>
      </c>
      <c r="M11" s="431"/>
    </row>
    <row r="12" customFormat="false" ht="23.25" hidden="false" customHeight="true" outlineLevel="0" collapsed="false">
      <c r="B12" s="430" t="n">
        <v>8</v>
      </c>
      <c r="C12" s="428" t="s">
        <v>367</v>
      </c>
      <c r="D12" s="428" t="s">
        <v>365</v>
      </c>
      <c r="E12" s="428" t="s">
        <v>368</v>
      </c>
      <c r="F12" s="428" t="s">
        <v>369</v>
      </c>
      <c r="G12" s="429" t="n">
        <v>2222910</v>
      </c>
      <c r="H12" s="109" t="n">
        <f aca="false">G12/G$16</f>
        <v>0.00904157491787859</v>
      </c>
      <c r="I12" s="429" t="n">
        <v>2906050</v>
      </c>
      <c r="J12" s="109" t="n">
        <f aca="false">I12/I$16</f>
        <v>0.0104049918353369</v>
      </c>
      <c r="K12" s="429" t="n">
        <v>1096030</v>
      </c>
      <c r="L12" s="109" t="n">
        <f aca="false">K12/K$16</f>
        <v>0.0143505189842284</v>
      </c>
      <c r="M12" s="431" t="s">
        <v>370</v>
      </c>
    </row>
    <row r="13" customFormat="false" ht="23.25" hidden="false" customHeight="true" outlineLevel="0" collapsed="false">
      <c r="B13" s="432" t="n">
        <v>9</v>
      </c>
      <c r="C13" s="428" t="s">
        <v>371</v>
      </c>
      <c r="D13" s="428" t="s">
        <v>372</v>
      </c>
      <c r="E13" s="428" t="s">
        <v>366</v>
      </c>
      <c r="F13" s="428" t="s">
        <v>351</v>
      </c>
      <c r="G13" s="429" t="n">
        <v>1458259</v>
      </c>
      <c r="H13" s="109" t="n">
        <f aca="false">G13/G$16</f>
        <v>0.00593139533232147</v>
      </c>
      <c r="I13" s="429" t="n">
        <v>2494173</v>
      </c>
      <c r="J13" s="109" t="n">
        <f aca="false">I13/I$16</f>
        <v>0.00893028327142267</v>
      </c>
      <c r="K13" s="429" t="n">
        <v>732983</v>
      </c>
      <c r="L13" s="109" t="n">
        <f aca="false">K13/K$16</f>
        <v>0.00959707896372973</v>
      </c>
      <c r="M13" s="431"/>
    </row>
    <row r="14" customFormat="false" ht="23.25" hidden="false" customHeight="true" outlineLevel="0" collapsed="false">
      <c r="B14" s="430" t="n">
        <v>10</v>
      </c>
      <c r="C14" s="428" t="s">
        <v>373</v>
      </c>
      <c r="D14" s="428" t="s">
        <v>374</v>
      </c>
      <c r="E14" s="428" t="s">
        <v>375</v>
      </c>
      <c r="F14" s="428" t="s">
        <v>376</v>
      </c>
      <c r="G14" s="429" t="n">
        <v>10444005</v>
      </c>
      <c r="H14" s="109" t="n">
        <f aca="false">G14/G$16</f>
        <v>0.0424804664382268</v>
      </c>
      <c r="I14" s="429" t="n">
        <v>0</v>
      </c>
      <c r="J14" s="109" t="n">
        <f aca="false">I14/I$16</f>
        <v>0</v>
      </c>
      <c r="K14" s="429" t="n">
        <v>0</v>
      </c>
      <c r="L14" s="109" t="n">
        <f aca="false">K14/K$16</f>
        <v>0</v>
      </c>
      <c r="M14" s="431" t="s">
        <v>377</v>
      </c>
    </row>
    <row r="15" customFormat="false" ht="23.25" hidden="false" customHeight="true" outlineLevel="0" collapsed="false">
      <c r="B15" s="434"/>
      <c r="C15" s="435" t="s">
        <v>378</v>
      </c>
      <c r="D15" s="435"/>
      <c r="E15" s="435"/>
      <c r="F15" s="435"/>
      <c r="G15" s="429" t="n">
        <v>4562408</v>
      </c>
      <c r="H15" s="109" t="n">
        <f aca="false">G15/G$16</f>
        <v>0.0185573656773907</v>
      </c>
      <c r="I15" s="429" t="n">
        <v>2212279</v>
      </c>
      <c r="J15" s="109" t="n">
        <f aca="false">I15/I$16</f>
        <v>0.0079209734631157</v>
      </c>
      <c r="K15" s="429" t="n">
        <v>616061</v>
      </c>
      <c r="L15" s="109" t="n">
        <f aca="false">K15/K$16</f>
        <v>0.00806619807481797</v>
      </c>
      <c r="M15" s="431"/>
    </row>
    <row r="16" customFormat="false" ht="23.25" hidden="false" customHeight="true" outlineLevel="0" collapsed="false">
      <c r="B16" s="436"/>
      <c r="C16" s="437" t="s">
        <v>77</v>
      </c>
      <c r="D16" s="437"/>
      <c r="E16" s="437"/>
      <c r="F16" s="437"/>
      <c r="G16" s="438" t="n">
        <f aca="false">SUM(G5:G15)</f>
        <v>245854292</v>
      </c>
      <c r="H16" s="439" t="s">
        <v>112</v>
      </c>
      <c r="I16" s="438" t="n">
        <f aca="false">SUM(I5:I15)</f>
        <v>279293828</v>
      </c>
      <c r="J16" s="439" t="s">
        <v>112</v>
      </c>
      <c r="K16" s="438" t="n">
        <f aca="false">SUM(K5:K15)</f>
        <v>76375635</v>
      </c>
      <c r="L16" s="439"/>
      <c r="M16" s="51"/>
    </row>
    <row r="18" customFormat="false" ht="18" hidden="false" customHeight="false" outlineLevel="0" collapsed="false">
      <c r="B18" s="46" t="s">
        <v>379</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390625" defaultRowHeight="18" zeroHeight="false" outlineLevelRow="0" outlineLevelCol="0"/>
  <cols>
    <col collapsed="false" customWidth="true" hidden="false" outlineLevel="0" max="1" min="1" style="2" width="3.75"/>
    <col collapsed="false" customWidth="true" hidden="false" outlineLevel="0" max="2" min="2" style="2" width="4.33"/>
    <col collapsed="false" customWidth="true" hidden="false" outlineLevel="0" max="4" min="3" style="2" width="30.33"/>
    <col collapsed="false" customWidth="true" hidden="false" outlineLevel="0" max="5" min="5" style="2" width="16.09"/>
    <col collapsed="false" customWidth="true" hidden="false" outlineLevel="0" max="6" min="6" style="2" width="11.5"/>
    <col collapsed="false" customWidth="true" hidden="false" outlineLevel="0" max="7" min="7" style="2" width="8.5"/>
    <col collapsed="false" customWidth="true" hidden="false" outlineLevel="0" max="8" min="8" style="2" width="11.5"/>
    <col collapsed="false" customWidth="true" hidden="false" outlineLevel="0" max="9" min="9" style="2" width="8.5"/>
    <col collapsed="false" customWidth="true" hidden="false" outlineLevel="0" max="10" min="10" style="2" width="11.5"/>
    <col collapsed="false" customWidth="true" hidden="false" outlineLevel="0" max="11" min="11" style="2" width="8.5"/>
    <col collapsed="false" customWidth="true" hidden="false" outlineLevel="0" max="12" min="12" style="2" width="31.5"/>
    <col collapsed="false" customWidth="false" hidden="false" outlineLevel="0" max="16384" min="13" style="2" width="8.76"/>
  </cols>
  <sheetData>
    <row r="2" customFormat="false" ht="18" hidden="false" customHeight="false" outlineLevel="0" collapsed="false">
      <c r="K2" s="48" t="s">
        <v>50</v>
      </c>
    </row>
    <row r="3" customFormat="false" ht="18.75" hidden="false" customHeight="true" outlineLevel="0" collapsed="false">
      <c r="B3" s="426" t="s">
        <v>255</v>
      </c>
      <c r="C3" s="24" t="s">
        <v>380</v>
      </c>
      <c r="D3" s="24" t="s">
        <v>381</v>
      </c>
      <c r="E3" s="24" t="s">
        <v>300</v>
      </c>
      <c r="F3" s="95" t="str">
        <f aca="false">'BS(借方)'!D4</f>
        <v>25年5月期
（第36期）</v>
      </c>
      <c r="G3" s="95"/>
      <c r="H3" s="95" t="str">
        <f aca="false">'BS(借方)'!E4</f>
        <v>26年5月期
（第37期）</v>
      </c>
      <c r="I3" s="95"/>
      <c r="J3" s="95" t="s">
        <v>339</v>
      </c>
      <c r="K3" s="95"/>
      <c r="L3" s="129" t="s">
        <v>245</v>
      </c>
    </row>
    <row r="4" customFormat="false" ht="18.75" hidden="false" customHeight="true" outlineLevel="0" collapsed="false">
      <c r="B4" s="426"/>
      <c r="C4" s="426"/>
      <c r="D4" s="426"/>
      <c r="E4" s="426"/>
      <c r="F4" s="130" t="s">
        <v>382</v>
      </c>
      <c r="G4" s="130" t="s">
        <v>340</v>
      </c>
      <c r="H4" s="130" t="s">
        <v>382</v>
      </c>
      <c r="I4" s="130" t="s">
        <v>340</v>
      </c>
      <c r="J4" s="130" t="s">
        <v>382</v>
      </c>
      <c r="K4" s="130" t="s">
        <v>340</v>
      </c>
      <c r="L4" s="129"/>
    </row>
    <row r="5" customFormat="false" ht="23.25" hidden="false" customHeight="true" outlineLevel="0" collapsed="false">
      <c r="B5" s="427" t="n">
        <v>1</v>
      </c>
      <c r="C5" s="428" t="s">
        <v>367</v>
      </c>
      <c r="D5" s="428" t="s">
        <v>383</v>
      </c>
      <c r="E5" s="428" t="s">
        <v>368</v>
      </c>
      <c r="F5" s="429" t="n">
        <v>13589666</v>
      </c>
      <c r="G5" s="109" t="n">
        <f aca="false">F5/F$16</f>
        <v>0.206962893230214</v>
      </c>
      <c r="H5" s="429" t="n">
        <v>16822700</v>
      </c>
      <c r="I5" s="109" t="n">
        <f aca="false">H5/H$16</f>
        <v>0.257019686030104</v>
      </c>
      <c r="J5" s="429" t="n">
        <v>4693744</v>
      </c>
      <c r="K5" s="109" t="n">
        <f aca="false">J5/J$16</f>
        <v>0.245105136465054</v>
      </c>
      <c r="L5" s="38"/>
    </row>
    <row r="6" customFormat="false" ht="23.25" hidden="false" customHeight="true" outlineLevel="0" collapsed="false">
      <c r="B6" s="430" t="n">
        <v>2</v>
      </c>
      <c r="C6" s="428" t="s">
        <v>384</v>
      </c>
      <c r="D6" s="428" t="s">
        <v>385</v>
      </c>
      <c r="E6" s="428" t="s">
        <v>386</v>
      </c>
      <c r="F6" s="429" t="n">
        <v>15369144</v>
      </c>
      <c r="G6" s="109" t="n">
        <f aca="false">F6/F$16</f>
        <v>0.234063332293214</v>
      </c>
      <c r="H6" s="429" t="n">
        <v>13670867</v>
      </c>
      <c r="I6" s="109" t="n">
        <f aca="false">H6/H$16</f>
        <v>0.208865517669536</v>
      </c>
      <c r="J6" s="429" t="n">
        <v>3845414</v>
      </c>
      <c r="K6" s="109" t="n">
        <f aca="false">J6/J$16</f>
        <v>0.20080573700539</v>
      </c>
      <c r="L6" s="431"/>
    </row>
    <row r="7" customFormat="false" ht="23.25" hidden="false" customHeight="true" outlineLevel="0" collapsed="false">
      <c r="B7" s="432" t="n">
        <v>3</v>
      </c>
      <c r="C7" s="428" t="s">
        <v>387</v>
      </c>
      <c r="D7" s="428" t="s">
        <v>369</v>
      </c>
      <c r="E7" s="428" t="s">
        <v>388</v>
      </c>
      <c r="F7" s="429" t="n">
        <v>13705047</v>
      </c>
      <c r="G7" s="109" t="n">
        <f aca="false">F7/F$16</f>
        <v>0.208720080315151</v>
      </c>
      <c r="H7" s="429" t="n">
        <v>13639260</v>
      </c>
      <c r="I7" s="109" t="n">
        <f aca="false">H7/H$16</f>
        <v>0.208382621272623</v>
      </c>
      <c r="J7" s="429" t="n">
        <v>2933020</v>
      </c>
      <c r="K7" s="109" t="n">
        <f aca="false">J7/J$16</f>
        <v>0.153160945154813</v>
      </c>
      <c r="L7" s="431"/>
    </row>
    <row r="8" customFormat="false" ht="23.25" hidden="false" customHeight="true" outlineLevel="0" collapsed="false">
      <c r="B8" s="430" t="n">
        <v>4</v>
      </c>
      <c r="C8" s="428" t="s">
        <v>389</v>
      </c>
      <c r="D8" s="428" t="s">
        <v>390</v>
      </c>
      <c r="E8" s="428" t="s">
        <v>391</v>
      </c>
      <c r="F8" s="429" t="n">
        <v>6176684</v>
      </c>
      <c r="G8" s="109" t="n">
        <f aca="false">F8/F$16</f>
        <v>0.0940673885001128</v>
      </c>
      <c r="H8" s="429" t="n">
        <v>7167877</v>
      </c>
      <c r="I8" s="109" t="n">
        <f aca="false">H8/H$16</f>
        <v>0.109511879546232</v>
      </c>
      <c r="J8" s="429" t="n">
        <v>1818930</v>
      </c>
      <c r="K8" s="109" t="n">
        <f aca="false">J8/J$16</f>
        <v>0.0949836816559191</v>
      </c>
      <c r="L8" s="431"/>
    </row>
    <row r="9" customFormat="false" ht="23.25" hidden="false" customHeight="true" outlineLevel="0" collapsed="false">
      <c r="B9" s="432" t="n">
        <v>5</v>
      </c>
      <c r="C9" s="319" t="s">
        <v>392</v>
      </c>
      <c r="D9" s="428" t="s">
        <v>369</v>
      </c>
      <c r="E9" s="428" t="s">
        <v>393</v>
      </c>
      <c r="F9" s="429" t="n">
        <v>3254300</v>
      </c>
      <c r="G9" s="109" t="n">
        <f aca="false">F9/F$16</f>
        <v>0.0495611403134622</v>
      </c>
      <c r="H9" s="429" t="n">
        <v>4418900</v>
      </c>
      <c r="I9" s="109" t="n">
        <f aca="false">H9/H$16</f>
        <v>0.0675126044332019</v>
      </c>
      <c r="J9" s="429" t="n">
        <v>2433900</v>
      </c>
      <c r="K9" s="109" t="n">
        <f aca="false">J9/J$16</f>
        <v>0.127097130061268</v>
      </c>
      <c r="L9" s="431" t="s">
        <v>394</v>
      </c>
    </row>
    <row r="10" customFormat="false" ht="23.25" hidden="false" customHeight="true" outlineLevel="0" collapsed="false">
      <c r="B10" s="430" t="n">
        <v>6</v>
      </c>
      <c r="C10" s="428" t="s">
        <v>395</v>
      </c>
      <c r="D10" s="428" t="s">
        <v>369</v>
      </c>
      <c r="E10" s="428" t="s">
        <v>366</v>
      </c>
      <c r="F10" s="429" t="n">
        <v>3815850</v>
      </c>
      <c r="G10" s="109" t="n">
        <f aca="false">F10/F$16</f>
        <v>0.0581132278109347</v>
      </c>
      <c r="H10" s="429" t="n">
        <v>3385950</v>
      </c>
      <c r="I10" s="109" t="n">
        <f aca="false">H10/H$16</f>
        <v>0.0517310423364638</v>
      </c>
      <c r="J10" s="429" t="n">
        <v>1381560</v>
      </c>
      <c r="K10" s="109" t="n">
        <f aca="false">J10/J$16</f>
        <v>0.0721444229456612</v>
      </c>
      <c r="L10" s="431"/>
    </row>
    <row r="11" customFormat="false" ht="23.25" hidden="false" customHeight="true" outlineLevel="0" collapsed="false">
      <c r="B11" s="432" t="n">
        <v>7</v>
      </c>
      <c r="C11" s="428" t="s">
        <v>396</v>
      </c>
      <c r="D11" s="428" t="s">
        <v>397</v>
      </c>
      <c r="E11" s="428" t="s">
        <v>366</v>
      </c>
      <c r="F11" s="429" t="n">
        <v>4206300</v>
      </c>
      <c r="G11" s="109" t="n">
        <f aca="false">F11/F$16</f>
        <v>0.0640595595060431</v>
      </c>
      <c r="H11" s="429" t="n">
        <v>2224700</v>
      </c>
      <c r="I11" s="109" t="n">
        <f aca="false">H11/H$16</f>
        <v>0.0339892939606111</v>
      </c>
      <c r="J11" s="429" t="n">
        <v>550000</v>
      </c>
      <c r="K11" s="109" t="n">
        <f aca="false">J11/J$16</f>
        <v>0.028720745114301</v>
      </c>
      <c r="L11" s="431" t="s">
        <v>398</v>
      </c>
    </row>
    <row r="12" customFormat="false" ht="23.25" hidden="false" customHeight="true" outlineLevel="0" collapsed="false">
      <c r="B12" s="430" t="n">
        <v>8</v>
      </c>
      <c r="C12" s="428" t="s">
        <v>399</v>
      </c>
      <c r="D12" s="428" t="s">
        <v>369</v>
      </c>
      <c r="E12" s="428" t="s">
        <v>366</v>
      </c>
      <c r="F12" s="429" t="n">
        <v>2983530</v>
      </c>
      <c r="G12" s="109" t="n">
        <f aca="false">F12/F$16</f>
        <v>0.0454374670311354</v>
      </c>
      <c r="H12" s="429" t="n">
        <v>1416614</v>
      </c>
      <c r="I12" s="109" t="n">
        <f aca="false">H12/H$16</f>
        <v>0.0216432371442069</v>
      </c>
      <c r="J12" s="429" t="n">
        <v>615900</v>
      </c>
      <c r="K12" s="109" t="n">
        <f aca="false">J12/J$16</f>
        <v>0.03216201257436</v>
      </c>
      <c r="L12" s="431"/>
    </row>
    <row r="13" customFormat="false" ht="23.25" hidden="false" customHeight="true" outlineLevel="0" collapsed="false">
      <c r="B13" s="432" t="n">
        <v>9</v>
      </c>
      <c r="C13" s="428" t="s">
        <v>400</v>
      </c>
      <c r="D13" s="428" t="s">
        <v>401</v>
      </c>
      <c r="E13" s="428" t="s">
        <v>402</v>
      </c>
      <c r="F13" s="429" t="n">
        <v>1062690</v>
      </c>
      <c r="G13" s="109" t="n">
        <f aca="false">F13/F$16</f>
        <v>0.0161841650123569</v>
      </c>
      <c r="H13" s="429" t="n">
        <v>599800</v>
      </c>
      <c r="I13" s="109" t="n">
        <f aca="false">H13/H$16</f>
        <v>0.0091638326594932</v>
      </c>
      <c r="J13" s="429" t="n">
        <v>197560</v>
      </c>
      <c r="K13" s="109" t="n">
        <f aca="false">J13/J$16</f>
        <v>0.0103164916450569</v>
      </c>
      <c r="L13" s="431"/>
    </row>
    <row r="14" customFormat="false" ht="23.25" hidden="false" customHeight="true" outlineLevel="0" collapsed="false">
      <c r="B14" s="430" t="n">
        <v>10</v>
      </c>
      <c r="C14" s="428" t="s">
        <v>403</v>
      </c>
      <c r="D14" s="428" t="s">
        <v>404</v>
      </c>
      <c r="E14" s="428" t="s">
        <v>366</v>
      </c>
      <c r="F14" s="429" t="n">
        <v>0</v>
      </c>
      <c r="G14" s="109" t="n">
        <f aca="false">F14/F$16</f>
        <v>0</v>
      </c>
      <c r="H14" s="429" t="n">
        <v>805000</v>
      </c>
      <c r="I14" s="109" t="n">
        <f aca="false">H14/H$16</f>
        <v>0.0122989084543048</v>
      </c>
      <c r="J14" s="429" t="n">
        <v>236300</v>
      </c>
      <c r="K14" s="109" t="n">
        <f aca="false">J14/J$16</f>
        <v>0.0123394764918351</v>
      </c>
      <c r="L14" s="431"/>
    </row>
    <row r="15" customFormat="false" ht="23.25" hidden="false" customHeight="true" outlineLevel="0" collapsed="false">
      <c r="B15" s="253"/>
      <c r="C15" s="435" t="s">
        <v>217</v>
      </c>
      <c r="D15" s="435"/>
      <c r="E15" s="435"/>
      <c r="F15" s="429" t="n">
        <v>1499120</v>
      </c>
      <c r="G15" s="109" t="n">
        <f aca="false">F15/F$16</f>
        <v>0.0228307459873759</v>
      </c>
      <c r="H15" s="429" t="n">
        <v>1301295</v>
      </c>
      <c r="I15" s="109" t="n">
        <f aca="false">H15/H$16</f>
        <v>0.0198813764932231</v>
      </c>
      <c r="J15" s="429" t="n">
        <v>443593</v>
      </c>
      <c r="K15" s="109" t="n">
        <f aca="false">J15/J$16</f>
        <v>0.023164220886342</v>
      </c>
      <c r="L15" s="431"/>
    </row>
    <row r="16" customFormat="false" ht="23.25" hidden="false" customHeight="true" outlineLevel="0" collapsed="false">
      <c r="B16" s="436"/>
      <c r="C16" s="437" t="s">
        <v>77</v>
      </c>
      <c r="D16" s="437"/>
      <c r="E16" s="437"/>
      <c r="F16" s="438" t="n">
        <f aca="false">SUM(F5:F15)</f>
        <v>65662331</v>
      </c>
      <c r="G16" s="439"/>
      <c r="H16" s="438" t="n">
        <f aca="false">SUM(H5:H15)</f>
        <v>65452963</v>
      </c>
      <c r="I16" s="439"/>
      <c r="J16" s="438" t="n">
        <f aca="false">SUM(J5:J15)</f>
        <v>19149921</v>
      </c>
      <c r="K16" s="439"/>
      <c r="L16" s="51"/>
    </row>
    <row r="18" customFormat="false" ht="18" hidden="false" customHeight="false" outlineLevel="0" collapsed="false">
      <c r="B18" s="46" t="s">
        <v>405</v>
      </c>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390625" defaultRowHeight="18" zeroHeight="false" outlineLevelRow="0" outlineLevelCol="0"/>
  <cols>
    <col collapsed="false" customWidth="true" hidden="false" outlineLevel="0" max="1" min="1" style="2" width="3.75"/>
    <col collapsed="false" customWidth="true" hidden="false" outlineLevel="0" max="2" min="2" style="2" width="4.33"/>
    <col collapsed="false" customWidth="true" hidden="false" outlineLevel="0" max="4" min="3" style="2" width="30.33"/>
    <col collapsed="false" customWidth="true" hidden="false" outlineLevel="0" max="5" min="5" style="2" width="16.09"/>
    <col collapsed="false" customWidth="true" hidden="false" outlineLevel="0" max="6" min="6" style="2" width="19.08"/>
    <col collapsed="false" customWidth="true" hidden="false" outlineLevel="0" max="7" min="7" style="2" width="11.5"/>
    <col collapsed="false" customWidth="true" hidden="false" outlineLevel="0" max="8" min="8" style="2" width="8.5"/>
    <col collapsed="false" customWidth="true" hidden="false" outlineLevel="0" max="9" min="9" style="2" width="11.5"/>
    <col collapsed="false" customWidth="true" hidden="false" outlineLevel="0" max="10" min="10" style="2" width="8.5"/>
    <col collapsed="false" customWidth="true" hidden="false" outlineLevel="0" max="11" min="11" style="2" width="11.5"/>
    <col collapsed="false" customWidth="true" hidden="false" outlineLevel="0" max="12" min="12" style="2" width="8.5"/>
    <col collapsed="false" customWidth="true" hidden="false" outlineLevel="0" max="13" min="13" style="2" width="31.5"/>
    <col collapsed="false" customWidth="false" hidden="false" outlineLevel="0" max="16384" min="14" style="2" width="8.76"/>
  </cols>
  <sheetData>
    <row r="2" customFormat="false" ht="18" hidden="false" customHeight="false" outlineLevel="0" collapsed="false">
      <c r="L2" s="48" t="s">
        <v>50</v>
      </c>
    </row>
    <row r="3" customFormat="false" ht="18.75" hidden="false" customHeight="true" outlineLevel="0" collapsed="false">
      <c r="B3" s="426" t="s">
        <v>255</v>
      </c>
      <c r="C3" s="24" t="s">
        <v>406</v>
      </c>
      <c r="D3" s="24" t="s">
        <v>407</v>
      </c>
      <c r="E3" s="24" t="s">
        <v>300</v>
      </c>
      <c r="F3" s="24" t="s">
        <v>338</v>
      </c>
      <c r="G3" s="95" t="str">
        <f aca="false">'BS(借方)'!D4</f>
        <v>25年5月期
（第36期）</v>
      </c>
      <c r="H3" s="95"/>
      <c r="I3" s="95" t="str">
        <f aca="false">'BS(借方)'!E4</f>
        <v>26年5月期
（第37期）</v>
      </c>
      <c r="J3" s="95"/>
      <c r="K3" s="95" t="s">
        <v>339</v>
      </c>
      <c r="L3" s="95"/>
      <c r="M3" s="129" t="s">
        <v>245</v>
      </c>
    </row>
    <row r="4" customFormat="false" ht="18.75" hidden="false" customHeight="true" outlineLevel="0" collapsed="false">
      <c r="B4" s="426"/>
      <c r="C4" s="426"/>
      <c r="D4" s="426"/>
      <c r="E4" s="426"/>
      <c r="F4" s="426"/>
      <c r="G4" s="130" t="s">
        <v>120</v>
      </c>
      <c r="H4" s="130" t="s">
        <v>340</v>
      </c>
      <c r="I4" s="130" t="s">
        <v>120</v>
      </c>
      <c r="J4" s="130" t="s">
        <v>340</v>
      </c>
      <c r="K4" s="130" t="s">
        <v>120</v>
      </c>
      <c r="L4" s="130" t="s">
        <v>340</v>
      </c>
      <c r="M4" s="129"/>
    </row>
    <row r="5" customFormat="false" ht="23.25" hidden="false" customHeight="true" outlineLevel="0" collapsed="false">
      <c r="B5" s="427" t="n">
        <v>1</v>
      </c>
      <c r="C5" s="428" t="s">
        <v>408</v>
      </c>
      <c r="D5" s="319" t="s">
        <v>409</v>
      </c>
      <c r="E5" s="428" t="s">
        <v>410</v>
      </c>
      <c r="F5" s="428" t="s">
        <v>411</v>
      </c>
      <c r="G5" s="429" t="n">
        <v>3116000</v>
      </c>
      <c r="H5" s="109" t="n">
        <f aca="false">G5/G$16</f>
        <v>0.0717081318862589</v>
      </c>
      <c r="I5" s="429" t="n">
        <v>32924747</v>
      </c>
      <c r="J5" s="109" t="n">
        <f aca="false">I5/I$16</f>
        <v>0.500631012797626</v>
      </c>
      <c r="K5" s="429" t="n">
        <v>11557007</v>
      </c>
      <c r="L5" s="109" t="n">
        <f aca="false">K5/K$16</f>
        <v>0.526746845901778</v>
      </c>
      <c r="M5" s="440" t="s">
        <v>412</v>
      </c>
    </row>
    <row r="6" customFormat="false" ht="23.25" hidden="false" customHeight="true" outlineLevel="0" collapsed="false">
      <c r="B6" s="430" t="n">
        <v>2</v>
      </c>
      <c r="C6" s="428" t="s">
        <v>413</v>
      </c>
      <c r="D6" s="428" t="s">
        <v>414</v>
      </c>
      <c r="E6" s="428" t="s">
        <v>415</v>
      </c>
      <c r="F6" s="428" t="s">
        <v>416</v>
      </c>
      <c r="G6" s="429" t="n">
        <v>14105557</v>
      </c>
      <c r="H6" s="109" t="n">
        <f aca="false">G6/G$16</f>
        <v>0.324609480643499</v>
      </c>
      <c r="I6" s="429" t="n">
        <v>9658801</v>
      </c>
      <c r="J6" s="109" t="n">
        <f aca="false">I6/I$16</f>
        <v>0.146865071644764</v>
      </c>
      <c r="K6" s="429" t="n">
        <v>3928404</v>
      </c>
      <c r="L6" s="109" t="n">
        <f aca="false">K6/K$16</f>
        <v>0.179049334869134</v>
      </c>
      <c r="M6" s="431"/>
    </row>
    <row r="7" customFormat="false" ht="23.25" hidden="false" customHeight="true" outlineLevel="0" collapsed="false">
      <c r="B7" s="432" t="n">
        <v>3</v>
      </c>
      <c r="C7" s="428" t="s">
        <v>417</v>
      </c>
      <c r="D7" s="428" t="s">
        <v>418</v>
      </c>
      <c r="E7" s="428" t="s">
        <v>362</v>
      </c>
      <c r="F7" s="428" t="s">
        <v>419</v>
      </c>
      <c r="G7" s="429" t="n">
        <v>5379450</v>
      </c>
      <c r="H7" s="109" t="n">
        <f aca="false">G7/G$16</f>
        <v>0.123796633528734</v>
      </c>
      <c r="I7" s="429" t="n">
        <v>8262280</v>
      </c>
      <c r="J7" s="109" t="n">
        <f aca="false">I7/I$16</f>
        <v>0.125630535730998</v>
      </c>
      <c r="K7" s="429" t="n">
        <v>2079410</v>
      </c>
      <c r="L7" s="109" t="n">
        <f aca="false">K7/K$16</f>
        <v>0.0947756334175982</v>
      </c>
      <c r="M7" s="431"/>
    </row>
    <row r="8" customFormat="false" ht="23.25" hidden="false" customHeight="true" outlineLevel="0" collapsed="false">
      <c r="B8" s="430" t="n">
        <v>4</v>
      </c>
      <c r="C8" s="428" t="s">
        <v>214</v>
      </c>
      <c r="D8" s="428" t="s">
        <v>414</v>
      </c>
      <c r="E8" s="428" t="s">
        <v>342</v>
      </c>
      <c r="F8" s="428" t="s">
        <v>343</v>
      </c>
      <c r="G8" s="429" t="n">
        <v>8012000</v>
      </c>
      <c r="H8" s="109" t="n">
        <f aca="false">G8/G$16</f>
        <v>0.184379188919354</v>
      </c>
      <c r="I8" s="429" t="n">
        <v>8229000</v>
      </c>
      <c r="J8" s="109" t="n">
        <f aca="false">I8/I$16</f>
        <v>0.125124502985905</v>
      </c>
      <c r="K8" s="429" t="n">
        <v>2213365</v>
      </c>
      <c r="L8" s="109" t="n">
        <f aca="false">K8/K$16</f>
        <v>0.100881052730987</v>
      </c>
      <c r="M8" s="431" t="s">
        <v>420</v>
      </c>
    </row>
    <row r="9" customFormat="false" ht="23.25" hidden="false" customHeight="true" outlineLevel="0" collapsed="false">
      <c r="B9" s="432" t="n">
        <v>5</v>
      </c>
      <c r="C9" s="428" t="s">
        <v>421</v>
      </c>
      <c r="D9" s="428" t="s">
        <v>422</v>
      </c>
      <c r="E9" s="428" t="s">
        <v>423</v>
      </c>
      <c r="F9" s="428" t="s">
        <v>422</v>
      </c>
      <c r="G9" s="429" t="n">
        <v>762126</v>
      </c>
      <c r="H9" s="109" t="n">
        <f aca="false">G9/G$16</f>
        <v>0.0175387136463244</v>
      </c>
      <c r="I9" s="429" t="n">
        <v>5552519</v>
      </c>
      <c r="J9" s="109" t="n">
        <f aca="false">I9/I$16</f>
        <v>0.0844277773963779</v>
      </c>
      <c r="K9" s="429" t="n">
        <v>1887610</v>
      </c>
      <c r="L9" s="109" t="n">
        <f aca="false">K9/K$16</f>
        <v>0.0860337467817278</v>
      </c>
      <c r="M9" s="431"/>
    </row>
    <row r="10" customFormat="false" ht="23.25" hidden="false" customHeight="true" outlineLevel="0" collapsed="false">
      <c r="B10" s="430" t="n">
        <v>6</v>
      </c>
      <c r="C10" s="428" t="s">
        <v>424</v>
      </c>
      <c r="D10" s="428" t="s">
        <v>425</v>
      </c>
      <c r="E10" s="428" t="s">
        <v>366</v>
      </c>
      <c r="F10" s="428" t="s">
        <v>426</v>
      </c>
      <c r="G10" s="429" t="n">
        <v>1112736</v>
      </c>
      <c r="H10" s="109" t="n">
        <f aca="false">G10/G$16</f>
        <v>0.0256072592562863</v>
      </c>
      <c r="I10" s="429" t="n">
        <v>1112736</v>
      </c>
      <c r="J10" s="109" t="n">
        <f aca="false">I10/I$16</f>
        <v>0.0169194967741553</v>
      </c>
      <c r="K10" s="429" t="n">
        <v>274548</v>
      </c>
      <c r="L10" s="109" t="n">
        <f aca="false">K10/K$16</f>
        <v>0.0125133862987745</v>
      </c>
      <c r="M10" s="431" t="s">
        <v>427</v>
      </c>
    </row>
    <row r="11" customFormat="false" ht="23.25" hidden="false" customHeight="true" outlineLevel="0" collapsed="false">
      <c r="B11" s="432" t="n">
        <v>7</v>
      </c>
      <c r="C11" s="428" t="s">
        <v>428</v>
      </c>
      <c r="D11" s="428" t="s">
        <v>429</v>
      </c>
      <c r="E11" s="428" t="s">
        <v>350</v>
      </c>
      <c r="F11" s="428" t="s">
        <v>366</v>
      </c>
      <c r="G11" s="429" t="n">
        <v>7808000</v>
      </c>
      <c r="H11" s="109" t="n">
        <f aca="false">G11/G$16</f>
        <v>0.179684561542975</v>
      </c>
      <c r="I11" s="429" t="n">
        <v>0</v>
      </c>
      <c r="J11" s="109" t="n">
        <f aca="false">I11/I$16</f>
        <v>0</v>
      </c>
      <c r="K11" s="429" t="n">
        <v>0</v>
      </c>
      <c r="L11" s="109" t="n">
        <f aca="false">K11/K$16</f>
        <v>0</v>
      </c>
      <c r="M11" s="433" t="s">
        <v>430</v>
      </c>
    </row>
    <row r="12" customFormat="false" ht="23.25" hidden="false" customHeight="true" outlineLevel="0" collapsed="false">
      <c r="B12" s="430" t="n">
        <v>8</v>
      </c>
      <c r="C12" s="428" t="s">
        <v>431</v>
      </c>
      <c r="D12" s="428" t="s">
        <v>366</v>
      </c>
      <c r="E12" s="428" t="s">
        <v>366</v>
      </c>
      <c r="F12" s="428" t="s">
        <v>366</v>
      </c>
      <c r="G12" s="429" t="n">
        <v>1700000</v>
      </c>
      <c r="H12" s="109" t="n">
        <f aca="false">G12/G$16</f>
        <v>0.039121894803158</v>
      </c>
      <c r="I12" s="429" t="n">
        <v>0</v>
      </c>
      <c r="J12" s="109" t="n">
        <f aca="false">I12/I$16</f>
        <v>0</v>
      </c>
      <c r="K12" s="429" t="n">
        <v>0</v>
      </c>
      <c r="L12" s="109" t="n">
        <f aca="false">K12/K$16</f>
        <v>0</v>
      </c>
      <c r="M12" s="433" t="s">
        <v>430</v>
      </c>
    </row>
    <row r="13" customFormat="false" ht="23.25" hidden="false" customHeight="true" outlineLevel="0" collapsed="false">
      <c r="B13" s="432" t="n">
        <v>9</v>
      </c>
      <c r="C13" s="428"/>
      <c r="D13" s="428"/>
      <c r="E13" s="428"/>
      <c r="F13" s="428"/>
      <c r="G13" s="429"/>
      <c r="H13" s="109" t="n">
        <f aca="false">G13/G$16</f>
        <v>0</v>
      </c>
      <c r="I13" s="429"/>
      <c r="J13" s="109" t="n">
        <f aca="false">I13/I$16</f>
        <v>0</v>
      </c>
      <c r="K13" s="429"/>
      <c r="L13" s="109" t="n">
        <f aca="false">K13/K$16</f>
        <v>0</v>
      </c>
      <c r="M13" s="431"/>
    </row>
    <row r="14" customFormat="false" ht="23.25" hidden="false" customHeight="true" outlineLevel="0" collapsed="false">
      <c r="B14" s="430" t="n">
        <v>10</v>
      </c>
      <c r="C14" s="428"/>
      <c r="D14" s="428"/>
      <c r="E14" s="428"/>
      <c r="F14" s="428"/>
      <c r="G14" s="429"/>
      <c r="H14" s="109" t="n">
        <f aca="false">G14/G$16</f>
        <v>0</v>
      </c>
      <c r="I14" s="429"/>
      <c r="J14" s="109" t="n">
        <f aca="false">I14/I$16</f>
        <v>0</v>
      </c>
      <c r="K14" s="429"/>
      <c r="L14" s="109" t="n">
        <f aca="false">K14/K$16</f>
        <v>0</v>
      </c>
      <c r="M14" s="431"/>
    </row>
    <row r="15" customFormat="false" ht="23.25" hidden="false" customHeight="true" outlineLevel="0" collapsed="false">
      <c r="B15" s="434"/>
      <c r="C15" s="435" t="s">
        <v>217</v>
      </c>
      <c r="D15" s="435"/>
      <c r="E15" s="435"/>
      <c r="F15" s="435"/>
      <c r="G15" s="429" t="n">
        <v>1458059</v>
      </c>
      <c r="H15" s="109" t="n">
        <f aca="false">G15/G$16</f>
        <v>0.0335541357734104</v>
      </c>
      <c r="I15" s="429" t="n">
        <v>26412</v>
      </c>
      <c r="J15" s="109" t="n">
        <f aca="false">I15/I$16</f>
        <v>0.000401602670174228</v>
      </c>
      <c r="K15" s="429" t="n">
        <v>0</v>
      </c>
      <c r="L15" s="109" t="n">
        <f aca="false">K15/K$16</f>
        <v>0</v>
      </c>
      <c r="M15" s="431"/>
    </row>
    <row r="16" customFormat="false" ht="23.25" hidden="false" customHeight="true" outlineLevel="0" collapsed="false">
      <c r="B16" s="436"/>
      <c r="C16" s="437" t="s">
        <v>77</v>
      </c>
      <c r="D16" s="437"/>
      <c r="E16" s="437"/>
      <c r="F16" s="437"/>
      <c r="G16" s="438" t="n">
        <f aca="false">SUM(G5:G15)</f>
        <v>43453928</v>
      </c>
      <c r="H16" s="439" t="s">
        <v>112</v>
      </c>
      <c r="I16" s="438" t="n">
        <f aca="false">SUM(I5:I15)</f>
        <v>65766495</v>
      </c>
      <c r="J16" s="439" t="s">
        <v>112</v>
      </c>
      <c r="K16" s="438" t="n">
        <f aca="false">SUM(K5:K15)</f>
        <v>21940344</v>
      </c>
      <c r="L16" s="439"/>
      <c r="M16" s="51"/>
    </row>
    <row r="18" customFormat="false" ht="18" hidden="false" customHeight="false" outlineLevel="0" collapsed="false">
      <c r="B18" s="46" t="s">
        <v>432</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390625" defaultRowHeight="18" zeroHeight="false" outlineLevelRow="0" outlineLevelCol="0"/>
  <cols>
    <col collapsed="false" customWidth="true" hidden="false" outlineLevel="0" max="1" min="1" style="2" width="3.75"/>
    <col collapsed="false" customWidth="true" hidden="false" outlineLevel="0" max="2" min="2" style="2" width="4.33"/>
    <col collapsed="false" customWidth="true" hidden="false" outlineLevel="0" max="3" min="3" style="2" width="21.75"/>
    <col collapsed="false" customWidth="true" hidden="false" outlineLevel="0" max="7" min="4" style="2" width="19"/>
    <col collapsed="false" customWidth="true" hidden="false" outlineLevel="0" max="8" min="8" style="2" width="31.5"/>
    <col collapsed="false" customWidth="false" hidden="false" outlineLevel="0" max="16384" min="9" style="2" width="8.76"/>
  </cols>
  <sheetData>
    <row r="2" customFormat="false" ht="18" hidden="false" customHeight="false" outlineLevel="0" collapsed="false">
      <c r="E2" s="48" t="s">
        <v>50</v>
      </c>
    </row>
    <row r="3" customFormat="false" ht="18.75" hidden="false" customHeight="true" outlineLevel="0" collapsed="false">
      <c r="B3" s="426" t="s">
        <v>255</v>
      </c>
      <c r="C3" s="24" t="s">
        <v>256</v>
      </c>
      <c r="D3" s="24" t="s">
        <v>433</v>
      </c>
      <c r="E3" s="441" t="s">
        <v>434</v>
      </c>
      <c r="F3" s="24" t="s">
        <v>435</v>
      </c>
      <c r="G3" s="24" t="s">
        <v>436</v>
      </c>
      <c r="H3" s="129" t="s">
        <v>245</v>
      </c>
    </row>
    <row r="4" customFormat="false" ht="18.75" hidden="false" customHeight="true" outlineLevel="0" collapsed="false">
      <c r="B4" s="426"/>
      <c r="C4" s="426"/>
      <c r="D4" s="426"/>
      <c r="E4" s="426"/>
      <c r="F4" s="426"/>
      <c r="G4" s="426"/>
      <c r="H4" s="129"/>
    </row>
    <row r="5" customFormat="false" ht="23.25" hidden="false" customHeight="true" outlineLevel="0" collapsed="false">
      <c r="B5" s="427" t="n">
        <v>1</v>
      </c>
      <c r="C5" s="428" t="s">
        <v>437</v>
      </c>
      <c r="D5" s="428" t="s">
        <v>438</v>
      </c>
      <c r="E5" s="31" t="n">
        <v>0</v>
      </c>
      <c r="F5" s="442" t="n">
        <v>600</v>
      </c>
      <c r="G5" s="109" t="n">
        <f aca="false">F5/$F$15</f>
        <v>0.6</v>
      </c>
      <c r="H5" s="38" t="s">
        <v>439</v>
      </c>
    </row>
    <row r="6" customFormat="false" ht="23.25" hidden="false" customHeight="true" outlineLevel="0" collapsed="false">
      <c r="B6" s="430" t="n">
        <v>2</v>
      </c>
      <c r="C6" s="428" t="s">
        <v>440</v>
      </c>
      <c r="D6" s="428" t="s">
        <v>438</v>
      </c>
      <c r="E6" s="31" t="n">
        <v>0</v>
      </c>
      <c r="F6" s="442" t="n">
        <v>400</v>
      </c>
      <c r="G6" s="109" t="n">
        <f aca="false">F6/$F$15</f>
        <v>0.4</v>
      </c>
      <c r="H6" s="431" t="s">
        <v>441</v>
      </c>
    </row>
    <row r="7" customFormat="false" ht="23.25" hidden="false" customHeight="true" outlineLevel="0" collapsed="false">
      <c r="B7" s="432" t="n">
        <v>3</v>
      </c>
      <c r="C7" s="428"/>
      <c r="D7" s="428"/>
      <c r="E7" s="31"/>
      <c r="F7" s="442"/>
      <c r="G7" s="109" t="n">
        <f aca="false">F7/$F$15</f>
        <v>0</v>
      </c>
      <c r="H7" s="431"/>
    </row>
    <row r="8" customFormat="false" ht="23.25" hidden="false" customHeight="true" outlineLevel="0" collapsed="false">
      <c r="B8" s="430" t="n">
        <v>4</v>
      </c>
      <c r="C8" s="428"/>
      <c r="D8" s="428"/>
      <c r="E8" s="31"/>
      <c r="F8" s="442"/>
      <c r="G8" s="109" t="n">
        <f aca="false">F8/$F$15</f>
        <v>0</v>
      </c>
      <c r="H8" s="431"/>
    </row>
    <row r="9" customFormat="false" ht="23.25" hidden="false" customHeight="true" outlineLevel="0" collapsed="false">
      <c r="B9" s="432" t="n">
        <v>5</v>
      </c>
      <c r="C9" s="428"/>
      <c r="D9" s="428"/>
      <c r="E9" s="31"/>
      <c r="F9" s="442"/>
      <c r="G9" s="109" t="n">
        <f aca="false">F9/$F$15</f>
        <v>0</v>
      </c>
      <c r="H9" s="431"/>
    </row>
    <row r="10" customFormat="false" ht="23.25" hidden="false" customHeight="true" outlineLevel="0" collapsed="false">
      <c r="B10" s="430" t="n">
        <v>6</v>
      </c>
      <c r="C10" s="428"/>
      <c r="D10" s="428"/>
      <c r="E10" s="31"/>
      <c r="F10" s="442"/>
      <c r="G10" s="109" t="n">
        <f aca="false">F10/$F$15</f>
        <v>0</v>
      </c>
      <c r="H10" s="431"/>
    </row>
    <row r="11" customFormat="false" ht="23.25" hidden="false" customHeight="true" outlineLevel="0" collapsed="false">
      <c r="B11" s="432" t="n">
        <v>7</v>
      </c>
      <c r="C11" s="428"/>
      <c r="D11" s="428"/>
      <c r="E11" s="31"/>
      <c r="F11" s="442"/>
      <c r="G11" s="109" t="n">
        <f aca="false">F11/$F$15</f>
        <v>0</v>
      </c>
      <c r="H11" s="431"/>
    </row>
    <row r="12" customFormat="false" ht="23.25" hidden="false" customHeight="true" outlineLevel="0" collapsed="false">
      <c r="B12" s="430" t="n">
        <v>8</v>
      </c>
      <c r="C12" s="428"/>
      <c r="D12" s="428"/>
      <c r="E12" s="31"/>
      <c r="F12" s="442"/>
      <c r="G12" s="109" t="n">
        <f aca="false">F12/$F$15</f>
        <v>0</v>
      </c>
      <c r="H12" s="431"/>
    </row>
    <row r="13" customFormat="false" ht="23.25" hidden="false" customHeight="true" outlineLevel="0" collapsed="false">
      <c r="B13" s="432" t="n">
        <v>9</v>
      </c>
      <c r="C13" s="428"/>
      <c r="D13" s="428"/>
      <c r="E13" s="31"/>
      <c r="F13" s="442"/>
      <c r="G13" s="109" t="n">
        <f aca="false">F13/$F$15</f>
        <v>0</v>
      </c>
      <c r="H13" s="431"/>
    </row>
    <row r="14" customFormat="false" ht="23.25" hidden="false" customHeight="true" outlineLevel="0" collapsed="false">
      <c r="B14" s="430" t="n">
        <v>10</v>
      </c>
      <c r="C14" s="428"/>
      <c r="D14" s="428"/>
      <c r="E14" s="31"/>
      <c r="F14" s="442"/>
      <c r="G14" s="109" t="n">
        <f aca="false">F14/$F$15</f>
        <v>0</v>
      </c>
      <c r="H14" s="431"/>
    </row>
    <row r="15" customFormat="false" ht="23.25" hidden="false" customHeight="true" outlineLevel="0" collapsed="false">
      <c r="B15" s="443"/>
      <c r="C15" s="444" t="s">
        <v>77</v>
      </c>
      <c r="D15" s="444"/>
      <c r="E15" s="445" t="n">
        <f aca="false">SUM(E5:E14)</f>
        <v>0</v>
      </c>
      <c r="F15" s="446" t="n">
        <f aca="false">SUM(F5:F14)</f>
        <v>1000</v>
      </c>
      <c r="G15" s="112" t="n">
        <f aca="false">F15/$F$15</f>
        <v>1</v>
      </c>
      <c r="H15" s="51"/>
    </row>
    <row r="17" customFormat="false" ht="18" hidden="false" customHeight="false" outlineLevel="0" collapsed="false">
      <c r="B17" s="46" t="s">
        <v>442</v>
      </c>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75390625" defaultRowHeight="18" zeroHeight="false" outlineLevelRow="0" outlineLevelCol="0"/>
  <cols>
    <col collapsed="false" customWidth="true" hidden="false" outlineLevel="0" max="1" min="1" style="2" width="3.75"/>
    <col collapsed="false" customWidth="true" hidden="false" outlineLevel="0" max="2" min="2" style="2" width="4.33"/>
    <col collapsed="false" customWidth="true" hidden="false" outlineLevel="0" max="3" min="3" style="2" width="21.75"/>
    <col collapsed="false" customWidth="true" hidden="false" outlineLevel="0" max="6" min="4" style="2" width="16.33"/>
    <col collapsed="false" customWidth="true" hidden="false" outlineLevel="0" max="8" min="7" style="2" width="36.75"/>
    <col collapsed="false" customWidth="false" hidden="false" outlineLevel="0" max="16384" min="9" style="2" width="8.76"/>
  </cols>
  <sheetData>
    <row r="2" customFormat="false" ht="18" hidden="false" customHeight="false" outlineLevel="0" collapsed="false">
      <c r="F2" s="48" t="s">
        <v>50</v>
      </c>
      <c r="G2" s="48"/>
    </row>
    <row r="3" customFormat="false" ht="18.75" hidden="false" customHeight="true" outlineLevel="0" collapsed="false">
      <c r="B3" s="426" t="s">
        <v>255</v>
      </c>
      <c r="C3" s="24" t="s">
        <v>256</v>
      </c>
      <c r="D3" s="24" t="s">
        <v>433</v>
      </c>
      <c r="E3" s="24" t="s">
        <v>443</v>
      </c>
      <c r="F3" s="441" t="s">
        <v>434</v>
      </c>
      <c r="G3" s="441" t="s">
        <v>444</v>
      </c>
      <c r="H3" s="129" t="s">
        <v>245</v>
      </c>
    </row>
    <row r="4" customFormat="false" ht="18.75" hidden="false" customHeight="true" outlineLevel="0" collapsed="false">
      <c r="B4" s="426"/>
      <c r="C4" s="426"/>
      <c r="D4" s="426"/>
      <c r="E4" s="426"/>
      <c r="F4" s="426"/>
      <c r="G4" s="426"/>
      <c r="H4" s="129"/>
    </row>
    <row r="5" customFormat="false" ht="23.25" hidden="false" customHeight="true" outlineLevel="0" collapsed="false">
      <c r="B5" s="427" t="n">
        <v>1</v>
      </c>
      <c r="C5" s="428" t="s">
        <v>445</v>
      </c>
      <c r="D5" s="428" t="s">
        <v>446</v>
      </c>
      <c r="E5" s="428" t="s">
        <v>447</v>
      </c>
      <c r="F5" s="31" t="n">
        <v>3819600</v>
      </c>
      <c r="G5" s="447" t="s">
        <v>448</v>
      </c>
      <c r="H5" s="440" t="s">
        <v>449</v>
      </c>
    </row>
    <row r="6" customFormat="false" ht="23.25" hidden="false" customHeight="true" outlineLevel="0" collapsed="false">
      <c r="B6" s="430" t="n">
        <v>2</v>
      </c>
      <c r="C6" s="428"/>
      <c r="D6" s="428"/>
      <c r="E6" s="428"/>
      <c r="F6" s="31"/>
      <c r="G6" s="448"/>
      <c r="H6" s="431"/>
    </row>
    <row r="7" customFormat="false" ht="23.25" hidden="false" customHeight="true" outlineLevel="0" collapsed="false">
      <c r="B7" s="432" t="n">
        <v>3</v>
      </c>
      <c r="C7" s="428"/>
      <c r="D7" s="428"/>
      <c r="E7" s="428"/>
      <c r="F7" s="31"/>
      <c r="G7" s="448"/>
      <c r="H7" s="431"/>
    </row>
    <row r="8" customFormat="false" ht="23.25" hidden="false" customHeight="true" outlineLevel="0" collapsed="false">
      <c r="B8" s="430" t="n">
        <v>4</v>
      </c>
      <c r="C8" s="428"/>
      <c r="D8" s="428"/>
      <c r="E8" s="428"/>
      <c r="F8" s="449"/>
      <c r="G8" s="448"/>
      <c r="H8" s="431"/>
    </row>
    <row r="9" customFormat="false" ht="23.25" hidden="true" customHeight="true" outlineLevel="0" collapsed="false">
      <c r="B9" s="450" t="n">
        <v>5</v>
      </c>
      <c r="C9" s="428"/>
      <c r="D9" s="428"/>
      <c r="E9" s="428"/>
      <c r="F9" s="31"/>
      <c r="G9" s="448"/>
      <c r="H9" s="431"/>
    </row>
    <row r="10" customFormat="false" ht="23.25" hidden="true" customHeight="true" outlineLevel="0" collapsed="false">
      <c r="B10" s="451" t="n">
        <v>6</v>
      </c>
      <c r="C10" s="428"/>
      <c r="D10" s="428"/>
      <c r="E10" s="428"/>
      <c r="F10" s="31"/>
      <c r="G10" s="448"/>
      <c r="H10" s="431"/>
    </row>
    <row r="11" customFormat="false" ht="23.25" hidden="true" customHeight="true" outlineLevel="0" collapsed="false">
      <c r="B11" s="450" t="n">
        <v>7</v>
      </c>
      <c r="C11" s="428"/>
      <c r="D11" s="428"/>
      <c r="E11" s="428"/>
      <c r="F11" s="31"/>
      <c r="G11" s="448"/>
      <c r="H11" s="431"/>
    </row>
    <row r="12" customFormat="false" ht="23.25" hidden="true" customHeight="true" outlineLevel="0" collapsed="false">
      <c r="B12" s="451" t="n">
        <v>8</v>
      </c>
      <c r="C12" s="428"/>
      <c r="D12" s="428"/>
      <c r="E12" s="428"/>
      <c r="F12" s="31"/>
      <c r="G12" s="448"/>
      <c r="H12" s="431"/>
    </row>
    <row r="13" customFormat="false" ht="23.25" hidden="true" customHeight="true" outlineLevel="0" collapsed="false">
      <c r="B13" s="450" t="n">
        <v>9</v>
      </c>
      <c r="C13" s="428"/>
      <c r="D13" s="428"/>
      <c r="E13" s="428"/>
      <c r="F13" s="31"/>
      <c r="G13" s="448"/>
      <c r="H13" s="431"/>
    </row>
    <row r="14" customFormat="false" ht="23.25" hidden="true" customHeight="true" outlineLevel="0" collapsed="false">
      <c r="B14" s="451" t="n">
        <v>10</v>
      </c>
      <c r="C14" s="428"/>
      <c r="D14" s="428"/>
      <c r="E14" s="428"/>
      <c r="F14" s="31"/>
      <c r="G14" s="448"/>
      <c r="H14" s="431"/>
    </row>
    <row r="15" customFormat="false" ht="23.25" hidden="false" customHeight="true" outlineLevel="0" collapsed="false">
      <c r="B15" s="443"/>
      <c r="C15" s="444" t="s">
        <v>77</v>
      </c>
      <c r="D15" s="444"/>
      <c r="E15" s="444"/>
      <c r="F15" s="445" t="n">
        <f aca="false">SUM(F5:F14)</f>
        <v>3819600</v>
      </c>
      <c r="G15" s="452"/>
      <c r="H15" s="51"/>
    </row>
    <row r="17" customFormat="false" ht="18" hidden="false" customHeight="false" outlineLevel="0" collapsed="false">
      <c r="B17" s="46" t="s">
        <v>450</v>
      </c>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10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8.53125" defaultRowHeight="18" zeroHeight="false" outlineLevelRow="0" outlineLevelCol="0"/>
  <cols>
    <col collapsed="false" customWidth="true" hidden="false" outlineLevel="0" max="2" min="2" style="1" width="6"/>
    <col collapsed="false" customWidth="true" hidden="false" outlineLevel="0" max="5" min="3" style="453" width="13.5"/>
    <col collapsed="false" customWidth="true" hidden="false" outlineLevel="0" max="6" min="6" style="453" width="6.58"/>
    <col collapsed="false" customWidth="true" hidden="false" outlineLevel="0" max="7" min="7" style="454" width="13.5"/>
    <col collapsed="false" customWidth="true" hidden="false" outlineLevel="0" max="8" min="8" style="454" width="14.33"/>
    <col collapsed="false" customWidth="true" hidden="false" outlineLevel="0" max="9" min="9" style="455" width="13.5"/>
    <col collapsed="false" customWidth="true" hidden="false" outlineLevel="0" max="10" min="10" style="455" width="14.33"/>
    <col collapsed="false" customWidth="true" hidden="false" outlineLevel="0" max="12" min="11" style="456" width="13.5"/>
    <col collapsed="false" customWidth="true" hidden="false" outlineLevel="0" max="16" min="13" style="20" width="16.09"/>
    <col collapsed="false" customWidth="true" hidden="false" outlineLevel="0" max="17" min="17" style="20" width="55.5"/>
  </cols>
  <sheetData>
    <row r="1" customFormat="false" ht="18" hidden="false" customHeight="false" outlineLevel="0" collapsed="false">
      <c r="K1" s="2"/>
      <c r="L1" s="2"/>
    </row>
    <row r="2" customFormat="false" ht="18" hidden="false" customHeight="false" outlineLevel="0" collapsed="false">
      <c r="F2" s="457" t="s">
        <v>451</v>
      </c>
      <c r="G2" s="458" t="n">
        <v>46296</v>
      </c>
      <c r="K2" s="2"/>
      <c r="L2" s="2"/>
    </row>
    <row r="3" customFormat="false" ht="18" hidden="false" customHeight="false" outlineLevel="0" collapsed="false">
      <c r="G3" s="454" t="s">
        <v>452</v>
      </c>
      <c r="I3" s="454" t="s">
        <v>452</v>
      </c>
      <c r="K3" s="2"/>
      <c r="L3" s="2"/>
    </row>
    <row r="4" customFormat="false" ht="39.75" hidden="false" customHeight="true" outlineLevel="0" collapsed="false">
      <c r="B4" s="250" t="s">
        <v>255</v>
      </c>
      <c r="C4" s="459" t="s">
        <v>256</v>
      </c>
      <c r="D4" s="308" t="s">
        <v>453</v>
      </c>
      <c r="E4" s="308" t="s">
        <v>454</v>
      </c>
      <c r="F4" s="308" t="s">
        <v>455</v>
      </c>
      <c r="G4" s="459" t="s">
        <v>456</v>
      </c>
      <c r="H4" s="460" t="s">
        <v>457</v>
      </c>
      <c r="I4" s="461" t="s">
        <v>458</v>
      </c>
      <c r="J4" s="309" t="s">
        <v>459</v>
      </c>
      <c r="K4" s="79" t="s">
        <v>460</v>
      </c>
      <c r="L4" s="79" t="s">
        <v>433</v>
      </c>
      <c r="M4" s="309" t="s">
        <v>461</v>
      </c>
      <c r="N4" s="79"/>
      <c r="O4" s="79"/>
      <c r="P4" s="79"/>
      <c r="Q4" s="198" t="s">
        <v>245</v>
      </c>
    </row>
    <row r="5" customFormat="false" ht="22.5" hidden="false" customHeight="true" outlineLevel="0" collapsed="false">
      <c r="B5" s="432" t="n">
        <v>1</v>
      </c>
      <c r="C5" s="462" t="s">
        <v>445</v>
      </c>
      <c r="D5" s="463" t="s">
        <v>462</v>
      </c>
      <c r="E5" s="462" t="s">
        <v>463</v>
      </c>
      <c r="F5" s="462" t="s">
        <v>464</v>
      </c>
      <c r="G5" s="464" t="n">
        <v>19092</v>
      </c>
      <c r="H5" s="465" t="n">
        <f aca="false">ROUNDDOWN(($G$2-G5)/365,0)</f>
        <v>74</v>
      </c>
      <c r="I5" s="464" t="n">
        <v>40634</v>
      </c>
      <c r="J5" s="465" t="n">
        <f aca="false">ROUNDDOWN(($G$2-I5)/365,0)</f>
        <v>15</v>
      </c>
      <c r="K5" s="466" t="s">
        <v>465</v>
      </c>
      <c r="L5" s="466" t="s">
        <v>446</v>
      </c>
      <c r="M5" s="467" t="n">
        <v>318300</v>
      </c>
      <c r="N5" s="467"/>
      <c r="O5" s="467"/>
      <c r="P5" s="468"/>
      <c r="Q5" s="469" t="s">
        <v>466</v>
      </c>
    </row>
    <row r="6" customFormat="false" ht="22.5" hidden="false" customHeight="true" outlineLevel="0" collapsed="false">
      <c r="B6" s="470" t="n">
        <v>2</v>
      </c>
      <c r="C6" s="471" t="s">
        <v>467</v>
      </c>
      <c r="D6" s="472" t="s">
        <v>468</v>
      </c>
      <c r="E6" s="471" t="s">
        <v>469</v>
      </c>
      <c r="F6" s="471" t="s">
        <v>464</v>
      </c>
      <c r="G6" s="473" t="n">
        <v>24100</v>
      </c>
      <c r="H6" s="465" t="n">
        <f aca="false">ROUNDDOWN(($G$2-G6)/365,0)</f>
        <v>60</v>
      </c>
      <c r="I6" s="474" t="n">
        <v>38169</v>
      </c>
      <c r="J6" s="465" t="n">
        <f aca="false">ROUNDDOWN(($G$2-I6)/365,0)</f>
        <v>22</v>
      </c>
      <c r="K6" s="428" t="s">
        <v>465</v>
      </c>
      <c r="L6" s="428" t="s">
        <v>470</v>
      </c>
      <c r="M6" s="475" t="n">
        <v>568333</v>
      </c>
      <c r="N6" s="475"/>
      <c r="O6" s="475"/>
      <c r="P6" s="442"/>
      <c r="Q6" s="476" t="s">
        <v>471</v>
      </c>
    </row>
    <row r="7" customFormat="false" ht="22.5" hidden="false" customHeight="true" outlineLevel="0" collapsed="false">
      <c r="B7" s="432" t="n">
        <v>3</v>
      </c>
      <c r="C7" s="471" t="s">
        <v>472</v>
      </c>
      <c r="D7" s="472" t="s">
        <v>473</v>
      </c>
      <c r="E7" s="471" t="s">
        <v>469</v>
      </c>
      <c r="F7" s="471" t="s">
        <v>464</v>
      </c>
      <c r="G7" s="473" t="n">
        <v>24518</v>
      </c>
      <c r="H7" s="465" t="n">
        <f aca="false">ROUNDDOWN(($G$2-G7)/365,0)</f>
        <v>59</v>
      </c>
      <c r="I7" s="474" t="n">
        <v>39148</v>
      </c>
      <c r="J7" s="465" t="n">
        <f aca="false">ROUNDDOWN(($G$2-I7)/365,0)</f>
        <v>19</v>
      </c>
      <c r="K7" s="428" t="s">
        <v>465</v>
      </c>
      <c r="L7" s="428"/>
      <c r="M7" s="475" t="n">
        <v>300000</v>
      </c>
      <c r="N7" s="475"/>
      <c r="O7" s="475"/>
      <c r="P7" s="442"/>
      <c r="Q7" s="476" t="s">
        <v>474</v>
      </c>
    </row>
    <row r="8" customFormat="false" ht="22.5" hidden="false" customHeight="true" outlineLevel="0" collapsed="false">
      <c r="B8" s="470" t="n">
        <v>4</v>
      </c>
      <c r="C8" s="471" t="s">
        <v>475</v>
      </c>
      <c r="D8" s="472" t="s">
        <v>468</v>
      </c>
      <c r="E8" s="471" t="s">
        <v>469</v>
      </c>
      <c r="F8" s="471" t="s">
        <v>464</v>
      </c>
      <c r="G8" s="473" t="n">
        <v>30292</v>
      </c>
      <c r="H8" s="465" t="n">
        <f aca="false">ROUNDDOWN(($G$2-G8)/365,0)</f>
        <v>43</v>
      </c>
      <c r="I8" s="474" t="n">
        <v>40841</v>
      </c>
      <c r="J8" s="465" t="n">
        <f aca="false">ROUNDDOWN(($G$2-I8)/365,0)</f>
        <v>14</v>
      </c>
      <c r="K8" s="428" t="s">
        <v>465</v>
      </c>
      <c r="L8" s="428" t="s">
        <v>476</v>
      </c>
      <c r="M8" s="475" t="n">
        <v>298000</v>
      </c>
      <c r="N8" s="475"/>
      <c r="O8" s="475"/>
      <c r="P8" s="442"/>
      <c r="Q8" s="476" t="s">
        <v>477</v>
      </c>
    </row>
    <row r="9" customFormat="false" ht="22.5" hidden="false" customHeight="true" outlineLevel="0" collapsed="false">
      <c r="B9" s="432" t="n">
        <v>5</v>
      </c>
      <c r="C9" s="471" t="s">
        <v>478</v>
      </c>
      <c r="D9" s="472" t="s">
        <v>479</v>
      </c>
      <c r="E9" s="471" t="s">
        <v>469</v>
      </c>
      <c r="F9" s="471" t="s">
        <v>480</v>
      </c>
      <c r="G9" s="473" t="n">
        <v>20509</v>
      </c>
      <c r="H9" s="465" t="n">
        <f aca="false">ROUNDDOWN(($G$2-G9)/365,0)</f>
        <v>70</v>
      </c>
      <c r="I9" s="474" t="n">
        <v>42478</v>
      </c>
      <c r="J9" s="465" t="n">
        <f aca="false">ROUNDDOWN(($G$2-I9)/365,0)</f>
        <v>10</v>
      </c>
      <c r="K9" s="428" t="s">
        <v>465</v>
      </c>
      <c r="L9" s="428"/>
      <c r="M9" s="475" t="n">
        <v>243000</v>
      </c>
      <c r="N9" s="475"/>
      <c r="O9" s="475"/>
      <c r="P9" s="442"/>
      <c r="Q9" s="476" t="s">
        <v>481</v>
      </c>
    </row>
    <row r="10" customFormat="false" ht="22.5" hidden="false" customHeight="true" outlineLevel="0" collapsed="false">
      <c r="B10" s="470" t="n">
        <v>6</v>
      </c>
      <c r="C10" s="471" t="s">
        <v>482</v>
      </c>
      <c r="D10" s="472" t="s">
        <v>483</v>
      </c>
      <c r="E10" s="471" t="s">
        <v>469</v>
      </c>
      <c r="F10" s="471" t="s">
        <v>464</v>
      </c>
      <c r="G10" s="473" t="n">
        <v>33966</v>
      </c>
      <c r="H10" s="465" t="n">
        <f aca="false">ROUNDDOWN(($G$2-G10)/365,0)</f>
        <v>33</v>
      </c>
      <c r="I10" s="474" t="n">
        <v>42767</v>
      </c>
      <c r="J10" s="465" t="n">
        <f aca="false">ROUNDDOWN(($G$2-I10)/365,0)</f>
        <v>9</v>
      </c>
      <c r="K10" s="428" t="s">
        <v>465</v>
      </c>
      <c r="L10" s="428"/>
      <c r="M10" s="475" t="n">
        <v>205000</v>
      </c>
      <c r="N10" s="475"/>
      <c r="O10" s="475"/>
      <c r="P10" s="442"/>
      <c r="Q10" s="476" t="s">
        <v>477</v>
      </c>
    </row>
    <row r="11" customFormat="false" ht="22.5" hidden="false" customHeight="true" outlineLevel="0" collapsed="false">
      <c r="B11" s="432" t="n">
        <v>7</v>
      </c>
      <c r="C11" s="471" t="s">
        <v>484</v>
      </c>
      <c r="D11" s="472" t="s">
        <v>468</v>
      </c>
      <c r="E11" s="471" t="s">
        <v>469</v>
      </c>
      <c r="F11" s="471" t="s">
        <v>464</v>
      </c>
      <c r="G11" s="473" t="n">
        <v>30151</v>
      </c>
      <c r="H11" s="465" t="n">
        <f aca="false">ROUNDDOWN(($G$2-G11)/365,0)</f>
        <v>44</v>
      </c>
      <c r="I11" s="474" t="n">
        <v>43160</v>
      </c>
      <c r="J11" s="465" t="n">
        <f aca="false">ROUNDDOWN(($G$2-I11)/365,0)</f>
        <v>8</v>
      </c>
      <c r="K11" s="428" t="s">
        <v>465</v>
      </c>
      <c r="L11" s="428" t="s">
        <v>485</v>
      </c>
      <c r="M11" s="475" t="n">
        <v>323000</v>
      </c>
      <c r="N11" s="475"/>
      <c r="O11" s="475"/>
      <c r="P11" s="442"/>
      <c r="Q11" s="476" t="s">
        <v>486</v>
      </c>
    </row>
    <row r="12" customFormat="false" ht="22.5" hidden="false" customHeight="true" outlineLevel="0" collapsed="false">
      <c r="B12" s="470" t="n">
        <v>8</v>
      </c>
      <c r="C12" s="471" t="s">
        <v>487</v>
      </c>
      <c r="D12" s="472" t="s">
        <v>488</v>
      </c>
      <c r="E12" s="471" t="s">
        <v>469</v>
      </c>
      <c r="F12" s="471" t="s">
        <v>464</v>
      </c>
      <c r="G12" s="473" t="n">
        <v>23516</v>
      </c>
      <c r="H12" s="465" t="n">
        <f aca="false">ROUNDDOWN(($G$2-G12)/365,0)</f>
        <v>62</v>
      </c>
      <c r="I12" s="474" t="n">
        <v>44642</v>
      </c>
      <c r="J12" s="465" t="n">
        <f aca="false">ROUNDDOWN(($G$2-I12)/365,0)</f>
        <v>4</v>
      </c>
      <c r="K12" s="428" t="s">
        <v>465</v>
      </c>
      <c r="L12" s="428"/>
      <c r="M12" s="475" t="n">
        <v>280000</v>
      </c>
      <c r="N12" s="475"/>
      <c r="O12" s="475"/>
      <c r="P12" s="442"/>
      <c r="Q12" s="476" t="s">
        <v>489</v>
      </c>
    </row>
    <row r="13" customFormat="false" ht="22.5" hidden="false" customHeight="true" outlineLevel="0" collapsed="false">
      <c r="B13" s="432" t="n">
        <v>9</v>
      </c>
      <c r="C13" s="471" t="s">
        <v>490</v>
      </c>
      <c r="D13" s="472" t="s">
        <v>491</v>
      </c>
      <c r="E13" s="471" t="s">
        <v>469</v>
      </c>
      <c r="F13" s="471" t="s">
        <v>464</v>
      </c>
      <c r="G13" s="473" t="n">
        <v>29573</v>
      </c>
      <c r="H13" s="465" t="n">
        <f aca="false">ROUNDDOWN(($G$2-G13)/365,0)</f>
        <v>45</v>
      </c>
      <c r="I13" s="474" t="n">
        <v>45748</v>
      </c>
      <c r="J13" s="465" t="n">
        <f aca="false">ROUNDDOWN(($G$2-I13)/365,0)</f>
        <v>1</v>
      </c>
      <c r="K13" s="428" t="s">
        <v>465</v>
      </c>
      <c r="L13" s="428"/>
      <c r="M13" s="475" t="n">
        <v>243000</v>
      </c>
      <c r="N13" s="475"/>
      <c r="O13" s="475"/>
      <c r="P13" s="442"/>
      <c r="Q13" s="477" t="s">
        <v>492</v>
      </c>
    </row>
    <row r="14" customFormat="false" ht="22.5" hidden="false" customHeight="true" outlineLevel="0" collapsed="false">
      <c r="B14" s="470" t="n">
        <v>10</v>
      </c>
      <c r="C14" s="471" t="s">
        <v>493</v>
      </c>
      <c r="D14" s="472" t="s">
        <v>494</v>
      </c>
      <c r="E14" s="471" t="s">
        <v>469</v>
      </c>
      <c r="F14" s="471" t="s">
        <v>464</v>
      </c>
      <c r="G14" s="473" t="n">
        <v>26713</v>
      </c>
      <c r="H14" s="465" t="n">
        <f aca="false">ROUNDDOWN(($G$2-G14)/365,0)</f>
        <v>53</v>
      </c>
      <c r="I14" s="474" t="n">
        <v>46114</v>
      </c>
      <c r="J14" s="465" t="n">
        <f aca="false">ROUNDDOWN(($G$2-I14)/365,0)</f>
        <v>0</v>
      </c>
      <c r="K14" s="428" t="s">
        <v>465</v>
      </c>
      <c r="L14" s="428"/>
      <c r="M14" s="475" t="n">
        <v>245000</v>
      </c>
      <c r="N14" s="475"/>
      <c r="O14" s="475"/>
      <c r="P14" s="442"/>
      <c r="Q14" s="476" t="s">
        <v>477</v>
      </c>
    </row>
    <row r="15" customFormat="false" ht="22.5" hidden="false" customHeight="true" outlineLevel="0" collapsed="false">
      <c r="B15" s="432" t="n">
        <v>11</v>
      </c>
      <c r="C15" s="471" t="s">
        <v>495</v>
      </c>
      <c r="D15" s="472" t="s">
        <v>496</v>
      </c>
      <c r="E15" s="471" t="s">
        <v>497</v>
      </c>
      <c r="F15" s="471" t="s">
        <v>480</v>
      </c>
      <c r="G15" s="473" t="n">
        <v>21871</v>
      </c>
      <c r="H15" s="465" t="n">
        <f aca="false">ROUNDDOWN(($G$2-G15)/365,0)</f>
        <v>66</v>
      </c>
      <c r="I15" s="474" t="n">
        <v>46056</v>
      </c>
      <c r="J15" s="465" t="n">
        <f aca="false">ROUNDDOWN(($G$2-I15)/365,0)</f>
        <v>0</v>
      </c>
      <c r="K15" s="428" t="s">
        <v>465</v>
      </c>
      <c r="L15" s="428"/>
      <c r="M15" s="475"/>
      <c r="N15" s="475"/>
      <c r="O15" s="475"/>
      <c r="P15" s="442"/>
      <c r="Q15" s="476" t="s">
        <v>498</v>
      </c>
    </row>
    <row r="16" customFormat="false" ht="22.5" hidden="false" customHeight="true" outlineLevel="0" collapsed="false">
      <c r="B16" s="470" t="n">
        <v>12</v>
      </c>
      <c r="C16" s="471" t="s">
        <v>499</v>
      </c>
      <c r="D16" s="472" t="s">
        <v>500</v>
      </c>
      <c r="E16" s="471" t="s">
        <v>469</v>
      </c>
      <c r="F16" s="471" t="s">
        <v>464</v>
      </c>
      <c r="G16" s="473" t="n">
        <v>23397</v>
      </c>
      <c r="H16" s="465" t="n">
        <f aca="false">ROUNDDOWN(($G$2-G16)/365,0)</f>
        <v>62</v>
      </c>
      <c r="I16" s="474" t="n">
        <v>38292</v>
      </c>
      <c r="J16" s="465" t="n">
        <f aca="false">ROUNDDOWN(($G$2-I16)/365,0)</f>
        <v>21</v>
      </c>
      <c r="K16" s="428" t="s">
        <v>501</v>
      </c>
      <c r="L16" s="428"/>
      <c r="M16" s="475" t="n">
        <v>447960</v>
      </c>
      <c r="N16" s="475"/>
      <c r="O16" s="475"/>
      <c r="P16" s="442"/>
      <c r="Q16" s="476" t="s">
        <v>502</v>
      </c>
    </row>
    <row r="17" customFormat="false" ht="22.5" hidden="false" customHeight="true" outlineLevel="0" collapsed="false">
      <c r="B17" s="432" t="n">
        <v>13</v>
      </c>
      <c r="C17" s="471" t="s">
        <v>503</v>
      </c>
      <c r="D17" s="472" t="s">
        <v>504</v>
      </c>
      <c r="E17" s="471" t="s">
        <v>469</v>
      </c>
      <c r="F17" s="471" t="s">
        <v>480</v>
      </c>
      <c r="G17" s="473" t="n">
        <v>29560</v>
      </c>
      <c r="H17" s="465" t="n">
        <f aca="false">ROUNDDOWN(($G$2-G17)/365,0)</f>
        <v>45</v>
      </c>
      <c r="I17" s="474" t="n">
        <v>38572</v>
      </c>
      <c r="J17" s="465" t="n">
        <f aca="false">ROUNDDOWN(($G$2-I17)/365,0)</f>
        <v>21</v>
      </c>
      <c r="K17" s="428" t="s">
        <v>501</v>
      </c>
      <c r="L17" s="428"/>
      <c r="M17" s="475" t="n">
        <v>228000</v>
      </c>
      <c r="N17" s="475"/>
      <c r="O17" s="475"/>
      <c r="P17" s="442"/>
      <c r="Q17" s="476" t="s">
        <v>505</v>
      </c>
    </row>
    <row r="18" customFormat="false" ht="22.5" hidden="false" customHeight="true" outlineLevel="0" collapsed="false">
      <c r="B18" s="470" t="n">
        <v>14</v>
      </c>
      <c r="C18" s="471" t="s">
        <v>506</v>
      </c>
      <c r="D18" s="472" t="s">
        <v>507</v>
      </c>
      <c r="E18" s="471" t="s">
        <v>469</v>
      </c>
      <c r="F18" s="471" t="s">
        <v>464</v>
      </c>
      <c r="G18" s="478" t="n">
        <v>29500</v>
      </c>
      <c r="H18" s="465" t="n">
        <f aca="false">ROUNDDOWN(($G$2-G18)/365,0)</f>
        <v>46</v>
      </c>
      <c r="I18" s="479" t="n">
        <v>39142</v>
      </c>
      <c r="J18" s="465" t="n">
        <f aca="false">ROUNDDOWN(($G$2-I18)/365,0)</f>
        <v>19</v>
      </c>
      <c r="K18" s="428" t="s">
        <v>501</v>
      </c>
      <c r="L18" s="428"/>
      <c r="M18" s="475" t="n">
        <v>230800</v>
      </c>
      <c r="N18" s="475"/>
      <c r="O18" s="475"/>
      <c r="P18" s="442"/>
      <c r="Q18" s="476" t="s">
        <v>505</v>
      </c>
    </row>
    <row r="19" customFormat="false" ht="22.5" hidden="false" customHeight="true" outlineLevel="0" collapsed="false">
      <c r="B19" s="432" t="n">
        <v>15</v>
      </c>
      <c r="C19" s="471" t="s">
        <v>508</v>
      </c>
      <c r="D19" s="472" t="s">
        <v>509</v>
      </c>
      <c r="E19" s="471" t="s">
        <v>469</v>
      </c>
      <c r="F19" s="471" t="s">
        <v>480</v>
      </c>
      <c r="G19" s="478" t="n">
        <v>29752</v>
      </c>
      <c r="H19" s="465" t="n">
        <f aca="false">ROUNDDOWN(($G$2-G19)/365,0)</f>
        <v>45</v>
      </c>
      <c r="I19" s="479" t="n">
        <v>40190</v>
      </c>
      <c r="J19" s="465" t="n">
        <f aca="false">ROUNDDOWN(($G$2-I19)/365,0)</f>
        <v>16</v>
      </c>
      <c r="K19" s="428" t="s">
        <v>501</v>
      </c>
      <c r="L19" s="428"/>
      <c r="M19" s="475" t="n">
        <v>184700</v>
      </c>
      <c r="N19" s="475"/>
      <c r="O19" s="475"/>
      <c r="P19" s="442"/>
      <c r="Q19" s="476" t="s">
        <v>505</v>
      </c>
    </row>
    <row r="20" customFormat="false" ht="22.5" hidden="false" customHeight="true" outlineLevel="0" collapsed="false">
      <c r="B20" s="470" t="n">
        <v>16</v>
      </c>
      <c r="C20" s="471" t="s">
        <v>510</v>
      </c>
      <c r="D20" s="472" t="s">
        <v>511</v>
      </c>
      <c r="E20" s="471" t="s">
        <v>469</v>
      </c>
      <c r="F20" s="471" t="s">
        <v>464</v>
      </c>
      <c r="G20" s="478" t="n">
        <v>27272</v>
      </c>
      <c r="H20" s="465" t="n">
        <f aca="false">ROUNDDOWN(($G$2-G20)/365,0)</f>
        <v>52</v>
      </c>
      <c r="I20" s="479" t="n">
        <v>41051</v>
      </c>
      <c r="J20" s="465" t="n">
        <f aca="false">ROUNDDOWN(($G$2-I20)/365,0)</f>
        <v>14</v>
      </c>
      <c r="K20" s="428" t="s">
        <v>501</v>
      </c>
      <c r="L20" s="428"/>
      <c r="M20" s="475" t="n">
        <v>218500</v>
      </c>
      <c r="N20" s="475"/>
      <c r="O20" s="475"/>
      <c r="P20" s="442"/>
      <c r="Q20" s="476" t="s">
        <v>505</v>
      </c>
    </row>
    <row r="21" customFormat="false" ht="22.5" hidden="false" customHeight="true" outlineLevel="0" collapsed="false">
      <c r="B21" s="432" t="n">
        <v>17</v>
      </c>
      <c r="C21" s="471" t="s">
        <v>512</v>
      </c>
      <c r="D21" s="472" t="s">
        <v>513</v>
      </c>
      <c r="E21" s="471" t="s">
        <v>469</v>
      </c>
      <c r="F21" s="471" t="s">
        <v>464</v>
      </c>
      <c r="G21" s="478" t="n">
        <v>29450</v>
      </c>
      <c r="H21" s="465" t="n">
        <f aca="false">ROUNDDOWN(($G$2-G21)/365,0)</f>
        <v>46</v>
      </c>
      <c r="I21" s="479" t="n">
        <v>41806</v>
      </c>
      <c r="J21" s="465" t="n">
        <f aca="false">ROUNDDOWN(($G$2-I21)/365,0)</f>
        <v>12</v>
      </c>
      <c r="K21" s="428" t="s">
        <v>501</v>
      </c>
      <c r="L21" s="428"/>
      <c r="M21" s="475" t="n">
        <v>223500</v>
      </c>
      <c r="N21" s="475"/>
      <c r="O21" s="475"/>
      <c r="P21" s="442"/>
      <c r="Q21" s="476" t="s">
        <v>505</v>
      </c>
    </row>
    <row r="22" customFormat="false" ht="22.5" hidden="false" customHeight="true" outlineLevel="0" collapsed="false">
      <c r="B22" s="470" t="n">
        <v>18</v>
      </c>
      <c r="C22" s="471" t="s">
        <v>514</v>
      </c>
      <c r="D22" s="472" t="s">
        <v>494</v>
      </c>
      <c r="E22" s="471" t="s">
        <v>469</v>
      </c>
      <c r="F22" s="471" t="s">
        <v>464</v>
      </c>
      <c r="G22" s="478" t="n">
        <v>31404</v>
      </c>
      <c r="H22" s="465" t="n">
        <f aca="false">ROUNDDOWN(($G$2-G22)/365,0)</f>
        <v>40</v>
      </c>
      <c r="I22" s="479" t="n">
        <v>41869</v>
      </c>
      <c r="J22" s="465" t="n">
        <f aca="false">ROUNDDOWN(($G$2-I22)/365,0)</f>
        <v>12</v>
      </c>
      <c r="K22" s="428" t="s">
        <v>501</v>
      </c>
      <c r="L22" s="428"/>
      <c r="M22" s="475" t="n">
        <v>203500</v>
      </c>
      <c r="N22" s="475"/>
      <c r="O22" s="475"/>
      <c r="P22" s="442"/>
      <c r="Q22" s="476" t="s">
        <v>505</v>
      </c>
    </row>
    <row r="23" customFormat="false" ht="22.5" hidden="false" customHeight="true" outlineLevel="0" collapsed="false">
      <c r="B23" s="432" t="n">
        <v>19</v>
      </c>
      <c r="C23" s="471" t="s">
        <v>515</v>
      </c>
      <c r="D23" s="472" t="s">
        <v>516</v>
      </c>
      <c r="E23" s="471" t="s">
        <v>469</v>
      </c>
      <c r="F23" s="471" t="s">
        <v>480</v>
      </c>
      <c r="G23" s="478" t="n">
        <v>28404</v>
      </c>
      <c r="H23" s="465" t="n">
        <f aca="false">ROUNDDOWN(($G$2-G23)/365,0)</f>
        <v>49</v>
      </c>
      <c r="I23" s="479" t="n">
        <v>43739</v>
      </c>
      <c r="J23" s="465" t="n">
        <f aca="false">ROUNDDOWN(($G$2-I23)/365,0)</f>
        <v>7</v>
      </c>
      <c r="K23" s="428" t="s">
        <v>501</v>
      </c>
      <c r="L23" s="428"/>
      <c r="M23" s="475" t="n">
        <v>217000</v>
      </c>
      <c r="N23" s="475"/>
      <c r="O23" s="475"/>
      <c r="P23" s="442"/>
      <c r="Q23" s="476" t="s">
        <v>505</v>
      </c>
    </row>
    <row r="24" customFormat="false" ht="22.5" hidden="false" customHeight="true" outlineLevel="0" collapsed="false">
      <c r="B24" s="470" t="n">
        <v>20</v>
      </c>
      <c r="C24" s="471" t="s">
        <v>517</v>
      </c>
      <c r="D24" s="472" t="s">
        <v>518</v>
      </c>
      <c r="E24" s="471" t="s">
        <v>469</v>
      </c>
      <c r="F24" s="471" t="s">
        <v>464</v>
      </c>
      <c r="G24" s="478" t="n">
        <v>32944</v>
      </c>
      <c r="H24" s="465" t="n">
        <f aca="false">ROUNDDOWN(($G$2-G24)/365,0)</f>
        <v>36</v>
      </c>
      <c r="I24" s="479" t="n">
        <v>45536</v>
      </c>
      <c r="J24" s="465" t="n">
        <f aca="false">ROUNDDOWN(($G$2-I24)/365,0)</f>
        <v>2</v>
      </c>
      <c r="K24" s="428" t="s">
        <v>501</v>
      </c>
      <c r="L24" s="428"/>
      <c r="M24" s="475" t="n">
        <v>220500</v>
      </c>
      <c r="N24" s="475"/>
      <c r="O24" s="475"/>
      <c r="P24" s="442"/>
      <c r="Q24" s="476" t="s">
        <v>505</v>
      </c>
    </row>
    <row r="25" customFormat="false" ht="22.5" hidden="false" customHeight="true" outlineLevel="0" collapsed="false">
      <c r="B25" s="432"/>
      <c r="C25" s="471"/>
      <c r="D25" s="471"/>
      <c r="E25" s="471"/>
      <c r="F25" s="471"/>
      <c r="G25" s="480"/>
      <c r="H25" s="465"/>
      <c r="I25" s="442"/>
      <c r="J25" s="465"/>
      <c r="K25" s="428"/>
      <c r="L25" s="428"/>
      <c r="M25" s="475"/>
      <c r="N25" s="475"/>
      <c r="O25" s="475"/>
      <c r="P25" s="442"/>
      <c r="Q25" s="476"/>
    </row>
    <row r="26" customFormat="false" ht="22.5" hidden="false" customHeight="true" outlineLevel="0" collapsed="false">
      <c r="B26" s="470"/>
      <c r="C26" s="471"/>
      <c r="D26" s="471"/>
      <c r="E26" s="471"/>
      <c r="F26" s="471"/>
      <c r="G26" s="480"/>
      <c r="H26" s="465"/>
      <c r="I26" s="442"/>
      <c r="J26" s="465"/>
      <c r="K26" s="428"/>
      <c r="L26" s="428"/>
      <c r="M26" s="475"/>
      <c r="N26" s="475"/>
      <c r="O26" s="475"/>
      <c r="P26" s="442"/>
      <c r="Q26" s="476"/>
    </row>
    <row r="27" customFormat="false" ht="22.5" hidden="false" customHeight="true" outlineLevel="0" collapsed="false">
      <c r="B27" s="432"/>
      <c r="C27" s="471"/>
      <c r="D27" s="471"/>
      <c r="E27" s="471"/>
      <c r="F27" s="471"/>
      <c r="G27" s="480"/>
      <c r="H27" s="465"/>
      <c r="I27" s="442"/>
      <c r="J27" s="465"/>
      <c r="K27" s="428"/>
      <c r="L27" s="428"/>
      <c r="M27" s="475"/>
      <c r="N27" s="475"/>
      <c r="O27" s="475"/>
      <c r="P27" s="442"/>
      <c r="Q27" s="476"/>
    </row>
    <row r="28" customFormat="false" ht="22.5" hidden="false" customHeight="true" outlineLevel="0" collapsed="false">
      <c r="B28" s="470"/>
      <c r="C28" s="471"/>
      <c r="D28" s="471"/>
      <c r="E28" s="471"/>
      <c r="F28" s="471"/>
      <c r="G28" s="480"/>
      <c r="H28" s="465"/>
      <c r="I28" s="442"/>
      <c r="J28" s="465"/>
      <c r="K28" s="428"/>
      <c r="L28" s="428"/>
      <c r="M28" s="475"/>
      <c r="N28" s="475"/>
      <c r="O28" s="475"/>
      <c r="P28" s="442"/>
      <c r="Q28" s="476"/>
    </row>
    <row r="29" customFormat="false" ht="22.5" hidden="false" customHeight="true" outlineLevel="0" collapsed="false">
      <c r="B29" s="432"/>
      <c r="C29" s="471"/>
      <c r="D29" s="471"/>
      <c r="E29" s="471"/>
      <c r="F29" s="471"/>
      <c r="G29" s="480"/>
      <c r="H29" s="465"/>
      <c r="I29" s="442"/>
      <c r="J29" s="465"/>
      <c r="K29" s="428"/>
      <c r="L29" s="428"/>
      <c r="M29" s="475"/>
      <c r="N29" s="475"/>
      <c r="O29" s="475"/>
      <c r="P29" s="442"/>
      <c r="Q29" s="476"/>
    </row>
    <row r="30" customFormat="false" ht="22.5" hidden="false" customHeight="true" outlineLevel="0" collapsed="false">
      <c r="B30" s="470"/>
      <c r="C30" s="471"/>
      <c r="D30" s="471"/>
      <c r="E30" s="471"/>
      <c r="F30" s="471"/>
      <c r="G30" s="480"/>
      <c r="H30" s="465"/>
      <c r="I30" s="442"/>
      <c r="J30" s="465"/>
      <c r="K30" s="428"/>
      <c r="L30" s="428"/>
      <c r="M30" s="475"/>
      <c r="N30" s="475"/>
      <c r="O30" s="475"/>
      <c r="P30" s="442"/>
      <c r="Q30" s="476"/>
    </row>
    <row r="31" customFormat="false" ht="22.5" hidden="false" customHeight="true" outlineLevel="0" collapsed="false">
      <c r="B31" s="432"/>
      <c r="C31" s="481"/>
      <c r="D31" s="481"/>
      <c r="E31" s="481"/>
      <c r="F31" s="481"/>
      <c r="G31" s="480"/>
      <c r="H31" s="465"/>
      <c r="I31" s="442"/>
      <c r="J31" s="465"/>
      <c r="K31" s="428"/>
      <c r="L31" s="428"/>
      <c r="M31" s="475"/>
      <c r="N31" s="475"/>
      <c r="O31" s="475"/>
      <c r="P31" s="442"/>
      <c r="Q31" s="482"/>
    </row>
    <row r="32" customFormat="false" ht="22.5" hidden="false" customHeight="true" outlineLevel="0" collapsed="false">
      <c r="B32" s="470"/>
      <c r="C32" s="481"/>
      <c r="D32" s="481"/>
      <c r="E32" s="481"/>
      <c r="F32" s="481"/>
      <c r="G32" s="483"/>
      <c r="H32" s="465"/>
      <c r="I32" s="442"/>
      <c r="J32" s="465"/>
      <c r="K32" s="428"/>
      <c r="L32" s="428"/>
      <c r="M32" s="475"/>
      <c r="N32" s="475"/>
      <c r="O32" s="475"/>
      <c r="P32" s="442"/>
      <c r="Q32" s="482"/>
    </row>
    <row r="33" customFormat="false" ht="22.5" hidden="false" customHeight="true" outlineLevel="0" collapsed="false">
      <c r="B33" s="432"/>
      <c r="C33" s="481"/>
      <c r="D33" s="481"/>
      <c r="E33" s="481"/>
      <c r="F33" s="481"/>
      <c r="G33" s="483"/>
      <c r="H33" s="465"/>
      <c r="I33" s="442"/>
      <c r="J33" s="465"/>
      <c r="K33" s="428"/>
      <c r="L33" s="428"/>
      <c r="M33" s="475"/>
      <c r="N33" s="475"/>
      <c r="O33" s="475"/>
      <c r="P33" s="442"/>
      <c r="Q33" s="482"/>
    </row>
    <row r="34" customFormat="false" ht="22.5" hidden="false" customHeight="true" outlineLevel="0" collapsed="false">
      <c r="B34" s="470"/>
      <c r="C34" s="481"/>
      <c r="D34" s="481"/>
      <c r="E34" s="481"/>
      <c r="F34" s="481"/>
      <c r="G34" s="483"/>
      <c r="H34" s="465"/>
      <c r="I34" s="442"/>
      <c r="J34" s="465"/>
      <c r="K34" s="428"/>
      <c r="L34" s="428"/>
      <c r="M34" s="475"/>
      <c r="N34" s="475"/>
      <c r="O34" s="475"/>
      <c r="P34" s="442"/>
      <c r="Q34" s="482"/>
    </row>
    <row r="36" customFormat="false" ht="18" hidden="false" customHeight="false" outlineLevel="0" collapsed="false">
      <c r="C36" s="307" t="s">
        <v>519</v>
      </c>
      <c r="D36" s="307"/>
      <c r="E36" s="307"/>
      <c r="F36" s="307"/>
      <c r="H36" s="484" t="n">
        <f aca="false">AVERAGE(H5:H24)</f>
        <v>51.5</v>
      </c>
    </row>
    <row r="37" customFormat="false" ht="18" hidden="false" customHeight="false" outlineLevel="0" collapsed="false">
      <c r="C37" s="307" t="s">
        <v>520</v>
      </c>
      <c r="D37" s="307"/>
      <c r="E37" s="307"/>
      <c r="F37" s="307"/>
      <c r="J37" s="484" t="n">
        <f aca="false">AVERAGE(J5:J24)</f>
        <v>11.3</v>
      </c>
    </row>
    <row r="38" customFormat="false" ht="18" hidden="false" customHeight="false" outlineLevel="0" collapsed="false">
      <c r="C38" s="307"/>
      <c r="D38" s="307"/>
      <c r="E38" s="307"/>
      <c r="F38" s="307"/>
    </row>
    <row r="39" customFormat="false" ht="18" hidden="false" customHeight="false" outlineLevel="0" collapsed="false">
      <c r="B39" s="91" t="s">
        <v>521</v>
      </c>
      <c r="C39" s="307"/>
      <c r="D39" s="307"/>
      <c r="E39" s="307"/>
      <c r="F39" s="307"/>
    </row>
    <row r="40" customFormat="false" ht="18" hidden="false" customHeight="false" outlineLevel="0" collapsed="false">
      <c r="C40" s="307"/>
      <c r="D40" s="307"/>
      <c r="E40" s="307"/>
      <c r="F40" s="307"/>
    </row>
    <row r="41" customFormat="false" ht="18" hidden="false" customHeight="false" outlineLevel="0" collapsed="false">
      <c r="C41" s="307"/>
      <c r="D41" s="307"/>
      <c r="E41" s="307"/>
      <c r="F41" s="307"/>
    </row>
    <row r="42" customFormat="false" ht="18" hidden="false" customHeight="false" outlineLevel="0" collapsed="false">
      <c r="C42" s="307"/>
      <c r="D42" s="307"/>
      <c r="E42" s="307"/>
      <c r="F42" s="307"/>
    </row>
    <row r="43" customFormat="false" ht="18" hidden="false" customHeight="false" outlineLevel="0" collapsed="false">
      <c r="C43" s="307"/>
      <c r="D43" s="307"/>
      <c r="E43" s="307"/>
      <c r="F43" s="307"/>
    </row>
    <row r="44" customFormat="false" ht="18" hidden="false" customHeight="false" outlineLevel="0" collapsed="false">
      <c r="C44" s="307"/>
      <c r="D44" s="307"/>
      <c r="E44" s="307"/>
      <c r="F44" s="307"/>
    </row>
    <row r="45" customFormat="false" ht="18" hidden="false" customHeight="false" outlineLevel="0" collapsed="false">
      <c r="C45" s="307"/>
      <c r="D45" s="307"/>
      <c r="E45" s="307"/>
      <c r="F45" s="307"/>
    </row>
    <row r="46" customFormat="false" ht="18" hidden="false" customHeight="false" outlineLevel="0" collapsed="false">
      <c r="C46" s="307"/>
      <c r="D46" s="307"/>
      <c r="E46" s="307"/>
      <c r="F46" s="307"/>
    </row>
    <row r="47" customFormat="false" ht="18" hidden="false" customHeight="false" outlineLevel="0" collapsed="false">
      <c r="C47" s="307"/>
      <c r="D47" s="307"/>
      <c r="E47" s="307"/>
      <c r="F47" s="307"/>
    </row>
    <row r="48" customFormat="false" ht="18" hidden="false" customHeight="false" outlineLevel="0" collapsed="false">
      <c r="C48" s="307"/>
      <c r="D48" s="307"/>
      <c r="E48" s="307"/>
      <c r="F48" s="307"/>
    </row>
    <row r="49" customFormat="false" ht="18" hidden="false" customHeight="false" outlineLevel="0" collapsed="false">
      <c r="C49" s="307"/>
      <c r="D49" s="307"/>
      <c r="E49" s="307"/>
      <c r="F49" s="307"/>
    </row>
    <row r="50" customFormat="false" ht="18" hidden="false" customHeight="false" outlineLevel="0" collapsed="false">
      <c r="C50" s="307"/>
      <c r="D50" s="307"/>
      <c r="E50" s="307"/>
      <c r="F50" s="307"/>
    </row>
    <row r="51" customFormat="false" ht="18" hidden="false" customHeight="false" outlineLevel="0" collapsed="false">
      <c r="C51" s="307"/>
      <c r="D51" s="307"/>
      <c r="E51" s="307"/>
      <c r="F51" s="307"/>
    </row>
    <row r="52" customFormat="false" ht="18" hidden="false" customHeight="false" outlineLevel="0" collapsed="false">
      <c r="C52" s="307"/>
      <c r="D52" s="307"/>
      <c r="E52" s="307"/>
      <c r="F52" s="307"/>
    </row>
    <row r="53" customFormat="false" ht="18" hidden="false" customHeight="false" outlineLevel="0" collapsed="false">
      <c r="C53" s="307"/>
      <c r="D53" s="307"/>
      <c r="E53" s="307"/>
      <c r="F53" s="307"/>
    </row>
    <row r="54" customFormat="false" ht="18" hidden="false" customHeight="false" outlineLevel="0" collapsed="false">
      <c r="C54" s="307"/>
      <c r="D54" s="307"/>
      <c r="E54" s="307"/>
      <c r="F54" s="307"/>
    </row>
    <row r="55" customFormat="false" ht="18" hidden="false" customHeight="false" outlineLevel="0" collapsed="false">
      <c r="C55" s="307"/>
      <c r="D55" s="307"/>
      <c r="E55" s="307"/>
      <c r="F55" s="307"/>
    </row>
    <row r="56" customFormat="false" ht="18" hidden="false" customHeight="false" outlineLevel="0" collapsed="false">
      <c r="C56" s="307"/>
      <c r="D56" s="307"/>
      <c r="E56" s="307"/>
      <c r="F56" s="307"/>
    </row>
    <row r="57" customFormat="false" ht="18" hidden="false" customHeight="false" outlineLevel="0" collapsed="false">
      <c r="C57" s="307"/>
      <c r="D57" s="307"/>
      <c r="E57" s="307"/>
      <c r="F57" s="307"/>
    </row>
    <row r="58" customFormat="false" ht="18" hidden="false" customHeight="false" outlineLevel="0" collapsed="false">
      <c r="C58" s="307"/>
      <c r="D58" s="307"/>
      <c r="E58" s="307"/>
      <c r="F58" s="307"/>
    </row>
    <row r="59" customFormat="false" ht="18" hidden="false" customHeight="false" outlineLevel="0" collapsed="false">
      <c r="C59" s="307"/>
      <c r="D59" s="307"/>
      <c r="E59" s="307"/>
      <c r="F59" s="307"/>
    </row>
    <row r="60" customFormat="false" ht="18" hidden="false" customHeight="false" outlineLevel="0" collapsed="false">
      <c r="C60" s="307"/>
      <c r="D60" s="307"/>
      <c r="E60" s="307"/>
      <c r="F60" s="307"/>
    </row>
    <row r="61" customFormat="false" ht="18" hidden="false" customHeight="false" outlineLevel="0" collapsed="false">
      <c r="C61" s="307"/>
      <c r="D61" s="307"/>
      <c r="E61" s="307"/>
      <c r="F61" s="307"/>
    </row>
    <row r="62" customFormat="false" ht="18" hidden="false" customHeight="false" outlineLevel="0" collapsed="false">
      <c r="C62" s="307"/>
      <c r="D62" s="307"/>
      <c r="E62" s="307"/>
      <c r="F62" s="307"/>
    </row>
    <row r="63" customFormat="false" ht="18" hidden="false" customHeight="false" outlineLevel="0" collapsed="false">
      <c r="C63" s="307"/>
      <c r="D63" s="307"/>
      <c r="E63" s="307"/>
      <c r="F63" s="307"/>
    </row>
    <row r="64" customFormat="false" ht="18" hidden="false" customHeight="false" outlineLevel="0" collapsed="false">
      <c r="C64" s="307"/>
      <c r="D64" s="307"/>
      <c r="E64" s="307"/>
      <c r="F64" s="307"/>
    </row>
    <row r="65" customFormat="false" ht="18" hidden="false" customHeight="false" outlineLevel="0" collapsed="false">
      <c r="C65" s="307"/>
      <c r="D65" s="307"/>
      <c r="E65" s="307"/>
      <c r="F65" s="307"/>
    </row>
    <row r="66" customFormat="false" ht="18" hidden="false" customHeight="false" outlineLevel="0" collapsed="false">
      <c r="C66" s="307"/>
      <c r="D66" s="307"/>
      <c r="E66" s="307"/>
      <c r="F66" s="307"/>
    </row>
    <row r="67" customFormat="false" ht="18" hidden="false" customHeight="false" outlineLevel="0" collapsed="false">
      <c r="C67" s="307"/>
      <c r="D67" s="307"/>
      <c r="E67" s="307"/>
      <c r="F67" s="307"/>
    </row>
    <row r="68" customFormat="false" ht="18" hidden="false" customHeight="false" outlineLevel="0" collapsed="false">
      <c r="C68" s="307"/>
      <c r="D68" s="307"/>
      <c r="E68" s="307"/>
      <c r="F68" s="307"/>
    </row>
    <row r="69" customFormat="false" ht="18" hidden="false" customHeight="false" outlineLevel="0" collapsed="false">
      <c r="C69" s="307"/>
      <c r="D69" s="307"/>
      <c r="E69" s="307"/>
      <c r="F69" s="307"/>
    </row>
    <row r="70" customFormat="false" ht="18" hidden="false" customHeight="false" outlineLevel="0" collapsed="false">
      <c r="C70" s="307"/>
      <c r="D70" s="307"/>
      <c r="E70" s="307"/>
      <c r="F70" s="307"/>
    </row>
    <row r="71" customFormat="false" ht="18" hidden="false" customHeight="false" outlineLevel="0" collapsed="false">
      <c r="C71" s="307"/>
      <c r="D71" s="307"/>
      <c r="E71" s="307"/>
      <c r="F71" s="307"/>
    </row>
    <row r="72" customFormat="false" ht="18" hidden="false" customHeight="false" outlineLevel="0" collapsed="false">
      <c r="C72" s="307"/>
      <c r="D72" s="307"/>
      <c r="E72" s="307"/>
      <c r="F72" s="307"/>
    </row>
    <row r="73" customFormat="false" ht="18" hidden="false" customHeight="false" outlineLevel="0" collapsed="false">
      <c r="C73" s="307"/>
      <c r="D73" s="307"/>
      <c r="E73" s="307"/>
      <c r="F73" s="307"/>
    </row>
    <row r="74" customFormat="false" ht="18" hidden="false" customHeight="false" outlineLevel="0" collapsed="false">
      <c r="C74" s="307"/>
      <c r="D74" s="307"/>
      <c r="E74" s="307"/>
      <c r="F74" s="307"/>
    </row>
    <row r="75" customFormat="false" ht="18" hidden="false" customHeight="false" outlineLevel="0" collapsed="false">
      <c r="C75" s="307"/>
      <c r="D75" s="307"/>
      <c r="E75" s="307"/>
      <c r="F75" s="307"/>
    </row>
    <row r="76" customFormat="false" ht="18" hidden="false" customHeight="false" outlineLevel="0" collapsed="false">
      <c r="C76" s="307"/>
      <c r="D76" s="307"/>
      <c r="E76" s="307"/>
      <c r="F76" s="307"/>
    </row>
    <row r="77" customFormat="false" ht="18" hidden="false" customHeight="false" outlineLevel="0" collapsed="false">
      <c r="C77" s="307"/>
      <c r="D77" s="307"/>
      <c r="E77" s="307"/>
      <c r="F77" s="307"/>
    </row>
    <row r="78" customFormat="false" ht="18" hidden="false" customHeight="false" outlineLevel="0" collapsed="false">
      <c r="C78" s="307"/>
      <c r="D78" s="307"/>
      <c r="E78" s="307"/>
      <c r="F78" s="307"/>
    </row>
    <row r="79" customFormat="false" ht="18" hidden="false" customHeight="false" outlineLevel="0" collapsed="false">
      <c r="C79" s="307"/>
      <c r="D79" s="307"/>
      <c r="E79" s="307"/>
      <c r="F79" s="307"/>
    </row>
    <row r="80" customFormat="false" ht="18" hidden="false" customHeight="false" outlineLevel="0" collapsed="false">
      <c r="C80" s="307"/>
      <c r="D80" s="307"/>
      <c r="E80" s="307"/>
      <c r="F80" s="307"/>
    </row>
    <row r="81" customFormat="false" ht="18" hidden="false" customHeight="false" outlineLevel="0" collapsed="false">
      <c r="C81" s="307"/>
      <c r="D81" s="307"/>
      <c r="E81" s="307"/>
      <c r="F81" s="307"/>
    </row>
    <row r="82" customFormat="false" ht="18" hidden="false" customHeight="false" outlineLevel="0" collapsed="false">
      <c r="C82" s="307"/>
      <c r="D82" s="307"/>
      <c r="E82" s="307"/>
      <c r="F82" s="307"/>
    </row>
    <row r="83" customFormat="false" ht="18" hidden="false" customHeight="false" outlineLevel="0" collapsed="false">
      <c r="C83" s="307"/>
      <c r="D83" s="307"/>
      <c r="E83" s="307"/>
      <c r="F83" s="307"/>
    </row>
    <row r="84" customFormat="false" ht="18" hidden="false" customHeight="false" outlineLevel="0" collapsed="false">
      <c r="C84" s="307"/>
      <c r="D84" s="307"/>
      <c r="E84" s="307"/>
      <c r="F84" s="307"/>
    </row>
    <row r="85" customFormat="false" ht="18" hidden="false" customHeight="false" outlineLevel="0" collapsed="false">
      <c r="C85" s="307"/>
      <c r="D85" s="307"/>
      <c r="E85" s="307"/>
      <c r="F85" s="307"/>
    </row>
    <row r="86" customFormat="false" ht="18" hidden="false" customHeight="false" outlineLevel="0" collapsed="false">
      <c r="C86" s="307"/>
      <c r="D86" s="307"/>
      <c r="E86" s="307"/>
      <c r="F86" s="307"/>
    </row>
    <row r="87" customFormat="false" ht="18" hidden="false" customHeight="false" outlineLevel="0" collapsed="false">
      <c r="C87" s="307"/>
      <c r="D87" s="307"/>
      <c r="E87" s="307"/>
      <c r="F87" s="307"/>
    </row>
    <row r="88" customFormat="false" ht="18" hidden="false" customHeight="false" outlineLevel="0" collapsed="false">
      <c r="C88" s="307"/>
      <c r="D88" s="307"/>
      <c r="E88" s="307"/>
      <c r="F88" s="307"/>
    </row>
    <row r="89" customFormat="false" ht="18" hidden="false" customHeight="false" outlineLevel="0" collapsed="false">
      <c r="C89" s="307"/>
      <c r="D89" s="307"/>
      <c r="E89" s="307"/>
      <c r="F89" s="307"/>
    </row>
    <row r="90" customFormat="false" ht="18" hidden="false" customHeight="false" outlineLevel="0" collapsed="false">
      <c r="C90" s="307"/>
      <c r="D90" s="307"/>
      <c r="E90" s="307"/>
      <c r="F90" s="307"/>
    </row>
    <row r="91" customFormat="false" ht="18" hidden="false" customHeight="false" outlineLevel="0" collapsed="false">
      <c r="C91" s="307"/>
      <c r="D91" s="307"/>
      <c r="E91" s="307"/>
      <c r="F91" s="307"/>
    </row>
    <row r="92" customFormat="false" ht="18" hidden="false" customHeight="false" outlineLevel="0" collapsed="false">
      <c r="C92" s="307"/>
      <c r="D92" s="307"/>
      <c r="E92" s="307"/>
      <c r="F92" s="307"/>
    </row>
    <row r="93" customFormat="false" ht="18" hidden="false" customHeight="false" outlineLevel="0" collapsed="false">
      <c r="C93" s="307"/>
      <c r="D93" s="307"/>
      <c r="E93" s="307"/>
      <c r="F93" s="307"/>
    </row>
    <row r="94" customFormat="false" ht="18" hidden="false" customHeight="false" outlineLevel="0" collapsed="false">
      <c r="C94" s="307"/>
      <c r="D94" s="307"/>
      <c r="E94" s="307"/>
      <c r="F94" s="307"/>
    </row>
    <row r="95" customFormat="false" ht="18" hidden="false" customHeight="false" outlineLevel="0" collapsed="false">
      <c r="C95" s="307"/>
      <c r="D95" s="307"/>
      <c r="E95" s="307"/>
      <c r="F95" s="307"/>
    </row>
    <row r="96" customFormat="false" ht="18" hidden="false" customHeight="false" outlineLevel="0" collapsed="false">
      <c r="C96" s="307"/>
      <c r="D96" s="307"/>
      <c r="E96" s="307"/>
      <c r="F96" s="307"/>
    </row>
    <row r="97" customFormat="false" ht="18" hidden="false" customHeight="false" outlineLevel="0" collapsed="false">
      <c r="C97" s="307"/>
      <c r="D97" s="307"/>
      <c r="E97" s="307"/>
      <c r="F97" s="307"/>
    </row>
    <row r="98" customFormat="false" ht="18" hidden="false" customHeight="false" outlineLevel="0" collapsed="false">
      <c r="C98" s="307"/>
      <c r="D98" s="307"/>
      <c r="E98" s="307"/>
      <c r="F98" s="307"/>
    </row>
    <row r="99" customFormat="false" ht="18" hidden="false" customHeight="false" outlineLevel="0" collapsed="false">
      <c r="C99" s="307"/>
      <c r="D99" s="307"/>
      <c r="E99" s="307"/>
      <c r="F99" s="307"/>
    </row>
    <row r="100" customFormat="false" ht="18" hidden="false" customHeight="false" outlineLevel="0" collapsed="false">
      <c r="C100" s="307"/>
      <c r="D100" s="307"/>
      <c r="E100" s="307"/>
      <c r="F100" s="307"/>
    </row>
    <row r="101" customFormat="false" ht="18" hidden="false" customHeight="false" outlineLevel="0" collapsed="false">
      <c r="C101" s="307"/>
      <c r="D101" s="307"/>
      <c r="E101" s="307"/>
      <c r="F101" s="307"/>
    </row>
    <row r="102" customFormat="false" ht="18" hidden="false" customHeight="false" outlineLevel="0" collapsed="false">
      <c r="C102" s="307"/>
      <c r="D102" s="307"/>
      <c r="E102" s="307"/>
      <c r="F102" s="307"/>
    </row>
    <row r="103" customFormat="false" ht="18" hidden="false" customHeight="false" outlineLevel="0" collapsed="false">
      <c r="C103" s="307"/>
      <c r="D103" s="307"/>
      <c r="E103" s="307"/>
      <c r="F103" s="307"/>
    </row>
    <row r="104" customFormat="false" ht="18" hidden="false" customHeight="false" outlineLevel="0" collapsed="false">
      <c r="C104" s="307"/>
      <c r="D104" s="307"/>
      <c r="E104" s="307"/>
      <c r="F104" s="307"/>
    </row>
    <row r="105" customFormat="false" ht="18" hidden="false" customHeight="false" outlineLevel="0" collapsed="false">
      <c r="C105" s="307"/>
      <c r="D105" s="307"/>
      <c r="E105" s="307"/>
      <c r="F105" s="307"/>
    </row>
    <row r="106" customFormat="false" ht="18" hidden="false" customHeight="false" outlineLevel="0" collapsed="false">
      <c r="C106" s="307"/>
      <c r="D106" s="307"/>
      <c r="E106" s="307"/>
      <c r="F106" s="307"/>
    </row>
    <row r="107" customFormat="false" ht="18" hidden="false" customHeight="false" outlineLevel="0" collapsed="false">
      <c r="C107" s="307"/>
      <c r="D107" s="307"/>
      <c r="E107" s="307"/>
      <c r="F107" s="307"/>
    </row>
    <row r="108" customFormat="false" ht="18" hidden="false" customHeight="false" outlineLevel="0" collapsed="false">
      <c r="C108" s="307"/>
      <c r="D108" s="307"/>
      <c r="E108" s="307"/>
      <c r="F108" s="307"/>
    </row>
    <row r="109" customFormat="false" ht="18" hidden="false" customHeight="false" outlineLevel="0" collapsed="false">
      <c r="C109" s="307"/>
      <c r="D109" s="307"/>
      <c r="E109" s="307"/>
      <c r="F109" s="307"/>
    </row>
    <row r="110" customFormat="false" ht="18" hidden="false" customHeight="false" outlineLevel="0" collapsed="false">
      <c r="C110" s="307"/>
      <c r="D110" s="307"/>
      <c r="E110" s="307"/>
      <c r="F110" s="307"/>
    </row>
    <row r="111" customFormat="false" ht="18" hidden="false" customHeight="false" outlineLevel="0" collapsed="false">
      <c r="C111" s="307"/>
      <c r="D111" s="307"/>
      <c r="E111" s="307"/>
      <c r="F111" s="307"/>
    </row>
    <row r="112" customFormat="false" ht="18" hidden="false" customHeight="false" outlineLevel="0" collapsed="false">
      <c r="C112" s="307"/>
      <c r="D112" s="307"/>
      <c r="E112" s="307"/>
      <c r="F112" s="307"/>
    </row>
    <row r="113" customFormat="false" ht="18" hidden="false" customHeight="false" outlineLevel="0" collapsed="false">
      <c r="C113" s="307"/>
      <c r="D113" s="307"/>
      <c r="E113" s="307"/>
      <c r="F113" s="307"/>
    </row>
    <row r="114" customFormat="false" ht="18" hidden="false" customHeight="false" outlineLevel="0" collapsed="false">
      <c r="C114" s="307"/>
      <c r="D114" s="307"/>
      <c r="E114" s="307"/>
      <c r="F114" s="307"/>
    </row>
    <row r="115" customFormat="false" ht="18" hidden="false" customHeight="false" outlineLevel="0" collapsed="false">
      <c r="C115" s="307"/>
      <c r="D115" s="307"/>
      <c r="E115" s="307"/>
      <c r="F115" s="307"/>
    </row>
    <row r="116" customFormat="false" ht="18" hidden="false" customHeight="false" outlineLevel="0" collapsed="false">
      <c r="C116" s="307"/>
      <c r="D116" s="307"/>
      <c r="E116" s="307"/>
      <c r="F116" s="307"/>
    </row>
    <row r="117" customFormat="false" ht="18" hidden="false" customHeight="false" outlineLevel="0" collapsed="false">
      <c r="C117" s="307"/>
      <c r="D117" s="307"/>
      <c r="E117" s="307"/>
      <c r="F117" s="307"/>
    </row>
    <row r="118" customFormat="false" ht="18" hidden="false" customHeight="false" outlineLevel="0" collapsed="false">
      <c r="C118" s="307"/>
      <c r="D118" s="307"/>
      <c r="E118" s="307"/>
      <c r="F118" s="307"/>
    </row>
    <row r="119" customFormat="false" ht="18" hidden="false" customHeight="false" outlineLevel="0" collapsed="false">
      <c r="C119" s="307"/>
      <c r="D119" s="307"/>
      <c r="E119" s="307"/>
      <c r="F119" s="307"/>
    </row>
    <row r="120" customFormat="false" ht="18" hidden="false" customHeight="false" outlineLevel="0" collapsed="false">
      <c r="C120" s="307"/>
      <c r="D120" s="307"/>
      <c r="E120" s="307"/>
      <c r="F120" s="307"/>
    </row>
    <row r="121" customFormat="false" ht="18" hidden="false" customHeight="false" outlineLevel="0" collapsed="false">
      <c r="C121" s="307"/>
      <c r="D121" s="307"/>
      <c r="E121" s="307"/>
      <c r="F121" s="307"/>
    </row>
    <row r="122" customFormat="false" ht="18" hidden="false" customHeight="false" outlineLevel="0" collapsed="false">
      <c r="C122" s="307"/>
      <c r="D122" s="307"/>
      <c r="E122" s="307"/>
      <c r="F122" s="307"/>
    </row>
    <row r="123" customFormat="false" ht="18" hidden="false" customHeight="false" outlineLevel="0" collapsed="false">
      <c r="C123" s="307"/>
      <c r="D123" s="307"/>
      <c r="E123" s="307"/>
      <c r="F123" s="307"/>
    </row>
    <row r="124" customFormat="false" ht="18" hidden="false" customHeight="false" outlineLevel="0" collapsed="false">
      <c r="C124" s="307"/>
      <c r="D124" s="307"/>
      <c r="E124" s="307"/>
      <c r="F124" s="307"/>
    </row>
    <row r="125" customFormat="false" ht="18" hidden="false" customHeight="false" outlineLevel="0" collapsed="false">
      <c r="C125" s="307"/>
      <c r="D125" s="307"/>
      <c r="E125" s="307"/>
      <c r="F125" s="307"/>
    </row>
    <row r="126" customFormat="false" ht="18" hidden="false" customHeight="false" outlineLevel="0" collapsed="false">
      <c r="C126" s="307"/>
      <c r="D126" s="307"/>
      <c r="E126" s="307"/>
      <c r="F126" s="307"/>
    </row>
    <row r="127" customFormat="false" ht="18" hidden="false" customHeight="false" outlineLevel="0" collapsed="false">
      <c r="C127" s="307"/>
      <c r="D127" s="307"/>
      <c r="E127" s="307"/>
      <c r="F127" s="307"/>
    </row>
    <row r="128" customFormat="false" ht="18" hidden="false" customHeight="false" outlineLevel="0" collapsed="false">
      <c r="C128" s="307"/>
      <c r="D128" s="307"/>
      <c r="E128" s="307"/>
      <c r="F128" s="307"/>
    </row>
    <row r="129" customFormat="false" ht="18" hidden="false" customHeight="false" outlineLevel="0" collapsed="false">
      <c r="C129" s="307"/>
      <c r="D129" s="307"/>
      <c r="E129" s="307"/>
      <c r="F129" s="307"/>
    </row>
    <row r="130" customFormat="false" ht="18" hidden="false" customHeight="false" outlineLevel="0" collapsed="false">
      <c r="C130" s="307"/>
      <c r="D130" s="307"/>
      <c r="E130" s="307"/>
      <c r="F130" s="307"/>
    </row>
    <row r="131" customFormat="false" ht="18" hidden="false" customHeight="false" outlineLevel="0" collapsed="false">
      <c r="C131" s="307"/>
      <c r="D131" s="307"/>
      <c r="E131" s="307"/>
      <c r="F131" s="307"/>
    </row>
    <row r="132" customFormat="false" ht="18" hidden="false" customHeight="false" outlineLevel="0" collapsed="false">
      <c r="C132" s="307"/>
      <c r="D132" s="307"/>
      <c r="E132" s="307"/>
      <c r="F132" s="307"/>
    </row>
    <row r="133" customFormat="false" ht="18" hidden="false" customHeight="false" outlineLevel="0" collapsed="false">
      <c r="C133" s="307"/>
      <c r="D133" s="307"/>
      <c r="E133" s="307"/>
      <c r="F133" s="307"/>
    </row>
    <row r="134" customFormat="false" ht="18" hidden="false" customHeight="false" outlineLevel="0" collapsed="false">
      <c r="C134" s="307"/>
      <c r="D134" s="307"/>
      <c r="E134" s="307"/>
      <c r="F134" s="307"/>
    </row>
    <row r="135" customFormat="false" ht="18" hidden="false" customHeight="false" outlineLevel="0" collapsed="false">
      <c r="C135" s="307"/>
      <c r="D135" s="307"/>
      <c r="E135" s="307"/>
      <c r="F135" s="307"/>
    </row>
    <row r="136" customFormat="false" ht="18" hidden="false" customHeight="false" outlineLevel="0" collapsed="false">
      <c r="C136" s="307"/>
      <c r="D136" s="307"/>
      <c r="E136" s="307"/>
      <c r="F136" s="307"/>
    </row>
    <row r="137" customFormat="false" ht="18" hidden="false" customHeight="false" outlineLevel="0" collapsed="false">
      <c r="C137" s="307"/>
      <c r="D137" s="307"/>
      <c r="E137" s="307"/>
      <c r="F137" s="307"/>
    </row>
    <row r="138" customFormat="false" ht="18" hidden="false" customHeight="false" outlineLevel="0" collapsed="false">
      <c r="C138" s="307"/>
      <c r="D138" s="307"/>
      <c r="E138" s="307"/>
      <c r="F138" s="307"/>
    </row>
    <row r="139" customFormat="false" ht="18" hidden="false" customHeight="false" outlineLevel="0" collapsed="false">
      <c r="C139" s="307"/>
      <c r="D139" s="307"/>
      <c r="E139" s="307"/>
      <c r="F139" s="307"/>
    </row>
    <row r="140" customFormat="false" ht="18" hidden="false" customHeight="false" outlineLevel="0" collapsed="false">
      <c r="C140" s="307"/>
      <c r="D140" s="307"/>
      <c r="E140" s="307"/>
      <c r="F140" s="307"/>
    </row>
    <row r="141" customFormat="false" ht="18" hidden="false" customHeight="false" outlineLevel="0" collapsed="false">
      <c r="C141" s="307"/>
      <c r="D141" s="307"/>
      <c r="E141" s="307"/>
      <c r="F141" s="307"/>
    </row>
    <row r="142" customFormat="false" ht="18" hidden="false" customHeight="false" outlineLevel="0" collapsed="false">
      <c r="C142" s="307"/>
      <c r="D142" s="307"/>
      <c r="E142" s="307"/>
      <c r="F142" s="307"/>
    </row>
    <row r="143" customFormat="false" ht="18" hidden="false" customHeight="false" outlineLevel="0" collapsed="false">
      <c r="C143" s="307"/>
      <c r="D143" s="307"/>
      <c r="E143" s="307"/>
      <c r="F143" s="307"/>
    </row>
    <row r="144" customFormat="false" ht="18" hidden="false" customHeight="false" outlineLevel="0" collapsed="false">
      <c r="C144" s="307"/>
      <c r="D144" s="307"/>
      <c r="E144" s="307"/>
      <c r="F144" s="307"/>
    </row>
    <row r="145" customFormat="false" ht="18" hidden="false" customHeight="false" outlineLevel="0" collapsed="false">
      <c r="C145" s="307"/>
      <c r="D145" s="307"/>
      <c r="E145" s="307"/>
      <c r="F145" s="307"/>
    </row>
    <row r="146" customFormat="false" ht="18" hidden="false" customHeight="false" outlineLevel="0" collapsed="false">
      <c r="C146" s="307"/>
      <c r="D146" s="307"/>
      <c r="E146" s="307"/>
      <c r="F146" s="307"/>
    </row>
    <row r="147" customFormat="false" ht="18" hidden="false" customHeight="false" outlineLevel="0" collapsed="false">
      <c r="C147" s="307"/>
      <c r="D147" s="307"/>
      <c r="E147" s="307"/>
      <c r="F147" s="307"/>
    </row>
    <row r="148" customFormat="false" ht="18" hidden="false" customHeight="false" outlineLevel="0" collapsed="false">
      <c r="C148" s="307"/>
      <c r="D148" s="307"/>
      <c r="E148" s="307"/>
      <c r="F148" s="307"/>
    </row>
    <row r="149" customFormat="false" ht="18" hidden="false" customHeight="false" outlineLevel="0" collapsed="false">
      <c r="C149" s="307"/>
      <c r="D149" s="307"/>
      <c r="E149" s="307"/>
      <c r="F149" s="307"/>
    </row>
    <row r="150" customFormat="false" ht="18" hidden="false" customHeight="false" outlineLevel="0" collapsed="false">
      <c r="C150" s="307"/>
      <c r="D150" s="307"/>
      <c r="E150" s="307"/>
      <c r="F150" s="307"/>
    </row>
    <row r="151" customFormat="false" ht="18" hidden="false" customHeight="false" outlineLevel="0" collapsed="false">
      <c r="C151" s="307"/>
      <c r="D151" s="307"/>
      <c r="E151" s="307"/>
      <c r="F151" s="307"/>
    </row>
    <row r="152" customFormat="false" ht="18" hidden="false" customHeight="false" outlineLevel="0" collapsed="false">
      <c r="C152" s="307"/>
      <c r="D152" s="307"/>
      <c r="E152" s="307"/>
      <c r="F152" s="307"/>
    </row>
    <row r="153" customFormat="false" ht="18" hidden="false" customHeight="false" outlineLevel="0" collapsed="false">
      <c r="C153" s="307"/>
      <c r="D153" s="307"/>
      <c r="E153" s="307"/>
      <c r="F153" s="307"/>
    </row>
    <row r="154" customFormat="false" ht="18" hidden="false" customHeight="false" outlineLevel="0" collapsed="false">
      <c r="C154" s="307"/>
      <c r="D154" s="307"/>
      <c r="E154" s="307"/>
      <c r="F154" s="307"/>
    </row>
    <row r="155" customFormat="false" ht="18" hidden="false" customHeight="false" outlineLevel="0" collapsed="false">
      <c r="C155" s="307"/>
      <c r="D155" s="307"/>
      <c r="E155" s="307"/>
      <c r="F155" s="307"/>
    </row>
    <row r="156" customFormat="false" ht="18" hidden="false" customHeight="false" outlineLevel="0" collapsed="false">
      <c r="C156" s="307"/>
      <c r="D156" s="307"/>
      <c r="E156" s="307"/>
      <c r="F156" s="307"/>
    </row>
    <row r="157" customFormat="false" ht="18" hidden="false" customHeight="false" outlineLevel="0" collapsed="false">
      <c r="C157" s="307"/>
      <c r="D157" s="307"/>
      <c r="E157" s="307"/>
      <c r="F157" s="307"/>
    </row>
    <row r="158" customFormat="false" ht="18" hidden="false" customHeight="false" outlineLevel="0" collapsed="false">
      <c r="C158" s="307"/>
      <c r="D158" s="307"/>
      <c r="E158" s="307"/>
      <c r="F158" s="307"/>
    </row>
    <row r="159" customFormat="false" ht="18" hidden="false" customHeight="false" outlineLevel="0" collapsed="false">
      <c r="C159" s="307"/>
      <c r="D159" s="307"/>
      <c r="E159" s="307"/>
      <c r="F159" s="307"/>
    </row>
    <row r="160" customFormat="false" ht="18" hidden="false" customHeight="false" outlineLevel="0" collapsed="false">
      <c r="C160" s="307"/>
      <c r="D160" s="307"/>
      <c r="E160" s="307"/>
      <c r="F160" s="307"/>
    </row>
    <row r="161" customFormat="false" ht="18" hidden="false" customHeight="false" outlineLevel="0" collapsed="false">
      <c r="C161" s="307"/>
      <c r="D161" s="307"/>
      <c r="E161" s="307"/>
      <c r="F161" s="307"/>
    </row>
    <row r="162" customFormat="false" ht="18" hidden="false" customHeight="false" outlineLevel="0" collapsed="false">
      <c r="C162" s="307"/>
      <c r="D162" s="307"/>
      <c r="E162" s="307"/>
      <c r="F162" s="307"/>
    </row>
    <row r="163" customFormat="false" ht="18" hidden="false" customHeight="false" outlineLevel="0" collapsed="false">
      <c r="C163" s="307"/>
      <c r="D163" s="307"/>
      <c r="E163" s="307"/>
      <c r="F163" s="307"/>
    </row>
    <row r="164" customFormat="false" ht="18" hidden="false" customHeight="false" outlineLevel="0" collapsed="false">
      <c r="C164" s="307"/>
      <c r="D164" s="307"/>
      <c r="E164" s="307"/>
      <c r="F164" s="307"/>
    </row>
    <row r="165" customFormat="false" ht="18" hidden="false" customHeight="false" outlineLevel="0" collapsed="false">
      <c r="C165" s="307"/>
      <c r="D165" s="307"/>
      <c r="E165" s="307"/>
      <c r="F165" s="307"/>
    </row>
    <row r="166" customFormat="false" ht="18" hidden="false" customHeight="false" outlineLevel="0" collapsed="false">
      <c r="C166" s="307"/>
      <c r="D166" s="307"/>
      <c r="E166" s="307"/>
      <c r="F166" s="307"/>
    </row>
    <row r="167" customFormat="false" ht="18" hidden="false" customHeight="false" outlineLevel="0" collapsed="false">
      <c r="C167" s="307"/>
      <c r="D167" s="307"/>
      <c r="E167" s="307"/>
      <c r="F167" s="307"/>
    </row>
    <row r="168" customFormat="false" ht="18" hidden="false" customHeight="false" outlineLevel="0" collapsed="false">
      <c r="C168" s="307"/>
      <c r="D168" s="307"/>
      <c r="E168" s="307"/>
      <c r="F168" s="307"/>
    </row>
    <row r="169" customFormat="false" ht="18" hidden="false" customHeight="false" outlineLevel="0" collapsed="false">
      <c r="C169" s="307"/>
      <c r="D169" s="307"/>
      <c r="E169" s="307"/>
      <c r="F169" s="307"/>
    </row>
    <row r="170" customFormat="false" ht="18" hidden="false" customHeight="false" outlineLevel="0" collapsed="false">
      <c r="C170" s="307"/>
      <c r="D170" s="307"/>
      <c r="E170" s="307"/>
      <c r="F170" s="307"/>
    </row>
    <row r="171" customFormat="false" ht="18" hidden="false" customHeight="false" outlineLevel="0" collapsed="false">
      <c r="C171" s="307"/>
      <c r="D171" s="307"/>
      <c r="E171" s="307"/>
      <c r="F171" s="307"/>
    </row>
    <row r="172" customFormat="false" ht="18" hidden="false" customHeight="false" outlineLevel="0" collapsed="false">
      <c r="C172" s="307"/>
      <c r="D172" s="307"/>
      <c r="E172" s="307"/>
      <c r="F172" s="307"/>
    </row>
    <row r="173" customFormat="false" ht="18" hidden="false" customHeight="false" outlineLevel="0" collapsed="false">
      <c r="C173" s="307"/>
      <c r="D173" s="307"/>
      <c r="E173" s="307"/>
      <c r="F173" s="307"/>
    </row>
    <row r="174" customFormat="false" ht="18" hidden="false" customHeight="false" outlineLevel="0" collapsed="false">
      <c r="C174" s="307"/>
      <c r="D174" s="307"/>
      <c r="E174" s="307"/>
      <c r="F174" s="307"/>
    </row>
    <row r="175" customFormat="false" ht="18" hidden="false" customHeight="false" outlineLevel="0" collapsed="false">
      <c r="C175" s="307"/>
      <c r="D175" s="307"/>
      <c r="E175" s="307"/>
      <c r="F175" s="307"/>
    </row>
    <row r="176" customFormat="false" ht="18" hidden="false" customHeight="false" outlineLevel="0" collapsed="false">
      <c r="C176" s="307"/>
      <c r="D176" s="307"/>
      <c r="E176" s="307"/>
      <c r="F176" s="307"/>
    </row>
    <row r="177" customFormat="false" ht="18" hidden="false" customHeight="false" outlineLevel="0" collapsed="false">
      <c r="C177" s="307"/>
      <c r="D177" s="307"/>
      <c r="E177" s="307"/>
      <c r="F177" s="307"/>
    </row>
    <row r="178" customFormat="false" ht="18" hidden="false" customHeight="false" outlineLevel="0" collapsed="false">
      <c r="C178" s="307"/>
      <c r="D178" s="307"/>
      <c r="E178" s="307"/>
      <c r="F178" s="307"/>
    </row>
    <row r="179" customFormat="false" ht="18" hidden="false" customHeight="false" outlineLevel="0" collapsed="false">
      <c r="C179" s="307"/>
      <c r="D179" s="307"/>
      <c r="E179" s="307"/>
      <c r="F179" s="307"/>
    </row>
    <row r="180" customFormat="false" ht="18" hidden="false" customHeight="false" outlineLevel="0" collapsed="false">
      <c r="C180" s="307"/>
      <c r="D180" s="307"/>
      <c r="E180" s="307"/>
      <c r="F180" s="307"/>
    </row>
    <row r="181" customFormat="false" ht="18" hidden="false" customHeight="false" outlineLevel="0" collapsed="false">
      <c r="C181" s="307"/>
      <c r="D181" s="307"/>
      <c r="E181" s="307"/>
      <c r="F181" s="307"/>
    </row>
    <row r="182" customFormat="false" ht="18" hidden="false" customHeight="false" outlineLevel="0" collapsed="false">
      <c r="C182" s="307"/>
      <c r="D182" s="307"/>
      <c r="E182" s="307"/>
      <c r="F182" s="307"/>
    </row>
    <row r="183" customFormat="false" ht="18" hidden="false" customHeight="false" outlineLevel="0" collapsed="false">
      <c r="C183" s="307"/>
      <c r="D183" s="307"/>
      <c r="E183" s="307"/>
      <c r="F183" s="307"/>
    </row>
    <row r="184" customFormat="false" ht="18" hidden="false" customHeight="false" outlineLevel="0" collapsed="false">
      <c r="C184" s="307"/>
      <c r="D184" s="307"/>
      <c r="E184" s="307"/>
      <c r="F184" s="307"/>
    </row>
    <row r="185" customFormat="false" ht="18" hidden="false" customHeight="false" outlineLevel="0" collapsed="false">
      <c r="C185" s="307"/>
      <c r="D185" s="307"/>
      <c r="E185" s="307"/>
      <c r="F185" s="307"/>
    </row>
    <row r="186" customFormat="false" ht="18" hidden="false" customHeight="false" outlineLevel="0" collapsed="false">
      <c r="C186" s="307"/>
      <c r="D186" s="307"/>
      <c r="E186" s="307"/>
      <c r="F186" s="307"/>
    </row>
    <row r="187" customFormat="false" ht="18" hidden="false" customHeight="false" outlineLevel="0" collapsed="false">
      <c r="C187" s="307"/>
      <c r="D187" s="307"/>
      <c r="E187" s="307"/>
      <c r="F187" s="307"/>
    </row>
    <row r="188" customFormat="false" ht="18" hidden="false" customHeight="false" outlineLevel="0" collapsed="false">
      <c r="C188" s="307"/>
      <c r="D188" s="307"/>
      <c r="E188" s="307"/>
      <c r="F188" s="307"/>
    </row>
    <row r="189" customFormat="false" ht="18" hidden="false" customHeight="false" outlineLevel="0" collapsed="false">
      <c r="C189" s="307"/>
      <c r="D189" s="307"/>
      <c r="E189" s="307"/>
      <c r="F189" s="307"/>
    </row>
    <row r="190" customFormat="false" ht="18" hidden="false" customHeight="false" outlineLevel="0" collapsed="false">
      <c r="C190" s="307"/>
      <c r="D190" s="307"/>
      <c r="E190" s="307"/>
      <c r="F190" s="307"/>
    </row>
    <row r="191" customFormat="false" ht="18" hidden="false" customHeight="false" outlineLevel="0" collapsed="false">
      <c r="C191" s="307"/>
      <c r="D191" s="307"/>
      <c r="E191" s="307"/>
      <c r="F191" s="307"/>
    </row>
    <row r="192" customFormat="false" ht="18" hidden="false" customHeight="false" outlineLevel="0" collapsed="false">
      <c r="C192" s="307"/>
      <c r="D192" s="307"/>
      <c r="E192" s="307"/>
      <c r="F192" s="307"/>
    </row>
    <row r="193" customFormat="false" ht="18" hidden="false" customHeight="false" outlineLevel="0" collapsed="false">
      <c r="C193" s="307"/>
      <c r="D193" s="307"/>
      <c r="E193" s="307"/>
      <c r="F193" s="307"/>
    </row>
    <row r="194" customFormat="false" ht="18" hidden="false" customHeight="false" outlineLevel="0" collapsed="false">
      <c r="C194" s="307"/>
      <c r="D194" s="307"/>
      <c r="E194" s="307"/>
      <c r="F194" s="307"/>
    </row>
    <row r="195" customFormat="false" ht="18" hidden="false" customHeight="false" outlineLevel="0" collapsed="false">
      <c r="C195" s="307"/>
      <c r="D195" s="307"/>
      <c r="E195" s="307"/>
      <c r="F195" s="307"/>
    </row>
    <row r="196" customFormat="false" ht="18" hidden="false" customHeight="false" outlineLevel="0" collapsed="false">
      <c r="C196" s="307"/>
      <c r="D196" s="307"/>
      <c r="E196" s="307"/>
      <c r="F196" s="307"/>
    </row>
    <row r="197" customFormat="false" ht="18" hidden="false" customHeight="false" outlineLevel="0" collapsed="false">
      <c r="C197" s="307"/>
      <c r="D197" s="307"/>
      <c r="E197" s="307"/>
      <c r="F197" s="307"/>
    </row>
    <row r="198" customFormat="false" ht="18" hidden="false" customHeight="false" outlineLevel="0" collapsed="false">
      <c r="C198" s="307"/>
      <c r="D198" s="307"/>
      <c r="E198" s="307"/>
      <c r="F198" s="307"/>
    </row>
    <row r="199" customFormat="false" ht="18" hidden="false" customHeight="false" outlineLevel="0" collapsed="false">
      <c r="C199" s="307"/>
      <c r="D199" s="307"/>
      <c r="E199" s="307"/>
      <c r="F199" s="307"/>
    </row>
    <row r="200" customFormat="false" ht="18" hidden="false" customHeight="false" outlineLevel="0" collapsed="false">
      <c r="C200" s="307"/>
      <c r="D200" s="307"/>
      <c r="E200" s="307"/>
      <c r="F200" s="307"/>
    </row>
    <row r="201" customFormat="false" ht="18" hidden="false" customHeight="false" outlineLevel="0" collapsed="false">
      <c r="C201" s="307"/>
      <c r="D201" s="307"/>
      <c r="E201" s="307"/>
      <c r="F201" s="307"/>
    </row>
    <row r="202" customFormat="false" ht="18" hidden="false" customHeight="false" outlineLevel="0" collapsed="false">
      <c r="C202" s="307"/>
      <c r="D202" s="307"/>
      <c r="E202" s="307"/>
      <c r="F202" s="307"/>
    </row>
    <row r="203" customFormat="false" ht="18" hidden="false" customHeight="false" outlineLevel="0" collapsed="false">
      <c r="C203" s="307"/>
      <c r="D203" s="307"/>
      <c r="E203" s="307"/>
      <c r="F203" s="307"/>
    </row>
    <row r="204" customFormat="false" ht="18" hidden="false" customHeight="false" outlineLevel="0" collapsed="false">
      <c r="C204" s="307"/>
      <c r="D204" s="307"/>
      <c r="E204" s="307"/>
      <c r="F204" s="307"/>
    </row>
    <row r="205" customFormat="false" ht="18" hidden="false" customHeight="false" outlineLevel="0" collapsed="false">
      <c r="C205" s="307"/>
      <c r="D205" s="307"/>
      <c r="E205" s="307"/>
      <c r="F205" s="307"/>
    </row>
    <row r="206" customFormat="false" ht="18" hidden="false" customHeight="false" outlineLevel="0" collapsed="false">
      <c r="C206" s="307"/>
      <c r="D206" s="307"/>
      <c r="E206" s="307"/>
      <c r="F206" s="307"/>
    </row>
    <row r="207" customFormat="false" ht="18" hidden="false" customHeight="false" outlineLevel="0" collapsed="false">
      <c r="C207" s="307"/>
      <c r="D207" s="307"/>
      <c r="E207" s="307"/>
      <c r="F207" s="307"/>
    </row>
    <row r="208" customFormat="false" ht="18" hidden="false" customHeight="false" outlineLevel="0" collapsed="false">
      <c r="C208" s="307"/>
      <c r="D208" s="307"/>
      <c r="E208" s="307"/>
      <c r="F208" s="307"/>
    </row>
    <row r="209" customFormat="false" ht="18" hidden="false" customHeight="false" outlineLevel="0" collapsed="false">
      <c r="C209" s="307"/>
      <c r="D209" s="307"/>
      <c r="E209" s="307"/>
      <c r="F209" s="307"/>
    </row>
    <row r="210" customFormat="false" ht="18" hidden="false" customHeight="false" outlineLevel="0" collapsed="false">
      <c r="C210" s="307"/>
      <c r="D210" s="307"/>
      <c r="E210" s="307"/>
      <c r="F210" s="307"/>
    </row>
    <row r="211" customFormat="false" ht="18" hidden="false" customHeight="false" outlineLevel="0" collapsed="false">
      <c r="C211" s="307"/>
      <c r="D211" s="307"/>
      <c r="E211" s="307"/>
      <c r="F211" s="307"/>
    </row>
    <row r="212" customFormat="false" ht="18" hidden="false" customHeight="false" outlineLevel="0" collapsed="false">
      <c r="C212" s="307"/>
      <c r="D212" s="307"/>
      <c r="E212" s="307"/>
      <c r="F212" s="307"/>
    </row>
    <row r="213" customFormat="false" ht="18" hidden="false" customHeight="false" outlineLevel="0" collapsed="false">
      <c r="C213" s="307"/>
      <c r="D213" s="307"/>
      <c r="E213" s="307"/>
      <c r="F213" s="307"/>
    </row>
    <row r="214" customFormat="false" ht="18" hidden="false" customHeight="false" outlineLevel="0" collapsed="false">
      <c r="C214" s="307"/>
      <c r="D214" s="307"/>
      <c r="E214" s="307"/>
      <c r="F214" s="307"/>
    </row>
    <row r="215" customFormat="false" ht="18" hidden="false" customHeight="false" outlineLevel="0" collapsed="false">
      <c r="C215" s="307"/>
      <c r="D215" s="307"/>
      <c r="E215" s="307"/>
      <c r="F215" s="307"/>
    </row>
    <row r="216" customFormat="false" ht="18" hidden="false" customHeight="false" outlineLevel="0" collapsed="false">
      <c r="C216" s="307"/>
      <c r="D216" s="307"/>
      <c r="E216" s="307"/>
      <c r="F216" s="307"/>
    </row>
    <row r="217" customFormat="false" ht="18" hidden="false" customHeight="false" outlineLevel="0" collapsed="false">
      <c r="C217" s="307"/>
      <c r="D217" s="307"/>
      <c r="E217" s="307"/>
      <c r="F217" s="307"/>
    </row>
    <row r="218" customFormat="false" ht="18" hidden="false" customHeight="false" outlineLevel="0" collapsed="false">
      <c r="C218" s="307"/>
      <c r="D218" s="307"/>
      <c r="E218" s="307"/>
      <c r="F218" s="307"/>
    </row>
    <row r="219" customFormat="false" ht="18" hidden="false" customHeight="false" outlineLevel="0" collapsed="false">
      <c r="C219" s="307"/>
      <c r="D219" s="307"/>
      <c r="E219" s="307"/>
      <c r="F219" s="307"/>
    </row>
    <row r="220" customFormat="false" ht="18" hidden="false" customHeight="false" outlineLevel="0" collapsed="false">
      <c r="C220" s="307"/>
      <c r="D220" s="307"/>
      <c r="E220" s="307"/>
      <c r="F220" s="307"/>
    </row>
    <row r="221" customFormat="false" ht="18" hidden="false" customHeight="false" outlineLevel="0" collapsed="false">
      <c r="C221" s="307"/>
      <c r="D221" s="307"/>
      <c r="E221" s="307"/>
      <c r="F221" s="307"/>
    </row>
    <row r="222" customFormat="false" ht="18" hidden="false" customHeight="false" outlineLevel="0" collapsed="false">
      <c r="C222" s="307"/>
      <c r="D222" s="307"/>
      <c r="E222" s="307"/>
      <c r="F222" s="307"/>
    </row>
    <row r="223" customFormat="false" ht="18" hidden="false" customHeight="false" outlineLevel="0" collapsed="false">
      <c r="C223" s="307"/>
      <c r="D223" s="307"/>
      <c r="E223" s="307"/>
      <c r="F223" s="307"/>
    </row>
    <row r="224" customFormat="false" ht="18" hidden="false" customHeight="false" outlineLevel="0" collapsed="false">
      <c r="C224" s="307"/>
      <c r="D224" s="307"/>
      <c r="E224" s="307"/>
      <c r="F224" s="307"/>
    </row>
    <row r="225" customFormat="false" ht="18" hidden="false" customHeight="false" outlineLevel="0" collapsed="false">
      <c r="C225" s="307"/>
      <c r="D225" s="307"/>
      <c r="E225" s="307"/>
      <c r="F225" s="307"/>
    </row>
    <row r="226" customFormat="false" ht="18" hidden="false" customHeight="false" outlineLevel="0" collapsed="false">
      <c r="C226" s="307"/>
      <c r="D226" s="307"/>
      <c r="E226" s="307"/>
      <c r="F226" s="307"/>
    </row>
    <row r="227" customFormat="false" ht="18" hidden="false" customHeight="false" outlineLevel="0" collapsed="false">
      <c r="C227" s="307"/>
      <c r="D227" s="307"/>
      <c r="E227" s="307"/>
      <c r="F227" s="307"/>
    </row>
    <row r="228" customFormat="false" ht="18" hidden="false" customHeight="false" outlineLevel="0" collapsed="false">
      <c r="C228" s="307"/>
      <c r="D228" s="307"/>
      <c r="E228" s="307"/>
      <c r="F228" s="307"/>
    </row>
    <row r="229" customFormat="false" ht="18" hidden="false" customHeight="false" outlineLevel="0" collapsed="false">
      <c r="C229" s="307"/>
      <c r="D229" s="307"/>
      <c r="E229" s="307"/>
      <c r="F229" s="307"/>
    </row>
    <row r="230" customFormat="false" ht="18" hidden="false" customHeight="false" outlineLevel="0" collapsed="false">
      <c r="C230" s="307"/>
      <c r="D230" s="307"/>
      <c r="E230" s="307"/>
      <c r="F230" s="307"/>
    </row>
    <row r="231" customFormat="false" ht="18" hidden="false" customHeight="false" outlineLevel="0" collapsed="false">
      <c r="C231" s="307"/>
      <c r="D231" s="307"/>
      <c r="E231" s="307"/>
      <c r="F231" s="307"/>
    </row>
    <row r="232" customFormat="false" ht="18" hidden="false" customHeight="false" outlineLevel="0" collapsed="false">
      <c r="C232" s="307"/>
      <c r="D232" s="307"/>
      <c r="E232" s="307"/>
      <c r="F232" s="307"/>
    </row>
    <row r="233" customFormat="false" ht="18" hidden="false" customHeight="false" outlineLevel="0" collapsed="false">
      <c r="C233" s="307"/>
      <c r="D233" s="307"/>
      <c r="E233" s="307"/>
      <c r="F233" s="307"/>
    </row>
    <row r="234" customFormat="false" ht="18" hidden="false" customHeight="false" outlineLevel="0" collapsed="false">
      <c r="C234" s="307"/>
      <c r="D234" s="307"/>
      <c r="E234" s="307"/>
      <c r="F234" s="307"/>
    </row>
    <row r="235" customFormat="false" ht="18" hidden="false" customHeight="false" outlineLevel="0" collapsed="false">
      <c r="C235" s="307"/>
      <c r="D235" s="307"/>
      <c r="E235" s="307"/>
      <c r="F235" s="307"/>
    </row>
    <row r="236" customFormat="false" ht="18" hidden="false" customHeight="false" outlineLevel="0" collapsed="false">
      <c r="C236" s="307"/>
      <c r="D236" s="307"/>
      <c r="E236" s="307"/>
      <c r="F236" s="307"/>
    </row>
    <row r="237" customFormat="false" ht="18" hidden="false" customHeight="false" outlineLevel="0" collapsed="false">
      <c r="C237" s="307"/>
      <c r="D237" s="307"/>
      <c r="E237" s="307"/>
      <c r="F237" s="307"/>
    </row>
    <row r="238" customFormat="false" ht="18" hidden="false" customHeight="false" outlineLevel="0" collapsed="false">
      <c r="C238" s="307"/>
      <c r="D238" s="307"/>
      <c r="E238" s="307"/>
      <c r="F238" s="307"/>
    </row>
    <row r="239" customFormat="false" ht="18" hidden="false" customHeight="false" outlineLevel="0" collapsed="false">
      <c r="C239" s="307"/>
      <c r="D239" s="307"/>
      <c r="E239" s="307"/>
      <c r="F239" s="307"/>
    </row>
    <row r="240" customFormat="false" ht="18" hidden="false" customHeight="false" outlineLevel="0" collapsed="false">
      <c r="C240" s="307"/>
      <c r="D240" s="307"/>
      <c r="E240" s="307"/>
      <c r="F240" s="307"/>
    </row>
    <row r="241" customFormat="false" ht="18" hidden="false" customHeight="false" outlineLevel="0" collapsed="false">
      <c r="C241" s="307"/>
      <c r="D241" s="307"/>
      <c r="E241" s="307"/>
      <c r="F241" s="307"/>
    </row>
    <row r="242" customFormat="false" ht="18" hidden="false" customHeight="false" outlineLevel="0" collapsed="false">
      <c r="C242" s="307"/>
      <c r="D242" s="307"/>
      <c r="E242" s="307"/>
      <c r="F242" s="307"/>
    </row>
    <row r="243" customFormat="false" ht="18" hidden="false" customHeight="false" outlineLevel="0" collapsed="false">
      <c r="C243" s="307"/>
      <c r="D243" s="307"/>
      <c r="E243" s="307"/>
      <c r="F243" s="307"/>
    </row>
    <row r="244" customFormat="false" ht="18" hidden="false" customHeight="false" outlineLevel="0" collapsed="false">
      <c r="C244" s="307"/>
      <c r="D244" s="307"/>
      <c r="E244" s="307"/>
      <c r="F244" s="307"/>
    </row>
    <row r="245" customFormat="false" ht="18" hidden="false" customHeight="false" outlineLevel="0" collapsed="false">
      <c r="C245" s="307"/>
      <c r="D245" s="307"/>
      <c r="E245" s="307"/>
      <c r="F245" s="307"/>
    </row>
    <row r="246" customFormat="false" ht="18" hidden="false" customHeight="false" outlineLevel="0" collapsed="false">
      <c r="C246" s="307"/>
      <c r="D246" s="307"/>
      <c r="E246" s="307"/>
      <c r="F246" s="307"/>
    </row>
    <row r="247" customFormat="false" ht="18" hidden="false" customHeight="false" outlineLevel="0" collapsed="false">
      <c r="C247" s="307"/>
      <c r="D247" s="307"/>
      <c r="E247" s="307"/>
      <c r="F247" s="307"/>
    </row>
    <row r="248" customFormat="false" ht="18" hidden="false" customHeight="false" outlineLevel="0" collapsed="false">
      <c r="C248" s="307"/>
      <c r="D248" s="307"/>
      <c r="E248" s="307"/>
      <c r="F248" s="307"/>
    </row>
    <row r="249" customFormat="false" ht="18" hidden="false" customHeight="false" outlineLevel="0" collapsed="false">
      <c r="C249" s="307"/>
      <c r="D249" s="307"/>
      <c r="E249" s="307"/>
      <c r="F249" s="307"/>
    </row>
    <row r="250" customFormat="false" ht="18" hidden="false" customHeight="false" outlineLevel="0" collapsed="false">
      <c r="C250" s="307"/>
      <c r="D250" s="307"/>
      <c r="E250" s="307"/>
      <c r="F250" s="307"/>
    </row>
    <row r="251" customFormat="false" ht="18" hidden="false" customHeight="false" outlineLevel="0" collapsed="false">
      <c r="C251" s="307"/>
      <c r="D251" s="307"/>
      <c r="E251" s="307"/>
      <c r="F251" s="307"/>
    </row>
    <row r="252" customFormat="false" ht="18" hidden="false" customHeight="false" outlineLevel="0" collapsed="false">
      <c r="C252" s="307"/>
      <c r="D252" s="307"/>
      <c r="E252" s="307"/>
      <c r="F252" s="307"/>
    </row>
    <row r="253" customFormat="false" ht="18" hidden="false" customHeight="false" outlineLevel="0" collapsed="false">
      <c r="C253" s="307"/>
      <c r="D253" s="307"/>
      <c r="E253" s="307"/>
      <c r="F253" s="307"/>
    </row>
    <row r="254" customFormat="false" ht="18" hidden="false" customHeight="false" outlineLevel="0" collapsed="false">
      <c r="C254" s="307"/>
      <c r="D254" s="307"/>
      <c r="E254" s="307"/>
      <c r="F254" s="307"/>
    </row>
    <row r="255" customFormat="false" ht="18" hidden="false" customHeight="false" outlineLevel="0" collapsed="false">
      <c r="C255" s="307"/>
      <c r="D255" s="307"/>
      <c r="E255" s="307"/>
      <c r="F255" s="307"/>
    </row>
    <row r="256" customFormat="false" ht="18" hidden="false" customHeight="false" outlineLevel="0" collapsed="false">
      <c r="C256" s="307"/>
      <c r="D256" s="307"/>
      <c r="E256" s="307"/>
      <c r="F256" s="307"/>
    </row>
    <row r="257" customFormat="false" ht="18" hidden="false" customHeight="false" outlineLevel="0" collapsed="false">
      <c r="C257" s="307"/>
      <c r="D257" s="307"/>
      <c r="E257" s="307"/>
      <c r="F257" s="307"/>
    </row>
    <row r="258" customFormat="false" ht="18" hidden="false" customHeight="false" outlineLevel="0" collapsed="false">
      <c r="C258" s="307"/>
      <c r="D258" s="307"/>
      <c r="E258" s="307"/>
      <c r="F258" s="307"/>
    </row>
    <row r="259" customFormat="false" ht="18" hidden="false" customHeight="false" outlineLevel="0" collapsed="false">
      <c r="C259" s="307"/>
      <c r="D259" s="307"/>
      <c r="E259" s="307"/>
      <c r="F259" s="307"/>
    </row>
    <row r="260" customFormat="false" ht="18" hidden="false" customHeight="false" outlineLevel="0" collapsed="false">
      <c r="C260" s="307"/>
      <c r="D260" s="307"/>
      <c r="E260" s="307"/>
      <c r="F260" s="307"/>
    </row>
    <row r="261" customFormat="false" ht="18" hidden="false" customHeight="false" outlineLevel="0" collapsed="false">
      <c r="C261" s="307"/>
      <c r="D261" s="307"/>
      <c r="E261" s="307"/>
      <c r="F261" s="307"/>
    </row>
    <row r="262" customFormat="false" ht="18" hidden="false" customHeight="false" outlineLevel="0" collapsed="false">
      <c r="C262" s="307"/>
      <c r="D262" s="307"/>
      <c r="E262" s="307"/>
      <c r="F262" s="307"/>
    </row>
    <row r="263" customFormat="false" ht="18" hidden="false" customHeight="false" outlineLevel="0" collapsed="false">
      <c r="C263" s="307"/>
      <c r="D263" s="307"/>
      <c r="E263" s="307"/>
      <c r="F263" s="307"/>
    </row>
    <row r="264" customFormat="false" ht="18" hidden="false" customHeight="false" outlineLevel="0" collapsed="false">
      <c r="C264" s="307"/>
      <c r="D264" s="307"/>
      <c r="E264" s="307"/>
      <c r="F264" s="307"/>
    </row>
    <row r="265" customFormat="false" ht="18" hidden="false" customHeight="false" outlineLevel="0" collapsed="false">
      <c r="C265" s="307"/>
      <c r="D265" s="307"/>
      <c r="E265" s="307"/>
      <c r="F265" s="307"/>
    </row>
    <row r="266" customFormat="false" ht="18" hidden="false" customHeight="false" outlineLevel="0" collapsed="false">
      <c r="C266" s="307"/>
      <c r="D266" s="307"/>
      <c r="E266" s="307"/>
      <c r="F266" s="307"/>
    </row>
    <row r="267" customFormat="false" ht="18" hidden="false" customHeight="false" outlineLevel="0" collapsed="false">
      <c r="C267" s="307"/>
      <c r="D267" s="307"/>
      <c r="E267" s="307"/>
      <c r="F267" s="307"/>
    </row>
    <row r="268" customFormat="false" ht="18" hidden="false" customHeight="false" outlineLevel="0" collapsed="false">
      <c r="C268" s="307"/>
      <c r="D268" s="307"/>
      <c r="E268" s="307"/>
      <c r="F268" s="307"/>
    </row>
    <row r="269" customFormat="false" ht="18" hidden="false" customHeight="false" outlineLevel="0" collapsed="false">
      <c r="C269" s="307"/>
      <c r="D269" s="307"/>
      <c r="E269" s="307"/>
      <c r="F269" s="307"/>
    </row>
    <row r="270" customFormat="false" ht="18" hidden="false" customHeight="false" outlineLevel="0" collapsed="false">
      <c r="C270" s="307"/>
      <c r="D270" s="307"/>
      <c r="E270" s="307"/>
      <c r="F270" s="307"/>
    </row>
    <row r="271" customFormat="false" ht="18" hidden="false" customHeight="false" outlineLevel="0" collapsed="false">
      <c r="C271" s="307"/>
      <c r="D271" s="307"/>
      <c r="E271" s="307"/>
      <c r="F271" s="307"/>
    </row>
    <row r="272" customFormat="false" ht="18" hidden="false" customHeight="false" outlineLevel="0" collapsed="false">
      <c r="C272" s="307"/>
      <c r="D272" s="307"/>
      <c r="E272" s="307"/>
      <c r="F272" s="307"/>
    </row>
    <row r="273" customFormat="false" ht="18" hidden="false" customHeight="false" outlineLevel="0" collapsed="false">
      <c r="C273" s="307"/>
      <c r="D273" s="307"/>
      <c r="E273" s="307"/>
      <c r="F273" s="307"/>
    </row>
    <row r="274" customFormat="false" ht="18" hidden="false" customHeight="false" outlineLevel="0" collapsed="false">
      <c r="C274" s="307"/>
      <c r="D274" s="307"/>
      <c r="E274" s="307"/>
      <c r="F274" s="307"/>
    </row>
    <row r="275" customFormat="false" ht="18" hidden="false" customHeight="false" outlineLevel="0" collapsed="false">
      <c r="C275" s="307"/>
      <c r="D275" s="307"/>
      <c r="E275" s="307"/>
      <c r="F275" s="307"/>
    </row>
    <row r="276" customFormat="false" ht="18" hidden="false" customHeight="false" outlineLevel="0" collapsed="false">
      <c r="C276" s="307"/>
      <c r="D276" s="307"/>
      <c r="E276" s="307"/>
      <c r="F276" s="307"/>
    </row>
    <row r="277" customFormat="false" ht="18" hidden="false" customHeight="false" outlineLevel="0" collapsed="false">
      <c r="C277" s="307"/>
      <c r="D277" s="307"/>
      <c r="E277" s="307"/>
      <c r="F277" s="307"/>
    </row>
    <row r="278" customFormat="false" ht="18" hidden="false" customHeight="false" outlineLevel="0" collapsed="false">
      <c r="C278" s="307"/>
      <c r="D278" s="307"/>
      <c r="E278" s="307"/>
      <c r="F278" s="307"/>
    </row>
    <row r="279" customFormat="false" ht="18" hidden="false" customHeight="false" outlineLevel="0" collapsed="false">
      <c r="C279" s="307"/>
      <c r="D279" s="307"/>
      <c r="E279" s="307"/>
      <c r="F279" s="307"/>
    </row>
    <row r="280" customFormat="false" ht="18" hidden="false" customHeight="false" outlineLevel="0" collapsed="false">
      <c r="C280" s="307"/>
      <c r="D280" s="307"/>
      <c r="E280" s="307"/>
      <c r="F280" s="307"/>
    </row>
    <row r="281" customFormat="false" ht="18" hidden="false" customHeight="false" outlineLevel="0" collapsed="false">
      <c r="C281" s="307"/>
      <c r="D281" s="307"/>
      <c r="E281" s="307"/>
      <c r="F281" s="307"/>
    </row>
    <row r="282" customFormat="false" ht="18" hidden="false" customHeight="false" outlineLevel="0" collapsed="false">
      <c r="C282" s="307"/>
      <c r="D282" s="307"/>
      <c r="E282" s="307"/>
      <c r="F282" s="307"/>
    </row>
    <row r="283" customFormat="false" ht="18" hidden="false" customHeight="false" outlineLevel="0" collapsed="false">
      <c r="C283" s="307"/>
      <c r="D283" s="307"/>
      <c r="E283" s="307"/>
      <c r="F283" s="307"/>
    </row>
    <row r="284" customFormat="false" ht="18" hidden="false" customHeight="false" outlineLevel="0" collapsed="false">
      <c r="C284" s="307"/>
      <c r="D284" s="307"/>
      <c r="E284" s="307"/>
      <c r="F284" s="307"/>
    </row>
    <row r="285" customFormat="false" ht="18" hidden="false" customHeight="false" outlineLevel="0" collapsed="false">
      <c r="C285" s="307"/>
      <c r="D285" s="307"/>
      <c r="E285" s="307"/>
      <c r="F285" s="307"/>
    </row>
    <row r="286" customFormat="false" ht="18" hidden="false" customHeight="false" outlineLevel="0" collapsed="false">
      <c r="C286" s="307"/>
      <c r="D286" s="307"/>
      <c r="E286" s="307"/>
      <c r="F286" s="307"/>
    </row>
    <row r="287" customFormat="false" ht="18" hidden="false" customHeight="false" outlineLevel="0" collapsed="false">
      <c r="C287" s="307"/>
      <c r="D287" s="307"/>
      <c r="E287" s="307"/>
      <c r="F287" s="307"/>
    </row>
    <row r="288" customFormat="false" ht="18" hidden="false" customHeight="false" outlineLevel="0" collapsed="false">
      <c r="C288" s="307"/>
      <c r="D288" s="307"/>
      <c r="E288" s="307"/>
      <c r="F288" s="307"/>
    </row>
    <row r="289" customFormat="false" ht="18" hidden="false" customHeight="false" outlineLevel="0" collapsed="false">
      <c r="C289" s="307"/>
      <c r="D289" s="307"/>
      <c r="E289" s="307"/>
      <c r="F289" s="307"/>
    </row>
    <row r="290" customFormat="false" ht="18" hidden="false" customHeight="false" outlineLevel="0" collapsed="false">
      <c r="C290" s="307"/>
      <c r="D290" s="307"/>
      <c r="E290" s="307"/>
      <c r="F290" s="307"/>
    </row>
    <row r="291" customFormat="false" ht="18" hidden="false" customHeight="false" outlineLevel="0" collapsed="false">
      <c r="C291" s="307"/>
      <c r="D291" s="307"/>
      <c r="E291" s="307"/>
      <c r="F291" s="307"/>
    </row>
    <row r="292" customFormat="false" ht="18" hidden="false" customHeight="false" outlineLevel="0" collapsed="false">
      <c r="C292" s="307"/>
      <c r="D292" s="307"/>
      <c r="E292" s="307"/>
      <c r="F292" s="307"/>
    </row>
    <row r="293" customFormat="false" ht="18" hidden="false" customHeight="false" outlineLevel="0" collapsed="false">
      <c r="C293" s="307"/>
      <c r="D293" s="307"/>
      <c r="E293" s="307"/>
      <c r="F293" s="307"/>
    </row>
    <row r="294" customFormat="false" ht="18" hidden="false" customHeight="false" outlineLevel="0" collapsed="false">
      <c r="C294" s="307"/>
      <c r="D294" s="307"/>
      <c r="E294" s="307"/>
      <c r="F294" s="307"/>
    </row>
    <row r="295" customFormat="false" ht="18" hidden="false" customHeight="false" outlineLevel="0" collapsed="false">
      <c r="C295" s="307"/>
      <c r="D295" s="307"/>
      <c r="E295" s="307"/>
      <c r="F295" s="307"/>
    </row>
    <row r="296" customFormat="false" ht="18" hidden="false" customHeight="false" outlineLevel="0" collapsed="false">
      <c r="C296" s="307"/>
      <c r="D296" s="307"/>
      <c r="E296" s="307"/>
      <c r="F296" s="307"/>
    </row>
    <row r="297" customFormat="false" ht="18" hidden="false" customHeight="false" outlineLevel="0" collapsed="false">
      <c r="C297" s="307"/>
      <c r="D297" s="307"/>
      <c r="E297" s="307"/>
      <c r="F297" s="307"/>
    </row>
    <row r="298" customFormat="false" ht="18" hidden="false" customHeight="false" outlineLevel="0" collapsed="false">
      <c r="C298" s="307"/>
      <c r="D298" s="307"/>
      <c r="E298" s="307"/>
      <c r="F298" s="307"/>
    </row>
    <row r="299" customFormat="false" ht="18" hidden="false" customHeight="false" outlineLevel="0" collapsed="false">
      <c r="C299" s="307"/>
      <c r="D299" s="307"/>
      <c r="E299" s="307"/>
      <c r="F299" s="307"/>
    </row>
    <row r="300" customFormat="false" ht="18" hidden="false" customHeight="false" outlineLevel="0" collapsed="false">
      <c r="C300" s="307"/>
      <c r="D300" s="307"/>
      <c r="E300" s="307"/>
      <c r="F300" s="307"/>
    </row>
    <row r="301" customFormat="false" ht="18" hidden="false" customHeight="false" outlineLevel="0" collapsed="false">
      <c r="C301" s="307"/>
      <c r="D301" s="307"/>
      <c r="E301" s="307"/>
      <c r="F301" s="307"/>
    </row>
    <row r="302" customFormat="false" ht="18" hidden="false" customHeight="false" outlineLevel="0" collapsed="false">
      <c r="C302" s="307"/>
      <c r="D302" s="307"/>
      <c r="E302" s="307"/>
      <c r="F302" s="307"/>
    </row>
    <row r="303" customFormat="false" ht="18" hidden="false" customHeight="false" outlineLevel="0" collapsed="false">
      <c r="C303" s="307"/>
      <c r="D303" s="307"/>
      <c r="E303" s="307"/>
      <c r="F303" s="307"/>
    </row>
    <row r="304" customFormat="false" ht="18" hidden="false" customHeight="false" outlineLevel="0" collapsed="false">
      <c r="C304" s="307"/>
      <c r="D304" s="307"/>
      <c r="E304" s="307"/>
      <c r="F304" s="307"/>
    </row>
    <row r="305" customFormat="false" ht="18" hidden="false" customHeight="false" outlineLevel="0" collapsed="false">
      <c r="C305" s="307"/>
      <c r="D305" s="307"/>
      <c r="E305" s="307"/>
      <c r="F305" s="307"/>
    </row>
    <row r="306" customFormat="false" ht="18" hidden="false" customHeight="false" outlineLevel="0" collapsed="false">
      <c r="C306" s="307"/>
      <c r="D306" s="307"/>
      <c r="E306" s="307"/>
      <c r="F306" s="307"/>
    </row>
    <row r="307" customFormat="false" ht="18" hidden="false" customHeight="false" outlineLevel="0" collapsed="false">
      <c r="C307" s="307"/>
      <c r="D307" s="307"/>
      <c r="E307" s="307"/>
      <c r="F307" s="307"/>
    </row>
    <row r="308" customFormat="false" ht="18" hidden="false" customHeight="false" outlineLevel="0" collapsed="false">
      <c r="C308" s="307"/>
      <c r="D308" s="307"/>
      <c r="E308" s="307"/>
      <c r="F308" s="307"/>
    </row>
    <row r="309" customFormat="false" ht="18" hidden="false" customHeight="false" outlineLevel="0" collapsed="false">
      <c r="C309" s="307"/>
      <c r="D309" s="307"/>
      <c r="E309" s="307"/>
      <c r="F309" s="307"/>
    </row>
    <row r="310" customFormat="false" ht="18" hidden="false" customHeight="false" outlineLevel="0" collapsed="false">
      <c r="C310" s="307"/>
      <c r="D310" s="307"/>
      <c r="E310" s="307"/>
      <c r="F310" s="307"/>
    </row>
    <row r="311" customFormat="false" ht="18" hidden="false" customHeight="false" outlineLevel="0" collapsed="false">
      <c r="C311" s="307"/>
      <c r="D311" s="307"/>
      <c r="E311" s="307"/>
      <c r="F311" s="307"/>
    </row>
    <row r="312" customFormat="false" ht="18" hidden="false" customHeight="false" outlineLevel="0" collapsed="false">
      <c r="C312" s="307"/>
      <c r="D312" s="307"/>
      <c r="E312" s="307"/>
      <c r="F312" s="307"/>
    </row>
    <row r="313" customFormat="false" ht="18" hidden="false" customHeight="false" outlineLevel="0" collapsed="false">
      <c r="C313" s="307"/>
      <c r="D313" s="307"/>
      <c r="E313" s="307"/>
      <c r="F313" s="307"/>
    </row>
    <row r="314" customFormat="false" ht="18" hidden="false" customHeight="false" outlineLevel="0" collapsed="false">
      <c r="C314" s="307"/>
      <c r="D314" s="307"/>
      <c r="E314" s="307"/>
      <c r="F314" s="307"/>
    </row>
    <row r="315" customFormat="false" ht="18" hidden="false" customHeight="false" outlineLevel="0" collapsed="false">
      <c r="C315" s="307"/>
      <c r="D315" s="307"/>
      <c r="E315" s="307"/>
      <c r="F315" s="307"/>
    </row>
    <row r="316" customFormat="false" ht="18" hidden="false" customHeight="false" outlineLevel="0" collapsed="false">
      <c r="C316" s="307"/>
      <c r="D316" s="307"/>
      <c r="E316" s="307"/>
      <c r="F316" s="307"/>
    </row>
    <row r="317" customFormat="false" ht="18" hidden="false" customHeight="false" outlineLevel="0" collapsed="false">
      <c r="C317" s="307"/>
      <c r="D317" s="307"/>
      <c r="E317" s="307"/>
      <c r="F317" s="307"/>
    </row>
    <row r="318" customFormat="false" ht="18" hidden="false" customHeight="false" outlineLevel="0" collapsed="false">
      <c r="C318" s="307"/>
      <c r="D318" s="307"/>
      <c r="E318" s="307"/>
      <c r="F318" s="307"/>
    </row>
    <row r="319" customFormat="false" ht="18" hidden="false" customHeight="false" outlineLevel="0" collapsed="false">
      <c r="C319" s="307"/>
      <c r="D319" s="307"/>
      <c r="E319" s="307"/>
      <c r="F319" s="307"/>
    </row>
    <row r="320" customFormat="false" ht="18" hidden="false" customHeight="false" outlineLevel="0" collapsed="false">
      <c r="C320" s="307"/>
      <c r="D320" s="307"/>
      <c r="E320" s="307"/>
      <c r="F320" s="307"/>
    </row>
    <row r="321" customFormat="false" ht="18" hidden="false" customHeight="false" outlineLevel="0" collapsed="false">
      <c r="C321" s="307"/>
      <c r="D321" s="307"/>
      <c r="E321" s="307"/>
      <c r="F321" s="307"/>
    </row>
    <row r="322" customFormat="false" ht="18" hidden="false" customHeight="false" outlineLevel="0" collapsed="false">
      <c r="C322" s="307"/>
      <c r="D322" s="307"/>
      <c r="E322" s="307"/>
      <c r="F322" s="307"/>
    </row>
    <row r="323" customFormat="false" ht="18" hidden="false" customHeight="false" outlineLevel="0" collapsed="false">
      <c r="C323" s="307"/>
      <c r="D323" s="307"/>
      <c r="E323" s="307"/>
      <c r="F323" s="307"/>
    </row>
    <row r="324" customFormat="false" ht="18" hidden="false" customHeight="false" outlineLevel="0" collapsed="false">
      <c r="C324" s="307"/>
      <c r="D324" s="307"/>
      <c r="E324" s="307"/>
      <c r="F324" s="307"/>
    </row>
    <row r="325" customFormat="false" ht="18" hidden="false" customHeight="false" outlineLevel="0" collapsed="false">
      <c r="C325" s="307"/>
      <c r="D325" s="307"/>
      <c r="E325" s="307"/>
      <c r="F325" s="307"/>
    </row>
    <row r="326" customFormat="false" ht="18" hidden="false" customHeight="false" outlineLevel="0" collapsed="false">
      <c r="C326" s="307"/>
      <c r="D326" s="307"/>
      <c r="E326" s="307"/>
      <c r="F326" s="307"/>
    </row>
    <row r="327" customFormat="false" ht="18" hidden="false" customHeight="false" outlineLevel="0" collapsed="false">
      <c r="C327" s="307"/>
      <c r="D327" s="307"/>
      <c r="E327" s="307"/>
      <c r="F327" s="307"/>
    </row>
    <row r="328" customFormat="false" ht="18" hidden="false" customHeight="false" outlineLevel="0" collapsed="false">
      <c r="C328" s="307"/>
      <c r="D328" s="307"/>
      <c r="E328" s="307"/>
      <c r="F328" s="307"/>
    </row>
    <row r="329" customFormat="false" ht="18" hidden="false" customHeight="false" outlineLevel="0" collapsed="false">
      <c r="C329" s="307"/>
      <c r="D329" s="307"/>
      <c r="E329" s="307"/>
      <c r="F329" s="307"/>
    </row>
    <row r="330" customFormat="false" ht="18" hidden="false" customHeight="false" outlineLevel="0" collapsed="false">
      <c r="C330" s="307"/>
      <c r="D330" s="307"/>
      <c r="E330" s="307"/>
      <c r="F330" s="307"/>
    </row>
    <row r="331" customFormat="false" ht="18" hidden="false" customHeight="false" outlineLevel="0" collapsed="false">
      <c r="C331" s="307"/>
      <c r="D331" s="307"/>
      <c r="E331" s="307"/>
      <c r="F331" s="307"/>
    </row>
    <row r="332" customFormat="false" ht="18" hidden="false" customHeight="false" outlineLevel="0" collapsed="false">
      <c r="C332" s="307"/>
      <c r="D332" s="307"/>
      <c r="E332" s="307"/>
      <c r="F332" s="307"/>
    </row>
    <row r="333" customFormat="false" ht="18" hidden="false" customHeight="false" outlineLevel="0" collapsed="false">
      <c r="C333" s="307"/>
      <c r="D333" s="307"/>
      <c r="E333" s="307"/>
      <c r="F333" s="307"/>
    </row>
    <row r="334" customFormat="false" ht="18" hidden="false" customHeight="false" outlineLevel="0" collapsed="false">
      <c r="C334" s="307"/>
      <c r="D334" s="307"/>
      <c r="E334" s="307"/>
      <c r="F334" s="307"/>
    </row>
    <row r="335" customFormat="false" ht="18" hidden="false" customHeight="false" outlineLevel="0" collapsed="false">
      <c r="C335" s="307"/>
      <c r="D335" s="307"/>
      <c r="E335" s="307"/>
      <c r="F335" s="307"/>
    </row>
    <row r="336" customFormat="false" ht="18" hidden="false" customHeight="false" outlineLevel="0" collapsed="false">
      <c r="C336" s="307"/>
      <c r="D336" s="307"/>
      <c r="E336" s="307"/>
      <c r="F336" s="307"/>
    </row>
    <row r="337" customFormat="false" ht="18" hidden="false" customHeight="false" outlineLevel="0" collapsed="false">
      <c r="C337" s="307"/>
      <c r="D337" s="307"/>
      <c r="E337" s="307"/>
      <c r="F337" s="307"/>
    </row>
    <row r="338" customFormat="false" ht="18" hidden="false" customHeight="false" outlineLevel="0" collapsed="false">
      <c r="C338" s="307"/>
      <c r="D338" s="307"/>
      <c r="E338" s="307"/>
      <c r="F338" s="307"/>
    </row>
    <row r="339" customFormat="false" ht="18" hidden="false" customHeight="false" outlineLevel="0" collapsed="false">
      <c r="C339" s="307"/>
      <c r="D339" s="307"/>
      <c r="E339" s="307"/>
      <c r="F339" s="307"/>
    </row>
    <row r="340" customFormat="false" ht="18" hidden="false" customHeight="false" outlineLevel="0" collapsed="false">
      <c r="C340" s="307"/>
      <c r="D340" s="307"/>
      <c r="E340" s="307"/>
      <c r="F340" s="307"/>
    </row>
    <row r="341" customFormat="false" ht="18" hidden="false" customHeight="false" outlineLevel="0" collapsed="false">
      <c r="C341" s="307"/>
      <c r="D341" s="307"/>
      <c r="E341" s="307"/>
      <c r="F341" s="307"/>
    </row>
    <row r="342" customFormat="false" ht="18" hidden="false" customHeight="false" outlineLevel="0" collapsed="false">
      <c r="C342" s="307"/>
      <c r="D342" s="307"/>
      <c r="E342" s="307"/>
      <c r="F342" s="307"/>
    </row>
    <row r="343" customFormat="false" ht="18" hidden="false" customHeight="false" outlineLevel="0" collapsed="false">
      <c r="C343" s="307"/>
      <c r="D343" s="307"/>
      <c r="E343" s="307"/>
      <c r="F343" s="307"/>
    </row>
    <row r="344" customFormat="false" ht="18" hidden="false" customHeight="false" outlineLevel="0" collapsed="false">
      <c r="C344" s="307"/>
      <c r="D344" s="307"/>
      <c r="E344" s="307"/>
      <c r="F344" s="307"/>
    </row>
    <row r="345" customFormat="false" ht="18" hidden="false" customHeight="false" outlineLevel="0" collapsed="false">
      <c r="C345" s="307"/>
      <c r="D345" s="307"/>
      <c r="E345" s="307"/>
      <c r="F345" s="307"/>
    </row>
    <row r="346" customFormat="false" ht="18" hidden="false" customHeight="false" outlineLevel="0" collapsed="false">
      <c r="C346" s="307"/>
      <c r="D346" s="307"/>
      <c r="E346" s="307"/>
      <c r="F346" s="307"/>
    </row>
    <row r="347" customFormat="false" ht="18" hidden="false" customHeight="false" outlineLevel="0" collapsed="false">
      <c r="C347" s="307"/>
      <c r="D347" s="307"/>
      <c r="E347" s="307"/>
      <c r="F347" s="307"/>
    </row>
    <row r="348" customFormat="false" ht="18" hidden="false" customHeight="false" outlineLevel="0" collapsed="false">
      <c r="C348" s="307"/>
      <c r="D348" s="307"/>
      <c r="E348" s="307"/>
      <c r="F348" s="307"/>
    </row>
    <row r="349" customFormat="false" ht="18" hidden="false" customHeight="false" outlineLevel="0" collapsed="false">
      <c r="C349" s="307"/>
      <c r="D349" s="307"/>
      <c r="E349" s="307"/>
      <c r="F349" s="307"/>
    </row>
    <row r="350" customFormat="false" ht="18" hidden="false" customHeight="false" outlineLevel="0" collapsed="false">
      <c r="C350" s="307"/>
      <c r="D350" s="307"/>
      <c r="E350" s="307"/>
      <c r="F350" s="307"/>
    </row>
    <row r="351" customFormat="false" ht="18" hidden="false" customHeight="false" outlineLevel="0" collapsed="false">
      <c r="C351" s="307"/>
      <c r="D351" s="307"/>
      <c r="E351" s="307"/>
      <c r="F351" s="307"/>
    </row>
    <row r="352" customFormat="false" ht="18" hidden="false" customHeight="false" outlineLevel="0" collapsed="false">
      <c r="C352" s="307"/>
      <c r="D352" s="307"/>
      <c r="E352" s="307"/>
      <c r="F352" s="307"/>
    </row>
    <row r="353" customFormat="false" ht="18" hidden="false" customHeight="false" outlineLevel="0" collapsed="false">
      <c r="C353" s="307"/>
      <c r="D353" s="307"/>
      <c r="E353" s="307"/>
      <c r="F353" s="307"/>
    </row>
    <row r="354" customFormat="false" ht="18" hidden="false" customHeight="false" outlineLevel="0" collapsed="false">
      <c r="C354" s="307"/>
      <c r="D354" s="307"/>
      <c r="E354" s="307"/>
      <c r="F354" s="307"/>
    </row>
    <row r="355" customFormat="false" ht="18" hidden="false" customHeight="false" outlineLevel="0" collapsed="false">
      <c r="C355" s="307"/>
      <c r="D355" s="307"/>
      <c r="E355" s="307"/>
      <c r="F355" s="307"/>
    </row>
    <row r="356" customFormat="false" ht="18" hidden="false" customHeight="false" outlineLevel="0" collapsed="false">
      <c r="C356" s="307"/>
      <c r="D356" s="307"/>
      <c r="E356" s="307"/>
      <c r="F356" s="307"/>
    </row>
    <row r="357" customFormat="false" ht="18" hidden="false" customHeight="false" outlineLevel="0" collapsed="false">
      <c r="C357" s="307"/>
      <c r="D357" s="307"/>
      <c r="E357" s="307"/>
      <c r="F357" s="307"/>
    </row>
    <row r="358" customFormat="false" ht="18" hidden="false" customHeight="false" outlineLevel="0" collapsed="false">
      <c r="C358" s="307"/>
      <c r="D358" s="307"/>
      <c r="E358" s="307"/>
      <c r="F358" s="307"/>
    </row>
    <row r="359" customFormat="false" ht="18" hidden="false" customHeight="false" outlineLevel="0" collapsed="false">
      <c r="C359" s="307"/>
      <c r="D359" s="307"/>
      <c r="E359" s="307"/>
      <c r="F359" s="307"/>
    </row>
    <row r="360" customFormat="false" ht="18" hidden="false" customHeight="false" outlineLevel="0" collapsed="false">
      <c r="C360" s="307"/>
      <c r="D360" s="307"/>
      <c r="E360" s="307"/>
      <c r="F360" s="307"/>
    </row>
    <row r="361" customFormat="false" ht="18" hidden="false" customHeight="false" outlineLevel="0" collapsed="false">
      <c r="C361" s="307"/>
      <c r="D361" s="307"/>
      <c r="E361" s="307"/>
      <c r="F361" s="307"/>
    </row>
    <row r="362" customFormat="false" ht="18" hidden="false" customHeight="false" outlineLevel="0" collapsed="false">
      <c r="C362" s="307"/>
      <c r="D362" s="307"/>
      <c r="E362" s="307"/>
      <c r="F362" s="307"/>
    </row>
    <row r="363" customFormat="false" ht="18" hidden="false" customHeight="false" outlineLevel="0" collapsed="false">
      <c r="C363" s="307"/>
      <c r="D363" s="307"/>
      <c r="E363" s="307"/>
      <c r="F363" s="307"/>
    </row>
    <row r="364" customFormat="false" ht="18" hidden="false" customHeight="false" outlineLevel="0" collapsed="false">
      <c r="C364" s="307"/>
      <c r="D364" s="307"/>
      <c r="E364" s="307"/>
      <c r="F364" s="307"/>
    </row>
    <row r="365" customFormat="false" ht="18" hidden="false" customHeight="false" outlineLevel="0" collapsed="false">
      <c r="C365" s="307"/>
      <c r="D365" s="307"/>
      <c r="E365" s="307"/>
      <c r="F365" s="307"/>
    </row>
    <row r="366" customFormat="false" ht="18" hidden="false" customHeight="false" outlineLevel="0" collapsed="false">
      <c r="C366" s="307"/>
      <c r="D366" s="307"/>
      <c r="E366" s="307"/>
      <c r="F366" s="307"/>
    </row>
    <row r="367" customFormat="false" ht="18" hidden="false" customHeight="false" outlineLevel="0" collapsed="false">
      <c r="C367" s="307"/>
      <c r="D367" s="307"/>
      <c r="E367" s="307"/>
      <c r="F367" s="307"/>
    </row>
    <row r="368" customFormat="false" ht="18" hidden="false" customHeight="false" outlineLevel="0" collapsed="false">
      <c r="C368" s="307"/>
      <c r="D368" s="307"/>
      <c r="E368" s="307"/>
      <c r="F368" s="307"/>
    </row>
    <row r="369" customFormat="false" ht="18" hidden="false" customHeight="false" outlineLevel="0" collapsed="false">
      <c r="C369" s="307"/>
      <c r="D369" s="307"/>
      <c r="E369" s="307"/>
      <c r="F369" s="307"/>
    </row>
    <row r="370" customFormat="false" ht="18" hidden="false" customHeight="false" outlineLevel="0" collapsed="false">
      <c r="C370" s="307"/>
      <c r="D370" s="307"/>
      <c r="E370" s="307"/>
      <c r="F370" s="307"/>
    </row>
    <row r="371" customFormat="false" ht="18" hidden="false" customHeight="false" outlineLevel="0" collapsed="false">
      <c r="C371" s="307"/>
      <c r="D371" s="307"/>
      <c r="E371" s="307"/>
      <c r="F371" s="307"/>
    </row>
    <row r="372" customFormat="false" ht="18" hidden="false" customHeight="false" outlineLevel="0" collapsed="false">
      <c r="C372" s="307"/>
      <c r="D372" s="307"/>
      <c r="E372" s="307"/>
      <c r="F372" s="307"/>
    </row>
    <row r="373" customFormat="false" ht="18" hidden="false" customHeight="false" outlineLevel="0" collapsed="false">
      <c r="C373" s="307"/>
      <c r="D373" s="307"/>
      <c r="E373" s="307"/>
      <c r="F373" s="307"/>
    </row>
    <row r="374" customFormat="false" ht="18" hidden="false" customHeight="false" outlineLevel="0" collapsed="false">
      <c r="C374" s="307"/>
      <c r="D374" s="307"/>
      <c r="E374" s="307"/>
      <c r="F374" s="307"/>
    </row>
    <row r="375" customFormat="false" ht="18" hidden="false" customHeight="false" outlineLevel="0" collapsed="false">
      <c r="C375" s="307"/>
      <c r="D375" s="307"/>
      <c r="E375" s="307"/>
      <c r="F375" s="307"/>
    </row>
    <row r="376" customFormat="false" ht="18" hidden="false" customHeight="false" outlineLevel="0" collapsed="false">
      <c r="C376" s="307"/>
      <c r="D376" s="307"/>
      <c r="E376" s="307"/>
      <c r="F376" s="307"/>
    </row>
    <row r="377" customFormat="false" ht="18" hidden="false" customHeight="false" outlineLevel="0" collapsed="false">
      <c r="C377" s="307"/>
      <c r="D377" s="307"/>
      <c r="E377" s="307"/>
      <c r="F377" s="307"/>
    </row>
    <row r="378" customFormat="false" ht="18" hidden="false" customHeight="false" outlineLevel="0" collapsed="false">
      <c r="C378" s="307"/>
      <c r="D378" s="307"/>
      <c r="E378" s="307"/>
      <c r="F378" s="307"/>
    </row>
    <row r="379" customFormat="false" ht="18" hidden="false" customHeight="false" outlineLevel="0" collapsed="false">
      <c r="C379" s="307"/>
      <c r="D379" s="307"/>
      <c r="E379" s="307"/>
      <c r="F379" s="307"/>
    </row>
    <row r="380" customFormat="false" ht="18" hidden="false" customHeight="false" outlineLevel="0" collapsed="false">
      <c r="C380" s="307"/>
      <c r="D380" s="307"/>
      <c r="E380" s="307"/>
      <c r="F380" s="307"/>
    </row>
    <row r="381" customFormat="false" ht="18" hidden="false" customHeight="false" outlineLevel="0" collapsed="false">
      <c r="C381" s="307"/>
      <c r="D381" s="307"/>
      <c r="E381" s="307"/>
      <c r="F381" s="307"/>
    </row>
    <row r="382" customFormat="false" ht="18" hidden="false" customHeight="false" outlineLevel="0" collapsed="false">
      <c r="C382" s="307"/>
      <c r="D382" s="307"/>
      <c r="E382" s="307"/>
      <c r="F382" s="307"/>
    </row>
    <row r="383" customFormat="false" ht="18" hidden="false" customHeight="false" outlineLevel="0" collapsed="false">
      <c r="C383" s="307"/>
      <c r="D383" s="307"/>
      <c r="E383" s="307"/>
      <c r="F383" s="307"/>
    </row>
    <row r="384" customFormat="false" ht="18" hidden="false" customHeight="false" outlineLevel="0" collapsed="false">
      <c r="C384" s="307"/>
      <c r="D384" s="307"/>
      <c r="E384" s="307"/>
      <c r="F384" s="307"/>
    </row>
    <row r="385" customFormat="false" ht="18" hidden="false" customHeight="false" outlineLevel="0" collapsed="false">
      <c r="C385" s="307"/>
      <c r="D385" s="307"/>
      <c r="E385" s="307"/>
      <c r="F385" s="307"/>
    </row>
    <row r="386" customFormat="false" ht="18" hidden="false" customHeight="false" outlineLevel="0" collapsed="false">
      <c r="C386" s="307"/>
      <c r="D386" s="307"/>
      <c r="E386" s="307"/>
      <c r="F386" s="307"/>
    </row>
    <row r="387" customFormat="false" ht="18" hidden="false" customHeight="false" outlineLevel="0" collapsed="false">
      <c r="C387" s="307"/>
      <c r="D387" s="307"/>
      <c r="E387" s="307"/>
      <c r="F387" s="307"/>
    </row>
    <row r="388" customFormat="false" ht="18" hidden="false" customHeight="false" outlineLevel="0" collapsed="false">
      <c r="C388" s="307"/>
      <c r="D388" s="307"/>
      <c r="E388" s="307"/>
      <c r="F388" s="307"/>
    </row>
    <row r="389" customFormat="false" ht="18" hidden="false" customHeight="false" outlineLevel="0" collapsed="false">
      <c r="C389" s="307"/>
      <c r="D389" s="307"/>
      <c r="E389" s="307"/>
      <c r="F389" s="307"/>
    </row>
    <row r="390" customFormat="false" ht="18" hidden="false" customHeight="false" outlineLevel="0" collapsed="false">
      <c r="C390" s="307"/>
      <c r="D390" s="307"/>
      <c r="E390" s="307"/>
      <c r="F390" s="307"/>
    </row>
    <row r="391" customFormat="false" ht="18" hidden="false" customHeight="false" outlineLevel="0" collapsed="false">
      <c r="C391" s="307"/>
      <c r="D391" s="307"/>
      <c r="E391" s="307"/>
      <c r="F391" s="307"/>
    </row>
    <row r="392" customFormat="false" ht="18" hidden="false" customHeight="false" outlineLevel="0" collapsed="false">
      <c r="C392" s="307"/>
      <c r="D392" s="307"/>
      <c r="E392" s="307"/>
      <c r="F392" s="307"/>
    </row>
    <row r="393" customFormat="false" ht="18" hidden="false" customHeight="false" outlineLevel="0" collapsed="false">
      <c r="C393" s="307"/>
      <c r="D393" s="307"/>
      <c r="E393" s="307"/>
      <c r="F393" s="307"/>
    </row>
    <row r="394" customFormat="false" ht="18" hidden="false" customHeight="false" outlineLevel="0" collapsed="false">
      <c r="C394" s="307"/>
      <c r="D394" s="307"/>
      <c r="E394" s="307"/>
      <c r="F394" s="307"/>
    </row>
    <row r="395" customFormat="false" ht="18" hidden="false" customHeight="false" outlineLevel="0" collapsed="false">
      <c r="C395" s="307"/>
      <c r="D395" s="307"/>
      <c r="E395" s="307"/>
      <c r="F395" s="307"/>
    </row>
    <row r="396" customFormat="false" ht="18" hidden="false" customHeight="false" outlineLevel="0" collapsed="false">
      <c r="C396" s="307"/>
      <c r="D396" s="307"/>
      <c r="E396" s="307"/>
      <c r="F396" s="307"/>
    </row>
    <row r="397" customFormat="false" ht="18" hidden="false" customHeight="false" outlineLevel="0" collapsed="false">
      <c r="C397" s="307"/>
      <c r="D397" s="307"/>
      <c r="E397" s="307"/>
      <c r="F397" s="307"/>
    </row>
    <row r="398" customFormat="false" ht="18" hidden="false" customHeight="false" outlineLevel="0" collapsed="false">
      <c r="C398" s="307"/>
      <c r="D398" s="307"/>
      <c r="E398" s="307"/>
      <c r="F398" s="307"/>
    </row>
    <row r="399" customFormat="false" ht="18" hidden="false" customHeight="false" outlineLevel="0" collapsed="false">
      <c r="C399" s="307"/>
      <c r="D399" s="307"/>
      <c r="E399" s="307"/>
      <c r="F399" s="307"/>
    </row>
    <row r="400" customFormat="false" ht="18" hidden="false" customHeight="false" outlineLevel="0" collapsed="false">
      <c r="C400" s="307"/>
      <c r="D400" s="307"/>
      <c r="E400" s="307"/>
      <c r="F400" s="307"/>
    </row>
    <row r="401" customFormat="false" ht="18" hidden="false" customHeight="false" outlineLevel="0" collapsed="false">
      <c r="C401" s="307"/>
      <c r="D401" s="307"/>
      <c r="E401" s="307"/>
      <c r="F401" s="307"/>
    </row>
    <row r="402" customFormat="false" ht="18" hidden="false" customHeight="false" outlineLevel="0" collapsed="false">
      <c r="C402" s="307"/>
      <c r="D402" s="307"/>
      <c r="E402" s="307"/>
      <c r="F402" s="307"/>
    </row>
    <row r="403" customFormat="false" ht="18" hidden="false" customHeight="false" outlineLevel="0" collapsed="false">
      <c r="C403" s="307"/>
      <c r="D403" s="307"/>
      <c r="E403" s="307"/>
      <c r="F403" s="307"/>
    </row>
    <row r="404" customFormat="false" ht="18" hidden="false" customHeight="false" outlineLevel="0" collapsed="false">
      <c r="C404" s="307"/>
      <c r="D404" s="307"/>
      <c r="E404" s="307"/>
      <c r="F404" s="307"/>
    </row>
    <row r="405" customFormat="false" ht="18" hidden="false" customHeight="false" outlineLevel="0" collapsed="false">
      <c r="C405" s="307"/>
      <c r="D405" s="307"/>
      <c r="E405" s="307"/>
      <c r="F405" s="307"/>
    </row>
    <row r="406" customFormat="false" ht="18" hidden="false" customHeight="false" outlineLevel="0" collapsed="false">
      <c r="C406" s="307"/>
      <c r="D406" s="307"/>
      <c r="E406" s="307"/>
      <c r="F406" s="307"/>
    </row>
    <row r="407" customFormat="false" ht="18" hidden="false" customHeight="false" outlineLevel="0" collapsed="false">
      <c r="C407" s="307"/>
      <c r="D407" s="307"/>
      <c r="E407" s="307"/>
      <c r="F407" s="307"/>
    </row>
    <row r="408" customFormat="false" ht="18" hidden="false" customHeight="false" outlineLevel="0" collapsed="false">
      <c r="C408" s="307"/>
      <c r="D408" s="307"/>
      <c r="E408" s="307"/>
      <c r="F408" s="307"/>
    </row>
    <row r="409" customFormat="false" ht="18" hidden="false" customHeight="false" outlineLevel="0" collapsed="false">
      <c r="C409" s="307"/>
      <c r="D409" s="307"/>
      <c r="E409" s="307"/>
      <c r="F409" s="307"/>
    </row>
    <row r="410" customFormat="false" ht="18" hidden="false" customHeight="false" outlineLevel="0" collapsed="false">
      <c r="C410" s="307"/>
      <c r="D410" s="307"/>
      <c r="E410" s="307"/>
      <c r="F410" s="307"/>
    </row>
    <row r="411" customFormat="false" ht="18" hidden="false" customHeight="false" outlineLevel="0" collapsed="false">
      <c r="C411" s="307"/>
      <c r="D411" s="307"/>
      <c r="E411" s="307"/>
      <c r="F411" s="307"/>
    </row>
    <row r="412" customFormat="false" ht="18" hidden="false" customHeight="false" outlineLevel="0" collapsed="false">
      <c r="C412" s="307"/>
      <c r="D412" s="307"/>
      <c r="E412" s="307"/>
      <c r="F412" s="307"/>
    </row>
    <row r="413" customFormat="false" ht="18" hidden="false" customHeight="false" outlineLevel="0" collapsed="false">
      <c r="C413" s="307"/>
      <c r="D413" s="307"/>
      <c r="E413" s="307"/>
      <c r="F413" s="307"/>
    </row>
    <row r="414" customFormat="false" ht="18" hidden="false" customHeight="false" outlineLevel="0" collapsed="false">
      <c r="C414" s="307"/>
      <c r="D414" s="307"/>
      <c r="E414" s="307"/>
      <c r="F414" s="307"/>
    </row>
    <row r="415" customFormat="false" ht="18" hidden="false" customHeight="false" outlineLevel="0" collapsed="false">
      <c r="C415" s="307"/>
      <c r="D415" s="307"/>
      <c r="E415" s="307"/>
      <c r="F415" s="307"/>
    </row>
    <row r="416" customFormat="false" ht="18" hidden="false" customHeight="false" outlineLevel="0" collapsed="false">
      <c r="C416" s="307"/>
      <c r="D416" s="307"/>
      <c r="E416" s="307"/>
      <c r="F416" s="307"/>
    </row>
    <row r="417" customFormat="false" ht="18" hidden="false" customHeight="false" outlineLevel="0" collapsed="false">
      <c r="C417" s="307"/>
      <c r="D417" s="307"/>
      <c r="E417" s="307"/>
      <c r="F417" s="307"/>
    </row>
    <row r="418" customFormat="false" ht="18" hidden="false" customHeight="false" outlineLevel="0" collapsed="false">
      <c r="C418" s="307"/>
      <c r="D418" s="307"/>
      <c r="E418" s="307"/>
      <c r="F418" s="307"/>
    </row>
    <row r="419" customFormat="false" ht="18" hidden="false" customHeight="false" outlineLevel="0" collapsed="false">
      <c r="C419" s="307"/>
      <c r="D419" s="307"/>
      <c r="E419" s="307"/>
      <c r="F419" s="307"/>
    </row>
    <row r="420" customFormat="false" ht="18" hidden="false" customHeight="false" outlineLevel="0" collapsed="false">
      <c r="C420" s="307"/>
      <c r="D420" s="307"/>
      <c r="E420" s="307"/>
      <c r="F420" s="307"/>
    </row>
    <row r="421" customFormat="false" ht="18" hidden="false" customHeight="false" outlineLevel="0" collapsed="false">
      <c r="C421" s="307"/>
      <c r="D421" s="307"/>
      <c r="E421" s="307"/>
      <c r="F421" s="307"/>
    </row>
    <row r="422" customFormat="false" ht="18" hidden="false" customHeight="false" outlineLevel="0" collapsed="false">
      <c r="C422" s="307"/>
      <c r="D422" s="307"/>
      <c r="E422" s="307"/>
      <c r="F422" s="307"/>
    </row>
    <row r="423" customFormat="false" ht="18" hidden="false" customHeight="false" outlineLevel="0" collapsed="false">
      <c r="C423" s="307"/>
      <c r="D423" s="307"/>
      <c r="E423" s="307"/>
      <c r="F423" s="307"/>
    </row>
    <row r="424" customFormat="false" ht="18" hidden="false" customHeight="false" outlineLevel="0" collapsed="false">
      <c r="C424" s="307"/>
      <c r="D424" s="307"/>
      <c r="E424" s="307"/>
      <c r="F424" s="307"/>
    </row>
    <row r="425" customFormat="false" ht="18" hidden="false" customHeight="false" outlineLevel="0" collapsed="false">
      <c r="C425" s="307"/>
      <c r="D425" s="307"/>
      <c r="E425" s="307"/>
      <c r="F425" s="307"/>
    </row>
    <row r="426" customFormat="false" ht="18" hidden="false" customHeight="false" outlineLevel="0" collapsed="false">
      <c r="C426" s="307"/>
      <c r="D426" s="307"/>
      <c r="E426" s="307"/>
      <c r="F426" s="307"/>
    </row>
    <row r="427" customFormat="false" ht="18" hidden="false" customHeight="false" outlineLevel="0" collapsed="false">
      <c r="C427" s="307"/>
      <c r="D427" s="307"/>
      <c r="E427" s="307"/>
      <c r="F427" s="307"/>
    </row>
    <row r="428" customFormat="false" ht="18" hidden="false" customHeight="false" outlineLevel="0" collapsed="false">
      <c r="C428" s="307"/>
      <c r="D428" s="307"/>
      <c r="E428" s="307"/>
      <c r="F428" s="307"/>
    </row>
    <row r="429" customFormat="false" ht="18" hidden="false" customHeight="false" outlineLevel="0" collapsed="false">
      <c r="C429" s="307"/>
      <c r="D429" s="307"/>
      <c r="E429" s="307"/>
      <c r="F429" s="307"/>
    </row>
    <row r="430" customFormat="false" ht="18" hidden="false" customHeight="false" outlineLevel="0" collapsed="false">
      <c r="C430" s="307"/>
      <c r="D430" s="307"/>
      <c r="E430" s="307"/>
      <c r="F430" s="307"/>
    </row>
    <row r="431" customFormat="false" ht="18" hidden="false" customHeight="false" outlineLevel="0" collapsed="false">
      <c r="C431" s="307"/>
      <c r="D431" s="307"/>
      <c r="E431" s="307"/>
      <c r="F431" s="307"/>
    </row>
    <row r="432" customFormat="false" ht="18" hidden="false" customHeight="false" outlineLevel="0" collapsed="false">
      <c r="C432" s="307"/>
      <c r="D432" s="307"/>
      <c r="E432" s="307"/>
      <c r="F432" s="307"/>
    </row>
    <row r="433" customFormat="false" ht="18" hidden="false" customHeight="false" outlineLevel="0" collapsed="false">
      <c r="C433" s="307"/>
      <c r="D433" s="307"/>
      <c r="E433" s="307"/>
      <c r="F433" s="307"/>
    </row>
    <row r="434" customFormat="false" ht="18" hidden="false" customHeight="false" outlineLevel="0" collapsed="false">
      <c r="C434" s="307"/>
      <c r="D434" s="307"/>
      <c r="E434" s="307"/>
      <c r="F434" s="307"/>
    </row>
    <row r="435" customFormat="false" ht="18" hidden="false" customHeight="false" outlineLevel="0" collapsed="false">
      <c r="C435" s="307"/>
      <c r="D435" s="307"/>
      <c r="E435" s="307"/>
      <c r="F435" s="307"/>
    </row>
    <row r="436" customFormat="false" ht="18" hidden="false" customHeight="false" outlineLevel="0" collapsed="false">
      <c r="C436" s="307"/>
      <c r="D436" s="307"/>
      <c r="E436" s="307"/>
      <c r="F436" s="307"/>
    </row>
    <row r="437" customFormat="false" ht="18" hidden="false" customHeight="false" outlineLevel="0" collapsed="false">
      <c r="C437" s="307"/>
      <c r="D437" s="307"/>
      <c r="E437" s="307"/>
      <c r="F437" s="307"/>
    </row>
    <row r="438" customFormat="false" ht="18" hidden="false" customHeight="false" outlineLevel="0" collapsed="false">
      <c r="C438" s="307"/>
      <c r="D438" s="307"/>
      <c r="E438" s="307"/>
      <c r="F438" s="307"/>
    </row>
    <row r="439" customFormat="false" ht="18" hidden="false" customHeight="false" outlineLevel="0" collapsed="false">
      <c r="C439" s="307"/>
      <c r="D439" s="307"/>
      <c r="E439" s="307"/>
      <c r="F439" s="307"/>
    </row>
    <row r="440" customFormat="false" ht="18" hidden="false" customHeight="false" outlineLevel="0" collapsed="false">
      <c r="C440" s="307"/>
      <c r="D440" s="307"/>
      <c r="E440" s="307"/>
      <c r="F440" s="307"/>
    </row>
    <row r="441" customFormat="false" ht="18" hidden="false" customHeight="false" outlineLevel="0" collapsed="false">
      <c r="C441" s="307"/>
      <c r="D441" s="307"/>
      <c r="E441" s="307"/>
      <c r="F441" s="307"/>
    </row>
    <row r="442" customFormat="false" ht="18" hidden="false" customHeight="false" outlineLevel="0" collapsed="false">
      <c r="C442" s="307"/>
      <c r="D442" s="307"/>
      <c r="E442" s="307"/>
      <c r="F442" s="307"/>
    </row>
    <row r="443" customFormat="false" ht="18" hidden="false" customHeight="false" outlineLevel="0" collapsed="false">
      <c r="C443" s="307"/>
      <c r="D443" s="307"/>
      <c r="E443" s="307"/>
      <c r="F443" s="307"/>
    </row>
    <row r="444" customFormat="false" ht="18" hidden="false" customHeight="false" outlineLevel="0" collapsed="false">
      <c r="C444" s="307"/>
      <c r="D444" s="307"/>
      <c r="E444" s="307"/>
      <c r="F444" s="307"/>
    </row>
    <row r="445" customFormat="false" ht="18" hidden="false" customHeight="false" outlineLevel="0" collapsed="false">
      <c r="C445" s="307"/>
      <c r="D445" s="307"/>
      <c r="E445" s="307"/>
      <c r="F445" s="307"/>
    </row>
    <row r="446" customFormat="false" ht="18" hidden="false" customHeight="false" outlineLevel="0" collapsed="false">
      <c r="C446" s="307"/>
      <c r="D446" s="307"/>
      <c r="E446" s="307"/>
      <c r="F446" s="307"/>
    </row>
    <row r="447" customFormat="false" ht="18" hidden="false" customHeight="false" outlineLevel="0" collapsed="false">
      <c r="C447" s="307"/>
      <c r="D447" s="307"/>
      <c r="E447" s="307"/>
      <c r="F447" s="307"/>
    </row>
    <row r="448" customFormat="false" ht="18" hidden="false" customHeight="false" outlineLevel="0" collapsed="false">
      <c r="C448" s="307"/>
      <c r="D448" s="307"/>
      <c r="E448" s="307"/>
      <c r="F448" s="307"/>
    </row>
    <row r="449" customFormat="false" ht="18" hidden="false" customHeight="false" outlineLevel="0" collapsed="false">
      <c r="C449" s="307"/>
      <c r="D449" s="307"/>
      <c r="E449" s="307"/>
      <c r="F449" s="307"/>
    </row>
    <row r="450" customFormat="false" ht="18" hidden="false" customHeight="false" outlineLevel="0" collapsed="false">
      <c r="C450" s="307"/>
      <c r="D450" s="307"/>
      <c r="E450" s="307"/>
      <c r="F450" s="307"/>
    </row>
    <row r="451" customFormat="false" ht="18" hidden="false" customHeight="false" outlineLevel="0" collapsed="false">
      <c r="C451" s="307"/>
      <c r="D451" s="307"/>
      <c r="E451" s="307"/>
      <c r="F451" s="307"/>
    </row>
    <row r="452" customFormat="false" ht="18" hidden="false" customHeight="false" outlineLevel="0" collapsed="false">
      <c r="C452" s="307"/>
      <c r="D452" s="307"/>
      <c r="E452" s="307"/>
      <c r="F452" s="307"/>
    </row>
    <row r="453" customFormat="false" ht="18" hidden="false" customHeight="false" outlineLevel="0" collapsed="false">
      <c r="C453" s="307"/>
      <c r="D453" s="307"/>
      <c r="E453" s="307"/>
      <c r="F453" s="307"/>
    </row>
    <row r="454" customFormat="false" ht="18" hidden="false" customHeight="false" outlineLevel="0" collapsed="false">
      <c r="C454" s="307"/>
      <c r="D454" s="307"/>
      <c r="E454" s="307"/>
      <c r="F454" s="307"/>
    </row>
    <row r="455" customFormat="false" ht="18" hidden="false" customHeight="false" outlineLevel="0" collapsed="false">
      <c r="C455" s="307"/>
      <c r="D455" s="307"/>
      <c r="E455" s="307"/>
      <c r="F455" s="307"/>
    </row>
    <row r="456" customFormat="false" ht="18" hidden="false" customHeight="false" outlineLevel="0" collapsed="false">
      <c r="C456" s="307"/>
      <c r="D456" s="307"/>
      <c r="E456" s="307"/>
      <c r="F456" s="307"/>
    </row>
    <row r="457" customFormat="false" ht="18" hidden="false" customHeight="false" outlineLevel="0" collapsed="false">
      <c r="C457" s="307"/>
      <c r="D457" s="307"/>
      <c r="E457" s="307"/>
      <c r="F457" s="307"/>
    </row>
    <row r="458" customFormat="false" ht="18" hidden="false" customHeight="false" outlineLevel="0" collapsed="false">
      <c r="C458" s="307"/>
      <c r="D458" s="307"/>
      <c r="E458" s="307"/>
      <c r="F458" s="307"/>
    </row>
    <row r="459" customFormat="false" ht="18" hidden="false" customHeight="false" outlineLevel="0" collapsed="false">
      <c r="C459" s="307"/>
      <c r="D459" s="307"/>
      <c r="E459" s="307"/>
      <c r="F459" s="307"/>
    </row>
    <row r="460" customFormat="false" ht="18" hidden="false" customHeight="false" outlineLevel="0" collapsed="false">
      <c r="C460" s="307"/>
      <c r="D460" s="307"/>
      <c r="E460" s="307"/>
      <c r="F460" s="307"/>
    </row>
    <row r="461" customFormat="false" ht="18" hidden="false" customHeight="false" outlineLevel="0" collapsed="false">
      <c r="C461" s="307"/>
      <c r="D461" s="307"/>
      <c r="E461" s="307"/>
      <c r="F461" s="307"/>
    </row>
    <row r="462" customFormat="false" ht="18" hidden="false" customHeight="false" outlineLevel="0" collapsed="false">
      <c r="C462" s="307"/>
      <c r="D462" s="307"/>
      <c r="E462" s="307"/>
      <c r="F462" s="307"/>
    </row>
    <row r="463" customFormat="false" ht="18" hidden="false" customHeight="false" outlineLevel="0" collapsed="false">
      <c r="C463" s="307"/>
      <c r="D463" s="307"/>
      <c r="E463" s="307"/>
      <c r="F463" s="307"/>
    </row>
    <row r="464" customFormat="false" ht="18" hidden="false" customHeight="false" outlineLevel="0" collapsed="false">
      <c r="C464" s="307"/>
      <c r="D464" s="307"/>
      <c r="E464" s="307"/>
      <c r="F464" s="307"/>
    </row>
    <row r="465" customFormat="false" ht="18" hidden="false" customHeight="false" outlineLevel="0" collapsed="false">
      <c r="C465" s="307"/>
      <c r="D465" s="307"/>
      <c r="E465" s="307"/>
      <c r="F465" s="307"/>
    </row>
    <row r="466" customFormat="false" ht="18" hidden="false" customHeight="false" outlineLevel="0" collapsed="false">
      <c r="C466" s="307"/>
      <c r="D466" s="307"/>
      <c r="E466" s="307"/>
      <c r="F466" s="307"/>
    </row>
    <row r="467" customFormat="false" ht="18" hidden="false" customHeight="false" outlineLevel="0" collapsed="false">
      <c r="C467" s="307"/>
      <c r="D467" s="307"/>
      <c r="E467" s="307"/>
      <c r="F467" s="307"/>
    </row>
    <row r="468" customFormat="false" ht="18" hidden="false" customHeight="false" outlineLevel="0" collapsed="false">
      <c r="C468" s="307"/>
      <c r="D468" s="307"/>
      <c r="E468" s="307"/>
      <c r="F468" s="307"/>
    </row>
    <row r="469" customFormat="false" ht="18" hidden="false" customHeight="false" outlineLevel="0" collapsed="false">
      <c r="C469" s="307"/>
      <c r="D469" s="307"/>
      <c r="E469" s="307"/>
      <c r="F469" s="307"/>
    </row>
    <row r="470" customFormat="false" ht="18" hidden="false" customHeight="false" outlineLevel="0" collapsed="false">
      <c r="C470" s="307"/>
      <c r="D470" s="307"/>
      <c r="E470" s="307"/>
      <c r="F470" s="307"/>
    </row>
    <row r="471" customFormat="false" ht="18" hidden="false" customHeight="false" outlineLevel="0" collapsed="false">
      <c r="C471" s="307"/>
      <c r="D471" s="307"/>
      <c r="E471" s="307"/>
      <c r="F471" s="307"/>
    </row>
    <row r="472" customFormat="false" ht="18" hidden="false" customHeight="false" outlineLevel="0" collapsed="false">
      <c r="C472" s="307"/>
      <c r="D472" s="307"/>
      <c r="E472" s="307"/>
      <c r="F472" s="307"/>
    </row>
    <row r="473" customFormat="false" ht="18" hidden="false" customHeight="false" outlineLevel="0" collapsed="false">
      <c r="C473" s="307"/>
      <c r="D473" s="307"/>
      <c r="E473" s="307"/>
      <c r="F473" s="307"/>
    </row>
    <row r="474" customFormat="false" ht="18" hidden="false" customHeight="false" outlineLevel="0" collapsed="false">
      <c r="C474" s="307"/>
      <c r="D474" s="307"/>
      <c r="E474" s="307"/>
      <c r="F474" s="307"/>
    </row>
    <row r="475" customFormat="false" ht="18" hidden="false" customHeight="false" outlineLevel="0" collapsed="false">
      <c r="C475" s="307"/>
      <c r="D475" s="307"/>
      <c r="E475" s="307"/>
      <c r="F475" s="307"/>
    </row>
    <row r="476" customFormat="false" ht="18" hidden="false" customHeight="false" outlineLevel="0" collapsed="false">
      <c r="C476" s="307"/>
      <c r="D476" s="307"/>
      <c r="E476" s="307"/>
      <c r="F476" s="307"/>
    </row>
    <row r="477" customFormat="false" ht="18" hidden="false" customHeight="false" outlineLevel="0" collapsed="false">
      <c r="C477" s="307"/>
      <c r="D477" s="307"/>
      <c r="E477" s="307"/>
      <c r="F477" s="307"/>
    </row>
    <row r="478" customFormat="false" ht="18" hidden="false" customHeight="false" outlineLevel="0" collapsed="false">
      <c r="C478" s="307"/>
      <c r="D478" s="307"/>
      <c r="E478" s="307"/>
      <c r="F478" s="307"/>
    </row>
    <row r="479" customFormat="false" ht="18" hidden="false" customHeight="false" outlineLevel="0" collapsed="false">
      <c r="C479" s="307"/>
      <c r="D479" s="307"/>
      <c r="E479" s="307"/>
      <c r="F479" s="307"/>
    </row>
    <row r="480" customFormat="false" ht="18" hidden="false" customHeight="false" outlineLevel="0" collapsed="false">
      <c r="C480" s="307"/>
      <c r="D480" s="307"/>
      <c r="E480" s="307"/>
      <c r="F480" s="307"/>
    </row>
    <row r="481" customFormat="false" ht="18" hidden="false" customHeight="false" outlineLevel="0" collapsed="false">
      <c r="C481" s="307"/>
      <c r="D481" s="307"/>
      <c r="E481" s="307"/>
      <c r="F481" s="307"/>
    </row>
    <row r="482" customFormat="false" ht="18" hidden="false" customHeight="false" outlineLevel="0" collapsed="false">
      <c r="C482" s="307"/>
      <c r="D482" s="307"/>
      <c r="E482" s="307"/>
      <c r="F482" s="307"/>
    </row>
    <row r="483" customFormat="false" ht="18" hidden="false" customHeight="false" outlineLevel="0" collapsed="false">
      <c r="C483" s="307"/>
      <c r="D483" s="307"/>
      <c r="E483" s="307"/>
      <c r="F483" s="307"/>
    </row>
    <row r="484" customFormat="false" ht="18" hidden="false" customHeight="false" outlineLevel="0" collapsed="false">
      <c r="C484" s="307"/>
      <c r="D484" s="307"/>
      <c r="E484" s="307"/>
      <c r="F484" s="307"/>
    </row>
    <row r="485" customFormat="false" ht="18" hidden="false" customHeight="false" outlineLevel="0" collapsed="false">
      <c r="C485" s="307"/>
      <c r="D485" s="307"/>
      <c r="E485" s="307"/>
      <c r="F485" s="307"/>
    </row>
    <row r="486" customFormat="false" ht="18" hidden="false" customHeight="false" outlineLevel="0" collapsed="false">
      <c r="C486" s="307"/>
      <c r="D486" s="307"/>
      <c r="E486" s="307"/>
      <c r="F486" s="307"/>
    </row>
    <row r="487" customFormat="false" ht="18" hidden="false" customHeight="false" outlineLevel="0" collapsed="false">
      <c r="C487" s="307"/>
      <c r="D487" s="307"/>
      <c r="E487" s="307"/>
      <c r="F487" s="307"/>
    </row>
    <row r="488" customFormat="false" ht="18" hidden="false" customHeight="false" outlineLevel="0" collapsed="false">
      <c r="C488" s="307"/>
      <c r="D488" s="307"/>
      <c r="E488" s="307"/>
      <c r="F488" s="307"/>
    </row>
    <row r="489" customFormat="false" ht="18" hidden="false" customHeight="false" outlineLevel="0" collapsed="false">
      <c r="C489" s="307"/>
      <c r="D489" s="307"/>
      <c r="E489" s="307"/>
      <c r="F489" s="307"/>
    </row>
    <row r="490" customFormat="false" ht="18" hidden="false" customHeight="false" outlineLevel="0" collapsed="false">
      <c r="C490" s="307"/>
      <c r="D490" s="307"/>
      <c r="E490" s="307"/>
      <c r="F490" s="307"/>
    </row>
    <row r="491" customFormat="false" ht="18" hidden="false" customHeight="false" outlineLevel="0" collapsed="false">
      <c r="C491" s="307"/>
      <c r="D491" s="307"/>
      <c r="E491" s="307"/>
      <c r="F491" s="307"/>
    </row>
    <row r="492" customFormat="false" ht="18" hidden="false" customHeight="false" outlineLevel="0" collapsed="false">
      <c r="C492" s="307"/>
      <c r="D492" s="307"/>
      <c r="E492" s="307"/>
      <c r="F492" s="307"/>
    </row>
    <row r="493" customFormat="false" ht="18" hidden="false" customHeight="false" outlineLevel="0" collapsed="false">
      <c r="C493" s="307"/>
      <c r="D493" s="307"/>
      <c r="E493" s="307"/>
      <c r="F493" s="307"/>
    </row>
    <row r="494" customFormat="false" ht="18" hidden="false" customHeight="false" outlineLevel="0" collapsed="false">
      <c r="C494" s="307"/>
      <c r="D494" s="307"/>
      <c r="E494" s="307"/>
      <c r="F494" s="307"/>
    </row>
    <row r="495" customFormat="false" ht="18" hidden="false" customHeight="false" outlineLevel="0" collapsed="false">
      <c r="C495" s="307"/>
      <c r="D495" s="307"/>
      <c r="E495" s="307"/>
      <c r="F495" s="307"/>
    </row>
    <row r="496" customFormat="false" ht="18" hidden="false" customHeight="false" outlineLevel="0" collapsed="false">
      <c r="C496" s="307"/>
      <c r="D496" s="307"/>
      <c r="E496" s="307"/>
      <c r="F496" s="307"/>
    </row>
    <row r="497" customFormat="false" ht="18" hidden="false" customHeight="false" outlineLevel="0" collapsed="false">
      <c r="C497" s="307"/>
      <c r="D497" s="307"/>
      <c r="E497" s="307"/>
      <c r="F497" s="307"/>
    </row>
    <row r="498" customFormat="false" ht="18" hidden="false" customHeight="false" outlineLevel="0" collapsed="false">
      <c r="C498" s="307"/>
      <c r="D498" s="307"/>
      <c r="E498" s="307"/>
      <c r="F498" s="307"/>
    </row>
    <row r="499" customFormat="false" ht="18" hidden="false" customHeight="false" outlineLevel="0" collapsed="false">
      <c r="C499" s="307"/>
      <c r="D499" s="307"/>
      <c r="E499" s="307"/>
      <c r="F499" s="307"/>
    </row>
    <row r="500" customFormat="false" ht="18" hidden="false" customHeight="false" outlineLevel="0" collapsed="false">
      <c r="C500" s="307"/>
      <c r="D500" s="307"/>
      <c r="E500" s="307"/>
      <c r="F500" s="307"/>
    </row>
    <row r="501" customFormat="false" ht="18" hidden="false" customHeight="false" outlineLevel="0" collapsed="false">
      <c r="C501" s="307"/>
      <c r="D501" s="307"/>
      <c r="E501" s="307"/>
      <c r="F501" s="307"/>
    </row>
    <row r="502" customFormat="false" ht="18" hidden="false" customHeight="false" outlineLevel="0" collapsed="false">
      <c r="C502" s="307"/>
      <c r="D502" s="307"/>
      <c r="E502" s="307"/>
      <c r="F502" s="307"/>
    </row>
    <row r="503" customFormat="false" ht="18" hidden="false" customHeight="false" outlineLevel="0" collapsed="false">
      <c r="C503" s="307"/>
      <c r="D503" s="307"/>
      <c r="E503" s="307"/>
      <c r="F503" s="307"/>
    </row>
    <row r="504" customFormat="false" ht="18" hidden="false" customHeight="false" outlineLevel="0" collapsed="false">
      <c r="C504" s="307"/>
      <c r="D504" s="307"/>
      <c r="E504" s="307"/>
      <c r="F504" s="307"/>
    </row>
    <row r="505" customFormat="false" ht="18" hidden="false" customHeight="false" outlineLevel="0" collapsed="false">
      <c r="C505" s="307"/>
      <c r="D505" s="307"/>
      <c r="E505" s="307"/>
      <c r="F505" s="307"/>
    </row>
    <row r="506" customFormat="false" ht="18" hidden="false" customHeight="false" outlineLevel="0" collapsed="false">
      <c r="C506" s="307"/>
      <c r="D506" s="307"/>
      <c r="E506" s="307"/>
      <c r="F506" s="307"/>
    </row>
    <row r="507" customFormat="false" ht="18" hidden="false" customHeight="false" outlineLevel="0" collapsed="false">
      <c r="C507" s="307"/>
      <c r="D507" s="307"/>
      <c r="E507" s="307"/>
      <c r="F507" s="307"/>
    </row>
    <row r="508" customFormat="false" ht="18" hidden="false" customHeight="false" outlineLevel="0" collapsed="false">
      <c r="C508" s="307"/>
      <c r="D508" s="307"/>
      <c r="E508" s="307"/>
      <c r="F508" s="307"/>
    </row>
    <row r="509" customFormat="false" ht="18" hidden="false" customHeight="false" outlineLevel="0" collapsed="false">
      <c r="C509" s="307"/>
      <c r="D509" s="307"/>
      <c r="E509" s="307"/>
      <c r="F509" s="307"/>
    </row>
    <row r="510" customFormat="false" ht="18" hidden="false" customHeight="false" outlineLevel="0" collapsed="false">
      <c r="C510" s="307"/>
      <c r="D510" s="307"/>
      <c r="E510" s="307"/>
      <c r="F510" s="307"/>
    </row>
    <row r="511" customFormat="false" ht="18" hidden="false" customHeight="false" outlineLevel="0" collapsed="false">
      <c r="C511" s="307"/>
      <c r="D511" s="307"/>
      <c r="E511" s="307"/>
      <c r="F511" s="307"/>
    </row>
    <row r="512" customFormat="false" ht="18" hidden="false" customHeight="false" outlineLevel="0" collapsed="false">
      <c r="C512" s="307"/>
      <c r="D512" s="307"/>
      <c r="E512" s="307"/>
      <c r="F512" s="307"/>
    </row>
    <row r="513" customFormat="false" ht="18" hidden="false" customHeight="false" outlineLevel="0" collapsed="false">
      <c r="C513" s="307"/>
      <c r="D513" s="307"/>
      <c r="E513" s="307"/>
      <c r="F513" s="307"/>
    </row>
    <row r="514" customFormat="false" ht="18" hidden="false" customHeight="false" outlineLevel="0" collapsed="false">
      <c r="C514" s="307"/>
      <c r="D514" s="307"/>
      <c r="E514" s="307"/>
      <c r="F514" s="307"/>
    </row>
    <row r="515" customFormat="false" ht="18" hidden="false" customHeight="false" outlineLevel="0" collapsed="false">
      <c r="C515" s="307"/>
      <c r="D515" s="307"/>
      <c r="E515" s="307"/>
      <c r="F515" s="307"/>
    </row>
    <row r="516" customFormat="false" ht="18" hidden="false" customHeight="false" outlineLevel="0" collapsed="false">
      <c r="C516" s="307"/>
      <c r="D516" s="307"/>
      <c r="E516" s="307"/>
      <c r="F516" s="307"/>
    </row>
    <row r="517" customFormat="false" ht="18" hidden="false" customHeight="false" outlineLevel="0" collapsed="false">
      <c r="C517" s="307"/>
      <c r="D517" s="307"/>
      <c r="E517" s="307"/>
      <c r="F517" s="307"/>
    </row>
    <row r="518" customFormat="false" ht="18" hidden="false" customHeight="false" outlineLevel="0" collapsed="false">
      <c r="C518" s="307"/>
      <c r="D518" s="307"/>
      <c r="E518" s="307"/>
      <c r="F518" s="307"/>
    </row>
    <row r="519" customFormat="false" ht="18" hidden="false" customHeight="false" outlineLevel="0" collapsed="false">
      <c r="C519" s="307"/>
      <c r="D519" s="307"/>
      <c r="E519" s="307"/>
      <c r="F519" s="307"/>
    </row>
    <row r="520" customFormat="false" ht="18" hidden="false" customHeight="false" outlineLevel="0" collapsed="false">
      <c r="C520" s="307"/>
      <c r="D520" s="307"/>
      <c r="E520" s="307"/>
      <c r="F520" s="307"/>
    </row>
    <row r="521" customFormat="false" ht="18" hidden="false" customHeight="false" outlineLevel="0" collapsed="false">
      <c r="C521" s="307"/>
      <c r="D521" s="307"/>
      <c r="E521" s="307"/>
      <c r="F521" s="307"/>
    </row>
    <row r="522" customFormat="false" ht="18" hidden="false" customHeight="false" outlineLevel="0" collapsed="false">
      <c r="C522" s="307"/>
      <c r="D522" s="307"/>
      <c r="E522" s="307"/>
      <c r="F522" s="307"/>
    </row>
    <row r="523" customFormat="false" ht="18" hidden="false" customHeight="false" outlineLevel="0" collapsed="false">
      <c r="C523" s="307"/>
      <c r="D523" s="307"/>
      <c r="E523" s="307"/>
      <c r="F523" s="307"/>
    </row>
    <row r="524" customFormat="false" ht="18" hidden="false" customHeight="false" outlineLevel="0" collapsed="false">
      <c r="C524" s="307"/>
      <c r="D524" s="307"/>
      <c r="E524" s="307"/>
      <c r="F524" s="307"/>
    </row>
    <row r="525" customFormat="false" ht="18" hidden="false" customHeight="false" outlineLevel="0" collapsed="false">
      <c r="C525" s="307"/>
      <c r="D525" s="307"/>
      <c r="E525" s="307"/>
      <c r="F525" s="307"/>
    </row>
    <row r="526" customFormat="false" ht="18" hidden="false" customHeight="false" outlineLevel="0" collapsed="false">
      <c r="C526" s="307"/>
      <c r="D526" s="307"/>
      <c r="E526" s="307"/>
      <c r="F526" s="307"/>
    </row>
    <row r="527" customFormat="false" ht="18" hidden="false" customHeight="false" outlineLevel="0" collapsed="false">
      <c r="C527" s="307"/>
      <c r="D527" s="307"/>
      <c r="E527" s="307"/>
      <c r="F527" s="307"/>
    </row>
    <row r="528" customFormat="false" ht="18" hidden="false" customHeight="false" outlineLevel="0" collapsed="false">
      <c r="C528" s="307"/>
      <c r="D528" s="307"/>
      <c r="E528" s="307"/>
      <c r="F528" s="307"/>
    </row>
    <row r="529" customFormat="false" ht="18" hidden="false" customHeight="false" outlineLevel="0" collapsed="false">
      <c r="C529" s="307"/>
      <c r="D529" s="307"/>
      <c r="E529" s="307"/>
      <c r="F529" s="307"/>
    </row>
    <row r="530" customFormat="false" ht="18" hidden="false" customHeight="false" outlineLevel="0" collapsed="false">
      <c r="C530" s="307"/>
      <c r="D530" s="307"/>
      <c r="E530" s="307"/>
      <c r="F530" s="307"/>
    </row>
    <row r="531" customFormat="false" ht="18" hidden="false" customHeight="false" outlineLevel="0" collapsed="false">
      <c r="C531" s="307"/>
      <c r="D531" s="307"/>
      <c r="E531" s="307"/>
      <c r="F531" s="307"/>
    </row>
    <row r="532" customFormat="false" ht="18" hidden="false" customHeight="false" outlineLevel="0" collapsed="false">
      <c r="C532" s="307"/>
      <c r="D532" s="307"/>
      <c r="E532" s="307"/>
      <c r="F532" s="307"/>
    </row>
    <row r="533" customFormat="false" ht="18" hidden="false" customHeight="false" outlineLevel="0" collapsed="false">
      <c r="C533" s="307"/>
      <c r="D533" s="307"/>
      <c r="E533" s="307"/>
      <c r="F533" s="307"/>
    </row>
    <row r="534" customFormat="false" ht="18" hidden="false" customHeight="false" outlineLevel="0" collapsed="false">
      <c r="C534" s="307"/>
      <c r="D534" s="307"/>
      <c r="E534" s="307"/>
      <c r="F534" s="307"/>
    </row>
    <row r="535" customFormat="false" ht="18" hidden="false" customHeight="false" outlineLevel="0" collapsed="false">
      <c r="C535" s="307"/>
      <c r="D535" s="307"/>
      <c r="E535" s="307"/>
      <c r="F535" s="307"/>
    </row>
    <row r="536" customFormat="false" ht="18" hidden="false" customHeight="false" outlineLevel="0" collapsed="false">
      <c r="C536" s="307"/>
      <c r="D536" s="307"/>
      <c r="E536" s="307"/>
      <c r="F536" s="307"/>
    </row>
    <row r="537" customFormat="false" ht="18" hidden="false" customHeight="false" outlineLevel="0" collapsed="false">
      <c r="C537" s="307"/>
      <c r="D537" s="307"/>
      <c r="E537" s="307"/>
      <c r="F537" s="307"/>
    </row>
    <row r="538" customFormat="false" ht="18" hidden="false" customHeight="false" outlineLevel="0" collapsed="false">
      <c r="C538" s="307"/>
      <c r="D538" s="307"/>
      <c r="E538" s="307"/>
      <c r="F538" s="307"/>
    </row>
    <row r="539" customFormat="false" ht="18" hidden="false" customHeight="false" outlineLevel="0" collapsed="false">
      <c r="C539" s="307"/>
      <c r="D539" s="307"/>
      <c r="E539" s="307"/>
      <c r="F539" s="307"/>
    </row>
    <row r="540" customFormat="false" ht="18" hidden="false" customHeight="false" outlineLevel="0" collapsed="false">
      <c r="C540" s="307"/>
      <c r="D540" s="307"/>
      <c r="E540" s="307"/>
      <c r="F540" s="307"/>
    </row>
    <row r="541" customFormat="false" ht="18" hidden="false" customHeight="false" outlineLevel="0" collapsed="false">
      <c r="C541" s="307"/>
      <c r="D541" s="307"/>
      <c r="E541" s="307"/>
      <c r="F541" s="307"/>
    </row>
    <row r="542" customFormat="false" ht="18" hidden="false" customHeight="false" outlineLevel="0" collapsed="false">
      <c r="C542" s="307"/>
      <c r="D542" s="307"/>
      <c r="E542" s="307"/>
      <c r="F542" s="307"/>
    </row>
    <row r="543" customFormat="false" ht="18" hidden="false" customHeight="false" outlineLevel="0" collapsed="false">
      <c r="C543" s="307"/>
      <c r="D543" s="307"/>
      <c r="E543" s="307"/>
      <c r="F543" s="307"/>
    </row>
    <row r="544" customFormat="false" ht="18" hidden="false" customHeight="false" outlineLevel="0" collapsed="false">
      <c r="C544" s="307"/>
      <c r="D544" s="307"/>
      <c r="E544" s="307"/>
      <c r="F544" s="307"/>
    </row>
    <row r="545" customFormat="false" ht="18" hidden="false" customHeight="false" outlineLevel="0" collapsed="false">
      <c r="C545" s="307"/>
      <c r="D545" s="307"/>
      <c r="E545" s="307"/>
      <c r="F545" s="307"/>
    </row>
    <row r="546" customFormat="false" ht="18" hidden="false" customHeight="false" outlineLevel="0" collapsed="false">
      <c r="C546" s="307"/>
      <c r="D546" s="307"/>
      <c r="E546" s="307"/>
      <c r="F546" s="307"/>
    </row>
    <row r="547" customFormat="false" ht="18" hidden="false" customHeight="false" outlineLevel="0" collapsed="false">
      <c r="C547" s="307"/>
      <c r="D547" s="307"/>
      <c r="E547" s="307"/>
      <c r="F547" s="307"/>
    </row>
    <row r="548" customFormat="false" ht="18" hidden="false" customHeight="false" outlineLevel="0" collapsed="false">
      <c r="C548" s="307"/>
      <c r="D548" s="307"/>
      <c r="E548" s="307"/>
      <c r="F548" s="307"/>
    </row>
    <row r="549" customFormat="false" ht="18" hidden="false" customHeight="false" outlineLevel="0" collapsed="false">
      <c r="C549" s="307"/>
      <c r="D549" s="307"/>
      <c r="E549" s="307"/>
      <c r="F549" s="307"/>
    </row>
    <row r="550" customFormat="false" ht="18" hidden="false" customHeight="false" outlineLevel="0" collapsed="false">
      <c r="C550" s="307"/>
      <c r="D550" s="307"/>
      <c r="E550" s="307"/>
      <c r="F550" s="307"/>
    </row>
    <row r="551" customFormat="false" ht="18" hidden="false" customHeight="false" outlineLevel="0" collapsed="false">
      <c r="C551" s="307"/>
      <c r="D551" s="307"/>
      <c r="E551" s="307"/>
      <c r="F551" s="307"/>
    </row>
    <row r="552" customFormat="false" ht="18" hidden="false" customHeight="false" outlineLevel="0" collapsed="false">
      <c r="C552" s="307"/>
      <c r="D552" s="307"/>
      <c r="E552" s="307"/>
      <c r="F552" s="307"/>
    </row>
    <row r="553" customFormat="false" ht="18" hidden="false" customHeight="false" outlineLevel="0" collapsed="false">
      <c r="C553" s="307"/>
      <c r="D553" s="307"/>
      <c r="E553" s="307"/>
      <c r="F553" s="307"/>
    </row>
    <row r="554" customFormat="false" ht="18" hidden="false" customHeight="false" outlineLevel="0" collapsed="false">
      <c r="C554" s="307"/>
      <c r="D554" s="307"/>
      <c r="E554" s="307"/>
      <c r="F554" s="307"/>
    </row>
    <row r="555" customFormat="false" ht="18" hidden="false" customHeight="false" outlineLevel="0" collapsed="false">
      <c r="C555" s="307"/>
      <c r="D555" s="307"/>
      <c r="E555" s="307"/>
      <c r="F555" s="307"/>
    </row>
    <row r="556" customFormat="false" ht="18" hidden="false" customHeight="false" outlineLevel="0" collapsed="false">
      <c r="C556" s="307"/>
      <c r="D556" s="307"/>
      <c r="E556" s="307"/>
      <c r="F556" s="307"/>
    </row>
    <row r="557" customFormat="false" ht="18" hidden="false" customHeight="false" outlineLevel="0" collapsed="false">
      <c r="C557" s="307"/>
      <c r="D557" s="307"/>
      <c r="E557" s="307"/>
      <c r="F557" s="307"/>
    </row>
    <row r="558" customFormat="false" ht="18" hidden="false" customHeight="false" outlineLevel="0" collapsed="false">
      <c r="C558" s="307"/>
      <c r="D558" s="307"/>
      <c r="E558" s="307"/>
      <c r="F558" s="307"/>
    </row>
    <row r="559" customFormat="false" ht="18" hidden="false" customHeight="false" outlineLevel="0" collapsed="false">
      <c r="C559" s="307"/>
      <c r="D559" s="307"/>
      <c r="E559" s="307"/>
      <c r="F559" s="307"/>
    </row>
    <row r="560" customFormat="false" ht="18" hidden="false" customHeight="false" outlineLevel="0" collapsed="false">
      <c r="C560" s="307"/>
      <c r="D560" s="307"/>
      <c r="E560" s="307"/>
      <c r="F560" s="307"/>
    </row>
    <row r="561" customFormat="false" ht="18" hidden="false" customHeight="false" outlineLevel="0" collapsed="false">
      <c r="C561" s="307"/>
      <c r="D561" s="307"/>
      <c r="E561" s="307"/>
      <c r="F561" s="307"/>
    </row>
    <row r="562" customFormat="false" ht="18" hidden="false" customHeight="false" outlineLevel="0" collapsed="false">
      <c r="C562" s="307"/>
      <c r="D562" s="307"/>
      <c r="E562" s="307"/>
      <c r="F562" s="307"/>
    </row>
    <row r="563" customFormat="false" ht="18" hidden="false" customHeight="false" outlineLevel="0" collapsed="false">
      <c r="C563" s="307"/>
      <c r="D563" s="307"/>
      <c r="E563" s="307"/>
      <c r="F563" s="307"/>
    </row>
    <row r="564" customFormat="false" ht="18" hidden="false" customHeight="false" outlineLevel="0" collapsed="false">
      <c r="C564" s="307"/>
      <c r="D564" s="307"/>
      <c r="E564" s="307"/>
      <c r="F564" s="307"/>
    </row>
    <row r="565" customFormat="false" ht="18" hidden="false" customHeight="false" outlineLevel="0" collapsed="false">
      <c r="C565" s="307"/>
      <c r="D565" s="307"/>
      <c r="E565" s="307"/>
      <c r="F565" s="307"/>
    </row>
    <row r="566" customFormat="false" ht="18" hidden="false" customHeight="false" outlineLevel="0" collapsed="false">
      <c r="C566" s="307"/>
      <c r="D566" s="307"/>
      <c r="E566" s="307"/>
      <c r="F566" s="307"/>
    </row>
    <row r="567" customFormat="false" ht="18" hidden="false" customHeight="false" outlineLevel="0" collapsed="false">
      <c r="C567" s="307"/>
      <c r="D567" s="307"/>
      <c r="E567" s="307"/>
      <c r="F567" s="307"/>
    </row>
    <row r="568" customFormat="false" ht="18" hidden="false" customHeight="false" outlineLevel="0" collapsed="false">
      <c r="C568" s="307"/>
      <c r="D568" s="307"/>
      <c r="E568" s="307"/>
      <c r="F568" s="307"/>
    </row>
    <row r="569" customFormat="false" ht="18" hidden="false" customHeight="false" outlineLevel="0" collapsed="false">
      <c r="C569" s="307"/>
      <c r="D569" s="307"/>
      <c r="E569" s="307"/>
      <c r="F569" s="307"/>
    </row>
    <row r="570" customFormat="false" ht="18" hidden="false" customHeight="false" outlineLevel="0" collapsed="false">
      <c r="C570" s="307"/>
      <c r="D570" s="307"/>
      <c r="E570" s="307"/>
      <c r="F570" s="307"/>
    </row>
    <row r="571" customFormat="false" ht="18" hidden="false" customHeight="false" outlineLevel="0" collapsed="false">
      <c r="C571" s="307"/>
      <c r="D571" s="307"/>
      <c r="E571" s="307"/>
      <c r="F571" s="307"/>
    </row>
    <row r="572" customFormat="false" ht="18" hidden="false" customHeight="false" outlineLevel="0" collapsed="false">
      <c r="C572" s="307"/>
      <c r="D572" s="307"/>
      <c r="E572" s="307"/>
      <c r="F572" s="307"/>
    </row>
    <row r="573" customFormat="false" ht="18" hidden="false" customHeight="false" outlineLevel="0" collapsed="false">
      <c r="C573" s="307"/>
      <c r="D573" s="307"/>
      <c r="E573" s="307"/>
      <c r="F573" s="307"/>
    </row>
    <row r="574" customFormat="false" ht="18" hidden="false" customHeight="false" outlineLevel="0" collapsed="false">
      <c r="C574" s="307"/>
      <c r="D574" s="307"/>
      <c r="E574" s="307"/>
      <c r="F574" s="307"/>
    </row>
    <row r="575" customFormat="false" ht="18" hidden="false" customHeight="false" outlineLevel="0" collapsed="false">
      <c r="C575" s="307"/>
      <c r="D575" s="307"/>
      <c r="E575" s="307"/>
      <c r="F575" s="307"/>
    </row>
    <row r="576" customFormat="false" ht="18" hidden="false" customHeight="false" outlineLevel="0" collapsed="false">
      <c r="C576" s="307"/>
      <c r="D576" s="307"/>
      <c r="E576" s="307"/>
      <c r="F576" s="307"/>
    </row>
    <row r="577" customFormat="false" ht="18" hidden="false" customHeight="false" outlineLevel="0" collapsed="false">
      <c r="C577" s="307"/>
      <c r="D577" s="307"/>
      <c r="E577" s="307"/>
      <c r="F577" s="307"/>
    </row>
    <row r="578" customFormat="false" ht="18" hidden="false" customHeight="false" outlineLevel="0" collapsed="false">
      <c r="C578" s="307"/>
      <c r="D578" s="307"/>
      <c r="E578" s="307"/>
      <c r="F578" s="307"/>
    </row>
    <row r="579" customFormat="false" ht="18" hidden="false" customHeight="false" outlineLevel="0" collapsed="false">
      <c r="C579" s="307"/>
      <c r="D579" s="307"/>
      <c r="E579" s="307"/>
      <c r="F579" s="307"/>
    </row>
    <row r="580" customFormat="false" ht="18" hidden="false" customHeight="false" outlineLevel="0" collapsed="false">
      <c r="C580" s="307"/>
      <c r="D580" s="307"/>
      <c r="E580" s="307"/>
      <c r="F580" s="307"/>
    </row>
    <row r="581" customFormat="false" ht="18" hidden="false" customHeight="false" outlineLevel="0" collapsed="false">
      <c r="C581" s="307"/>
      <c r="D581" s="307"/>
      <c r="E581" s="307"/>
      <c r="F581" s="307"/>
    </row>
    <row r="582" customFormat="false" ht="18" hidden="false" customHeight="false" outlineLevel="0" collapsed="false">
      <c r="C582" s="307"/>
      <c r="D582" s="307"/>
      <c r="E582" s="307"/>
      <c r="F582" s="307"/>
    </row>
    <row r="583" customFormat="false" ht="18" hidden="false" customHeight="false" outlineLevel="0" collapsed="false">
      <c r="C583" s="307"/>
      <c r="D583" s="307"/>
      <c r="E583" s="307"/>
      <c r="F583" s="307"/>
    </row>
    <row r="584" customFormat="false" ht="18" hidden="false" customHeight="false" outlineLevel="0" collapsed="false">
      <c r="C584" s="307"/>
      <c r="D584" s="307"/>
      <c r="E584" s="307"/>
      <c r="F584" s="307"/>
    </row>
    <row r="585" customFormat="false" ht="18" hidden="false" customHeight="false" outlineLevel="0" collapsed="false">
      <c r="C585" s="307"/>
      <c r="D585" s="307"/>
      <c r="E585" s="307"/>
      <c r="F585" s="307"/>
    </row>
    <row r="586" customFormat="false" ht="18" hidden="false" customHeight="false" outlineLevel="0" collapsed="false">
      <c r="C586" s="307"/>
      <c r="D586" s="307"/>
      <c r="E586" s="307"/>
      <c r="F586" s="307"/>
    </row>
    <row r="587" customFormat="false" ht="18" hidden="false" customHeight="false" outlineLevel="0" collapsed="false">
      <c r="C587" s="307"/>
      <c r="D587" s="307"/>
      <c r="E587" s="307"/>
      <c r="F587" s="307"/>
    </row>
    <row r="588" customFormat="false" ht="18" hidden="false" customHeight="false" outlineLevel="0" collapsed="false">
      <c r="C588" s="307"/>
      <c r="D588" s="307"/>
      <c r="E588" s="307"/>
      <c r="F588" s="307"/>
    </row>
    <row r="589" customFormat="false" ht="18" hidden="false" customHeight="false" outlineLevel="0" collapsed="false">
      <c r="C589" s="307"/>
      <c r="D589" s="307"/>
      <c r="E589" s="307"/>
      <c r="F589" s="307"/>
    </row>
    <row r="590" customFormat="false" ht="18" hidden="false" customHeight="false" outlineLevel="0" collapsed="false">
      <c r="C590" s="307"/>
      <c r="D590" s="307"/>
      <c r="E590" s="307"/>
      <c r="F590" s="307"/>
    </row>
    <row r="591" customFormat="false" ht="18" hidden="false" customHeight="false" outlineLevel="0" collapsed="false">
      <c r="C591" s="307"/>
      <c r="D591" s="307"/>
      <c r="E591" s="307"/>
      <c r="F591" s="307"/>
    </row>
    <row r="592" customFormat="false" ht="18" hidden="false" customHeight="false" outlineLevel="0" collapsed="false">
      <c r="C592" s="307"/>
      <c r="D592" s="307"/>
      <c r="E592" s="307"/>
      <c r="F592" s="307"/>
    </row>
    <row r="593" customFormat="false" ht="18" hidden="false" customHeight="false" outlineLevel="0" collapsed="false">
      <c r="C593" s="307"/>
      <c r="D593" s="307"/>
      <c r="E593" s="307"/>
      <c r="F593" s="307"/>
    </row>
    <row r="594" customFormat="false" ht="18" hidden="false" customHeight="false" outlineLevel="0" collapsed="false">
      <c r="C594" s="307"/>
      <c r="D594" s="307"/>
      <c r="E594" s="307"/>
      <c r="F594" s="307"/>
    </row>
    <row r="595" customFormat="false" ht="18" hidden="false" customHeight="false" outlineLevel="0" collapsed="false">
      <c r="C595" s="307"/>
      <c r="D595" s="307"/>
      <c r="E595" s="307"/>
      <c r="F595" s="307"/>
    </row>
    <row r="596" customFormat="false" ht="18" hidden="false" customHeight="false" outlineLevel="0" collapsed="false">
      <c r="C596" s="307"/>
      <c r="D596" s="307"/>
      <c r="E596" s="307"/>
      <c r="F596" s="307"/>
    </row>
    <row r="597" customFormat="false" ht="18" hidden="false" customHeight="false" outlineLevel="0" collapsed="false">
      <c r="C597" s="307"/>
      <c r="D597" s="307"/>
      <c r="E597" s="307"/>
      <c r="F597" s="307"/>
    </row>
    <row r="598" customFormat="false" ht="18" hidden="false" customHeight="false" outlineLevel="0" collapsed="false">
      <c r="C598" s="307"/>
      <c r="D598" s="307"/>
      <c r="E598" s="307"/>
      <c r="F598" s="307"/>
    </row>
    <row r="599" customFormat="false" ht="18" hidden="false" customHeight="false" outlineLevel="0" collapsed="false">
      <c r="C599" s="307"/>
      <c r="D599" s="307"/>
      <c r="E599" s="307"/>
      <c r="F599" s="307"/>
    </row>
    <row r="600" customFormat="false" ht="18" hidden="false" customHeight="false" outlineLevel="0" collapsed="false">
      <c r="C600" s="307"/>
      <c r="D600" s="307"/>
      <c r="E600" s="307"/>
      <c r="F600" s="307"/>
    </row>
    <row r="601" customFormat="false" ht="18" hidden="false" customHeight="false" outlineLevel="0" collapsed="false">
      <c r="C601" s="307"/>
      <c r="D601" s="307"/>
      <c r="E601" s="307"/>
      <c r="F601" s="307"/>
    </row>
    <row r="602" customFormat="false" ht="18" hidden="false" customHeight="false" outlineLevel="0" collapsed="false">
      <c r="C602" s="307"/>
      <c r="D602" s="307"/>
      <c r="E602" s="307"/>
      <c r="F602" s="307"/>
    </row>
    <row r="603" customFormat="false" ht="18" hidden="false" customHeight="false" outlineLevel="0" collapsed="false">
      <c r="C603" s="307"/>
      <c r="D603" s="307"/>
      <c r="E603" s="307"/>
      <c r="F603" s="307"/>
    </row>
    <row r="604" customFormat="false" ht="18" hidden="false" customHeight="false" outlineLevel="0" collapsed="false">
      <c r="C604" s="307"/>
      <c r="D604" s="307"/>
      <c r="E604" s="307"/>
      <c r="F604" s="307"/>
    </row>
    <row r="605" customFormat="false" ht="18" hidden="false" customHeight="false" outlineLevel="0" collapsed="false">
      <c r="C605" s="307"/>
      <c r="D605" s="307"/>
      <c r="E605" s="307"/>
      <c r="F605" s="307"/>
    </row>
    <row r="606" customFormat="false" ht="18" hidden="false" customHeight="false" outlineLevel="0" collapsed="false">
      <c r="C606" s="307"/>
      <c r="D606" s="307"/>
      <c r="E606" s="307"/>
      <c r="F606" s="307"/>
    </row>
    <row r="607" customFormat="false" ht="18" hidden="false" customHeight="false" outlineLevel="0" collapsed="false">
      <c r="C607" s="307"/>
      <c r="D607" s="307"/>
      <c r="E607" s="307"/>
      <c r="F607" s="307"/>
    </row>
    <row r="608" customFormat="false" ht="18" hidden="false" customHeight="false" outlineLevel="0" collapsed="false">
      <c r="C608" s="307"/>
      <c r="D608" s="307"/>
      <c r="E608" s="307"/>
      <c r="F608" s="307"/>
    </row>
    <row r="609" customFormat="false" ht="18" hidden="false" customHeight="false" outlineLevel="0" collapsed="false">
      <c r="C609" s="307"/>
      <c r="D609" s="307"/>
      <c r="E609" s="307"/>
      <c r="F609" s="307"/>
    </row>
    <row r="610" customFormat="false" ht="18" hidden="false" customHeight="false" outlineLevel="0" collapsed="false">
      <c r="C610" s="307"/>
      <c r="D610" s="307"/>
      <c r="E610" s="307"/>
      <c r="F610" s="307"/>
    </row>
    <row r="611" customFormat="false" ht="18" hidden="false" customHeight="false" outlineLevel="0" collapsed="false">
      <c r="C611" s="307"/>
      <c r="D611" s="307"/>
      <c r="E611" s="307"/>
      <c r="F611" s="307"/>
    </row>
    <row r="612" customFormat="false" ht="18" hidden="false" customHeight="false" outlineLevel="0" collapsed="false">
      <c r="C612" s="307"/>
      <c r="D612" s="307"/>
      <c r="E612" s="307"/>
      <c r="F612" s="307"/>
    </row>
    <row r="613" customFormat="false" ht="18" hidden="false" customHeight="false" outlineLevel="0" collapsed="false">
      <c r="C613" s="307"/>
      <c r="D613" s="307"/>
      <c r="E613" s="307"/>
      <c r="F613" s="307"/>
    </row>
    <row r="614" customFormat="false" ht="18" hidden="false" customHeight="false" outlineLevel="0" collapsed="false">
      <c r="C614" s="307"/>
      <c r="D614" s="307"/>
      <c r="E614" s="307"/>
      <c r="F614" s="307"/>
    </row>
    <row r="615" customFormat="false" ht="18" hidden="false" customHeight="false" outlineLevel="0" collapsed="false">
      <c r="C615" s="307"/>
      <c r="D615" s="307"/>
      <c r="E615" s="307"/>
      <c r="F615" s="307"/>
    </row>
    <row r="616" customFormat="false" ht="18" hidden="false" customHeight="false" outlineLevel="0" collapsed="false">
      <c r="C616" s="307"/>
      <c r="D616" s="307"/>
      <c r="E616" s="307"/>
      <c r="F616" s="307"/>
    </row>
    <row r="617" customFormat="false" ht="18" hidden="false" customHeight="false" outlineLevel="0" collapsed="false">
      <c r="C617" s="307"/>
      <c r="D617" s="307"/>
      <c r="E617" s="307"/>
      <c r="F617" s="307"/>
    </row>
    <row r="618" customFormat="false" ht="18" hidden="false" customHeight="false" outlineLevel="0" collapsed="false">
      <c r="C618" s="307"/>
      <c r="D618" s="307"/>
      <c r="E618" s="307"/>
      <c r="F618" s="307"/>
    </row>
    <row r="619" customFormat="false" ht="18" hidden="false" customHeight="false" outlineLevel="0" collapsed="false">
      <c r="C619" s="307"/>
      <c r="D619" s="307"/>
      <c r="E619" s="307"/>
      <c r="F619" s="307"/>
    </row>
    <row r="620" customFormat="false" ht="18" hidden="false" customHeight="false" outlineLevel="0" collapsed="false">
      <c r="C620" s="307"/>
      <c r="D620" s="307"/>
      <c r="E620" s="307"/>
      <c r="F620" s="307"/>
    </row>
    <row r="621" customFormat="false" ht="18" hidden="false" customHeight="false" outlineLevel="0" collapsed="false">
      <c r="C621" s="307"/>
      <c r="D621" s="307"/>
      <c r="E621" s="307"/>
      <c r="F621" s="307"/>
    </row>
    <row r="622" customFormat="false" ht="18" hidden="false" customHeight="false" outlineLevel="0" collapsed="false">
      <c r="C622" s="307"/>
      <c r="D622" s="307"/>
      <c r="E622" s="307"/>
      <c r="F622" s="307"/>
    </row>
    <row r="623" customFormat="false" ht="18" hidden="false" customHeight="false" outlineLevel="0" collapsed="false">
      <c r="C623" s="307"/>
      <c r="D623" s="307"/>
      <c r="E623" s="307"/>
      <c r="F623" s="307"/>
    </row>
    <row r="624" customFormat="false" ht="18" hidden="false" customHeight="false" outlineLevel="0" collapsed="false">
      <c r="C624" s="307"/>
      <c r="D624" s="307"/>
      <c r="E624" s="307"/>
      <c r="F624" s="307"/>
    </row>
    <row r="625" customFormat="false" ht="18" hidden="false" customHeight="false" outlineLevel="0" collapsed="false">
      <c r="C625" s="307"/>
      <c r="D625" s="307"/>
      <c r="E625" s="307"/>
      <c r="F625" s="307"/>
    </row>
    <row r="626" customFormat="false" ht="18" hidden="false" customHeight="false" outlineLevel="0" collapsed="false">
      <c r="C626" s="307"/>
      <c r="D626" s="307"/>
      <c r="E626" s="307"/>
      <c r="F626" s="307"/>
    </row>
    <row r="627" customFormat="false" ht="18" hidden="false" customHeight="false" outlineLevel="0" collapsed="false">
      <c r="C627" s="307"/>
      <c r="D627" s="307"/>
      <c r="E627" s="307"/>
      <c r="F627" s="307"/>
    </row>
    <row r="628" customFormat="false" ht="18" hidden="false" customHeight="false" outlineLevel="0" collapsed="false">
      <c r="C628" s="307"/>
      <c r="D628" s="307"/>
      <c r="E628" s="307"/>
      <c r="F628" s="307"/>
    </row>
    <row r="629" customFormat="false" ht="18" hidden="false" customHeight="false" outlineLevel="0" collapsed="false">
      <c r="C629" s="307"/>
      <c r="D629" s="307"/>
      <c r="E629" s="307"/>
      <c r="F629" s="307"/>
    </row>
    <row r="630" customFormat="false" ht="18" hidden="false" customHeight="false" outlineLevel="0" collapsed="false">
      <c r="C630" s="307"/>
      <c r="D630" s="307"/>
      <c r="E630" s="307"/>
      <c r="F630" s="307"/>
    </row>
    <row r="631" customFormat="false" ht="18" hidden="false" customHeight="false" outlineLevel="0" collapsed="false">
      <c r="C631" s="307"/>
      <c r="D631" s="307"/>
      <c r="E631" s="307"/>
      <c r="F631" s="307"/>
    </row>
    <row r="632" customFormat="false" ht="18" hidden="false" customHeight="false" outlineLevel="0" collapsed="false">
      <c r="C632" s="307"/>
      <c r="D632" s="307"/>
      <c r="E632" s="307"/>
      <c r="F632" s="307"/>
    </row>
    <row r="633" customFormat="false" ht="18" hidden="false" customHeight="false" outlineLevel="0" collapsed="false">
      <c r="C633" s="307"/>
      <c r="D633" s="307"/>
      <c r="E633" s="307"/>
      <c r="F633" s="307"/>
    </row>
    <row r="634" customFormat="false" ht="18" hidden="false" customHeight="false" outlineLevel="0" collapsed="false">
      <c r="C634" s="307"/>
      <c r="D634" s="307"/>
      <c r="E634" s="307"/>
      <c r="F634" s="307"/>
    </row>
    <row r="635" customFormat="false" ht="18" hidden="false" customHeight="false" outlineLevel="0" collapsed="false">
      <c r="C635" s="307"/>
      <c r="D635" s="307"/>
      <c r="E635" s="307"/>
      <c r="F635" s="307"/>
    </row>
    <row r="636" customFormat="false" ht="18" hidden="false" customHeight="false" outlineLevel="0" collapsed="false">
      <c r="C636" s="307"/>
      <c r="D636" s="307"/>
      <c r="E636" s="307"/>
      <c r="F636" s="307"/>
    </row>
    <row r="637" customFormat="false" ht="18" hidden="false" customHeight="false" outlineLevel="0" collapsed="false">
      <c r="C637" s="307"/>
      <c r="D637" s="307"/>
      <c r="E637" s="307"/>
      <c r="F637" s="307"/>
    </row>
    <row r="638" customFormat="false" ht="18" hidden="false" customHeight="false" outlineLevel="0" collapsed="false">
      <c r="C638" s="307"/>
      <c r="D638" s="307"/>
      <c r="E638" s="307"/>
      <c r="F638" s="307"/>
    </row>
    <row r="639" customFormat="false" ht="18" hidden="false" customHeight="false" outlineLevel="0" collapsed="false">
      <c r="C639" s="307"/>
      <c r="D639" s="307"/>
      <c r="E639" s="307"/>
      <c r="F639" s="307"/>
    </row>
    <row r="640" customFormat="false" ht="18" hidden="false" customHeight="false" outlineLevel="0" collapsed="false">
      <c r="C640" s="307"/>
      <c r="D640" s="307"/>
      <c r="E640" s="307"/>
      <c r="F640" s="307"/>
    </row>
    <row r="641" customFormat="false" ht="18" hidden="false" customHeight="false" outlineLevel="0" collapsed="false">
      <c r="C641" s="307"/>
      <c r="D641" s="307"/>
      <c r="E641" s="307"/>
      <c r="F641" s="307"/>
    </row>
    <row r="642" customFormat="false" ht="18" hidden="false" customHeight="false" outlineLevel="0" collapsed="false">
      <c r="C642" s="307"/>
      <c r="D642" s="307"/>
      <c r="E642" s="307"/>
      <c r="F642" s="307"/>
    </row>
    <row r="643" customFormat="false" ht="18" hidden="false" customHeight="false" outlineLevel="0" collapsed="false">
      <c r="C643" s="307"/>
      <c r="D643" s="307"/>
      <c r="E643" s="307"/>
      <c r="F643" s="307"/>
    </row>
    <row r="644" customFormat="false" ht="18" hidden="false" customHeight="false" outlineLevel="0" collapsed="false">
      <c r="C644" s="307"/>
      <c r="D644" s="307"/>
      <c r="E644" s="307"/>
      <c r="F644" s="307"/>
    </row>
    <row r="645" customFormat="false" ht="18" hidden="false" customHeight="false" outlineLevel="0" collapsed="false">
      <c r="C645" s="307"/>
      <c r="D645" s="307"/>
      <c r="E645" s="307"/>
      <c r="F645" s="307"/>
    </row>
    <row r="646" customFormat="false" ht="18" hidden="false" customHeight="false" outlineLevel="0" collapsed="false">
      <c r="C646" s="307"/>
      <c r="D646" s="307"/>
      <c r="E646" s="307"/>
      <c r="F646" s="307"/>
    </row>
    <row r="647" customFormat="false" ht="18" hidden="false" customHeight="false" outlineLevel="0" collapsed="false">
      <c r="C647" s="307"/>
      <c r="D647" s="307"/>
      <c r="E647" s="307"/>
      <c r="F647" s="307"/>
    </row>
    <row r="648" customFormat="false" ht="18" hidden="false" customHeight="false" outlineLevel="0" collapsed="false">
      <c r="C648" s="307"/>
      <c r="D648" s="307"/>
      <c r="E648" s="307"/>
      <c r="F648" s="307"/>
    </row>
    <row r="649" customFormat="false" ht="18" hidden="false" customHeight="false" outlineLevel="0" collapsed="false">
      <c r="C649" s="307"/>
      <c r="D649" s="307"/>
      <c r="E649" s="307"/>
      <c r="F649" s="307"/>
    </row>
    <row r="650" customFormat="false" ht="18" hidden="false" customHeight="false" outlineLevel="0" collapsed="false">
      <c r="C650" s="307"/>
      <c r="D650" s="307"/>
      <c r="E650" s="307"/>
      <c r="F650" s="307"/>
    </row>
    <row r="651" customFormat="false" ht="18" hidden="false" customHeight="false" outlineLevel="0" collapsed="false">
      <c r="C651" s="307"/>
      <c r="D651" s="307"/>
      <c r="E651" s="307"/>
      <c r="F651" s="307"/>
    </row>
    <row r="652" customFormat="false" ht="18" hidden="false" customHeight="false" outlineLevel="0" collapsed="false">
      <c r="C652" s="307"/>
      <c r="D652" s="307"/>
      <c r="E652" s="307"/>
      <c r="F652" s="307"/>
    </row>
    <row r="653" customFormat="false" ht="18" hidden="false" customHeight="false" outlineLevel="0" collapsed="false">
      <c r="C653" s="307"/>
      <c r="D653" s="307"/>
      <c r="E653" s="307"/>
      <c r="F653" s="307"/>
    </row>
    <row r="654" customFormat="false" ht="18" hidden="false" customHeight="false" outlineLevel="0" collapsed="false">
      <c r="C654" s="307"/>
      <c r="D654" s="307"/>
      <c r="E654" s="307"/>
      <c r="F654" s="307"/>
    </row>
    <row r="655" customFormat="false" ht="18" hidden="false" customHeight="false" outlineLevel="0" collapsed="false">
      <c r="C655" s="307"/>
      <c r="D655" s="307"/>
      <c r="E655" s="307"/>
      <c r="F655" s="307"/>
    </row>
    <row r="656" customFormat="false" ht="18" hidden="false" customHeight="false" outlineLevel="0" collapsed="false">
      <c r="C656" s="307"/>
      <c r="D656" s="307"/>
      <c r="E656" s="307"/>
      <c r="F656" s="307"/>
    </row>
    <row r="657" customFormat="false" ht="18" hidden="false" customHeight="false" outlineLevel="0" collapsed="false">
      <c r="C657" s="307"/>
      <c r="D657" s="307"/>
      <c r="E657" s="307"/>
      <c r="F657" s="307"/>
    </row>
    <row r="658" customFormat="false" ht="18" hidden="false" customHeight="false" outlineLevel="0" collapsed="false">
      <c r="C658" s="307"/>
      <c r="D658" s="307"/>
      <c r="E658" s="307"/>
      <c r="F658" s="307"/>
    </row>
    <row r="659" customFormat="false" ht="18" hidden="false" customHeight="false" outlineLevel="0" collapsed="false">
      <c r="C659" s="307"/>
      <c r="D659" s="307"/>
      <c r="E659" s="307"/>
      <c r="F659" s="307"/>
    </row>
    <row r="660" customFormat="false" ht="18" hidden="false" customHeight="false" outlineLevel="0" collapsed="false">
      <c r="C660" s="307"/>
      <c r="D660" s="307"/>
      <c r="E660" s="307"/>
      <c r="F660" s="307"/>
    </row>
    <row r="661" customFormat="false" ht="18" hidden="false" customHeight="false" outlineLevel="0" collapsed="false">
      <c r="C661" s="307"/>
      <c r="D661" s="307"/>
      <c r="E661" s="307"/>
      <c r="F661" s="307"/>
    </row>
    <row r="662" customFormat="false" ht="18" hidden="false" customHeight="false" outlineLevel="0" collapsed="false">
      <c r="C662" s="307"/>
      <c r="D662" s="307"/>
      <c r="E662" s="307"/>
      <c r="F662" s="307"/>
    </row>
    <row r="663" customFormat="false" ht="18" hidden="false" customHeight="false" outlineLevel="0" collapsed="false">
      <c r="C663" s="307"/>
      <c r="D663" s="307"/>
      <c r="E663" s="307"/>
      <c r="F663" s="307"/>
    </row>
    <row r="664" customFormat="false" ht="18" hidden="false" customHeight="false" outlineLevel="0" collapsed="false">
      <c r="C664" s="307"/>
      <c r="D664" s="307"/>
      <c r="E664" s="307"/>
      <c r="F664" s="307"/>
    </row>
    <row r="665" customFormat="false" ht="18" hidden="false" customHeight="false" outlineLevel="0" collapsed="false">
      <c r="C665" s="307"/>
      <c r="D665" s="307"/>
      <c r="E665" s="307"/>
      <c r="F665" s="307"/>
    </row>
    <row r="666" customFormat="false" ht="18" hidden="false" customHeight="false" outlineLevel="0" collapsed="false">
      <c r="C666" s="307"/>
      <c r="D666" s="307"/>
      <c r="E666" s="307"/>
      <c r="F666" s="307"/>
    </row>
    <row r="667" customFormat="false" ht="18" hidden="false" customHeight="false" outlineLevel="0" collapsed="false">
      <c r="C667" s="307"/>
      <c r="D667" s="307"/>
      <c r="E667" s="307"/>
      <c r="F667" s="307"/>
    </row>
    <row r="668" customFormat="false" ht="18" hidden="false" customHeight="false" outlineLevel="0" collapsed="false">
      <c r="C668" s="307"/>
      <c r="D668" s="307"/>
      <c r="E668" s="307"/>
      <c r="F668" s="307"/>
    </row>
    <row r="669" customFormat="false" ht="18" hidden="false" customHeight="false" outlineLevel="0" collapsed="false">
      <c r="C669" s="307"/>
      <c r="D669" s="307"/>
      <c r="E669" s="307"/>
      <c r="F669" s="307"/>
    </row>
    <row r="670" customFormat="false" ht="18" hidden="false" customHeight="false" outlineLevel="0" collapsed="false">
      <c r="C670" s="307"/>
      <c r="D670" s="307"/>
      <c r="E670" s="307"/>
      <c r="F670" s="307"/>
    </row>
    <row r="671" customFormat="false" ht="18" hidden="false" customHeight="false" outlineLevel="0" collapsed="false">
      <c r="C671" s="307"/>
      <c r="D671" s="307"/>
      <c r="E671" s="307"/>
      <c r="F671" s="307"/>
    </row>
    <row r="672" customFormat="false" ht="18" hidden="false" customHeight="false" outlineLevel="0" collapsed="false">
      <c r="C672" s="307"/>
      <c r="D672" s="307"/>
      <c r="E672" s="307"/>
      <c r="F672" s="307"/>
    </row>
    <row r="673" customFormat="false" ht="18" hidden="false" customHeight="false" outlineLevel="0" collapsed="false">
      <c r="C673" s="307"/>
      <c r="D673" s="307"/>
      <c r="E673" s="307"/>
      <c r="F673" s="307"/>
    </row>
    <row r="674" customFormat="false" ht="18" hidden="false" customHeight="false" outlineLevel="0" collapsed="false">
      <c r="C674" s="307"/>
      <c r="D674" s="307"/>
      <c r="E674" s="307"/>
      <c r="F674" s="307"/>
    </row>
    <row r="675" customFormat="false" ht="18" hidden="false" customHeight="false" outlineLevel="0" collapsed="false">
      <c r="C675" s="307"/>
      <c r="D675" s="307"/>
      <c r="E675" s="307"/>
      <c r="F675" s="307"/>
    </row>
    <row r="676" customFormat="false" ht="18" hidden="false" customHeight="false" outlineLevel="0" collapsed="false">
      <c r="C676" s="307"/>
      <c r="D676" s="307"/>
      <c r="E676" s="307"/>
      <c r="F676" s="307"/>
    </row>
    <row r="677" customFormat="false" ht="18" hidden="false" customHeight="false" outlineLevel="0" collapsed="false">
      <c r="C677" s="307"/>
      <c r="D677" s="307"/>
      <c r="E677" s="307"/>
      <c r="F677" s="307"/>
    </row>
    <row r="678" customFormat="false" ht="18" hidden="false" customHeight="false" outlineLevel="0" collapsed="false">
      <c r="C678" s="307"/>
      <c r="D678" s="307"/>
      <c r="E678" s="307"/>
      <c r="F678" s="307"/>
    </row>
    <row r="679" customFormat="false" ht="18" hidden="false" customHeight="false" outlineLevel="0" collapsed="false">
      <c r="C679" s="307"/>
      <c r="D679" s="307"/>
      <c r="E679" s="307"/>
      <c r="F679" s="307"/>
    </row>
    <row r="680" customFormat="false" ht="18" hidden="false" customHeight="false" outlineLevel="0" collapsed="false">
      <c r="C680" s="307"/>
      <c r="D680" s="307"/>
      <c r="E680" s="307"/>
      <c r="F680" s="307"/>
    </row>
    <row r="681" customFormat="false" ht="18" hidden="false" customHeight="false" outlineLevel="0" collapsed="false">
      <c r="C681" s="307"/>
      <c r="D681" s="307"/>
      <c r="E681" s="307"/>
      <c r="F681" s="307"/>
    </row>
    <row r="682" customFormat="false" ht="18" hidden="false" customHeight="false" outlineLevel="0" collapsed="false">
      <c r="C682" s="307"/>
      <c r="D682" s="307"/>
      <c r="E682" s="307"/>
      <c r="F682" s="307"/>
    </row>
    <row r="683" customFormat="false" ht="18" hidden="false" customHeight="false" outlineLevel="0" collapsed="false">
      <c r="C683" s="307"/>
      <c r="D683" s="307"/>
      <c r="E683" s="307"/>
      <c r="F683" s="307"/>
    </row>
    <row r="684" customFormat="false" ht="18" hidden="false" customHeight="false" outlineLevel="0" collapsed="false">
      <c r="C684" s="307"/>
      <c r="D684" s="307"/>
      <c r="E684" s="307"/>
      <c r="F684" s="307"/>
    </row>
    <row r="685" customFormat="false" ht="18" hidden="false" customHeight="false" outlineLevel="0" collapsed="false">
      <c r="C685" s="307"/>
      <c r="D685" s="307"/>
      <c r="E685" s="307"/>
      <c r="F685" s="307"/>
    </row>
    <row r="686" customFormat="false" ht="18" hidden="false" customHeight="false" outlineLevel="0" collapsed="false">
      <c r="C686" s="307"/>
      <c r="D686" s="307"/>
      <c r="E686" s="307"/>
      <c r="F686" s="307"/>
    </row>
    <row r="687" customFormat="false" ht="18" hidden="false" customHeight="false" outlineLevel="0" collapsed="false">
      <c r="C687" s="307"/>
      <c r="D687" s="307"/>
      <c r="E687" s="307"/>
      <c r="F687" s="307"/>
    </row>
    <row r="688" customFormat="false" ht="18" hidden="false" customHeight="false" outlineLevel="0" collapsed="false">
      <c r="C688" s="307"/>
      <c r="D688" s="307"/>
      <c r="E688" s="307"/>
      <c r="F688" s="307"/>
    </row>
    <row r="689" customFormat="false" ht="18" hidden="false" customHeight="false" outlineLevel="0" collapsed="false">
      <c r="C689" s="307"/>
      <c r="D689" s="307"/>
      <c r="E689" s="307"/>
      <c r="F689" s="307"/>
    </row>
    <row r="690" customFormat="false" ht="18" hidden="false" customHeight="false" outlineLevel="0" collapsed="false">
      <c r="C690" s="307"/>
      <c r="D690" s="307"/>
      <c r="E690" s="307"/>
      <c r="F690" s="307"/>
    </row>
    <row r="691" customFormat="false" ht="18" hidden="false" customHeight="false" outlineLevel="0" collapsed="false">
      <c r="C691" s="307"/>
      <c r="D691" s="307"/>
      <c r="E691" s="307"/>
      <c r="F691" s="307"/>
    </row>
    <row r="692" customFormat="false" ht="18" hidden="false" customHeight="false" outlineLevel="0" collapsed="false">
      <c r="C692" s="307"/>
      <c r="D692" s="307"/>
      <c r="E692" s="307"/>
      <c r="F692" s="307"/>
    </row>
    <row r="693" customFormat="false" ht="18" hidden="false" customHeight="false" outlineLevel="0" collapsed="false">
      <c r="C693" s="307"/>
      <c r="D693" s="307"/>
      <c r="E693" s="307"/>
      <c r="F693" s="307"/>
    </row>
    <row r="694" customFormat="false" ht="18" hidden="false" customHeight="false" outlineLevel="0" collapsed="false">
      <c r="C694" s="307"/>
      <c r="D694" s="307"/>
      <c r="E694" s="307"/>
      <c r="F694" s="307"/>
    </row>
    <row r="695" customFormat="false" ht="18" hidden="false" customHeight="false" outlineLevel="0" collapsed="false">
      <c r="C695" s="307"/>
      <c r="D695" s="307"/>
      <c r="E695" s="307"/>
      <c r="F695" s="307"/>
    </row>
    <row r="696" customFormat="false" ht="18" hidden="false" customHeight="false" outlineLevel="0" collapsed="false">
      <c r="C696" s="307"/>
      <c r="D696" s="307"/>
      <c r="E696" s="307"/>
      <c r="F696" s="307"/>
    </row>
    <row r="697" customFormat="false" ht="18" hidden="false" customHeight="false" outlineLevel="0" collapsed="false">
      <c r="C697" s="307"/>
      <c r="D697" s="307"/>
      <c r="E697" s="307"/>
      <c r="F697" s="307"/>
    </row>
    <row r="698" customFormat="false" ht="18" hidden="false" customHeight="false" outlineLevel="0" collapsed="false">
      <c r="C698" s="307"/>
      <c r="D698" s="307"/>
      <c r="E698" s="307"/>
      <c r="F698" s="307"/>
    </row>
    <row r="699" customFormat="false" ht="18" hidden="false" customHeight="false" outlineLevel="0" collapsed="false">
      <c r="C699" s="307"/>
      <c r="D699" s="307"/>
      <c r="E699" s="307"/>
      <c r="F699" s="307"/>
    </row>
    <row r="700" customFormat="false" ht="18" hidden="false" customHeight="false" outlineLevel="0" collapsed="false">
      <c r="C700" s="307"/>
      <c r="D700" s="307"/>
      <c r="E700" s="307"/>
      <c r="F700" s="307"/>
    </row>
    <row r="701" customFormat="false" ht="18" hidden="false" customHeight="false" outlineLevel="0" collapsed="false">
      <c r="C701" s="307"/>
      <c r="D701" s="307"/>
      <c r="E701" s="307"/>
      <c r="F701" s="307"/>
    </row>
    <row r="702" customFormat="false" ht="18" hidden="false" customHeight="false" outlineLevel="0" collapsed="false">
      <c r="C702" s="307"/>
      <c r="D702" s="307"/>
      <c r="E702" s="307"/>
      <c r="F702" s="307"/>
    </row>
    <row r="703" customFormat="false" ht="18" hidden="false" customHeight="false" outlineLevel="0" collapsed="false">
      <c r="C703" s="307"/>
      <c r="D703" s="307"/>
      <c r="E703" s="307"/>
      <c r="F703" s="307"/>
    </row>
    <row r="704" customFormat="false" ht="18" hidden="false" customHeight="false" outlineLevel="0" collapsed="false">
      <c r="C704" s="307"/>
      <c r="D704" s="307"/>
      <c r="E704" s="307"/>
      <c r="F704" s="307"/>
    </row>
    <row r="705" customFormat="false" ht="18" hidden="false" customHeight="false" outlineLevel="0" collapsed="false">
      <c r="C705" s="307"/>
      <c r="D705" s="307"/>
      <c r="E705" s="307"/>
      <c r="F705" s="307"/>
    </row>
    <row r="706" customFormat="false" ht="18" hidden="false" customHeight="false" outlineLevel="0" collapsed="false">
      <c r="C706" s="307"/>
      <c r="D706" s="307"/>
      <c r="E706" s="307"/>
      <c r="F706" s="307"/>
    </row>
    <row r="707" customFormat="false" ht="18" hidden="false" customHeight="false" outlineLevel="0" collapsed="false">
      <c r="C707" s="307"/>
      <c r="D707" s="307"/>
      <c r="E707" s="307"/>
      <c r="F707" s="307"/>
    </row>
    <row r="708" customFormat="false" ht="18" hidden="false" customHeight="false" outlineLevel="0" collapsed="false">
      <c r="C708" s="307"/>
      <c r="D708" s="307"/>
      <c r="E708" s="307"/>
      <c r="F708" s="307"/>
    </row>
    <row r="709" customFormat="false" ht="18" hidden="false" customHeight="false" outlineLevel="0" collapsed="false">
      <c r="C709" s="307"/>
      <c r="D709" s="307"/>
      <c r="E709" s="307"/>
      <c r="F709" s="307"/>
    </row>
    <row r="710" customFormat="false" ht="18" hidden="false" customHeight="false" outlineLevel="0" collapsed="false">
      <c r="C710" s="307"/>
      <c r="D710" s="307"/>
      <c r="E710" s="307"/>
      <c r="F710" s="307"/>
    </row>
    <row r="711" customFormat="false" ht="18" hidden="false" customHeight="false" outlineLevel="0" collapsed="false">
      <c r="C711" s="307"/>
      <c r="D711" s="307"/>
      <c r="E711" s="307"/>
      <c r="F711" s="307"/>
    </row>
    <row r="712" customFormat="false" ht="18" hidden="false" customHeight="false" outlineLevel="0" collapsed="false">
      <c r="C712" s="307"/>
      <c r="D712" s="307"/>
      <c r="E712" s="307"/>
      <c r="F712" s="307"/>
    </row>
    <row r="713" customFormat="false" ht="18" hidden="false" customHeight="false" outlineLevel="0" collapsed="false">
      <c r="C713" s="307"/>
      <c r="D713" s="307"/>
      <c r="E713" s="307"/>
      <c r="F713" s="307"/>
    </row>
    <row r="714" customFormat="false" ht="18" hidden="false" customHeight="false" outlineLevel="0" collapsed="false">
      <c r="C714" s="307"/>
      <c r="D714" s="307"/>
      <c r="E714" s="307"/>
      <c r="F714" s="307"/>
    </row>
    <row r="715" customFormat="false" ht="18" hidden="false" customHeight="false" outlineLevel="0" collapsed="false">
      <c r="C715" s="307"/>
      <c r="D715" s="307"/>
      <c r="E715" s="307"/>
      <c r="F715" s="307"/>
    </row>
    <row r="716" customFormat="false" ht="18" hidden="false" customHeight="false" outlineLevel="0" collapsed="false">
      <c r="C716" s="307"/>
      <c r="D716" s="307"/>
      <c r="E716" s="307"/>
      <c r="F716" s="307"/>
    </row>
    <row r="717" customFormat="false" ht="18" hidden="false" customHeight="false" outlineLevel="0" collapsed="false">
      <c r="C717" s="307"/>
      <c r="D717" s="307"/>
      <c r="E717" s="307"/>
      <c r="F717" s="307"/>
    </row>
    <row r="718" customFormat="false" ht="18" hidden="false" customHeight="false" outlineLevel="0" collapsed="false">
      <c r="C718" s="307"/>
      <c r="D718" s="307"/>
      <c r="E718" s="307"/>
      <c r="F718" s="307"/>
    </row>
    <row r="719" customFormat="false" ht="18" hidden="false" customHeight="false" outlineLevel="0" collapsed="false">
      <c r="C719" s="307"/>
      <c r="D719" s="307"/>
      <c r="E719" s="307"/>
      <c r="F719" s="307"/>
    </row>
    <row r="720" customFormat="false" ht="18" hidden="false" customHeight="false" outlineLevel="0" collapsed="false">
      <c r="C720" s="307"/>
      <c r="D720" s="307"/>
      <c r="E720" s="307"/>
      <c r="F720" s="307"/>
    </row>
    <row r="721" customFormat="false" ht="18" hidden="false" customHeight="false" outlineLevel="0" collapsed="false">
      <c r="C721" s="307"/>
      <c r="D721" s="307"/>
      <c r="E721" s="307"/>
      <c r="F721" s="307"/>
    </row>
    <row r="722" customFormat="false" ht="18" hidden="false" customHeight="false" outlineLevel="0" collapsed="false">
      <c r="C722" s="307"/>
      <c r="D722" s="307"/>
      <c r="E722" s="307"/>
      <c r="F722" s="307"/>
    </row>
    <row r="723" customFormat="false" ht="18" hidden="false" customHeight="false" outlineLevel="0" collapsed="false">
      <c r="C723" s="307"/>
      <c r="D723" s="307"/>
      <c r="E723" s="307"/>
      <c r="F723" s="307"/>
    </row>
    <row r="724" customFormat="false" ht="18" hidden="false" customHeight="false" outlineLevel="0" collapsed="false">
      <c r="C724" s="307"/>
      <c r="D724" s="307"/>
      <c r="E724" s="307"/>
      <c r="F724" s="307"/>
    </row>
    <row r="725" customFormat="false" ht="18" hidden="false" customHeight="false" outlineLevel="0" collapsed="false">
      <c r="C725" s="307"/>
      <c r="D725" s="307"/>
      <c r="E725" s="307"/>
      <c r="F725" s="307"/>
    </row>
    <row r="726" customFormat="false" ht="18" hidden="false" customHeight="false" outlineLevel="0" collapsed="false">
      <c r="C726" s="307"/>
      <c r="D726" s="307"/>
      <c r="E726" s="307"/>
      <c r="F726" s="307"/>
    </row>
    <row r="727" customFormat="false" ht="18" hidden="false" customHeight="false" outlineLevel="0" collapsed="false">
      <c r="C727" s="307"/>
      <c r="D727" s="307"/>
      <c r="E727" s="307"/>
      <c r="F727" s="307"/>
    </row>
    <row r="728" customFormat="false" ht="18" hidden="false" customHeight="false" outlineLevel="0" collapsed="false">
      <c r="C728" s="307"/>
      <c r="D728" s="307"/>
      <c r="E728" s="307"/>
      <c r="F728" s="307"/>
    </row>
    <row r="729" customFormat="false" ht="18" hidden="false" customHeight="false" outlineLevel="0" collapsed="false">
      <c r="C729" s="307"/>
      <c r="D729" s="307"/>
      <c r="E729" s="307"/>
      <c r="F729" s="307"/>
    </row>
    <row r="730" customFormat="false" ht="18" hidden="false" customHeight="false" outlineLevel="0" collapsed="false">
      <c r="C730" s="307"/>
      <c r="D730" s="307"/>
      <c r="E730" s="307"/>
      <c r="F730" s="307"/>
    </row>
    <row r="731" customFormat="false" ht="18" hidden="false" customHeight="false" outlineLevel="0" collapsed="false">
      <c r="C731" s="307"/>
      <c r="D731" s="307"/>
      <c r="E731" s="307"/>
      <c r="F731" s="307"/>
    </row>
    <row r="732" customFormat="false" ht="18" hidden="false" customHeight="false" outlineLevel="0" collapsed="false">
      <c r="C732" s="307"/>
      <c r="D732" s="307"/>
      <c r="E732" s="307"/>
      <c r="F732" s="307"/>
    </row>
    <row r="733" customFormat="false" ht="18" hidden="false" customHeight="false" outlineLevel="0" collapsed="false">
      <c r="C733" s="307"/>
      <c r="D733" s="307"/>
      <c r="E733" s="307"/>
      <c r="F733" s="307"/>
    </row>
    <row r="734" customFormat="false" ht="18" hidden="false" customHeight="false" outlineLevel="0" collapsed="false">
      <c r="C734" s="307"/>
      <c r="D734" s="307"/>
      <c r="E734" s="307"/>
      <c r="F734" s="307"/>
    </row>
    <row r="735" customFormat="false" ht="18" hidden="false" customHeight="false" outlineLevel="0" collapsed="false">
      <c r="C735" s="307"/>
      <c r="D735" s="307"/>
      <c r="E735" s="307"/>
      <c r="F735" s="307"/>
    </row>
    <row r="736" customFormat="false" ht="18" hidden="false" customHeight="false" outlineLevel="0" collapsed="false">
      <c r="C736" s="307"/>
      <c r="D736" s="307"/>
      <c r="E736" s="307"/>
      <c r="F736" s="307"/>
    </row>
    <row r="737" customFormat="false" ht="18" hidden="false" customHeight="false" outlineLevel="0" collapsed="false">
      <c r="C737" s="307"/>
      <c r="D737" s="307"/>
      <c r="E737" s="307"/>
      <c r="F737" s="307"/>
    </row>
    <row r="738" customFormat="false" ht="18" hidden="false" customHeight="false" outlineLevel="0" collapsed="false">
      <c r="C738" s="307"/>
      <c r="D738" s="307"/>
      <c r="E738" s="307"/>
      <c r="F738" s="307"/>
    </row>
    <row r="739" customFormat="false" ht="18" hidden="false" customHeight="false" outlineLevel="0" collapsed="false">
      <c r="C739" s="307"/>
      <c r="D739" s="307"/>
      <c r="E739" s="307"/>
      <c r="F739" s="307"/>
    </row>
    <row r="740" customFormat="false" ht="18" hidden="false" customHeight="false" outlineLevel="0" collapsed="false">
      <c r="C740" s="307"/>
      <c r="D740" s="307"/>
      <c r="E740" s="307"/>
      <c r="F740" s="307"/>
    </row>
    <row r="741" customFormat="false" ht="18" hidden="false" customHeight="false" outlineLevel="0" collapsed="false">
      <c r="C741" s="307"/>
      <c r="D741" s="307"/>
      <c r="E741" s="307"/>
      <c r="F741" s="307"/>
    </row>
    <row r="742" customFormat="false" ht="18" hidden="false" customHeight="false" outlineLevel="0" collapsed="false">
      <c r="C742" s="307"/>
      <c r="D742" s="307"/>
      <c r="E742" s="307"/>
      <c r="F742" s="307"/>
    </row>
    <row r="743" customFormat="false" ht="18" hidden="false" customHeight="false" outlineLevel="0" collapsed="false">
      <c r="C743" s="307"/>
      <c r="D743" s="307"/>
      <c r="E743" s="307"/>
      <c r="F743" s="307"/>
    </row>
    <row r="744" customFormat="false" ht="18" hidden="false" customHeight="false" outlineLevel="0" collapsed="false">
      <c r="C744" s="307"/>
      <c r="D744" s="307"/>
      <c r="E744" s="307"/>
      <c r="F744" s="307"/>
    </row>
    <row r="745" customFormat="false" ht="18" hidden="false" customHeight="false" outlineLevel="0" collapsed="false">
      <c r="C745" s="307"/>
      <c r="D745" s="307"/>
      <c r="E745" s="307"/>
      <c r="F745" s="307"/>
    </row>
    <row r="746" customFormat="false" ht="18" hidden="false" customHeight="false" outlineLevel="0" collapsed="false">
      <c r="C746" s="307"/>
      <c r="D746" s="307"/>
      <c r="E746" s="307"/>
      <c r="F746" s="307"/>
    </row>
    <row r="747" customFormat="false" ht="18" hidden="false" customHeight="false" outlineLevel="0" collapsed="false">
      <c r="C747" s="307"/>
      <c r="D747" s="307"/>
      <c r="E747" s="307"/>
      <c r="F747" s="307"/>
    </row>
    <row r="748" customFormat="false" ht="18" hidden="false" customHeight="false" outlineLevel="0" collapsed="false">
      <c r="C748" s="307"/>
      <c r="D748" s="307"/>
      <c r="E748" s="307"/>
      <c r="F748" s="307"/>
    </row>
    <row r="749" customFormat="false" ht="18" hidden="false" customHeight="false" outlineLevel="0" collapsed="false">
      <c r="C749" s="307"/>
      <c r="D749" s="307"/>
      <c r="E749" s="307"/>
      <c r="F749" s="307"/>
    </row>
    <row r="750" customFormat="false" ht="18" hidden="false" customHeight="false" outlineLevel="0" collapsed="false">
      <c r="C750" s="307"/>
      <c r="D750" s="307"/>
      <c r="E750" s="307"/>
      <c r="F750" s="307"/>
    </row>
    <row r="751" customFormat="false" ht="18" hidden="false" customHeight="false" outlineLevel="0" collapsed="false">
      <c r="C751" s="307"/>
      <c r="D751" s="307"/>
      <c r="E751" s="307"/>
      <c r="F751" s="307"/>
    </row>
    <row r="752" customFormat="false" ht="18" hidden="false" customHeight="false" outlineLevel="0" collapsed="false">
      <c r="C752" s="307"/>
      <c r="D752" s="307"/>
      <c r="E752" s="307"/>
      <c r="F752" s="307"/>
    </row>
    <row r="753" customFormat="false" ht="18" hidden="false" customHeight="false" outlineLevel="0" collapsed="false">
      <c r="C753" s="307"/>
      <c r="D753" s="307"/>
      <c r="E753" s="307"/>
      <c r="F753" s="307"/>
    </row>
    <row r="754" customFormat="false" ht="18" hidden="false" customHeight="false" outlineLevel="0" collapsed="false">
      <c r="C754" s="307"/>
      <c r="D754" s="307"/>
      <c r="E754" s="307"/>
      <c r="F754" s="307"/>
    </row>
    <row r="755" customFormat="false" ht="18" hidden="false" customHeight="false" outlineLevel="0" collapsed="false">
      <c r="C755" s="307"/>
      <c r="D755" s="307"/>
      <c r="E755" s="307"/>
      <c r="F755" s="307"/>
    </row>
    <row r="756" customFormat="false" ht="18" hidden="false" customHeight="false" outlineLevel="0" collapsed="false">
      <c r="C756" s="307"/>
      <c r="D756" s="307"/>
      <c r="E756" s="307"/>
      <c r="F756" s="307"/>
    </row>
    <row r="757" customFormat="false" ht="18" hidden="false" customHeight="false" outlineLevel="0" collapsed="false">
      <c r="C757" s="307"/>
      <c r="D757" s="307"/>
      <c r="E757" s="307"/>
      <c r="F757" s="307"/>
    </row>
    <row r="758" customFormat="false" ht="18" hidden="false" customHeight="false" outlineLevel="0" collapsed="false">
      <c r="C758" s="307"/>
      <c r="D758" s="307"/>
      <c r="E758" s="307"/>
      <c r="F758" s="307"/>
    </row>
    <row r="759" customFormat="false" ht="18" hidden="false" customHeight="false" outlineLevel="0" collapsed="false">
      <c r="C759" s="307"/>
      <c r="D759" s="307"/>
      <c r="E759" s="307"/>
      <c r="F759" s="307"/>
    </row>
    <row r="760" customFormat="false" ht="18" hidden="false" customHeight="false" outlineLevel="0" collapsed="false">
      <c r="C760" s="307"/>
      <c r="D760" s="307"/>
      <c r="E760" s="307"/>
      <c r="F760" s="307"/>
    </row>
    <row r="761" customFormat="false" ht="18" hidden="false" customHeight="false" outlineLevel="0" collapsed="false">
      <c r="C761" s="307"/>
      <c r="D761" s="307"/>
      <c r="E761" s="307"/>
      <c r="F761" s="307"/>
    </row>
    <row r="762" customFormat="false" ht="18" hidden="false" customHeight="false" outlineLevel="0" collapsed="false">
      <c r="C762" s="307"/>
      <c r="D762" s="307"/>
      <c r="E762" s="307"/>
      <c r="F762" s="307"/>
    </row>
    <row r="763" customFormat="false" ht="18" hidden="false" customHeight="false" outlineLevel="0" collapsed="false">
      <c r="C763" s="307"/>
      <c r="D763" s="307"/>
      <c r="E763" s="307"/>
      <c r="F763" s="307"/>
    </row>
    <row r="764" customFormat="false" ht="18" hidden="false" customHeight="false" outlineLevel="0" collapsed="false">
      <c r="C764" s="307"/>
      <c r="D764" s="307"/>
      <c r="E764" s="307"/>
      <c r="F764" s="307"/>
    </row>
    <row r="765" customFormat="false" ht="18" hidden="false" customHeight="false" outlineLevel="0" collapsed="false">
      <c r="C765" s="307"/>
      <c r="D765" s="307"/>
      <c r="E765" s="307"/>
      <c r="F765" s="307"/>
    </row>
    <row r="766" customFormat="false" ht="18" hidden="false" customHeight="false" outlineLevel="0" collapsed="false">
      <c r="C766" s="307"/>
      <c r="D766" s="307"/>
      <c r="E766" s="307"/>
      <c r="F766" s="307"/>
    </row>
    <row r="767" customFormat="false" ht="18" hidden="false" customHeight="false" outlineLevel="0" collapsed="false">
      <c r="C767" s="307"/>
      <c r="D767" s="307"/>
      <c r="E767" s="307"/>
      <c r="F767" s="307"/>
    </row>
    <row r="768" customFormat="false" ht="18" hidden="false" customHeight="false" outlineLevel="0" collapsed="false">
      <c r="C768" s="307"/>
      <c r="D768" s="307"/>
      <c r="E768" s="307"/>
      <c r="F768" s="307"/>
    </row>
    <row r="769" customFormat="false" ht="18" hidden="false" customHeight="false" outlineLevel="0" collapsed="false">
      <c r="C769" s="307"/>
      <c r="D769" s="307"/>
      <c r="E769" s="307"/>
      <c r="F769" s="307"/>
    </row>
    <row r="770" customFormat="false" ht="18" hidden="false" customHeight="false" outlineLevel="0" collapsed="false">
      <c r="C770" s="307"/>
      <c r="D770" s="307"/>
      <c r="E770" s="307"/>
      <c r="F770" s="307"/>
    </row>
    <row r="771" customFormat="false" ht="18" hidden="false" customHeight="false" outlineLevel="0" collapsed="false">
      <c r="C771" s="307"/>
      <c r="D771" s="307"/>
      <c r="E771" s="307"/>
      <c r="F771" s="307"/>
    </row>
    <row r="772" customFormat="false" ht="18" hidden="false" customHeight="false" outlineLevel="0" collapsed="false">
      <c r="C772" s="307"/>
      <c r="D772" s="307"/>
      <c r="E772" s="307"/>
      <c r="F772" s="307"/>
    </row>
    <row r="773" customFormat="false" ht="18" hidden="false" customHeight="false" outlineLevel="0" collapsed="false">
      <c r="C773" s="307"/>
      <c r="D773" s="307"/>
      <c r="E773" s="307"/>
      <c r="F773" s="307"/>
    </row>
    <row r="774" customFormat="false" ht="18" hidden="false" customHeight="false" outlineLevel="0" collapsed="false">
      <c r="C774" s="307"/>
      <c r="D774" s="307"/>
      <c r="E774" s="307"/>
      <c r="F774" s="307"/>
    </row>
    <row r="775" customFormat="false" ht="18" hidden="false" customHeight="false" outlineLevel="0" collapsed="false">
      <c r="C775" s="307"/>
      <c r="D775" s="307"/>
      <c r="E775" s="307"/>
      <c r="F775" s="307"/>
    </row>
    <row r="776" customFormat="false" ht="18" hidden="false" customHeight="false" outlineLevel="0" collapsed="false">
      <c r="C776" s="307"/>
      <c r="D776" s="307"/>
      <c r="E776" s="307"/>
      <c r="F776" s="307"/>
    </row>
    <row r="777" customFormat="false" ht="18" hidden="false" customHeight="false" outlineLevel="0" collapsed="false">
      <c r="C777" s="307"/>
      <c r="D777" s="307"/>
      <c r="E777" s="307"/>
      <c r="F777" s="307"/>
    </row>
    <row r="778" customFormat="false" ht="18" hidden="false" customHeight="false" outlineLevel="0" collapsed="false">
      <c r="C778" s="307"/>
      <c r="D778" s="307"/>
      <c r="E778" s="307"/>
      <c r="F778" s="307"/>
    </row>
    <row r="779" customFormat="false" ht="18" hidden="false" customHeight="false" outlineLevel="0" collapsed="false">
      <c r="C779" s="307"/>
      <c r="D779" s="307"/>
      <c r="E779" s="307"/>
      <c r="F779" s="307"/>
    </row>
    <row r="780" customFormat="false" ht="18" hidden="false" customHeight="false" outlineLevel="0" collapsed="false">
      <c r="C780" s="307"/>
      <c r="D780" s="307"/>
      <c r="E780" s="307"/>
      <c r="F780" s="307"/>
    </row>
    <row r="781" customFormat="false" ht="18" hidden="false" customHeight="false" outlineLevel="0" collapsed="false">
      <c r="C781" s="307"/>
      <c r="D781" s="307"/>
      <c r="E781" s="307"/>
      <c r="F781" s="307"/>
    </row>
    <row r="782" customFormat="false" ht="18" hidden="false" customHeight="false" outlineLevel="0" collapsed="false">
      <c r="C782" s="307"/>
      <c r="D782" s="307"/>
      <c r="E782" s="307"/>
      <c r="F782" s="307"/>
    </row>
    <row r="783" customFormat="false" ht="18" hidden="false" customHeight="false" outlineLevel="0" collapsed="false">
      <c r="C783" s="307"/>
      <c r="D783" s="307"/>
      <c r="E783" s="307"/>
      <c r="F783" s="307"/>
    </row>
    <row r="784" customFormat="false" ht="18" hidden="false" customHeight="false" outlineLevel="0" collapsed="false">
      <c r="C784" s="307"/>
      <c r="D784" s="307"/>
      <c r="E784" s="307"/>
      <c r="F784" s="307"/>
    </row>
    <row r="785" customFormat="false" ht="18" hidden="false" customHeight="false" outlineLevel="0" collapsed="false">
      <c r="C785" s="307"/>
      <c r="D785" s="307"/>
      <c r="E785" s="307"/>
      <c r="F785" s="307"/>
    </row>
    <row r="786" customFormat="false" ht="18" hidden="false" customHeight="false" outlineLevel="0" collapsed="false">
      <c r="C786" s="307"/>
      <c r="D786" s="307"/>
      <c r="E786" s="307"/>
      <c r="F786" s="307"/>
    </row>
    <row r="787" customFormat="false" ht="18" hidden="false" customHeight="false" outlineLevel="0" collapsed="false">
      <c r="C787" s="307"/>
      <c r="D787" s="307"/>
      <c r="E787" s="307"/>
      <c r="F787" s="307"/>
    </row>
    <row r="788" customFormat="false" ht="18" hidden="false" customHeight="false" outlineLevel="0" collapsed="false">
      <c r="C788" s="307"/>
      <c r="D788" s="307"/>
      <c r="E788" s="307"/>
      <c r="F788" s="307"/>
    </row>
    <row r="789" customFormat="false" ht="18" hidden="false" customHeight="false" outlineLevel="0" collapsed="false">
      <c r="C789" s="307"/>
      <c r="D789" s="307"/>
      <c r="E789" s="307"/>
      <c r="F789" s="307"/>
    </row>
    <row r="790" customFormat="false" ht="18" hidden="false" customHeight="false" outlineLevel="0" collapsed="false">
      <c r="C790" s="307"/>
      <c r="D790" s="307"/>
      <c r="E790" s="307"/>
      <c r="F790" s="307"/>
    </row>
    <row r="791" customFormat="false" ht="18" hidden="false" customHeight="false" outlineLevel="0" collapsed="false">
      <c r="C791" s="307"/>
      <c r="D791" s="307"/>
      <c r="E791" s="307"/>
      <c r="F791" s="307"/>
    </row>
    <row r="792" customFormat="false" ht="18" hidden="false" customHeight="false" outlineLevel="0" collapsed="false">
      <c r="C792" s="307"/>
      <c r="D792" s="307"/>
      <c r="E792" s="307"/>
      <c r="F792" s="307"/>
    </row>
    <row r="793" customFormat="false" ht="18" hidden="false" customHeight="false" outlineLevel="0" collapsed="false">
      <c r="C793" s="307"/>
      <c r="D793" s="307"/>
      <c r="E793" s="307"/>
      <c r="F793" s="307"/>
    </row>
    <row r="794" customFormat="false" ht="18" hidden="false" customHeight="false" outlineLevel="0" collapsed="false">
      <c r="C794" s="307"/>
      <c r="D794" s="307"/>
      <c r="E794" s="307"/>
      <c r="F794" s="307"/>
    </row>
    <row r="795" customFormat="false" ht="18" hidden="false" customHeight="false" outlineLevel="0" collapsed="false">
      <c r="C795" s="307"/>
      <c r="D795" s="307"/>
      <c r="E795" s="307"/>
      <c r="F795" s="307"/>
    </row>
    <row r="796" customFormat="false" ht="18" hidden="false" customHeight="false" outlineLevel="0" collapsed="false">
      <c r="C796" s="307"/>
      <c r="D796" s="307"/>
      <c r="E796" s="307"/>
      <c r="F796" s="307"/>
    </row>
    <row r="797" customFormat="false" ht="18" hidden="false" customHeight="false" outlineLevel="0" collapsed="false">
      <c r="C797" s="307"/>
      <c r="D797" s="307"/>
      <c r="E797" s="307"/>
      <c r="F797" s="307"/>
    </row>
    <row r="798" customFormat="false" ht="18" hidden="false" customHeight="false" outlineLevel="0" collapsed="false">
      <c r="C798" s="307"/>
      <c r="D798" s="307"/>
      <c r="E798" s="307"/>
      <c r="F798" s="307"/>
    </row>
    <row r="799" customFormat="false" ht="18" hidden="false" customHeight="false" outlineLevel="0" collapsed="false">
      <c r="C799" s="307"/>
      <c r="D799" s="307"/>
      <c r="E799" s="307"/>
      <c r="F799" s="307"/>
    </row>
    <row r="800" customFormat="false" ht="18" hidden="false" customHeight="false" outlineLevel="0" collapsed="false">
      <c r="C800" s="307"/>
      <c r="D800" s="307"/>
      <c r="E800" s="307"/>
      <c r="F800" s="307"/>
    </row>
    <row r="801" customFormat="false" ht="18" hidden="false" customHeight="false" outlineLevel="0" collapsed="false">
      <c r="C801" s="307"/>
      <c r="D801" s="307"/>
      <c r="E801" s="307"/>
      <c r="F801" s="307"/>
    </row>
    <row r="802" customFormat="false" ht="18" hidden="false" customHeight="false" outlineLevel="0" collapsed="false">
      <c r="C802" s="307"/>
      <c r="D802" s="307"/>
      <c r="E802" s="307"/>
      <c r="F802" s="307"/>
    </row>
    <row r="803" customFormat="false" ht="18" hidden="false" customHeight="false" outlineLevel="0" collapsed="false">
      <c r="C803" s="307"/>
      <c r="D803" s="307"/>
      <c r="E803" s="307"/>
      <c r="F803" s="307"/>
    </row>
    <row r="804" customFormat="false" ht="18" hidden="false" customHeight="false" outlineLevel="0" collapsed="false">
      <c r="C804" s="307"/>
      <c r="D804" s="307"/>
      <c r="E804" s="307"/>
      <c r="F804" s="307"/>
    </row>
    <row r="805" customFormat="false" ht="18" hidden="false" customHeight="false" outlineLevel="0" collapsed="false">
      <c r="C805" s="307"/>
      <c r="D805" s="307"/>
      <c r="E805" s="307"/>
      <c r="F805" s="307"/>
    </row>
    <row r="806" customFormat="false" ht="18" hidden="false" customHeight="false" outlineLevel="0" collapsed="false">
      <c r="C806" s="307"/>
      <c r="D806" s="307"/>
      <c r="E806" s="307"/>
      <c r="F806" s="307"/>
    </row>
    <row r="807" customFormat="false" ht="18" hidden="false" customHeight="false" outlineLevel="0" collapsed="false">
      <c r="C807" s="307"/>
      <c r="D807" s="307"/>
      <c r="E807" s="307"/>
      <c r="F807" s="307"/>
    </row>
    <row r="808" customFormat="false" ht="18" hidden="false" customHeight="false" outlineLevel="0" collapsed="false">
      <c r="C808" s="307"/>
      <c r="D808" s="307"/>
      <c r="E808" s="307"/>
      <c r="F808" s="307"/>
    </row>
    <row r="809" customFormat="false" ht="18" hidden="false" customHeight="false" outlineLevel="0" collapsed="false">
      <c r="C809" s="307"/>
      <c r="D809" s="307"/>
      <c r="E809" s="307"/>
      <c r="F809" s="307"/>
    </row>
    <row r="810" customFormat="false" ht="18" hidden="false" customHeight="false" outlineLevel="0" collapsed="false">
      <c r="C810" s="307"/>
      <c r="D810" s="307"/>
      <c r="E810" s="307"/>
      <c r="F810" s="307"/>
    </row>
    <row r="811" customFormat="false" ht="18" hidden="false" customHeight="false" outlineLevel="0" collapsed="false">
      <c r="C811" s="307"/>
      <c r="D811" s="307"/>
      <c r="E811" s="307"/>
      <c r="F811" s="307"/>
    </row>
    <row r="812" customFormat="false" ht="18" hidden="false" customHeight="false" outlineLevel="0" collapsed="false">
      <c r="C812" s="307"/>
      <c r="D812" s="307"/>
      <c r="E812" s="307"/>
      <c r="F812" s="307"/>
    </row>
    <row r="813" customFormat="false" ht="18" hidden="false" customHeight="false" outlineLevel="0" collapsed="false">
      <c r="C813" s="307"/>
      <c r="D813" s="307"/>
      <c r="E813" s="307"/>
      <c r="F813" s="307"/>
    </row>
    <row r="814" customFormat="false" ht="18" hidden="false" customHeight="false" outlineLevel="0" collapsed="false">
      <c r="C814" s="307"/>
      <c r="D814" s="307"/>
      <c r="E814" s="307"/>
      <c r="F814" s="307"/>
    </row>
    <row r="815" customFormat="false" ht="18" hidden="false" customHeight="false" outlineLevel="0" collapsed="false">
      <c r="C815" s="307"/>
      <c r="D815" s="307"/>
      <c r="E815" s="307"/>
      <c r="F815" s="307"/>
    </row>
    <row r="816" customFormat="false" ht="18" hidden="false" customHeight="false" outlineLevel="0" collapsed="false">
      <c r="C816" s="307"/>
      <c r="D816" s="307"/>
      <c r="E816" s="307"/>
      <c r="F816" s="307"/>
    </row>
    <row r="817" customFormat="false" ht="18" hidden="false" customHeight="false" outlineLevel="0" collapsed="false">
      <c r="C817" s="307"/>
      <c r="D817" s="307"/>
      <c r="E817" s="307"/>
      <c r="F817" s="307"/>
    </row>
    <row r="818" customFormat="false" ht="18" hidden="false" customHeight="false" outlineLevel="0" collapsed="false">
      <c r="C818" s="307"/>
      <c r="D818" s="307"/>
      <c r="E818" s="307"/>
      <c r="F818" s="307"/>
    </row>
    <row r="819" customFormat="false" ht="18" hidden="false" customHeight="false" outlineLevel="0" collapsed="false">
      <c r="C819" s="307"/>
      <c r="D819" s="307"/>
      <c r="E819" s="307"/>
      <c r="F819" s="307"/>
    </row>
    <row r="820" customFormat="false" ht="18" hidden="false" customHeight="false" outlineLevel="0" collapsed="false">
      <c r="C820" s="307"/>
      <c r="D820" s="307"/>
      <c r="E820" s="307"/>
      <c r="F820" s="307"/>
    </row>
    <row r="821" customFormat="false" ht="18" hidden="false" customHeight="false" outlineLevel="0" collapsed="false">
      <c r="C821" s="307"/>
      <c r="D821" s="307"/>
      <c r="E821" s="307"/>
      <c r="F821" s="307"/>
    </row>
    <row r="822" customFormat="false" ht="18" hidden="false" customHeight="false" outlineLevel="0" collapsed="false">
      <c r="C822" s="307"/>
      <c r="D822" s="307"/>
      <c r="E822" s="307"/>
      <c r="F822" s="307"/>
    </row>
    <row r="823" customFormat="false" ht="18" hidden="false" customHeight="false" outlineLevel="0" collapsed="false">
      <c r="C823" s="307"/>
      <c r="D823" s="307"/>
      <c r="E823" s="307"/>
      <c r="F823" s="307"/>
    </row>
    <row r="824" customFormat="false" ht="18" hidden="false" customHeight="false" outlineLevel="0" collapsed="false">
      <c r="C824" s="307"/>
      <c r="D824" s="307"/>
      <c r="E824" s="307"/>
      <c r="F824" s="307"/>
    </row>
    <row r="825" customFormat="false" ht="18" hidden="false" customHeight="false" outlineLevel="0" collapsed="false">
      <c r="C825" s="307"/>
      <c r="D825" s="307"/>
      <c r="E825" s="307"/>
      <c r="F825" s="307"/>
    </row>
    <row r="826" customFormat="false" ht="18" hidden="false" customHeight="false" outlineLevel="0" collapsed="false">
      <c r="C826" s="307"/>
      <c r="D826" s="307"/>
      <c r="E826" s="307"/>
      <c r="F826" s="307"/>
    </row>
    <row r="827" customFormat="false" ht="18" hidden="false" customHeight="false" outlineLevel="0" collapsed="false">
      <c r="C827" s="307"/>
      <c r="D827" s="307"/>
      <c r="E827" s="307"/>
      <c r="F827" s="307"/>
    </row>
    <row r="828" customFormat="false" ht="18" hidden="false" customHeight="false" outlineLevel="0" collapsed="false">
      <c r="C828" s="307"/>
      <c r="D828" s="307"/>
      <c r="E828" s="307"/>
      <c r="F828" s="307"/>
    </row>
    <row r="829" customFormat="false" ht="18" hidden="false" customHeight="false" outlineLevel="0" collapsed="false">
      <c r="C829" s="307"/>
      <c r="D829" s="307"/>
      <c r="E829" s="307"/>
      <c r="F829" s="307"/>
    </row>
    <row r="830" customFormat="false" ht="18" hidden="false" customHeight="false" outlineLevel="0" collapsed="false">
      <c r="C830" s="307"/>
      <c r="D830" s="307"/>
      <c r="E830" s="307"/>
      <c r="F830" s="307"/>
    </row>
    <row r="831" customFormat="false" ht="18" hidden="false" customHeight="false" outlineLevel="0" collapsed="false">
      <c r="C831" s="307"/>
      <c r="D831" s="307"/>
      <c r="E831" s="307"/>
      <c r="F831" s="307"/>
    </row>
    <row r="832" customFormat="false" ht="18" hidden="false" customHeight="false" outlineLevel="0" collapsed="false">
      <c r="C832" s="307"/>
      <c r="D832" s="307"/>
      <c r="E832" s="307"/>
      <c r="F832" s="307"/>
    </row>
    <row r="833" customFormat="false" ht="18" hidden="false" customHeight="false" outlineLevel="0" collapsed="false">
      <c r="C833" s="307"/>
      <c r="D833" s="307"/>
      <c r="E833" s="307"/>
      <c r="F833" s="307"/>
    </row>
    <row r="834" customFormat="false" ht="18" hidden="false" customHeight="false" outlineLevel="0" collapsed="false">
      <c r="C834" s="307"/>
      <c r="D834" s="307"/>
      <c r="E834" s="307"/>
      <c r="F834" s="307"/>
    </row>
    <row r="835" customFormat="false" ht="18" hidden="false" customHeight="false" outlineLevel="0" collapsed="false">
      <c r="C835" s="307"/>
      <c r="D835" s="307"/>
      <c r="E835" s="307"/>
      <c r="F835" s="307"/>
    </row>
    <row r="836" customFormat="false" ht="18" hidden="false" customHeight="false" outlineLevel="0" collapsed="false">
      <c r="C836" s="307"/>
      <c r="D836" s="307"/>
      <c r="E836" s="307"/>
      <c r="F836" s="307"/>
    </row>
    <row r="837" customFormat="false" ht="18" hidden="false" customHeight="false" outlineLevel="0" collapsed="false">
      <c r="C837" s="307"/>
      <c r="D837" s="307"/>
      <c r="E837" s="307"/>
      <c r="F837" s="307"/>
    </row>
    <row r="838" customFormat="false" ht="18" hidden="false" customHeight="false" outlineLevel="0" collapsed="false">
      <c r="C838" s="307"/>
      <c r="D838" s="307"/>
      <c r="E838" s="307"/>
      <c r="F838" s="307"/>
    </row>
    <row r="839" customFormat="false" ht="18" hidden="false" customHeight="false" outlineLevel="0" collapsed="false">
      <c r="C839" s="307"/>
      <c r="D839" s="307"/>
      <c r="E839" s="307"/>
      <c r="F839" s="307"/>
    </row>
    <row r="840" customFormat="false" ht="18" hidden="false" customHeight="false" outlineLevel="0" collapsed="false">
      <c r="C840" s="307"/>
      <c r="D840" s="307"/>
      <c r="E840" s="307"/>
      <c r="F840" s="307"/>
    </row>
    <row r="841" customFormat="false" ht="18" hidden="false" customHeight="false" outlineLevel="0" collapsed="false">
      <c r="C841" s="307"/>
      <c r="D841" s="307"/>
      <c r="E841" s="307"/>
      <c r="F841" s="307"/>
    </row>
    <row r="842" customFormat="false" ht="18" hidden="false" customHeight="false" outlineLevel="0" collapsed="false">
      <c r="C842" s="307"/>
      <c r="D842" s="307"/>
      <c r="E842" s="307"/>
      <c r="F842" s="307"/>
    </row>
    <row r="843" customFormat="false" ht="18" hidden="false" customHeight="false" outlineLevel="0" collapsed="false">
      <c r="C843" s="307"/>
      <c r="D843" s="307"/>
      <c r="E843" s="307"/>
      <c r="F843" s="307"/>
    </row>
    <row r="844" customFormat="false" ht="18" hidden="false" customHeight="false" outlineLevel="0" collapsed="false">
      <c r="C844" s="307"/>
      <c r="D844" s="307"/>
      <c r="E844" s="307"/>
      <c r="F844" s="307"/>
    </row>
    <row r="845" customFormat="false" ht="18" hidden="false" customHeight="false" outlineLevel="0" collapsed="false">
      <c r="C845" s="307"/>
      <c r="D845" s="307"/>
      <c r="E845" s="307"/>
      <c r="F845" s="307"/>
    </row>
    <row r="846" customFormat="false" ht="18" hidden="false" customHeight="false" outlineLevel="0" collapsed="false">
      <c r="C846" s="307"/>
      <c r="D846" s="307"/>
      <c r="E846" s="307"/>
      <c r="F846" s="307"/>
    </row>
    <row r="847" customFormat="false" ht="18" hidden="false" customHeight="false" outlineLevel="0" collapsed="false">
      <c r="C847" s="307"/>
      <c r="D847" s="307"/>
      <c r="E847" s="307"/>
      <c r="F847" s="307"/>
    </row>
    <row r="848" customFormat="false" ht="18" hidden="false" customHeight="false" outlineLevel="0" collapsed="false">
      <c r="C848" s="307"/>
      <c r="D848" s="307"/>
      <c r="E848" s="307"/>
      <c r="F848" s="307"/>
    </row>
    <row r="849" customFormat="false" ht="18" hidden="false" customHeight="false" outlineLevel="0" collapsed="false">
      <c r="C849" s="307"/>
      <c r="D849" s="307"/>
      <c r="E849" s="307"/>
      <c r="F849" s="307"/>
    </row>
    <row r="850" customFormat="false" ht="18" hidden="false" customHeight="false" outlineLevel="0" collapsed="false">
      <c r="C850" s="307"/>
      <c r="D850" s="307"/>
      <c r="E850" s="307"/>
      <c r="F850" s="307"/>
    </row>
    <row r="851" customFormat="false" ht="18" hidden="false" customHeight="false" outlineLevel="0" collapsed="false">
      <c r="C851" s="307"/>
      <c r="D851" s="307"/>
      <c r="E851" s="307"/>
      <c r="F851" s="307"/>
    </row>
    <row r="852" customFormat="false" ht="18" hidden="false" customHeight="false" outlineLevel="0" collapsed="false">
      <c r="C852" s="307"/>
      <c r="D852" s="307"/>
      <c r="E852" s="307"/>
      <c r="F852" s="307"/>
    </row>
    <row r="853" customFormat="false" ht="18" hidden="false" customHeight="false" outlineLevel="0" collapsed="false">
      <c r="C853" s="307"/>
      <c r="D853" s="307"/>
      <c r="E853" s="307"/>
      <c r="F853" s="307"/>
    </row>
    <row r="854" customFormat="false" ht="18" hidden="false" customHeight="false" outlineLevel="0" collapsed="false">
      <c r="C854" s="307"/>
      <c r="D854" s="307"/>
      <c r="E854" s="307"/>
      <c r="F854" s="307"/>
    </row>
    <row r="855" customFormat="false" ht="18" hidden="false" customHeight="false" outlineLevel="0" collapsed="false">
      <c r="C855" s="307"/>
      <c r="D855" s="307"/>
      <c r="E855" s="307"/>
      <c r="F855" s="307"/>
    </row>
    <row r="856" customFormat="false" ht="18" hidden="false" customHeight="false" outlineLevel="0" collapsed="false">
      <c r="C856" s="307"/>
      <c r="D856" s="307"/>
      <c r="E856" s="307"/>
      <c r="F856" s="307"/>
    </row>
    <row r="857" customFormat="false" ht="18" hidden="false" customHeight="false" outlineLevel="0" collapsed="false">
      <c r="C857" s="307"/>
      <c r="D857" s="307"/>
      <c r="E857" s="307"/>
      <c r="F857" s="307"/>
    </row>
    <row r="858" customFormat="false" ht="18" hidden="false" customHeight="false" outlineLevel="0" collapsed="false">
      <c r="C858" s="307"/>
      <c r="D858" s="307"/>
      <c r="E858" s="307"/>
      <c r="F858" s="307"/>
    </row>
    <row r="859" customFormat="false" ht="18" hidden="false" customHeight="false" outlineLevel="0" collapsed="false">
      <c r="C859" s="307"/>
      <c r="D859" s="307"/>
      <c r="E859" s="307"/>
      <c r="F859" s="307"/>
    </row>
    <row r="860" customFormat="false" ht="18" hidden="false" customHeight="false" outlineLevel="0" collapsed="false">
      <c r="C860" s="307"/>
      <c r="D860" s="307"/>
      <c r="E860" s="307"/>
      <c r="F860" s="307"/>
    </row>
    <row r="861" customFormat="false" ht="18" hidden="false" customHeight="false" outlineLevel="0" collapsed="false">
      <c r="C861" s="307"/>
      <c r="D861" s="307"/>
      <c r="E861" s="307"/>
      <c r="F861" s="307"/>
    </row>
    <row r="862" customFormat="false" ht="18" hidden="false" customHeight="false" outlineLevel="0" collapsed="false">
      <c r="C862" s="307"/>
      <c r="D862" s="307"/>
      <c r="E862" s="307"/>
      <c r="F862" s="307"/>
    </row>
    <row r="863" customFormat="false" ht="18" hidden="false" customHeight="false" outlineLevel="0" collapsed="false">
      <c r="C863" s="307"/>
      <c r="D863" s="307"/>
      <c r="E863" s="307"/>
      <c r="F863" s="307"/>
    </row>
    <row r="864" customFormat="false" ht="18" hidden="false" customHeight="false" outlineLevel="0" collapsed="false">
      <c r="C864" s="307"/>
      <c r="D864" s="307"/>
      <c r="E864" s="307"/>
      <c r="F864" s="307"/>
    </row>
    <row r="865" customFormat="false" ht="18" hidden="false" customHeight="false" outlineLevel="0" collapsed="false">
      <c r="C865" s="307"/>
      <c r="D865" s="307"/>
      <c r="E865" s="307"/>
      <c r="F865" s="307"/>
    </row>
    <row r="866" customFormat="false" ht="18" hidden="false" customHeight="false" outlineLevel="0" collapsed="false">
      <c r="C866" s="307"/>
      <c r="D866" s="307"/>
      <c r="E866" s="307"/>
      <c r="F866" s="307"/>
    </row>
    <row r="867" customFormat="false" ht="18" hidden="false" customHeight="false" outlineLevel="0" collapsed="false">
      <c r="C867" s="307"/>
      <c r="D867" s="307"/>
      <c r="E867" s="307"/>
      <c r="F867" s="307"/>
    </row>
    <row r="868" customFormat="false" ht="18" hidden="false" customHeight="false" outlineLevel="0" collapsed="false">
      <c r="C868" s="307"/>
      <c r="D868" s="307"/>
      <c r="E868" s="307"/>
      <c r="F868" s="307"/>
    </row>
    <row r="869" customFormat="false" ht="18" hidden="false" customHeight="false" outlineLevel="0" collapsed="false">
      <c r="C869" s="307"/>
      <c r="D869" s="307"/>
      <c r="E869" s="307"/>
      <c r="F869" s="307"/>
    </row>
    <row r="870" customFormat="false" ht="18" hidden="false" customHeight="false" outlineLevel="0" collapsed="false">
      <c r="C870" s="307"/>
      <c r="D870" s="307"/>
      <c r="E870" s="307"/>
      <c r="F870" s="307"/>
    </row>
    <row r="871" customFormat="false" ht="18" hidden="false" customHeight="false" outlineLevel="0" collapsed="false">
      <c r="C871" s="307"/>
      <c r="D871" s="307"/>
      <c r="E871" s="307"/>
      <c r="F871" s="307"/>
    </row>
    <row r="872" customFormat="false" ht="18" hidden="false" customHeight="false" outlineLevel="0" collapsed="false">
      <c r="C872" s="307"/>
      <c r="D872" s="307"/>
      <c r="E872" s="307"/>
      <c r="F872" s="307"/>
    </row>
    <row r="873" customFormat="false" ht="18" hidden="false" customHeight="false" outlineLevel="0" collapsed="false">
      <c r="C873" s="307"/>
      <c r="D873" s="307"/>
      <c r="E873" s="307"/>
      <c r="F873" s="307"/>
    </row>
    <row r="874" customFormat="false" ht="18" hidden="false" customHeight="false" outlineLevel="0" collapsed="false">
      <c r="C874" s="307"/>
      <c r="D874" s="307"/>
      <c r="E874" s="307"/>
      <c r="F874" s="307"/>
    </row>
    <row r="875" customFormat="false" ht="18" hidden="false" customHeight="false" outlineLevel="0" collapsed="false">
      <c r="C875" s="307"/>
      <c r="D875" s="307"/>
      <c r="E875" s="307"/>
      <c r="F875" s="307"/>
    </row>
    <row r="876" customFormat="false" ht="18" hidden="false" customHeight="false" outlineLevel="0" collapsed="false">
      <c r="C876" s="307"/>
      <c r="D876" s="307"/>
      <c r="E876" s="307"/>
      <c r="F876" s="307"/>
    </row>
    <row r="877" customFormat="false" ht="18" hidden="false" customHeight="false" outlineLevel="0" collapsed="false">
      <c r="C877" s="307"/>
      <c r="D877" s="307"/>
      <c r="E877" s="307"/>
      <c r="F877" s="307"/>
    </row>
    <row r="878" customFormat="false" ht="18" hidden="false" customHeight="false" outlineLevel="0" collapsed="false">
      <c r="C878" s="307"/>
      <c r="D878" s="307"/>
      <c r="E878" s="307"/>
      <c r="F878" s="307"/>
    </row>
    <row r="879" customFormat="false" ht="18" hidden="false" customHeight="false" outlineLevel="0" collapsed="false">
      <c r="C879" s="307"/>
      <c r="D879" s="307"/>
      <c r="E879" s="307"/>
      <c r="F879" s="307"/>
    </row>
    <row r="880" customFormat="false" ht="18" hidden="false" customHeight="false" outlineLevel="0" collapsed="false">
      <c r="C880" s="307"/>
      <c r="D880" s="307"/>
      <c r="E880" s="307"/>
      <c r="F880" s="307"/>
    </row>
    <row r="881" customFormat="false" ht="18" hidden="false" customHeight="false" outlineLevel="0" collapsed="false">
      <c r="C881" s="307"/>
      <c r="D881" s="307"/>
      <c r="E881" s="307"/>
      <c r="F881" s="307"/>
    </row>
    <row r="882" customFormat="false" ht="18" hidden="false" customHeight="false" outlineLevel="0" collapsed="false">
      <c r="C882" s="307"/>
      <c r="D882" s="307"/>
      <c r="E882" s="307"/>
      <c r="F882" s="307"/>
    </row>
    <row r="883" customFormat="false" ht="18" hidden="false" customHeight="false" outlineLevel="0" collapsed="false">
      <c r="C883" s="307"/>
      <c r="D883" s="307"/>
      <c r="E883" s="307"/>
      <c r="F883" s="307"/>
    </row>
    <row r="884" customFormat="false" ht="18" hidden="false" customHeight="false" outlineLevel="0" collapsed="false">
      <c r="C884" s="307"/>
      <c r="D884" s="307"/>
      <c r="E884" s="307"/>
      <c r="F884" s="307"/>
    </row>
    <row r="885" customFormat="false" ht="18" hidden="false" customHeight="false" outlineLevel="0" collapsed="false">
      <c r="C885" s="307"/>
      <c r="D885" s="307"/>
      <c r="E885" s="307"/>
      <c r="F885" s="307"/>
    </row>
    <row r="886" customFormat="false" ht="18" hidden="false" customHeight="false" outlineLevel="0" collapsed="false">
      <c r="C886" s="307"/>
      <c r="D886" s="307"/>
      <c r="E886" s="307"/>
      <c r="F886" s="307"/>
    </row>
    <row r="887" customFormat="false" ht="18" hidden="false" customHeight="false" outlineLevel="0" collapsed="false">
      <c r="C887" s="307"/>
      <c r="D887" s="307"/>
      <c r="E887" s="307"/>
      <c r="F887" s="307"/>
    </row>
    <row r="888" customFormat="false" ht="18" hidden="false" customHeight="false" outlineLevel="0" collapsed="false">
      <c r="C888" s="307"/>
      <c r="D888" s="307"/>
      <c r="E888" s="307"/>
      <c r="F888" s="307"/>
    </row>
    <row r="889" customFormat="false" ht="18" hidden="false" customHeight="false" outlineLevel="0" collapsed="false">
      <c r="C889" s="307"/>
      <c r="D889" s="307"/>
      <c r="E889" s="307"/>
      <c r="F889" s="307"/>
    </row>
    <row r="890" customFormat="false" ht="18" hidden="false" customHeight="false" outlineLevel="0" collapsed="false">
      <c r="C890" s="307"/>
      <c r="D890" s="307"/>
      <c r="E890" s="307"/>
      <c r="F890" s="307"/>
    </row>
    <row r="891" customFormat="false" ht="18" hidden="false" customHeight="false" outlineLevel="0" collapsed="false">
      <c r="C891" s="307"/>
      <c r="D891" s="307"/>
      <c r="E891" s="307"/>
      <c r="F891" s="307"/>
    </row>
    <row r="892" customFormat="false" ht="18" hidden="false" customHeight="false" outlineLevel="0" collapsed="false">
      <c r="C892" s="307"/>
      <c r="D892" s="307"/>
      <c r="E892" s="307"/>
      <c r="F892" s="307"/>
    </row>
    <row r="893" customFormat="false" ht="18" hidden="false" customHeight="false" outlineLevel="0" collapsed="false">
      <c r="C893" s="307"/>
      <c r="D893" s="307"/>
      <c r="E893" s="307"/>
      <c r="F893" s="307"/>
    </row>
    <row r="894" customFormat="false" ht="18" hidden="false" customHeight="false" outlineLevel="0" collapsed="false">
      <c r="C894" s="307"/>
      <c r="D894" s="307"/>
      <c r="E894" s="307"/>
      <c r="F894" s="307"/>
    </row>
    <row r="895" customFormat="false" ht="18" hidden="false" customHeight="false" outlineLevel="0" collapsed="false">
      <c r="C895" s="307"/>
      <c r="D895" s="307"/>
      <c r="E895" s="307"/>
      <c r="F895" s="307"/>
    </row>
    <row r="896" customFormat="false" ht="18" hidden="false" customHeight="false" outlineLevel="0" collapsed="false">
      <c r="C896" s="307"/>
      <c r="D896" s="307"/>
      <c r="E896" s="307"/>
      <c r="F896" s="307"/>
    </row>
    <row r="897" customFormat="false" ht="18" hidden="false" customHeight="false" outlineLevel="0" collapsed="false">
      <c r="C897" s="307"/>
      <c r="D897" s="307"/>
      <c r="E897" s="307"/>
      <c r="F897" s="307"/>
    </row>
    <row r="898" customFormat="false" ht="18" hidden="false" customHeight="false" outlineLevel="0" collapsed="false">
      <c r="C898" s="307"/>
      <c r="D898" s="307"/>
      <c r="E898" s="307"/>
      <c r="F898" s="307"/>
    </row>
    <row r="899" customFormat="false" ht="18" hidden="false" customHeight="false" outlineLevel="0" collapsed="false">
      <c r="C899" s="307"/>
      <c r="D899" s="307"/>
      <c r="E899" s="307"/>
      <c r="F899" s="307"/>
    </row>
    <row r="900" customFormat="false" ht="18" hidden="false" customHeight="false" outlineLevel="0" collapsed="false">
      <c r="C900" s="307"/>
      <c r="D900" s="307"/>
      <c r="E900" s="307"/>
      <c r="F900" s="307"/>
    </row>
    <row r="901" customFormat="false" ht="18" hidden="false" customHeight="false" outlineLevel="0" collapsed="false">
      <c r="C901" s="307"/>
      <c r="D901" s="307"/>
      <c r="E901" s="307"/>
      <c r="F901" s="307"/>
    </row>
    <row r="902" customFormat="false" ht="18" hidden="false" customHeight="false" outlineLevel="0" collapsed="false">
      <c r="C902" s="307"/>
      <c r="D902" s="307"/>
      <c r="E902" s="307"/>
      <c r="F902" s="307"/>
    </row>
    <row r="903" customFormat="false" ht="18" hidden="false" customHeight="false" outlineLevel="0" collapsed="false">
      <c r="C903" s="307"/>
      <c r="D903" s="307"/>
      <c r="E903" s="307"/>
      <c r="F903" s="307"/>
    </row>
    <row r="904" customFormat="false" ht="18" hidden="false" customHeight="false" outlineLevel="0" collapsed="false">
      <c r="C904" s="307"/>
      <c r="D904" s="307"/>
      <c r="E904" s="307"/>
      <c r="F904" s="307"/>
    </row>
    <row r="905" customFormat="false" ht="18" hidden="false" customHeight="false" outlineLevel="0" collapsed="false">
      <c r="C905" s="307"/>
      <c r="D905" s="307"/>
      <c r="E905" s="307"/>
      <c r="F905" s="307"/>
    </row>
    <row r="906" customFormat="false" ht="18" hidden="false" customHeight="false" outlineLevel="0" collapsed="false">
      <c r="C906" s="307"/>
      <c r="D906" s="307"/>
      <c r="E906" s="307"/>
      <c r="F906" s="307"/>
    </row>
    <row r="907" customFormat="false" ht="18" hidden="false" customHeight="false" outlineLevel="0" collapsed="false">
      <c r="C907" s="307"/>
      <c r="D907" s="307"/>
      <c r="E907" s="307"/>
      <c r="F907" s="307"/>
    </row>
    <row r="908" customFormat="false" ht="18" hidden="false" customHeight="false" outlineLevel="0" collapsed="false">
      <c r="C908" s="307"/>
      <c r="D908" s="307"/>
      <c r="E908" s="307"/>
      <c r="F908" s="307"/>
    </row>
    <row r="909" customFormat="false" ht="18" hidden="false" customHeight="false" outlineLevel="0" collapsed="false">
      <c r="C909" s="307"/>
      <c r="D909" s="307"/>
      <c r="E909" s="307"/>
      <c r="F909" s="307"/>
    </row>
    <row r="910" customFormat="false" ht="18" hidden="false" customHeight="false" outlineLevel="0" collapsed="false">
      <c r="C910" s="307"/>
      <c r="D910" s="307"/>
      <c r="E910" s="307"/>
      <c r="F910" s="307"/>
    </row>
    <row r="911" customFormat="false" ht="18" hidden="false" customHeight="false" outlineLevel="0" collapsed="false">
      <c r="C911" s="307"/>
      <c r="D911" s="307"/>
      <c r="E911" s="307"/>
      <c r="F911" s="307"/>
    </row>
    <row r="912" customFormat="false" ht="18" hidden="false" customHeight="false" outlineLevel="0" collapsed="false">
      <c r="C912" s="307"/>
      <c r="D912" s="307"/>
      <c r="E912" s="307"/>
      <c r="F912" s="307"/>
    </row>
    <row r="913" customFormat="false" ht="18" hidden="false" customHeight="false" outlineLevel="0" collapsed="false">
      <c r="C913" s="307"/>
      <c r="D913" s="307"/>
      <c r="E913" s="307"/>
      <c r="F913" s="307"/>
    </row>
    <row r="914" customFormat="false" ht="18" hidden="false" customHeight="false" outlineLevel="0" collapsed="false">
      <c r="C914" s="307"/>
      <c r="D914" s="307"/>
      <c r="E914" s="307"/>
      <c r="F914" s="307"/>
    </row>
    <row r="915" customFormat="false" ht="18" hidden="false" customHeight="false" outlineLevel="0" collapsed="false">
      <c r="C915" s="307"/>
      <c r="D915" s="307"/>
      <c r="E915" s="307"/>
      <c r="F915" s="307"/>
    </row>
    <row r="916" customFormat="false" ht="18" hidden="false" customHeight="false" outlineLevel="0" collapsed="false">
      <c r="C916" s="307"/>
      <c r="D916" s="307"/>
      <c r="E916" s="307"/>
      <c r="F916" s="307"/>
    </row>
    <row r="917" customFormat="false" ht="18" hidden="false" customHeight="false" outlineLevel="0" collapsed="false">
      <c r="C917" s="307"/>
      <c r="D917" s="307"/>
      <c r="E917" s="307"/>
      <c r="F917" s="307"/>
    </row>
    <row r="918" customFormat="false" ht="18" hidden="false" customHeight="false" outlineLevel="0" collapsed="false">
      <c r="C918" s="307"/>
      <c r="D918" s="307"/>
      <c r="E918" s="307"/>
      <c r="F918" s="307"/>
    </row>
    <row r="919" customFormat="false" ht="18" hidden="false" customHeight="false" outlineLevel="0" collapsed="false">
      <c r="C919" s="307"/>
      <c r="D919" s="307"/>
      <c r="E919" s="307"/>
      <c r="F919" s="307"/>
    </row>
    <row r="920" customFormat="false" ht="18" hidden="false" customHeight="false" outlineLevel="0" collapsed="false">
      <c r="C920" s="307"/>
      <c r="D920" s="307"/>
      <c r="E920" s="307"/>
      <c r="F920" s="307"/>
    </row>
    <row r="921" customFormat="false" ht="18" hidden="false" customHeight="false" outlineLevel="0" collapsed="false">
      <c r="C921" s="307"/>
      <c r="D921" s="307"/>
      <c r="E921" s="307"/>
      <c r="F921" s="307"/>
    </row>
    <row r="922" customFormat="false" ht="18" hidden="false" customHeight="false" outlineLevel="0" collapsed="false">
      <c r="C922" s="307"/>
      <c r="D922" s="307"/>
      <c r="E922" s="307"/>
      <c r="F922" s="307"/>
    </row>
    <row r="923" customFormat="false" ht="18" hidden="false" customHeight="false" outlineLevel="0" collapsed="false">
      <c r="C923" s="307"/>
      <c r="D923" s="307"/>
      <c r="E923" s="307"/>
      <c r="F923" s="307"/>
    </row>
    <row r="924" customFormat="false" ht="18" hidden="false" customHeight="false" outlineLevel="0" collapsed="false">
      <c r="C924" s="307"/>
      <c r="D924" s="307"/>
      <c r="E924" s="307"/>
      <c r="F924" s="307"/>
    </row>
    <row r="925" customFormat="false" ht="18" hidden="false" customHeight="false" outlineLevel="0" collapsed="false">
      <c r="C925" s="307"/>
      <c r="D925" s="307"/>
      <c r="E925" s="307"/>
      <c r="F925" s="307"/>
    </row>
    <row r="926" customFormat="false" ht="18" hidden="false" customHeight="false" outlineLevel="0" collapsed="false">
      <c r="C926" s="307"/>
      <c r="D926" s="307"/>
      <c r="E926" s="307"/>
      <c r="F926" s="307"/>
    </row>
    <row r="927" customFormat="false" ht="18" hidden="false" customHeight="false" outlineLevel="0" collapsed="false">
      <c r="C927" s="307"/>
      <c r="D927" s="307"/>
      <c r="E927" s="307"/>
      <c r="F927" s="307"/>
    </row>
    <row r="928" customFormat="false" ht="18" hidden="false" customHeight="false" outlineLevel="0" collapsed="false">
      <c r="C928" s="307"/>
      <c r="D928" s="307"/>
      <c r="E928" s="307"/>
      <c r="F928" s="307"/>
    </row>
    <row r="929" customFormat="false" ht="18" hidden="false" customHeight="false" outlineLevel="0" collapsed="false">
      <c r="C929" s="307"/>
      <c r="D929" s="307"/>
      <c r="E929" s="307"/>
      <c r="F929" s="307"/>
    </row>
    <row r="930" customFormat="false" ht="18" hidden="false" customHeight="false" outlineLevel="0" collapsed="false">
      <c r="C930" s="307"/>
      <c r="D930" s="307"/>
      <c r="E930" s="307"/>
      <c r="F930" s="307"/>
    </row>
    <row r="931" customFormat="false" ht="18" hidden="false" customHeight="false" outlineLevel="0" collapsed="false">
      <c r="C931" s="307"/>
      <c r="D931" s="307"/>
      <c r="E931" s="307"/>
      <c r="F931" s="307"/>
    </row>
    <row r="932" customFormat="false" ht="18" hidden="false" customHeight="false" outlineLevel="0" collapsed="false">
      <c r="C932" s="307"/>
      <c r="D932" s="307"/>
      <c r="E932" s="307"/>
      <c r="F932" s="307"/>
    </row>
    <row r="933" customFormat="false" ht="18" hidden="false" customHeight="false" outlineLevel="0" collapsed="false">
      <c r="C933" s="307"/>
      <c r="D933" s="307"/>
      <c r="E933" s="307"/>
      <c r="F933" s="307"/>
    </row>
    <row r="934" customFormat="false" ht="18" hidden="false" customHeight="false" outlineLevel="0" collapsed="false">
      <c r="C934" s="307"/>
      <c r="D934" s="307"/>
      <c r="E934" s="307"/>
      <c r="F934" s="307"/>
    </row>
    <row r="935" customFormat="false" ht="18" hidden="false" customHeight="false" outlineLevel="0" collapsed="false">
      <c r="C935" s="307"/>
      <c r="D935" s="307"/>
      <c r="E935" s="307"/>
      <c r="F935" s="307"/>
    </row>
    <row r="936" customFormat="false" ht="18" hidden="false" customHeight="false" outlineLevel="0" collapsed="false">
      <c r="C936" s="307"/>
      <c r="D936" s="307"/>
      <c r="E936" s="307"/>
      <c r="F936" s="307"/>
    </row>
    <row r="937" customFormat="false" ht="18" hidden="false" customHeight="false" outlineLevel="0" collapsed="false">
      <c r="C937" s="307"/>
      <c r="D937" s="307"/>
      <c r="E937" s="307"/>
      <c r="F937" s="307"/>
    </row>
    <row r="938" customFormat="false" ht="18" hidden="false" customHeight="false" outlineLevel="0" collapsed="false">
      <c r="C938" s="307"/>
      <c r="D938" s="307"/>
      <c r="E938" s="307"/>
      <c r="F938" s="307"/>
    </row>
    <row r="939" customFormat="false" ht="18" hidden="false" customHeight="false" outlineLevel="0" collapsed="false">
      <c r="C939" s="307"/>
      <c r="D939" s="307"/>
      <c r="E939" s="307"/>
      <c r="F939" s="307"/>
    </row>
    <row r="940" customFormat="false" ht="18" hidden="false" customHeight="false" outlineLevel="0" collapsed="false">
      <c r="C940" s="307"/>
      <c r="D940" s="307"/>
      <c r="E940" s="307"/>
      <c r="F940" s="307"/>
    </row>
    <row r="941" customFormat="false" ht="18" hidden="false" customHeight="false" outlineLevel="0" collapsed="false">
      <c r="C941" s="307"/>
      <c r="D941" s="307"/>
      <c r="E941" s="307"/>
      <c r="F941" s="307"/>
    </row>
    <row r="942" customFormat="false" ht="18" hidden="false" customHeight="false" outlineLevel="0" collapsed="false">
      <c r="C942" s="307"/>
      <c r="D942" s="307"/>
      <c r="E942" s="307"/>
      <c r="F942" s="307"/>
    </row>
    <row r="943" customFormat="false" ht="18" hidden="false" customHeight="false" outlineLevel="0" collapsed="false">
      <c r="C943" s="307"/>
      <c r="D943" s="307"/>
      <c r="E943" s="307"/>
      <c r="F943" s="307"/>
    </row>
    <row r="944" customFormat="false" ht="18" hidden="false" customHeight="false" outlineLevel="0" collapsed="false">
      <c r="C944" s="307"/>
      <c r="D944" s="307"/>
      <c r="E944" s="307"/>
      <c r="F944" s="307"/>
    </row>
    <row r="945" customFormat="false" ht="18" hidden="false" customHeight="false" outlineLevel="0" collapsed="false">
      <c r="C945" s="307"/>
      <c r="D945" s="307"/>
      <c r="E945" s="307"/>
      <c r="F945" s="307"/>
    </row>
    <row r="946" customFormat="false" ht="18" hidden="false" customHeight="false" outlineLevel="0" collapsed="false">
      <c r="C946" s="307"/>
      <c r="D946" s="307"/>
      <c r="E946" s="307"/>
      <c r="F946" s="307"/>
    </row>
    <row r="947" customFormat="false" ht="18" hidden="false" customHeight="false" outlineLevel="0" collapsed="false">
      <c r="C947" s="307"/>
      <c r="D947" s="307"/>
      <c r="E947" s="307"/>
      <c r="F947" s="307"/>
    </row>
    <row r="948" customFormat="false" ht="18" hidden="false" customHeight="false" outlineLevel="0" collapsed="false">
      <c r="C948" s="307"/>
      <c r="D948" s="307"/>
      <c r="E948" s="307"/>
      <c r="F948" s="307"/>
    </row>
    <row r="949" customFormat="false" ht="18" hidden="false" customHeight="false" outlineLevel="0" collapsed="false">
      <c r="C949" s="307"/>
      <c r="D949" s="307"/>
      <c r="E949" s="307"/>
      <c r="F949" s="307"/>
    </row>
    <row r="950" customFormat="false" ht="18" hidden="false" customHeight="false" outlineLevel="0" collapsed="false">
      <c r="C950" s="307"/>
      <c r="D950" s="307"/>
      <c r="E950" s="307"/>
      <c r="F950" s="307"/>
    </row>
    <row r="951" customFormat="false" ht="18" hidden="false" customHeight="false" outlineLevel="0" collapsed="false">
      <c r="C951" s="307"/>
      <c r="D951" s="307"/>
      <c r="E951" s="307"/>
      <c r="F951" s="307"/>
    </row>
    <row r="952" customFormat="false" ht="18" hidden="false" customHeight="false" outlineLevel="0" collapsed="false">
      <c r="C952" s="307"/>
      <c r="D952" s="307"/>
      <c r="E952" s="307"/>
      <c r="F952" s="307"/>
    </row>
    <row r="953" customFormat="false" ht="18" hidden="false" customHeight="false" outlineLevel="0" collapsed="false">
      <c r="C953" s="307"/>
      <c r="D953" s="307"/>
      <c r="E953" s="307"/>
      <c r="F953" s="307"/>
    </row>
    <row r="954" customFormat="false" ht="18" hidden="false" customHeight="false" outlineLevel="0" collapsed="false">
      <c r="C954" s="307"/>
      <c r="D954" s="307"/>
      <c r="E954" s="307"/>
      <c r="F954" s="307"/>
    </row>
    <row r="955" customFormat="false" ht="18" hidden="false" customHeight="false" outlineLevel="0" collapsed="false">
      <c r="C955" s="307"/>
      <c r="D955" s="307"/>
      <c r="E955" s="307"/>
      <c r="F955" s="307"/>
    </row>
    <row r="956" customFormat="false" ht="18" hidden="false" customHeight="false" outlineLevel="0" collapsed="false">
      <c r="C956" s="307"/>
      <c r="D956" s="307"/>
      <c r="E956" s="307"/>
      <c r="F956" s="307"/>
    </row>
    <row r="957" customFormat="false" ht="18" hidden="false" customHeight="false" outlineLevel="0" collapsed="false">
      <c r="C957" s="307"/>
      <c r="D957" s="307"/>
      <c r="E957" s="307"/>
      <c r="F957" s="307"/>
    </row>
    <row r="958" customFormat="false" ht="18" hidden="false" customHeight="false" outlineLevel="0" collapsed="false">
      <c r="C958" s="307"/>
      <c r="D958" s="307"/>
      <c r="E958" s="307"/>
      <c r="F958" s="307"/>
    </row>
    <row r="959" customFormat="false" ht="18" hidden="false" customHeight="false" outlineLevel="0" collapsed="false">
      <c r="C959" s="307"/>
      <c r="D959" s="307"/>
      <c r="E959" s="307"/>
      <c r="F959" s="307"/>
    </row>
    <row r="960" customFormat="false" ht="18" hidden="false" customHeight="false" outlineLevel="0" collapsed="false">
      <c r="C960" s="307"/>
      <c r="D960" s="307"/>
      <c r="E960" s="307"/>
      <c r="F960" s="307"/>
    </row>
    <row r="961" customFormat="false" ht="18" hidden="false" customHeight="false" outlineLevel="0" collapsed="false">
      <c r="C961" s="307"/>
      <c r="D961" s="307"/>
      <c r="E961" s="307"/>
      <c r="F961" s="307"/>
    </row>
    <row r="962" customFormat="false" ht="18" hidden="false" customHeight="false" outlineLevel="0" collapsed="false">
      <c r="C962" s="307"/>
      <c r="D962" s="307"/>
      <c r="E962" s="307"/>
      <c r="F962" s="307"/>
    </row>
    <row r="963" customFormat="false" ht="18" hidden="false" customHeight="false" outlineLevel="0" collapsed="false">
      <c r="C963" s="307"/>
      <c r="D963" s="307"/>
      <c r="E963" s="307"/>
      <c r="F963" s="307"/>
    </row>
    <row r="964" customFormat="false" ht="18" hidden="false" customHeight="false" outlineLevel="0" collapsed="false">
      <c r="C964" s="307"/>
      <c r="D964" s="307"/>
      <c r="E964" s="307"/>
      <c r="F964" s="307"/>
    </row>
    <row r="965" customFormat="false" ht="18" hidden="false" customHeight="false" outlineLevel="0" collapsed="false">
      <c r="C965" s="307"/>
      <c r="D965" s="307"/>
      <c r="E965" s="307"/>
      <c r="F965" s="307"/>
    </row>
    <row r="966" customFormat="false" ht="18" hidden="false" customHeight="false" outlineLevel="0" collapsed="false">
      <c r="C966" s="307"/>
      <c r="D966" s="307"/>
      <c r="E966" s="307"/>
      <c r="F966" s="307"/>
    </row>
    <row r="967" customFormat="false" ht="18" hidden="false" customHeight="false" outlineLevel="0" collapsed="false">
      <c r="C967" s="307"/>
      <c r="D967" s="307"/>
      <c r="E967" s="307"/>
      <c r="F967" s="307"/>
    </row>
    <row r="968" customFormat="false" ht="18" hidden="false" customHeight="false" outlineLevel="0" collapsed="false">
      <c r="C968" s="307"/>
      <c r="D968" s="307"/>
      <c r="E968" s="307"/>
      <c r="F968" s="307"/>
    </row>
    <row r="969" customFormat="false" ht="18" hidden="false" customHeight="false" outlineLevel="0" collapsed="false">
      <c r="C969" s="307"/>
      <c r="D969" s="307"/>
      <c r="E969" s="307"/>
      <c r="F969" s="307"/>
    </row>
    <row r="970" customFormat="false" ht="18" hidden="false" customHeight="false" outlineLevel="0" collapsed="false">
      <c r="C970" s="307"/>
      <c r="D970" s="307"/>
      <c r="E970" s="307"/>
      <c r="F970" s="307"/>
    </row>
    <row r="971" customFormat="false" ht="18" hidden="false" customHeight="false" outlineLevel="0" collapsed="false">
      <c r="C971" s="307"/>
      <c r="D971" s="307"/>
      <c r="E971" s="307"/>
      <c r="F971" s="307"/>
    </row>
    <row r="972" customFormat="false" ht="18" hidden="false" customHeight="false" outlineLevel="0" collapsed="false">
      <c r="C972" s="307"/>
      <c r="D972" s="307"/>
      <c r="E972" s="307"/>
      <c r="F972" s="307"/>
    </row>
    <row r="973" customFormat="false" ht="18" hidden="false" customHeight="false" outlineLevel="0" collapsed="false">
      <c r="C973" s="307"/>
      <c r="D973" s="307"/>
      <c r="E973" s="307"/>
      <c r="F973" s="307"/>
    </row>
    <row r="974" customFormat="false" ht="18" hidden="false" customHeight="false" outlineLevel="0" collapsed="false">
      <c r="C974" s="307"/>
      <c r="D974" s="307"/>
      <c r="E974" s="307"/>
      <c r="F974" s="307"/>
    </row>
    <row r="975" customFormat="false" ht="18" hidden="false" customHeight="false" outlineLevel="0" collapsed="false">
      <c r="C975" s="307"/>
      <c r="D975" s="307"/>
      <c r="E975" s="307"/>
      <c r="F975" s="307"/>
    </row>
    <row r="976" customFormat="false" ht="18" hidden="false" customHeight="false" outlineLevel="0" collapsed="false">
      <c r="C976" s="307"/>
      <c r="D976" s="307"/>
      <c r="E976" s="307"/>
      <c r="F976" s="307"/>
    </row>
    <row r="977" customFormat="false" ht="18" hidden="false" customHeight="false" outlineLevel="0" collapsed="false">
      <c r="C977" s="307"/>
      <c r="D977" s="307"/>
      <c r="E977" s="307"/>
      <c r="F977" s="307"/>
    </row>
    <row r="978" customFormat="false" ht="18" hidden="false" customHeight="false" outlineLevel="0" collapsed="false">
      <c r="C978" s="307"/>
      <c r="D978" s="307"/>
      <c r="E978" s="307"/>
      <c r="F978" s="307"/>
    </row>
    <row r="979" customFormat="false" ht="18" hidden="false" customHeight="false" outlineLevel="0" collapsed="false">
      <c r="C979" s="307"/>
      <c r="D979" s="307"/>
      <c r="E979" s="307"/>
      <c r="F979" s="307"/>
    </row>
    <row r="980" customFormat="false" ht="18" hidden="false" customHeight="false" outlineLevel="0" collapsed="false">
      <c r="C980" s="307"/>
      <c r="D980" s="307"/>
      <c r="E980" s="307"/>
      <c r="F980" s="307"/>
    </row>
    <row r="981" customFormat="false" ht="18" hidden="false" customHeight="false" outlineLevel="0" collapsed="false">
      <c r="C981" s="307"/>
      <c r="D981" s="307"/>
      <c r="E981" s="307"/>
      <c r="F981" s="307"/>
    </row>
    <row r="982" customFormat="false" ht="18" hidden="false" customHeight="false" outlineLevel="0" collapsed="false">
      <c r="C982" s="307"/>
      <c r="D982" s="307"/>
      <c r="E982" s="307"/>
      <c r="F982" s="307"/>
    </row>
    <row r="983" customFormat="false" ht="18" hidden="false" customHeight="false" outlineLevel="0" collapsed="false">
      <c r="C983" s="307"/>
      <c r="D983" s="307"/>
      <c r="E983" s="307"/>
      <c r="F983" s="307"/>
    </row>
    <row r="984" customFormat="false" ht="18" hidden="false" customHeight="false" outlineLevel="0" collapsed="false">
      <c r="C984" s="307"/>
      <c r="D984" s="307"/>
      <c r="E984" s="307"/>
      <c r="F984" s="307"/>
    </row>
    <row r="985" customFormat="false" ht="18" hidden="false" customHeight="false" outlineLevel="0" collapsed="false">
      <c r="C985" s="307"/>
      <c r="D985" s="307"/>
      <c r="E985" s="307"/>
      <c r="F985" s="307"/>
    </row>
    <row r="986" customFormat="false" ht="18" hidden="false" customHeight="false" outlineLevel="0" collapsed="false">
      <c r="C986" s="307"/>
      <c r="D986" s="307"/>
      <c r="E986" s="307"/>
      <c r="F986" s="307"/>
    </row>
    <row r="987" customFormat="false" ht="18" hidden="false" customHeight="false" outlineLevel="0" collapsed="false">
      <c r="C987" s="307"/>
      <c r="D987" s="307"/>
      <c r="E987" s="307"/>
      <c r="F987" s="307"/>
    </row>
    <row r="988" customFormat="false" ht="18" hidden="false" customHeight="false" outlineLevel="0" collapsed="false">
      <c r="C988" s="307"/>
      <c r="D988" s="307"/>
      <c r="E988" s="307"/>
      <c r="F988" s="307"/>
    </row>
    <row r="989" customFormat="false" ht="18" hidden="false" customHeight="false" outlineLevel="0" collapsed="false">
      <c r="C989" s="307"/>
      <c r="D989" s="307"/>
      <c r="E989" s="307"/>
      <c r="F989" s="307"/>
    </row>
    <row r="990" customFormat="false" ht="18" hidden="false" customHeight="false" outlineLevel="0" collapsed="false">
      <c r="C990" s="307"/>
      <c r="D990" s="307"/>
      <c r="E990" s="307"/>
      <c r="F990" s="307"/>
    </row>
    <row r="991" customFormat="false" ht="18" hidden="false" customHeight="false" outlineLevel="0" collapsed="false">
      <c r="C991" s="307"/>
      <c r="D991" s="307"/>
      <c r="E991" s="307"/>
      <c r="F991" s="307"/>
    </row>
    <row r="992" customFormat="false" ht="18" hidden="false" customHeight="false" outlineLevel="0" collapsed="false">
      <c r="C992" s="307"/>
      <c r="D992" s="307"/>
      <c r="E992" s="307"/>
      <c r="F992" s="307"/>
    </row>
    <row r="993" customFormat="false" ht="18" hidden="false" customHeight="false" outlineLevel="0" collapsed="false">
      <c r="C993" s="307"/>
      <c r="D993" s="307"/>
      <c r="E993" s="307"/>
      <c r="F993" s="307"/>
    </row>
    <row r="994" customFormat="false" ht="18" hidden="false" customHeight="false" outlineLevel="0" collapsed="false">
      <c r="C994" s="307"/>
      <c r="D994" s="307"/>
      <c r="E994" s="307"/>
      <c r="F994" s="307"/>
    </row>
    <row r="995" customFormat="false" ht="18" hidden="false" customHeight="false" outlineLevel="0" collapsed="false">
      <c r="C995" s="307"/>
      <c r="D995" s="307"/>
      <c r="E995" s="307"/>
      <c r="F995" s="307"/>
    </row>
    <row r="996" customFormat="false" ht="18" hidden="false" customHeight="false" outlineLevel="0" collapsed="false">
      <c r="C996" s="307"/>
      <c r="D996" s="307"/>
      <c r="E996" s="307"/>
      <c r="F996" s="307"/>
    </row>
    <row r="997" customFormat="false" ht="18" hidden="false" customHeight="false" outlineLevel="0" collapsed="false">
      <c r="C997" s="307"/>
      <c r="D997" s="307"/>
      <c r="E997" s="307"/>
      <c r="F997" s="307"/>
    </row>
    <row r="998" customFormat="false" ht="18" hidden="false" customHeight="false" outlineLevel="0" collapsed="false">
      <c r="C998" s="307"/>
      <c r="D998" s="307"/>
      <c r="E998" s="307"/>
      <c r="F998" s="307"/>
    </row>
    <row r="999" customFormat="false" ht="18" hidden="false" customHeight="false" outlineLevel="0" collapsed="false">
      <c r="C999" s="307"/>
      <c r="D999" s="307"/>
      <c r="E999" s="307"/>
      <c r="F999" s="307"/>
    </row>
    <row r="1000" customFormat="false" ht="18" hidden="false" customHeight="false" outlineLevel="0" collapsed="false">
      <c r="C1000" s="307"/>
      <c r="D1000" s="307"/>
      <c r="E1000" s="307"/>
      <c r="F1000" s="307"/>
    </row>
    <row r="1001" customFormat="false" ht="18" hidden="false" customHeight="false" outlineLevel="0" collapsed="false">
      <c r="C1001" s="307"/>
      <c r="D1001" s="307"/>
      <c r="E1001" s="307"/>
      <c r="F1001" s="307"/>
    </row>
    <row r="1002" customFormat="false" ht="18" hidden="false" customHeight="false" outlineLevel="0" collapsed="false">
      <c r="C1002" s="307"/>
      <c r="D1002" s="307"/>
      <c r="E1002" s="307"/>
      <c r="F1002" s="307"/>
    </row>
    <row r="1003" customFormat="false" ht="18" hidden="false" customHeight="false" outlineLevel="0" collapsed="false">
      <c r="C1003" s="307"/>
      <c r="D1003" s="307"/>
      <c r="E1003" s="307"/>
      <c r="F1003" s="307"/>
    </row>
    <row r="1004" customFormat="false" ht="18" hidden="false" customHeight="false" outlineLevel="0" collapsed="false">
      <c r="C1004" s="307"/>
      <c r="D1004" s="307"/>
      <c r="E1004" s="307"/>
      <c r="F1004" s="307"/>
    </row>
    <row r="1005" customFormat="false" ht="18" hidden="false" customHeight="false" outlineLevel="0" collapsed="false">
      <c r="C1005" s="307"/>
      <c r="D1005" s="307"/>
      <c r="E1005" s="307"/>
      <c r="F1005" s="307"/>
    </row>
    <row r="1006" customFormat="false" ht="18" hidden="false" customHeight="false" outlineLevel="0" collapsed="false">
      <c r="C1006" s="307"/>
      <c r="D1006" s="307"/>
      <c r="E1006" s="307"/>
      <c r="F1006" s="307"/>
    </row>
    <row r="1007" customFormat="false" ht="18" hidden="false" customHeight="false" outlineLevel="0" collapsed="false">
      <c r="C1007" s="307"/>
      <c r="D1007" s="307"/>
      <c r="E1007" s="307"/>
      <c r="F1007" s="307"/>
    </row>
    <row r="1008" customFormat="false" ht="18" hidden="false" customHeight="false" outlineLevel="0" collapsed="false">
      <c r="C1008" s="307"/>
      <c r="D1008" s="307"/>
      <c r="E1008" s="307"/>
      <c r="F1008" s="307"/>
    </row>
    <row r="1009" customFormat="false" ht="18" hidden="false" customHeight="false" outlineLevel="0" collapsed="false">
      <c r="C1009" s="307"/>
      <c r="D1009" s="307"/>
      <c r="E1009" s="307"/>
      <c r="F1009" s="307"/>
    </row>
    <row r="1010" customFormat="false" ht="18" hidden="false" customHeight="false" outlineLevel="0" collapsed="false">
      <c r="C1010" s="307"/>
      <c r="D1010" s="307"/>
      <c r="E1010" s="307"/>
      <c r="F1010" s="307"/>
    </row>
    <row r="1011" customFormat="false" ht="18" hidden="false" customHeight="false" outlineLevel="0" collapsed="false">
      <c r="C1011" s="307"/>
      <c r="D1011" s="307"/>
      <c r="E1011" s="307"/>
      <c r="F1011" s="307"/>
    </row>
    <row r="1012" customFormat="false" ht="18" hidden="false" customHeight="false" outlineLevel="0" collapsed="false">
      <c r="C1012" s="307"/>
      <c r="D1012" s="307"/>
      <c r="E1012" s="307"/>
      <c r="F1012" s="307"/>
    </row>
    <row r="1013" customFormat="false" ht="18" hidden="false" customHeight="false" outlineLevel="0" collapsed="false">
      <c r="C1013" s="307"/>
      <c r="D1013" s="307"/>
      <c r="E1013" s="307"/>
      <c r="F1013" s="307"/>
    </row>
    <row r="1014" customFormat="false" ht="18" hidden="false" customHeight="false" outlineLevel="0" collapsed="false">
      <c r="C1014" s="307"/>
      <c r="D1014" s="307"/>
      <c r="E1014" s="307"/>
      <c r="F1014" s="307"/>
    </row>
    <row r="1015" customFormat="false" ht="18" hidden="false" customHeight="false" outlineLevel="0" collapsed="false">
      <c r="C1015" s="307"/>
      <c r="D1015" s="307"/>
      <c r="E1015" s="307"/>
      <c r="F1015" s="307"/>
    </row>
    <row r="1016" customFormat="false" ht="18" hidden="false" customHeight="false" outlineLevel="0" collapsed="false">
      <c r="C1016" s="307"/>
      <c r="D1016" s="307"/>
      <c r="E1016" s="307"/>
      <c r="F1016" s="307"/>
    </row>
    <row r="1017" customFormat="false" ht="18" hidden="false" customHeight="false" outlineLevel="0" collapsed="false">
      <c r="C1017" s="307"/>
      <c r="D1017" s="307"/>
      <c r="E1017" s="307"/>
      <c r="F1017" s="307"/>
    </row>
    <row r="1018" customFormat="false" ht="18" hidden="false" customHeight="false" outlineLevel="0" collapsed="false">
      <c r="C1018" s="307"/>
      <c r="D1018" s="307"/>
      <c r="E1018" s="307"/>
      <c r="F1018" s="307"/>
    </row>
    <row r="1019" customFormat="false" ht="18" hidden="false" customHeight="false" outlineLevel="0" collapsed="false">
      <c r="C1019" s="307"/>
      <c r="D1019" s="307"/>
      <c r="E1019" s="307"/>
      <c r="F1019" s="307"/>
    </row>
    <row r="1020" customFormat="false" ht="18" hidden="false" customHeight="false" outlineLevel="0" collapsed="false">
      <c r="C1020" s="307"/>
      <c r="D1020" s="307"/>
      <c r="E1020" s="307"/>
      <c r="F1020" s="307"/>
    </row>
    <row r="1021" customFormat="false" ht="18" hidden="false" customHeight="false" outlineLevel="0" collapsed="false">
      <c r="C1021" s="307"/>
      <c r="D1021" s="307"/>
      <c r="E1021" s="307"/>
      <c r="F1021" s="307"/>
    </row>
    <row r="1022" customFormat="false" ht="18" hidden="false" customHeight="false" outlineLevel="0" collapsed="false">
      <c r="C1022" s="307"/>
      <c r="D1022" s="307"/>
      <c r="E1022" s="307"/>
      <c r="F1022" s="307"/>
    </row>
    <row r="1023" customFormat="false" ht="18" hidden="false" customHeight="false" outlineLevel="0" collapsed="false">
      <c r="C1023" s="307"/>
      <c r="D1023" s="307"/>
      <c r="E1023" s="307"/>
      <c r="F1023" s="307"/>
    </row>
    <row r="1024" customFormat="false" ht="18" hidden="false" customHeight="false" outlineLevel="0" collapsed="false">
      <c r="C1024" s="307"/>
      <c r="D1024" s="307"/>
      <c r="E1024" s="307"/>
      <c r="F1024" s="307"/>
    </row>
    <row r="1025" customFormat="false" ht="18" hidden="false" customHeight="false" outlineLevel="0" collapsed="false">
      <c r="C1025" s="307"/>
      <c r="D1025" s="307"/>
      <c r="E1025" s="307"/>
      <c r="F1025" s="307"/>
    </row>
    <row r="1026" customFormat="false" ht="18" hidden="false" customHeight="false" outlineLevel="0" collapsed="false">
      <c r="C1026" s="307"/>
      <c r="D1026" s="307"/>
      <c r="E1026" s="307"/>
      <c r="F1026" s="307"/>
    </row>
    <row r="1027" customFormat="false" ht="18" hidden="false" customHeight="false" outlineLevel="0" collapsed="false">
      <c r="C1027" s="307"/>
      <c r="D1027" s="307"/>
      <c r="E1027" s="307"/>
      <c r="F1027" s="307"/>
    </row>
    <row r="1028" customFormat="false" ht="18" hidden="false" customHeight="false" outlineLevel="0" collapsed="false">
      <c r="C1028" s="307"/>
      <c r="D1028" s="307"/>
      <c r="E1028" s="307"/>
      <c r="F1028" s="307"/>
    </row>
    <row r="1029" customFormat="false" ht="18" hidden="false" customHeight="false" outlineLevel="0" collapsed="false">
      <c r="C1029" s="307"/>
      <c r="D1029" s="307"/>
      <c r="E1029" s="307"/>
      <c r="F1029" s="307"/>
    </row>
    <row r="1030" customFormat="false" ht="18" hidden="false" customHeight="false" outlineLevel="0" collapsed="false">
      <c r="C1030" s="307"/>
      <c r="D1030" s="307"/>
      <c r="E1030" s="307"/>
      <c r="F1030" s="307"/>
    </row>
    <row r="1031" customFormat="false" ht="18" hidden="false" customHeight="false" outlineLevel="0" collapsed="false">
      <c r="C1031" s="307"/>
      <c r="D1031" s="307"/>
      <c r="E1031" s="307"/>
      <c r="F1031" s="307"/>
    </row>
    <row r="1032" customFormat="false" ht="18" hidden="false" customHeight="false" outlineLevel="0" collapsed="false">
      <c r="C1032" s="307"/>
      <c r="D1032" s="307"/>
      <c r="E1032" s="307"/>
      <c r="F1032" s="307"/>
    </row>
    <row r="1033" customFormat="false" ht="18" hidden="false" customHeight="false" outlineLevel="0" collapsed="false">
      <c r="C1033" s="307"/>
      <c r="D1033" s="307"/>
      <c r="E1033" s="307"/>
      <c r="F1033" s="307"/>
    </row>
    <row r="1034" customFormat="false" ht="18" hidden="false" customHeight="false" outlineLevel="0" collapsed="false">
      <c r="C1034" s="307"/>
      <c r="D1034" s="307"/>
      <c r="E1034" s="307"/>
      <c r="F1034" s="307"/>
    </row>
    <row r="1035" customFormat="false" ht="18" hidden="false" customHeight="false" outlineLevel="0" collapsed="false">
      <c r="C1035" s="307"/>
      <c r="D1035" s="307"/>
      <c r="E1035" s="307"/>
      <c r="F1035" s="307"/>
    </row>
    <row r="1036" customFormat="false" ht="18" hidden="false" customHeight="false" outlineLevel="0" collapsed="false">
      <c r="C1036" s="307"/>
      <c r="D1036" s="307"/>
      <c r="E1036" s="307"/>
      <c r="F1036" s="307"/>
    </row>
    <row r="1037" customFormat="false" ht="18" hidden="false" customHeight="false" outlineLevel="0" collapsed="false">
      <c r="C1037" s="307"/>
      <c r="D1037" s="307"/>
      <c r="E1037" s="307"/>
      <c r="F1037" s="307"/>
    </row>
    <row r="1038" customFormat="false" ht="18" hidden="false" customHeight="false" outlineLevel="0" collapsed="false">
      <c r="C1038" s="307"/>
      <c r="D1038" s="307"/>
      <c r="E1038" s="307"/>
      <c r="F1038" s="307"/>
    </row>
    <row r="1039" customFormat="false" ht="18" hidden="false" customHeight="false" outlineLevel="0" collapsed="false">
      <c r="C1039" s="307"/>
      <c r="D1039" s="307"/>
      <c r="E1039" s="307"/>
      <c r="F1039" s="30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75390625" defaultRowHeight="18" zeroHeight="false" outlineLevelRow="0" outlineLevelCol="0"/>
  <cols>
    <col collapsed="false" customWidth="false" hidden="false" outlineLevel="0" max="1" min="1" style="2" width="8.76"/>
    <col collapsed="false" customWidth="true" hidden="false" outlineLevel="0" max="2" min="2" style="2" width="41.75"/>
    <col collapsed="false" customWidth="true" hidden="false" outlineLevel="0" max="3" min="3" style="2" width="16.09"/>
    <col collapsed="false" customWidth="true" hidden="false" outlineLevel="0" max="6" min="4" style="2" width="13.25"/>
    <col collapsed="false" customWidth="true" hidden="false" outlineLevel="0" max="7" min="7" style="2" width="55.5"/>
    <col collapsed="false" customWidth="false" hidden="false" outlineLevel="0" max="16384" min="8" style="2" width="8.76"/>
  </cols>
  <sheetData>
    <row r="2" customFormat="false" ht="39.75" hidden="false" customHeight="true" outlineLevel="0" collapsed="false">
      <c r="B2" s="62" t="s">
        <v>276</v>
      </c>
      <c r="C2" s="79" t="s">
        <v>522</v>
      </c>
      <c r="D2" s="309" t="s">
        <v>523</v>
      </c>
      <c r="E2" s="309" t="s">
        <v>524</v>
      </c>
      <c r="F2" s="309" t="s">
        <v>525</v>
      </c>
      <c r="G2" s="198" t="s">
        <v>526</v>
      </c>
    </row>
    <row r="3" customFormat="false" ht="39" hidden="false" customHeight="true" outlineLevel="0" collapsed="false">
      <c r="B3" s="485" t="s">
        <v>527</v>
      </c>
      <c r="C3" s="373" t="s">
        <v>528</v>
      </c>
      <c r="D3" s="486" t="n">
        <v>1615.96</v>
      </c>
      <c r="E3" s="487" t="n">
        <v>2191806</v>
      </c>
      <c r="F3" s="487" t="n">
        <v>5753733</v>
      </c>
      <c r="G3" s="488" t="s">
        <v>529</v>
      </c>
    </row>
    <row r="5" customFormat="false" ht="18" hidden="false" customHeight="false" outlineLevel="0" collapsed="false">
      <c r="B5" s="46" t="s">
        <v>530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75390625" defaultRowHeight="18" zeroHeight="false" outlineLevelRow="0" outlineLevelCol="0"/>
  <cols>
    <col collapsed="false" customWidth="false" hidden="false" outlineLevel="0" max="1" min="1" style="2" width="8.76"/>
    <col collapsed="false" customWidth="true" hidden="false" outlineLevel="0" max="2" min="2" style="2" width="11.25"/>
    <col collapsed="false" customWidth="true" hidden="false" outlineLevel="0" max="3" min="3" style="2" width="17.5"/>
    <col collapsed="false" customWidth="true" hidden="false" outlineLevel="0" max="4" min="4" style="2" width="21.08"/>
    <col collapsed="false" customWidth="true" hidden="false" outlineLevel="0" max="5" min="5" style="306" width="13.33"/>
    <col collapsed="false" customWidth="true" hidden="false" outlineLevel="0" max="6" min="6" style="2" width="11.25"/>
    <col collapsed="false" customWidth="true" hidden="false" outlineLevel="0" max="7" min="7" style="2" width="20.33"/>
    <col collapsed="false" customWidth="true" hidden="false" outlineLevel="0" max="9" min="8" style="195" width="13.33"/>
    <col collapsed="false" customWidth="true" hidden="false" outlineLevel="0" max="10" min="10" style="2" width="34.08"/>
    <col collapsed="false" customWidth="false" hidden="false" outlineLevel="0" max="16384" min="11" style="2" width="8.76"/>
  </cols>
  <sheetData>
    <row r="1" s="2" customFormat="true" ht="18" hidden="false" customHeight="false" outlineLevel="0" collapsed="false"/>
    <row r="2" s="2" customFormat="true" ht="18" hidden="false" customHeight="false" outlineLevel="0" collapsed="false">
      <c r="B2" s="307"/>
      <c r="C2" s="307"/>
    </row>
    <row r="3" customFormat="false" ht="39.75" hidden="false" customHeight="true" outlineLevel="0" collapsed="false">
      <c r="B3" s="308" t="s">
        <v>237</v>
      </c>
      <c r="C3" s="308" t="s">
        <v>237</v>
      </c>
      <c r="D3" s="309" t="s">
        <v>238</v>
      </c>
      <c r="E3" s="309" t="s">
        <v>239</v>
      </c>
      <c r="F3" s="309" t="s">
        <v>531</v>
      </c>
      <c r="G3" s="309" t="s">
        <v>532</v>
      </c>
      <c r="H3" s="309" t="s">
        <v>524</v>
      </c>
      <c r="I3" s="309" t="s">
        <v>525</v>
      </c>
      <c r="J3" s="198" t="s">
        <v>245</v>
      </c>
    </row>
    <row r="4" customFormat="false" ht="39.75" hidden="false" customHeight="true" outlineLevel="0" collapsed="false">
      <c r="B4" s="489" t="s">
        <v>533</v>
      </c>
      <c r="C4" s="374" t="s">
        <v>534</v>
      </c>
      <c r="D4" s="373" t="s">
        <v>535</v>
      </c>
      <c r="E4" s="490" t="n">
        <v>1567.24</v>
      </c>
      <c r="F4" s="373" t="s">
        <v>536</v>
      </c>
      <c r="G4" s="373" t="s">
        <v>537</v>
      </c>
      <c r="H4" s="491" t="n">
        <v>2081256</v>
      </c>
      <c r="I4" s="491" t="n">
        <v>5532633</v>
      </c>
      <c r="J4" s="492" t="s">
        <v>538</v>
      </c>
    </row>
    <row r="5" customFormat="false" ht="39.75" hidden="false" customHeight="true" outlineLevel="0" collapsed="false">
      <c r="B5" s="489" t="s">
        <v>539</v>
      </c>
      <c r="C5" s="374" t="s">
        <v>540</v>
      </c>
      <c r="D5" s="373" t="s">
        <v>541</v>
      </c>
      <c r="E5" s="490" t="n">
        <v>48.72</v>
      </c>
      <c r="F5" s="373" t="s">
        <v>536</v>
      </c>
      <c r="G5" s="373" t="s">
        <v>213</v>
      </c>
      <c r="H5" s="491" t="n">
        <v>110550</v>
      </c>
      <c r="I5" s="491" t="n">
        <v>221100</v>
      </c>
      <c r="J5" s="492" t="s">
        <v>542</v>
      </c>
    </row>
    <row r="6" customFormat="false" ht="19.5" hidden="false" customHeight="true" outlineLevel="0" collapsed="false">
      <c r="B6" s="374" t="s">
        <v>543</v>
      </c>
      <c r="C6" s="374" t="s">
        <v>544</v>
      </c>
      <c r="D6" s="374" t="s">
        <v>545</v>
      </c>
      <c r="E6" s="493"/>
      <c r="F6" s="374" t="s">
        <v>20</v>
      </c>
      <c r="G6" s="375" t="s">
        <v>546</v>
      </c>
      <c r="H6" s="494"/>
      <c r="I6" s="494"/>
      <c r="J6" s="495" t="s">
        <v>547</v>
      </c>
    </row>
    <row r="7" customFormat="false" ht="22.5" hidden="false" customHeight="true" outlineLevel="0" collapsed="false">
      <c r="B7" s="334"/>
      <c r="C7" s="334"/>
      <c r="D7" s="428"/>
      <c r="E7" s="329"/>
      <c r="F7" s="428"/>
      <c r="G7" s="428"/>
      <c r="H7" s="31"/>
      <c r="I7" s="31"/>
      <c r="J7" s="323"/>
    </row>
    <row r="8" customFormat="false" ht="22.5" hidden="false" customHeight="true" outlineLevel="0" collapsed="false">
      <c r="B8" s="334"/>
      <c r="C8" s="334"/>
      <c r="D8" s="428"/>
      <c r="E8" s="329"/>
      <c r="F8" s="428"/>
      <c r="G8" s="428"/>
      <c r="H8" s="31"/>
      <c r="I8" s="31"/>
      <c r="J8" s="323"/>
    </row>
    <row r="9" customFormat="false" ht="22.5" hidden="false" customHeight="true" outlineLevel="0" collapsed="false">
      <c r="B9" s="334"/>
      <c r="C9" s="334"/>
      <c r="D9" s="428"/>
      <c r="E9" s="329"/>
      <c r="F9" s="428"/>
      <c r="G9" s="428"/>
      <c r="H9" s="31"/>
      <c r="I9" s="31"/>
      <c r="J9" s="323"/>
    </row>
    <row r="10" customFormat="false" ht="18" hidden="false" customHeight="false" outlineLevel="0" collapsed="false">
      <c r="G10" s="496"/>
    </row>
    <row r="11" customFormat="false" ht="22.5" hidden="false" customHeight="true" outlineLevel="0" collapsed="false">
      <c r="B11" s="334"/>
      <c r="C11" s="334"/>
      <c r="D11" s="428"/>
      <c r="E11" s="329"/>
      <c r="F11" s="428"/>
      <c r="G11" s="428"/>
      <c r="H11" s="31"/>
      <c r="I11" s="31"/>
      <c r="J11" s="323"/>
    </row>
    <row r="12" customFormat="false" ht="18" hidden="false" customHeight="false" outlineLevel="0" collapsed="false">
      <c r="G12" s="496"/>
    </row>
    <row r="14" s="2" customFormat="true" ht="18" hidden="false" customHeight="false" outlineLevel="0" collapsed="false">
      <c r="B14" s="307"/>
      <c r="C14" s="307"/>
    </row>
    <row r="15" customFormat="false" ht="39.75" hidden="false" customHeight="true" outlineLevel="0" collapsed="false">
      <c r="B15" s="308"/>
      <c r="C15" s="308"/>
      <c r="D15" s="309"/>
      <c r="E15" s="309"/>
      <c r="F15" s="309"/>
      <c r="G15" s="309"/>
      <c r="H15" s="309"/>
      <c r="I15" s="309"/>
      <c r="J15" s="198"/>
    </row>
    <row r="16" customFormat="false" ht="39.75" hidden="false" customHeight="true" outlineLevel="0" collapsed="false">
      <c r="B16" s="497"/>
      <c r="C16" s="428"/>
      <c r="D16" s="328"/>
      <c r="E16" s="498"/>
      <c r="F16" s="499"/>
      <c r="G16" s="328"/>
      <c r="H16" s="487"/>
      <c r="I16" s="487"/>
      <c r="J16" s="500"/>
    </row>
    <row r="17" customFormat="false" ht="22.5" hidden="false" customHeight="true" outlineLevel="0" collapsed="false">
      <c r="B17" s="428"/>
      <c r="C17" s="428"/>
      <c r="D17" s="428"/>
      <c r="E17" s="329"/>
      <c r="F17" s="428"/>
      <c r="G17" s="328"/>
      <c r="H17" s="31"/>
      <c r="I17" s="31"/>
      <c r="J17" s="500"/>
    </row>
    <row r="18" customFormat="false" ht="19.5" hidden="false" customHeight="true" outlineLevel="0" collapsed="false">
      <c r="B18" s="428"/>
      <c r="C18" s="428"/>
      <c r="D18" s="428"/>
      <c r="E18" s="501"/>
      <c r="F18" s="502"/>
      <c r="G18" s="428"/>
      <c r="H18" s="31"/>
      <c r="I18" s="31"/>
      <c r="J18" s="323"/>
    </row>
    <row r="19" customFormat="false" ht="22.5" hidden="false" customHeight="true" outlineLevel="0" collapsed="false">
      <c r="B19" s="334"/>
      <c r="C19" s="334"/>
      <c r="D19" s="428"/>
      <c r="E19" s="329"/>
      <c r="F19" s="428"/>
      <c r="G19" s="428"/>
      <c r="H19" s="31"/>
      <c r="I19" s="31"/>
      <c r="J19" s="323"/>
    </row>
    <row r="20" customFormat="false" ht="22.5" hidden="false" customHeight="true" outlineLevel="0" collapsed="false">
      <c r="B20" s="334"/>
      <c r="C20" s="334"/>
      <c r="D20" s="428"/>
      <c r="E20" s="329"/>
      <c r="F20" s="428"/>
      <c r="G20" s="428"/>
      <c r="H20" s="31"/>
      <c r="I20" s="31"/>
      <c r="J20" s="323"/>
    </row>
    <row r="21" customFormat="false" ht="22.5" hidden="false" customHeight="true" outlineLevel="0" collapsed="false">
      <c r="B21" s="334"/>
      <c r="C21" s="334"/>
      <c r="D21" s="428"/>
      <c r="E21" s="329"/>
      <c r="F21" s="428"/>
      <c r="G21" s="428"/>
      <c r="H21" s="31"/>
      <c r="I21" s="31"/>
      <c r="J21" s="32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125" defaultRowHeight="18" zeroHeight="false" outlineLevelRow="0" outlineLevelCol="0"/>
  <cols>
    <col collapsed="false" customWidth="true" hidden="false" outlineLevel="0" max="2" min="2" style="1" width="5.25"/>
    <col collapsed="false" customWidth="true" hidden="false" outlineLevel="0" max="10" min="3" style="20" width="16.09"/>
    <col collapsed="false" customWidth="true" hidden="false" outlineLevel="0" max="11" min="11" style="20" width="55.5"/>
  </cols>
  <sheetData>
    <row r="2" customFormat="false" ht="19.5" hidden="false" customHeight="true" outlineLevel="0" collapsed="false">
      <c r="B2" s="376" t="s">
        <v>255</v>
      </c>
      <c r="C2" s="62" t="s">
        <v>6</v>
      </c>
      <c r="D2" s="79" t="s">
        <v>548</v>
      </c>
      <c r="E2" s="79" t="s">
        <v>549</v>
      </c>
      <c r="F2" s="79" t="s">
        <v>550</v>
      </c>
      <c r="G2" s="79" t="s">
        <v>551</v>
      </c>
      <c r="H2" s="79" t="s">
        <v>552</v>
      </c>
      <c r="I2" s="503" t="s">
        <v>553</v>
      </c>
      <c r="J2" s="503" t="s">
        <v>554</v>
      </c>
      <c r="K2" s="198" t="s">
        <v>555</v>
      </c>
    </row>
    <row r="3" customFormat="false" ht="22.5" hidden="false" customHeight="true" outlineLevel="0" collapsed="false">
      <c r="B3" s="432" t="n">
        <v>1</v>
      </c>
      <c r="C3" s="504" t="s">
        <v>33</v>
      </c>
      <c r="D3" s="504" t="s">
        <v>556</v>
      </c>
      <c r="E3" s="504" t="s">
        <v>557</v>
      </c>
      <c r="F3" s="468" t="n">
        <v>2024</v>
      </c>
      <c r="G3" s="468" t="n">
        <v>8</v>
      </c>
      <c r="H3" s="468" t="n">
        <v>15</v>
      </c>
      <c r="I3" s="487" t="n">
        <v>8000000</v>
      </c>
      <c r="J3" s="487" t="n">
        <v>6928000</v>
      </c>
      <c r="K3" s="505" t="s">
        <v>558</v>
      </c>
    </row>
    <row r="4" customFormat="false" ht="22.5" hidden="false" customHeight="true" outlineLevel="0" collapsed="false">
      <c r="B4" s="470" t="n">
        <v>2</v>
      </c>
      <c r="C4" s="363" t="s">
        <v>32</v>
      </c>
      <c r="D4" s="363" t="s">
        <v>559</v>
      </c>
      <c r="E4" s="363" t="s">
        <v>560</v>
      </c>
      <c r="F4" s="442" t="n">
        <v>2011</v>
      </c>
      <c r="G4" s="442" t="n">
        <v>12</v>
      </c>
      <c r="H4" s="442" t="n">
        <v>18</v>
      </c>
      <c r="I4" s="31" t="n">
        <v>7200000</v>
      </c>
      <c r="J4" s="506" t="n">
        <v>1</v>
      </c>
      <c r="K4" s="476" t="s">
        <v>561</v>
      </c>
    </row>
    <row r="5" customFormat="false" ht="22.5" hidden="false" customHeight="true" outlineLevel="0" collapsed="false">
      <c r="B5" s="432" t="n">
        <v>3</v>
      </c>
      <c r="C5" s="363" t="s">
        <v>34</v>
      </c>
      <c r="D5" s="363" t="s">
        <v>562</v>
      </c>
      <c r="E5" s="363" t="s">
        <v>560</v>
      </c>
      <c r="F5" s="442" t="n">
        <v>2005</v>
      </c>
      <c r="G5" s="442" t="n">
        <v>3</v>
      </c>
      <c r="H5" s="442" t="n">
        <v>30</v>
      </c>
      <c r="I5" s="31" t="n">
        <v>1827020</v>
      </c>
      <c r="J5" s="506" t="n">
        <v>103055</v>
      </c>
      <c r="K5" s="507" t="s">
        <v>563</v>
      </c>
    </row>
    <row r="6" customFormat="false" ht="22.5" hidden="false" customHeight="true" outlineLevel="0" collapsed="false">
      <c r="B6" s="470" t="n">
        <v>4</v>
      </c>
      <c r="C6" s="363" t="s">
        <v>35</v>
      </c>
      <c r="D6" s="363" t="s">
        <v>564</v>
      </c>
      <c r="E6" s="363" t="s">
        <v>560</v>
      </c>
      <c r="F6" s="442" t="n">
        <v>2013</v>
      </c>
      <c r="G6" s="442" t="n">
        <v>6</v>
      </c>
      <c r="H6" s="442" t="n">
        <v>12</v>
      </c>
      <c r="I6" s="31" t="n">
        <v>11571000</v>
      </c>
      <c r="J6" s="506" t="n">
        <v>3</v>
      </c>
      <c r="K6" s="507" t="s">
        <v>565</v>
      </c>
    </row>
    <row r="7" customFormat="false" ht="22.5" hidden="false" customHeight="true" outlineLevel="0" collapsed="false">
      <c r="B7" s="432" t="n">
        <v>5</v>
      </c>
      <c r="C7" s="363" t="s">
        <v>36</v>
      </c>
      <c r="D7" s="363" t="s">
        <v>566</v>
      </c>
      <c r="E7" s="363" t="s">
        <v>560</v>
      </c>
      <c r="F7" s="442"/>
      <c r="G7" s="442"/>
      <c r="H7" s="442"/>
      <c r="I7" s="31" t="n">
        <v>1459333</v>
      </c>
      <c r="J7" s="506" t="n">
        <v>133002</v>
      </c>
      <c r="K7" s="507" t="s">
        <v>567</v>
      </c>
    </row>
    <row r="8" customFormat="false" ht="22.5" hidden="false" customHeight="true" outlineLevel="0" collapsed="false">
      <c r="B8" s="470" t="n">
        <v>6</v>
      </c>
      <c r="C8" s="363" t="s">
        <v>37</v>
      </c>
      <c r="D8" s="508" t="s">
        <v>568</v>
      </c>
      <c r="E8" s="363" t="s">
        <v>560</v>
      </c>
      <c r="F8" s="442"/>
      <c r="G8" s="442"/>
      <c r="H8" s="442"/>
      <c r="I8" s="31" t="n">
        <v>1513022</v>
      </c>
      <c r="J8" s="506" t="n">
        <v>347350</v>
      </c>
      <c r="K8" s="507" t="s">
        <v>567</v>
      </c>
    </row>
    <row r="9" customFormat="false" ht="22.5" hidden="false" customHeight="true" outlineLevel="0" collapsed="false">
      <c r="B9" s="432" t="n">
        <v>7</v>
      </c>
      <c r="C9" s="504"/>
      <c r="D9" s="504"/>
      <c r="E9" s="504"/>
      <c r="F9" s="468"/>
      <c r="G9" s="468"/>
      <c r="H9" s="468"/>
      <c r="I9" s="487"/>
      <c r="J9" s="487"/>
      <c r="K9" s="469"/>
    </row>
    <row r="10" customFormat="false" ht="22.5" hidden="false" customHeight="true" outlineLevel="0" collapsed="false">
      <c r="B10" s="470" t="n">
        <v>8</v>
      </c>
      <c r="C10" s="363"/>
      <c r="D10" s="363"/>
      <c r="E10" s="363"/>
      <c r="F10" s="442"/>
      <c r="G10" s="442"/>
      <c r="H10" s="442"/>
      <c r="I10" s="31"/>
      <c r="J10" s="506"/>
      <c r="K10" s="476"/>
    </row>
    <row r="11" customFormat="false" ht="22.5" hidden="false" customHeight="true" outlineLevel="0" collapsed="false">
      <c r="B11" s="432" t="n">
        <v>9</v>
      </c>
      <c r="C11" s="363"/>
      <c r="D11" s="363"/>
      <c r="E11" s="363"/>
      <c r="F11" s="442"/>
      <c r="G11" s="442"/>
      <c r="H11" s="442"/>
      <c r="I11" s="31"/>
      <c r="J11" s="506"/>
      <c r="K11" s="507"/>
    </row>
    <row r="12" customFormat="false" ht="22.5" hidden="false" customHeight="true" outlineLevel="0" collapsed="false">
      <c r="B12" s="470" t="n">
        <v>10</v>
      </c>
      <c r="C12" s="363"/>
      <c r="D12" s="363"/>
      <c r="E12" s="363"/>
      <c r="F12" s="442"/>
      <c r="G12" s="442"/>
      <c r="H12" s="442"/>
      <c r="I12" s="31"/>
      <c r="J12" s="506"/>
      <c r="K12" s="507"/>
    </row>
    <row r="13" s="307" customFormat="true" ht="22.5" hidden="false" customHeight="true" outlineLevel="0" collapsed="false">
      <c r="B13" s="509"/>
      <c r="C13" s="258" t="s">
        <v>77</v>
      </c>
      <c r="D13" s="258"/>
      <c r="E13" s="258"/>
      <c r="F13" s="510"/>
      <c r="G13" s="510"/>
      <c r="H13" s="510"/>
      <c r="I13" s="510" t="n">
        <f aca="false">SUM(I3:I12)</f>
        <v>31570375</v>
      </c>
      <c r="J13" s="510" t="n">
        <f aca="false">SUM(J3:J12)</f>
        <v>7511411</v>
      </c>
      <c r="K13" s="511"/>
    </row>
    <row r="14" customFormat="false" ht="22.5" hidden="false" customHeight="true" outlineLevel="0" collapsed="false">
      <c r="B14" s="432" t="n">
        <v>11</v>
      </c>
      <c r="C14" s="363"/>
      <c r="D14" s="363"/>
      <c r="E14" s="363"/>
      <c r="F14" s="442"/>
      <c r="G14" s="442"/>
      <c r="H14" s="442"/>
      <c r="I14" s="442"/>
      <c r="J14" s="512"/>
      <c r="K14" s="507"/>
    </row>
    <row r="15" customFormat="false" ht="22.5" hidden="false" customHeight="true" outlineLevel="0" collapsed="false">
      <c r="B15" s="470" t="n">
        <v>12</v>
      </c>
      <c r="C15" s="363"/>
      <c r="D15" s="363"/>
      <c r="E15" s="363"/>
      <c r="F15" s="442"/>
      <c r="G15" s="442"/>
      <c r="H15" s="442"/>
      <c r="I15" s="442"/>
      <c r="J15" s="512"/>
      <c r="K15" s="507"/>
    </row>
    <row r="16" customFormat="false" ht="22.5" hidden="false" customHeight="true" outlineLevel="0" collapsed="false">
      <c r="B16" s="432" t="n">
        <v>13</v>
      </c>
      <c r="C16" s="504"/>
      <c r="D16" s="504"/>
      <c r="E16" s="504"/>
      <c r="F16" s="468"/>
      <c r="G16" s="468"/>
      <c r="H16" s="468"/>
      <c r="I16" s="468"/>
      <c r="J16" s="468"/>
      <c r="K16" s="469"/>
    </row>
    <row r="17" customFormat="false" ht="22.5" hidden="false" customHeight="true" outlineLevel="0" collapsed="false">
      <c r="B17" s="470" t="n">
        <v>14</v>
      </c>
      <c r="C17" s="363"/>
      <c r="D17" s="363"/>
      <c r="E17" s="363"/>
      <c r="F17" s="442"/>
      <c r="G17" s="442"/>
      <c r="H17" s="442"/>
      <c r="I17" s="442"/>
      <c r="J17" s="512"/>
      <c r="K17" s="476"/>
    </row>
    <row r="18" customFormat="false" ht="22.5" hidden="false" customHeight="true" outlineLevel="0" collapsed="false">
      <c r="B18" s="432" t="n">
        <v>15</v>
      </c>
      <c r="C18" s="363"/>
      <c r="D18" s="363"/>
      <c r="E18" s="363"/>
      <c r="F18" s="442"/>
      <c r="G18" s="442"/>
      <c r="H18" s="442"/>
      <c r="I18" s="442"/>
      <c r="J18" s="512"/>
      <c r="K18" s="507"/>
    </row>
    <row r="19" customFormat="false" ht="22.5" hidden="false" customHeight="true" outlineLevel="0" collapsed="false">
      <c r="B19" s="470" t="n">
        <v>16</v>
      </c>
      <c r="C19" s="363"/>
      <c r="D19" s="363"/>
      <c r="E19" s="363"/>
      <c r="F19" s="442"/>
      <c r="G19" s="442"/>
      <c r="H19" s="442"/>
      <c r="I19" s="442"/>
      <c r="J19" s="512"/>
      <c r="K19" s="507"/>
    </row>
    <row r="20" customFormat="false" ht="22.5" hidden="false" customHeight="true" outlineLevel="0" collapsed="false">
      <c r="B20" s="432" t="n">
        <v>17</v>
      </c>
      <c r="C20" s="363"/>
      <c r="D20" s="363"/>
      <c r="E20" s="363"/>
      <c r="F20" s="442"/>
      <c r="G20" s="442"/>
      <c r="H20" s="442"/>
      <c r="I20" s="442"/>
      <c r="J20" s="512"/>
      <c r="K20" s="507"/>
    </row>
    <row r="21" customFormat="false" ht="22.5" hidden="false" customHeight="true" outlineLevel="0" collapsed="false">
      <c r="B21" s="470" t="n">
        <v>18</v>
      </c>
      <c r="C21" s="363"/>
      <c r="D21" s="363"/>
      <c r="E21" s="363"/>
      <c r="F21" s="442"/>
      <c r="G21" s="442"/>
      <c r="H21" s="442"/>
      <c r="I21" s="442"/>
      <c r="J21" s="512"/>
      <c r="K21" s="507"/>
    </row>
    <row r="22" s="307" customFormat="true" ht="22.5" hidden="false" customHeight="true" outlineLevel="0" collapsed="false">
      <c r="B22" s="509"/>
      <c r="C22" s="258"/>
      <c r="D22" s="258"/>
      <c r="E22" s="258"/>
      <c r="F22" s="510"/>
      <c r="G22" s="510"/>
      <c r="H22" s="510"/>
      <c r="I22" s="510"/>
      <c r="J22" s="510"/>
      <c r="K22" s="511"/>
    </row>
    <row r="24" customFormat="false" ht="18" hidden="false" customHeight="false" outlineLevel="0" collapsed="false">
      <c r="B24" s="91" t="s">
        <v>569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75390625" defaultRowHeight="18" zeroHeight="false" outlineLevelRow="0" outlineLevelCol="0"/>
  <cols>
    <col collapsed="false" customWidth="false" hidden="false" outlineLevel="0" max="1" min="1" style="6" width="8.76"/>
    <col collapsed="false" customWidth="true" hidden="false" outlineLevel="0" max="5" min="2" style="6" width="16.09"/>
    <col collapsed="false" customWidth="true" hidden="false" outlineLevel="0" max="6" min="6" style="6" width="55.5"/>
    <col collapsed="false" customWidth="false" hidden="false" outlineLevel="0" max="16384" min="7" style="6" width="8.76"/>
  </cols>
  <sheetData>
    <row r="1" customFormat="false" ht="18" hidden="false" customHeight="false" outlineLevel="0" collapsed="false">
      <c r="B1" s="513"/>
    </row>
    <row r="2" customFormat="false" ht="19.5" hidden="false" customHeight="true" outlineLevel="0" collapsed="false">
      <c r="B2" s="514" t="s">
        <v>570</v>
      </c>
      <c r="C2" s="515"/>
      <c r="D2" s="515"/>
      <c r="E2" s="515"/>
      <c r="F2" s="515"/>
    </row>
    <row r="3" customFormat="false" ht="22.5" hidden="false" customHeight="true" outlineLevel="0" collapsed="false">
      <c r="B3" s="516"/>
      <c r="C3" s="517"/>
      <c r="D3" s="517"/>
      <c r="E3" s="517"/>
      <c r="F3" s="294"/>
    </row>
    <row r="4" customFormat="false" ht="22.5" hidden="false" customHeight="true" outlineLevel="0" collapsed="false">
      <c r="B4" s="518"/>
      <c r="C4" s="517"/>
      <c r="D4" s="517"/>
      <c r="E4" s="517"/>
      <c r="F4" s="294"/>
    </row>
    <row r="5" customFormat="false" ht="22.5" hidden="false" customHeight="true" outlineLevel="0" collapsed="false">
      <c r="B5" s="516"/>
      <c r="C5" s="517"/>
      <c r="D5" s="517"/>
      <c r="E5" s="517"/>
      <c r="F5" s="519"/>
    </row>
    <row r="6" customFormat="false" ht="22.5" hidden="false" customHeight="true" outlineLevel="0" collapsed="false">
      <c r="B6" s="516"/>
      <c r="C6" s="517"/>
      <c r="D6" s="517"/>
      <c r="E6" s="517"/>
      <c r="F6" s="519"/>
    </row>
    <row r="7" customFormat="false" ht="22.5" hidden="false" customHeight="true" outlineLevel="0" collapsed="false">
      <c r="B7" s="516"/>
      <c r="C7" s="517"/>
      <c r="D7" s="517"/>
      <c r="E7" s="517"/>
      <c r="F7" s="519"/>
    </row>
    <row r="8" customFormat="false" ht="22.5" hidden="false" customHeight="true" outlineLevel="0" collapsed="false">
      <c r="B8" s="516"/>
      <c r="C8" s="517"/>
      <c r="D8" s="517"/>
      <c r="E8" s="517"/>
      <c r="F8" s="519"/>
    </row>
    <row r="11" customFormat="false" ht="19.5" hidden="false" customHeight="true" outlineLevel="0" collapsed="false">
      <c r="B11" s="515"/>
      <c r="C11" s="515"/>
      <c r="D11" s="515"/>
      <c r="E11" s="515"/>
      <c r="F11" s="515"/>
    </row>
    <row r="12" customFormat="false" ht="19.5" hidden="false" customHeight="true" outlineLevel="0" collapsed="false">
      <c r="B12" s="520"/>
      <c r="C12" s="517"/>
      <c r="D12" s="517"/>
      <c r="E12" s="517"/>
      <c r="F12" s="294"/>
    </row>
    <row r="13" customFormat="false" ht="19.5" hidden="false" customHeight="true" outlineLevel="0" collapsed="false">
      <c r="B13" s="520"/>
      <c r="C13" s="517"/>
      <c r="D13" s="517"/>
      <c r="E13" s="517"/>
      <c r="F13" s="294"/>
    </row>
    <row r="14" customFormat="false" ht="19.5" hidden="false" customHeight="true" outlineLevel="0" collapsed="false">
      <c r="B14" s="520"/>
      <c r="C14" s="517"/>
      <c r="D14" s="517"/>
      <c r="E14" s="517"/>
      <c r="F14" s="519"/>
    </row>
    <row r="15" customFormat="false" ht="19.5" hidden="false" customHeight="true" outlineLevel="0" collapsed="false">
      <c r="B15" s="520"/>
      <c r="C15" s="517"/>
      <c r="D15" s="517"/>
      <c r="E15" s="517"/>
      <c r="F15" s="519"/>
    </row>
    <row r="16" customFormat="false" ht="19.5" hidden="false" customHeight="true" outlineLevel="0" collapsed="false">
      <c r="B16" s="520"/>
      <c r="C16" s="517"/>
      <c r="D16" s="517"/>
      <c r="E16" s="517"/>
      <c r="F16" s="519"/>
    </row>
    <row r="17" customFormat="false" ht="19.5" hidden="false" customHeight="true" outlineLevel="0" collapsed="false">
      <c r="B17" s="520"/>
      <c r="C17" s="517"/>
      <c r="D17" s="517"/>
      <c r="E17" s="517"/>
      <c r="F17" s="519"/>
    </row>
    <row r="20" customFormat="false" ht="19.5" hidden="false" customHeight="true" outlineLevel="0" collapsed="false">
      <c r="B20" s="515"/>
      <c r="C20" s="515"/>
      <c r="D20" s="515"/>
      <c r="E20" s="515"/>
    </row>
    <row r="21" customFormat="false" ht="18" hidden="false" customHeight="false" outlineLevel="0" collapsed="false">
      <c r="B21" s="520"/>
      <c r="C21" s="517"/>
      <c r="D21" s="521"/>
      <c r="E21" s="517"/>
    </row>
    <row r="22" customFormat="false" ht="18" hidden="false" customHeight="false" outlineLevel="0" collapsed="false">
      <c r="B22" s="520"/>
      <c r="C22" s="517"/>
      <c r="D22" s="521"/>
      <c r="E22" s="517"/>
    </row>
    <row r="23" customFormat="false" ht="18" hidden="false" customHeight="false" outlineLevel="0" collapsed="false">
      <c r="B23" s="520"/>
      <c r="C23" s="517"/>
      <c r="D23" s="521"/>
      <c r="E23" s="517"/>
    </row>
    <row r="24" customFormat="false" ht="18" hidden="false" customHeight="false" outlineLevel="0" collapsed="false">
      <c r="B24" s="520"/>
      <c r="C24" s="517"/>
      <c r="D24" s="521"/>
      <c r="E24" s="517"/>
    </row>
    <row r="25" customFormat="false" ht="18" hidden="false" customHeight="false" outlineLevel="0" collapsed="false">
      <c r="B25" s="520"/>
      <c r="C25" s="517"/>
      <c r="D25" s="521"/>
      <c r="E25" s="517"/>
    </row>
    <row r="26" customFormat="false" ht="18" hidden="false" customHeight="false" outlineLevel="0" collapsed="false">
      <c r="B26" s="520"/>
      <c r="C26" s="517"/>
      <c r="D26" s="521"/>
      <c r="E26" s="517"/>
    </row>
    <row r="29" customFormat="false" ht="19.5" hidden="false" customHeight="true" outlineLevel="0" collapsed="false">
      <c r="B29" s="515"/>
      <c r="C29" s="515"/>
      <c r="D29" s="515"/>
      <c r="E29" s="515"/>
    </row>
    <row r="30" customFormat="false" ht="18" hidden="false" customHeight="false" outlineLevel="0" collapsed="false">
      <c r="B30" s="520"/>
      <c r="C30" s="517"/>
      <c r="D30" s="517"/>
      <c r="E30" s="517"/>
    </row>
    <row r="31" customFormat="false" ht="18" hidden="false" customHeight="false" outlineLevel="0" collapsed="false">
      <c r="B31" s="520"/>
      <c r="C31" s="517"/>
      <c r="D31" s="517"/>
      <c r="E31" s="517"/>
    </row>
    <row r="32" customFormat="false" ht="18" hidden="false" customHeight="false" outlineLevel="0" collapsed="false">
      <c r="B32" s="520"/>
      <c r="C32" s="517"/>
      <c r="D32" s="517"/>
      <c r="E32" s="517"/>
    </row>
    <row r="33" customFormat="false" ht="18" hidden="false" customHeight="false" outlineLevel="0" collapsed="false">
      <c r="B33" s="520"/>
      <c r="C33" s="517"/>
      <c r="D33" s="517"/>
      <c r="E33" s="517"/>
    </row>
    <row r="34" customFormat="false" ht="18" hidden="false" customHeight="false" outlineLevel="0" collapsed="false">
      <c r="B34" s="520"/>
      <c r="C34" s="521"/>
      <c r="D34" s="521"/>
      <c r="E34" s="521"/>
    </row>
    <row r="35" customFormat="false" ht="18" hidden="false" customHeight="false" outlineLevel="0" collapsed="false">
      <c r="B35" s="520"/>
      <c r="C35" s="521"/>
      <c r="D35" s="521"/>
      <c r="E35" s="521"/>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3125" defaultRowHeight="18" zeroHeight="false" outlineLevelRow="0" outlineLevelCol="0"/>
  <cols>
    <col collapsed="false" customWidth="true" hidden="false" outlineLevel="0" max="2" min="2" style="20" width="6"/>
    <col collapsed="false" customWidth="true" hidden="false" outlineLevel="0" max="3" min="3" style="20" width="16"/>
    <col collapsed="false" customWidth="true" hidden="false" outlineLevel="0" max="4" min="4" style="20" width="70"/>
    <col collapsed="false" customWidth="true" hidden="false" outlineLevel="0" max="5" min="5" style="20" width="40"/>
    <col collapsed="false" customWidth="true" hidden="false" outlineLevel="0" max="6" min="6" style="20" width="14"/>
  </cols>
  <sheetData>
    <row r="2" customFormat="false" ht="18" hidden="false" customHeight="false" outlineLevel="0" collapsed="false">
      <c r="B2" s="275" t="s">
        <v>571</v>
      </c>
    </row>
    <row r="3" customFormat="false" ht="18" hidden="false" customHeight="false" outlineLevel="0" collapsed="false">
      <c r="B3" s="522" t="s">
        <v>255</v>
      </c>
      <c r="C3" s="523" t="s">
        <v>572</v>
      </c>
      <c r="D3" s="523" t="s">
        <v>573</v>
      </c>
      <c r="E3" s="523" t="s">
        <v>574</v>
      </c>
      <c r="F3" s="523" t="s">
        <v>575</v>
      </c>
    </row>
    <row r="4" customFormat="false" ht="26.85" hidden="false" customHeight="false" outlineLevel="0" collapsed="false">
      <c r="B4" s="20" t="n">
        <v>1</v>
      </c>
      <c r="C4" s="524" t="s">
        <v>576</v>
      </c>
      <c r="D4" s="524" t="s">
        <v>577</v>
      </c>
      <c r="E4" s="524" t="s">
        <v>578</v>
      </c>
      <c r="F4" s="525" t="s">
        <v>579</v>
      </c>
    </row>
    <row r="5" customFormat="false" ht="26.85" hidden="false" customHeight="false" outlineLevel="0" collapsed="false">
      <c r="B5" s="20" t="n">
        <v>2</v>
      </c>
      <c r="C5" s="524" t="s">
        <v>576</v>
      </c>
      <c r="D5" s="524" t="s">
        <v>580</v>
      </c>
      <c r="E5" s="524" t="s">
        <v>581</v>
      </c>
      <c r="F5" s="524" t="s">
        <v>582</v>
      </c>
    </row>
    <row r="6" customFormat="false" ht="18" hidden="false" customHeight="false" outlineLevel="0" collapsed="false">
      <c r="B6" s="20" t="n">
        <v>3</v>
      </c>
      <c r="C6" s="524" t="s">
        <v>576</v>
      </c>
      <c r="D6" s="524" t="s">
        <v>583</v>
      </c>
      <c r="E6" s="524" t="s">
        <v>584</v>
      </c>
      <c r="F6" s="524" t="s">
        <v>585</v>
      </c>
    </row>
    <row r="7" customFormat="false" ht="18" hidden="false" customHeight="false" outlineLevel="0" collapsed="false">
      <c r="B7" s="20" t="n">
        <v>4</v>
      </c>
      <c r="C7" s="524" t="s">
        <v>576</v>
      </c>
      <c r="D7" s="524" t="s">
        <v>586</v>
      </c>
      <c r="E7" s="524" t="s">
        <v>587</v>
      </c>
      <c r="F7" s="524" t="s">
        <v>585</v>
      </c>
    </row>
    <row r="8" customFormat="false" ht="26.85" hidden="false" customHeight="false" outlineLevel="0" collapsed="false">
      <c r="B8" s="20" t="n">
        <v>5</v>
      </c>
      <c r="C8" s="524" t="s">
        <v>576</v>
      </c>
      <c r="D8" s="525" t="s">
        <v>588</v>
      </c>
      <c r="E8" s="524" t="s">
        <v>589</v>
      </c>
      <c r="F8" s="524" t="s">
        <v>590</v>
      </c>
    </row>
    <row r="9" customFormat="false" ht="18" hidden="false" customHeight="false" outlineLevel="0" collapsed="false">
      <c r="B9" s="20" t="n">
        <v>6</v>
      </c>
      <c r="C9" s="524" t="s">
        <v>576</v>
      </c>
      <c r="D9" s="524" t="s">
        <v>591</v>
      </c>
      <c r="E9" s="524" t="s">
        <v>592</v>
      </c>
      <c r="F9" s="524" t="s">
        <v>593</v>
      </c>
    </row>
    <row r="10" customFormat="false" ht="18" hidden="false" customHeight="false" outlineLevel="0" collapsed="false">
      <c r="B10" s="20" t="n">
        <v>7</v>
      </c>
      <c r="C10" s="524" t="s">
        <v>576</v>
      </c>
      <c r="D10" s="525" t="s">
        <v>594</v>
      </c>
      <c r="E10" s="524" t="s">
        <v>595</v>
      </c>
      <c r="F10" s="524" t="s">
        <v>596</v>
      </c>
    </row>
    <row r="11" customFormat="false" ht="26.85" hidden="false" customHeight="false" outlineLevel="0" collapsed="false">
      <c r="B11" s="20" t="n">
        <v>8</v>
      </c>
      <c r="C11" s="524" t="s">
        <v>576</v>
      </c>
      <c r="D11" s="524" t="s">
        <v>597</v>
      </c>
      <c r="E11" s="524" t="s">
        <v>598</v>
      </c>
      <c r="F11" s="524" t="s">
        <v>599</v>
      </c>
    </row>
    <row r="12" customFormat="false" ht="18" hidden="false" customHeight="false" outlineLevel="0" collapsed="false">
      <c r="B12" s="20" t="n">
        <v>9</v>
      </c>
      <c r="C12" s="524" t="s">
        <v>600</v>
      </c>
      <c r="D12" s="524" t="s">
        <v>601</v>
      </c>
      <c r="E12" s="524" t="s">
        <v>602</v>
      </c>
      <c r="F12" s="524" t="s">
        <v>603</v>
      </c>
    </row>
    <row r="13" customFormat="false" ht="26.85" hidden="false" customHeight="false" outlineLevel="0" collapsed="false">
      <c r="B13" s="20" t="n">
        <v>10</v>
      </c>
      <c r="C13" s="524" t="s">
        <v>600</v>
      </c>
      <c r="D13" s="524" t="s">
        <v>604</v>
      </c>
      <c r="E13" s="524" t="s">
        <v>605</v>
      </c>
      <c r="F13" s="524" t="s">
        <v>606</v>
      </c>
    </row>
    <row r="14" customFormat="false" ht="18" hidden="false" customHeight="false" outlineLevel="0" collapsed="false">
      <c r="B14" s="20" t="n">
        <v>11</v>
      </c>
      <c r="C14" s="524" t="s">
        <v>600</v>
      </c>
      <c r="D14" s="524" t="s">
        <v>607</v>
      </c>
      <c r="E14" s="524" t="s">
        <v>608</v>
      </c>
      <c r="F14" s="524" t="s">
        <v>609</v>
      </c>
    </row>
    <row r="15" customFormat="false" ht="18" hidden="false" customHeight="false" outlineLevel="0" collapsed="false">
      <c r="B15" s="20" t="n">
        <v>12</v>
      </c>
      <c r="C15" s="524" t="s">
        <v>610</v>
      </c>
      <c r="D15" s="524" t="s">
        <v>611</v>
      </c>
      <c r="E15" s="524" t="s">
        <v>598</v>
      </c>
      <c r="F15" s="524" t="s">
        <v>612</v>
      </c>
    </row>
    <row r="16" customFormat="false" ht="18" hidden="false" customHeight="false" outlineLevel="0" collapsed="false">
      <c r="B16" s="20" t="n">
        <v>13</v>
      </c>
      <c r="C16" s="524" t="s">
        <v>610</v>
      </c>
      <c r="D16" s="524" t="s">
        <v>613</v>
      </c>
      <c r="E16" s="524" t="s">
        <v>614</v>
      </c>
      <c r="F16" s="524" t="s">
        <v>615</v>
      </c>
    </row>
    <row r="17" customFormat="false" ht="18" hidden="false" customHeight="false" outlineLevel="0" collapsed="false">
      <c r="B17" s="20" t="n">
        <v>14</v>
      </c>
      <c r="C17" s="524" t="s">
        <v>610</v>
      </c>
      <c r="D17" s="524" t="s">
        <v>616</v>
      </c>
      <c r="E17" s="524" t="s">
        <v>617</v>
      </c>
      <c r="F17" s="524" t="s">
        <v>618</v>
      </c>
    </row>
    <row r="18" customFormat="false" ht="26.85" hidden="false" customHeight="false" outlineLevel="0" collapsed="false">
      <c r="B18" s="20" t="n">
        <v>15</v>
      </c>
      <c r="C18" s="524" t="s">
        <v>619</v>
      </c>
      <c r="D18" s="524" t="s">
        <v>620</v>
      </c>
      <c r="E18" s="524" t="s">
        <v>621</v>
      </c>
      <c r="F18" s="524" t="s">
        <v>622</v>
      </c>
    </row>
    <row r="19" customFormat="false" ht="18" hidden="false" customHeight="false" outlineLevel="0" collapsed="false">
      <c r="B19" s="20" t="n">
        <v>16</v>
      </c>
      <c r="C19" s="524" t="s">
        <v>619</v>
      </c>
      <c r="D19" s="524" t="s">
        <v>623</v>
      </c>
      <c r="E19" s="524" t="s">
        <v>624</v>
      </c>
      <c r="F19" s="524" t="s">
        <v>622</v>
      </c>
    </row>
    <row r="21" customFormat="false" ht="18" hidden="false" customHeight="false" outlineLevel="0" collapsed="false">
      <c r="B21" s="526" t="s">
        <v>625</v>
      </c>
    </row>
    <row r="22" customFormat="false" ht="18" hidden="false" customHeight="false" outlineLevel="0" collapsed="false">
      <c r="B22" s="522" t="s">
        <v>255</v>
      </c>
      <c r="C22" s="523" t="s">
        <v>572</v>
      </c>
      <c r="D22" s="523" t="s">
        <v>573</v>
      </c>
      <c r="E22" s="523" t="s">
        <v>574</v>
      </c>
      <c r="F22" s="523" t="s">
        <v>575</v>
      </c>
    </row>
    <row r="23" customFormat="false" ht="26.85" hidden="false" customHeight="false" outlineLevel="0" collapsed="false">
      <c r="B23" s="20" t="n">
        <v>1</v>
      </c>
      <c r="C23" s="524" t="s">
        <v>626</v>
      </c>
      <c r="D23" s="524" t="s">
        <v>627</v>
      </c>
      <c r="E23" s="524" t="s">
        <v>628</v>
      </c>
      <c r="F23" s="524" t="s">
        <v>629</v>
      </c>
    </row>
    <row r="24" customFormat="false" ht="18" hidden="false" customHeight="false" outlineLevel="0" collapsed="false">
      <c r="B24" s="20" t="n">
        <v>2</v>
      </c>
      <c r="C24" s="524" t="s">
        <v>626</v>
      </c>
      <c r="D24" s="524" t="s">
        <v>630</v>
      </c>
      <c r="E24" s="524" t="s">
        <v>598</v>
      </c>
      <c r="F24" s="524" t="s">
        <v>629</v>
      </c>
    </row>
    <row r="25" customFormat="false" ht="18" hidden="false" customHeight="false" outlineLevel="0" collapsed="false">
      <c r="B25" s="20" t="n">
        <v>3</v>
      </c>
      <c r="C25" s="524" t="s">
        <v>626</v>
      </c>
      <c r="D25" s="524" t="s">
        <v>631</v>
      </c>
      <c r="E25" s="524" t="s">
        <v>632</v>
      </c>
      <c r="F25" s="524" t="s">
        <v>629</v>
      </c>
    </row>
    <row r="26" customFormat="false" ht="26.85" hidden="false" customHeight="false" outlineLevel="0" collapsed="false">
      <c r="B26" s="20" t="n">
        <v>4</v>
      </c>
      <c r="C26" s="524" t="s">
        <v>626</v>
      </c>
      <c r="D26" s="524" t="s">
        <v>633</v>
      </c>
      <c r="E26" s="524" t="s">
        <v>634</v>
      </c>
      <c r="F26" s="524" t="s">
        <v>629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75390625" defaultRowHeight="18" zeroHeight="false" outlineLevelRow="0" outlineLevelCol="0"/>
  <cols>
    <col collapsed="false" customWidth="true" hidden="false" outlineLevel="0" max="1" min="1" style="527" width="6.08"/>
    <col collapsed="false" customWidth="true" hidden="false" outlineLevel="0" max="2" min="2" style="528" width="5.33"/>
    <col collapsed="false" customWidth="true" hidden="false" outlineLevel="0" max="3" min="3" style="528" width="25.25"/>
    <col collapsed="false" customWidth="true" hidden="false" outlineLevel="0" max="113" min="4" style="529" width="3.09"/>
    <col collapsed="false" customWidth="true" hidden="false" outlineLevel="0" max="114" min="114" style="527" width="3.09"/>
    <col collapsed="false" customWidth="true" hidden="false" outlineLevel="0" max="115" min="115" style="527" width="5.25"/>
    <col collapsed="false" customWidth="false" hidden="false" outlineLevel="0" max="16384" min="116" style="527" width="8.76"/>
  </cols>
  <sheetData>
    <row r="1" customFormat="false" ht="19.5" hidden="false" customHeight="true" outlineLevel="0" collapsed="false">
      <c r="D1" s="530"/>
      <c r="E1" s="530"/>
      <c r="F1" s="530"/>
      <c r="G1" s="530"/>
      <c r="H1" s="530"/>
      <c r="I1" s="530"/>
      <c r="J1" s="530"/>
      <c r="K1" s="530"/>
      <c r="L1" s="530"/>
      <c r="M1" s="530"/>
      <c r="N1" s="530"/>
      <c r="O1" s="530"/>
      <c r="P1" s="530"/>
      <c r="Q1" s="530"/>
      <c r="R1" s="530"/>
      <c r="S1" s="530"/>
      <c r="T1" s="530"/>
      <c r="U1" s="530"/>
      <c r="V1" s="530"/>
      <c r="W1" s="530"/>
      <c r="X1" s="530"/>
      <c r="Y1" s="530"/>
      <c r="Z1" s="530"/>
      <c r="AA1" s="530"/>
      <c r="AB1" s="530"/>
      <c r="AC1" s="530"/>
      <c r="AD1" s="530"/>
      <c r="AE1" s="530"/>
      <c r="AF1" s="530"/>
      <c r="AG1" s="530"/>
      <c r="AH1" s="530"/>
      <c r="AI1" s="530"/>
      <c r="AJ1" s="530"/>
      <c r="AK1" s="530"/>
      <c r="AL1" s="530"/>
      <c r="AM1" s="530"/>
      <c r="AN1" s="530"/>
      <c r="AO1" s="530"/>
      <c r="AP1" s="530"/>
      <c r="AQ1" s="530"/>
      <c r="AR1" s="530"/>
      <c r="AS1" s="530"/>
      <c r="AT1" s="530"/>
      <c r="AU1" s="530"/>
      <c r="AV1" s="530"/>
      <c r="AW1" s="530"/>
      <c r="AX1" s="530"/>
      <c r="AY1" s="530"/>
      <c r="AZ1" s="530"/>
      <c r="BA1" s="530"/>
      <c r="BB1" s="530"/>
      <c r="BC1" s="530"/>
      <c r="BD1" s="530"/>
      <c r="BE1" s="530"/>
      <c r="BF1" s="530"/>
      <c r="BG1" s="530"/>
      <c r="BH1" s="530"/>
      <c r="BI1" s="530"/>
      <c r="BJ1" s="530"/>
      <c r="BK1" s="530"/>
      <c r="BL1" s="530"/>
      <c r="BM1" s="530"/>
      <c r="BN1" s="530"/>
      <c r="BO1" s="530"/>
      <c r="BP1" s="530"/>
      <c r="BQ1" s="530"/>
      <c r="BR1" s="530"/>
      <c r="BS1" s="530"/>
      <c r="BT1" s="530"/>
      <c r="BU1" s="530"/>
      <c r="BV1" s="530"/>
      <c r="BW1" s="530"/>
      <c r="BX1" s="530"/>
      <c r="BY1" s="530"/>
      <c r="BZ1" s="530"/>
      <c r="CA1" s="530"/>
      <c r="CB1" s="530"/>
      <c r="CC1" s="530"/>
      <c r="CD1" s="530"/>
      <c r="CE1" s="530"/>
      <c r="CF1" s="530"/>
      <c r="CG1" s="530"/>
      <c r="CH1" s="530"/>
      <c r="CI1" s="530"/>
      <c r="CJ1" s="530"/>
      <c r="CK1" s="530"/>
      <c r="CL1" s="530"/>
      <c r="CM1" s="530"/>
      <c r="CN1" s="530"/>
      <c r="CO1" s="530"/>
      <c r="CP1" s="530"/>
      <c r="CQ1" s="530"/>
      <c r="CR1" s="530"/>
      <c r="CS1" s="530"/>
      <c r="CT1" s="530"/>
      <c r="CU1" s="530"/>
      <c r="CV1" s="530"/>
      <c r="CW1" s="530"/>
      <c r="CX1" s="530"/>
      <c r="CY1" s="530"/>
      <c r="CZ1" s="530"/>
      <c r="DA1" s="530"/>
      <c r="DB1" s="530"/>
      <c r="DC1" s="530"/>
      <c r="DD1" s="530"/>
      <c r="DE1" s="530"/>
      <c r="DF1" s="530"/>
      <c r="DG1" s="530"/>
      <c r="DH1" s="530"/>
      <c r="DI1" s="530"/>
    </row>
    <row r="2" customFormat="false" ht="6.75" hidden="false" customHeight="true" outlineLevel="0" collapsed="false"/>
    <row r="3" customFormat="false" ht="18" hidden="false" customHeight="false" outlineLevel="0" collapsed="false">
      <c r="B3" s="531" t="s">
        <v>635</v>
      </c>
      <c r="C3" s="531"/>
      <c r="D3" s="531" t="s">
        <v>636</v>
      </c>
      <c r="E3" s="531"/>
      <c r="F3" s="531"/>
      <c r="G3" s="531"/>
      <c r="H3" s="531"/>
      <c r="I3" s="531"/>
      <c r="J3" s="531"/>
      <c r="K3" s="531"/>
      <c r="L3" s="531"/>
      <c r="M3" s="531"/>
      <c r="N3" s="531"/>
      <c r="O3" s="531"/>
      <c r="P3" s="531"/>
      <c r="Q3" s="531"/>
      <c r="R3" s="531"/>
      <c r="S3" s="531"/>
      <c r="T3" s="531"/>
      <c r="U3" s="531" t="s">
        <v>637</v>
      </c>
      <c r="V3" s="531"/>
      <c r="W3" s="531"/>
      <c r="X3" s="531"/>
      <c r="Y3" s="531"/>
      <c r="Z3" s="531"/>
      <c r="AA3" s="531"/>
      <c r="AB3" s="531"/>
      <c r="AC3" s="531"/>
      <c r="AD3" s="531"/>
      <c r="AE3" s="531"/>
      <c r="AF3" s="531"/>
      <c r="AG3" s="531"/>
      <c r="AH3" s="531"/>
      <c r="AI3" s="531"/>
      <c r="AJ3" s="531"/>
      <c r="AK3" s="531"/>
      <c r="AL3" s="531"/>
      <c r="AM3" s="531"/>
      <c r="AN3" s="531"/>
      <c r="AO3" s="531"/>
      <c r="AP3" s="531"/>
      <c r="AQ3" s="531"/>
      <c r="AR3" s="531"/>
      <c r="AS3" s="531"/>
      <c r="AT3" s="531"/>
      <c r="AU3" s="531"/>
      <c r="AV3" s="531"/>
      <c r="AW3" s="531"/>
      <c r="AX3" s="531"/>
      <c r="AY3" s="531"/>
      <c r="AZ3" s="531" t="s">
        <v>638</v>
      </c>
      <c r="BA3" s="531"/>
      <c r="BB3" s="531"/>
      <c r="BC3" s="531"/>
      <c r="BD3" s="531"/>
      <c r="BE3" s="531"/>
      <c r="BF3" s="531"/>
      <c r="BG3" s="531"/>
      <c r="BH3" s="531"/>
      <c r="BI3" s="531"/>
      <c r="BJ3" s="531"/>
      <c r="BK3" s="531"/>
      <c r="BL3" s="531"/>
      <c r="BM3" s="531"/>
      <c r="BN3" s="531"/>
      <c r="BO3" s="531"/>
      <c r="BP3" s="531"/>
      <c r="BQ3" s="531"/>
      <c r="BR3" s="531"/>
      <c r="BS3" s="531"/>
      <c r="BT3" s="531"/>
      <c r="BU3" s="531"/>
      <c r="BV3" s="531"/>
      <c r="BW3" s="531"/>
      <c r="BX3" s="531"/>
      <c r="BY3" s="531"/>
      <c r="BZ3" s="531"/>
      <c r="CA3" s="531"/>
      <c r="CB3" s="531"/>
      <c r="CC3" s="531"/>
      <c r="CD3" s="531"/>
      <c r="CE3" s="531" t="s">
        <v>639</v>
      </c>
      <c r="CF3" s="531"/>
      <c r="CG3" s="531"/>
      <c r="CH3" s="531"/>
      <c r="CI3" s="531"/>
      <c r="CJ3" s="531"/>
      <c r="CK3" s="531"/>
      <c r="CL3" s="531"/>
      <c r="CM3" s="531"/>
      <c r="CN3" s="531"/>
      <c r="CO3" s="531"/>
      <c r="CP3" s="531"/>
      <c r="CQ3" s="531"/>
      <c r="CR3" s="531"/>
      <c r="CS3" s="531"/>
      <c r="CT3" s="531"/>
      <c r="CU3" s="531"/>
      <c r="CV3" s="531"/>
      <c r="CW3" s="531"/>
      <c r="CX3" s="531"/>
      <c r="CY3" s="531"/>
      <c r="CZ3" s="531"/>
      <c r="DA3" s="531"/>
      <c r="DB3" s="531"/>
      <c r="DC3" s="531"/>
      <c r="DD3" s="531"/>
      <c r="DE3" s="531"/>
      <c r="DF3" s="531"/>
      <c r="DG3" s="531"/>
      <c r="DH3" s="531"/>
      <c r="DI3" s="531"/>
    </row>
    <row r="4" customFormat="false" ht="18" hidden="false" customHeight="false" outlineLevel="0" collapsed="false">
      <c r="B4" s="531"/>
      <c r="C4" s="531"/>
      <c r="D4" s="532" t="n">
        <v>12</v>
      </c>
      <c r="E4" s="533" t="n">
        <v>13</v>
      </c>
      <c r="F4" s="534" t="n">
        <v>14</v>
      </c>
      <c r="G4" s="532" t="n">
        <v>15</v>
      </c>
      <c r="H4" s="532" t="n">
        <v>16</v>
      </c>
      <c r="I4" s="532" t="n">
        <v>17</v>
      </c>
      <c r="J4" s="532" t="n">
        <v>18</v>
      </c>
      <c r="K4" s="532" t="n">
        <v>19</v>
      </c>
      <c r="L4" s="532" t="n">
        <v>20</v>
      </c>
      <c r="M4" s="532" t="n">
        <v>21</v>
      </c>
      <c r="N4" s="532" t="n">
        <v>22</v>
      </c>
      <c r="O4" s="532" t="n">
        <v>23</v>
      </c>
      <c r="P4" s="532" t="n">
        <v>24</v>
      </c>
      <c r="Q4" s="532" t="n">
        <v>25</v>
      </c>
      <c r="R4" s="532" t="n">
        <v>26</v>
      </c>
      <c r="S4" s="532" t="n">
        <v>27</v>
      </c>
      <c r="T4" s="532" t="n">
        <v>28</v>
      </c>
      <c r="U4" s="532" t="n">
        <v>1</v>
      </c>
      <c r="V4" s="532" t="n">
        <v>2</v>
      </c>
      <c r="W4" s="532" t="n">
        <v>3</v>
      </c>
      <c r="X4" s="532" t="n">
        <v>4</v>
      </c>
      <c r="Y4" s="532" t="n">
        <v>5</v>
      </c>
      <c r="Z4" s="532" t="n">
        <v>6</v>
      </c>
      <c r="AA4" s="532" t="n">
        <v>7</v>
      </c>
      <c r="AB4" s="532" t="n">
        <v>8</v>
      </c>
      <c r="AC4" s="532" t="n">
        <v>9</v>
      </c>
      <c r="AD4" s="532" t="n">
        <v>10</v>
      </c>
      <c r="AE4" s="532" t="n">
        <v>11</v>
      </c>
      <c r="AF4" s="532" t="n">
        <v>12</v>
      </c>
      <c r="AG4" s="532" t="n">
        <v>13</v>
      </c>
      <c r="AH4" s="532" t="n">
        <v>14</v>
      </c>
      <c r="AI4" s="532" t="n">
        <v>15</v>
      </c>
      <c r="AJ4" s="532" t="n">
        <v>16</v>
      </c>
      <c r="AK4" s="532" t="n">
        <v>17</v>
      </c>
      <c r="AL4" s="532" t="n">
        <v>18</v>
      </c>
      <c r="AM4" s="532" t="n">
        <v>19</v>
      </c>
      <c r="AN4" s="532" t="n">
        <v>20</v>
      </c>
      <c r="AO4" s="532" t="n">
        <v>21</v>
      </c>
      <c r="AP4" s="532" t="n">
        <v>22</v>
      </c>
      <c r="AQ4" s="532" t="n">
        <v>23</v>
      </c>
      <c r="AR4" s="532" t="n">
        <v>24</v>
      </c>
      <c r="AS4" s="532" t="n">
        <v>25</v>
      </c>
      <c r="AT4" s="532" t="n">
        <v>26</v>
      </c>
      <c r="AU4" s="532" t="n">
        <v>27</v>
      </c>
      <c r="AV4" s="532" t="n">
        <v>28</v>
      </c>
      <c r="AW4" s="532" t="n">
        <v>29</v>
      </c>
      <c r="AX4" s="532" t="n">
        <v>30</v>
      </c>
      <c r="AY4" s="532" t="n">
        <v>31</v>
      </c>
      <c r="AZ4" s="532" t="n">
        <v>1</v>
      </c>
      <c r="BA4" s="532" t="n">
        <v>2</v>
      </c>
      <c r="BB4" s="532" t="n">
        <v>3</v>
      </c>
      <c r="BC4" s="532" t="n">
        <v>4</v>
      </c>
      <c r="BD4" s="532" t="n">
        <v>5</v>
      </c>
      <c r="BE4" s="532" t="n">
        <v>6</v>
      </c>
      <c r="BF4" s="532" t="n">
        <v>7</v>
      </c>
      <c r="BG4" s="532" t="n">
        <v>8</v>
      </c>
      <c r="BH4" s="532" t="n">
        <v>9</v>
      </c>
      <c r="BI4" s="532" t="n">
        <v>10</v>
      </c>
      <c r="BJ4" s="532" t="n">
        <v>11</v>
      </c>
      <c r="BK4" s="532" t="n">
        <v>12</v>
      </c>
      <c r="BL4" s="532" t="n">
        <v>13</v>
      </c>
      <c r="BM4" s="532" t="n">
        <v>14</v>
      </c>
      <c r="BN4" s="532" t="n">
        <v>15</v>
      </c>
      <c r="BO4" s="532" t="n">
        <v>16</v>
      </c>
      <c r="BP4" s="532" t="n">
        <v>17</v>
      </c>
      <c r="BQ4" s="532" t="n">
        <v>18</v>
      </c>
      <c r="BR4" s="532" t="n">
        <v>19</v>
      </c>
      <c r="BS4" s="532" t="n">
        <v>20</v>
      </c>
      <c r="BT4" s="532" t="n">
        <v>21</v>
      </c>
      <c r="BU4" s="532" t="n">
        <v>22</v>
      </c>
      <c r="BV4" s="532" t="n">
        <v>23</v>
      </c>
      <c r="BW4" s="532" t="n">
        <v>24</v>
      </c>
      <c r="BX4" s="532" t="n">
        <v>25</v>
      </c>
      <c r="BY4" s="532" t="n">
        <v>26</v>
      </c>
      <c r="BZ4" s="532" t="n">
        <v>27</v>
      </c>
      <c r="CA4" s="532" t="n">
        <v>28</v>
      </c>
      <c r="CB4" s="532" t="n">
        <v>29</v>
      </c>
      <c r="CC4" s="532" t="n">
        <v>30</v>
      </c>
      <c r="CD4" s="532" t="n">
        <v>31</v>
      </c>
      <c r="CE4" s="532" t="n">
        <v>1</v>
      </c>
      <c r="CF4" s="532" t="n">
        <v>2</v>
      </c>
      <c r="CG4" s="532" t="n">
        <v>3</v>
      </c>
      <c r="CH4" s="532" t="n">
        <v>4</v>
      </c>
      <c r="CI4" s="532" t="n">
        <v>5</v>
      </c>
      <c r="CJ4" s="532" t="n">
        <v>6</v>
      </c>
      <c r="CK4" s="532" t="n">
        <v>7</v>
      </c>
      <c r="CL4" s="532" t="n">
        <v>8</v>
      </c>
      <c r="CM4" s="532" t="n">
        <v>9</v>
      </c>
      <c r="CN4" s="532" t="n">
        <v>10</v>
      </c>
      <c r="CO4" s="532" t="n">
        <v>11</v>
      </c>
      <c r="CP4" s="532" t="n">
        <v>12</v>
      </c>
      <c r="CQ4" s="532" t="n">
        <v>13</v>
      </c>
      <c r="CR4" s="532" t="n">
        <v>14</v>
      </c>
      <c r="CS4" s="532" t="n">
        <v>15</v>
      </c>
      <c r="CT4" s="532" t="n">
        <v>16</v>
      </c>
      <c r="CU4" s="532" t="n">
        <v>17</v>
      </c>
      <c r="CV4" s="532" t="n">
        <v>18</v>
      </c>
      <c r="CW4" s="532" t="n">
        <v>19</v>
      </c>
      <c r="CX4" s="532" t="n">
        <v>20</v>
      </c>
      <c r="CY4" s="532" t="n">
        <v>21</v>
      </c>
      <c r="CZ4" s="532" t="n">
        <v>22</v>
      </c>
      <c r="DA4" s="532" t="n">
        <v>23</v>
      </c>
      <c r="DB4" s="532" t="n">
        <v>24</v>
      </c>
      <c r="DC4" s="532" t="n">
        <v>25</v>
      </c>
      <c r="DD4" s="532" t="n">
        <v>26</v>
      </c>
      <c r="DE4" s="532" t="n">
        <v>27</v>
      </c>
      <c r="DF4" s="532" t="n">
        <v>28</v>
      </c>
      <c r="DG4" s="532" t="n">
        <v>29</v>
      </c>
      <c r="DH4" s="532" t="n">
        <v>30</v>
      </c>
      <c r="DI4" s="532" t="n">
        <v>31</v>
      </c>
    </row>
    <row r="5" customFormat="false" ht="18" hidden="false" customHeight="false" outlineLevel="0" collapsed="false">
      <c r="B5" s="535" t="s">
        <v>640</v>
      </c>
      <c r="C5" s="536" t="s">
        <v>641</v>
      </c>
      <c r="D5" s="537"/>
      <c r="E5" s="538"/>
      <c r="F5" s="538"/>
      <c r="G5" s="538"/>
      <c r="H5" s="538"/>
      <c r="I5" s="538"/>
      <c r="J5" s="538"/>
      <c r="K5" s="538"/>
      <c r="L5" s="538"/>
      <c r="M5" s="538"/>
      <c r="N5" s="538"/>
      <c r="O5" s="538"/>
      <c r="P5" s="538"/>
      <c r="Q5" s="538"/>
      <c r="R5" s="538"/>
      <c r="S5" s="538"/>
      <c r="T5" s="538"/>
      <c r="U5" s="538"/>
      <c r="V5" s="538"/>
      <c r="W5" s="538"/>
      <c r="X5" s="538"/>
      <c r="Y5" s="538"/>
      <c r="Z5" s="538"/>
      <c r="AA5" s="538"/>
      <c r="AB5" s="538"/>
      <c r="AC5" s="538"/>
      <c r="AD5" s="538"/>
      <c r="AE5" s="538"/>
      <c r="AF5" s="538"/>
      <c r="AG5" s="538"/>
      <c r="AH5" s="538"/>
      <c r="AI5" s="538"/>
      <c r="AJ5" s="538"/>
      <c r="AK5" s="538"/>
      <c r="AL5" s="538"/>
      <c r="AM5" s="538"/>
      <c r="AN5" s="538"/>
      <c r="AO5" s="538"/>
      <c r="AP5" s="538"/>
      <c r="AQ5" s="538"/>
      <c r="AR5" s="538"/>
      <c r="AS5" s="538"/>
      <c r="AT5" s="538"/>
      <c r="AU5" s="538"/>
      <c r="AV5" s="538"/>
      <c r="AW5" s="538"/>
      <c r="AX5" s="538"/>
      <c r="AY5" s="538"/>
      <c r="AZ5" s="538"/>
      <c r="BA5" s="538"/>
      <c r="BB5" s="538"/>
      <c r="BC5" s="538"/>
      <c r="BD5" s="538"/>
      <c r="BE5" s="538"/>
      <c r="BF5" s="538"/>
      <c r="BG5" s="538"/>
      <c r="BH5" s="538"/>
      <c r="BI5" s="538"/>
      <c r="BJ5" s="538"/>
      <c r="BK5" s="538"/>
      <c r="BL5" s="538"/>
      <c r="BM5" s="538"/>
      <c r="BN5" s="538"/>
      <c r="BO5" s="538"/>
      <c r="BP5" s="538"/>
      <c r="BQ5" s="538"/>
      <c r="BR5" s="538"/>
      <c r="BS5" s="538"/>
      <c r="BT5" s="538"/>
      <c r="BU5" s="538"/>
      <c r="BV5" s="538"/>
      <c r="BW5" s="538"/>
      <c r="BX5" s="538"/>
      <c r="BY5" s="538"/>
      <c r="BZ5" s="538"/>
      <c r="CA5" s="538"/>
      <c r="CB5" s="538"/>
      <c r="CC5" s="538"/>
      <c r="CD5" s="538"/>
      <c r="CE5" s="538"/>
      <c r="CF5" s="538"/>
      <c r="CG5" s="538"/>
      <c r="CH5" s="538"/>
      <c r="CI5" s="538"/>
      <c r="CJ5" s="538"/>
      <c r="CK5" s="538"/>
      <c r="CL5" s="538"/>
      <c r="CM5" s="538"/>
      <c r="CN5" s="538"/>
      <c r="CO5" s="538"/>
      <c r="CP5" s="538"/>
      <c r="CQ5" s="538"/>
      <c r="CR5" s="538"/>
      <c r="CS5" s="538"/>
      <c r="CT5" s="538"/>
      <c r="CU5" s="538"/>
      <c r="CV5" s="538"/>
      <c r="CW5" s="538"/>
      <c r="CX5" s="538"/>
      <c r="CY5" s="538"/>
      <c r="CZ5" s="538"/>
      <c r="DA5" s="538"/>
      <c r="DB5" s="538"/>
      <c r="DC5" s="538"/>
      <c r="DD5" s="538"/>
      <c r="DE5" s="538"/>
      <c r="DF5" s="538"/>
      <c r="DG5" s="538"/>
      <c r="DH5" s="538"/>
      <c r="DI5" s="538"/>
    </row>
    <row r="6" customFormat="false" ht="18" hidden="false" customHeight="false" outlineLevel="0" collapsed="false">
      <c r="B6" s="535"/>
      <c r="C6" s="536" t="s">
        <v>642</v>
      </c>
      <c r="D6" s="538"/>
      <c r="E6" s="537"/>
      <c r="F6" s="537"/>
      <c r="G6" s="538"/>
      <c r="H6" s="538"/>
      <c r="I6" s="538"/>
      <c r="J6" s="538"/>
      <c r="K6" s="538"/>
      <c r="L6" s="538"/>
      <c r="M6" s="538"/>
      <c r="N6" s="538"/>
      <c r="O6" s="538"/>
      <c r="P6" s="538"/>
      <c r="Q6" s="538"/>
      <c r="R6" s="538"/>
      <c r="S6" s="538"/>
      <c r="T6" s="538"/>
      <c r="U6" s="538"/>
      <c r="V6" s="538"/>
      <c r="W6" s="538"/>
      <c r="X6" s="538"/>
      <c r="Y6" s="538"/>
      <c r="Z6" s="538"/>
      <c r="AA6" s="538"/>
      <c r="AB6" s="538"/>
      <c r="AC6" s="538"/>
      <c r="AD6" s="538"/>
      <c r="AE6" s="538"/>
      <c r="AF6" s="538"/>
      <c r="AG6" s="538"/>
      <c r="AH6" s="538"/>
      <c r="AI6" s="538"/>
      <c r="AJ6" s="538"/>
      <c r="AK6" s="538"/>
      <c r="AL6" s="538"/>
      <c r="AM6" s="538"/>
      <c r="AN6" s="538"/>
      <c r="AO6" s="538"/>
      <c r="AP6" s="538"/>
      <c r="AQ6" s="538"/>
      <c r="AR6" s="538"/>
      <c r="AS6" s="538"/>
      <c r="AT6" s="538"/>
      <c r="AU6" s="538"/>
      <c r="AV6" s="538"/>
      <c r="AW6" s="538"/>
      <c r="AX6" s="538"/>
      <c r="AY6" s="538"/>
      <c r="AZ6" s="538"/>
      <c r="BA6" s="538"/>
      <c r="BB6" s="538"/>
      <c r="BC6" s="538"/>
      <c r="BD6" s="538"/>
      <c r="BE6" s="538"/>
      <c r="BF6" s="538"/>
      <c r="BG6" s="538"/>
      <c r="BH6" s="538"/>
      <c r="BI6" s="538"/>
      <c r="BJ6" s="538"/>
      <c r="BK6" s="538"/>
      <c r="BL6" s="538"/>
      <c r="BM6" s="538"/>
      <c r="BN6" s="538"/>
      <c r="BO6" s="538"/>
      <c r="BP6" s="538"/>
      <c r="BQ6" s="538"/>
      <c r="BR6" s="538"/>
      <c r="BS6" s="538"/>
      <c r="BT6" s="538"/>
      <c r="BU6" s="538"/>
      <c r="BV6" s="538"/>
      <c r="BW6" s="538"/>
      <c r="BX6" s="538"/>
      <c r="BY6" s="538"/>
      <c r="BZ6" s="538"/>
      <c r="CA6" s="538"/>
      <c r="CB6" s="538"/>
      <c r="CC6" s="538"/>
      <c r="CD6" s="538"/>
      <c r="CE6" s="538"/>
      <c r="CF6" s="538"/>
      <c r="CG6" s="538"/>
      <c r="CH6" s="538"/>
      <c r="CI6" s="538"/>
      <c r="CJ6" s="538"/>
      <c r="CK6" s="538"/>
      <c r="CL6" s="538"/>
      <c r="CM6" s="538"/>
      <c r="CN6" s="538"/>
      <c r="CO6" s="538"/>
      <c r="CP6" s="538"/>
      <c r="CQ6" s="538"/>
      <c r="CR6" s="538"/>
      <c r="CS6" s="538"/>
      <c r="CT6" s="538"/>
      <c r="CU6" s="538"/>
      <c r="CV6" s="538"/>
      <c r="CW6" s="538"/>
      <c r="CX6" s="538"/>
      <c r="CY6" s="538"/>
      <c r="CZ6" s="538"/>
      <c r="DA6" s="538"/>
      <c r="DB6" s="538"/>
      <c r="DC6" s="538"/>
      <c r="DD6" s="538"/>
      <c r="DE6" s="538"/>
      <c r="DF6" s="538"/>
      <c r="DG6" s="538"/>
      <c r="DH6" s="538"/>
      <c r="DI6" s="538"/>
    </row>
    <row r="7" customFormat="false" ht="18" hidden="false" customHeight="false" outlineLevel="0" collapsed="false">
      <c r="B7" s="535"/>
      <c r="C7" s="536" t="s">
        <v>643</v>
      </c>
      <c r="D7" s="538"/>
      <c r="E7" s="538"/>
      <c r="F7" s="538"/>
      <c r="G7" s="537"/>
      <c r="H7" s="538"/>
      <c r="I7" s="538"/>
      <c r="J7" s="538"/>
      <c r="K7" s="538"/>
      <c r="L7" s="538"/>
      <c r="M7" s="538"/>
      <c r="N7" s="538"/>
      <c r="O7" s="538"/>
      <c r="P7" s="538"/>
      <c r="Q7" s="538"/>
      <c r="R7" s="538"/>
      <c r="S7" s="538"/>
      <c r="T7" s="538"/>
      <c r="U7" s="538"/>
      <c r="V7" s="538"/>
      <c r="W7" s="538"/>
      <c r="X7" s="538"/>
      <c r="Y7" s="538"/>
      <c r="Z7" s="538"/>
      <c r="AA7" s="538"/>
      <c r="AB7" s="538"/>
      <c r="AC7" s="538"/>
      <c r="AD7" s="538"/>
      <c r="AE7" s="538"/>
      <c r="AF7" s="538"/>
      <c r="AG7" s="538"/>
      <c r="AH7" s="538"/>
      <c r="AI7" s="538"/>
      <c r="AJ7" s="538"/>
      <c r="AK7" s="538"/>
      <c r="AL7" s="538"/>
      <c r="AM7" s="538"/>
      <c r="AN7" s="538"/>
      <c r="AO7" s="538"/>
      <c r="AP7" s="538"/>
      <c r="AQ7" s="538"/>
      <c r="AR7" s="538"/>
      <c r="AS7" s="538"/>
      <c r="AT7" s="538"/>
      <c r="AU7" s="538"/>
      <c r="AV7" s="538"/>
      <c r="AW7" s="538"/>
      <c r="AX7" s="538"/>
      <c r="AY7" s="538"/>
      <c r="AZ7" s="538"/>
      <c r="BA7" s="538"/>
      <c r="BB7" s="538"/>
      <c r="BC7" s="538"/>
      <c r="BD7" s="538"/>
      <c r="BE7" s="538"/>
      <c r="BF7" s="538"/>
      <c r="BG7" s="538"/>
      <c r="BH7" s="538"/>
      <c r="BI7" s="538"/>
      <c r="BJ7" s="538"/>
      <c r="BK7" s="538"/>
      <c r="BL7" s="538"/>
      <c r="BM7" s="538"/>
      <c r="BN7" s="538"/>
      <c r="BO7" s="538"/>
      <c r="BP7" s="538"/>
      <c r="BQ7" s="538"/>
      <c r="BR7" s="538"/>
      <c r="BS7" s="538"/>
      <c r="BT7" s="538"/>
      <c r="BU7" s="538"/>
      <c r="BV7" s="538"/>
      <c r="BW7" s="538"/>
      <c r="BX7" s="538"/>
      <c r="BY7" s="538"/>
      <c r="BZ7" s="538"/>
      <c r="CA7" s="538"/>
      <c r="CB7" s="538"/>
      <c r="CC7" s="538"/>
      <c r="CD7" s="538"/>
      <c r="CE7" s="538"/>
      <c r="CF7" s="538"/>
      <c r="CG7" s="538"/>
      <c r="CH7" s="538"/>
      <c r="CI7" s="538"/>
      <c r="CJ7" s="538"/>
      <c r="CK7" s="538"/>
      <c r="CL7" s="538"/>
      <c r="CM7" s="538"/>
      <c r="CN7" s="538"/>
      <c r="CO7" s="538"/>
      <c r="CP7" s="538"/>
      <c r="CQ7" s="538"/>
      <c r="CR7" s="538"/>
      <c r="CS7" s="538"/>
      <c r="CT7" s="538"/>
      <c r="CU7" s="538"/>
      <c r="CV7" s="538"/>
      <c r="CW7" s="538"/>
      <c r="CX7" s="538"/>
      <c r="CY7" s="538"/>
      <c r="CZ7" s="538"/>
      <c r="DA7" s="538"/>
      <c r="DB7" s="538"/>
      <c r="DC7" s="538"/>
      <c r="DD7" s="538"/>
      <c r="DE7" s="538"/>
      <c r="DF7" s="538"/>
      <c r="DG7" s="538"/>
      <c r="DH7" s="538"/>
      <c r="DI7" s="538"/>
    </row>
    <row r="8" customFormat="false" ht="18" hidden="false" customHeight="false" outlineLevel="0" collapsed="false">
      <c r="B8" s="535"/>
      <c r="C8" s="536" t="s">
        <v>644</v>
      </c>
      <c r="D8" s="538"/>
      <c r="E8" s="538"/>
      <c r="F8" s="538"/>
      <c r="G8" s="537"/>
      <c r="H8" s="538"/>
      <c r="I8" s="538"/>
      <c r="J8" s="538"/>
      <c r="K8" s="538"/>
      <c r="L8" s="538"/>
      <c r="M8" s="538"/>
      <c r="N8" s="538"/>
      <c r="O8" s="538"/>
      <c r="P8" s="538"/>
      <c r="Q8" s="538"/>
      <c r="R8" s="538"/>
      <c r="S8" s="538"/>
      <c r="T8" s="538"/>
      <c r="U8" s="539"/>
      <c r="V8" s="539"/>
      <c r="W8" s="539"/>
      <c r="X8" s="539"/>
      <c r="Y8" s="539"/>
      <c r="Z8" s="539"/>
      <c r="AA8" s="539"/>
      <c r="AB8" s="539"/>
      <c r="AC8" s="539"/>
      <c r="AD8" s="539"/>
      <c r="AE8" s="539"/>
      <c r="AF8" s="539"/>
      <c r="AG8" s="539"/>
      <c r="AH8" s="539"/>
      <c r="AI8" s="539"/>
      <c r="AJ8" s="539"/>
      <c r="AK8" s="539"/>
      <c r="AL8" s="539"/>
      <c r="AM8" s="539"/>
      <c r="AN8" s="539"/>
      <c r="AO8" s="539"/>
      <c r="AP8" s="539"/>
      <c r="AQ8" s="539"/>
      <c r="AR8" s="539"/>
      <c r="AS8" s="539"/>
      <c r="AT8" s="539"/>
      <c r="AU8" s="539"/>
      <c r="AV8" s="539"/>
      <c r="AW8" s="539"/>
      <c r="AX8" s="539"/>
      <c r="AY8" s="538"/>
      <c r="AZ8" s="539"/>
      <c r="BA8" s="539"/>
      <c r="BB8" s="539"/>
      <c r="BC8" s="539"/>
      <c r="BD8" s="539"/>
      <c r="BE8" s="539"/>
      <c r="BF8" s="539"/>
      <c r="BG8" s="539"/>
      <c r="BH8" s="539"/>
      <c r="BI8" s="539"/>
      <c r="BJ8" s="539"/>
      <c r="BK8" s="539"/>
      <c r="BL8" s="539"/>
      <c r="BM8" s="539"/>
      <c r="BN8" s="539"/>
      <c r="BO8" s="539"/>
      <c r="BP8" s="539"/>
      <c r="BQ8" s="539"/>
      <c r="BR8" s="539"/>
      <c r="BS8" s="539"/>
      <c r="BT8" s="539"/>
      <c r="BU8" s="539"/>
      <c r="BV8" s="539"/>
      <c r="BW8" s="539"/>
      <c r="BX8" s="539"/>
      <c r="BY8" s="539"/>
      <c r="BZ8" s="539"/>
      <c r="CA8" s="539"/>
      <c r="CB8" s="539"/>
      <c r="CC8" s="539"/>
      <c r="CD8" s="538"/>
      <c r="CE8" s="539"/>
      <c r="CF8" s="539"/>
      <c r="CG8" s="539"/>
      <c r="CH8" s="539"/>
      <c r="CI8" s="539"/>
      <c r="CJ8" s="539"/>
      <c r="CK8" s="539"/>
      <c r="CL8" s="539"/>
      <c r="CM8" s="539"/>
      <c r="CN8" s="539"/>
      <c r="CO8" s="539"/>
      <c r="CP8" s="539"/>
      <c r="CQ8" s="539"/>
      <c r="CR8" s="539"/>
      <c r="CS8" s="539"/>
      <c r="CT8" s="539"/>
      <c r="CU8" s="539"/>
      <c r="CV8" s="539"/>
      <c r="CW8" s="539"/>
      <c r="CX8" s="539"/>
      <c r="CY8" s="539"/>
      <c r="CZ8" s="539"/>
      <c r="DA8" s="539"/>
      <c r="DB8" s="539"/>
      <c r="DC8" s="539"/>
      <c r="DD8" s="539"/>
      <c r="DE8" s="539"/>
      <c r="DF8" s="539"/>
      <c r="DG8" s="539"/>
      <c r="DH8" s="539"/>
      <c r="DI8" s="538"/>
    </row>
    <row r="9" customFormat="false" ht="18" hidden="false" customHeight="false" outlineLevel="0" collapsed="false">
      <c r="B9" s="540" t="s">
        <v>645</v>
      </c>
      <c r="C9" s="536" t="s">
        <v>646</v>
      </c>
      <c r="D9" s="538"/>
      <c r="E9" s="538"/>
      <c r="F9" s="538"/>
      <c r="G9" s="538"/>
      <c r="H9" s="537"/>
      <c r="I9" s="538"/>
      <c r="J9" s="538"/>
      <c r="K9" s="538"/>
      <c r="L9" s="538"/>
      <c r="M9" s="538"/>
      <c r="N9" s="538"/>
      <c r="O9" s="538"/>
      <c r="P9" s="538"/>
      <c r="Q9" s="538"/>
      <c r="R9" s="538"/>
      <c r="S9" s="538"/>
      <c r="T9" s="538"/>
      <c r="U9" s="538"/>
      <c r="V9" s="538"/>
      <c r="W9" s="538"/>
      <c r="X9" s="538"/>
      <c r="Y9" s="538"/>
      <c r="Z9" s="538"/>
      <c r="AA9" s="538"/>
      <c r="AB9" s="538"/>
      <c r="AC9" s="538"/>
      <c r="AD9" s="538"/>
      <c r="AE9" s="538"/>
      <c r="AF9" s="538"/>
      <c r="AG9" s="538"/>
      <c r="AH9" s="538"/>
      <c r="AI9" s="538"/>
      <c r="AJ9" s="538"/>
      <c r="AK9" s="538"/>
      <c r="AL9" s="538"/>
      <c r="AM9" s="538"/>
      <c r="AN9" s="538"/>
      <c r="AO9" s="538"/>
      <c r="AP9" s="538"/>
      <c r="AQ9" s="538"/>
      <c r="AR9" s="538"/>
      <c r="AS9" s="538"/>
      <c r="AT9" s="538"/>
      <c r="AU9" s="538"/>
      <c r="AV9" s="538"/>
      <c r="AW9" s="538"/>
      <c r="AX9" s="538"/>
      <c r="AY9" s="538"/>
      <c r="AZ9" s="538"/>
      <c r="BA9" s="538"/>
      <c r="BB9" s="538"/>
      <c r="BC9" s="538"/>
      <c r="BD9" s="538"/>
      <c r="BE9" s="538"/>
      <c r="BF9" s="538"/>
      <c r="BG9" s="538"/>
      <c r="BH9" s="538"/>
      <c r="BI9" s="538"/>
      <c r="BJ9" s="538"/>
      <c r="BK9" s="538"/>
      <c r="BL9" s="538"/>
      <c r="BM9" s="538"/>
      <c r="BN9" s="538"/>
      <c r="BO9" s="538"/>
      <c r="BP9" s="538"/>
      <c r="BQ9" s="538"/>
      <c r="BR9" s="538"/>
      <c r="BS9" s="538"/>
      <c r="BT9" s="538"/>
      <c r="BU9" s="538"/>
      <c r="BV9" s="538"/>
      <c r="BW9" s="538"/>
      <c r="BX9" s="538"/>
      <c r="BY9" s="538"/>
      <c r="BZ9" s="538"/>
      <c r="CA9" s="538"/>
      <c r="CB9" s="538"/>
      <c r="CC9" s="538"/>
      <c r="CD9" s="538"/>
      <c r="CE9" s="538"/>
      <c r="CF9" s="538"/>
      <c r="CG9" s="538"/>
      <c r="CH9" s="538"/>
      <c r="CI9" s="538"/>
      <c r="CJ9" s="538"/>
      <c r="CK9" s="538"/>
      <c r="CL9" s="538"/>
      <c r="CM9" s="538"/>
      <c r="CN9" s="538"/>
      <c r="CO9" s="538"/>
      <c r="CP9" s="538"/>
      <c r="CQ9" s="538"/>
      <c r="CR9" s="538"/>
      <c r="CS9" s="538"/>
      <c r="CT9" s="538"/>
      <c r="CU9" s="538"/>
      <c r="CV9" s="538"/>
      <c r="CW9" s="538"/>
      <c r="CX9" s="538"/>
      <c r="CY9" s="538"/>
      <c r="CZ9" s="538"/>
      <c r="DA9" s="538"/>
      <c r="DB9" s="538"/>
      <c r="DC9" s="538"/>
      <c r="DD9" s="538"/>
      <c r="DE9" s="538"/>
      <c r="DF9" s="538"/>
      <c r="DG9" s="538"/>
      <c r="DH9" s="538"/>
      <c r="DI9" s="538"/>
    </row>
    <row r="10" customFormat="false" ht="18" hidden="false" customHeight="false" outlineLevel="0" collapsed="false">
      <c r="B10" s="540"/>
      <c r="C10" s="536" t="s">
        <v>647</v>
      </c>
      <c r="D10" s="538"/>
      <c r="E10" s="538"/>
      <c r="F10" s="538"/>
      <c r="G10" s="538"/>
      <c r="H10" s="538"/>
      <c r="I10" s="537"/>
      <c r="J10" s="538"/>
      <c r="K10" s="538"/>
      <c r="L10" s="538"/>
      <c r="M10" s="538"/>
      <c r="N10" s="538"/>
      <c r="O10" s="538"/>
      <c r="P10" s="538"/>
      <c r="Q10" s="538"/>
      <c r="R10" s="538"/>
      <c r="S10" s="538"/>
      <c r="T10" s="538"/>
      <c r="U10" s="538"/>
      <c r="V10" s="538"/>
      <c r="W10" s="538"/>
      <c r="X10" s="538"/>
      <c r="Y10" s="538"/>
      <c r="Z10" s="538"/>
      <c r="AA10" s="538"/>
      <c r="AB10" s="538"/>
      <c r="AC10" s="538"/>
      <c r="AD10" s="538"/>
      <c r="AE10" s="538"/>
      <c r="AF10" s="538"/>
      <c r="AG10" s="538"/>
      <c r="AH10" s="538"/>
      <c r="AI10" s="538"/>
      <c r="AJ10" s="538"/>
      <c r="AK10" s="538"/>
      <c r="AL10" s="538"/>
      <c r="AM10" s="538"/>
      <c r="AN10" s="538"/>
      <c r="AO10" s="538"/>
      <c r="AP10" s="538"/>
      <c r="AQ10" s="538"/>
      <c r="AR10" s="538"/>
      <c r="AS10" s="538"/>
      <c r="AT10" s="538"/>
      <c r="AU10" s="538"/>
      <c r="AV10" s="538"/>
      <c r="AW10" s="538"/>
      <c r="AX10" s="538"/>
      <c r="AY10" s="538"/>
      <c r="AZ10" s="538"/>
      <c r="BA10" s="538"/>
      <c r="BB10" s="538"/>
      <c r="BC10" s="538"/>
      <c r="BD10" s="538"/>
      <c r="BE10" s="538"/>
      <c r="BF10" s="538"/>
      <c r="BG10" s="538"/>
      <c r="BH10" s="538"/>
      <c r="BI10" s="538"/>
      <c r="BJ10" s="538"/>
      <c r="BK10" s="538"/>
      <c r="BL10" s="538"/>
      <c r="BM10" s="538"/>
      <c r="BN10" s="538"/>
      <c r="BO10" s="538"/>
      <c r="BP10" s="538"/>
      <c r="BQ10" s="538"/>
      <c r="BR10" s="538"/>
      <c r="BS10" s="538"/>
      <c r="BT10" s="538"/>
      <c r="BU10" s="538"/>
      <c r="BV10" s="538"/>
      <c r="BW10" s="538"/>
      <c r="BX10" s="538"/>
      <c r="BY10" s="538"/>
      <c r="BZ10" s="538"/>
      <c r="CA10" s="538"/>
      <c r="CB10" s="538"/>
      <c r="CC10" s="538"/>
      <c r="CD10" s="538"/>
      <c r="CE10" s="538"/>
      <c r="CF10" s="538"/>
      <c r="CG10" s="538"/>
      <c r="CH10" s="538"/>
      <c r="CI10" s="538"/>
      <c r="CJ10" s="538"/>
      <c r="CK10" s="538"/>
      <c r="CL10" s="538"/>
      <c r="CM10" s="538"/>
      <c r="CN10" s="538"/>
      <c r="CO10" s="538"/>
      <c r="CP10" s="538"/>
      <c r="CQ10" s="538"/>
      <c r="CR10" s="538"/>
      <c r="CS10" s="538"/>
      <c r="CT10" s="538"/>
      <c r="CU10" s="538"/>
      <c r="CV10" s="538"/>
      <c r="CW10" s="538"/>
      <c r="CX10" s="538"/>
      <c r="CY10" s="538"/>
      <c r="CZ10" s="538"/>
      <c r="DA10" s="538"/>
      <c r="DB10" s="538"/>
      <c r="DC10" s="538"/>
      <c r="DD10" s="538"/>
      <c r="DE10" s="538"/>
      <c r="DF10" s="538"/>
      <c r="DG10" s="538"/>
      <c r="DH10" s="538"/>
      <c r="DI10" s="538"/>
    </row>
    <row r="11" customFormat="false" ht="18" hidden="false" customHeight="false" outlineLevel="0" collapsed="false">
      <c r="B11" s="540"/>
      <c r="C11" s="536" t="s">
        <v>648</v>
      </c>
      <c r="D11" s="538"/>
      <c r="E11" s="538"/>
      <c r="F11" s="538"/>
      <c r="G11" s="538"/>
      <c r="H11" s="538"/>
      <c r="I11" s="538"/>
      <c r="J11" s="537"/>
      <c r="K11" s="537"/>
      <c r="L11" s="537"/>
      <c r="M11" s="537"/>
      <c r="N11" s="537"/>
      <c r="O11" s="537"/>
      <c r="P11" s="537"/>
      <c r="Q11" s="537"/>
      <c r="R11" s="537"/>
      <c r="S11" s="537"/>
      <c r="T11" s="537"/>
      <c r="U11" s="537"/>
      <c r="V11" s="537"/>
      <c r="W11" s="537"/>
      <c r="X11" s="537"/>
      <c r="Y11" s="537"/>
      <c r="Z11" s="537"/>
      <c r="AA11" s="537"/>
      <c r="AB11" s="537"/>
      <c r="AC11" s="537"/>
      <c r="AD11" s="537"/>
      <c r="AE11" s="537"/>
      <c r="AF11" s="537"/>
      <c r="AG11" s="537"/>
      <c r="AH11" s="537"/>
      <c r="AI11" s="537"/>
      <c r="AJ11" s="537"/>
      <c r="AK11" s="537"/>
      <c r="AL11" s="537"/>
      <c r="AM11" s="537"/>
      <c r="AN11" s="537"/>
      <c r="AO11" s="537"/>
      <c r="AP11" s="537"/>
      <c r="AQ11" s="538"/>
      <c r="AR11" s="538"/>
      <c r="AS11" s="538"/>
      <c r="AT11" s="538"/>
      <c r="AU11" s="538"/>
      <c r="AV11" s="538"/>
      <c r="AW11" s="538"/>
      <c r="AX11" s="538"/>
      <c r="AY11" s="538"/>
      <c r="AZ11" s="538"/>
      <c r="BA11" s="538"/>
      <c r="BB11" s="538"/>
      <c r="BC11" s="538"/>
      <c r="BD11" s="538"/>
      <c r="BE11" s="538"/>
      <c r="BF11" s="538"/>
      <c r="BG11" s="538"/>
      <c r="BH11" s="538"/>
      <c r="BI11" s="538"/>
      <c r="BJ11" s="538"/>
      <c r="BK11" s="538"/>
      <c r="BL11" s="538"/>
      <c r="BM11" s="538"/>
      <c r="BN11" s="538"/>
      <c r="BO11" s="538"/>
      <c r="BP11" s="538"/>
      <c r="BQ11" s="538"/>
      <c r="BR11" s="538"/>
      <c r="BS11" s="538"/>
      <c r="BT11" s="538"/>
      <c r="BU11" s="538"/>
      <c r="BV11" s="538"/>
      <c r="BW11" s="538"/>
      <c r="BX11" s="538"/>
      <c r="BY11" s="538"/>
      <c r="BZ11" s="538"/>
      <c r="CA11" s="538"/>
      <c r="CB11" s="538"/>
      <c r="CC11" s="538"/>
      <c r="CD11" s="538"/>
      <c r="CE11" s="538"/>
      <c r="CF11" s="538"/>
      <c r="CG11" s="538"/>
      <c r="CH11" s="538"/>
      <c r="CI11" s="538"/>
      <c r="CJ11" s="538"/>
      <c r="CK11" s="538"/>
      <c r="CL11" s="538"/>
      <c r="CM11" s="538"/>
      <c r="CN11" s="538"/>
      <c r="CO11" s="538"/>
      <c r="CP11" s="538"/>
      <c r="CQ11" s="538"/>
      <c r="CR11" s="538"/>
      <c r="CS11" s="538"/>
      <c r="CT11" s="538"/>
      <c r="CU11" s="538"/>
      <c r="CV11" s="538"/>
      <c r="CW11" s="538"/>
      <c r="CX11" s="538"/>
      <c r="CY11" s="538"/>
      <c r="CZ11" s="538"/>
      <c r="DA11" s="538"/>
      <c r="DB11" s="538"/>
      <c r="DC11" s="538"/>
      <c r="DD11" s="538"/>
      <c r="DE11" s="538"/>
      <c r="DF11" s="538"/>
      <c r="DG11" s="538"/>
      <c r="DH11" s="538"/>
      <c r="DI11" s="538"/>
    </row>
    <row r="12" customFormat="false" ht="18" hidden="false" customHeight="false" outlineLevel="0" collapsed="false">
      <c r="B12" s="540"/>
      <c r="C12" s="541" t="s">
        <v>649</v>
      </c>
      <c r="D12" s="538"/>
      <c r="E12" s="538"/>
      <c r="F12" s="538"/>
      <c r="G12" s="538"/>
      <c r="H12" s="538"/>
      <c r="I12" s="538"/>
      <c r="J12" s="538"/>
      <c r="K12" s="538"/>
      <c r="L12" s="542" t="s">
        <v>650</v>
      </c>
      <c r="M12" s="538"/>
      <c r="N12" s="538"/>
      <c r="O12" s="538"/>
      <c r="P12" s="538"/>
      <c r="Q12" s="538"/>
      <c r="R12" s="538"/>
      <c r="S12" s="538"/>
      <c r="T12" s="538"/>
      <c r="U12" s="538"/>
      <c r="V12" s="538"/>
      <c r="W12" s="538"/>
      <c r="X12" s="538"/>
      <c r="Y12" s="538"/>
      <c r="Z12" s="538"/>
      <c r="AA12" s="542" t="s">
        <v>651</v>
      </c>
      <c r="AB12" s="542" t="s">
        <v>652</v>
      </c>
      <c r="AC12" s="538"/>
      <c r="AD12" s="538"/>
      <c r="AE12" s="538"/>
      <c r="AF12" s="538"/>
      <c r="AG12" s="538"/>
      <c r="AH12" s="538"/>
      <c r="AI12" s="538"/>
      <c r="AJ12" s="538"/>
      <c r="AK12" s="538"/>
      <c r="AL12" s="538"/>
      <c r="AM12" s="538"/>
      <c r="AN12" s="538"/>
      <c r="AO12" s="538"/>
      <c r="AP12" s="538"/>
      <c r="AQ12" s="538"/>
      <c r="AR12" s="538"/>
      <c r="AS12" s="538"/>
      <c r="AT12" s="538"/>
      <c r="AU12" s="538"/>
      <c r="AV12" s="538"/>
      <c r="AW12" s="538"/>
      <c r="AX12" s="538"/>
      <c r="AY12" s="538"/>
      <c r="AZ12" s="538"/>
      <c r="BA12" s="538"/>
      <c r="BB12" s="538"/>
      <c r="BC12" s="538"/>
      <c r="BD12" s="538"/>
      <c r="BE12" s="538"/>
      <c r="BF12" s="538"/>
      <c r="BG12" s="538"/>
      <c r="BH12" s="538"/>
      <c r="BI12" s="538"/>
      <c r="BJ12" s="538"/>
      <c r="BK12" s="538"/>
      <c r="BL12" s="538"/>
      <c r="BM12" s="538"/>
      <c r="BN12" s="538"/>
      <c r="BO12" s="538"/>
      <c r="BP12" s="538"/>
      <c r="BQ12" s="538"/>
      <c r="BR12" s="538"/>
      <c r="BS12" s="538"/>
      <c r="BT12" s="538"/>
      <c r="BU12" s="538"/>
      <c r="BV12" s="538"/>
      <c r="BW12" s="538"/>
      <c r="BX12" s="538"/>
      <c r="BY12" s="538"/>
      <c r="BZ12" s="538"/>
      <c r="CA12" s="538"/>
      <c r="CB12" s="538"/>
      <c r="CC12" s="538"/>
      <c r="CD12" s="538"/>
      <c r="CE12" s="538"/>
      <c r="CF12" s="538"/>
      <c r="CG12" s="538"/>
      <c r="CH12" s="538"/>
      <c r="CI12" s="538"/>
      <c r="CJ12" s="538"/>
      <c r="CK12" s="538"/>
      <c r="CL12" s="538"/>
      <c r="CM12" s="538"/>
      <c r="CN12" s="538"/>
      <c r="CO12" s="538"/>
      <c r="CP12" s="538"/>
      <c r="CQ12" s="538"/>
      <c r="CR12" s="538"/>
      <c r="CS12" s="538"/>
      <c r="CT12" s="538"/>
      <c r="CU12" s="538"/>
      <c r="CV12" s="538"/>
      <c r="CW12" s="538"/>
      <c r="CX12" s="538"/>
      <c r="CY12" s="538"/>
      <c r="CZ12" s="538"/>
      <c r="DA12" s="538"/>
      <c r="DB12" s="538"/>
      <c r="DC12" s="538"/>
      <c r="DD12" s="538"/>
      <c r="DE12" s="538"/>
      <c r="DF12" s="538"/>
      <c r="DG12" s="538"/>
      <c r="DH12" s="538"/>
      <c r="DI12" s="538"/>
    </row>
    <row r="13" customFormat="false" ht="18" hidden="false" customHeight="false" outlineLevel="0" collapsed="false">
      <c r="B13" s="540"/>
      <c r="C13" s="536" t="s">
        <v>653</v>
      </c>
      <c r="D13" s="538"/>
      <c r="E13" s="538"/>
      <c r="F13" s="538"/>
      <c r="G13" s="538"/>
      <c r="H13" s="538"/>
      <c r="I13" s="538"/>
      <c r="J13" s="538"/>
      <c r="K13" s="538"/>
      <c r="L13" s="538"/>
      <c r="M13" s="538"/>
      <c r="N13" s="538"/>
      <c r="O13" s="538"/>
      <c r="P13" s="538"/>
      <c r="Q13" s="538"/>
      <c r="R13" s="538"/>
      <c r="S13" s="538"/>
      <c r="T13" s="538"/>
      <c r="U13" s="538"/>
      <c r="V13" s="538"/>
      <c r="W13" s="538"/>
      <c r="X13" s="538"/>
      <c r="Y13" s="538"/>
      <c r="Z13" s="538"/>
      <c r="AA13" s="538"/>
      <c r="AB13" s="538"/>
      <c r="AC13" s="538"/>
      <c r="AD13" s="538"/>
      <c r="AE13" s="538"/>
      <c r="AF13" s="538"/>
      <c r="AG13" s="538"/>
      <c r="AH13" s="538"/>
      <c r="AI13" s="538"/>
      <c r="AJ13" s="538"/>
      <c r="AK13" s="538"/>
      <c r="AL13" s="538"/>
      <c r="AM13" s="538"/>
      <c r="AN13" s="538"/>
      <c r="AO13" s="538"/>
      <c r="AP13" s="538"/>
      <c r="AQ13" s="538"/>
      <c r="AR13" s="538"/>
      <c r="AS13" s="538"/>
      <c r="AT13" s="538"/>
      <c r="AU13" s="538"/>
      <c r="AV13" s="538"/>
      <c r="AW13" s="538"/>
      <c r="AX13" s="542" t="s">
        <v>651</v>
      </c>
      <c r="AY13" s="542" t="s">
        <v>652</v>
      </c>
      <c r="AZ13" s="538"/>
      <c r="BA13" s="538"/>
      <c r="BB13" s="538"/>
      <c r="BC13" s="538"/>
      <c r="BD13" s="538"/>
      <c r="BE13" s="538"/>
      <c r="BF13" s="538"/>
      <c r="BG13" s="538"/>
      <c r="BH13" s="538"/>
      <c r="BI13" s="538"/>
      <c r="BJ13" s="538"/>
      <c r="BK13" s="538"/>
      <c r="BL13" s="538"/>
      <c r="BM13" s="538"/>
      <c r="BN13" s="538"/>
      <c r="BO13" s="538"/>
      <c r="BP13" s="538"/>
      <c r="BQ13" s="538"/>
      <c r="BR13" s="538"/>
      <c r="BS13" s="538"/>
      <c r="BT13" s="538"/>
      <c r="BU13" s="538"/>
      <c r="BV13" s="538"/>
      <c r="BW13" s="538"/>
      <c r="BX13" s="538"/>
      <c r="BY13" s="538"/>
      <c r="BZ13" s="538"/>
      <c r="CA13" s="538"/>
      <c r="CB13" s="538"/>
      <c r="CC13" s="538"/>
      <c r="CD13" s="538"/>
      <c r="CE13" s="538"/>
      <c r="CF13" s="538"/>
      <c r="CG13" s="538"/>
      <c r="CH13" s="538"/>
      <c r="CI13" s="538"/>
      <c r="CJ13" s="538"/>
      <c r="CK13" s="538"/>
      <c r="CL13" s="538"/>
      <c r="CM13" s="538"/>
      <c r="CN13" s="538"/>
      <c r="CO13" s="538"/>
      <c r="CP13" s="538"/>
      <c r="CQ13" s="538"/>
      <c r="CR13" s="538"/>
      <c r="CS13" s="538"/>
      <c r="CT13" s="538"/>
      <c r="CU13" s="538"/>
      <c r="CV13" s="538"/>
      <c r="CW13" s="538"/>
      <c r="CX13" s="538"/>
      <c r="CY13" s="538"/>
      <c r="CZ13" s="538"/>
      <c r="DA13" s="538"/>
      <c r="DB13" s="538"/>
      <c r="DC13" s="538"/>
      <c r="DD13" s="538"/>
      <c r="DE13" s="538"/>
      <c r="DF13" s="538"/>
      <c r="DG13" s="538"/>
      <c r="DH13" s="538"/>
      <c r="DI13" s="538"/>
    </row>
    <row r="14" customFormat="false" ht="18" hidden="false" customHeight="true" outlineLevel="0" collapsed="false">
      <c r="B14" s="535" t="s">
        <v>654</v>
      </c>
      <c r="C14" s="536" t="s">
        <v>655</v>
      </c>
      <c r="D14" s="538"/>
      <c r="E14" s="538"/>
      <c r="F14" s="538"/>
      <c r="G14" s="538"/>
      <c r="H14" s="538"/>
      <c r="I14" s="538"/>
      <c r="J14" s="538"/>
      <c r="K14" s="538"/>
      <c r="L14" s="538"/>
      <c r="M14" s="538"/>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7"/>
      <c r="AQ14" s="537"/>
      <c r="AR14" s="537"/>
      <c r="AS14" s="537"/>
      <c r="AT14" s="537"/>
      <c r="AU14" s="537"/>
      <c r="AV14" s="537"/>
      <c r="AW14" s="537"/>
      <c r="AX14" s="537"/>
      <c r="AY14" s="537"/>
      <c r="AZ14" s="537"/>
      <c r="BA14" s="537"/>
      <c r="BB14" s="537"/>
      <c r="BC14" s="537"/>
      <c r="BD14" s="537"/>
      <c r="BE14" s="537"/>
      <c r="BF14" s="537"/>
      <c r="BG14" s="537"/>
      <c r="BH14" s="537"/>
      <c r="BI14" s="537"/>
      <c r="BJ14" s="537"/>
      <c r="BK14" s="537"/>
      <c r="BL14" s="537"/>
      <c r="BM14" s="537"/>
      <c r="BN14" s="537"/>
      <c r="BO14" s="537"/>
      <c r="BP14" s="537"/>
      <c r="BQ14" s="537"/>
      <c r="BR14" s="537"/>
      <c r="BS14" s="537"/>
      <c r="BT14" s="537"/>
      <c r="BU14" s="537"/>
      <c r="BV14" s="537"/>
      <c r="BW14" s="537"/>
      <c r="BX14" s="537"/>
      <c r="BY14" s="537"/>
      <c r="BZ14" s="538"/>
      <c r="CA14" s="538"/>
      <c r="CB14" s="538"/>
      <c r="CC14" s="538"/>
      <c r="CD14" s="538"/>
      <c r="CE14" s="538"/>
      <c r="CF14" s="538"/>
      <c r="CG14" s="538"/>
      <c r="CH14" s="538"/>
      <c r="CI14" s="538"/>
      <c r="CJ14" s="538"/>
      <c r="CK14" s="538"/>
      <c r="CL14" s="538"/>
      <c r="CM14" s="538"/>
      <c r="CN14" s="538"/>
      <c r="CO14" s="538"/>
      <c r="CP14" s="538"/>
      <c r="CQ14" s="538"/>
      <c r="CR14" s="538"/>
      <c r="CS14" s="538"/>
      <c r="CT14" s="538"/>
      <c r="CU14" s="538"/>
      <c r="CV14" s="538"/>
      <c r="CW14" s="538"/>
      <c r="CX14" s="538"/>
      <c r="CY14" s="538"/>
      <c r="CZ14" s="538"/>
      <c r="DA14" s="538"/>
      <c r="DB14" s="538"/>
      <c r="DC14" s="538"/>
      <c r="DD14" s="538"/>
      <c r="DE14" s="538"/>
      <c r="DF14" s="538"/>
      <c r="DG14" s="538"/>
      <c r="DH14" s="538"/>
      <c r="DI14" s="538"/>
    </row>
    <row r="15" customFormat="false" ht="18" hidden="false" customHeight="false" outlineLevel="0" collapsed="false">
      <c r="B15" s="535"/>
      <c r="C15" s="536" t="s">
        <v>656</v>
      </c>
      <c r="D15" s="538"/>
      <c r="E15" s="538"/>
      <c r="F15" s="538"/>
      <c r="G15" s="538"/>
      <c r="H15" s="538"/>
      <c r="I15" s="538"/>
      <c r="J15" s="538"/>
      <c r="K15" s="538"/>
      <c r="L15" s="538"/>
      <c r="M15" s="538"/>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Q15" s="538"/>
      <c r="AR15" s="538"/>
      <c r="AS15" s="538"/>
      <c r="AT15" s="538"/>
      <c r="AU15" s="538"/>
      <c r="AV15" s="538"/>
      <c r="AW15" s="538"/>
      <c r="AX15" s="538"/>
      <c r="AY15" s="538"/>
      <c r="AZ15" s="538"/>
      <c r="BA15" s="538"/>
      <c r="BB15" s="538"/>
      <c r="BC15" s="538"/>
      <c r="BD15" s="538"/>
      <c r="BE15" s="538"/>
      <c r="BF15" s="538"/>
      <c r="BG15" s="538"/>
      <c r="BH15" s="538"/>
      <c r="BI15" s="538"/>
      <c r="BJ15" s="538"/>
      <c r="BK15" s="538"/>
      <c r="BL15" s="538"/>
      <c r="BM15" s="538"/>
      <c r="BN15" s="538"/>
      <c r="BO15" s="538"/>
      <c r="BP15" s="538"/>
      <c r="BQ15" s="538"/>
      <c r="BR15" s="538"/>
      <c r="BS15" s="538"/>
      <c r="BT15" s="538"/>
      <c r="BU15" s="538"/>
      <c r="BV15" s="538"/>
      <c r="BW15" s="538"/>
      <c r="BX15" s="538"/>
      <c r="BY15" s="538"/>
      <c r="BZ15" s="538"/>
      <c r="CA15" s="538"/>
      <c r="CB15" s="538"/>
      <c r="CC15" s="538"/>
      <c r="CD15" s="537"/>
      <c r="CE15" s="538"/>
      <c r="CF15" s="538"/>
      <c r="CG15" s="538"/>
      <c r="CH15" s="538"/>
      <c r="CI15" s="538"/>
      <c r="CJ15" s="538"/>
      <c r="CK15" s="538"/>
      <c r="CL15" s="538"/>
      <c r="CM15" s="538"/>
      <c r="CN15" s="538"/>
      <c r="CO15" s="538"/>
      <c r="CP15" s="538"/>
      <c r="CQ15" s="538"/>
      <c r="CR15" s="538"/>
      <c r="CS15" s="538"/>
      <c r="CT15" s="538"/>
      <c r="CU15" s="538"/>
      <c r="CV15" s="538"/>
      <c r="CW15" s="538"/>
      <c r="CX15" s="538"/>
      <c r="CY15" s="538"/>
      <c r="CZ15" s="538"/>
      <c r="DA15" s="538"/>
      <c r="DB15" s="538"/>
      <c r="DC15" s="538"/>
      <c r="DD15" s="538"/>
      <c r="DE15" s="538"/>
      <c r="DF15" s="538"/>
      <c r="DG15" s="538"/>
      <c r="DH15" s="538"/>
      <c r="DI15" s="538"/>
    </row>
    <row r="16" customFormat="false" ht="18" hidden="false" customHeight="false" outlineLevel="0" collapsed="false">
      <c r="B16" s="535"/>
      <c r="C16" s="536" t="s">
        <v>657</v>
      </c>
      <c r="D16" s="538"/>
      <c r="E16" s="538"/>
      <c r="F16" s="538"/>
      <c r="G16" s="538"/>
      <c r="H16" s="538"/>
      <c r="I16" s="538"/>
      <c r="J16" s="538"/>
      <c r="K16" s="538"/>
      <c r="L16" s="538"/>
      <c r="M16" s="538"/>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8"/>
      <c r="AS16" s="538"/>
      <c r="AT16" s="538"/>
      <c r="AU16" s="538"/>
      <c r="AV16" s="538"/>
      <c r="AW16" s="538"/>
      <c r="AX16" s="538"/>
      <c r="AY16" s="538"/>
      <c r="AZ16" s="538"/>
      <c r="BA16" s="538"/>
      <c r="BB16" s="538"/>
      <c r="BC16" s="538"/>
      <c r="BD16" s="538"/>
      <c r="BE16" s="538"/>
      <c r="BF16" s="538"/>
      <c r="BG16" s="538"/>
      <c r="BH16" s="538"/>
      <c r="BI16" s="538"/>
      <c r="BJ16" s="538"/>
      <c r="BK16" s="538"/>
      <c r="BL16" s="538"/>
      <c r="BM16" s="538"/>
      <c r="BN16" s="538"/>
      <c r="BO16" s="538"/>
      <c r="BP16" s="538"/>
      <c r="BQ16" s="538"/>
      <c r="BR16" s="538"/>
      <c r="BS16" s="538"/>
      <c r="BT16" s="538"/>
      <c r="BU16" s="538"/>
      <c r="BV16" s="538"/>
      <c r="BW16" s="538"/>
      <c r="BX16" s="538"/>
      <c r="BY16" s="538"/>
      <c r="BZ16" s="538"/>
      <c r="CA16" s="538"/>
      <c r="CB16" s="538"/>
      <c r="CC16" s="538"/>
      <c r="CD16" s="538"/>
      <c r="CE16" s="537"/>
      <c r="CF16" s="537"/>
      <c r="CG16" s="537"/>
      <c r="CH16" s="537"/>
      <c r="CI16" s="537"/>
      <c r="CJ16" s="537"/>
      <c r="CK16" s="537"/>
      <c r="CL16" s="537"/>
      <c r="CM16" s="537"/>
      <c r="CN16" s="537"/>
      <c r="CO16" s="537"/>
      <c r="CP16" s="537"/>
      <c r="CQ16" s="537"/>
      <c r="CR16" s="537"/>
      <c r="CS16" s="537"/>
      <c r="CT16" s="537"/>
      <c r="CU16" s="537"/>
      <c r="CV16" s="537"/>
      <c r="CW16" s="537"/>
      <c r="CX16" s="537"/>
      <c r="CY16" s="537"/>
      <c r="CZ16" s="537"/>
      <c r="DA16" s="538"/>
      <c r="DB16" s="538"/>
      <c r="DC16" s="538"/>
      <c r="DD16" s="538"/>
      <c r="DE16" s="538"/>
      <c r="DF16" s="538"/>
      <c r="DG16" s="538"/>
      <c r="DH16" s="538"/>
      <c r="DI16" s="538"/>
    </row>
    <row r="17" customFormat="false" ht="18" hidden="false" customHeight="false" outlineLevel="0" collapsed="false">
      <c r="B17" s="535"/>
      <c r="C17" s="541" t="s">
        <v>658</v>
      </c>
      <c r="D17" s="538"/>
      <c r="E17" s="538"/>
      <c r="F17" s="538"/>
      <c r="G17" s="538"/>
      <c r="H17" s="538"/>
      <c r="I17" s="538"/>
      <c r="J17" s="538"/>
      <c r="K17" s="538"/>
      <c r="L17" s="538"/>
      <c r="M17" s="538"/>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8"/>
      <c r="AS17" s="538"/>
      <c r="AT17" s="538"/>
      <c r="AU17" s="538"/>
      <c r="AV17" s="538"/>
      <c r="AW17" s="538"/>
      <c r="AX17" s="538"/>
      <c r="AY17" s="538"/>
      <c r="AZ17" s="538"/>
      <c r="BA17" s="538"/>
      <c r="BB17" s="538"/>
      <c r="BC17" s="538"/>
      <c r="BD17" s="538"/>
      <c r="BE17" s="538"/>
      <c r="BF17" s="538"/>
      <c r="BG17" s="538"/>
      <c r="BH17" s="538"/>
      <c r="BI17" s="538"/>
      <c r="BJ17" s="538"/>
      <c r="BK17" s="538"/>
      <c r="BL17" s="538"/>
      <c r="BM17" s="538"/>
      <c r="BN17" s="538"/>
      <c r="BO17" s="538"/>
      <c r="BP17" s="538"/>
      <c r="BQ17" s="538"/>
      <c r="BR17" s="538"/>
      <c r="BS17" s="538"/>
      <c r="BT17" s="538"/>
      <c r="BU17" s="538"/>
      <c r="BV17" s="538"/>
      <c r="BW17" s="538"/>
      <c r="BX17" s="538"/>
      <c r="BY17" s="538"/>
      <c r="BZ17" s="538"/>
      <c r="CA17" s="538"/>
      <c r="CB17" s="538"/>
      <c r="CC17" s="538"/>
      <c r="CD17" s="538"/>
      <c r="CE17" s="538"/>
      <c r="CF17" s="538"/>
      <c r="CG17" s="538"/>
      <c r="CH17" s="538"/>
      <c r="CI17" s="538"/>
      <c r="CJ17" s="538"/>
      <c r="CK17" s="538"/>
      <c r="CL17" s="538"/>
      <c r="CM17" s="538"/>
      <c r="CN17" s="538"/>
      <c r="CO17" s="538"/>
      <c r="CP17" s="538"/>
      <c r="CQ17" s="538"/>
      <c r="CR17" s="538"/>
      <c r="CS17" s="538"/>
      <c r="CT17" s="538"/>
      <c r="CU17" s="538"/>
      <c r="CV17" s="538"/>
      <c r="CW17" s="538"/>
      <c r="CX17" s="538"/>
      <c r="CY17" s="538"/>
      <c r="CZ17" s="538"/>
      <c r="DA17" s="537"/>
      <c r="DB17" s="538"/>
      <c r="DC17" s="538"/>
      <c r="DD17" s="538"/>
      <c r="DE17" s="538"/>
      <c r="DF17" s="538"/>
      <c r="DG17" s="538"/>
      <c r="DH17" s="538"/>
      <c r="DI17" s="538"/>
    </row>
    <row r="18" customFormat="false" ht="18" hidden="false" customHeight="true" outlineLevel="0" collapsed="false">
      <c r="B18" s="535"/>
      <c r="C18" s="541" t="s">
        <v>659</v>
      </c>
      <c r="D18" s="538"/>
      <c r="E18" s="538"/>
      <c r="F18" s="538"/>
      <c r="G18" s="538"/>
      <c r="H18" s="538"/>
      <c r="I18" s="538"/>
      <c r="J18" s="538"/>
      <c r="K18" s="538"/>
      <c r="L18" s="538"/>
      <c r="M18" s="538"/>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8"/>
      <c r="AS18" s="538"/>
      <c r="AT18" s="538"/>
      <c r="AU18" s="538"/>
      <c r="AV18" s="538"/>
      <c r="AW18" s="538"/>
      <c r="AX18" s="538"/>
      <c r="AY18" s="538"/>
      <c r="AZ18" s="538"/>
      <c r="BA18" s="538"/>
      <c r="BB18" s="538"/>
      <c r="BC18" s="538"/>
      <c r="BD18" s="538"/>
      <c r="BE18" s="538"/>
      <c r="BF18" s="538"/>
      <c r="BG18" s="538"/>
      <c r="BH18" s="538"/>
      <c r="BI18" s="538"/>
      <c r="BJ18" s="538"/>
      <c r="BK18" s="538"/>
      <c r="BL18" s="538"/>
      <c r="BM18" s="538"/>
      <c r="BN18" s="538"/>
      <c r="BO18" s="538"/>
      <c r="BP18" s="538"/>
      <c r="BQ18" s="538"/>
      <c r="BR18" s="538"/>
      <c r="BS18" s="538"/>
      <c r="BT18" s="538"/>
      <c r="BU18" s="538"/>
      <c r="BV18" s="538"/>
      <c r="BW18" s="538"/>
      <c r="BX18" s="538"/>
      <c r="BY18" s="538"/>
      <c r="BZ18" s="538"/>
      <c r="CA18" s="538"/>
      <c r="CB18" s="538"/>
      <c r="CC18" s="538"/>
      <c r="CD18" s="538"/>
      <c r="CE18" s="538"/>
      <c r="CF18" s="538"/>
      <c r="CG18" s="538"/>
      <c r="CH18" s="538"/>
      <c r="CI18" s="538"/>
      <c r="CJ18" s="538"/>
      <c r="CK18" s="538"/>
      <c r="CL18" s="538"/>
      <c r="CM18" s="538"/>
      <c r="CN18" s="538"/>
      <c r="CO18" s="538"/>
      <c r="CP18" s="538"/>
      <c r="CQ18" s="538"/>
      <c r="CR18" s="538"/>
      <c r="CS18" s="538"/>
      <c r="CT18" s="538"/>
      <c r="CU18" s="538"/>
      <c r="CV18" s="538"/>
      <c r="CW18" s="538"/>
      <c r="CX18" s="538"/>
      <c r="CY18" s="538"/>
      <c r="CZ18" s="538"/>
      <c r="DA18" s="537"/>
      <c r="DB18" s="538"/>
      <c r="DC18" s="538"/>
      <c r="DD18" s="538"/>
      <c r="DE18" s="538"/>
      <c r="DF18" s="538"/>
      <c r="DG18" s="538"/>
      <c r="DH18" s="538"/>
      <c r="DI18" s="538"/>
    </row>
    <row r="19" customFormat="false" ht="18" hidden="false" customHeight="false" outlineLevel="0" collapsed="false">
      <c r="B19" s="540" t="s">
        <v>660</v>
      </c>
      <c r="C19" s="541" t="s">
        <v>661</v>
      </c>
      <c r="D19" s="538"/>
      <c r="E19" s="538"/>
      <c r="F19" s="538"/>
      <c r="G19" s="538"/>
      <c r="H19" s="538"/>
      <c r="I19" s="538"/>
      <c r="J19" s="538"/>
      <c r="K19" s="538"/>
      <c r="L19" s="538"/>
      <c r="M19" s="538"/>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8"/>
      <c r="AS19" s="538"/>
      <c r="AT19" s="538"/>
      <c r="AU19" s="538"/>
      <c r="AV19" s="538"/>
      <c r="AW19" s="538"/>
      <c r="AX19" s="538"/>
      <c r="AY19" s="538"/>
      <c r="AZ19" s="538"/>
      <c r="BA19" s="538"/>
      <c r="BB19" s="538"/>
      <c r="BC19" s="538"/>
      <c r="BD19" s="538"/>
      <c r="BE19" s="538"/>
      <c r="BF19" s="538"/>
      <c r="BG19" s="538"/>
      <c r="BH19" s="538"/>
      <c r="BI19" s="538"/>
      <c r="BJ19" s="538"/>
      <c r="BK19" s="538"/>
      <c r="BL19" s="538"/>
      <c r="BM19" s="538"/>
      <c r="BN19" s="538"/>
      <c r="BO19" s="538"/>
      <c r="BP19" s="538"/>
      <c r="BQ19" s="538"/>
      <c r="BR19" s="538"/>
      <c r="BS19" s="538"/>
      <c r="BT19" s="538"/>
      <c r="BU19" s="538"/>
      <c r="BV19" s="538"/>
      <c r="BW19" s="538"/>
      <c r="BX19" s="538"/>
      <c r="BY19" s="538"/>
      <c r="BZ19" s="538"/>
      <c r="CA19" s="538"/>
      <c r="CB19" s="538"/>
      <c r="CC19" s="538"/>
      <c r="CD19" s="538"/>
      <c r="CE19" s="538"/>
      <c r="CF19" s="538"/>
      <c r="CG19" s="538"/>
      <c r="CH19" s="538"/>
      <c r="CI19" s="538"/>
      <c r="CJ19" s="538"/>
      <c r="CK19" s="538"/>
      <c r="CL19" s="538"/>
      <c r="CM19" s="538"/>
      <c r="CN19" s="538"/>
      <c r="CO19" s="538"/>
      <c r="CP19" s="538"/>
      <c r="CQ19" s="538"/>
      <c r="CR19" s="538"/>
      <c r="CS19" s="538"/>
      <c r="CT19" s="538"/>
      <c r="CU19" s="538"/>
      <c r="CV19" s="538"/>
      <c r="CW19" s="538"/>
      <c r="CX19" s="538"/>
      <c r="CY19" s="538"/>
      <c r="CZ19" s="538"/>
      <c r="DA19" s="537"/>
      <c r="DB19" s="537"/>
      <c r="DC19" s="537"/>
      <c r="DD19" s="537"/>
      <c r="DE19" s="537"/>
      <c r="DF19" s="537"/>
      <c r="DG19" s="537"/>
      <c r="DH19" s="537"/>
      <c r="DI19" s="537"/>
    </row>
    <row r="20" customFormat="false" ht="18" hidden="false" customHeight="false" outlineLevel="0" collapsed="false">
      <c r="B20" s="540"/>
      <c r="C20" s="541" t="s">
        <v>662</v>
      </c>
      <c r="D20" s="538"/>
      <c r="E20" s="538"/>
      <c r="F20" s="538"/>
      <c r="G20" s="538"/>
      <c r="H20" s="538"/>
      <c r="I20" s="538"/>
      <c r="J20" s="538"/>
      <c r="K20" s="538"/>
      <c r="L20" s="538"/>
      <c r="M20" s="538"/>
      <c r="N20" s="538"/>
      <c r="O20" s="538"/>
      <c r="P20" s="538"/>
      <c r="Q20" s="538"/>
      <c r="R20" s="538"/>
      <c r="S20" s="538"/>
      <c r="T20" s="538"/>
      <c r="U20" s="538"/>
      <c r="V20" s="538"/>
      <c r="W20" s="538"/>
      <c r="X20" s="538"/>
      <c r="Y20" s="538"/>
      <c r="Z20" s="538"/>
      <c r="AA20" s="538"/>
      <c r="AB20" s="538"/>
      <c r="AC20" s="538"/>
      <c r="AD20" s="538"/>
      <c r="AE20" s="538"/>
      <c r="AF20" s="538"/>
      <c r="AG20" s="538"/>
      <c r="AH20" s="538"/>
      <c r="AI20" s="538"/>
      <c r="AJ20" s="538"/>
      <c r="AK20" s="538"/>
      <c r="AL20" s="538"/>
      <c r="AM20" s="538"/>
      <c r="AN20" s="538"/>
      <c r="AO20" s="538"/>
      <c r="AP20" s="538"/>
      <c r="AQ20" s="538"/>
      <c r="AR20" s="538"/>
      <c r="AS20" s="538"/>
      <c r="AT20" s="538"/>
      <c r="AU20" s="538"/>
      <c r="AV20" s="538"/>
      <c r="AW20" s="538"/>
      <c r="AX20" s="538"/>
      <c r="AY20" s="538"/>
      <c r="AZ20" s="538"/>
      <c r="BA20" s="538"/>
      <c r="BB20" s="538"/>
      <c r="BC20" s="538"/>
      <c r="BD20" s="538"/>
      <c r="BE20" s="538"/>
      <c r="BF20" s="538"/>
      <c r="BG20" s="538"/>
      <c r="BH20" s="538"/>
      <c r="BI20" s="538"/>
      <c r="BJ20" s="538"/>
      <c r="BK20" s="538"/>
      <c r="BL20" s="538"/>
      <c r="BM20" s="538"/>
      <c r="BN20" s="538"/>
      <c r="BO20" s="538"/>
      <c r="BP20" s="538"/>
      <c r="BQ20" s="538"/>
      <c r="BR20" s="538"/>
      <c r="BS20" s="538"/>
      <c r="BT20" s="538"/>
      <c r="BU20" s="538"/>
      <c r="BV20" s="538"/>
      <c r="BW20" s="538"/>
      <c r="BX20" s="538"/>
      <c r="BY20" s="538"/>
      <c r="BZ20" s="538"/>
      <c r="CA20" s="538"/>
      <c r="CB20" s="538"/>
      <c r="CC20" s="538"/>
      <c r="CD20" s="538"/>
      <c r="CE20" s="538"/>
      <c r="CF20" s="538"/>
      <c r="CG20" s="538"/>
      <c r="CH20" s="538"/>
      <c r="CI20" s="538"/>
      <c r="CJ20" s="538"/>
      <c r="CK20" s="538"/>
      <c r="CL20" s="538"/>
      <c r="CM20" s="538"/>
      <c r="CN20" s="538"/>
      <c r="CO20" s="538"/>
      <c r="CP20" s="538"/>
      <c r="CQ20" s="538"/>
      <c r="CR20" s="538"/>
      <c r="CS20" s="538"/>
      <c r="CT20" s="538"/>
      <c r="CU20" s="538"/>
      <c r="CV20" s="538"/>
      <c r="CW20" s="538"/>
      <c r="CX20" s="538"/>
      <c r="CY20" s="538"/>
      <c r="CZ20" s="538"/>
      <c r="DA20" s="537"/>
      <c r="DB20" s="537"/>
      <c r="DC20" s="537"/>
      <c r="DD20" s="537"/>
      <c r="DE20" s="537"/>
      <c r="DF20" s="537"/>
      <c r="DG20" s="537"/>
      <c r="DH20" s="537"/>
      <c r="DI20" s="537"/>
    </row>
    <row r="21" customFormat="false" ht="18" hidden="false" customHeight="false" outlineLevel="0" collapsed="false">
      <c r="B21" s="540"/>
      <c r="C21" s="543" t="s">
        <v>663</v>
      </c>
      <c r="D21" s="538"/>
      <c r="E21" s="538"/>
      <c r="F21" s="538"/>
      <c r="G21" s="538"/>
      <c r="H21" s="538"/>
      <c r="I21" s="538"/>
      <c r="J21" s="538"/>
      <c r="K21" s="538"/>
      <c r="L21" s="538"/>
      <c r="M21" s="538"/>
      <c r="N21" s="538"/>
      <c r="O21" s="538"/>
      <c r="P21" s="538"/>
      <c r="Q21" s="538"/>
      <c r="R21" s="538"/>
      <c r="S21" s="538"/>
      <c r="T21" s="538"/>
      <c r="U21" s="538"/>
      <c r="V21" s="538"/>
      <c r="W21" s="538"/>
      <c r="X21" s="538"/>
      <c r="Y21" s="538"/>
      <c r="Z21" s="538"/>
      <c r="AA21" s="538"/>
      <c r="AB21" s="538"/>
      <c r="AC21" s="538"/>
      <c r="AD21" s="538"/>
      <c r="AE21" s="538"/>
      <c r="AF21" s="538"/>
      <c r="AG21" s="538"/>
      <c r="AH21" s="538"/>
      <c r="AI21" s="538"/>
      <c r="AJ21" s="538"/>
      <c r="AK21" s="538"/>
      <c r="AL21" s="538"/>
      <c r="AM21" s="538"/>
      <c r="AN21" s="538"/>
      <c r="AO21" s="538"/>
      <c r="AP21" s="538"/>
      <c r="AQ21" s="538"/>
      <c r="AR21" s="538"/>
      <c r="AS21" s="538"/>
      <c r="AT21" s="538"/>
      <c r="AU21" s="538"/>
      <c r="AV21" s="538"/>
      <c r="AW21" s="538"/>
      <c r="AX21" s="538"/>
      <c r="AY21" s="538"/>
      <c r="AZ21" s="538"/>
      <c r="BA21" s="538"/>
      <c r="BB21" s="538"/>
      <c r="BC21" s="538"/>
      <c r="BD21" s="538"/>
      <c r="BE21" s="538"/>
      <c r="BF21" s="538"/>
      <c r="BG21" s="538"/>
      <c r="BH21" s="538"/>
      <c r="BI21" s="538"/>
      <c r="BJ21" s="538"/>
      <c r="BK21" s="538"/>
      <c r="BL21" s="538"/>
      <c r="BM21" s="538"/>
      <c r="BN21" s="538"/>
      <c r="BO21" s="538"/>
      <c r="BP21" s="538"/>
      <c r="BQ21" s="538"/>
      <c r="BR21" s="538"/>
      <c r="BS21" s="538"/>
      <c r="BT21" s="538"/>
      <c r="BU21" s="538"/>
      <c r="BV21" s="538"/>
      <c r="BW21" s="538"/>
      <c r="BX21" s="538"/>
      <c r="BY21" s="538"/>
      <c r="BZ21" s="538"/>
      <c r="CA21" s="538"/>
      <c r="CB21" s="538"/>
      <c r="CC21" s="538"/>
      <c r="CD21" s="538"/>
      <c r="CE21" s="538"/>
      <c r="CF21" s="538"/>
      <c r="CG21" s="538"/>
      <c r="CH21" s="538"/>
      <c r="CI21" s="538"/>
      <c r="CJ21" s="538"/>
      <c r="CK21" s="538"/>
      <c r="CL21" s="538"/>
      <c r="CM21" s="538"/>
      <c r="CN21" s="538"/>
      <c r="CO21" s="538"/>
      <c r="CP21" s="538"/>
      <c r="CQ21" s="538"/>
      <c r="CR21" s="538"/>
      <c r="CS21" s="538"/>
      <c r="CT21" s="538"/>
      <c r="CU21" s="538"/>
      <c r="CV21" s="538"/>
      <c r="CW21" s="538"/>
      <c r="CX21" s="538"/>
      <c r="CY21" s="538"/>
      <c r="CZ21" s="538"/>
      <c r="DA21" s="537"/>
      <c r="DB21" s="537"/>
      <c r="DC21" s="537"/>
      <c r="DD21" s="537"/>
      <c r="DE21" s="537"/>
      <c r="DF21" s="537"/>
      <c r="DG21" s="537"/>
      <c r="DH21" s="537"/>
      <c r="DI21" s="537"/>
      <c r="DK21" s="544" t="s">
        <v>664</v>
      </c>
      <c r="DL21" s="545" t="s">
        <v>665</v>
      </c>
    </row>
    <row r="22" customFormat="false" ht="18" hidden="false" customHeight="false" outlineLevel="0" collapsed="false">
      <c r="B22" s="543"/>
      <c r="C22" s="543"/>
      <c r="D22" s="538"/>
      <c r="E22" s="538"/>
      <c r="F22" s="538"/>
      <c r="G22" s="538"/>
      <c r="H22" s="538"/>
      <c r="I22" s="538"/>
      <c r="J22" s="538"/>
      <c r="K22" s="538"/>
      <c r="L22" s="538"/>
      <c r="M22" s="538"/>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8"/>
      <c r="AS22" s="538"/>
      <c r="AT22" s="538"/>
      <c r="AU22" s="538"/>
      <c r="AV22" s="538"/>
      <c r="AW22" s="538"/>
      <c r="AX22" s="538"/>
      <c r="AY22" s="538"/>
      <c r="AZ22" s="538"/>
      <c r="BA22" s="538"/>
      <c r="BB22" s="538"/>
      <c r="BC22" s="538"/>
      <c r="BD22" s="538"/>
      <c r="BE22" s="538"/>
      <c r="BF22" s="538"/>
      <c r="BG22" s="538"/>
      <c r="BH22" s="538"/>
      <c r="BI22" s="538"/>
      <c r="BJ22" s="538"/>
      <c r="BK22" s="538"/>
      <c r="BL22" s="538"/>
      <c r="BM22" s="538"/>
      <c r="BN22" s="538"/>
      <c r="BO22" s="538"/>
      <c r="BP22" s="538"/>
      <c r="BQ22" s="538"/>
      <c r="BR22" s="538"/>
      <c r="BS22" s="538"/>
      <c r="BT22" s="538"/>
      <c r="BU22" s="538"/>
      <c r="BV22" s="538"/>
      <c r="BW22" s="538"/>
      <c r="BX22" s="538"/>
      <c r="BY22" s="538"/>
      <c r="BZ22" s="538"/>
      <c r="CA22" s="538"/>
      <c r="CB22" s="538"/>
      <c r="CC22" s="538"/>
      <c r="CD22" s="538"/>
      <c r="CE22" s="538"/>
      <c r="CF22" s="538"/>
      <c r="CG22" s="538"/>
      <c r="CH22" s="538"/>
      <c r="CI22" s="538"/>
      <c r="CJ22" s="538"/>
      <c r="CK22" s="538"/>
      <c r="CL22" s="538"/>
      <c r="CM22" s="538"/>
      <c r="CN22" s="538"/>
      <c r="CO22" s="538"/>
      <c r="CP22" s="538"/>
      <c r="CQ22" s="538"/>
      <c r="CR22" s="538"/>
      <c r="CS22" s="538"/>
      <c r="CT22" s="538"/>
      <c r="CU22" s="538"/>
      <c r="CV22" s="538"/>
      <c r="CW22" s="538"/>
      <c r="CX22" s="538"/>
      <c r="CY22" s="538"/>
      <c r="CZ22" s="538"/>
      <c r="DA22" s="538"/>
      <c r="DB22" s="538"/>
      <c r="DC22" s="538"/>
      <c r="DD22" s="538"/>
      <c r="DE22" s="538"/>
      <c r="DF22" s="538"/>
      <c r="DG22" s="538"/>
      <c r="DH22" s="538"/>
      <c r="DI22" s="538"/>
    </row>
    <row r="23" customFormat="false" ht="18" hidden="false" customHeight="false" outlineLevel="0" collapsed="false">
      <c r="B23" s="543"/>
      <c r="C23" s="543"/>
      <c r="D23" s="538"/>
      <c r="E23" s="538"/>
      <c r="F23" s="538"/>
      <c r="G23" s="538"/>
      <c r="H23" s="538"/>
      <c r="I23" s="538"/>
      <c r="J23" s="538"/>
      <c r="K23" s="538"/>
      <c r="L23" s="538"/>
      <c r="M23" s="538"/>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8"/>
      <c r="AS23" s="538"/>
      <c r="AT23" s="538"/>
      <c r="AU23" s="538"/>
      <c r="AV23" s="538"/>
      <c r="AW23" s="538"/>
      <c r="AX23" s="538"/>
      <c r="AY23" s="538"/>
      <c r="AZ23" s="538"/>
      <c r="BA23" s="538"/>
      <c r="BB23" s="538"/>
      <c r="BC23" s="538"/>
      <c r="BD23" s="538"/>
      <c r="BE23" s="538"/>
      <c r="BF23" s="538"/>
      <c r="BG23" s="538"/>
      <c r="BH23" s="538"/>
      <c r="BI23" s="538"/>
      <c r="BJ23" s="538"/>
      <c r="BK23" s="538"/>
      <c r="BL23" s="538"/>
      <c r="BM23" s="538"/>
      <c r="BN23" s="538"/>
      <c r="BO23" s="538"/>
      <c r="BP23" s="538"/>
      <c r="BQ23" s="538"/>
      <c r="BR23" s="538"/>
      <c r="BS23" s="538"/>
      <c r="BT23" s="538"/>
      <c r="BU23" s="538"/>
      <c r="BV23" s="538"/>
      <c r="BW23" s="538"/>
      <c r="BX23" s="538"/>
      <c r="BY23" s="538"/>
      <c r="BZ23" s="538"/>
      <c r="CA23" s="538"/>
      <c r="CB23" s="538"/>
      <c r="CC23" s="538"/>
      <c r="CD23" s="538"/>
      <c r="CE23" s="538"/>
      <c r="CF23" s="538"/>
      <c r="CG23" s="538"/>
      <c r="CH23" s="538"/>
      <c r="CI23" s="538"/>
      <c r="CJ23" s="538"/>
      <c r="CK23" s="538"/>
      <c r="CL23" s="538"/>
      <c r="CM23" s="538"/>
      <c r="CN23" s="538"/>
      <c r="CO23" s="538"/>
      <c r="CP23" s="538"/>
      <c r="CQ23" s="538"/>
      <c r="CR23" s="538"/>
      <c r="CS23" s="538"/>
      <c r="CT23" s="538"/>
      <c r="CU23" s="538"/>
      <c r="CV23" s="538"/>
      <c r="CW23" s="538"/>
      <c r="CX23" s="538"/>
      <c r="CY23" s="538"/>
      <c r="CZ23" s="538"/>
      <c r="DA23" s="538"/>
      <c r="DB23" s="538"/>
      <c r="DC23" s="538"/>
      <c r="DD23" s="538"/>
      <c r="DE23" s="538"/>
      <c r="DF23" s="538"/>
      <c r="DG23" s="538"/>
      <c r="DH23" s="538"/>
      <c r="DI23" s="538"/>
    </row>
    <row r="24" customFormat="false" ht="18" hidden="false" customHeight="false" outlineLevel="0" collapsed="false">
      <c r="B24" s="543"/>
      <c r="C24" s="543"/>
      <c r="D24" s="538"/>
      <c r="E24" s="538"/>
      <c r="F24" s="538"/>
      <c r="G24" s="538"/>
      <c r="H24" s="538"/>
      <c r="I24" s="538"/>
      <c r="J24" s="538"/>
      <c r="K24" s="538"/>
      <c r="L24" s="538"/>
      <c r="M24" s="538"/>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8"/>
      <c r="AS24" s="538"/>
      <c r="AT24" s="538"/>
      <c r="AU24" s="538"/>
      <c r="AV24" s="538"/>
      <c r="AW24" s="538"/>
      <c r="AX24" s="538"/>
      <c r="AY24" s="538"/>
      <c r="AZ24" s="538"/>
      <c r="BA24" s="538"/>
      <c r="BB24" s="538"/>
      <c r="BC24" s="538"/>
      <c r="BD24" s="538"/>
      <c r="BE24" s="538"/>
      <c r="BF24" s="538"/>
      <c r="BG24" s="538"/>
      <c r="BH24" s="538"/>
      <c r="BI24" s="538"/>
      <c r="BJ24" s="538"/>
      <c r="BK24" s="538"/>
      <c r="BL24" s="538"/>
      <c r="BM24" s="538"/>
      <c r="BN24" s="538"/>
      <c r="BO24" s="538"/>
      <c r="BP24" s="538"/>
      <c r="BQ24" s="538"/>
      <c r="BR24" s="538"/>
      <c r="BS24" s="538"/>
      <c r="BT24" s="538"/>
      <c r="BU24" s="538"/>
      <c r="BV24" s="538"/>
      <c r="BW24" s="538"/>
      <c r="BX24" s="538"/>
      <c r="BY24" s="538"/>
      <c r="BZ24" s="538"/>
      <c r="CA24" s="538"/>
      <c r="CB24" s="538"/>
      <c r="CC24" s="538"/>
      <c r="CD24" s="538"/>
      <c r="CE24" s="538"/>
      <c r="CF24" s="538"/>
      <c r="CG24" s="538"/>
      <c r="CH24" s="538"/>
      <c r="CI24" s="538"/>
      <c r="CJ24" s="538"/>
      <c r="CK24" s="538"/>
      <c r="CL24" s="538"/>
      <c r="CM24" s="538"/>
      <c r="CN24" s="538"/>
      <c r="CO24" s="538"/>
      <c r="CP24" s="538"/>
      <c r="CQ24" s="538"/>
      <c r="CR24" s="538"/>
      <c r="CS24" s="538"/>
      <c r="CT24" s="538"/>
      <c r="CU24" s="538"/>
      <c r="CV24" s="538"/>
      <c r="CW24" s="538"/>
      <c r="CX24" s="538"/>
      <c r="CY24" s="538"/>
      <c r="CZ24" s="538"/>
      <c r="DA24" s="538"/>
      <c r="DB24" s="538"/>
      <c r="DC24" s="538"/>
      <c r="DD24" s="538"/>
      <c r="DE24" s="538"/>
      <c r="DF24" s="538"/>
      <c r="DG24" s="538"/>
      <c r="DH24" s="538"/>
      <c r="DI24" s="538"/>
    </row>
    <row r="25" customFormat="false" ht="18" hidden="false" customHeight="false" outlineLevel="0" collapsed="false">
      <c r="B25" s="543"/>
      <c r="C25" s="543"/>
      <c r="D25" s="538"/>
      <c r="E25" s="538"/>
      <c r="F25" s="538"/>
      <c r="G25" s="538"/>
      <c r="H25" s="538"/>
      <c r="I25" s="538"/>
      <c r="J25" s="538"/>
      <c r="K25" s="538"/>
      <c r="L25" s="538"/>
      <c r="M25" s="538"/>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8"/>
      <c r="AS25" s="538"/>
      <c r="AT25" s="538"/>
      <c r="AU25" s="538"/>
      <c r="AV25" s="538"/>
      <c r="AW25" s="538"/>
      <c r="AX25" s="538"/>
      <c r="AY25" s="538"/>
      <c r="AZ25" s="538"/>
      <c r="BA25" s="538"/>
      <c r="BB25" s="538"/>
      <c r="BC25" s="538"/>
      <c r="BD25" s="538"/>
      <c r="BE25" s="538"/>
      <c r="BF25" s="538"/>
      <c r="BG25" s="538"/>
      <c r="BH25" s="538"/>
      <c r="BI25" s="538"/>
      <c r="BJ25" s="538"/>
      <c r="BK25" s="538"/>
      <c r="BL25" s="538"/>
      <c r="BM25" s="538"/>
      <c r="BN25" s="538"/>
      <c r="BO25" s="538"/>
      <c r="BP25" s="538"/>
      <c r="BQ25" s="538"/>
      <c r="BR25" s="538"/>
      <c r="BS25" s="538"/>
      <c r="BT25" s="538"/>
      <c r="BU25" s="538"/>
      <c r="BV25" s="538"/>
      <c r="BW25" s="538"/>
      <c r="BX25" s="538"/>
      <c r="BY25" s="538"/>
      <c r="BZ25" s="538"/>
      <c r="CA25" s="538"/>
      <c r="CB25" s="538"/>
      <c r="CC25" s="538"/>
      <c r="CD25" s="538"/>
      <c r="CE25" s="538"/>
      <c r="CF25" s="538"/>
      <c r="CG25" s="538"/>
      <c r="CH25" s="538"/>
      <c r="CI25" s="538"/>
      <c r="CJ25" s="538"/>
      <c r="CK25" s="538"/>
      <c r="CL25" s="538"/>
      <c r="CM25" s="538"/>
      <c r="CN25" s="538"/>
      <c r="CO25" s="538"/>
      <c r="CP25" s="538"/>
      <c r="CQ25" s="538"/>
      <c r="CR25" s="538"/>
      <c r="CS25" s="538"/>
      <c r="CT25" s="538"/>
      <c r="CU25" s="538"/>
      <c r="CV25" s="538"/>
      <c r="CW25" s="538"/>
      <c r="CX25" s="538"/>
      <c r="CY25" s="538"/>
      <c r="CZ25" s="538"/>
      <c r="DA25" s="538"/>
      <c r="DB25" s="538"/>
      <c r="DC25" s="538"/>
      <c r="DD25" s="538"/>
      <c r="DE25" s="538"/>
      <c r="DF25" s="538"/>
      <c r="DG25" s="538"/>
      <c r="DH25" s="538"/>
      <c r="DI25" s="538"/>
    </row>
    <row r="28" customFormat="false" ht="18" hidden="false" customHeight="false" outlineLevel="0" collapsed="false">
      <c r="C28" s="546"/>
    </row>
    <row r="29" customFormat="false" ht="18" hidden="false" customHeight="false" outlineLevel="0" collapsed="false">
      <c r="C29" s="547"/>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75390625" defaultRowHeight="18" zeroHeight="false" outlineLevelRow="0" outlineLevelCol="0"/>
  <cols>
    <col collapsed="false" customWidth="true" hidden="false" outlineLevel="0" max="1" min="1" style="2" width="8.33"/>
    <col collapsed="false" customWidth="true" hidden="false" outlineLevel="0" max="2" min="2" style="548" width="10.25"/>
    <col collapsed="false" customWidth="true" hidden="false" outlineLevel="0" max="3" min="3" style="549" width="7.33"/>
    <col collapsed="false" customWidth="true" hidden="false" outlineLevel="0" max="6" min="4" style="2" width="30.59"/>
    <col collapsed="false" customWidth="false" hidden="false" outlineLevel="0" max="16384" min="7" style="2" width="8.76"/>
  </cols>
  <sheetData>
    <row r="1" customFormat="false" ht="9" hidden="false" customHeight="true" outlineLevel="0" collapsed="false">
      <c r="C1" s="550"/>
      <c r="D1" s="550"/>
      <c r="E1" s="550"/>
      <c r="F1" s="550"/>
    </row>
    <row r="2" customFormat="false" ht="18" hidden="false" customHeight="true" outlineLevel="0" collapsed="false">
      <c r="A2" s="550"/>
      <c r="B2" s="551" t="s">
        <v>666</v>
      </c>
      <c r="C2" s="550"/>
      <c r="D2" s="550"/>
      <c r="E2" s="550"/>
      <c r="F2" s="550"/>
    </row>
    <row r="3" customFormat="false" ht="23.25" hidden="false" customHeight="true" outlineLevel="0" collapsed="false">
      <c r="B3" s="552" t="s">
        <v>667</v>
      </c>
      <c r="C3" s="552" t="s">
        <v>668</v>
      </c>
      <c r="D3" s="553" t="s">
        <v>669</v>
      </c>
      <c r="E3" s="553" t="s">
        <v>670</v>
      </c>
      <c r="F3" s="554" t="s">
        <v>671</v>
      </c>
    </row>
    <row r="4" customFormat="false" ht="18" hidden="false" customHeight="false" outlineLevel="0" collapsed="false">
      <c r="A4" s="555" t="s">
        <v>672</v>
      </c>
      <c r="B4" s="556" t="n">
        <v>45931</v>
      </c>
      <c r="C4" s="556" t="str">
        <f aca="false">TEXT(B4,"aaa")</f>
        <v>Wed</v>
      </c>
      <c r="D4" s="557" t="s">
        <v>673</v>
      </c>
      <c r="E4" s="557"/>
      <c r="F4" s="557"/>
    </row>
    <row r="5" customFormat="false" ht="18" hidden="false" customHeight="false" outlineLevel="0" collapsed="false">
      <c r="B5" s="541" t="n">
        <f aca="false">B4+1</f>
        <v>45932</v>
      </c>
      <c r="C5" s="541" t="str">
        <f aca="false">TEXT(B5,"aaa")</f>
        <v>Thu</v>
      </c>
      <c r="D5" s="558"/>
      <c r="E5" s="559" t="s">
        <v>674</v>
      </c>
      <c r="F5" s="558"/>
    </row>
    <row r="6" customFormat="false" ht="18" hidden="false" customHeight="false" outlineLevel="0" collapsed="false">
      <c r="B6" s="541" t="n">
        <f aca="false">B5+1</f>
        <v>45933</v>
      </c>
      <c r="C6" s="541" t="str">
        <f aca="false">TEXT(B6,"aaa")</f>
        <v>Fri</v>
      </c>
      <c r="D6" s="558"/>
      <c r="E6" s="559" t="s">
        <v>675</v>
      </c>
      <c r="F6" s="560" t="s">
        <v>676</v>
      </c>
    </row>
    <row r="7" customFormat="false" ht="18" hidden="false" customHeight="true" outlineLevel="0" collapsed="false">
      <c r="B7" s="561" t="n">
        <f aca="false">B6+1</f>
        <v>45934</v>
      </c>
      <c r="C7" s="561" t="str">
        <f aca="false">TEXT(B7,"aaa")</f>
        <v>Sat</v>
      </c>
      <c r="D7" s="558"/>
      <c r="E7" s="558"/>
      <c r="F7" s="558"/>
    </row>
    <row r="8" customFormat="false" ht="18" hidden="false" customHeight="false" outlineLevel="0" collapsed="false">
      <c r="B8" s="562" t="n">
        <f aca="false">B7+1</f>
        <v>45935</v>
      </c>
      <c r="C8" s="562" t="str">
        <f aca="false">TEXT(B8,"aaa")</f>
        <v>Sun</v>
      </c>
      <c r="D8" s="558"/>
      <c r="E8" s="558"/>
      <c r="F8" s="558"/>
    </row>
    <row r="9" customFormat="false" ht="18" hidden="false" customHeight="false" outlineLevel="0" collapsed="false">
      <c r="B9" s="541" t="n">
        <f aca="false">B8+1</f>
        <v>45936</v>
      </c>
      <c r="C9" s="541" t="str">
        <f aca="false">TEXT(B9,"aaa")</f>
        <v>Mon</v>
      </c>
      <c r="D9" s="558"/>
      <c r="E9" s="558"/>
      <c r="F9" s="558"/>
    </row>
    <row r="10" customFormat="false" ht="18" hidden="false" customHeight="false" outlineLevel="0" collapsed="false">
      <c r="B10" s="541" t="n">
        <f aca="false">B9+1</f>
        <v>45937</v>
      </c>
      <c r="C10" s="541" t="str">
        <f aca="false">TEXT(B10,"aaa")</f>
        <v>Tue</v>
      </c>
      <c r="D10" s="558"/>
      <c r="E10" s="558"/>
      <c r="F10" s="558"/>
    </row>
    <row r="11" customFormat="false" ht="18" hidden="false" customHeight="false" outlineLevel="0" collapsed="false">
      <c r="B11" s="541" t="n">
        <f aca="false">B10+1</f>
        <v>45938</v>
      </c>
      <c r="C11" s="541" t="str">
        <f aca="false">TEXT(B11,"aaa")</f>
        <v>Wed</v>
      </c>
      <c r="D11" s="560" t="s">
        <v>641</v>
      </c>
      <c r="E11" s="560"/>
      <c r="F11" s="560"/>
    </row>
    <row r="12" customFormat="false" ht="18" hidden="false" customHeight="false" outlineLevel="0" collapsed="false">
      <c r="B12" s="541" t="n">
        <f aca="false">B11+1</f>
        <v>45939</v>
      </c>
      <c r="C12" s="541" t="str">
        <f aca="false">TEXT(B12,"aaa")</f>
        <v>Thu</v>
      </c>
      <c r="D12" s="558"/>
      <c r="E12" s="558"/>
      <c r="F12" s="558"/>
    </row>
    <row r="13" customFormat="false" ht="18" hidden="false" customHeight="false" outlineLevel="0" collapsed="false">
      <c r="B13" s="541" t="n">
        <f aca="false">B12+1</f>
        <v>45940</v>
      </c>
      <c r="C13" s="541" t="str">
        <f aca="false">TEXT(B13,"aaa")</f>
        <v>Fri</v>
      </c>
      <c r="D13" s="558"/>
      <c r="E13" s="558"/>
      <c r="F13" s="558"/>
    </row>
    <row r="14" customFormat="false" ht="18" hidden="false" customHeight="true" outlineLevel="0" collapsed="false">
      <c r="B14" s="561" t="n">
        <f aca="false">B13+1</f>
        <v>45941</v>
      </c>
      <c r="C14" s="561" t="str">
        <f aca="false">TEXT(B14,"aaa")</f>
        <v>Sat</v>
      </c>
      <c r="D14" s="558"/>
      <c r="E14" s="558"/>
      <c r="F14" s="558"/>
    </row>
    <row r="15" customFormat="false" ht="18" hidden="false" customHeight="false" outlineLevel="0" collapsed="false">
      <c r="B15" s="562" t="n">
        <f aca="false">B14+1</f>
        <v>45942</v>
      </c>
      <c r="C15" s="562" t="str">
        <f aca="false">TEXT(B15,"aaa")</f>
        <v>Sun</v>
      </c>
      <c r="D15" s="558"/>
      <c r="E15" s="558"/>
      <c r="F15" s="558"/>
    </row>
    <row r="16" customFormat="false" ht="18" hidden="false" customHeight="false" outlineLevel="0" collapsed="false">
      <c r="B16" s="563" t="n">
        <f aca="false">B15+1</f>
        <v>45943</v>
      </c>
      <c r="C16" s="563" t="str">
        <f aca="false">TEXT(B16,"aaa")</f>
        <v>Mon</v>
      </c>
      <c r="D16" s="558"/>
      <c r="E16" s="558"/>
      <c r="F16" s="558"/>
    </row>
    <row r="17" customFormat="false" ht="18" hidden="false" customHeight="false" outlineLevel="0" collapsed="false">
      <c r="B17" s="541" t="n">
        <f aca="false">B16+1</f>
        <v>45944</v>
      </c>
      <c r="C17" s="541" t="str">
        <f aca="false">TEXT(B17,"aaa")</f>
        <v>Tue</v>
      </c>
      <c r="D17" s="558"/>
      <c r="E17" s="559" t="s">
        <v>643</v>
      </c>
      <c r="F17" s="558"/>
    </row>
    <row r="18" customFormat="false" ht="18" hidden="false" customHeight="false" outlineLevel="0" collapsed="false">
      <c r="B18" s="541" t="n">
        <f aca="false">B17+1</f>
        <v>45945</v>
      </c>
      <c r="C18" s="541" t="str">
        <f aca="false">TEXT(B18,"aaa")</f>
        <v>Wed</v>
      </c>
      <c r="D18" s="558"/>
      <c r="E18" s="559" t="s">
        <v>677</v>
      </c>
      <c r="F18" s="558"/>
    </row>
    <row r="19" customFormat="false" ht="18" hidden="false" customHeight="false" outlineLevel="0" collapsed="false">
      <c r="B19" s="541" t="n">
        <f aca="false">B18+1</f>
        <v>45946</v>
      </c>
      <c r="C19" s="541" t="str">
        <f aca="false">TEXT(B19,"aaa")</f>
        <v>Thu</v>
      </c>
      <c r="D19" s="558"/>
      <c r="E19" s="558"/>
      <c r="F19" s="558"/>
    </row>
    <row r="20" customFormat="false" ht="18" hidden="false" customHeight="false" outlineLevel="0" collapsed="false">
      <c r="B20" s="541" t="n">
        <f aca="false">B19+1</f>
        <v>45947</v>
      </c>
      <c r="C20" s="541" t="str">
        <f aca="false">TEXT(B20,"aaa")</f>
        <v>Fri</v>
      </c>
      <c r="D20" s="559" t="s">
        <v>678</v>
      </c>
      <c r="E20" s="564" t="s">
        <v>679</v>
      </c>
      <c r="F20" s="559" t="s">
        <v>680</v>
      </c>
    </row>
    <row r="21" customFormat="false" ht="18" hidden="false" customHeight="true" outlineLevel="0" collapsed="false">
      <c r="B21" s="561" t="n">
        <f aca="false">B20+1</f>
        <v>45948</v>
      </c>
      <c r="C21" s="561" t="str">
        <f aca="false">TEXT(B21,"aaa")</f>
        <v>Sat</v>
      </c>
      <c r="D21" s="558"/>
      <c r="E21" s="558"/>
      <c r="F21" s="558"/>
    </row>
    <row r="22" customFormat="false" ht="18.75" hidden="false" customHeight="true" outlineLevel="0" collapsed="false">
      <c r="B22" s="562" t="n">
        <f aca="false">B21+1</f>
        <v>45949</v>
      </c>
      <c r="C22" s="562" t="str">
        <f aca="false">TEXT(B22,"aaa")</f>
        <v>Sun</v>
      </c>
      <c r="D22" s="558"/>
      <c r="E22" s="558"/>
      <c r="F22" s="558"/>
    </row>
    <row r="23" customFormat="false" ht="18" hidden="false" customHeight="false" outlineLevel="0" collapsed="false">
      <c r="B23" s="541" t="n">
        <f aca="false">B22+1</f>
        <v>45950</v>
      </c>
      <c r="C23" s="541" t="str">
        <f aca="false">TEXT(B23,"aaa")</f>
        <v>Mon</v>
      </c>
      <c r="D23" s="558"/>
      <c r="E23" s="558"/>
      <c r="F23" s="558"/>
    </row>
    <row r="24" customFormat="false" ht="18" hidden="false" customHeight="false" outlineLevel="0" collapsed="false">
      <c r="B24" s="541" t="n">
        <f aca="false">B23+1</f>
        <v>45951</v>
      </c>
      <c r="C24" s="541" t="str">
        <f aca="false">TEXT(B24,"aaa")</f>
        <v>Tue</v>
      </c>
      <c r="D24" s="558"/>
      <c r="E24" s="558"/>
      <c r="F24" s="558"/>
    </row>
    <row r="25" customFormat="false" ht="18" hidden="false" customHeight="false" outlineLevel="0" collapsed="false">
      <c r="B25" s="541" t="n">
        <f aca="false">B24+1</f>
        <v>45952</v>
      </c>
      <c r="C25" s="541" t="str">
        <f aca="false">TEXT(B25,"aaa")</f>
        <v>Wed</v>
      </c>
      <c r="D25" s="558"/>
      <c r="E25" s="559" t="s">
        <v>681</v>
      </c>
      <c r="F25" s="558"/>
    </row>
    <row r="26" customFormat="false" ht="18" hidden="false" customHeight="true" outlineLevel="0" collapsed="false">
      <c r="B26" s="541" t="n">
        <f aca="false">B25+1</f>
        <v>45953</v>
      </c>
      <c r="C26" s="541" t="str">
        <f aca="false">TEXT(B26,"aaa")</f>
        <v>Thu</v>
      </c>
      <c r="D26" s="558"/>
      <c r="E26" s="558"/>
      <c r="F26" s="558"/>
    </row>
    <row r="27" customFormat="false" ht="18" hidden="false" customHeight="false" outlineLevel="0" collapsed="false">
      <c r="B27" s="541" t="n">
        <f aca="false">B26+1</f>
        <v>45954</v>
      </c>
      <c r="C27" s="541" t="str">
        <f aca="false">TEXT(B27,"aaa")</f>
        <v>Fri</v>
      </c>
      <c r="D27" s="558"/>
      <c r="E27" s="558"/>
      <c r="F27" s="558"/>
    </row>
    <row r="28" customFormat="false" ht="18" hidden="false" customHeight="false" outlineLevel="0" collapsed="false">
      <c r="B28" s="561" t="n">
        <f aca="false">B27+1</f>
        <v>45955</v>
      </c>
      <c r="C28" s="561" t="str">
        <f aca="false">TEXT(B28,"aaa")</f>
        <v>Sat</v>
      </c>
      <c r="D28" s="558"/>
      <c r="E28" s="558"/>
      <c r="F28" s="558"/>
    </row>
    <row r="29" customFormat="false" ht="18" hidden="false" customHeight="false" outlineLevel="0" collapsed="false">
      <c r="B29" s="562" t="n">
        <f aca="false">B28+1</f>
        <v>45956</v>
      </c>
      <c r="C29" s="562" t="str">
        <f aca="false">TEXT(B29,"aaa")</f>
        <v>Sun</v>
      </c>
      <c r="D29" s="558"/>
      <c r="E29" s="558"/>
      <c r="F29" s="558"/>
    </row>
    <row r="30" customFormat="false" ht="18" hidden="false" customHeight="false" outlineLevel="0" collapsed="false">
      <c r="B30" s="541" t="n">
        <f aca="false">B29+1</f>
        <v>45957</v>
      </c>
      <c r="C30" s="541" t="str">
        <f aca="false">TEXT(B30,"aaa")</f>
        <v>Mon</v>
      </c>
      <c r="D30" s="558"/>
      <c r="E30" s="559" t="s">
        <v>682</v>
      </c>
      <c r="F30" s="559"/>
    </row>
    <row r="31" customFormat="false" ht="18.75" hidden="false" customHeight="true" outlineLevel="0" collapsed="false">
      <c r="B31" s="541" t="n">
        <f aca="false">B30+1</f>
        <v>45958</v>
      </c>
      <c r="C31" s="541" t="str">
        <f aca="false">TEXT(B31,"aaa")</f>
        <v>Tue</v>
      </c>
      <c r="D31" s="559" t="s">
        <v>683</v>
      </c>
      <c r="E31" s="559" t="s">
        <v>684</v>
      </c>
      <c r="F31" s="559" t="s">
        <v>683</v>
      </c>
    </row>
    <row r="32" customFormat="false" ht="18" hidden="false" customHeight="false" outlineLevel="0" collapsed="false">
      <c r="B32" s="541" t="n">
        <f aca="false">B31+1</f>
        <v>45959</v>
      </c>
      <c r="C32" s="541" t="str">
        <f aca="false">TEXT(B32,"aaa")</f>
        <v>Wed</v>
      </c>
      <c r="D32" s="559"/>
      <c r="E32" s="559" t="s">
        <v>685</v>
      </c>
      <c r="F32" s="559"/>
    </row>
    <row r="33" customFormat="false" ht="18" hidden="false" customHeight="false" outlineLevel="0" collapsed="false">
      <c r="B33" s="541" t="n">
        <f aca="false">B32+1</f>
        <v>45960</v>
      </c>
      <c r="C33" s="541" t="str">
        <f aca="false">TEXT(B33,"aaa")</f>
        <v>Thu</v>
      </c>
      <c r="D33" s="559"/>
      <c r="E33" s="559"/>
      <c r="F33" s="559"/>
    </row>
    <row r="34" customFormat="false" ht="18" hidden="false" customHeight="false" outlineLevel="0" collapsed="false">
      <c r="B34" s="541" t="n">
        <f aca="false">B33+1</f>
        <v>45961</v>
      </c>
      <c r="C34" s="541" t="str">
        <f aca="false">TEXT(B34,"aaa")</f>
        <v>Fri</v>
      </c>
      <c r="D34" s="559"/>
      <c r="E34" s="559"/>
      <c r="F34" s="559"/>
    </row>
    <row r="35" customFormat="false" ht="18.75" hidden="false" customHeight="true" outlineLevel="0" collapsed="false">
      <c r="B35" s="561" t="n">
        <f aca="false">B34+1</f>
        <v>45962</v>
      </c>
      <c r="C35" s="561" t="str">
        <f aca="false">TEXT(B35,"aaa")</f>
        <v>Sat</v>
      </c>
      <c r="D35" s="558"/>
      <c r="E35" s="558"/>
      <c r="F35" s="558"/>
    </row>
    <row r="36" customFormat="false" ht="18" hidden="false" customHeight="false" outlineLevel="0" collapsed="false">
      <c r="B36" s="562" t="n">
        <f aca="false">B35+1</f>
        <v>45963</v>
      </c>
      <c r="C36" s="562" t="str">
        <f aca="false">TEXT(B36,"aaa")</f>
        <v>Sun</v>
      </c>
      <c r="D36" s="558"/>
      <c r="E36" s="558"/>
      <c r="F36" s="558"/>
    </row>
    <row r="37" customFormat="false" ht="18" hidden="false" customHeight="false" outlineLevel="0" collapsed="false">
      <c r="B37" s="563" t="n">
        <f aca="false">B36+1</f>
        <v>45964</v>
      </c>
      <c r="C37" s="563" t="str">
        <f aca="false">TEXT(B37,"aaa")</f>
        <v>Mon</v>
      </c>
      <c r="D37" s="558"/>
      <c r="E37" s="558"/>
      <c r="F37" s="558"/>
    </row>
    <row r="38" customFormat="false" ht="18.75" hidden="false" customHeight="true" outlineLevel="0" collapsed="false">
      <c r="B38" s="541" t="n">
        <f aca="false">B37+1</f>
        <v>45965</v>
      </c>
      <c r="C38" s="541" t="str">
        <f aca="false">TEXT(B38,"aaa")</f>
        <v>Tue</v>
      </c>
      <c r="D38" s="559" t="s">
        <v>683</v>
      </c>
      <c r="E38" s="559" t="s">
        <v>685</v>
      </c>
      <c r="F38" s="559" t="s">
        <v>683</v>
      </c>
    </row>
    <row r="39" customFormat="false" ht="18" hidden="false" customHeight="false" outlineLevel="0" collapsed="false">
      <c r="B39" s="541" t="n">
        <f aca="false">B38+1</f>
        <v>45966</v>
      </c>
      <c r="C39" s="541" t="str">
        <f aca="false">TEXT(B39,"aaa")</f>
        <v>Wed</v>
      </c>
      <c r="D39" s="559"/>
      <c r="E39" s="559"/>
      <c r="F39" s="559"/>
    </row>
    <row r="40" customFormat="false" ht="18" hidden="false" customHeight="false" outlineLevel="0" collapsed="false">
      <c r="B40" s="541" t="n">
        <f aca="false">B39+1</f>
        <v>45967</v>
      </c>
      <c r="C40" s="541" t="str">
        <f aca="false">TEXT(B40,"aaa")</f>
        <v>Thu</v>
      </c>
      <c r="D40" s="559"/>
      <c r="E40" s="559"/>
      <c r="F40" s="559"/>
    </row>
    <row r="41" customFormat="false" ht="18" hidden="false" customHeight="false" outlineLevel="0" collapsed="false">
      <c r="B41" s="541" t="n">
        <f aca="false">B40+1</f>
        <v>45968</v>
      </c>
      <c r="C41" s="541" t="str">
        <f aca="false">TEXT(B41,"aaa")</f>
        <v>Fri</v>
      </c>
      <c r="D41" s="559"/>
      <c r="E41" s="559"/>
      <c r="F41" s="559"/>
    </row>
    <row r="42" customFormat="false" ht="18" hidden="false" customHeight="true" outlineLevel="0" collapsed="false">
      <c r="B42" s="561" t="n">
        <f aca="false">B41+1</f>
        <v>45969</v>
      </c>
      <c r="C42" s="561" t="str">
        <f aca="false">TEXT(B42,"aaa")</f>
        <v>Sat</v>
      </c>
      <c r="D42" s="558"/>
      <c r="E42" s="558"/>
      <c r="F42" s="558"/>
    </row>
    <row r="43" customFormat="false" ht="18" hidden="false" customHeight="false" outlineLevel="0" collapsed="false">
      <c r="B43" s="562" t="n">
        <f aca="false">B42+1</f>
        <v>45970</v>
      </c>
      <c r="C43" s="562" t="str">
        <f aca="false">TEXT(B43,"aaa")</f>
        <v>Sun</v>
      </c>
      <c r="D43" s="558"/>
      <c r="E43" s="558"/>
      <c r="F43" s="558"/>
    </row>
    <row r="44" customFormat="false" ht="18" hidden="false" customHeight="false" outlineLevel="0" collapsed="false">
      <c r="B44" s="541" t="n">
        <f aca="false">B43+1</f>
        <v>45971</v>
      </c>
      <c r="C44" s="541" t="str">
        <f aca="false">TEXT(B44,"aaa")</f>
        <v>Mon</v>
      </c>
      <c r="D44" s="559" t="s">
        <v>683</v>
      </c>
      <c r="E44" s="559" t="s">
        <v>685</v>
      </c>
      <c r="F44" s="559" t="s">
        <v>683</v>
      </c>
    </row>
    <row r="45" customFormat="false" ht="18" hidden="false" customHeight="false" outlineLevel="0" collapsed="false">
      <c r="B45" s="541" t="n">
        <f aca="false">B44+1</f>
        <v>45972</v>
      </c>
      <c r="C45" s="541" t="str">
        <f aca="false">TEXT(B45,"aaa")</f>
        <v>Tue</v>
      </c>
      <c r="D45" s="559"/>
      <c r="E45" s="559"/>
      <c r="F45" s="559"/>
    </row>
    <row r="46" customFormat="false" ht="18" hidden="false" customHeight="false" outlineLevel="0" collapsed="false">
      <c r="B46" s="541" t="n">
        <f aca="false">B45+1</f>
        <v>45973</v>
      </c>
      <c r="C46" s="541" t="str">
        <f aca="false">TEXT(B46,"aaa")</f>
        <v>Wed</v>
      </c>
      <c r="D46" s="559" t="s">
        <v>686</v>
      </c>
      <c r="E46" s="559"/>
      <c r="F46" s="559"/>
    </row>
    <row r="47" customFormat="false" ht="18" hidden="false" customHeight="false" outlineLevel="0" collapsed="false">
      <c r="B47" s="541" t="n">
        <f aca="false">B46+1</f>
        <v>45974</v>
      </c>
      <c r="C47" s="541" t="str">
        <f aca="false">TEXT(B47,"aaa")</f>
        <v>Thu</v>
      </c>
      <c r="D47" s="558"/>
      <c r="E47" s="558"/>
      <c r="F47" s="558"/>
    </row>
    <row r="48" customFormat="false" ht="18" hidden="false" customHeight="false" outlineLevel="0" collapsed="false">
      <c r="B48" s="541" t="n">
        <f aca="false">B47+1</f>
        <v>45975</v>
      </c>
      <c r="C48" s="541" t="str">
        <f aca="false">TEXT(B48,"aaa")</f>
        <v>Fri</v>
      </c>
      <c r="D48" s="558"/>
      <c r="E48" s="558"/>
      <c r="F48" s="558"/>
    </row>
    <row r="49" customFormat="false" ht="18" hidden="false" customHeight="false" outlineLevel="0" collapsed="false">
      <c r="B49" s="561" t="n">
        <f aca="false">B48+1</f>
        <v>45976</v>
      </c>
      <c r="C49" s="561" t="str">
        <f aca="false">TEXT(B49,"aaa")</f>
        <v>Sat</v>
      </c>
      <c r="D49" s="558"/>
      <c r="E49" s="558"/>
      <c r="F49" s="558"/>
    </row>
    <row r="50" customFormat="false" ht="18" hidden="false" customHeight="false" outlineLevel="0" collapsed="false">
      <c r="B50" s="562" t="n">
        <f aca="false">B49+1</f>
        <v>45977</v>
      </c>
      <c r="C50" s="562" t="str">
        <f aca="false">TEXT(B50,"aaa")</f>
        <v>Sun</v>
      </c>
      <c r="D50" s="558"/>
      <c r="E50" s="558"/>
      <c r="F50" s="558"/>
    </row>
    <row r="51" customFormat="false" ht="18" hidden="false" customHeight="false" outlineLevel="0" collapsed="false">
      <c r="B51" s="541" t="n">
        <f aca="false">B50+1</f>
        <v>45978</v>
      </c>
      <c r="C51" s="541" t="str">
        <f aca="false">TEXT(B51,"aaa")</f>
        <v>Mon</v>
      </c>
      <c r="D51" s="558"/>
      <c r="E51" s="559" t="s">
        <v>687</v>
      </c>
      <c r="F51" s="559" t="s">
        <v>688</v>
      </c>
    </row>
    <row r="52" customFormat="false" ht="18" hidden="false" customHeight="false" outlineLevel="0" collapsed="false">
      <c r="B52" s="541" t="n">
        <f aca="false">B51+1</f>
        <v>45979</v>
      </c>
      <c r="C52" s="541" t="str">
        <f aca="false">TEXT(B52,"aaa")</f>
        <v>Tue</v>
      </c>
      <c r="D52" s="558"/>
      <c r="E52" s="558"/>
      <c r="F52" s="558"/>
    </row>
    <row r="53" customFormat="false" ht="18.75" hidden="false" customHeight="true" outlineLevel="0" collapsed="false">
      <c r="B53" s="541" t="n">
        <f aca="false">B52+1</f>
        <v>45980</v>
      </c>
      <c r="C53" s="541" t="str">
        <f aca="false">TEXT(B53,"aaa")</f>
        <v>Wed</v>
      </c>
      <c r="D53" s="558"/>
      <c r="E53" s="558"/>
      <c r="F53" s="558"/>
    </row>
    <row r="54" customFormat="false" ht="18" hidden="false" customHeight="false" outlineLevel="0" collapsed="false">
      <c r="B54" s="541" t="n">
        <f aca="false">B53+1</f>
        <v>45981</v>
      </c>
      <c r="C54" s="541" t="str">
        <f aca="false">TEXT(B54,"aaa")</f>
        <v>Thu</v>
      </c>
      <c r="D54" s="558"/>
      <c r="E54" s="558"/>
      <c r="F54" s="558"/>
    </row>
    <row r="55" customFormat="false" ht="18" hidden="false" customHeight="false" outlineLevel="0" collapsed="false">
      <c r="B55" s="541" t="n">
        <f aca="false">B54+1</f>
        <v>45982</v>
      </c>
      <c r="C55" s="541" t="str">
        <f aca="false">TEXT(B55,"aaa")</f>
        <v>Fri</v>
      </c>
      <c r="D55" s="558"/>
      <c r="E55" s="559" t="s">
        <v>689</v>
      </c>
      <c r="F55" s="558"/>
    </row>
    <row r="56" customFormat="false" ht="18" hidden="false" customHeight="false" outlineLevel="0" collapsed="false">
      <c r="B56" s="561" t="n">
        <f aca="false">B55+1</f>
        <v>45983</v>
      </c>
      <c r="C56" s="561" t="str">
        <f aca="false">TEXT(B56,"aaa")</f>
        <v>Sat</v>
      </c>
      <c r="D56" s="558"/>
      <c r="E56" s="558"/>
      <c r="F56" s="558"/>
    </row>
    <row r="57" customFormat="false" ht="18" hidden="false" customHeight="false" outlineLevel="0" collapsed="false">
      <c r="B57" s="563" t="n">
        <f aca="false">B56+1</f>
        <v>45984</v>
      </c>
      <c r="C57" s="563" t="str">
        <f aca="false">TEXT(B57,"aaa")</f>
        <v>Sun</v>
      </c>
      <c r="D57" s="558"/>
      <c r="E57" s="558"/>
      <c r="F57" s="558"/>
    </row>
    <row r="58" customFormat="false" ht="18" hidden="false" customHeight="false" outlineLevel="0" collapsed="false">
      <c r="B58" s="563" t="n">
        <f aca="false">B57+1</f>
        <v>45985</v>
      </c>
      <c r="C58" s="563" t="str">
        <f aca="false">TEXT(B58,"aaa")</f>
        <v>Mon</v>
      </c>
      <c r="D58" s="558"/>
      <c r="E58" s="558"/>
      <c r="F58" s="558"/>
    </row>
    <row r="59" customFormat="false" ht="18" hidden="false" customHeight="false" outlineLevel="0" collapsed="false">
      <c r="B59" s="541" t="n">
        <f aca="false">B58+1</f>
        <v>45986</v>
      </c>
      <c r="C59" s="541" t="str">
        <f aca="false">TEXT(B59,"aaa")</f>
        <v>Tue</v>
      </c>
      <c r="D59" s="558"/>
      <c r="E59" s="559" t="s">
        <v>690</v>
      </c>
      <c r="F59" s="558"/>
    </row>
    <row r="60" customFormat="false" ht="18" hidden="false" customHeight="false" outlineLevel="0" collapsed="false">
      <c r="B60" s="541" t="n">
        <f aca="false">B59+1</f>
        <v>45987</v>
      </c>
      <c r="C60" s="541" t="str">
        <f aca="false">TEXT(B60,"aaa")</f>
        <v>Wed</v>
      </c>
      <c r="D60" s="559" t="s">
        <v>691</v>
      </c>
      <c r="E60" s="559"/>
      <c r="F60" s="559"/>
    </row>
    <row r="61" customFormat="false" ht="18" hidden="false" customHeight="false" outlineLevel="0" collapsed="false">
      <c r="B61" s="541" t="n">
        <f aca="false">B60+1</f>
        <v>45988</v>
      </c>
      <c r="C61" s="541" t="str">
        <f aca="false">TEXT(B61,"aaa")</f>
        <v>Thu</v>
      </c>
      <c r="D61" s="559"/>
      <c r="E61" s="559"/>
      <c r="F61" s="559"/>
    </row>
    <row r="62" customFormat="false" ht="18" hidden="false" customHeight="false" outlineLevel="0" collapsed="false">
      <c r="B62" s="541" t="n">
        <f aca="false">B61+1</f>
        <v>45989</v>
      </c>
      <c r="C62" s="541" t="str">
        <f aca="false">TEXT(B62,"aaa")</f>
        <v>Fri</v>
      </c>
      <c r="D62" s="559"/>
      <c r="E62" s="559"/>
      <c r="F62" s="559"/>
    </row>
    <row r="63" customFormat="false" ht="18" hidden="false" customHeight="false" outlineLevel="0" collapsed="false">
      <c r="B63" s="561" t="n">
        <f aca="false">B62+1</f>
        <v>45990</v>
      </c>
      <c r="C63" s="561" t="str">
        <f aca="false">TEXT(B63,"aaa")</f>
        <v>Sat</v>
      </c>
      <c r="D63" s="558"/>
      <c r="E63" s="558"/>
      <c r="F63" s="558"/>
    </row>
    <row r="64" customFormat="false" ht="18" hidden="false" customHeight="false" outlineLevel="0" collapsed="false">
      <c r="B64" s="562" t="n">
        <f aca="false">B63+1</f>
        <v>45991</v>
      </c>
      <c r="C64" s="562" t="str">
        <f aca="false">TEXT(B64,"aaa")</f>
        <v>Sun</v>
      </c>
      <c r="D64" s="558"/>
      <c r="E64" s="558"/>
      <c r="F64" s="558"/>
    </row>
    <row r="65" customFormat="false" ht="18" hidden="false" customHeight="false" outlineLevel="0" collapsed="false">
      <c r="B65" s="541" t="n">
        <f aca="false">B64+1</f>
        <v>45992</v>
      </c>
      <c r="C65" s="541" t="str">
        <f aca="false">TEXT(B65,"aaa")</f>
        <v>Mon</v>
      </c>
      <c r="D65" s="559" t="s">
        <v>691</v>
      </c>
      <c r="E65" s="559"/>
      <c r="F65" s="559"/>
    </row>
    <row r="66" customFormat="false" ht="18" hidden="false" customHeight="false" outlineLevel="0" collapsed="false">
      <c r="B66" s="541" t="n">
        <f aca="false">B65+1</f>
        <v>45993</v>
      </c>
      <c r="C66" s="541" t="str">
        <f aca="false">TEXT(B66,"aaa")</f>
        <v>Tue</v>
      </c>
      <c r="D66" s="559"/>
      <c r="E66" s="559"/>
      <c r="F66" s="559"/>
    </row>
    <row r="67" customFormat="false" ht="18" hidden="false" customHeight="false" outlineLevel="0" collapsed="false">
      <c r="B67" s="541" t="n">
        <f aca="false">B66+1</f>
        <v>45994</v>
      </c>
      <c r="C67" s="541" t="str">
        <f aca="false">TEXT(B67,"aaa")</f>
        <v>Wed</v>
      </c>
      <c r="D67" s="559"/>
      <c r="E67" s="559"/>
      <c r="F67" s="559"/>
    </row>
    <row r="68" customFormat="false" ht="18" hidden="false" customHeight="false" outlineLevel="0" collapsed="false">
      <c r="B68" s="541" t="n">
        <f aca="false">B67+1</f>
        <v>45995</v>
      </c>
      <c r="C68" s="541" t="str">
        <f aca="false">TEXT(B68,"aaa")</f>
        <v>Thu</v>
      </c>
      <c r="D68" s="559"/>
      <c r="E68" s="559"/>
      <c r="F68" s="559"/>
    </row>
    <row r="69" customFormat="false" ht="18" hidden="false" customHeight="false" outlineLevel="0" collapsed="false">
      <c r="B69" s="541" t="n">
        <f aca="false">B68+1</f>
        <v>45996</v>
      </c>
      <c r="C69" s="541" t="str">
        <f aca="false">TEXT(B69,"aaa")</f>
        <v>Fri</v>
      </c>
      <c r="D69" s="559"/>
      <c r="E69" s="559"/>
      <c r="F69" s="559"/>
    </row>
    <row r="70" customFormat="false" ht="18" hidden="false" customHeight="false" outlineLevel="0" collapsed="false">
      <c r="B70" s="561" t="n">
        <f aca="false">B69+1</f>
        <v>45997</v>
      </c>
      <c r="C70" s="561" t="str">
        <f aca="false">TEXT(B70,"aaa")</f>
        <v>Sat</v>
      </c>
      <c r="D70" s="558"/>
      <c r="E70" s="558"/>
      <c r="F70" s="558"/>
    </row>
    <row r="71" customFormat="false" ht="18" hidden="false" customHeight="false" outlineLevel="0" collapsed="false">
      <c r="B71" s="562" t="n">
        <f aca="false">B70+1</f>
        <v>45998</v>
      </c>
      <c r="C71" s="562" t="str">
        <f aca="false">TEXT(B71,"aaa")</f>
        <v>Sun</v>
      </c>
      <c r="D71" s="558"/>
      <c r="E71" s="558"/>
      <c r="F71" s="558"/>
    </row>
    <row r="72" customFormat="false" ht="18" hidden="false" customHeight="false" outlineLevel="0" collapsed="false">
      <c r="B72" s="541" t="n">
        <f aca="false">B71+1</f>
        <v>45999</v>
      </c>
      <c r="C72" s="541" t="str">
        <f aca="false">TEXT(B72,"aaa")</f>
        <v>Mon</v>
      </c>
      <c r="D72" s="559" t="s">
        <v>691</v>
      </c>
      <c r="E72" s="559"/>
      <c r="F72" s="559"/>
    </row>
    <row r="73" customFormat="false" ht="18" hidden="false" customHeight="false" outlineLevel="0" collapsed="false">
      <c r="B73" s="541" t="n">
        <f aca="false">B72+1</f>
        <v>46000</v>
      </c>
      <c r="C73" s="541" t="str">
        <f aca="false">TEXT(B73,"aaa")</f>
        <v>Tue</v>
      </c>
      <c r="D73" s="559"/>
      <c r="E73" s="559"/>
      <c r="F73" s="559"/>
    </row>
    <row r="74" customFormat="false" ht="18" hidden="false" customHeight="false" outlineLevel="0" collapsed="false">
      <c r="B74" s="541" t="n">
        <f aca="false">B73+1</f>
        <v>46001</v>
      </c>
      <c r="C74" s="541" t="str">
        <f aca="false">TEXT(B74,"aaa")</f>
        <v>Wed</v>
      </c>
      <c r="D74" s="559"/>
      <c r="E74" s="559"/>
      <c r="F74" s="559"/>
    </row>
    <row r="75" customFormat="false" ht="18" hidden="false" customHeight="false" outlineLevel="0" collapsed="false">
      <c r="B75" s="541" t="n">
        <f aca="false">B74+1</f>
        <v>46002</v>
      </c>
      <c r="C75" s="541" t="str">
        <f aca="false">TEXT(B75,"aaa")</f>
        <v>Thu</v>
      </c>
      <c r="D75" s="558"/>
      <c r="E75" s="558"/>
      <c r="F75" s="558"/>
    </row>
    <row r="76" customFormat="false" ht="18" hidden="false" customHeight="false" outlineLevel="0" collapsed="false">
      <c r="B76" s="541" t="n">
        <f aca="false">B75+1</f>
        <v>46003</v>
      </c>
      <c r="C76" s="541" t="str">
        <f aca="false">TEXT(B76,"aaa")</f>
        <v>Fri</v>
      </c>
      <c r="D76" s="564" t="s">
        <v>692</v>
      </c>
      <c r="E76" s="564"/>
      <c r="F76" s="564"/>
    </row>
    <row r="77" customFormat="false" ht="18" hidden="false" customHeight="false" outlineLevel="0" collapsed="false">
      <c r="B77" s="561" t="n">
        <f aca="false">B76+1</f>
        <v>46004</v>
      </c>
      <c r="C77" s="561" t="str">
        <f aca="false">TEXT(B77,"aaa")</f>
        <v>Sat</v>
      </c>
      <c r="D77" s="558"/>
      <c r="E77" s="558"/>
      <c r="F77" s="558"/>
    </row>
    <row r="78" customFormat="false" ht="18" hidden="false" customHeight="false" outlineLevel="0" collapsed="false">
      <c r="B78" s="562" t="n">
        <f aca="false">B77+1</f>
        <v>46005</v>
      </c>
      <c r="C78" s="562" t="str">
        <f aca="false">TEXT(B78,"aaa")</f>
        <v>Sun</v>
      </c>
      <c r="D78" s="558"/>
      <c r="E78" s="558"/>
      <c r="F78" s="558"/>
    </row>
    <row r="79" customFormat="false" ht="18" hidden="false" customHeight="false" outlineLevel="0" collapsed="false">
      <c r="B79" s="541" t="n">
        <f aca="false">B78+1</f>
        <v>46006</v>
      </c>
      <c r="C79" s="541" t="str">
        <f aca="false">TEXT(B79,"aaa")</f>
        <v>Mon</v>
      </c>
      <c r="D79" s="559" t="s">
        <v>693</v>
      </c>
      <c r="E79" s="558"/>
      <c r="F79" s="559" t="s">
        <v>693</v>
      </c>
    </row>
    <row r="80" customFormat="false" ht="18" hidden="false" customHeight="false" outlineLevel="0" collapsed="false">
      <c r="B80" s="541" t="n">
        <f aca="false">B79+1</f>
        <v>46007</v>
      </c>
      <c r="C80" s="541" t="str">
        <f aca="false">TEXT(B80,"aaa")</f>
        <v>Tue</v>
      </c>
      <c r="D80" s="559"/>
      <c r="E80" s="558"/>
      <c r="F80" s="559"/>
    </row>
    <row r="81" customFormat="false" ht="18" hidden="false" customHeight="false" outlineLevel="0" collapsed="false">
      <c r="B81" s="541" t="n">
        <f aca="false">B80+1</f>
        <v>46008</v>
      </c>
      <c r="C81" s="541" t="str">
        <f aca="false">TEXT(B81,"aaa")</f>
        <v>Wed</v>
      </c>
      <c r="D81" s="559"/>
      <c r="E81" s="558"/>
      <c r="F81" s="559"/>
    </row>
    <row r="82" customFormat="false" ht="18" hidden="false" customHeight="false" outlineLevel="0" collapsed="false">
      <c r="B82" s="541" t="n">
        <f aca="false">B81+1</f>
        <v>46009</v>
      </c>
      <c r="C82" s="541" t="str">
        <f aca="false">TEXT(B82,"aaa")</f>
        <v>Thu</v>
      </c>
      <c r="D82" s="559"/>
      <c r="E82" s="558"/>
      <c r="F82" s="559"/>
    </row>
    <row r="83" customFormat="false" ht="18" hidden="false" customHeight="false" outlineLevel="0" collapsed="false">
      <c r="B83" s="541" t="n">
        <f aca="false">B82+1</f>
        <v>46010</v>
      </c>
      <c r="C83" s="541" t="str">
        <f aca="false">TEXT(B83,"aaa")</f>
        <v>Fri</v>
      </c>
      <c r="D83" s="564" t="s">
        <v>694</v>
      </c>
      <c r="E83" s="564"/>
      <c r="F83" s="564"/>
    </row>
    <row r="84" customFormat="false" ht="18" hidden="false" customHeight="false" outlineLevel="0" collapsed="false">
      <c r="B84" s="561" t="n">
        <f aca="false">B83+1</f>
        <v>46011</v>
      </c>
      <c r="C84" s="561" t="str">
        <f aca="false">TEXT(B84,"aaa")</f>
        <v>Sat</v>
      </c>
      <c r="D84" s="558"/>
      <c r="E84" s="558"/>
      <c r="F84" s="558"/>
    </row>
    <row r="85" customFormat="false" ht="18" hidden="false" customHeight="false" outlineLevel="0" collapsed="false">
      <c r="B85" s="562" t="n">
        <f aca="false">B84+1</f>
        <v>46012</v>
      </c>
      <c r="C85" s="562" t="str">
        <f aca="false">TEXT(B85,"aaa")</f>
        <v>Sun</v>
      </c>
      <c r="D85" s="558"/>
      <c r="E85" s="558"/>
      <c r="F85" s="558"/>
    </row>
    <row r="86" customFormat="false" ht="18" hidden="false" customHeight="false" outlineLevel="0" collapsed="false">
      <c r="B86" s="541" t="n">
        <f aca="false">B85+1</f>
        <v>46013</v>
      </c>
      <c r="C86" s="541" t="str">
        <f aca="false">TEXT(B86,"aaa")</f>
        <v>Mon</v>
      </c>
      <c r="D86" s="565" t="s">
        <v>695</v>
      </c>
      <c r="E86" s="565"/>
      <c r="F86" s="558"/>
    </row>
    <row r="87" customFormat="false" ht="18" hidden="false" customHeight="false" outlineLevel="0" collapsed="false">
      <c r="B87" s="541" t="n">
        <f aca="false">B86+1</f>
        <v>46014</v>
      </c>
      <c r="C87" s="541" t="str">
        <f aca="false">TEXT(B87,"aaa")</f>
        <v>Tue</v>
      </c>
      <c r="D87" s="558"/>
      <c r="E87" s="558"/>
      <c r="F87" s="558"/>
    </row>
    <row r="88" customFormat="false" ht="18" hidden="false" customHeight="false" outlineLevel="0" collapsed="false">
      <c r="B88" s="541" t="n">
        <f aca="false">B87+1</f>
        <v>46015</v>
      </c>
      <c r="C88" s="541" t="str">
        <f aca="false">TEXT(B88,"aaa")</f>
        <v>Wed</v>
      </c>
      <c r="D88" s="558"/>
      <c r="E88" s="558"/>
      <c r="F88" s="558"/>
    </row>
    <row r="89" customFormat="false" ht="18" hidden="false" customHeight="false" outlineLevel="0" collapsed="false">
      <c r="B89" s="541" t="n">
        <f aca="false">B88+1</f>
        <v>46016</v>
      </c>
      <c r="C89" s="541" t="str">
        <f aca="false">TEXT(B89,"aaa")</f>
        <v>Thu</v>
      </c>
      <c r="D89" s="558"/>
      <c r="E89" s="558"/>
      <c r="F89" s="558"/>
    </row>
    <row r="90" customFormat="false" ht="18" hidden="false" customHeight="false" outlineLevel="0" collapsed="false">
      <c r="B90" s="541" t="n">
        <f aca="false">B89+1</f>
        <v>46017</v>
      </c>
      <c r="C90" s="541" t="str">
        <f aca="false">TEXT(B90,"aaa")</f>
        <v>Fri</v>
      </c>
      <c r="D90" s="558"/>
      <c r="E90" s="558"/>
      <c r="F90" s="558"/>
    </row>
    <row r="91" customFormat="false" ht="18" hidden="false" customHeight="false" outlineLevel="0" collapsed="false">
      <c r="B91" s="561" t="n">
        <f aca="false">B90+1</f>
        <v>46018</v>
      </c>
      <c r="C91" s="561" t="str">
        <f aca="false">TEXT(B91,"aaa")</f>
        <v>Sat</v>
      </c>
      <c r="D91" s="558"/>
      <c r="E91" s="558"/>
      <c r="F91" s="558"/>
    </row>
    <row r="92" customFormat="false" ht="18" hidden="false" customHeight="false" outlineLevel="0" collapsed="false">
      <c r="B92" s="562" t="n">
        <f aca="false">B91+1</f>
        <v>46019</v>
      </c>
      <c r="C92" s="562" t="str">
        <f aca="false">TEXT(B92,"aaa")</f>
        <v>Sun</v>
      </c>
      <c r="D92" s="558"/>
      <c r="E92" s="558"/>
      <c r="F92" s="558"/>
    </row>
    <row r="93" customFormat="false" ht="18" hidden="false" customHeight="false" outlineLevel="0" collapsed="false">
      <c r="B93" s="541" t="n">
        <f aca="false">B92+1</f>
        <v>46020</v>
      </c>
      <c r="C93" s="541" t="str">
        <f aca="false">TEXT(B93,"aaa")</f>
        <v>Mon</v>
      </c>
      <c r="D93" s="558"/>
      <c r="E93" s="558"/>
      <c r="F93" s="558"/>
    </row>
    <row r="94" customFormat="false" ht="18" hidden="false" customHeight="false" outlineLevel="0" collapsed="false">
      <c r="B94" s="541" t="n">
        <f aca="false">B93+1</f>
        <v>46021</v>
      </c>
      <c r="C94" s="541" t="str">
        <f aca="false">TEXT(B94,"aaa")</f>
        <v>Tue</v>
      </c>
      <c r="D94" s="558"/>
      <c r="E94" s="558"/>
      <c r="F94" s="558"/>
    </row>
    <row r="95" customFormat="false" ht="18" hidden="false" customHeight="false" outlineLevel="0" collapsed="false">
      <c r="B95" s="563" t="n">
        <f aca="false">B94+1</f>
        <v>46022</v>
      </c>
      <c r="C95" s="563" t="str">
        <f aca="false">TEXT(B95,"aaa")</f>
        <v>Wed</v>
      </c>
      <c r="D95" s="558"/>
      <c r="E95" s="558"/>
      <c r="F95" s="558"/>
    </row>
    <row r="96" customFormat="false" ht="18" hidden="false" customHeight="false" outlineLevel="0" collapsed="false">
      <c r="A96" s="555" t="s">
        <v>696</v>
      </c>
      <c r="B96" s="563" t="n">
        <f aca="false">B95+1</f>
        <v>46023</v>
      </c>
      <c r="C96" s="563" t="str">
        <f aca="false">TEXT(B96,"aaa")</f>
        <v>Thu</v>
      </c>
      <c r="D96" s="558"/>
      <c r="E96" s="558"/>
      <c r="F96" s="558"/>
    </row>
    <row r="97" customFormat="false" ht="18" hidden="false" customHeight="false" outlineLevel="0" collapsed="false">
      <c r="B97" s="563" t="n">
        <f aca="false">B96+1</f>
        <v>46024</v>
      </c>
      <c r="C97" s="563" t="str">
        <f aca="false">TEXT(B97,"aaa")</f>
        <v>Fri</v>
      </c>
      <c r="D97" s="558"/>
      <c r="E97" s="558"/>
      <c r="F97" s="558"/>
    </row>
    <row r="98" customFormat="false" ht="18" hidden="false" customHeight="false" outlineLevel="0" collapsed="false">
      <c r="B98" s="561" t="n">
        <f aca="false">B97+1</f>
        <v>46025</v>
      </c>
      <c r="C98" s="561" t="str">
        <f aca="false">TEXT(B98,"aaa")</f>
        <v>Sat</v>
      </c>
      <c r="D98" s="558"/>
      <c r="E98" s="558"/>
      <c r="F98" s="558"/>
    </row>
    <row r="99" customFormat="false" ht="18" hidden="false" customHeight="false" outlineLevel="0" collapsed="false">
      <c r="B99" s="562" t="n">
        <f aca="false">B98+1</f>
        <v>46026</v>
      </c>
      <c r="C99" s="562" t="str">
        <f aca="false">TEXT(B99,"aaa")</f>
        <v>Sun</v>
      </c>
      <c r="D99" s="558"/>
      <c r="E99" s="558"/>
      <c r="F99" s="558"/>
    </row>
    <row r="100" customFormat="false" ht="18" hidden="false" customHeight="false" outlineLevel="0" collapsed="false">
      <c r="B100" s="541" t="n">
        <f aca="false">B99+1</f>
        <v>46027</v>
      </c>
      <c r="C100" s="541" t="str">
        <f aca="false">TEXT(B100,"aaa")</f>
        <v>Mon</v>
      </c>
      <c r="D100" s="558"/>
      <c r="E100" s="558"/>
      <c r="F100" s="558"/>
    </row>
    <row r="101" customFormat="false" ht="18" hidden="false" customHeight="false" outlineLevel="0" collapsed="false">
      <c r="B101" s="541" t="n">
        <f aca="false">B100+1</f>
        <v>46028</v>
      </c>
      <c r="C101" s="541" t="str">
        <f aca="false">TEXT(B101,"aaa")</f>
        <v>Tue</v>
      </c>
      <c r="D101" s="558"/>
      <c r="E101" s="558"/>
      <c r="F101" s="558"/>
    </row>
    <row r="102" customFormat="false" ht="18" hidden="false" customHeight="false" outlineLevel="0" collapsed="false">
      <c r="B102" s="541" t="n">
        <f aca="false">B101+1</f>
        <v>46029</v>
      </c>
      <c r="C102" s="541" t="str">
        <f aca="false">TEXT(B102,"aaa")</f>
        <v>Wed</v>
      </c>
      <c r="D102" s="558"/>
      <c r="E102" s="558"/>
      <c r="F102" s="558"/>
    </row>
    <row r="103" customFormat="false" ht="18" hidden="false" customHeight="false" outlineLevel="0" collapsed="false">
      <c r="B103" s="541" t="n">
        <f aca="false">B102+1</f>
        <v>46030</v>
      </c>
      <c r="C103" s="541" t="str">
        <f aca="false">TEXT(B103,"aaa")</f>
        <v>Thu</v>
      </c>
      <c r="D103" s="558"/>
      <c r="E103" s="558"/>
      <c r="F103" s="558"/>
    </row>
    <row r="104" customFormat="false" ht="18" hidden="false" customHeight="false" outlineLevel="0" collapsed="false">
      <c r="B104" s="541" t="n">
        <f aca="false">B103+1</f>
        <v>46031</v>
      </c>
      <c r="C104" s="541" t="str">
        <f aca="false">TEXT(B104,"aaa")</f>
        <v>Fri</v>
      </c>
      <c r="D104" s="558"/>
      <c r="E104" s="558"/>
      <c r="F104" s="558"/>
    </row>
    <row r="105" customFormat="false" ht="18" hidden="false" customHeight="false" outlineLevel="0" collapsed="false">
      <c r="B105" s="561" t="n">
        <f aca="false">B104+1</f>
        <v>46032</v>
      </c>
      <c r="C105" s="561" t="str">
        <f aca="false">TEXT(B105,"aaa")</f>
        <v>Sat</v>
      </c>
      <c r="D105" s="558"/>
      <c r="E105" s="558"/>
      <c r="F105" s="558"/>
    </row>
    <row r="106" customFormat="false" ht="18" hidden="false" customHeight="false" outlineLevel="0" collapsed="false">
      <c r="B106" s="562" t="n">
        <f aca="false">B105+1</f>
        <v>46033</v>
      </c>
      <c r="C106" s="562" t="str">
        <f aca="false">TEXT(B106,"aaa")</f>
        <v>Sun</v>
      </c>
      <c r="D106" s="558"/>
      <c r="E106" s="558"/>
      <c r="F106" s="558"/>
    </row>
    <row r="107" customFormat="false" ht="18" hidden="false" customHeight="false" outlineLevel="0" collapsed="false">
      <c r="B107" s="541" t="n">
        <f aca="false">B106+1</f>
        <v>46034</v>
      </c>
      <c r="C107" s="541" t="str">
        <f aca="false">TEXT(B107,"aaa")</f>
        <v>Mon</v>
      </c>
      <c r="D107" s="558"/>
      <c r="E107" s="558"/>
      <c r="F107" s="558"/>
    </row>
    <row r="108" customFormat="false" ht="18" hidden="false" customHeight="false" outlineLevel="0" collapsed="false">
      <c r="B108" s="541" t="n">
        <f aca="false">B107+1</f>
        <v>46035</v>
      </c>
      <c r="C108" s="541" t="str">
        <f aca="false">TEXT(B108,"aaa")</f>
        <v>Tue</v>
      </c>
      <c r="D108" s="558"/>
      <c r="E108" s="558"/>
      <c r="F108" s="558"/>
    </row>
    <row r="109" customFormat="false" ht="18" hidden="false" customHeight="false" outlineLevel="0" collapsed="false">
      <c r="B109" s="541" t="n">
        <f aca="false">B108+1</f>
        <v>46036</v>
      </c>
      <c r="C109" s="541" t="str">
        <f aca="false">TEXT(B109,"aaa")</f>
        <v>Wed</v>
      </c>
      <c r="D109" s="558"/>
      <c r="E109" s="558"/>
      <c r="F109" s="558"/>
    </row>
    <row r="110" customFormat="false" ht="18" hidden="false" customHeight="false" outlineLevel="0" collapsed="false">
      <c r="B110" s="541" t="n">
        <f aca="false">B109+1</f>
        <v>46037</v>
      </c>
      <c r="C110" s="541" t="str">
        <f aca="false">TEXT(B110,"aaa")</f>
        <v>Thu</v>
      </c>
      <c r="D110" s="558"/>
      <c r="E110" s="558"/>
      <c r="F110" s="558"/>
    </row>
    <row r="111" customFormat="false" ht="18" hidden="false" customHeight="false" outlineLevel="0" collapsed="false">
      <c r="B111" s="541" t="n">
        <f aca="false">B110+1</f>
        <v>46038</v>
      </c>
      <c r="C111" s="541" t="str">
        <f aca="false">TEXT(B111,"aaa")</f>
        <v>Fri</v>
      </c>
      <c r="D111" s="558"/>
      <c r="E111" s="558"/>
      <c r="F111" s="558"/>
    </row>
    <row r="112" customFormat="false" ht="18" hidden="false" customHeight="false" outlineLevel="0" collapsed="false">
      <c r="B112" s="561" t="n">
        <f aca="false">B111+1</f>
        <v>46039</v>
      </c>
      <c r="C112" s="561" t="str">
        <f aca="false">TEXT(B112,"aaa")</f>
        <v>Sat</v>
      </c>
      <c r="D112" s="558"/>
      <c r="E112" s="558"/>
      <c r="F112" s="558"/>
    </row>
    <row r="113" customFormat="false" ht="18" hidden="false" customHeight="false" outlineLevel="0" collapsed="false">
      <c r="B113" s="562" t="n">
        <f aca="false">B112+1</f>
        <v>46040</v>
      </c>
      <c r="C113" s="562" t="str">
        <f aca="false">TEXT(B113,"aaa")</f>
        <v>Sun</v>
      </c>
      <c r="D113" s="558"/>
      <c r="E113" s="558"/>
      <c r="F113" s="558"/>
    </row>
    <row r="114" customFormat="false" ht="18" hidden="false" customHeight="false" outlineLevel="0" collapsed="false">
      <c r="B114" s="541" t="n">
        <f aca="false">B113+1</f>
        <v>46041</v>
      </c>
      <c r="C114" s="541" t="str">
        <f aca="false">TEXT(B114,"aaa")</f>
        <v>Mon</v>
      </c>
      <c r="D114" s="558"/>
      <c r="E114" s="558"/>
      <c r="F114" s="558"/>
    </row>
    <row r="115" customFormat="false" ht="18" hidden="false" customHeight="false" outlineLevel="0" collapsed="false">
      <c r="B115" s="541" t="n">
        <f aca="false">B114+1</f>
        <v>46042</v>
      </c>
      <c r="C115" s="541" t="str">
        <f aca="false">TEXT(B115,"aaa")</f>
        <v>Tue</v>
      </c>
      <c r="D115" s="558"/>
      <c r="E115" s="558"/>
      <c r="F115" s="558"/>
    </row>
    <row r="116" customFormat="false" ht="18" hidden="false" customHeight="false" outlineLevel="0" collapsed="false">
      <c r="B116" s="541" t="n">
        <f aca="false">B115+1</f>
        <v>46043</v>
      </c>
      <c r="C116" s="541" t="str">
        <f aca="false">TEXT(B116,"aaa")</f>
        <v>Wed</v>
      </c>
      <c r="D116" s="558"/>
      <c r="E116" s="558"/>
      <c r="F116" s="558"/>
    </row>
    <row r="117" customFormat="false" ht="18" hidden="false" customHeight="false" outlineLevel="0" collapsed="false">
      <c r="B117" s="541" t="n">
        <f aca="false">B116+1</f>
        <v>46044</v>
      </c>
      <c r="C117" s="541" t="str">
        <f aca="false">TEXT(B117,"aaa")</f>
        <v>Thu</v>
      </c>
      <c r="D117" s="558"/>
      <c r="E117" s="558"/>
      <c r="F117" s="558"/>
    </row>
    <row r="118" customFormat="false" ht="18" hidden="false" customHeight="false" outlineLevel="0" collapsed="false">
      <c r="B118" s="541" t="n">
        <f aca="false">B117+1</f>
        <v>46045</v>
      </c>
      <c r="C118" s="541" t="str">
        <f aca="false">TEXT(B118,"aaa")</f>
        <v>Fri</v>
      </c>
      <c r="D118" s="558"/>
      <c r="E118" s="558"/>
      <c r="F118" s="558"/>
    </row>
    <row r="119" customFormat="false" ht="18" hidden="false" customHeight="false" outlineLevel="0" collapsed="false">
      <c r="B119" s="561" t="n">
        <f aca="false">B118+1</f>
        <v>46046</v>
      </c>
      <c r="C119" s="561" t="str">
        <f aca="false">TEXT(B119,"aaa")</f>
        <v>Sat</v>
      </c>
      <c r="D119" s="558"/>
      <c r="E119" s="558"/>
      <c r="F119" s="558"/>
    </row>
    <row r="120" customFormat="false" ht="18" hidden="false" customHeight="false" outlineLevel="0" collapsed="false">
      <c r="B120" s="562" t="n">
        <f aca="false">B119+1</f>
        <v>46047</v>
      </c>
      <c r="C120" s="562" t="str">
        <f aca="false">TEXT(B120,"aaa")</f>
        <v>Sun</v>
      </c>
      <c r="D120" s="558"/>
      <c r="E120" s="558"/>
      <c r="F120" s="558"/>
    </row>
    <row r="121" customFormat="false" ht="18" hidden="false" customHeight="false" outlineLevel="0" collapsed="false">
      <c r="B121" s="541" t="n">
        <f aca="false">B120+1</f>
        <v>46048</v>
      </c>
      <c r="C121" s="541" t="str">
        <f aca="false">TEXT(B121,"aaa")</f>
        <v>Mon</v>
      </c>
      <c r="D121" s="558"/>
      <c r="E121" s="558"/>
      <c r="F121" s="558"/>
    </row>
    <row r="122" customFormat="false" ht="18" hidden="false" customHeight="false" outlineLevel="0" collapsed="false">
      <c r="B122" s="541" t="n">
        <f aca="false">B121+1</f>
        <v>46049</v>
      </c>
      <c r="C122" s="541" t="str">
        <f aca="false">TEXT(B122,"aaa")</f>
        <v>Tue</v>
      </c>
      <c r="D122" s="558"/>
      <c r="E122" s="558"/>
      <c r="F122" s="558"/>
    </row>
    <row r="123" customFormat="false" ht="18" hidden="false" customHeight="false" outlineLevel="0" collapsed="false">
      <c r="B123" s="541" t="n">
        <f aca="false">B122+1</f>
        <v>46050</v>
      </c>
      <c r="C123" s="541" t="str">
        <f aca="false">TEXT(B123,"aaa")</f>
        <v>Wed</v>
      </c>
      <c r="D123" s="558"/>
      <c r="E123" s="558"/>
      <c r="F123" s="558"/>
    </row>
    <row r="124" customFormat="false" ht="18" hidden="false" customHeight="false" outlineLevel="0" collapsed="false">
      <c r="B124" s="541" t="n">
        <f aca="false">B123+1</f>
        <v>46051</v>
      </c>
      <c r="C124" s="541" t="str">
        <f aca="false">TEXT(B124,"aaa")</f>
        <v>Thu</v>
      </c>
      <c r="D124" s="558"/>
      <c r="E124" s="558"/>
      <c r="F124" s="558"/>
    </row>
    <row r="125" customFormat="false" ht="18" hidden="false" customHeight="false" outlineLevel="0" collapsed="false">
      <c r="B125" s="541" t="n">
        <f aca="false">B124+1</f>
        <v>46052</v>
      </c>
      <c r="C125" s="541" t="str">
        <f aca="false">TEXT(B125,"aaa")</f>
        <v>Fri</v>
      </c>
      <c r="D125" s="558"/>
      <c r="E125" s="558"/>
      <c r="F125" s="558"/>
    </row>
    <row r="126" customFormat="false" ht="18" hidden="false" customHeight="false" outlineLevel="0" collapsed="false">
      <c r="B126" s="561" t="n">
        <f aca="false">B125+1</f>
        <v>46053</v>
      </c>
      <c r="C126" s="561" t="str">
        <f aca="false">TEXT(B126,"aaa")</f>
        <v>Sat</v>
      </c>
      <c r="D126" s="558"/>
      <c r="E126" s="558"/>
      <c r="F126" s="558"/>
    </row>
    <row r="127" customFormat="false" ht="18" hidden="false" customHeight="false" outlineLevel="0" collapsed="false">
      <c r="B127" s="562" t="n">
        <f aca="false">B126+1</f>
        <v>46054</v>
      </c>
      <c r="C127" s="562" t="str">
        <f aca="false">TEXT(B127,"aaa")</f>
        <v>Sun</v>
      </c>
      <c r="D127" s="558"/>
      <c r="E127" s="558"/>
      <c r="F127" s="558"/>
    </row>
    <row r="128" customFormat="false" ht="18" hidden="false" customHeight="false" outlineLevel="0" collapsed="false">
      <c r="B128" s="541" t="n">
        <f aca="false">B127+1</f>
        <v>46055</v>
      </c>
      <c r="C128" s="541" t="str">
        <f aca="false">TEXT(B128,"aaa")</f>
        <v>Mon</v>
      </c>
      <c r="D128" s="558"/>
      <c r="E128" s="558"/>
      <c r="F128" s="558"/>
    </row>
    <row r="129" customFormat="false" ht="18" hidden="false" customHeight="false" outlineLevel="0" collapsed="false">
      <c r="B129" s="541" t="n">
        <f aca="false">B128+1</f>
        <v>46056</v>
      </c>
      <c r="C129" s="541" t="str">
        <f aca="false">TEXT(B129,"aaa")</f>
        <v>Tue</v>
      </c>
      <c r="D129" s="558"/>
      <c r="E129" s="558"/>
      <c r="F129" s="558"/>
    </row>
    <row r="130" customFormat="false" ht="18" hidden="false" customHeight="false" outlineLevel="0" collapsed="false">
      <c r="B130" s="541" t="n">
        <f aca="false">B129+1</f>
        <v>46057</v>
      </c>
      <c r="C130" s="541" t="str">
        <f aca="false">TEXT(B130,"aaa")</f>
        <v>Wed</v>
      </c>
      <c r="D130" s="558"/>
      <c r="E130" s="558"/>
      <c r="F130" s="558"/>
    </row>
    <row r="131" customFormat="false" ht="18" hidden="false" customHeight="false" outlineLevel="0" collapsed="false">
      <c r="B131" s="541" t="n">
        <f aca="false">B130+1</f>
        <v>46058</v>
      </c>
      <c r="C131" s="541" t="str">
        <f aca="false">TEXT(B131,"aaa")</f>
        <v>Thu</v>
      </c>
      <c r="D131" s="558"/>
      <c r="E131" s="558"/>
      <c r="F131" s="558"/>
    </row>
    <row r="132" customFormat="false" ht="18" hidden="false" customHeight="false" outlineLevel="0" collapsed="false">
      <c r="B132" s="541" t="n">
        <f aca="false">B131+1</f>
        <v>46059</v>
      </c>
      <c r="C132" s="541" t="str">
        <f aca="false">TEXT(B132,"aaa")</f>
        <v>Fri</v>
      </c>
      <c r="D132" s="558"/>
      <c r="E132" s="558"/>
      <c r="F132" s="558"/>
    </row>
    <row r="133" customFormat="false" ht="18" hidden="false" customHeight="false" outlineLevel="0" collapsed="false">
      <c r="B133" s="561" t="n">
        <f aca="false">B132+1</f>
        <v>46060</v>
      </c>
      <c r="C133" s="561" t="str">
        <f aca="false">TEXT(B133,"aaa")</f>
        <v>Sat</v>
      </c>
      <c r="D133" s="558"/>
      <c r="E133" s="558"/>
      <c r="F133" s="558"/>
    </row>
    <row r="134" customFormat="false" ht="18" hidden="false" customHeight="false" outlineLevel="0" collapsed="false">
      <c r="B134" s="562" t="n">
        <f aca="false">B133+1</f>
        <v>46061</v>
      </c>
      <c r="C134" s="562" t="str">
        <f aca="false">TEXT(B134,"aaa")</f>
        <v>Sun</v>
      </c>
      <c r="D134" s="558"/>
      <c r="E134" s="558"/>
      <c r="F134" s="558"/>
    </row>
    <row r="135" customFormat="false" ht="18" hidden="false" customHeight="false" outlineLevel="0" collapsed="false">
      <c r="B135" s="541" t="n">
        <f aca="false">B134+1</f>
        <v>46062</v>
      </c>
      <c r="C135" s="541" t="str">
        <f aca="false">TEXT(B135,"aaa")</f>
        <v>Mon</v>
      </c>
      <c r="D135" s="558"/>
      <c r="E135" s="558"/>
      <c r="F135" s="558"/>
    </row>
    <row r="136" customFormat="false" ht="18" hidden="false" customHeight="false" outlineLevel="0" collapsed="false">
      <c r="B136" s="541" t="n">
        <f aca="false">B135+1</f>
        <v>46063</v>
      </c>
      <c r="C136" s="541" t="str">
        <f aca="false">TEXT(B136,"aaa")</f>
        <v>Tue</v>
      </c>
      <c r="D136" s="558"/>
      <c r="E136" s="558"/>
      <c r="F136" s="558"/>
    </row>
    <row r="137" customFormat="false" ht="18" hidden="false" customHeight="false" outlineLevel="0" collapsed="false">
      <c r="B137" s="563" t="n">
        <f aca="false">B136+1</f>
        <v>46064</v>
      </c>
      <c r="C137" s="563" t="str">
        <f aca="false">TEXT(B137,"aaa")</f>
        <v>Wed</v>
      </c>
      <c r="D137" s="558"/>
      <c r="E137" s="558"/>
      <c r="F137" s="558"/>
    </row>
    <row r="138" customFormat="false" ht="18" hidden="false" customHeight="false" outlineLevel="0" collapsed="false">
      <c r="B138" s="541" t="n">
        <f aca="false">B137+1</f>
        <v>46065</v>
      </c>
      <c r="C138" s="541" t="str">
        <f aca="false">TEXT(B138,"aaa")</f>
        <v>Thu</v>
      </c>
      <c r="D138" s="558"/>
      <c r="E138" s="558"/>
      <c r="F138" s="558"/>
    </row>
    <row r="139" customFormat="false" ht="18" hidden="false" customHeight="false" outlineLevel="0" collapsed="false">
      <c r="B139" s="541" t="n">
        <f aca="false">B138+1</f>
        <v>46066</v>
      </c>
      <c r="C139" s="541" t="str">
        <f aca="false">TEXT(B139,"aaa")</f>
        <v>Fri</v>
      </c>
      <c r="D139" s="558"/>
      <c r="E139" s="558"/>
      <c r="F139" s="558"/>
    </row>
    <row r="140" customFormat="false" ht="18" hidden="false" customHeight="false" outlineLevel="0" collapsed="false">
      <c r="B140" s="561" t="n">
        <f aca="false">B139+1</f>
        <v>46067</v>
      </c>
      <c r="C140" s="561" t="str">
        <f aca="false">TEXT(B140,"aaa")</f>
        <v>Sat</v>
      </c>
      <c r="D140" s="558"/>
      <c r="E140" s="558"/>
      <c r="F140" s="558"/>
    </row>
    <row r="141" customFormat="false" ht="18" hidden="false" customHeight="false" outlineLevel="0" collapsed="false">
      <c r="B141" s="562" t="n">
        <f aca="false">B140+1</f>
        <v>46068</v>
      </c>
      <c r="C141" s="562" t="str">
        <f aca="false">TEXT(B141,"aaa")</f>
        <v>Sun</v>
      </c>
      <c r="D141" s="558"/>
      <c r="E141" s="558"/>
      <c r="F141" s="558"/>
    </row>
    <row r="142" customFormat="false" ht="18" hidden="false" customHeight="false" outlineLevel="0" collapsed="false">
      <c r="B142" s="541" t="n">
        <f aca="false">B141+1</f>
        <v>46069</v>
      </c>
      <c r="C142" s="541" t="str">
        <f aca="false">TEXT(B142,"aaa")</f>
        <v>Mon</v>
      </c>
      <c r="D142" s="558"/>
      <c r="E142" s="558"/>
      <c r="F142" s="558"/>
    </row>
    <row r="143" customFormat="false" ht="18" hidden="false" customHeight="false" outlineLevel="0" collapsed="false">
      <c r="B143" s="541" t="n">
        <f aca="false">B142+1</f>
        <v>46070</v>
      </c>
      <c r="C143" s="541" t="str">
        <f aca="false">TEXT(B143,"aaa")</f>
        <v>Tue</v>
      </c>
      <c r="D143" s="558"/>
      <c r="E143" s="558"/>
      <c r="F143" s="558"/>
    </row>
    <row r="144" customFormat="false" ht="18" hidden="false" customHeight="false" outlineLevel="0" collapsed="false">
      <c r="B144" s="541" t="n">
        <f aca="false">B143+1</f>
        <v>46071</v>
      </c>
      <c r="C144" s="541" t="str">
        <f aca="false">TEXT(B144,"aaa")</f>
        <v>Wed</v>
      </c>
      <c r="D144" s="558"/>
      <c r="E144" s="558"/>
      <c r="F144" s="558"/>
    </row>
    <row r="145" customFormat="false" ht="18" hidden="false" customHeight="false" outlineLevel="0" collapsed="false">
      <c r="B145" s="541" t="n">
        <f aca="false">B144+1</f>
        <v>46072</v>
      </c>
      <c r="C145" s="541" t="str">
        <f aca="false">TEXT(B145,"aaa")</f>
        <v>Thu</v>
      </c>
      <c r="D145" s="558"/>
      <c r="E145" s="558"/>
      <c r="F145" s="558"/>
    </row>
    <row r="146" customFormat="false" ht="18" hidden="false" customHeight="false" outlineLevel="0" collapsed="false">
      <c r="B146" s="541" t="n">
        <f aca="false">B145+1</f>
        <v>46073</v>
      </c>
      <c r="C146" s="541" t="str">
        <f aca="false">TEXT(B146,"aaa")</f>
        <v>Fri</v>
      </c>
      <c r="D146" s="558"/>
      <c r="E146" s="558"/>
      <c r="F146" s="558"/>
    </row>
    <row r="147" customFormat="false" ht="18" hidden="false" customHeight="false" outlineLevel="0" collapsed="false">
      <c r="B147" s="561" t="n">
        <f aca="false">B146+1</f>
        <v>46074</v>
      </c>
      <c r="C147" s="561" t="str">
        <f aca="false">TEXT(B147,"aaa")</f>
        <v>Sat</v>
      </c>
      <c r="D147" s="558"/>
      <c r="E147" s="558"/>
      <c r="F147" s="558"/>
    </row>
    <row r="148" customFormat="false" ht="18" hidden="false" customHeight="false" outlineLevel="0" collapsed="false">
      <c r="B148" s="562" t="n">
        <f aca="false">B147+1</f>
        <v>46075</v>
      </c>
      <c r="C148" s="562" t="str">
        <f aca="false">TEXT(B148,"aaa")</f>
        <v>Sun</v>
      </c>
      <c r="D148" s="558"/>
      <c r="E148" s="558"/>
      <c r="F148" s="558"/>
    </row>
    <row r="149" customFormat="false" ht="18" hidden="false" customHeight="false" outlineLevel="0" collapsed="false">
      <c r="B149" s="563" t="n">
        <f aca="false">B148+1</f>
        <v>46076</v>
      </c>
      <c r="C149" s="563" t="str">
        <f aca="false">TEXT(B149,"aaa")</f>
        <v>Mon</v>
      </c>
      <c r="D149" s="558"/>
      <c r="E149" s="558"/>
      <c r="F149" s="558"/>
    </row>
    <row r="150" customFormat="false" ht="18" hidden="false" customHeight="false" outlineLevel="0" collapsed="false">
      <c r="B150" s="541" t="n">
        <f aca="false">B149+1</f>
        <v>46077</v>
      </c>
      <c r="C150" s="541" t="str">
        <f aca="false">TEXT(B150,"aaa")</f>
        <v>Tue</v>
      </c>
      <c r="D150" s="558"/>
      <c r="E150" s="558"/>
      <c r="F150" s="558"/>
    </row>
    <row r="151" customFormat="false" ht="18" hidden="false" customHeight="false" outlineLevel="0" collapsed="false">
      <c r="B151" s="541" t="n">
        <f aca="false">B150+1</f>
        <v>46078</v>
      </c>
      <c r="C151" s="541" t="str">
        <f aca="false">TEXT(B151,"aaa")</f>
        <v>Wed</v>
      </c>
      <c r="D151" s="558"/>
      <c r="E151" s="558"/>
      <c r="F151" s="558"/>
    </row>
    <row r="152" customFormat="false" ht="18" hidden="false" customHeight="false" outlineLevel="0" collapsed="false">
      <c r="B152" s="541" t="n">
        <f aca="false">B151+1</f>
        <v>46079</v>
      </c>
      <c r="C152" s="541" t="str">
        <f aca="false">TEXT(B152,"aaa")</f>
        <v>Thu</v>
      </c>
      <c r="D152" s="558"/>
      <c r="E152" s="558"/>
      <c r="F152" s="558"/>
    </row>
    <row r="153" customFormat="false" ht="18" hidden="false" customHeight="false" outlineLevel="0" collapsed="false">
      <c r="B153" s="541" t="n">
        <f aca="false">B152+1</f>
        <v>46080</v>
      </c>
      <c r="C153" s="541" t="str">
        <f aca="false">TEXT(B153,"aaa")</f>
        <v>Fri</v>
      </c>
      <c r="D153" s="558"/>
      <c r="E153" s="558"/>
      <c r="F153" s="558"/>
    </row>
    <row r="154" customFormat="false" ht="18" hidden="false" customHeight="false" outlineLevel="0" collapsed="false">
      <c r="B154" s="561" t="n">
        <f aca="false">B153+1</f>
        <v>46081</v>
      </c>
      <c r="C154" s="561" t="str">
        <f aca="false">TEXT(B154,"aaa")</f>
        <v>Sat</v>
      </c>
      <c r="D154" s="558"/>
      <c r="E154" s="558"/>
      <c r="F154" s="558"/>
    </row>
    <row r="155" customFormat="false" ht="18" hidden="false" customHeight="false" outlineLevel="0" collapsed="false">
      <c r="B155" s="562" t="n">
        <f aca="false">B154+1</f>
        <v>46082</v>
      </c>
      <c r="C155" s="562" t="str">
        <f aca="false">TEXT(B155,"aaa")</f>
        <v>Sun</v>
      </c>
      <c r="D155" s="558"/>
      <c r="E155" s="558"/>
      <c r="F155" s="558"/>
    </row>
    <row r="156" customFormat="false" ht="18" hidden="false" customHeight="false" outlineLevel="0" collapsed="false">
      <c r="B156" s="541" t="n">
        <f aca="false">B155+1</f>
        <v>46083</v>
      </c>
      <c r="C156" s="541" t="str">
        <f aca="false">TEXT(B156,"aaa")</f>
        <v>Mon</v>
      </c>
      <c r="D156" s="558"/>
      <c r="E156" s="558"/>
      <c r="F156" s="558"/>
    </row>
    <row r="157" customFormat="false" ht="18" hidden="false" customHeight="false" outlineLevel="0" collapsed="false">
      <c r="B157" s="541" t="n">
        <f aca="false">B156+1</f>
        <v>46084</v>
      </c>
      <c r="C157" s="541" t="str">
        <f aca="false">TEXT(B157,"aaa")</f>
        <v>Tue</v>
      </c>
      <c r="D157" s="558"/>
      <c r="E157" s="558"/>
      <c r="F157" s="558"/>
    </row>
    <row r="158" customFormat="false" ht="18" hidden="false" customHeight="false" outlineLevel="0" collapsed="false">
      <c r="B158" s="541" t="n">
        <f aca="false">B157+1</f>
        <v>46085</v>
      </c>
      <c r="C158" s="541" t="str">
        <f aca="false">TEXT(B158,"aaa")</f>
        <v>Wed</v>
      </c>
      <c r="D158" s="558"/>
      <c r="E158" s="558"/>
      <c r="F158" s="558"/>
    </row>
    <row r="159" customFormat="false" ht="18" hidden="false" customHeight="false" outlineLevel="0" collapsed="false">
      <c r="B159" s="541" t="n">
        <f aca="false">B158+1</f>
        <v>46086</v>
      </c>
      <c r="C159" s="541" t="str">
        <f aca="false">TEXT(B159,"aaa")</f>
        <v>Thu</v>
      </c>
      <c r="D159" s="558"/>
      <c r="E159" s="558"/>
      <c r="F159" s="558"/>
    </row>
    <row r="160" customFormat="false" ht="18" hidden="false" customHeight="false" outlineLevel="0" collapsed="false">
      <c r="B160" s="541" t="n">
        <f aca="false">B159+1</f>
        <v>46087</v>
      </c>
      <c r="C160" s="541" t="str">
        <f aca="false">TEXT(B160,"aaa")</f>
        <v>Fri</v>
      </c>
      <c r="D160" s="558"/>
      <c r="E160" s="558"/>
      <c r="F160" s="558"/>
    </row>
    <row r="161" customFormat="false" ht="18" hidden="false" customHeight="false" outlineLevel="0" collapsed="false">
      <c r="B161" s="561" t="n">
        <f aca="false">B160+1</f>
        <v>46088</v>
      </c>
      <c r="C161" s="561" t="str">
        <f aca="false">TEXT(B161,"aaa")</f>
        <v>Sat</v>
      </c>
      <c r="D161" s="558"/>
      <c r="E161" s="558"/>
      <c r="F161" s="558"/>
    </row>
    <row r="162" customFormat="false" ht="18" hidden="false" customHeight="false" outlineLevel="0" collapsed="false">
      <c r="B162" s="562" t="n">
        <f aca="false">B161+1</f>
        <v>46089</v>
      </c>
      <c r="C162" s="562" t="str">
        <f aca="false">TEXT(B162,"aaa")</f>
        <v>Sun</v>
      </c>
      <c r="D162" s="558"/>
      <c r="E162" s="558"/>
      <c r="F162" s="558"/>
    </row>
    <row r="163" customFormat="false" ht="18" hidden="false" customHeight="false" outlineLevel="0" collapsed="false">
      <c r="B163" s="541" t="n">
        <f aca="false">B162+1</f>
        <v>46090</v>
      </c>
      <c r="C163" s="541" t="str">
        <f aca="false">TEXT(B163,"aaa")</f>
        <v>Mon</v>
      </c>
      <c r="D163" s="558"/>
      <c r="E163" s="558"/>
      <c r="F163" s="558"/>
    </row>
    <row r="164" customFormat="false" ht="18" hidden="false" customHeight="false" outlineLevel="0" collapsed="false">
      <c r="B164" s="541" t="n">
        <f aca="false">B163+1</f>
        <v>46091</v>
      </c>
      <c r="C164" s="541" t="str">
        <f aca="false">TEXT(B164,"aaa")</f>
        <v>Tue</v>
      </c>
      <c r="D164" s="558"/>
      <c r="E164" s="558"/>
      <c r="F164" s="558"/>
    </row>
    <row r="165" customFormat="false" ht="18" hidden="false" customHeight="false" outlineLevel="0" collapsed="false">
      <c r="B165" s="541" t="n">
        <f aca="false">B164+1</f>
        <v>46092</v>
      </c>
      <c r="C165" s="541" t="str">
        <f aca="false">TEXT(B165,"aaa")</f>
        <v>Wed</v>
      </c>
      <c r="D165" s="558"/>
      <c r="E165" s="558"/>
      <c r="F165" s="558"/>
    </row>
    <row r="166" customFormat="false" ht="18" hidden="false" customHeight="false" outlineLevel="0" collapsed="false">
      <c r="B166" s="541" t="n">
        <f aca="false">B165+1</f>
        <v>46093</v>
      </c>
      <c r="C166" s="541" t="str">
        <f aca="false">TEXT(B166,"aaa")</f>
        <v>Thu</v>
      </c>
      <c r="D166" s="558"/>
      <c r="E166" s="558"/>
      <c r="F166" s="558"/>
    </row>
    <row r="167" customFormat="false" ht="18" hidden="false" customHeight="false" outlineLevel="0" collapsed="false">
      <c r="B167" s="541" t="n">
        <f aca="false">B166+1</f>
        <v>46094</v>
      </c>
      <c r="C167" s="541" t="str">
        <f aca="false">TEXT(B167,"aaa")</f>
        <v>Fri</v>
      </c>
      <c r="D167" s="558"/>
      <c r="E167" s="558"/>
      <c r="F167" s="558"/>
    </row>
    <row r="168" customFormat="false" ht="18" hidden="false" customHeight="false" outlineLevel="0" collapsed="false">
      <c r="B168" s="561" t="n">
        <f aca="false">B167+1</f>
        <v>46095</v>
      </c>
      <c r="C168" s="561" t="str">
        <f aca="false">TEXT(B168,"aaa")</f>
        <v>Sat</v>
      </c>
      <c r="D168" s="558"/>
      <c r="E168" s="558"/>
      <c r="F168" s="558"/>
    </row>
    <row r="169" customFormat="false" ht="18" hidden="false" customHeight="false" outlineLevel="0" collapsed="false">
      <c r="B169" s="562" t="n">
        <f aca="false">B168+1</f>
        <v>46096</v>
      </c>
      <c r="C169" s="562" t="str">
        <f aca="false">TEXT(B169,"aaa")</f>
        <v>Sun</v>
      </c>
      <c r="D169" s="558"/>
      <c r="E169" s="558"/>
      <c r="F169" s="558"/>
    </row>
    <row r="170" customFormat="false" ht="18" hidden="false" customHeight="false" outlineLevel="0" collapsed="false">
      <c r="B170" s="541" t="n">
        <f aca="false">B169+1</f>
        <v>46097</v>
      </c>
      <c r="C170" s="541" t="str">
        <f aca="false">TEXT(B170,"aaa")</f>
        <v>Mon</v>
      </c>
      <c r="D170" s="558"/>
      <c r="E170" s="558"/>
      <c r="F170" s="558"/>
    </row>
    <row r="171" customFormat="false" ht="18" hidden="false" customHeight="false" outlineLevel="0" collapsed="false">
      <c r="B171" s="541" t="n">
        <f aca="false">B170+1</f>
        <v>46098</v>
      </c>
      <c r="C171" s="541" t="str">
        <f aca="false">TEXT(B171,"aaa")</f>
        <v>Tue</v>
      </c>
      <c r="D171" s="558"/>
      <c r="E171" s="558"/>
      <c r="F171" s="558"/>
    </row>
    <row r="172" customFormat="false" ht="18" hidden="false" customHeight="false" outlineLevel="0" collapsed="false">
      <c r="B172" s="541" t="n">
        <f aca="false">B171+1</f>
        <v>46099</v>
      </c>
      <c r="C172" s="541" t="str">
        <f aca="false">TEXT(B172,"aaa")</f>
        <v>Wed</v>
      </c>
      <c r="D172" s="558"/>
      <c r="E172" s="558"/>
      <c r="F172" s="558"/>
    </row>
    <row r="173" customFormat="false" ht="18" hidden="false" customHeight="false" outlineLevel="0" collapsed="false">
      <c r="B173" s="541" t="n">
        <f aca="false">B172+1</f>
        <v>46100</v>
      </c>
      <c r="C173" s="541" t="str">
        <f aca="false">TEXT(B173,"aaa")</f>
        <v>Thu</v>
      </c>
      <c r="D173" s="558"/>
      <c r="E173" s="558"/>
      <c r="F173" s="558"/>
    </row>
    <row r="174" customFormat="false" ht="18" hidden="false" customHeight="false" outlineLevel="0" collapsed="false">
      <c r="B174" s="563" t="n">
        <f aca="false">B173+1</f>
        <v>46101</v>
      </c>
      <c r="C174" s="563" t="str">
        <f aca="false">TEXT(B174,"aaa")</f>
        <v>Fri</v>
      </c>
      <c r="D174" s="558"/>
      <c r="E174" s="558"/>
      <c r="F174" s="558"/>
    </row>
    <row r="175" customFormat="false" ht="18" hidden="false" customHeight="false" outlineLevel="0" collapsed="false">
      <c r="B175" s="561" t="n">
        <f aca="false">B174+1</f>
        <v>46102</v>
      </c>
      <c r="C175" s="561" t="str">
        <f aca="false">TEXT(B175,"aaa")</f>
        <v>Sat</v>
      </c>
      <c r="D175" s="558"/>
      <c r="E175" s="558"/>
      <c r="F175" s="558"/>
    </row>
    <row r="176" customFormat="false" ht="18" hidden="false" customHeight="false" outlineLevel="0" collapsed="false">
      <c r="B176" s="562" t="n">
        <f aca="false">B175+1</f>
        <v>46103</v>
      </c>
      <c r="C176" s="562" t="str">
        <f aca="false">TEXT(B176,"aaa")</f>
        <v>Sun</v>
      </c>
      <c r="D176" s="558"/>
      <c r="E176" s="558"/>
      <c r="F176" s="558"/>
    </row>
    <row r="177" customFormat="false" ht="18" hidden="false" customHeight="false" outlineLevel="0" collapsed="false">
      <c r="B177" s="541" t="n">
        <f aca="false">B176+1</f>
        <v>46104</v>
      </c>
      <c r="C177" s="541" t="str">
        <f aca="false">TEXT(B177,"aaa")</f>
        <v>Mon</v>
      </c>
      <c r="D177" s="558"/>
      <c r="E177" s="558"/>
      <c r="F177" s="558"/>
    </row>
    <row r="178" customFormat="false" ht="18" hidden="false" customHeight="false" outlineLevel="0" collapsed="false">
      <c r="B178" s="541" t="n">
        <f aca="false">B177+1</f>
        <v>46105</v>
      </c>
      <c r="C178" s="541" t="str">
        <f aca="false">TEXT(B178,"aaa")</f>
        <v>Tue</v>
      </c>
      <c r="D178" s="558"/>
      <c r="E178" s="558"/>
      <c r="F178" s="558"/>
    </row>
    <row r="179" customFormat="false" ht="18" hidden="false" customHeight="false" outlineLevel="0" collapsed="false">
      <c r="B179" s="541" t="n">
        <f aca="false">B178+1</f>
        <v>46106</v>
      </c>
      <c r="C179" s="541" t="str">
        <f aca="false">TEXT(B179,"aaa")</f>
        <v>Wed</v>
      </c>
      <c r="D179" s="558"/>
      <c r="E179" s="558"/>
      <c r="F179" s="558"/>
    </row>
    <row r="180" customFormat="false" ht="18" hidden="false" customHeight="false" outlineLevel="0" collapsed="false">
      <c r="B180" s="541" t="n">
        <f aca="false">B179+1</f>
        <v>46107</v>
      </c>
      <c r="C180" s="541" t="str">
        <f aca="false">TEXT(B180,"aaa")</f>
        <v>Thu</v>
      </c>
      <c r="D180" s="558"/>
      <c r="E180" s="558"/>
      <c r="F180" s="558"/>
    </row>
    <row r="181" customFormat="false" ht="18" hidden="false" customHeight="false" outlineLevel="0" collapsed="false">
      <c r="B181" s="541" t="n">
        <f aca="false">B180+1</f>
        <v>46108</v>
      </c>
      <c r="C181" s="541" t="str">
        <f aca="false">TEXT(B181,"aaa")</f>
        <v>Fri</v>
      </c>
      <c r="D181" s="558"/>
      <c r="E181" s="558"/>
      <c r="F181" s="558"/>
    </row>
    <row r="182" customFormat="false" ht="18" hidden="false" customHeight="false" outlineLevel="0" collapsed="false">
      <c r="B182" s="561" t="n">
        <f aca="false">B181+1</f>
        <v>46109</v>
      </c>
      <c r="C182" s="561" t="str">
        <f aca="false">TEXT(B182,"aaa")</f>
        <v>Sat</v>
      </c>
      <c r="D182" s="558"/>
      <c r="E182" s="558"/>
      <c r="F182" s="558"/>
    </row>
    <row r="183" customFormat="false" ht="18" hidden="false" customHeight="false" outlineLevel="0" collapsed="false">
      <c r="B183" s="562" t="n">
        <f aca="false">B182+1</f>
        <v>46110</v>
      </c>
      <c r="C183" s="562" t="str">
        <f aca="false">TEXT(B183,"aaa")</f>
        <v>Sun</v>
      </c>
      <c r="D183" s="558"/>
      <c r="E183" s="558"/>
      <c r="F183" s="558"/>
    </row>
    <row r="184" customFormat="false" ht="18" hidden="false" customHeight="false" outlineLevel="0" collapsed="false">
      <c r="B184" s="541" t="n">
        <f aca="false">B183+1</f>
        <v>46111</v>
      </c>
      <c r="C184" s="541" t="str">
        <f aca="false">TEXT(B184,"aaa")</f>
        <v>Mon</v>
      </c>
      <c r="D184" s="558"/>
      <c r="E184" s="558"/>
      <c r="F184" s="558"/>
    </row>
    <row r="185" customFormat="false" ht="18" hidden="false" customHeight="false" outlineLevel="0" collapsed="false">
      <c r="B185" s="541" t="n">
        <f aca="false">B184+1</f>
        <v>46112</v>
      </c>
      <c r="C185" s="541" t="str">
        <f aca="false">TEXT(B185,"aaa")</f>
        <v>Tue</v>
      </c>
      <c r="D185" s="558"/>
      <c r="E185" s="558"/>
      <c r="F185" s="558"/>
    </row>
    <row r="186" customFormat="false" ht="18" hidden="false" customHeight="false" outlineLevel="0" collapsed="false">
      <c r="B186" s="541" t="n">
        <f aca="false">B185+1</f>
        <v>46113</v>
      </c>
      <c r="C186" s="541" t="str">
        <f aca="false">TEXT(B186,"aaa")</f>
        <v>Wed</v>
      </c>
      <c r="D186" s="558"/>
      <c r="E186" s="558"/>
      <c r="F186" s="558"/>
    </row>
    <row r="187" customFormat="false" ht="18" hidden="false" customHeight="false" outlineLevel="0" collapsed="false">
      <c r="B187" s="541" t="n">
        <f aca="false">B186+1</f>
        <v>46114</v>
      </c>
      <c r="C187" s="541" t="str">
        <f aca="false">TEXT(B187,"aaa")</f>
        <v>Thu</v>
      </c>
      <c r="D187" s="558"/>
      <c r="E187" s="558"/>
      <c r="F187" s="558"/>
    </row>
    <row r="188" customFormat="false" ht="18" hidden="false" customHeight="false" outlineLevel="0" collapsed="false">
      <c r="B188" s="541" t="n">
        <f aca="false">B187+1</f>
        <v>46115</v>
      </c>
      <c r="C188" s="541" t="str">
        <f aca="false">TEXT(B188,"aaa")</f>
        <v>Fri</v>
      </c>
      <c r="D188" s="558"/>
      <c r="E188" s="558"/>
      <c r="F188" s="558"/>
    </row>
    <row r="189" customFormat="false" ht="18" hidden="false" customHeight="false" outlineLevel="0" collapsed="false">
      <c r="B189" s="561" t="n">
        <f aca="false">B188+1</f>
        <v>46116</v>
      </c>
      <c r="C189" s="561" t="str">
        <f aca="false">TEXT(B189,"aaa")</f>
        <v>Sat</v>
      </c>
      <c r="D189" s="558"/>
      <c r="E189" s="558"/>
      <c r="F189" s="558"/>
    </row>
    <row r="190" customFormat="false" ht="18" hidden="false" customHeight="false" outlineLevel="0" collapsed="false">
      <c r="B190" s="562" t="n">
        <f aca="false">B189+1</f>
        <v>46117</v>
      </c>
      <c r="C190" s="562" t="str">
        <f aca="false">TEXT(B190,"aaa")</f>
        <v>Sun</v>
      </c>
      <c r="D190" s="558"/>
      <c r="E190" s="558"/>
      <c r="F190" s="558"/>
    </row>
    <row r="191" customFormat="false" ht="18" hidden="false" customHeight="false" outlineLevel="0" collapsed="false">
      <c r="B191" s="541" t="n">
        <f aca="false">B190+1</f>
        <v>46118</v>
      </c>
      <c r="C191" s="541" t="str">
        <f aca="false">TEXT(B191,"aaa")</f>
        <v>Mon</v>
      </c>
      <c r="D191" s="558"/>
      <c r="E191" s="558"/>
      <c r="F191" s="558"/>
    </row>
    <row r="192" customFormat="false" ht="18" hidden="false" customHeight="false" outlineLevel="0" collapsed="false">
      <c r="B192" s="541" t="n">
        <f aca="false">B191+1</f>
        <v>46119</v>
      </c>
      <c r="C192" s="541" t="str">
        <f aca="false">TEXT(B192,"aaa")</f>
        <v>Tue</v>
      </c>
      <c r="D192" s="558"/>
      <c r="E192" s="558"/>
      <c r="F192" s="558"/>
    </row>
    <row r="193" customFormat="false" ht="18" hidden="false" customHeight="false" outlineLevel="0" collapsed="false">
      <c r="B193" s="541" t="n">
        <f aca="false">B192+1</f>
        <v>46120</v>
      </c>
      <c r="C193" s="541" t="str">
        <f aca="false">TEXT(B193,"aaa")</f>
        <v>Wed</v>
      </c>
      <c r="D193" s="558"/>
      <c r="E193" s="558"/>
      <c r="F193" s="558"/>
    </row>
    <row r="194" customFormat="false" ht="18" hidden="false" customHeight="false" outlineLevel="0" collapsed="false">
      <c r="B194" s="541" t="n">
        <f aca="false">B193+1</f>
        <v>46121</v>
      </c>
      <c r="C194" s="541" t="str">
        <f aca="false">TEXT(B194,"aaa")</f>
        <v>Thu</v>
      </c>
      <c r="D194" s="558"/>
      <c r="E194" s="558"/>
      <c r="F194" s="558"/>
    </row>
    <row r="195" customFormat="false" ht="18" hidden="false" customHeight="false" outlineLevel="0" collapsed="false">
      <c r="B195" s="541" t="n">
        <f aca="false">B194+1</f>
        <v>46122</v>
      </c>
      <c r="C195" s="541" t="str">
        <f aca="false">TEXT(B195,"aaa")</f>
        <v>Fri</v>
      </c>
      <c r="D195" s="558"/>
      <c r="E195" s="558"/>
      <c r="F195" s="558"/>
    </row>
    <row r="196" customFormat="false" ht="18" hidden="false" customHeight="false" outlineLevel="0" collapsed="false">
      <c r="B196" s="561" t="n">
        <f aca="false">B195+1</f>
        <v>46123</v>
      </c>
      <c r="C196" s="561" t="str">
        <f aca="false">TEXT(B196,"aaa")</f>
        <v>Sat</v>
      </c>
      <c r="D196" s="558"/>
      <c r="E196" s="558"/>
      <c r="F196" s="558"/>
    </row>
    <row r="197" customFormat="false" ht="18" hidden="false" customHeight="false" outlineLevel="0" collapsed="false">
      <c r="B197" s="562" t="n">
        <f aca="false">B196+1</f>
        <v>46124</v>
      </c>
      <c r="C197" s="562" t="str">
        <f aca="false">TEXT(B197,"aaa")</f>
        <v>Sun</v>
      </c>
      <c r="D197" s="558"/>
      <c r="E197" s="558"/>
      <c r="F197" s="558"/>
    </row>
    <row r="198" customFormat="false" ht="18" hidden="false" customHeight="false" outlineLevel="0" collapsed="false">
      <c r="B198" s="541" t="n">
        <f aca="false">B197+1</f>
        <v>46125</v>
      </c>
      <c r="C198" s="541" t="str">
        <f aca="false">TEXT(B198,"aaa")</f>
        <v>Mon</v>
      </c>
      <c r="D198" s="558"/>
      <c r="E198" s="558"/>
      <c r="F198" s="558"/>
    </row>
    <row r="199" customFormat="false" ht="18" hidden="false" customHeight="false" outlineLevel="0" collapsed="false">
      <c r="B199" s="541" t="n">
        <f aca="false">B198+1</f>
        <v>46126</v>
      </c>
      <c r="C199" s="541" t="str">
        <f aca="false">TEXT(B199,"aaa")</f>
        <v>Tue</v>
      </c>
      <c r="D199" s="558"/>
      <c r="E199" s="558"/>
      <c r="F199" s="558"/>
    </row>
    <row r="200" customFormat="false" ht="18" hidden="false" customHeight="false" outlineLevel="0" collapsed="false">
      <c r="B200" s="541" t="n">
        <f aca="false">B199+1</f>
        <v>46127</v>
      </c>
      <c r="C200" s="541" t="str">
        <f aca="false">TEXT(B200,"aaa")</f>
        <v>Wed</v>
      </c>
      <c r="D200" s="558"/>
      <c r="E200" s="558"/>
      <c r="F200" s="558"/>
    </row>
    <row r="201" customFormat="false" ht="18" hidden="false" customHeight="false" outlineLevel="0" collapsed="false">
      <c r="B201" s="541" t="n">
        <f aca="false">B200+1</f>
        <v>46128</v>
      </c>
      <c r="C201" s="541" t="str">
        <f aca="false">TEXT(B201,"aaa")</f>
        <v>Thu</v>
      </c>
      <c r="D201" s="558"/>
      <c r="E201" s="558"/>
      <c r="F201" s="558"/>
    </row>
    <row r="202" customFormat="false" ht="18" hidden="false" customHeight="false" outlineLevel="0" collapsed="false">
      <c r="B202" s="541" t="n">
        <f aca="false">B201+1</f>
        <v>46129</v>
      </c>
      <c r="C202" s="541" t="str">
        <f aca="false">TEXT(B202,"aaa")</f>
        <v>Fri</v>
      </c>
      <c r="D202" s="558"/>
      <c r="E202" s="558"/>
      <c r="F202" s="558"/>
    </row>
    <row r="203" customFormat="false" ht="18" hidden="false" customHeight="false" outlineLevel="0" collapsed="false">
      <c r="B203" s="561" t="n">
        <f aca="false">B202+1</f>
        <v>46130</v>
      </c>
      <c r="C203" s="561" t="str">
        <f aca="false">TEXT(B203,"aaa")</f>
        <v>Sat</v>
      </c>
      <c r="D203" s="558"/>
      <c r="E203" s="558"/>
      <c r="F203" s="558"/>
    </row>
    <row r="204" customFormat="false" ht="18" hidden="false" customHeight="false" outlineLevel="0" collapsed="false">
      <c r="B204" s="562" t="n">
        <f aca="false">B203+1</f>
        <v>46131</v>
      </c>
      <c r="C204" s="562" t="str">
        <f aca="false">TEXT(B204,"aaa")</f>
        <v>Sun</v>
      </c>
      <c r="D204" s="558"/>
      <c r="E204" s="558"/>
      <c r="F204" s="558"/>
    </row>
    <row r="205" customFormat="false" ht="18" hidden="false" customHeight="false" outlineLevel="0" collapsed="false">
      <c r="B205" s="541" t="n">
        <f aca="false">B204+1</f>
        <v>46132</v>
      </c>
      <c r="C205" s="541" t="str">
        <f aca="false">TEXT(B205,"aaa")</f>
        <v>Mon</v>
      </c>
      <c r="D205" s="558"/>
      <c r="E205" s="558"/>
      <c r="F205" s="558"/>
    </row>
    <row r="206" customFormat="false" ht="18" hidden="false" customHeight="false" outlineLevel="0" collapsed="false">
      <c r="B206" s="541" t="n">
        <f aca="false">B205+1</f>
        <v>46133</v>
      </c>
      <c r="C206" s="541" t="str">
        <f aca="false">TEXT(B206,"aaa")</f>
        <v>Tue</v>
      </c>
      <c r="D206" s="558"/>
      <c r="E206" s="558"/>
      <c r="F206" s="558"/>
    </row>
    <row r="207" customFormat="false" ht="18" hidden="false" customHeight="false" outlineLevel="0" collapsed="false">
      <c r="B207" s="541" t="n">
        <f aca="false">B206+1</f>
        <v>46134</v>
      </c>
      <c r="C207" s="541" t="str">
        <f aca="false">TEXT(B207,"aaa")</f>
        <v>Wed</v>
      </c>
      <c r="D207" s="558"/>
      <c r="E207" s="558"/>
      <c r="F207" s="558"/>
    </row>
    <row r="208" customFormat="false" ht="18" hidden="false" customHeight="false" outlineLevel="0" collapsed="false">
      <c r="B208" s="541" t="n">
        <f aca="false">B207+1</f>
        <v>46135</v>
      </c>
      <c r="C208" s="541" t="str">
        <f aca="false">TEXT(B208,"aaa")</f>
        <v>Thu</v>
      </c>
      <c r="D208" s="558"/>
      <c r="E208" s="558"/>
      <c r="F208" s="558"/>
    </row>
    <row r="209" customFormat="false" ht="18" hidden="false" customHeight="false" outlineLevel="0" collapsed="false">
      <c r="B209" s="541" t="n">
        <f aca="false">B208+1</f>
        <v>46136</v>
      </c>
      <c r="C209" s="541" t="str">
        <f aca="false">TEXT(B209,"aaa")</f>
        <v>Fri</v>
      </c>
      <c r="D209" s="558"/>
      <c r="E209" s="558"/>
      <c r="F209" s="558"/>
    </row>
    <row r="210" customFormat="false" ht="18" hidden="false" customHeight="false" outlineLevel="0" collapsed="false">
      <c r="B210" s="561" t="n">
        <f aca="false">B209+1</f>
        <v>46137</v>
      </c>
      <c r="C210" s="561" t="str">
        <f aca="false">TEXT(B210,"aaa")</f>
        <v>Sat</v>
      </c>
      <c r="D210" s="558"/>
      <c r="E210" s="558"/>
      <c r="F210" s="558"/>
    </row>
    <row r="211" customFormat="false" ht="18" hidden="false" customHeight="false" outlineLevel="0" collapsed="false">
      <c r="B211" s="562" t="n">
        <f aca="false">B210+1</f>
        <v>46138</v>
      </c>
      <c r="C211" s="562" t="str">
        <f aca="false">TEXT(B211,"aaa")</f>
        <v>Sun</v>
      </c>
      <c r="D211" s="558"/>
      <c r="E211" s="558"/>
      <c r="F211" s="558"/>
    </row>
    <row r="212" customFormat="false" ht="18" hidden="false" customHeight="false" outlineLevel="0" collapsed="false">
      <c r="B212" s="541" t="n">
        <f aca="false">B211+1</f>
        <v>46139</v>
      </c>
      <c r="C212" s="541" t="str">
        <f aca="false">TEXT(B212,"aaa")</f>
        <v>Mon</v>
      </c>
      <c r="D212" s="558"/>
      <c r="E212" s="558"/>
      <c r="F212" s="558"/>
    </row>
    <row r="213" customFormat="false" ht="18" hidden="false" customHeight="false" outlineLevel="0" collapsed="false">
      <c r="B213" s="541" t="n">
        <f aca="false">B212+1</f>
        <v>46140</v>
      </c>
      <c r="C213" s="541" t="str">
        <f aca="false">TEXT(B213,"aaa")</f>
        <v>Tue</v>
      </c>
      <c r="D213" s="558"/>
      <c r="E213" s="558"/>
      <c r="F213" s="558"/>
    </row>
    <row r="214" customFormat="false" ht="18" hidden="false" customHeight="false" outlineLevel="0" collapsed="false">
      <c r="B214" s="563" t="n">
        <f aca="false">B213+1</f>
        <v>46141</v>
      </c>
      <c r="C214" s="563" t="str">
        <f aca="false">TEXT(B214,"aaa")</f>
        <v>Wed</v>
      </c>
      <c r="D214" s="558"/>
      <c r="E214" s="558"/>
      <c r="F214" s="558"/>
    </row>
    <row r="215" customFormat="false" ht="18" hidden="false" customHeight="false" outlineLevel="0" collapsed="false">
      <c r="B215" s="541" t="n">
        <f aca="false">B214+1</f>
        <v>46142</v>
      </c>
      <c r="C215" s="541" t="str">
        <f aca="false">TEXT(B215,"aaa")</f>
        <v>Thu</v>
      </c>
      <c r="D215" s="558"/>
      <c r="E215" s="558"/>
      <c r="F215" s="558"/>
    </row>
    <row r="216" customFormat="false" ht="18" hidden="false" customHeight="false" outlineLevel="0" collapsed="false">
      <c r="B216" s="541" t="n">
        <f aca="false">B215+1</f>
        <v>46143</v>
      </c>
      <c r="C216" s="541" t="str">
        <f aca="false">TEXT(B216,"aaa")</f>
        <v>Fri</v>
      </c>
      <c r="D216" s="558"/>
      <c r="E216" s="558"/>
      <c r="F216" s="558"/>
    </row>
    <row r="217" customFormat="false" ht="18" hidden="false" customHeight="false" outlineLevel="0" collapsed="false">
      <c r="B217" s="561" t="n">
        <f aca="false">B216+1</f>
        <v>46144</v>
      </c>
      <c r="C217" s="561" t="str">
        <f aca="false">TEXT(B217,"aaa")</f>
        <v>Sat</v>
      </c>
      <c r="D217" s="558"/>
      <c r="E217" s="558"/>
      <c r="F217" s="558"/>
    </row>
    <row r="218" customFormat="false" ht="18" hidden="false" customHeight="false" outlineLevel="0" collapsed="false">
      <c r="B218" s="563" t="n">
        <f aca="false">B217+1</f>
        <v>46145</v>
      </c>
      <c r="C218" s="563" t="str">
        <f aca="false">TEXT(B218,"aaa")</f>
        <v>Sun</v>
      </c>
      <c r="D218" s="558"/>
      <c r="E218" s="558"/>
      <c r="F218" s="558"/>
    </row>
    <row r="219" customFormat="false" ht="18" hidden="false" customHeight="false" outlineLevel="0" collapsed="false">
      <c r="B219" s="563" t="n">
        <f aca="false">B218+1</f>
        <v>46146</v>
      </c>
      <c r="C219" s="563" t="str">
        <f aca="false">TEXT(B219,"aaa")</f>
        <v>Mon</v>
      </c>
      <c r="D219" s="558"/>
      <c r="E219" s="558"/>
      <c r="F219" s="558"/>
    </row>
    <row r="220" customFormat="false" ht="18" hidden="false" customHeight="false" outlineLevel="0" collapsed="false">
      <c r="B220" s="563" t="n">
        <f aca="false">B219+1</f>
        <v>46147</v>
      </c>
      <c r="C220" s="563" t="str">
        <f aca="false">TEXT(B220,"aaa")</f>
        <v>Tue</v>
      </c>
      <c r="D220" s="558"/>
      <c r="E220" s="558"/>
      <c r="F220" s="558"/>
    </row>
    <row r="221" customFormat="false" ht="18" hidden="false" customHeight="false" outlineLevel="0" collapsed="false">
      <c r="B221" s="563" t="n">
        <f aca="false">B220+1</f>
        <v>46148</v>
      </c>
      <c r="C221" s="563" t="str">
        <f aca="false">TEXT(B221,"aaa")</f>
        <v>Wed</v>
      </c>
      <c r="D221" s="558"/>
      <c r="E221" s="558"/>
      <c r="F221" s="558"/>
    </row>
    <row r="222" customFormat="false" ht="18" hidden="false" customHeight="false" outlineLevel="0" collapsed="false">
      <c r="B222" s="541" t="n">
        <f aca="false">B221+1</f>
        <v>46149</v>
      </c>
      <c r="C222" s="541" t="str">
        <f aca="false">TEXT(B222,"aaa")</f>
        <v>Thu</v>
      </c>
      <c r="D222" s="558"/>
      <c r="E222" s="558"/>
      <c r="F222" s="558"/>
    </row>
    <row r="223" customFormat="false" ht="18" hidden="false" customHeight="false" outlineLevel="0" collapsed="false">
      <c r="B223" s="541" t="n">
        <f aca="false">B222+1</f>
        <v>46150</v>
      </c>
      <c r="C223" s="541" t="str">
        <f aca="false">TEXT(B223,"aaa")</f>
        <v>Fri</v>
      </c>
      <c r="D223" s="558"/>
      <c r="E223" s="558"/>
      <c r="F223" s="558"/>
    </row>
    <row r="224" customFormat="false" ht="18" hidden="false" customHeight="false" outlineLevel="0" collapsed="false">
      <c r="B224" s="561" t="n">
        <f aca="false">B223+1</f>
        <v>46151</v>
      </c>
      <c r="C224" s="561" t="str">
        <f aca="false">TEXT(B224,"aaa")</f>
        <v>Sat</v>
      </c>
      <c r="D224" s="558"/>
      <c r="E224" s="558"/>
      <c r="F224" s="558"/>
    </row>
    <row r="225" customFormat="false" ht="18" hidden="false" customHeight="false" outlineLevel="0" collapsed="false">
      <c r="B225" s="562" t="n">
        <f aca="false">B224+1</f>
        <v>46152</v>
      </c>
      <c r="C225" s="562" t="str">
        <f aca="false">TEXT(B225,"aaa")</f>
        <v>Sun</v>
      </c>
      <c r="D225" s="558"/>
      <c r="E225" s="558"/>
      <c r="F225" s="558"/>
    </row>
    <row r="226" customFormat="false" ht="18" hidden="false" customHeight="false" outlineLevel="0" collapsed="false">
      <c r="B226" s="541" t="n">
        <f aca="false">B225+1</f>
        <v>46153</v>
      </c>
      <c r="C226" s="541" t="str">
        <f aca="false">TEXT(B226,"aaa")</f>
        <v>Mon</v>
      </c>
      <c r="D226" s="558"/>
      <c r="E226" s="558"/>
      <c r="F226" s="558"/>
    </row>
    <row r="227" customFormat="false" ht="18" hidden="false" customHeight="false" outlineLevel="0" collapsed="false">
      <c r="B227" s="541" t="n">
        <f aca="false">B226+1</f>
        <v>46154</v>
      </c>
      <c r="C227" s="541" t="str">
        <f aca="false">TEXT(B227,"aaa")</f>
        <v>Tue</v>
      </c>
      <c r="D227" s="558"/>
      <c r="E227" s="558"/>
      <c r="F227" s="558"/>
    </row>
    <row r="228" customFormat="false" ht="18" hidden="false" customHeight="false" outlineLevel="0" collapsed="false">
      <c r="B228" s="541" t="n">
        <f aca="false">B227+1</f>
        <v>46155</v>
      </c>
      <c r="C228" s="541" t="str">
        <f aca="false">TEXT(B228,"aaa")</f>
        <v>Wed</v>
      </c>
      <c r="D228" s="558"/>
      <c r="E228" s="558"/>
      <c r="F228" s="558"/>
    </row>
    <row r="229" customFormat="false" ht="18" hidden="false" customHeight="false" outlineLevel="0" collapsed="false">
      <c r="B229" s="541" t="n">
        <f aca="false">B228+1</f>
        <v>46156</v>
      </c>
      <c r="C229" s="541" t="str">
        <f aca="false">TEXT(B229,"aaa")</f>
        <v>Thu</v>
      </c>
      <c r="D229" s="558"/>
      <c r="E229" s="558"/>
      <c r="F229" s="558"/>
    </row>
    <row r="230" customFormat="false" ht="18" hidden="false" customHeight="false" outlineLevel="0" collapsed="false">
      <c r="B230" s="541" t="n">
        <f aca="false">B229+1</f>
        <v>46157</v>
      </c>
      <c r="C230" s="541" t="str">
        <f aca="false">TEXT(B230,"aaa")</f>
        <v>Fri</v>
      </c>
      <c r="D230" s="558"/>
      <c r="E230" s="558"/>
      <c r="F230" s="558"/>
    </row>
    <row r="231" customFormat="false" ht="18" hidden="false" customHeight="false" outlineLevel="0" collapsed="false">
      <c r="B231" s="561" t="n">
        <f aca="false">B230+1</f>
        <v>46158</v>
      </c>
      <c r="C231" s="561" t="str">
        <f aca="false">TEXT(B231,"aaa")</f>
        <v>Sat</v>
      </c>
      <c r="D231" s="558"/>
      <c r="E231" s="558"/>
      <c r="F231" s="558"/>
    </row>
    <row r="232" customFormat="false" ht="18" hidden="false" customHeight="false" outlineLevel="0" collapsed="false">
      <c r="B232" s="562" t="n">
        <f aca="false">B231+1</f>
        <v>46159</v>
      </c>
      <c r="C232" s="562" t="str">
        <f aca="false">TEXT(B232,"aaa")</f>
        <v>Sun</v>
      </c>
      <c r="D232" s="558"/>
      <c r="E232" s="558"/>
      <c r="F232" s="558"/>
    </row>
    <row r="233" customFormat="false" ht="18" hidden="false" customHeight="false" outlineLevel="0" collapsed="false">
      <c r="B233" s="541" t="n">
        <f aca="false">B232+1</f>
        <v>46160</v>
      </c>
      <c r="C233" s="541" t="str">
        <f aca="false">TEXT(B233,"aaa")</f>
        <v>Mon</v>
      </c>
      <c r="D233" s="558"/>
      <c r="E233" s="558"/>
      <c r="F233" s="558"/>
    </row>
    <row r="234" customFormat="false" ht="18" hidden="false" customHeight="false" outlineLevel="0" collapsed="false">
      <c r="B234" s="541" t="n">
        <f aca="false">B233+1</f>
        <v>46161</v>
      </c>
      <c r="C234" s="541" t="str">
        <f aca="false">TEXT(B234,"aaa")</f>
        <v>Tue</v>
      </c>
      <c r="D234" s="558"/>
      <c r="E234" s="558"/>
      <c r="F234" s="558"/>
    </row>
    <row r="235" customFormat="false" ht="18" hidden="false" customHeight="false" outlineLevel="0" collapsed="false">
      <c r="B235" s="541" t="n">
        <f aca="false">B234+1</f>
        <v>46162</v>
      </c>
      <c r="C235" s="541" t="str">
        <f aca="false">TEXT(B235,"aaa")</f>
        <v>Wed</v>
      </c>
      <c r="D235" s="558"/>
      <c r="E235" s="558"/>
      <c r="F235" s="558"/>
    </row>
    <row r="236" customFormat="false" ht="18" hidden="false" customHeight="false" outlineLevel="0" collapsed="false">
      <c r="B236" s="541" t="n">
        <f aca="false">B235+1</f>
        <v>46163</v>
      </c>
      <c r="C236" s="541" t="str">
        <f aca="false">TEXT(B236,"aaa")</f>
        <v>Thu</v>
      </c>
      <c r="D236" s="558"/>
      <c r="E236" s="558"/>
      <c r="F236" s="558"/>
    </row>
    <row r="237" customFormat="false" ht="18" hidden="false" customHeight="false" outlineLevel="0" collapsed="false">
      <c r="B237" s="541" t="n">
        <f aca="false">B236+1</f>
        <v>46164</v>
      </c>
      <c r="C237" s="541" t="str">
        <f aca="false">TEXT(B237,"aaa")</f>
        <v>Fri</v>
      </c>
      <c r="D237" s="558"/>
      <c r="E237" s="558"/>
      <c r="F237" s="558"/>
    </row>
    <row r="238" customFormat="false" ht="18" hidden="false" customHeight="false" outlineLevel="0" collapsed="false">
      <c r="B238" s="561" t="n">
        <f aca="false">B237+1</f>
        <v>46165</v>
      </c>
      <c r="C238" s="561" t="str">
        <f aca="false">TEXT(B238,"aaa")</f>
        <v>Sat</v>
      </c>
      <c r="D238" s="558"/>
      <c r="E238" s="558"/>
      <c r="F238" s="558"/>
    </row>
    <row r="239" customFormat="false" ht="18" hidden="false" customHeight="false" outlineLevel="0" collapsed="false">
      <c r="B239" s="562" t="n">
        <f aca="false">B238+1</f>
        <v>46166</v>
      </c>
      <c r="C239" s="562" t="str">
        <f aca="false">TEXT(B239,"aaa")</f>
        <v>Sun</v>
      </c>
      <c r="D239" s="558"/>
      <c r="E239" s="558"/>
      <c r="F239" s="558"/>
    </row>
    <row r="240" customFormat="false" ht="18" hidden="false" customHeight="false" outlineLevel="0" collapsed="false">
      <c r="B240" s="541" t="n">
        <f aca="false">B239+1</f>
        <v>46167</v>
      </c>
      <c r="C240" s="541" t="str">
        <f aca="false">TEXT(B240,"aaa")</f>
        <v>Mon</v>
      </c>
      <c r="D240" s="558"/>
      <c r="E240" s="558"/>
      <c r="F240" s="558"/>
    </row>
    <row r="241" customFormat="false" ht="18" hidden="false" customHeight="false" outlineLevel="0" collapsed="false">
      <c r="B241" s="541" t="n">
        <f aca="false">B240+1</f>
        <v>46168</v>
      </c>
      <c r="C241" s="541" t="str">
        <f aca="false">TEXT(B241,"aaa")</f>
        <v>Tue</v>
      </c>
      <c r="D241" s="558"/>
      <c r="E241" s="558"/>
      <c r="F241" s="558"/>
    </row>
    <row r="242" customFormat="false" ht="18" hidden="false" customHeight="false" outlineLevel="0" collapsed="false">
      <c r="B242" s="541" t="n">
        <f aca="false">B241+1</f>
        <v>46169</v>
      </c>
      <c r="C242" s="541" t="str">
        <f aca="false">TEXT(B242,"aaa")</f>
        <v>Wed</v>
      </c>
      <c r="D242" s="558"/>
      <c r="E242" s="558"/>
      <c r="F242" s="558"/>
    </row>
    <row r="243" customFormat="false" ht="18" hidden="false" customHeight="false" outlineLevel="0" collapsed="false">
      <c r="B243" s="541" t="n">
        <f aca="false">B242+1</f>
        <v>46170</v>
      </c>
      <c r="C243" s="541" t="str">
        <f aca="false">TEXT(B243,"aaa")</f>
        <v>Thu</v>
      </c>
      <c r="D243" s="558"/>
      <c r="E243" s="558"/>
      <c r="F243" s="558"/>
    </row>
    <row r="244" customFormat="false" ht="18" hidden="false" customHeight="false" outlineLevel="0" collapsed="false">
      <c r="B244" s="541" t="n">
        <f aca="false">B243+1</f>
        <v>46171</v>
      </c>
      <c r="C244" s="541" t="str">
        <f aca="false">TEXT(B244,"aaa")</f>
        <v>Fri</v>
      </c>
      <c r="D244" s="558"/>
      <c r="E244" s="558"/>
      <c r="F244" s="558"/>
    </row>
    <row r="245" customFormat="false" ht="18" hidden="false" customHeight="false" outlineLevel="0" collapsed="false">
      <c r="B245" s="561" t="n">
        <f aca="false">B244+1</f>
        <v>46172</v>
      </c>
      <c r="C245" s="561" t="str">
        <f aca="false">TEXT(B245,"aaa")</f>
        <v>Sat</v>
      </c>
      <c r="D245" s="558"/>
      <c r="E245" s="558"/>
      <c r="F245" s="558"/>
    </row>
    <row r="246" customFormat="false" ht="18" hidden="false" customHeight="false" outlineLevel="0" collapsed="false">
      <c r="B246" s="562" t="n">
        <f aca="false">B245+1</f>
        <v>46173</v>
      </c>
      <c r="C246" s="562" t="str">
        <f aca="false">TEXT(B246,"aaa")</f>
        <v>Sun</v>
      </c>
      <c r="D246" s="558"/>
      <c r="E246" s="558"/>
      <c r="F246" s="558"/>
    </row>
    <row r="247" customFormat="false" ht="18" hidden="false" customHeight="false" outlineLevel="0" collapsed="false">
      <c r="B247" s="541" t="n">
        <f aca="false">B246+1</f>
        <v>46174</v>
      </c>
      <c r="C247" s="541" t="str">
        <f aca="false">TEXT(B247,"aaa")</f>
        <v>Mon</v>
      </c>
      <c r="D247" s="558"/>
      <c r="E247" s="558"/>
      <c r="F247" s="558"/>
    </row>
    <row r="248" customFormat="false" ht="18" hidden="false" customHeight="false" outlineLevel="0" collapsed="false">
      <c r="B248" s="541" t="n">
        <f aca="false">B247+1</f>
        <v>46175</v>
      </c>
      <c r="C248" s="541" t="str">
        <f aca="false">TEXT(B248,"aaa")</f>
        <v>Tue</v>
      </c>
      <c r="D248" s="558"/>
      <c r="E248" s="558"/>
      <c r="F248" s="558"/>
    </row>
    <row r="249" customFormat="false" ht="18" hidden="false" customHeight="false" outlineLevel="0" collapsed="false">
      <c r="B249" s="541" t="n">
        <f aca="false">B248+1</f>
        <v>46176</v>
      </c>
      <c r="C249" s="541" t="str">
        <f aca="false">TEXT(B249,"aaa")</f>
        <v>Wed</v>
      </c>
      <c r="D249" s="558"/>
      <c r="E249" s="558"/>
      <c r="F249" s="558"/>
    </row>
    <row r="250" customFormat="false" ht="18" hidden="false" customHeight="false" outlineLevel="0" collapsed="false">
      <c r="B250" s="541" t="n">
        <f aca="false">B249+1</f>
        <v>46177</v>
      </c>
      <c r="C250" s="541" t="str">
        <f aca="false">TEXT(B250,"aaa")</f>
        <v>Thu</v>
      </c>
      <c r="D250" s="558"/>
      <c r="E250" s="558"/>
      <c r="F250" s="558"/>
    </row>
    <row r="251" customFormat="false" ht="18" hidden="false" customHeight="false" outlineLevel="0" collapsed="false">
      <c r="B251" s="541" t="n">
        <f aca="false">B250+1</f>
        <v>46178</v>
      </c>
      <c r="C251" s="541" t="str">
        <f aca="false">TEXT(B251,"aaa")</f>
        <v>Fri</v>
      </c>
      <c r="D251" s="558"/>
      <c r="E251" s="558"/>
      <c r="F251" s="558"/>
    </row>
    <row r="252" customFormat="false" ht="18" hidden="false" customHeight="false" outlineLevel="0" collapsed="false">
      <c r="B252" s="561" t="n">
        <f aca="false">B251+1</f>
        <v>46179</v>
      </c>
      <c r="C252" s="561" t="str">
        <f aca="false">TEXT(B252,"aaa")</f>
        <v>Sat</v>
      </c>
      <c r="D252" s="558"/>
      <c r="E252" s="558"/>
      <c r="F252" s="558"/>
    </row>
    <row r="253" customFormat="false" ht="18" hidden="false" customHeight="false" outlineLevel="0" collapsed="false">
      <c r="B253" s="562" t="n">
        <f aca="false">B252+1</f>
        <v>46180</v>
      </c>
      <c r="C253" s="562" t="str">
        <f aca="false">TEXT(B253,"aaa")</f>
        <v>Sun</v>
      </c>
      <c r="D253" s="558"/>
      <c r="E253" s="558"/>
      <c r="F253" s="558"/>
    </row>
    <row r="254" customFormat="false" ht="18" hidden="false" customHeight="false" outlineLevel="0" collapsed="false">
      <c r="B254" s="541" t="n">
        <f aca="false">B253+1</f>
        <v>46181</v>
      </c>
      <c r="C254" s="541" t="str">
        <f aca="false">TEXT(B254,"aaa")</f>
        <v>Mon</v>
      </c>
      <c r="D254" s="558"/>
      <c r="E254" s="558"/>
      <c r="F254" s="558"/>
    </row>
    <row r="255" customFormat="false" ht="18" hidden="false" customHeight="false" outlineLevel="0" collapsed="false">
      <c r="B255" s="541" t="n">
        <f aca="false">B254+1</f>
        <v>46182</v>
      </c>
      <c r="C255" s="541" t="str">
        <f aca="false">TEXT(B255,"aaa")</f>
        <v>Tue</v>
      </c>
      <c r="D255" s="558"/>
      <c r="E255" s="558"/>
      <c r="F255" s="558"/>
    </row>
    <row r="256" customFormat="false" ht="18" hidden="false" customHeight="false" outlineLevel="0" collapsed="false">
      <c r="B256" s="541" t="n">
        <f aca="false">B255+1</f>
        <v>46183</v>
      </c>
      <c r="C256" s="541" t="str">
        <f aca="false">TEXT(B256,"aaa")</f>
        <v>Wed</v>
      </c>
      <c r="D256" s="558"/>
      <c r="E256" s="558"/>
      <c r="F256" s="558"/>
    </row>
    <row r="257" customFormat="false" ht="18" hidden="false" customHeight="false" outlineLevel="0" collapsed="false">
      <c r="B257" s="541" t="n">
        <f aca="false">B256+1</f>
        <v>46184</v>
      </c>
      <c r="C257" s="541" t="str">
        <f aca="false">TEXT(B257,"aaa")</f>
        <v>Thu</v>
      </c>
      <c r="D257" s="558"/>
      <c r="E257" s="558"/>
      <c r="F257" s="558"/>
    </row>
    <row r="258" customFormat="false" ht="18" hidden="false" customHeight="false" outlineLevel="0" collapsed="false">
      <c r="B258" s="541" t="n">
        <f aca="false">B257+1</f>
        <v>46185</v>
      </c>
      <c r="C258" s="541" t="str">
        <f aca="false">TEXT(B258,"aaa")</f>
        <v>Fri</v>
      </c>
      <c r="D258" s="558"/>
      <c r="E258" s="558"/>
      <c r="F258" s="558"/>
    </row>
    <row r="259" customFormat="false" ht="18" hidden="false" customHeight="false" outlineLevel="0" collapsed="false">
      <c r="B259" s="561" t="n">
        <f aca="false">B258+1</f>
        <v>46186</v>
      </c>
      <c r="C259" s="561" t="str">
        <f aca="false">TEXT(B259,"aaa")</f>
        <v>Sat</v>
      </c>
      <c r="D259" s="558"/>
      <c r="E259" s="558"/>
      <c r="F259" s="558"/>
    </row>
    <row r="260" customFormat="false" ht="18" hidden="false" customHeight="false" outlineLevel="0" collapsed="false">
      <c r="B260" s="562" t="n">
        <f aca="false">B259+1</f>
        <v>46187</v>
      </c>
      <c r="C260" s="562" t="str">
        <f aca="false">TEXT(B260,"aaa")</f>
        <v>Sun</v>
      </c>
      <c r="D260" s="558"/>
      <c r="E260" s="558"/>
      <c r="F260" s="558"/>
    </row>
    <row r="261" customFormat="false" ht="18" hidden="false" customHeight="false" outlineLevel="0" collapsed="false">
      <c r="B261" s="541" t="n">
        <f aca="false">B260+1</f>
        <v>46188</v>
      </c>
      <c r="C261" s="541" t="str">
        <f aca="false">TEXT(B261,"aaa")</f>
        <v>Mon</v>
      </c>
      <c r="D261" s="558"/>
      <c r="E261" s="558"/>
      <c r="F261" s="558"/>
    </row>
    <row r="262" customFormat="false" ht="18" hidden="false" customHeight="false" outlineLevel="0" collapsed="false">
      <c r="B262" s="541" t="n">
        <f aca="false">B261+1</f>
        <v>46189</v>
      </c>
      <c r="C262" s="541" t="str">
        <f aca="false">TEXT(B262,"aaa")</f>
        <v>Tue</v>
      </c>
      <c r="D262" s="558"/>
      <c r="E262" s="558"/>
      <c r="F262" s="558"/>
    </row>
    <row r="263" customFormat="false" ht="18" hidden="false" customHeight="false" outlineLevel="0" collapsed="false">
      <c r="B263" s="541" t="n">
        <f aca="false">B262+1</f>
        <v>46190</v>
      </c>
      <c r="C263" s="541" t="str">
        <f aca="false">TEXT(B263,"aaa")</f>
        <v>Wed</v>
      </c>
      <c r="D263" s="558"/>
      <c r="E263" s="558"/>
      <c r="F263" s="558"/>
    </row>
    <row r="264" customFormat="false" ht="18" hidden="false" customHeight="false" outlineLevel="0" collapsed="false">
      <c r="B264" s="541" t="n">
        <f aca="false">B263+1</f>
        <v>46191</v>
      </c>
      <c r="C264" s="541" t="str">
        <f aca="false">TEXT(B264,"aaa")</f>
        <v>Thu</v>
      </c>
      <c r="D264" s="558"/>
      <c r="E264" s="558"/>
      <c r="F264" s="558"/>
    </row>
    <row r="265" customFormat="false" ht="18" hidden="false" customHeight="false" outlineLevel="0" collapsed="false">
      <c r="B265" s="541" t="n">
        <f aca="false">B264+1</f>
        <v>46192</v>
      </c>
      <c r="C265" s="541" t="str">
        <f aca="false">TEXT(B265,"aaa")</f>
        <v>Fri</v>
      </c>
      <c r="D265" s="558"/>
      <c r="E265" s="558"/>
      <c r="F265" s="558"/>
    </row>
    <row r="266" customFormat="false" ht="18" hidden="false" customHeight="false" outlineLevel="0" collapsed="false">
      <c r="B266" s="561" t="n">
        <f aca="false">B265+1</f>
        <v>46193</v>
      </c>
      <c r="C266" s="561" t="str">
        <f aca="false">TEXT(B266,"aaa")</f>
        <v>Sat</v>
      </c>
      <c r="D266" s="558"/>
      <c r="E266" s="558"/>
      <c r="F266" s="558"/>
    </row>
    <row r="267" customFormat="false" ht="18" hidden="false" customHeight="false" outlineLevel="0" collapsed="false">
      <c r="B267" s="562" t="n">
        <f aca="false">B266+1</f>
        <v>46194</v>
      </c>
      <c r="C267" s="562" t="str">
        <f aca="false">TEXT(B267,"aaa")</f>
        <v>Sun</v>
      </c>
      <c r="D267" s="558"/>
      <c r="E267" s="558"/>
      <c r="F267" s="558"/>
    </row>
    <row r="268" customFormat="false" ht="18" hidden="false" customHeight="false" outlineLevel="0" collapsed="false">
      <c r="B268" s="541" t="n">
        <f aca="false">B267+1</f>
        <v>46195</v>
      </c>
      <c r="C268" s="541" t="str">
        <f aca="false">TEXT(B268,"aaa")</f>
        <v>Mon</v>
      </c>
      <c r="D268" s="558"/>
      <c r="E268" s="558"/>
      <c r="F268" s="558"/>
    </row>
    <row r="269" customFormat="false" ht="18" hidden="false" customHeight="false" outlineLevel="0" collapsed="false">
      <c r="B269" s="541" t="n">
        <f aca="false">B268+1</f>
        <v>46196</v>
      </c>
      <c r="C269" s="541" t="str">
        <f aca="false">TEXT(B269,"aaa")</f>
        <v>Tue</v>
      </c>
      <c r="D269" s="558"/>
      <c r="E269" s="558"/>
      <c r="F269" s="558"/>
    </row>
    <row r="270" customFormat="false" ht="18" hidden="false" customHeight="false" outlineLevel="0" collapsed="false">
      <c r="B270" s="541" t="n">
        <f aca="false">B269+1</f>
        <v>46197</v>
      </c>
      <c r="C270" s="541" t="str">
        <f aca="false">TEXT(B270,"aaa")</f>
        <v>Wed</v>
      </c>
      <c r="D270" s="558"/>
      <c r="E270" s="558"/>
      <c r="F270" s="558"/>
    </row>
    <row r="271" customFormat="false" ht="18" hidden="false" customHeight="false" outlineLevel="0" collapsed="false">
      <c r="B271" s="541" t="n">
        <f aca="false">B270+1</f>
        <v>46198</v>
      </c>
      <c r="C271" s="541" t="str">
        <f aca="false">TEXT(B271,"aaa")</f>
        <v>Thu</v>
      </c>
      <c r="D271" s="558"/>
      <c r="E271" s="558"/>
      <c r="F271" s="558"/>
    </row>
    <row r="272" customFormat="false" ht="18" hidden="false" customHeight="false" outlineLevel="0" collapsed="false">
      <c r="B272" s="541" t="n">
        <f aca="false">B271+1</f>
        <v>46199</v>
      </c>
      <c r="C272" s="541" t="str">
        <f aca="false">TEXT(B272,"aaa")</f>
        <v>Fri</v>
      </c>
      <c r="D272" s="558"/>
      <c r="E272" s="558"/>
      <c r="F272" s="558"/>
    </row>
    <row r="273" customFormat="false" ht="18" hidden="false" customHeight="false" outlineLevel="0" collapsed="false">
      <c r="B273" s="561" t="n">
        <f aca="false">B272+1</f>
        <v>46200</v>
      </c>
      <c r="C273" s="561" t="str">
        <f aca="false">TEXT(B273,"aaa")</f>
        <v>Sat</v>
      </c>
      <c r="D273" s="558"/>
      <c r="E273" s="558"/>
      <c r="F273" s="558"/>
    </row>
    <row r="274" customFormat="false" ht="18" hidden="false" customHeight="false" outlineLevel="0" collapsed="false">
      <c r="B274" s="562" t="n">
        <f aca="false">B273+1</f>
        <v>46201</v>
      </c>
      <c r="C274" s="562" t="str">
        <f aca="false">TEXT(B274,"aaa")</f>
        <v>Sun</v>
      </c>
      <c r="D274" s="558"/>
      <c r="E274" s="558"/>
      <c r="F274" s="558"/>
    </row>
    <row r="275" customFormat="false" ht="18" hidden="false" customHeight="false" outlineLevel="0" collapsed="false">
      <c r="B275" s="541" t="n">
        <f aca="false">B274+1</f>
        <v>46202</v>
      </c>
      <c r="C275" s="541" t="str">
        <f aca="false">TEXT(B275,"aaa")</f>
        <v>Mon</v>
      </c>
      <c r="D275" s="558"/>
      <c r="E275" s="558"/>
      <c r="F275" s="558"/>
    </row>
    <row r="276" customFormat="false" ht="18" hidden="false" customHeight="false" outlineLevel="0" collapsed="false">
      <c r="B276" s="541" t="n">
        <f aca="false">B275+1</f>
        <v>46203</v>
      </c>
      <c r="C276" s="541" t="str">
        <f aca="false">TEXT(B276,"aaa")</f>
        <v>Tue</v>
      </c>
      <c r="D276" s="558"/>
      <c r="E276" s="558"/>
      <c r="F276" s="558"/>
    </row>
    <row r="277" customFormat="false" ht="18" hidden="false" customHeight="false" outlineLevel="0" collapsed="false">
      <c r="B277" s="541" t="n">
        <f aca="false">B276+1</f>
        <v>46204</v>
      </c>
      <c r="C277" s="541" t="str">
        <f aca="false">TEXT(B277,"aaa")</f>
        <v>Wed</v>
      </c>
      <c r="D277" s="558"/>
      <c r="E277" s="558"/>
      <c r="F277" s="558"/>
    </row>
    <row r="278" customFormat="false" ht="18" hidden="false" customHeight="false" outlineLevel="0" collapsed="false">
      <c r="B278" s="541" t="n">
        <f aca="false">B277+1</f>
        <v>46205</v>
      </c>
      <c r="C278" s="541" t="str">
        <f aca="false">TEXT(B278,"aaa")</f>
        <v>Thu</v>
      </c>
      <c r="D278" s="558"/>
      <c r="E278" s="558"/>
      <c r="F278" s="558"/>
    </row>
    <row r="279" customFormat="false" ht="18" hidden="false" customHeight="false" outlineLevel="0" collapsed="false">
      <c r="B279" s="541" t="n">
        <f aca="false">B278+1</f>
        <v>46206</v>
      </c>
      <c r="C279" s="541" t="str">
        <f aca="false">TEXT(B279,"aaa")</f>
        <v>Fri</v>
      </c>
      <c r="D279" s="558"/>
      <c r="E279" s="558"/>
      <c r="F279" s="558"/>
    </row>
    <row r="280" customFormat="false" ht="18" hidden="false" customHeight="false" outlineLevel="0" collapsed="false">
      <c r="B280" s="561" t="n">
        <f aca="false">B279+1</f>
        <v>46207</v>
      </c>
      <c r="C280" s="561" t="str">
        <f aca="false">TEXT(B280,"aaa")</f>
        <v>Sat</v>
      </c>
      <c r="D280" s="558"/>
      <c r="E280" s="558"/>
      <c r="F280" s="558"/>
    </row>
    <row r="281" customFormat="false" ht="18" hidden="false" customHeight="false" outlineLevel="0" collapsed="false">
      <c r="B281" s="562" t="n">
        <f aca="false">B280+1</f>
        <v>46208</v>
      </c>
      <c r="C281" s="562" t="str">
        <f aca="false">TEXT(B281,"aaa")</f>
        <v>Sun</v>
      </c>
      <c r="D281" s="558"/>
      <c r="E281" s="558"/>
      <c r="F281" s="558"/>
    </row>
    <row r="282" customFormat="false" ht="18" hidden="false" customHeight="false" outlineLevel="0" collapsed="false">
      <c r="B282" s="541" t="n">
        <f aca="false">B281+1</f>
        <v>46209</v>
      </c>
      <c r="C282" s="541" t="str">
        <f aca="false">TEXT(B282,"aaa")</f>
        <v>Mon</v>
      </c>
      <c r="D282" s="558"/>
      <c r="E282" s="558"/>
      <c r="F282" s="558"/>
    </row>
    <row r="283" customFormat="false" ht="18" hidden="false" customHeight="false" outlineLevel="0" collapsed="false">
      <c r="B283" s="541" t="n">
        <f aca="false">B282+1</f>
        <v>46210</v>
      </c>
      <c r="C283" s="541" t="str">
        <f aca="false">TEXT(B283,"aaa")</f>
        <v>Tue</v>
      </c>
      <c r="D283" s="558"/>
      <c r="E283" s="558"/>
      <c r="F283" s="558"/>
    </row>
    <row r="284" customFormat="false" ht="18" hidden="false" customHeight="false" outlineLevel="0" collapsed="false">
      <c r="B284" s="541" t="n">
        <f aca="false">B283+1</f>
        <v>46211</v>
      </c>
      <c r="C284" s="541" t="str">
        <f aca="false">TEXT(B284,"aaa")</f>
        <v>Wed</v>
      </c>
      <c r="D284" s="558"/>
      <c r="E284" s="558"/>
      <c r="F284" s="558"/>
    </row>
    <row r="285" customFormat="false" ht="18" hidden="false" customHeight="false" outlineLevel="0" collapsed="false">
      <c r="B285" s="541" t="n">
        <f aca="false">B284+1</f>
        <v>46212</v>
      </c>
      <c r="C285" s="541" t="str">
        <f aca="false">TEXT(B285,"aaa")</f>
        <v>Thu</v>
      </c>
      <c r="D285" s="558"/>
      <c r="E285" s="558"/>
      <c r="F285" s="558"/>
    </row>
    <row r="286" customFormat="false" ht="18" hidden="false" customHeight="false" outlineLevel="0" collapsed="false">
      <c r="B286" s="541" t="n">
        <f aca="false">B285+1</f>
        <v>46213</v>
      </c>
      <c r="C286" s="541" t="str">
        <f aca="false">TEXT(B286,"aaa")</f>
        <v>Fri</v>
      </c>
      <c r="D286" s="558"/>
      <c r="E286" s="558"/>
      <c r="F286" s="558"/>
    </row>
    <row r="287" customFormat="false" ht="18" hidden="false" customHeight="false" outlineLevel="0" collapsed="false">
      <c r="B287" s="561" t="n">
        <f aca="false">B286+1</f>
        <v>46214</v>
      </c>
      <c r="C287" s="561" t="str">
        <f aca="false">TEXT(B287,"aaa")</f>
        <v>Sat</v>
      </c>
      <c r="D287" s="558"/>
      <c r="E287" s="558"/>
      <c r="F287" s="558"/>
    </row>
    <row r="288" customFormat="false" ht="18" hidden="false" customHeight="false" outlineLevel="0" collapsed="false">
      <c r="B288" s="562" t="n">
        <f aca="false">B287+1</f>
        <v>46215</v>
      </c>
      <c r="C288" s="562" t="str">
        <f aca="false">TEXT(B288,"aaa")</f>
        <v>Sun</v>
      </c>
      <c r="D288" s="558"/>
      <c r="E288" s="558"/>
      <c r="F288" s="558"/>
    </row>
    <row r="289" customFormat="false" ht="18" hidden="false" customHeight="false" outlineLevel="0" collapsed="false">
      <c r="B289" s="541" t="n">
        <f aca="false">B288+1</f>
        <v>46216</v>
      </c>
      <c r="C289" s="541" t="str">
        <f aca="false">TEXT(B289,"aaa")</f>
        <v>Mon</v>
      </c>
      <c r="D289" s="558"/>
      <c r="E289" s="558"/>
      <c r="F289" s="558"/>
    </row>
    <row r="290" customFormat="false" ht="18" hidden="false" customHeight="false" outlineLevel="0" collapsed="false">
      <c r="B290" s="541" t="n">
        <f aca="false">B289+1</f>
        <v>46217</v>
      </c>
      <c r="C290" s="541" t="str">
        <f aca="false">TEXT(B290,"aaa")</f>
        <v>Tue</v>
      </c>
      <c r="D290" s="558"/>
      <c r="E290" s="558"/>
      <c r="F290" s="558"/>
    </row>
    <row r="291" customFormat="false" ht="18" hidden="false" customHeight="false" outlineLevel="0" collapsed="false">
      <c r="B291" s="541" t="n">
        <f aca="false">B290+1</f>
        <v>46218</v>
      </c>
      <c r="C291" s="541" t="str">
        <f aca="false">TEXT(B291,"aaa")</f>
        <v>Wed</v>
      </c>
      <c r="D291" s="558"/>
      <c r="E291" s="558"/>
      <c r="F291" s="558"/>
    </row>
    <row r="292" customFormat="false" ht="18" hidden="false" customHeight="false" outlineLevel="0" collapsed="false">
      <c r="B292" s="541" t="n">
        <f aca="false">B291+1</f>
        <v>46219</v>
      </c>
      <c r="C292" s="541" t="str">
        <f aca="false">TEXT(B292,"aaa")</f>
        <v>Thu</v>
      </c>
      <c r="D292" s="558"/>
      <c r="E292" s="558"/>
      <c r="F292" s="558"/>
    </row>
    <row r="293" customFormat="false" ht="18" hidden="false" customHeight="false" outlineLevel="0" collapsed="false">
      <c r="B293" s="541" t="n">
        <f aca="false">B292+1</f>
        <v>46220</v>
      </c>
      <c r="C293" s="541" t="str">
        <f aca="false">TEXT(B293,"aaa")</f>
        <v>Fri</v>
      </c>
      <c r="D293" s="558"/>
      <c r="E293" s="558"/>
      <c r="F293" s="558"/>
    </row>
    <row r="294" customFormat="false" ht="18" hidden="false" customHeight="false" outlineLevel="0" collapsed="false">
      <c r="B294" s="561" t="n">
        <f aca="false">B293+1</f>
        <v>46221</v>
      </c>
      <c r="C294" s="561" t="str">
        <f aca="false">TEXT(B294,"aaa")</f>
        <v>Sat</v>
      </c>
      <c r="D294" s="558"/>
      <c r="E294" s="558"/>
      <c r="F294" s="558"/>
    </row>
    <row r="295" customFormat="false" ht="18" hidden="false" customHeight="false" outlineLevel="0" collapsed="false">
      <c r="B295" s="562" t="n">
        <f aca="false">B294+1</f>
        <v>46222</v>
      </c>
      <c r="C295" s="562" t="str">
        <f aca="false">TEXT(B295,"aaa")</f>
        <v>Sun</v>
      </c>
      <c r="D295" s="558"/>
      <c r="E295" s="558"/>
      <c r="F295" s="558"/>
    </row>
    <row r="296" customFormat="false" ht="18" hidden="false" customHeight="false" outlineLevel="0" collapsed="false">
      <c r="B296" s="563" t="n">
        <f aca="false">B295+1</f>
        <v>46223</v>
      </c>
      <c r="C296" s="563" t="str">
        <f aca="false">TEXT(B296,"aaa")</f>
        <v>Mon</v>
      </c>
      <c r="D296" s="558"/>
      <c r="E296" s="558"/>
      <c r="F296" s="558"/>
    </row>
    <row r="297" customFormat="false" ht="18" hidden="false" customHeight="false" outlineLevel="0" collapsed="false">
      <c r="B297" s="541" t="n">
        <f aca="false">B296+1</f>
        <v>46224</v>
      </c>
      <c r="C297" s="541" t="str">
        <f aca="false">TEXT(B297,"aaa")</f>
        <v>Tue</v>
      </c>
      <c r="D297" s="558"/>
      <c r="E297" s="558"/>
      <c r="F297" s="558"/>
    </row>
    <row r="298" customFormat="false" ht="18" hidden="false" customHeight="false" outlineLevel="0" collapsed="false">
      <c r="B298" s="541" t="n">
        <f aca="false">B297+1</f>
        <v>46225</v>
      </c>
      <c r="C298" s="541" t="str">
        <f aca="false">TEXT(B298,"aaa")</f>
        <v>Wed</v>
      </c>
      <c r="D298" s="558"/>
      <c r="E298" s="558"/>
      <c r="F298" s="558"/>
    </row>
    <row r="299" customFormat="false" ht="18" hidden="false" customHeight="false" outlineLevel="0" collapsed="false">
      <c r="B299" s="541" t="n">
        <f aca="false">B298+1</f>
        <v>46226</v>
      </c>
      <c r="C299" s="541" t="str">
        <f aca="false">TEXT(B299,"aaa")</f>
        <v>Thu</v>
      </c>
      <c r="D299" s="558"/>
      <c r="E299" s="558"/>
      <c r="F299" s="558"/>
    </row>
    <row r="300" customFormat="false" ht="18" hidden="false" customHeight="false" outlineLevel="0" collapsed="false">
      <c r="B300" s="541" t="n">
        <f aca="false">B299+1</f>
        <v>46227</v>
      </c>
      <c r="C300" s="541" t="str">
        <f aca="false">TEXT(B300,"aaa")</f>
        <v>Fri</v>
      </c>
      <c r="D300" s="558"/>
      <c r="E300" s="558"/>
      <c r="F300" s="558"/>
    </row>
    <row r="301" customFormat="false" ht="18" hidden="false" customHeight="false" outlineLevel="0" collapsed="false">
      <c r="B301" s="561" t="n">
        <f aca="false">B300+1</f>
        <v>46228</v>
      </c>
      <c r="C301" s="561" t="str">
        <f aca="false">TEXT(B301,"aaa")</f>
        <v>Sat</v>
      </c>
      <c r="D301" s="558"/>
      <c r="E301" s="558"/>
      <c r="F301" s="558"/>
    </row>
    <row r="302" customFormat="false" ht="18" hidden="false" customHeight="false" outlineLevel="0" collapsed="false">
      <c r="B302" s="562" t="n">
        <f aca="false">B301+1</f>
        <v>46229</v>
      </c>
      <c r="C302" s="562" t="str">
        <f aca="false">TEXT(B302,"aaa")</f>
        <v>Sun</v>
      </c>
      <c r="D302" s="558"/>
      <c r="E302" s="558"/>
      <c r="F302" s="558"/>
    </row>
    <row r="303" customFormat="false" ht="18" hidden="false" customHeight="false" outlineLevel="0" collapsed="false">
      <c r="B303" s="541" t="n">
        <f aca="false">B302+1</f>
        <v>46230</v>
      </c>
      <c r="C303" s="541" t="str">
        <f aca="false">TEXT(B303,"aaa")</f>
        <v>Mon</v>
      </c>
      <c r="D303" s="558"/>
      <c r="E303" s="558"/>
      <c r="F303" s="558"/>
    </row>
    <row r="304" customFormat="false" ht="18" hidden="false" customHeight="false" outlineLevel="0" collapsed="false">
      <c r="B304" s="541" t="n">
        <f aca="false">B303+1</f>
        <v>46231</v>
      </c>
      <c r="C304" s="541" t="str">
        <f aca="false">TEXT(B304,"aaa")</f>
        <v>Tue</v>
      </c>
      <c r="D304" s="558"/>
      <c r="E304" s="558"/>
      <c r="F304" s="558"/>
    </row>
    <row r="305" customFormat="false" ht="18" hidden="false" customHeight="false" outlineLevel="0" collapsed="false">
      <c r="B305" s="541" t="n">
        <f aca="false">B304+1</f>
        <v>46232</v>
      </c>
      <c r="C305" s="541" t="str">
        <f aca="false">TEXT(B305,"aaa")</f>
        <v>Wed</v>
      </c>
      <c r="D305" s="558"/>
      <c r="E305" s="558"/>
      <c r="F305" s="558"/>
    </row>
    <row r="306" customFormat="false" ht="18" hidden="false" customHeight="false" outlineLevel="0" collapsed="false">
      <c r="B306" s="541" t="n">
        <f aca="false">B305+1</f>
        <v>46233</v>
      </c>
      <c r="C306" s="541" t="str">
        <f aca="false">TEXT(B306,"aaa")</f>
        <v>Thu</v>
      </c>
      <c r="D306" s="558"/>
      <c r="E306" s="558"/>
      <c r="F306" s="558"/>
    </row>
    <row r="307" customFormat="false" ht="18" hidden="false" customHeight="false" outlineLevel="0" collapsed="false">
      <c r="B307" s="541" t="n">
        <f aca="false">B306+1</f>
        <v>46234</v>
      </c>
      <c r="C307" s="541" t="str">
        <f aca="false">TEXT(B307,"aaa")</f>
        <v>Fri</v>
      </c>
      <c r="D307" s="558"/>
      <c r="E307" s="558"/>
      <c r="F307" s="558"/>
    </row>
    <row r="308" customFormat="false" ht="18" hidden="false" customHeight="false" outlineLevel="0" collapsed="false">
      <c r="B308" s="561" t="n">
        <f aca="false">B307+1</f>
        <v>46235</v>
      </c>
      <c r="C308" s="561" t="str">
        <f aca="false">TEXT(B308,"aaa")</f>
        <v>Sat</v>
      </c>
      <c r="D308" s="558"/>
      <c r="E308" s="558"/>
      <c r="F308" s="558"/>
    </row>
    <row r="309" customFormat="false" ht="18" hidden="false" customHeight="false" outlineLevel="0" collapsed="false">
      <c r="B309" s="562" t="n">
        <f aca="false">B308+1</f>
        <v>46236</v>
      </c>
      <c r="C309" s="562" t="str">
        <f aca="false">TEXT(B309,"aaa")</f>
        <v>Sun</v>
      </c>
      <c r="D309" s="558"/>
      <c r="E309" s="558"/>
      <c r="F309" s="558"/>
    </row>
    <row r="310" customFormat="false" ht="18" hidden="false" customHeight="false" outlineLevel="0" collapsed="false">
      <c r="B310" s="541" t="n">
        <f aca="false">B309+1</f>
        <v>46237</v>
      </c>
      <c r="C310" s="541" t="str">
        <f aca="false">TEXT(B310,"aaa")</f>
        <v>Mon</v>
      </c>
      <c r="D310" s="558"/>
      <c r="E310" s="558"/>
      <c r="F310" s="558"/>
    </row>
    <row r="311" customFormat="false" ht="18" hidden="false" customHeight="false" outlineLevel="0" collapsed="false">
      <c r="B311" s="541" t="n">
        <f aca="false">B310+1</f>
        <v>46238</v>
      </c>
      <c r="C311" s="541" t="str">
        <f aca="false">TEXT(B311,"aaa")</f>
        <v>Tue</v>
      </c>
      <c r="D311" s="558"/>
      <c r="E311" s="558"/>
      <c r="F311" s="558"/>
    </row>
    <row r="312" customFormat="false" ht="18" hidden="false" customHeight="false" outlineLevel="0" collapsed="false">
      <c r="B312" s="541" t="n">
        <f aca="false">B311+1</f>
        <v>46239</v>
      </c>
      <c r="C312" s="541" t="str">
        <f aca="false">TEXT(B312,"aaa")</f>
        <v>Wed</v>
      </c>
      <c r="D312" s="558"/>
      <c r="E312" s="558"/>
      <c r="F312" s="558"/>
    </row>
    <row r="313" customFormat="false" ht="18" hidden="false" customHeight="false" outlineLevel="0" collapsed="false">
      <c r="B313" s="541" t="n">
        <f aca="false">B312+1</f>
        <v>46240</v>
      </c>
      <c r="C313" s="541" t="str">
        <f aca="false">TEXT(B313,"aaa")</f>
        <v>Thu</v>
      </c>
      <c r="D313" s="558"/>
      <c r="E313" s="558"/>
      <c r="F313" s="558"/>
    </row>
    <row r="314" customFormat="false" ht="18" hidden="false" customHeight="false" outlineLevel="0" collapsed="false">
      <c r="B314" s="541" t="n">
        <f aca="false">B313+1</f>
        <v>46241</v>
      </c>
      <c r="C314" s="541" t="str">
        <f aca="false">TEXT(B314,"aaa")</f>
        <v>Fri</v>
      </c>
      <c r="D314" s="558"/>
      <c r="E314" s="558"/>
      <c r="F314" s="558"/>
    </row>
    <row r="315" customFormat="false" ht="18" hidden="false" customHeight="false" outlineLevel="0" collapsed="false">
      <c r="B315" s="561" t="n">
        <f aca="false">B314+1</f>
        <v>46242</v>
      </c>
      <c r="C315" s="561" t="str">
        <f aca="false">TEXT(B315,"aaa")</f>
        <v>Sat</v>
      </c>
      <c r="D315" s="558"/>
      <c r="E315" s="558"/>
      <c r="F315" s="558"/>
    </row>
    <row r="316" customFormat="false" ht="18" hidden="false" customHeight="false" outlineLevel="0" collapsed="false">
      <c r="B316" s="562" t="n">
        <f aca="false">B315+1</f>
        <v>46243</v>
      </c>
      <c r="C316" s="562" t="str">
        <f aca="false">TEXT(B316,"aaa")</f>
        <v>Sun</v>
      </c>
      <c r="D316" s="558"/>
      <c r="E316" s="558"/>
      <c r="F316" s="558"/>
    </row>
    <row r="317" customFormat="false" ht="18" hidden="false" customHeight="false" outlineLevel="0" collapsed="false">
      <c r="B317" s="541" t="n">
        <f aca="false">B316+1</f>
        <v>46244</v>
      </c>
      <c r="C317" s="541" t="str">
        <f aca="false">TEXT(B317,"aaa")</f>
        <v>Mon</v>
      </c>
      <c r="D317" s="558"/>
      <c r="E317" s="558"/>
      <c r="F317" s="558"/>
    </row>
    <row r="318" customFormat="false" ht="18" hidden="false" customHeight="false" outlineLevel="0" collapsed="false">
      <c r="B318" s="563" t="n">
        <f aca="false">B317+1</f>
        <v>46245</v>
      </c>
      <c r="C318" s="563" t="str">
        <f aca="false">TEXT(B318,"aaa")</f>
        <v>Tue</v>
      </c>
      <c r="D318" s="558"/>
      <c r="E318" s="558"/>
      <c r="F318" s="558"/>
    </row>
    <row r="319" customFormat="false" ht="18" hidden="false" customHeight="false" outlineLevel="0" collapsed="false">
      <c r="B319" s="541" t="n">
        <f aca="false">B318+1</f>
        <v>46246</v>
      </c>
      <c r="C319" s="541" t="str">
        <f aca="false">TEXT(B319,"aaa")</f>
        <v>Wed</v>
      </c>
      <c r="D319" s="558"/>
      <c r="E319" s="558"/>
      <c r="F319" s="558"/>
    </row>
    <row r="320" customFormat="false" ht="18" hidden="false" customHeight="false" outlineLevel="0" collapsed="false">
      <c r="B320" s="541" t="n">
        <f aca="false">B319+1</f>
        <v>46247</v>
      </c>
      <c r="C320" s="541" t="str">
        <f aca="false">TEXT(B320,"aaa")</f>
        <v>Thu</v>
      </c>
      <c r="D320" s="558"/>
      <c r="E320" s="558"/>
      <c r="F320" s="558"/>
    </row>
    <row r="321" customFormat="false" ht="18" hidden="false" customHeight="false" outlineLevel="0" collapsed="false">
      <c r="B321" s="541" t="n">
        <f aca="false">B320+1</f>
        <v>46248</v>
      </c>
      <c r="C321" s="541" t="str">
        <f aca="false">TEXT(B321,"aaa")</f>
        <v>Fri</v>
      </c>
      <c r="D321" s="558"/>
      <c r="E321" s="558"/>
      <c r="F321" s="558"/>
    </row>
    <row r="322" customFormat="false" ht="18" hidden="false" customHeight="false" outlineLevel="0" collapsed="false">
      <c r="B322" s="561" t="n">
        <f aca="false">B321+1</f>
        <v>46249</v>
      </c>
      <c r="C322" s="561" t="str">
        <f aca="false">TEXT(B322,"aaa")</f>
        <v>Sat</v>
      </c>
      <c r="D322" s="558"/>
      <c r="E322" s="558"/>
      <c r="F322" s="558"/>
    </row>
    <row r="323" customFormat="false" ht="18" hidden="false" customHeight="false" outlineLevel="0" collapsed="false">
      <c r="B323" s="562" t="n">
        <f aca="false">B322+1</f>
        <v>46250</v>
      </c>
      <c r="C323" s="562" t="str">
        <f aca="false">TEXT(B323,"aaa")</f>
        <v>Sun</v>
      </c>
      <c r="D323" s="558"/>
      <c r="E323" s="558"/>
      <c r="F323" s="558"/>
    </row>
    <row r="324" customFormat="false" ht="18" hidden="false" customHeight="false" outlineLevel="0" collapsed="false">
      <c r="B324" s="541" t="n">
        <f aca="false">B323+1</f>
        <v>46251</v>
      </c>
      <c r="C324" s="541" t="str">
        <f aca="false">TEXT(B324,"aaa")</f>
        <v>Mon</v>
      </c>
      <c r="D324" s="558"/>
      <c r="E324" s="558"/>
      <c r="F324" s="558"/>
    </row>
    <row r="325" customFormat="false" ht="18" hidden="false" customHeight="false" outlineLevel="0" collapsed="false">
      <c r="B325" s="541" t="n">
        <f aca="false">B324+1</f>
        <v>46252</v>
      </c>
      <c r="C325" s="541" t="str">
        <f aca="false">TEXT(B325,"aaa")</f>
        <v>Tue</v>
      </c>
      <c r="D325" s="558"/>
      <c r="E325" s="558"/>
      <c r="F325" s="558"/>
    </row>
    <row r="326" customFormat="false" ht="18" hidden="false" customHeight="false" outlineLevel="0" collapsed="false">
      <c r="B326" s="541" t="n">
        <f aca="false">B325+1</f>
        <v>46253</v>
      </c>
      <c r="C326" s="541" t="str">
        <f aca="false">TEXT(B326,"aaa")</f>
        <v>Wed</v>
      </c>
      <c r="D326" s="558"/>
      <c r="E326" s="558"/>
      <c r="F326" s="558"/>
    </row>
    <row r="327" customFormat="false" ht="18" hidden="false" customHeight="false" outlineLevel="0" collapsed="false">
      <c r="B327" s="541" t="n">
        <f aca="false">B326+1</f>
        <v>46254</v>
      </c>
      <c r="C327" s="541" t="str">
        <f aca="false">TEXT(B327,"aaa")</f>
        <v>Thu</v>
      </c>
      <c r="D327" s="558"/>
      <c r="E327" s="558"/>
      <c r="F327" s="558"/>
    </row>
    <row r="328" customFormat="false" ht="18" hidden="false" customHeight="false" outlineLevel="0" collapsed="false">
      <c r="B328" s="541" t="n">
        <f aca="false">B327+1</f>
        <v>46255</v>
      </c>
      <c r="C328" s="541" t="str">
        <f aca="false">TEXT(B328,"aaa")</f>
        <v>Fri</v>
      </c>
      <c r="D328" s="558"/>
      <c r="E328" s="558"/>
      <c r="F328" s="558"/>
    </row>
    <row r="329" customFormat="false" ht="18" hidden="false" customHeight="false" outlineLevel="0" collapsed="false">
      <c r="B329" s="561" t="n">
        <f aca="false">B328+1</f>
        <v>46256</v>
      </c>
      <c r="C329" s="561" t="str">
        <f aca="false">TEXT(B329,"aaa")</f>
        <v>Sat</v>
      </c>
      <c r="D329" s="558"/>
      <c r="E329" s="558"/>
      <c r="F329" s="558"/>
    </row>
    <row r="330" customFormat="false" ht="18" hidden="false" customHeight="false" outlineLevel="0" collapsed="false">
      <c r="B330" s="562" t="n">
        <f aca="false">B329+1</f>
        <v>46257</v>
      </c>
      <c r="C330" s="562" t="str">
        <f aca="false">TEXT(B330,"aaa")</f>
        <v>Sun</v>
      </c>
      <c r="D330" s="558"/>
      <c r="E330" s="558"/>
      <c r="F330" s="558"/>
    </row>
    <row r="331" customFormat="false" ht="18" hidden="false" customHeight="false" outlineLevel="0" collapsed="false">
      <c r="B331" s="541" t="n">
        <f aca="false">B330+1</f>
        <v>46258</v>
      </c>
      <c r="C331" s="541" t="str">
        <f aca="false">TEXT(B331,"aaa")</f>
        <v>Mon</v>
      </c>
      <c r="D331" s="558"/>
      <c r="E331" s="558"/>
      <c r="F331" s="558"/>
    </row>
    <row r="332" customFormat="false" ht="18" hidden="false" customHeight="false" outlineLevel="0" collapsed="false">
      <c r="B332" s="541" t="n">
        <f aca="false">B331+1</f>
        <v>46259</v>
      </c>
      <c r="C332" s="541" t="str">
        <f aca="false">TEXT(B332,"aaa")</f>
        <v>Tue</v>
      </c>
      <c r="D332" s="558"/>
      <c r="E332" s="558"/>
      <c r="F332" s="558"/>
    </row>
    <row r="333" customFormat="false" ht="18" hidden="false" customHeight="false" outlineLevel="0" collapsed="false">
      <c r="B333" s="541" t="n">
        <f aca="false">B332+1</f>
        <v>46260</v>
      </c>
      <c r="C333" s="541" t="str">
        <f aca="false">TEXT(B333,"aaa")</f>
        <v>Wed</v>
      </c>
      <c r="D333" s="558"/>
      <c r="E333" s="558"/>
      <c r="F333" s="558"/>
    </row>
    <row r="334" customFormat="false" ht="18" hidden="false" customHeight="false" outlineLevel="0" collapsed="false">
      <c r="B334" s="541" t="n">
        <f aca="false">B333+1</f>
        <v>46261</v>
      </c>
      <c r="C334" s="541" t="str">
        <f aca="false">TEXT(B334,"aaa")</f>
        <v>Thu</v>
      </c>
      <c r="D334" s="558"/>
      <c r="E334" s="558"/>
      <c r="F334" s="558"/>
    </row>
    <row r="335" customFormat="false" ht="18" hidden="false" customHeight="false" outlineLevel="0" collapsed="false">
      <c r="B335" s="541" t="n">
        <f aca="false">B334+1</f>
        <v>46262</v>
      </c>
      <c r="C335" s="541" t="str">
        <f aca="false">TEXT(B335,"aaa")</f>
        <v>Fri</v>
      </c>
      <c r="D335" s="558"/>
      <c r="E335" s="558"/>
      <c r="F335" s="558"/>
    </row>
    <row r="336" customFormat="false" ht="18" hidden="false" customHeight="false" outlineLevel="0" collapsed="false">
      <c r="B336" s="561" t="n">
        <f aca="false">B335+1</f>
        <v>46263</v>
      </c>
      <c r="C336" s="561" t="str">
        <f aca="false">TEXT(B336,"aaa")</f>
        <v>Sat</v>
      </c>
      <c r="D336" s="558"/>
      <c r="E336" s="558"/>
      <c r="F336" s="558"/>
    </row>
    <row r="337" customFormat="false" ht="18" hidden="false" customHeight="false" outlineLevel="0" collapsed="false">
      <c r="B337" s="562" t="n">
        <f aca="false">B336+1</f>
        <v>46264</v>
      </c>
      <c r="C337" s="562" t="str">
        <f aca="false">TEXT(B337,"aaa")</f>
        <v>Sun</v>
      </c>
      <c r="D337" s="558"/>
      <c r="E337" s="558"/>
      <c r="F337" s="558"/>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2" min="2" style="20" width="14"/>
    <col collapsed="false" customWidth="true" hidden="false" outlineLevel="0" max="4" min="3" style="20" width="16"/>
    <col collapsed="false" customWidth="true" hidden="false" outlineLevel="0" max="5" min="5" style="20" width="40"/>
  </cols>
  <sheetData>
    <row r="2" customFormat="false" ht="15" hidden="false" customHeight="false" outlineLevel="0" collapsed="false">
      <c r="B2" s="275" t="s">
        <v>697</v>
      </c>
    </row>
    <row r="3" customFormat="false" ht="15" hidden="false" customHeight="false" outlineLevel="0" collapsed="false">
      <c r="B3" s="523" t="s">
        <v>698</v>
      </c>
      <c r="C3" s="523" t="s">
        <v>87</v>
      </c>
      <c r="D3" s="523" t="s">
        <v>699</v>
      </c>
      <c r="E3" s="523" t="s">
        <v>245</v>
      </c>
    </row>
    <row r="4" customFormat="false" ht="15" hidden="false" customHeight="false" outlineLevel="0" collapsed="false">
      <c r="B4" s="20" t="s">
        <v>700</v>
      </c>
      <c r="C4" s="566" t="n">
        <v>22266155</v>
      </c>
      <c r="D4" s="567" t="n">
        <v>-1442794</v>
      </c>
    </row>
    <row r="5" customFormat="false" ht="15" hidden="false" customHeight="false" outlineLevel="0" collapsed="false">
      <c r="B5" s="20" t="s">
        <v>701</v>
      </c>
      <c r="C5" s="566" t="n">
        <v>22257878</v>
      </c>
      <c r="D5" s="567" t="n">
        <v>-1564642</v>
      </c>
    </row>
    <row r="6" customFormat="false" ht="15" hidden="false" customHeight="false" outlineLevel="0" collapsed="false">
      <c r="B6" s="20" t="s">
        <v>702</v>
      </c>
      <c r="C6" s="566" t="n">
        <v>19829382</v>
      </c>
      <c r="D6" s="567" t="n">
        <v>-1682975</v>
      </c>
    </row>
    <row r="7" customFormat="false" ht="15" hidden="false" customHeight="false" outlineLevel="0" collapsed="false">
      <c r="B7" s="20" t="s">
        <v>703</v>
      </c>
      <c r="C7" s="566" t="n">
        <v>23956741</v>
      </c>
      <c r="D7" s="567" t="n">
        <v>-461142</v>
      </c>
    </row>
    <row r="8" customFormat="false" ht="15" hidden="false" customHeight="false" outlineLevel="0" collapsed="false">
      <c r="B8" s="20" t="s">
        <v>704</v>
      </c>
      <c r="C8" s="566" t="n">
        <v>24960945</v>
      </c>
      <c r="D8" s="567" t="n">
        <v>506175</v>
      </c>
    </row>
    <row r="9" customFormat="false" ht="15" hidden="false" customHeight="false" outlineLevel="0" collapsed="false">
      <c r="B9" s="20" t="s">
        <v>705</v>
      </c>
      <c r="C9" s="566" t="n">
        <v>23607420</v>
      </c>
      <c r="D9" s="567" t="n">
        <v>-831418</v>
      </c>
    </row>
    <row r="10" customFormat="false" ht="15" hidden="false" customHeight="false" outlineLevel="0" collapsed="false">
      <c r="B10" s="20" t="s">
        <v>706</v>
      </c>
      <c r="C10" s="566" t="n">
        <v>24531653</v>
      </c>
      <c r="D10" s="567" t="n">
        <v>-409245</v>
      </c>
    </row>
    <row r="11" customFormat="false" ht="15" hidden="false" customHeight="false" outlineLevel="0" collapsed="false">
      <c r="B11" s="20" t="s">
        <v>707</v>
      </c>
      <c r="C11" s="566" t="n">
        <v>23887233</v>
      </c>
      <c r="D11" s="567" t="n">
        <v>-355429</v>
      </c>
    </row>
    <row r="12" customFormat="false" ht="15" hidden="false" customHeight="false" outlineLevel="0" collapsed="false">
      <c r="B12" s="20" t="s">
        <v>708</v>
      </c>
      <c r="C12" s="566" t="n">
        <v>21610851</v>
      </c>
      <c r="D12" s="567" t="n">
        <v>-1714847</v>
      </c>
    </row>
    <row r="13" customFormat="false" ht="15" hidden="false" customHeight="false" outlineLevel="0" collapsed="false">
      <c r="B13" s="20" t="s">
        <v>709</v>
      </c>
      <c r="C13" s="566" t="n">
        <v>25111236</v>
      </c>
      <c r="D13" s="567" t="n">
        <v>-125716</v>
      </c>
    </row>
    <row r="14" customFormat="false" ht="15" hidden="false" customHeight="false" outlineLevel="0" collapsed="false">
      <c r="B14" s="20" t="s">
        <v>710</v>
      </c>
      <c r="C14" s="566" t="n">
        <v>24401127</v>
      </c>
      <c r="D14" s="567" t="n">
        <v>-610456</v>
      </c>
    </row>
    <row r="15" customFormat="false" ht="15" hidden="false" customHeight="false" outlineLevel="0" collapsed="false">
      <c r="B15" s="20" t="s">
        <v>711</v>
      </c>
      <c r="C15" s="566" t="n">
        <v>22873207</v>
      </c>
      <c r="D15" s="567" t="n">
        <v>-2307084</v>
      </c>
      <c r="E15" s="285" t="s">
        <v>712</v>
      </c>
    </row>
    <row r="16" customFormat="false" ht="15" hidden="false" customHeight="false" outlineLevel="0" collapsed="false">
      <c r="B16" s="20" t="s">
        <v>713</v>
      </c>
      <c r="C16" s="566" t="n">
        <v>26813093</v>
      </c>
      <c r="D16" s="567" t="n">
        <v>-862040</v>
      </c>
      <c r="E16" s="285" t="s">
        <v>714</v>
      </c>
    </row>
    <row r="17" customFormat="false" ht="15" hidden="false" customHeight="false" outlineLevel="0" collapsed="false">
      <c r="B17" s="20" t="s">
        <v>715</v>
      </c>
      <c r="C17" s="566" t="n">
        <v>27628835</v>
      </c>
      <c r="D17" s="567" t="n">
        <v>472584</v>
      </c>
    </row>
    <row r="18" customFormat="false" ht="15" hidden="false" customHeight="false" outlineLevel="0" collapsed="false">
      <c r="B18" s="20" t="s">
        <v>716</v>
      </c>
      <c r="C18" s="566" t="n">
        <v>21933707</v>
      </c>
      <c r="D18" s="567" t="n">
        <v>-1693166</v>
      </c>
    </row>
    <row r="20" customFormat="false" ht="15" hidden="false" customHeight="false" outlineLevel="0" collapsed="false">
      <c r="B20" s="20" t="s">
        <v>717</v>
      </c>
      <c r="C20" s="568" t="n">
        <f aca="false">SUM(C4:C15)</f>
        <v>279293828</v>
      </c>
      <c r="D20" s="568" t="n">
        <f aca="false">SUM(D4:D15)</f>
        <v>-10999573</v>
      </c>
    </row>
    <row r="21" customFormat="false" ht="15" hidden="false" customHeight="false" outlineLevel="0" collapsed="false">
      <c r="B21" s="20" t="s">
        <v>718</v>
      </c>
      <c r="C21" s="568" t="n">
        <f aca="false">PL!G11</f>
        <v>279293828</v>
      </c>
      <c r="D21" s="568" t="n">
        <f aca="false">PL!G19</f>
        <v>-10999573</v>
      </c>
    </row>
    <row r="22" customFormat="false" ht="15" hidden="false" customHeight="false" outlineLevel="0" collapsed="false">
      <c r="B22" s="46" t="s">
        <v>719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125" defaultRowHeight="18" zeroHeight="false" outlineLevelRow="0" outlineLevelCol="0"/>
  <sheetData>
    <row r="2" customFormat="false" ht="18" hidden="false" customHeight="false" outlineLevel="0" collapsed="false">
      <c r="B2" s="2" t="s">
        <v>720</v>
      </c>
      <c r="C2" s="2" t="s">
        <v>87</v>
      </c>
      <c r="D2" s="2" t="s">
        <v>92</v>
      </c>
      <c r="E2" s="2" t="s">
        <v>721</v>
      </c>
      <c r="S2" s="2"/>
      <c r="T2" s="2"/>
    </row>
    <row r="3" customFormat="false" ht="18" hidden="false" customHeight="false" outlineLevel="0" collapsed="false">
      <c r="B3" s="569" t="s">
        <v>722</v>
      </c>
      <c r="C3" s="569" t="n">
        <f aca="false">PLハイライト!C4/1000</f>
        <v>357115.426</v>
      </c>
      <c r="D3" s="569" t="n">
        <f aca="false">PLハイライト!C8/1000</f>
        <v>-15142.78</v>
      </c>
      <c r="E3" s="569" t="n">
        <f aca="false">PLハイライト!C37/1000</f>
        <v>-13856.457</v>
      </c>
      <c r="S3" s="569"/>
      <c r="T3" s="569"/>
    </row>
    <row r="4" customFormat="false" ht="18" hidden="false" customHeight="false" outlineLevel="0" collapsed="false">
      <c r="B4" s="569" t="s">
        <v>723</v>
      </c>
      <c r="C4" s="569" t="n">
        <f aca="false">PLハイライト!D4/1000</f>
        <v>245854.292</v>
      </c>
      <c r="D4" s="569" t="n">
        <f aca="false">PLハイライト!D8/1000</f>
        <v>-38606.509</v>
      </c>
      <c r="E4" s="569" t="n">
        <f aca="false">PLハイライト!D37/1000</f>
        <v>-35082.737</v>
      </c>
      <c r="S4" s="569"/>
      <c r="T4" s="569"/>
    </row>
    <row r="5" customFormat="false" ht="18" hidden="false" customHeight="false" outlineLevel="0" collapsed="false">
      <c r="B5" s="569" t="s">
        <v>724</v>
      </c>
      <c r="C5" s="569" t="n">
        <f aca="false">PLハイライト!E4/1000</f>
        <v>279293.828</v>
      </c>
      <c r="D5" s="569" t="n">
        <f aca="false">PLハイライト!E8/1000</f>
        <v>-10999.573</v>
      </c>
      <c r="E5" s="569" t="n">
        <f aca="false">PLハイライト!E37/1000</f>
        <v>-9549.049</v>
      </c>
      <c r="S5" s="569"/>
      <c r="T5" s="569"/>
    </row>
    <row r="6" customFormat="false" ht="18" hidden="false" customHeight="false" outlineLevel="0" collapsed="false">
      <c r="B6" s="569"/>
      <c r="C6" s="569"/>
      <c r="D6" s="569"/>
      <c r="E6" s="569"/>
      <c r="S6" s="569"/>
      <c r="T6" s="569"/>
    </row>
    <row r="8" customFormat="false" ht="18" hidden="false" customHeight="false" outlineLevel="0" collapsed="false">
      <c r="B8" s="570" t="s">
        <v>572</v>
      </c>
      <c r="C8" s="0" t="s">
        <v>722</v>
      </c>
      <c r="D8" s="0" t="s">
        <v>723</v>
      </c>
      <c r="E8" s="0" t="s">
        <v>724</v>
      </c>
    </row>
    <row r="9" customFormat="false" ht="18" hidden="false" customHeight="false" outlineLevel="0" collapsed="false">
      <c r="B9" s="570" t="s">
        <v>83</v>
      </c>
      <c r="C9" s="0" t="n">
        <f aca="false">PL!C5/1000</f>
        <v>173684.305</v>
      </c>
      <c r="D9" s="0" t="n">
        <f aca="false">PL!E5/1000</f>
        <v>208996.36</v>
      </c>
      <c r="E9" s="0" t="n">
        <f aca="false">PL!G5/1000</f>
        <v>209138.985</v>
      </c>
    </row>
    <row r="10" customFormat="false" ht="18" hidden="false" customHeight="false" outlineLevel="0" collapsed="false">
      <c r="B10" s="570" t="s">
        <v>84</v>
      </c>
      <c r="C10" s="0" t="n">
        <f aca="false">PL!C6/1000</f>
        <v>76514.123</v>
      </c>
      <c r="D10" s="0" t="n">
        <f aca="false">PL!E6/1000</f>
        <v>20901.148</v>
      </c>
      <c r="E10" s="0" t="n">
        <f aca="false">PL!G6/1000</f>
        <v>34050.269</v>
      </c>
    </row>
    <row r="11" customFormat="false" ht="18" hidden="false" customHeight="false" outlineLevel="0" collapsed="false">
      <c r="B11" s="570" t="s">
        <v>85</v>
      </c>
      <c r="C11" s="0" t="n">
        <f aca="false">PL!C7/1000</f>
        <v>99178.894</v>
      </c>
      <c r="D11" s="0" t="n">
        <f aca="false">PL!E7/1000</f>
        <v>14709.6</v>
      </c>
      <c r="E11" s="0" t="n">
        <f aca="false">PL!G7/1000</f>
        <v>36104.574</v>
      </c>
    </row>
    <row r="12" customFormat="false" ht="18" hidden="false" customHeight="false" outlineLevel="0" collapsed="false">
      <c r="B12" s="570" t="s">
        <v>86</v>
      </c>
      <c r="C12" s="0" t="n">
        <f aca="false">PL!C8/1000</f>
        <v>7738.104</v>
      </c>
      <c r="D12" s="0" t="n">
        <f aca="false">PL!E8/1000</f>
        <v>1247.184</v>
      </c>
      <c r="E12" s="0" t="n">
        <f aca="false">PL!G8/1000</f>
        <v>0</v>
      </c>
    </row>
    <row r="16" customFormat="false" ht="18" hidden="false" customHeight="false" outlineLevel="0" collapsed="false">
      <c r="AF16" s="569"/>
    </row>
    <row r="18" customFormat="false" ht="18" hidden="false" customHeight="false" outlineLevel="0" collapsed="false">
      <c r="B18" s="569"/>
      <c r="C18" s="569"/>
      <c r="D18" s="569"/>
      <c r="E18" s="569"/>
    </row>
    <row r="19" customFormat="false" ht="18" hidden="false" customHeight="false" outlineLevel="0" collapsed="false">
      <c r="B19" s="569"/>
      <c r="C19" s="569"/>
      <c r="D19" s="569"/>
      <c r="E19" s="569"/>
      <c r="S19" s="569"/>
      <c r="T19" s="569"/>
    </row>
    <row r="20" customFormat="false" ht="18" hidden="false" customHeight="false" outlineLevel="0" collapsed="false">
      <c r="B20" s="569"/>
      <c r="C20" s="569"/>
      <c r="D20" s="569"/>
      <c r="E20" s="569"/>
      <c r="S20" s="569"/>
      <c r="T20" s="569"/>
    </row>
    <row r="21" customFormat="false" ht="18" hidden="false" customHeight="false" outlineLevel="0" collapsed="false">
      <c r="B21" s="569"/>
      <c r="C21" s="569"/>
      <c r="D21" s="569"/>
      <c r="E21" s="569"/>
      <c r="S21" s="569"/>
      <c r="T21" s="569"/>
    </row>
    <row r="22" customFormat="false" ht="18" hidden="false" customHeight="false" outlineLevel="0" collapsed="false">
      <c r="B22" s="569"/>
      <c r="C22" s="569"/>
      <c r="D22" s="569"/>
      <c r="E22" s="569"/>
      <c r="S22" s="569"/>
      <c r="T22" s="569"/>
    </row>
    <row r="23" customFormat="false" ht="18" hidden="false" customHeight="false" outlineLevel="0" collapsed="false">
      <c r="B23" s="569"/>
      <c r="C23" s="569"/>
      <c r="D23" s="569"/>
      <c r="E23" s="569"/>
      <c r="S23" s="569"/>
      <c r="T23" s="569"/>
    </row>
    <row r="33" customFormat="false" ht="18" hidden="false" customHeight="false" outlineLevel="0" collapsed="false">
      <c r="B33" s="569"/>
      <c r="C33" s="569"/>
    </row>
    <row r="34" customFormat="false" ht="18" hidden="false" customHeight="false" outlineLevel="0" collapsed="false">
      <c r="B34" s="569"/>
      <c r="C34" s="569"/>
    </row>
    <row r="35" customFormat="false" ht="18" hidden="false" customHeight="false" outlineLevel="0" collapsed="false">
      <c r="B35" s="569"/>
      <c r="C35" s="569"/>
    </row>
    <row r="36" customFormat="false" ht="18" hidden="false" customHeight="false" outlineLevel="0" collapsed="false">
      <c r="B36" s="569"/>
      <c r="C36" s="569"/>
    </row>
    <row r="37" customFormat="false" ht="18" hidden="false" customHeight="false" outlineLevel="0" collapsed="false">
      <c r="B37" s="569"/>
      <c r="C37" s="569"/>
    </row>
    <row r="51" customFormat="false" ht="18" hidden="false" customHeight="false" outlineLevel="0" collapsed="false">
      <c r="B51" s="569"/>
      <c r="C51" s="569"/>
      <c r="D51" s="569"/>
      <c r="E51" s="569"/>
    </row>
    <row r="52" customFormat="false" ht="18" hidden="false" customHeight="false" outlineLevel="0" collapsed="false">
      <c r="B52" s="569"/>
      <c r="C52" s="569"/>
      <c r="D52" s="569"/>
      <c r="E52" s="569"/>
    </row>
    <row r="53" customFormat="false" ht="18" hidden="false" customHeight="false" outlineLevel="0" collapsed="false">
      <c r="B53" s="569"/>
      <c r="C53" s="569"/>
      <c r="D53" s="569"/>
      <c r="E53" s="569"/>
    </row>
    <row r="54" customFormat="false" ht="18" hidden="false" customHeight="false" outlineLevel="0" collapsed="false">
      <c r="B54" s="569"/>
      <c r="C54" s="569"/>
      <c r="D54" s="569"/>
      <c r="E54" s="569"/>
    </row>
    <row r="55" customFormat="false" ht="18" hidden="false" customHeight="false" outlineLevel="0" collapsed="false">
      <c r="B55" s="569"/>
      <c r="C55" s="569"/>
      <c r="D55" s="569"/>
      <c r="E55" s="56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125" defaultRowHeight="18" zeroHeight="false" outlineLevelRow="0" outlineLevelCol="0"/>
  <cols>
    <col collapsed="false" customWidth="true" hidden="false" outlineLevel="0" max="5" min="2" style="20" width="16.09"/>
    <col collapsed="false" customWidth="true" hidden="false" outlineLevel="0" max="6" min="6" style="20" width="55.5"/>
  </cols>
  <sheetData>
    <row r="2" customFormat="false" ht="19.5" hidden="false" customHeight="true" outlineLevel="0" collapsed="false">
      <c r="B2" s="62" t="s">
        <v>725</v>
      </c>
      <c r="C2" s="79" t="s">
        <v>725</v>
      </c>
      <c r="D2" s="79" t="s">
        <v>725</v>
      </c>
      <c r="E2" s="79" t="s">
        <v>725</v>
      </c>
      <c r="F2" s="198" t="s">
        <v>725</v>
      </c>
    </row>
    <row r="3" customFormat="false" ht="22.5" hidden="false" customHeight="true" outlineLevel="0" collapsed="false">
      <c r="B3" s="253" t="s">
        <v>726</v>
      </c>
      <c r="C3" s="468" t="s">
        <v>727</v>
      </c>
      <c r="D3" s="468" t="s">
        <v>727</v>
      </c>
      <c r="E3" s="468" t="s">
        <v>727</v>
      </c>
      <c r="F3" s="469" t="s">
        <v>728</v>
      </c>
    </row>
    <row r="4" customFormat="false" ht="22.5" hidden="false" customHeight="true" outlineLevel="0" collapsed="false">
      <c r="B4" s="164" t="s">
        <v>726</v>
      </c>
      <c r="C4" s="442" t="s">
        <v>727</v>
      </c>
      <c r="D4" s="442" t="s">
        <v>727</v>
      </c>
      <c r="E4" s="512" t="s">
        <v>727</v>
      </c>
      <c r="F4" s="476" t="s">
        <v>728</v>
      </c>
    </row>
    <row r="5" customFormat="false" ht="22.5" hidden="false" customHeight="true" outlineLevel="0" collapsed="false">
      <c r="B5" s="164" t="s">
        <v>726</v>
      </c>
      <c r="C5" s="442" t="s">
        <v>727</v>
      </c>
      <c r="D5" s="442" t="s">
        <v>727</v>
      </c>
      <c r="E5" s="512" t="s">
        <v>727</v>
      </c>
      <c r="F5" s="507" t="s">
        <v>728</v>
      </c>
    </row>
    <row r="6" customFormat="false" ht="22.5" hidden="false" customHeight="true" outlineLevel="0" collapsed="false">
      <c r="B6" s="164" t="s">
        <v>726</v>
      </c>
      <c r="C6" s="442" t="s">
        <v>727</v>
      </c>
      <c r="D6" s="442" t="s">
        <v>727</v>
      </c>
      <c r="E6" s="512" t="s">
        <v>727</v>
      </c>
      <c r="F6" s="507" t="s">
        <v>728</v>
      </c>
    </row>
    <row r="7" customFormat="false" ht="22.5" hidden="false" customHeight="true" outlineLevel="0" collapsed="false">
      <c r="B7" s="164" t="s">
        <v>726</v>
      </c>
      <c r="C7" s="442" t="s">
        <v>727</v>
      </c>
      <c r="D7" s="442" t="s">
        <v>727</v>
      </c>
      <c r="E7" s="512" t="s">
        <v>727</v>
      </c>
      <c r="F7" s="507" t="s">
        <v>728</v>
      </c>
    </row>
    <row r="8" customFormat="false" ht="22.5" hidden="false" customHeight="true" outlineLevel="0" collapsed="false">
      <c r="B8" s="164" t="s">
        <v>726</v>
      </c>
      <c r="C8" s="442" t="s">
        <v>727</v>
      </c>
      <c r="D8" s="442" t="s">
        <v>727</v>
      </c>
      <c r="E8" s="512" t="s">
        <v>727</v>
      </c>
      <c r="F8" s="507" t="s">
        <v>728</v>
      </c>
    </row>
    <row r="11" customFormat="false" ht="19.5" hidden="false" customHeight="true" outlineLevel="0" collapsed="false">
      <c r="B11" s="62" t="s">
        <v>725</v>
      </c>
      <c r="C11" s="79" t="s">
        <v>725</v>
      </c>
      <c r="D11" s="79" t="s">
        <v>725</v>
      </c>
      <c r="E11" s="79" t="s">
        <v>725</v>
      </c>
      <c r="F11" s="198" t="s">
        <v>725</v>
      </c>
    </row>
    <row r="12" customFormat="false" ht="19.5" hidden="false" customHeight="true" outlineLevel="0" collapsed="false">
      <c r="B12" s="571" t="s">
        <v>726</v>
      </c>
      <c r="C12" s="572" t="s">
        <v>727</v>
      </c>
      <c r="D12" s="572" t="s">
        <v>727</v>
      </c>
      <c r="E12" s="573" t="s">
        <v>727</v>
      </c>
      <c r="F12" s="574" t="s">
        <v>728</v>
      </c>
    </row>
    <row r="13" customFormat="false" ht="19.5" hidden="false" customHeight="true" outlineLevel="0" collapsed="false">
      <c r="B13" s="571"/>
      <c r="C13" s="442" t="s">
        <v>727</v>
      </c>
      <c r="D13" s="442" t="s">
        <v>727</v>
      </c>
      <c r="E13" s="575" t="s">
        <v>727</v>
      </c>
      <c r="F13" s="476" t="s">
        <v>728</v>
      </c>
    </row>
    <row r="14" customFormat="false" ht="19.5" hidden="false" customHeight="true" outlineLevel="0" collapsed="false">
      <c r="B14" s="164" t="s">
        <v>726</v>
      </c>
      <c r="C14" s="576" t="s">
        <v>727</v>
      </c>
      <c r="D14" s="576" t="s">
        <v>727</v>
      </c>
      <c r="E14" s="576" t="s">
        <v>727</v>
      </c>
      <c r="F14" s="577" t="s">
        <v>728</v>
      </c>
    </row>
    <row r="15" customFormat="false" ht="19.5" hidden="false" customHeight="true" outlineLevel="0" collapsed="false">
      <c r="B15" s="164"/>
      <c r="C15" s="442" t="s">
        <v>727</v>
      </c>
      <c r="D15" s="442" t="s">
        <v>727</v>
      </c>
      <c r="E15" s="442" t="s">
        <v>727</v>
      </c>
      <c r="F15" s="507" t="s">
        <v>728</v>
      </c>
    </row>
    <row r="16" customFormat="false" ht="19.5" hidden="false" customHeight="true" outlineLevel="0" collapsed="false">
      <c r="B16" s="164" t="s">
        <v>726</v>
      </c>
      <c r="C16" s="576" t="s">
        <v>727</v>
      </c>
      <c r="D16" s="576" t="s">
        <v>727</v>
      </c>
      <c r="E16" s="576" t="s">
        <v>727</v>
      </c>
      <c r="F16" s="577" t="s">
        <v>728</v>
      </c>
    </row>
    <row r="17" customFormat="false" ht="19.5" hidden="false" customHeight="true" outlineLevel="0" collapsed="false">
      <c r="B17" s="164"/>
      <c r="C17" s="442" t="s">
        <v>727</v>
      </c>
      <c r="D17" s="442" t="s">
        <v>727</v>
      </c>
      <c r="E17" s="442" t="s">
        <v>727</v>
      </c>
      <c r="F17" s="507" t="s">
        <v>728</v>
      </c>
    </row>
    <row r="20" customFormat="false" ht="19.5" hidden="false" customHeight="true" outlineLevel="0" collapsed="false">
      <c r="B20" s="62" t="s">
        <v>725</v>
      </c>
      <c r="C20" s="79" t="s">
        <v>725</v>
      </c>
      <c r="D20" s="578" t="s">
        <v>725</v>
      </c>
      <c r="E20" s="79" t="s">
        <v>725</v>
      </c>
    </row>
    <row r="21" customFormat="false" ht="18" hidden="false" customHeight="false" outlineLevel="0" collapsed="false">
      <c r="B21" s="571" t="s">
        <v>726</v>
      </c>
      <c r="C21" s="579" t="s">
        <v>727</v>
      </c>
      <c r="D21" s="580" t="s">
        <v>727</v>
      </c>
      <c r="E21" s="581" t="s">
        <v>727</v>
      </c>
    </row>
    <row r="22" customFormat="false" ht="18" hidden="false" customHeight="false" outlineLevel="0" collapsed="false">
      <c r="B22" s="571"/>
      <c r="C22" s="582" t="s">
        <v>727</v>
      </c>
      <c r="D22" s="583" t="s">
        <v>727</v>
      </c>
      <c r="E22" s="584" t="s">
        <v>727</v>
      </c>
    </row>
    <row r="23" customFormat="false" ht="18" hidden="false" customHeight="false" outlineLevel="0" collapsed="false">
      <c r="B23" s="164" t="s">
        <v>726</v>
      </c>
      <c r="C23" s="585" t="s">
        <v>727</v>
      </c>
      <c r="D23" s="586" t="s">
        <v>727</v>
      </c>
      <c r="E23" s="587" t="s">
        <v>727</v>
      </c>
    </row>
    <row r="24" customFormat="false" ht="18" hidden="false" customHeight="false" outlineLevel="0" collapsed="false">
      <c r="B24" s="164"/>
      <c r="C24" s="588" t="s">
        <v>727</v>
      </c>
      <c r="D24" s="589" t="s">
        <v>727</v>
      </c>
      <c r="E24" s="590" t="s">
        <v>727</v>
      </c>
    </row>
    <row r="25" customFormat="false" ht="18" hidden="false" customHeight="false" outlineLevel="0" collapsed="false">
      <c r="B25" s="164" t="s">
        <v>726</v>
      </c>
      <c r="C25" s="591" t="s">
        <v>727</v>
      </c>
      <c r="D25" s="592" t="s">
        <v>727</v>
      </c>
      <c r="E25" s="593" t="s">
        <v>727</v>
      </c>
    </row>
    <row r="26" customFormat="false" ht="18" hidden="false" customHeight="true" outlineLevel="0" collapsed="false">
      <c r="B26" s="164"/>
      <c r="C26" s="582" t="s">
        <v>727</v>
      </c>
      <c r="D26" s="594" t="s">
        <v>727</v>
      </c>
      <c r="E26" s="590" t="s">
        <v>727</v>
      </c>
    </row>
    <row r="27" customFormat="false" ht="18" hidden="false" customHeight="true" outlineLevel="0" collapsed="false">
      <c r="D27" s="595"/>
    </row>
    <row r="29" customFormat="false" ht="19.5" hidden="false" customHeight="true" outlineLevel="0" collapsed="false">
      <c r="B29" s="62" t="s">
        <v>725</v>
      </c>
      <c r="C29" s="79" t="s">
        <v>725</v>
      </c>
      <c r="D29" s="79" t="s">
        <v>725</v>
      </c>
      <c r="E29" s="79" t="s">
        <v>725</v>
      </c>
    </row>
    <row r="30" customFormat="false" ht="18" hidden="false" customHeight="false" outlineLevel="0" collapsed="false">
      <c r="B30" s="571" t="s">
        <v>726</v>
      </c>
      <c r="C30" s="572" t="s">
        <v>727</v>
      </c>
      <c r="D30" s="572" t="s">
        <v>727</v>
      </c>
      <c r="E30" s="573" t="s">
        <v>727</v>
      </c>
    </row>
    <row r="31" customFormat="false" ht="18" hidden="false" customHeight="false" outlineLevel="0" collapsed="false">
      <c r="B31" s="571"/>
      <c r="C31" s="442" t="s">
        <v>727</v>
      </c>
      <c r="D31" s="442" t="s">
        <v>727</v>
      </c>
      <c r="E31" s="575" t="s">
        <v>727</v>
      </c>
    </row>
    <row r="32" customFormat="false" ht="18" hidden="false" customHeight="false" outlineLevel="0" collapsed="false">
      <c r="B32" s="596" t="s">
        <v>726</v>
      </c>
      <c r="C32" s="576" t="s">
        <v>727</v>
      </c>
      <c r="D32" s="576" t="s">
        <v>727</v>
      </c>
      <c r="E32" s="576" t="s">
        <v>727</v>
      </c>
    </row>
    <row r="33" customFormat="false" ht="18" hidden="false" customHeight="true" outlineLevel="0" collapsed="false">
      <c r="B33" s="596"/>
      <c r="C33" s="597" t="s">
        <v>727</v>
      </c>
      <c r="D33" s="597" t="s">
        <v>727</v>
      </c>
      <c r="E33" s="597" t="s">
        <v>727</v>
      </c>
    </row>
    <row r="34" customFormat="false" ht="18" hidden="false" customHeight="true" outlineLevel="0" collapsed="false">
      <c r="B34" s="598" t="s">
        <v>726</v>
      </c>
      <c r="C34" s="599" t="s">
        <v>727</v>
      </c>
      <c r="D34" s="599" t="s">
        <v>727</v>
      </c>
      <c r="E34" s="600" t="s">
        <v>727</v>
      </c>
      <c r="F34" s="601"/>
    </row>
    <row r="35" customFormat="false" ht="18" hidden="false" customHeight="true" outlineLevel="0" collapsed="false">
      <c r="B35" s="598"/>
      <c r="C35" s="602" t="s">
        <v>727</v>
      </c>
      <c r="D35" s="602" t="s">
        <v>727</v>
      </c>
      <c r="E35" s="603" t="s">
        <v>727</v>
      </c>
      <c r="F35" s="601"/>
    </row>
    <row r="36" customFormat="false" ht="18" hidden="false" customHeight="true" outlineLevel="0" collapsed="false">
      <c r="B36" s="595"/>
      <c r="C36" s="595"/>
      <c r="D36" s="595"/>
      <c r="E36" s="595"/>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2026-10-29T11:36:57Z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