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10.245.10.26\ma承継\【MA承継様】本番稼働\2026年\7月\260728\田垣内_ミドリメディカル\"/>
    </mc:Choice>
  </mc:AlternateContent>
  <xr:revisionPtr revIDLastSave="0" documentId="13_ncr:1_{EAE35263-A02E-4556-A455-D97901C85A8E}" xr6:coauthVersionLast="47" xr6:coauthVersionMax="47" xr10:uidLastSave="{00000000-0000-0000-0000-000000000000}"/>
  <bookViews>
    <workbookView xWindow="8850" yWindow="360" windowWidth="19950" windowHeight="15045" tabRatio="739" activeTab="2" xr2:uid="{393CAD1E-7125-4900-810A-E34A230E0940}"/>
  </bookViews>
  <sheets>
    <sheet name="ルール" sheetId="60" r:id="rId1"/>
    <sheet name="財務入力→" sheetId="7" r:id="rId2"/>
    <sheet name="BS(借方)" sheetId="35" r:id="rId3"/>
    <sheet name="BS (貸方)" sheetId="59" r:id="rId4"/>
    <sheet name="PL" sheetId="37" r:id="rId5"/>
    <sheet name="CR" sheetId="38" r:id="rId6"/>
    <sheet name="SGA" sheetId="39" r:id="rId7"/>
    <sheet name="VR→ " sheetId="36" r:id="rId8"/>
    <sheet name="株式価値 " sheetId="61" r:id="rId9"/>
    <sheet name="修正BS(借方)" sheetId="40" r:id="rId10"/>
    <sheet name="売掛・棚卸" sheetId="44" r:id="rId11"/>
    <sheet name="減価償却" sheetId="47" r:id="rId12"/>
    <sheet name="土地" sheetId="48" r:id="rId13"/>
    <sheet name="保険" sheetId="50" r:id="rId14"/>
    <sheet name="有価証券" sheetId="49" r:id="rId15"/>
    <sheet name="修正BS(貸方) " sheetId="46" r:id="rId16"/>
    <sheet name="未払人件費・賞与" sheetId="51" r:id="rId17"/>
    <sheet name="退職金" sheetId="52" r:id="rId18"/>
    <sheet name="税効果" sheetId="53" r:id="rId19"/>
    <sheet name="ネットキャッシュ" sheetId="55" r:id="rId20"/>
    <sheet name="修正PL" sheetId="41" r:id="rId21"/>
    <sheet name="修正SGA" sheetId="43" r:id="rId22"/>
    <sheet name="修正CR" sheetId="42" r:id="rId23"/>
    <sheet name="年買法" sheetId="56" r:id="rId24"/>
    <sheet name="EV EBITDAマルチプル" sheetId="1" r:id="rId25"/>
    <sheet name="参照企業" sheetId="57" r:id="rId26"/>
    <sheet name="IM→" sheetId="6" r:id="rId27"/>
    <sheet name="会社概要" sheetId="10" r:id="rId28"/>
    <sheet name="PLハイライト" sheetId="25" r:id="rId29"/>
    <sheet name="BSハイライト" sheetId="24" r:id="rId30"/>
    <sheet name="取引先" sheetId="26" r:id="rId31"/>
    <sheet name="仕入先" sheetId="27" r:id="rId32"/>
    <sheet name="外注先" sheetId="28" r:id="rId33"/>
    <sheet name="株主" sheetId="29" r:id="rId34"/>
    <sheet name="取締役" sheetId="30" r:id="rId35"/>
    <sheet name="従業員" sheetId="18" r:id="rId36"/>
    <sheet name="拠点(本社等)" sheetId="19" r:id="rId37"/>
    <sheet name="不動産(所有)" sheetId="20" r:id="rId38"/>
    <sheet name="不動産(賃借) " sheetId="31" r:id="rId39"/>
    <sheet name="設備" sheetId="21" r:id="rId40"/>
    <sheet name="財務" sheetId="23" r:id="rId41"/>
    <sheet name="その他" sheetId="8" r:id="rId42"/>
    <sheet name="スケジュール(横)" sheetId="62" r:id="rId43"/>
    <sheet name="スケジュール(縦)" sheetId="63" r:id="rId44"/>
    <sheet name="グラフ" sheetId="2" r:id="rId45"/>
    <sheet name="表" sheetId="3" r:id="rId46"/>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<sst xmlns="http://schemas.openxmlformats.org/spreadsheetml/2006/main" count="1316" uniqueCount="557">
  <si>
    <t>相手先</t>
  </si>
  <si>
    <t>帳簿価額</t>
  </si>
  <si>
    <t>評価差額</t>
  </si>
  <si>
    <t>評価額</t>
    <rPh sb="0" eb="3">
      <t>ヒョウカガク</t>
    </rPh>
    <phoneticPr fontId="1"/>
  </si>
  <si>
    <t>粉飾につき全額控除する</t>
  </si>
  <si>
    <t>合計</t>
  </si>
  <si>
    <t>経営状態が悪く、半年以上回収できていないため債権金額の50％を評価額とする。</t>
    <phoneticPr fontId="1"/>
  </si>
  <si>
    <t xml:space="preserve"> </t>
  </si>
  <si>
    <t>A</t>
  </si>
  <si>
    <t>B</t>
  </si>
  <si>
    <t>C</t>
  </si>
  <si>
    <t>第1四半期</t>
    <rPh sb="0" eb="1">
      <t>ダイ</t>
    </rPh>
    <rPh sb="2" eb="5">
      <t>シハンキ</t>
    </rPh>
    <phoneticPr fontId="1"/>
  </si>
  <si>
    <t>第2四半期</t>
    <rPh sb="0" eb="1">
      <t>ダイ</t>
    </rPh>
    <rPh sb="2" eb="5">
      <t>シハンキ</t>
    </rPh>
    <phoneticPr fontId="1"/>
  </si>
  <si>
    <t>第3四半期</t>
    <rPh sb="0" eb="1">
      <t>ダイ</t>
    </rPh>
    <rPh sb="2" eb="5">
      <t>シハンキ</t>
    </rPh>
    <phoneticPr fontId="1"/>
  </si>
  <si>
    <t>第4四半期</t>
    <rPh sb="0" eb="1">
      <t>ダイ</t>
    </rPh>
    <rPh sb="2" eb="5">
      <t>シハンキ</t>
    </rPh>
    <phoneticPr fontId="1"/>
  </si>
  <si>
    <t>1ヶ月目</t>
    <rPh sb="2" eb="4">
      <t>ゲツメ</t>
    </rPh>
    <phoneticPr fontId="1"/>
  </si>
  <si>
    <t>2ヶ月目</t>
    <rPh sb="2" eb="3">
      <t>ゲツ</t>
    </rPh>
    <rPh sb="3" eb="4">
      <t>メ</t>
    </rPh>
    <phoneticPr fontId="1"/>
  </si>
  <si>
    <t>3か月目</t>
    <rPh sb="2" eb="4">
      <t>ゲツメ</t>
    </rPh>
    <phoneticPr fontId="1"/>
  </si>
  <si>
    <t>4か月目</t>
    <rPh sb="2" eb="4">
      <t>ゲツメ</t>
    </rPh>
    <phoneticPr fontId="1"/>
  </si>
  <si>
    <t>5か月目</t>
    <rPh sb="2" eb="4">
      <t>ゲツメ</t>
    </rPh>
    <phoneticPr fontId="1"/>
  </si>
  <si>
    <t>グラフタイトル</t>
  </si>
  <si>
    <t>D</t>
  </si>
  <si>
    <t>X</t>
  </si>
  <si>
    <t>Y</t>
  </si>
  <si>
    <t>Z</t>
  </si>
  <si>
    <t>ｂ</t>
    <phoneticPr fontId="1"/>
  </si>
  <si>
    <t>あああ</t>
    <phoneticPr fontId="1"/>
  </si>
  <si>
    <t>あああああ</t>
    <phoneticPr fontId="1"/>
  </si>
  <si>
    <t>XXXXX</t>
    <phoneticPr fontId="1"/>
  </si>
  <si>
    <t>ああああああああああああああああああああああああああああああああ</t>
    <phoneticPr fontId="1"/>
  </si>
  <si>
    <t>項目</t>
    <rPh sb="0" eb="2">
      <t>コウモク</t>
    </rPh>
    <phoneticPr fontId="1"/>
  </si>
  <si>
    <t>内容</t>
    <rPh sb="0" eb="2">
      <t>ナイヨウ</t>
    </rPh>
    <phoneticPr fontId="1"/>
  </si>
  <si>
    <t>本社所在地</t>
    <rPh sb="0" eb="2">
      <t>ホンシャ</t>
    </rPh>
    <rPh sb="2" eb="5">
      <t>ショザイチ</t>
    </rPh>
    <phoneticPr fontId="1"/>
  </si>
  <si>
    <t>その他拠点</t>
    <rPh sb="2" eb="3">
      <t>タ</t>
    </rPh>
    <rPh sb="3" eb="5">
      <t>キョテン</t>
    </rPh>
    <phoneticPr fontId="1"/>
  </si>
  <si>
    <t>設立/創業</t>
    <rPh sb="0" eb="2">
      <t>セツリツ</t>
    </rPh>
    <rPh sb="3" eb="5">
      <t>ソウギョウ</t>
    </rPh>
    <phoneticPr fontId="1"/>
  </si>
  <si>
    <t>資本金</t>
    <rPh sb="0" eb="3">
      <t>シホンキン</t>
    </rPh>
    <phoneticPr fontId="1"/>
  </si>
  <si>
    <t>代表者</t>
    <rPh sb="0" eb="3">
      <t>ダイヒョウシャ</t>
    </rPh>
    <phoneticPr fontId="1"/>
  </si>
  <si>
    <t>株主</t>
    <rPh sb="0" eb="2">
      <t>カブヌシ</t>
    </rPh>
    <phoneticPr fontId="1"/>
  </si>
  <si>
    <t>事業内容</t>
    <rPh sb="0" eb="4">
      <t>ジギョウナイヨウ</t>
    </rPh>
    <phoneticPr fontId="1"/>
  </si>
  <si>
    <t>売上高</t>
    <rPh sb="0" eb="3">
      <t>ウリアゲダカ</t>
    </rPh>
    <phoneticPr fontId="1"/>
  </si>
  <si>
    <t>会社名</t>
    <rPh sb="0" eb="3">
      <t>カイシャメイ</t>
    </rPh>
    <phoneticPr fontId="1"/>
  </si>
  <si>
    <t>従業員数</t>
    <rPh sb="0" eb="4">
      <t>ジュウギョウインスウ</t>
    </rPh>
    <phoneticPr fontId="1"/>
  </si>
  <si>
    <t>譲渡理由</t>
    <rPh sb="0" eb="4">
      <t>ジョウトリユウ</t>
    </rPh>
    <phoneticPr fontId="1"/>
  </si>
  <si>
    <t>株式会社●●●（http:・・・・・）</t>
    <rPh sb="0" eb="4">
      <t>カ</t>
    </rPh>
    <phoneticPr fontId="1"/>
  </si>
  <si>
    <t>●● ●●</t>
    <phoneticPr fontId="1"/>
  </si>
  <si>
    <t>●● ●●（●●株/●●％）、●● ●●（●●株/●●％）、
●● ●●（●●株/●●％）、●● ●●（●●株/●●％）</t>
    <rPh sb="8" eb="9">
      <t>カブ</t>
    </rPh>
    <phoneticPr fontId="1"/>
  </si>
  <si>
    <t>●●●</t>
    <phoneticPr fontId="1"/>
  </si>
  <si>
    <t>●●名（XXXXX年XX月時点）</t>
    <rPh sb="2" eb="3">
      <t>メイ</t>
    </rPh>
    <rPh sb="13" eb="15">
      <t>ジテン</t>
    </rPh>
    <phoneticPr fontId="1"/>
  </si>
  <si>
    <t>●●</t>
    <phoneticPr fontId="1"/>
  </si>
  <si>
    <t>調整後EBITDA</t>
    <rPh sb="0" eb="3">
      <t>チョウセイゴ</t>
    </rPh>
    <phoneticPr fontId="1"/>
  </si>
  <si>
    <t>前期比</t>
    <rPh sb="0" eb="3">
      <t>ゼンキヒ</t>
    </rPh>
    <phoneticPr fontId="1"/>
  </si>
  <si>
    <t>売上高</t>
    <rPh sb="0" eb="2">
      <t>ウリアゲ</t>
    </rPh>
    <rPh sb="2" eb="3">
      <t>タカ</t>
    </rPh>
    <phoneticPr fontId="1"/>
  </si>
  <si>
    <t>売上総利益</t>
    <rPh sb="0" eb="2">
      <t>ウリアゲ</t>
    </rPh>
    <rPh sb="2" eb="5">
      <t>ソウリエキ</t>
    </rPh>
    <phoneticPr fontId="1"/>
  </si>
  <si>
    <t>利益率</t>
    <rPh sb="0" eb="3">
      <t>リエキリツ</t>
    </rPh>
    <phoneticPr fontId="1"/>
  </si>
  <si>
    <t>経常利益</t>
    <rPh sb="0" eb="4">
      <t>ケイジョウリエキ</t>
    </rPh>
    <phoneticPr fontId="1"/>
  </si>
  <si>
    <t>関数組み込みたい</t>
    <rPh sb="0" eb="2">
      <t>カンスウ</t>
    </rPh>
    <rPh sb="2" eb="3">
      <t>ク</t>
    </rPh>
    <rPh sb="4" eb="5">
      <t>コ</t>
    </rPh>
    <phoneticPr fontId="1"/>
  </si>
  <si>
    <t>-</t>
    <phoneticPr fontId="1"/>
  </si>
  <si>
    <t>進行期(●月TB)</t>
    <rPh sb="0" eb="2">
      <t>シンコウ</t>
    </rPh>
    <rPh sb="2" eb="3">
      <t>キ</t>
    </rPh>
    <rPh sb="5" eb="6">
      <t>ガツ</t>
    </rPh>
    <phoneticPr fontId="1"/>
  </si>
  <si>
    <t>減価償却費</t>
    <rPh sb="0" eb="4">
      <t>ゲンカショウキャク</t>
    </rPh>
    <rPh sb="4" eb="5">
      <t>ヒ</t>
    </rPh>
    <phoneticPr fontId="1"/>
  </si>
  <si>
    <t>買取予定不動産の賃料</t>
    <rPh sb="0" eb="4">
      <t>カイトリヨテイ</t>
    </rPh>
    <rPh sb="4" eb="7">
      <t>フドウサン</t>
    </rPh>
    <rPh sb="8" eb="10">
      <t>チンリョウ</t>
    </rPh>
    <phoneticPr fontId="1"/>
  </si>
  <si>
    <t>削減可能な雑費</t>
    <rPh sb="0" eb="4">
      <t>サクゲンカノウ</t>
    </rPh>
    <rPh sb="5" eb="7">
      <t>ザッピ</t>
    </rPh>
    <phoneticPr fontId="1"/>
  </si>
  <si>
    <t>削減可能な会議費</t>
    <rPh sb="0" eb="4">
      <t>サクゲンカノウ</t>
    </rPh>
    <rPh sb="5" eb="8">
      <t>カイギヒ</t>
    </rPh>
    <phoneticPr fontId="1"/>
  </si>
  <si>
    <t>XXXXX、
XXXXX、
XXXXX、</t>
    <phoneticPr fontId="1"/>
  </si>
  <si>
    <t>XXXXX年XX月（第XX期）</t>
    <rPh sb="5" eb="6">
      <t>ネン</t>
    </rPh>
    <rPh sb="8" eb="9">
      <t>ガツ</t>
    </rPh>
    <rPh sb="10" eb="11">
      <t>ダイ</t>
    </rPh>
    <rPh sb="13" eb="14">
      <t>キ</t>
    </rPh>
    <phoneticPr fontId="1"/>
  </si>
  <si>
    <t>XXX千円</t>
    <rPh sb="3" eb="5">
      <t>センエン</t>
    </rPh>
    <phoneticPr fontId="1"/>
  </si>
  <si>
    <t>●●●千円（XXXXX年XX月期）</t>
    <rPh sb="3" eb="5">
      <t>センエン</t>
    </rPh>
    <rPh sb="15" eb="16">
      <t>キ</t>
    </rPh>
    <phoneticPr fontId="1"/>
  </si>
  <si>
    <t>(単位：千円)</t>
    <rPh sb="1" eb="3">
      <t>タンイ</t>
    </rPh>
    <rPh sb="4" eb="6">
      <t>センエン</t>
    </rPh>
    <phoneticPr fontId="1"/>
  </si>
  <si>
    <t>流動資産</t>
    <rPh sb="0" eb="4">
      <t>リュウドウシサン</t>
    </rPh>
    <phoneticPr fontId="1"/>
  </si>
  <si>
    <t>流動負債</t>
    <rPh sb="0" eb="2">
      <t>リュウドウ</t>
    </rPh>
    <rPh sb="2" eb="4">
      <t>フサイ</t>
    </rPh>
    <phoneticPr fontId="1"/>
  </si>
  <si>
    <t>固定資産</t>
    <rPh sb="0" eb="4">
      <t>コテイシサン</t>
    </rPh>
    <phoneticPr fontId="1"/>
  </si>
  <si>
    <t>固定負債</t>
    <rPh sb="0" eb="4">
      <t>コテイフサイ</t>
    </rPh>
    <phoneticPr fontId="1"/>
  </si>
  <si>
    <t>負債合計</t>
    <rPh sb="0" eb="2">
      <t>フサイ</t>
    </rPh>
    <rPh sb="2" eb="4">
      <t>ゴウケイ</t>
    </rPh>
    <phoneticPr fontId="1"/>
  </si>
  <si>
    <t>純資産合計</t>
    <rPh sb="0" eb="3">
      <t>ジュンシサン</t>
    </rPh>
    <rPh sb="3" eb="5">
      <t>ゴウケイ</t>
    </rPh>
    <phoneticPr fontId="1"/>
  </si>
  <si>
    <t>負債・純資産合計</t>
    <rPh sb="0" eb="2">
      <t>フサイ</t>
    </rPh>
    <rPh sb="3" eb="6">
      <t>ジュンシサン</t>
    </rPh>
    <rPh sb="6" eb="8">
      <t>ゴウケイ</t>
    </rPh>
    <phoneticPr fontId="1"/>
  </si>
  <si>
    <t>資産合計</t>
    <rPh sb="0" eb="2">
      <t>シサン</t>
    </rPh>
    <rPh sb="2" eb="4">
      <t>ゴウケイ</t>
    </rPh>
    <phoneticPr fontId="1"/>
  </si>
  <si>
    <t>現預金</t>
    <rPh sb="0" eb="3">
      <t>ゲンヨキン</t>
    </rPh>
    <phoneticPr fontId="1"/>
  </si>
  <si>
    <t>建物</t>
    <rPh sb="0" eb="2">
      <t>タテモノ</t>
    </rPh>
    <phoneticPr fontId="1"/>
  </si>
  <si>
    <t>建物付属設備</t>
    <rPh sb="0" eb="6">
      <t>タテモノフゾクセツビ</t>
    </rPh>
    <phoneticPr fontId="1"/>
  </si>
  <si>
    <t>土地</t>
    <rPh sb="0" eb="2">
      <t>トチ</t>
    </rPh>
    <phoneticPr fontId="1"/>
  </si>
  <si>
    <t>保険積立金</t>
    <rPh sb="0" eb="5">
      <t>ホケンツミタテキン</t>
    </rPh>
    <phoneticPr fontId="1"/>
  </si>
  <si>
    <t>短期借入金</t>
    <rPh sb="0" eb="5">
      <t>タンキカリイレキン</t>
    </rPh>
    <phoneticPr fontId="1"/>
  </si>
  <si>
    <t>未払法人税</t>
    <rPh sb="0" eb="5">
      <t>ミバライホウジンゼイ</t>
    </rPh>
    <phoneticPr fontId="1"/>
  </si>
  <si>
    <t>長期借入金</t>
    <rPh sb="0" eb="5">
      <t>チョウキカリイレキン</t>
    </rPh>
    <phoneticPr fontId="1"/>
  </si>
  <si>
    <t>№</t>
    <phoneticPr fontId="1"/>
  </si>
  <si>
    <t>備考</t>
    <rPh sb="0" eb="2">
      <t>ビコウ</t>
    </rPh>
    <phoneticPr fontId="1"/>
  </si>
  <si>
    <t>構成比</t>
    <rPh sb="0" eb="3">
      <t>コウセイヒ</t>
    </rPh>
    <phoneticPr fontId="1"/>
  </si>
  <si>
    <t>得意先</t>
    <rPh sb="0" eb="3">
      <t>トクイサキ</t>
    </rPh>
    <phoneticPr fontId="1"/>
  </si>
  <si>
    <t>本社所在地</t>
    <rPh sb="0" eb="5">
      <t>ホンシャショザイチ</t>
    </rPh>
    <phoneticPr fontId="1"/>
  </si>
  <si>
    <t>業種等</t>
    <rPh sb="0" eb="2">
      <t>ギョウシュ</t>
    </rPh>
    <rPh sb="2" eb="3">
      <t>ナド</t>
    </rPh>
    <phoneticPr fontId="1"/>
  </si>
  <si>
    <t>その他●社程度</t>
    <rPh sb="2" eb="3">
      <t>タ</t>
    </rPh>
    <rPh sb="4" eb="5">
      <t>シャ</t>
    </rPh>
    <rPh sb="5" eb="7">
      <t>テイド</t>
    </rPh>
    <phoneticPr fontId="1"/>
  </si>
  <si>
    <t>●●●●年●月期</t>
    <rPh sb="4" eb="5">
      <t>ネン</t>
    </rPh>
    <rPh sb="6" eb="8">
      <t>ガツキ</t>
    </rPh>
    <phoneticPr fontId="1"/>
  </si>
  <si>
    <t>XX県XX市</t>
    <rPh sb="2" eb="3">
      <t>ケン</t>
    </rPh>
    <rPh sb="5" eb="6">
      <t>シ</t>
    </rPh>
    <phoneticPr fontId="1"/>
  </si>
  <si>
    <t>XXXXX株式会社</t>
    <rPh sb="5" eb="9">
      <t>カ</t>
    </rPh>
    <phoneticPr fontId="1"/>
  </si>
  <si>
    <t>合計</t>
    <rPh sb="0" eb="2">
      <t>ゴウケイ</t>
    </rPh>
    <phoneticPr fontId="1"/>
  </si>
  <si>
    <t>ああああああああああああああ</t>
    <phoneticPr fontId="1"/>
  </si>
  <si>
    <t>仕入先</t>
    <rPh sb="0" eb="3">
      <t>シイレサキ</t>
    </rPh>
    <phoneticPr fontId="1"/>
  </si>
  <si>
    <t>取引内容</t>
    <rPh sb="0" eb="2">
      <t>トリヒキ</t>
    </rPh>
    <rPh sb="2" eb="4">
      <t>ナイヨウ</t>
    </rPh>
    <phoneticPr fontId="1"/>
  </si>
  <si>
    <t>仕入内容</t>
    <rPh sb="0" eb="4">
      <t>シイレナイヨウ</t>
    </rPh>
    <phoneticPr fontId="1"/>
  </si>
  <si>
    <t>仕入高</t>
    <rPh sb="0" eb="2">
      <t>シイレ</t>
    </rPh>
    <rPh sb="2" eb="3">
      <t>ダカ</t>
    </rPh>
    <phoneticPr fontId="1"/>
  </si>
  <si>
    <t>外注先</t>
    <rPh sb="0" eb="3">
      <t>ガイチュウサキ</t>
    </rPh>
    <phoneticPr fontId="1"/>
  </si>
  <si>
    <t>外注費</t>
    <rPh sb="0" eb="3">
      <t>ガイチュウヒ</t>
    </rPh>
    <phoneticPr fontId="1"/>
  </si>
  <si>
    <t>外注内容</t>
    <rPh sb="0" eb="2">
      <t>ガイチュウ</t>
    </rPh>
    <rPh sb="2" eb="4">
      <t>ナイヨウ</t>
    </rPh>
    <phoneticPr fontId="1"/>
  </si>
  <si>
    <t>許認可等</t>
    <rPh sb="0" eb="3">
      <t>キョニンカ</t>
    </rPh>
    <rPh sb="3" eb="4">
      <t>ナド</t>
    </rPh>
    <phoneticPr fontId="1"/>
  </si>
  <si>
    <t>氏名</t>
    <rPh sb="0" eb="2">
      <t>シメイ</t>
    </rPh>
    <phoneticPr fontId="1"/>
  </si>
  <si>
    <t>役職</t>
    <rPh sb="0" eb="2">
      <t>ヤクショク</t>
    </rPh>
    <phoneticPr fontId="1"/>
  </si>
  <si>
    <t>役員報酬
（●年●月期）</t>
    <rPh sb="0" eb="4">
      <t>ヤクインホウシュウ</t>
    </rPh>
    <rPh sb="7" eb="8">
      <t>ネン</t>
    </rPh>
    <rPh sb="8" eb="11">
      <t>マルガツキ</t>
    </rPh>
    <phoneticPr fontId="1"/>
  </si>
  <si>
    <t>保有株式数</t>
    <rPh sb="0" eb="2">
      <t>ホユウ</t>
    </rPh>
    <rPh sb="2" eb="5">
      <t>カブシキスウ</t>
    </rPh>
    <phoneticPr fontId="1"/>
  </si>
  <si>
    <t>保有割合</t>
    <rPh sb="0" eb="4">
      <t>ホユウワリアイ</t>
    </rPh>
    <phoneticPr fontId="1"/>
  </si>
  <si>
    <t>山田　太郎</t>
    <rPh sb="0" eb="2">
      <t>ヤマダ</t>
    </rPh>
    <rPh sb="3" eb="5">
      <t>タロウ</t>
    </rPh>
    <phoneticPr fontId="1"/>
  </si>
  <si>
    <t>代表取締役</t>
    <rPh sb="0" eb="5">
      <t>ダイヒョウトリシマリヤク</t>
    </rPh>
    <phoneticPr fontId="1"/>
  </si>
  <si>
    <t>山田　花子</t>
    <rPh sb="0" eb="2">
      <t>ヤマダ</t>
    </rPh>
    <rPh sb="3" eb="5">
      <t>ハナコ</t>
    </rPh>
    <phoneticPr fontId="1"/>
  </si>
  <si>
    <t>専務取締役</t>
    <rPh sb="0" eb="5">
      <t>センムトリシマリヤク</t>
    </rPh>
    <phoneticPr fontId="1"/>
  </si>
  <si>
    <t>引継ぎ完了後、退任予定</t>
    <rPh sb="0" eb="2">
      <t>ヒキツ</t>
    </rPh>
    <rPh sb="3" eb="6">
      <t>カンリョウゴ</t>
    </rPh>
    <rPh sb="7" eb="11">
      <t>タイニンヨテイ</t>
    </rPh>
    <phoneticPr fontId="1"/>
  </si>
  <si>
    <t>クロージング時退任予定</t>
    <rPh sb="6" eb="7">
      <t>ジ</t>
    </rPh>
    <rPh sb="7" eb="11">
      <t>タイニンヨテイ</t>
    </rPh>
    <phoneticPr fontId="1"/>
  </si>
  <si>
    <t>業務範囲</t>
    <rPh sb="0" eb="4">
      <t>ギョウムハンイ</t>
    </rPh>
    <phoneticPr fontId="1"/>
  </si>
  <si>
    <t>経理業務</t>
    <rPh sb="0" eb="4">
      <t>ケイリギョウム</t>
    </rPh>
    <phoneticPr fontId="1"/>
  </si>
  <si>
    <t>経営管理業務全般、金融機関対応</t>
    <rPh sb="0" eb="2">
      <t>ケイエイ</t>
    </rPh>
    <rPh sb="2" eb="4">
      <t>カンリ</t>
    </rPh>
    <rPh sb="4" eb="6">
      <t>ギョウム</t>
    </rPh>
    <rPh sb="6" eb="8">
      <t>ゼンパン</t>
    </rPh>
    <rPh sb="9" eb="13">
      <t>キンユウキカン</t>
    </rPh>
    <rPh sb="13" eb="15">
      <t>タイオウ</t>
    </rPh>
    <phoneticPr fontId="1"/>
  </si>
  <si>
    <t>山田　一郎</t>
    <rPh sb="0" eb="2">
      <t>ヤマダ</t>
    </rPh>
    <rPh sb="3" eb="5">
      <t>イチロウ</t>
    </rPh>
    <phoneticPr fontId="1"/>
  </si>
  <si>
    <t>取締役</t>
    <rPh sb="0" eb="3">
      <t>トリシマリヤク</t>
    </rPh>
    <phoneticPr fontId="1"/>
  </si>
  <si>
    <t>営業部統括</t>
    <rPh sb="0" eb="3">
      <t>エイギョウブ</t>
    </rPh>
    <rPh sb="3" eb="5">
      <t>トウカツ</t>
    </rPh>
    <phoneticPr fontId="1"/>
  </si>
  <si>
    <t>M&amp;A時、退任予定</t>
    <rPh sb="3" eb="4">
      <t>ジ</t>
    </rPh>
    <rPh sb="5" eb="9">
      <t>タイニンヨテイ</t>
    </rPh>
    <phoneticPr fontId="1"/>
  </si>
  <si>
    <t>代表者との関係</t>
    <rPh sb="0" eb="3">
      <t>ダイヒョウシャ</t>
    </rPh>
    <rPh sb="5" eb="7">
      <t>カンケイ</t>
    </rPh>
    <phoneticPr fontId="1"/>
  </si>
  <si>
    <t>本人</t>
    <rPh sb="0" eb="2">
      <t>ホンニン</t>
    </rPh>
    <phoneticPr fontId="1"/>
  </si>
  <si>
    <t>配偶者</t>
    <rPh sb="0" eb="3">
      <t>ハイグウシャ</t>
    </rPh>
    <phoneticPr fontId="1"/>
  </si>
  <si>
    <t>弟</t>
    <rPh sb="0" eb="1">
      <t>オトウト</t>
    </rPh>
    <phoneticPr fontId="1"/>
  </si>
  <si>
    <t>尾田　栄一郎</t>
    <rPh sb="0" eb="2">
      <t>オダ</t>
    </rPh>
    <rPh sb="3" eb="6">
      <t>エイイチロウ</t>
    </rPh>
    <phoneticPr fontId="1"/>
  </si>
  <si>
    <t>監査役</t>
    <rPh sb="0" eb="3">
      <t>カンサヤク</t>
    </rPh>
    <phoneticPr fontId="1"/>
  </si>
  <si>
    <t>第三者</t>
    <rPh sb="0" eb="3">
      <t>ダイサンシャ</t>
    </rPh>
    <phoneticPr fontId="1"/>
  </si>
  <si>
    <t>顧問税理士</t>
    <rPh sb="0" eb="5">
      <t>コモンゼイリシ</t>
    </rPh>
    <phoneticPr fontId="1"/>
  </si>
  <si>
    <t>M&amp;A後も継続勤務希望</t>
    <rPh sb="3" eb="4">
      <t>ゴ</t>
    </rPh>
    <rPh sb="5" eb="9">
      <t>ケイゾクキンム</t>
    </rPh>
    <rPh sb="9" eb="11">
      <t>キボウ</t>
    </rPh>
    <phoneticPr fontId="1"/>
  </si>
  <si>
    <t>無し</t>
    <rPh sb="0" eb="1">
      <t>ナ</t>
    </rPh>
    <phoneticPr fontId="1"/>
  </si>
  <si>
    <t>勤務実態なし</t>
    <rPh sb="0" eb="4">
      <t>キンムジッタイ</t>
    </rPh>
    <phoneticPr fontId="1"/>
  </si>
  <si>
    <t>イニシャル</t>
    <phoneticPr fontId="1"/>
  </si>
  <si>
    <t>雇用形態</t>
    <rPh sb="0" eb="4">
      <t>コヨウケイタイ</t>
    </rPh>
    <phoneticPr fontId="1"/>
  </si>
  <si>
    <t>性別</t>
    <rPh sb="0" eb="2">
      <t>セイベツ</t>
    </rPh>
    <phoneticPr fontId="1"/>
  </si>
  <si>
    <t>生年月日</t>
    <rPh sb="0" eb="4">
      <t>セイネンガッピ</t>
    </rPh>
    <phoneticPr fontId="1"/>
  </si>
  <si>
    <t>YYYY/MM/DD</t>
    <phoneticPr fontId="1"/>
  </si>
  <si>
    <t>入社年月日</t>
    <rPh sb="0" eb="5">
      <t>ニュウシャネンガッピ</t>
    </rPh>
    <phoneticPr fontId="1"/>
  </si>
  <si>
    <t>部署</t>
    <rPh sb="0" eb="2">
      <t>ブショ</t>
    </rPh>
    <phoneticPr fontId="1"/>
  </si>
  <si>
    <t>●年●月分総支給</t>
    <rPh sb="1" eb="2">
      <t>ネン</t>
    </rPh>
    <rPh sb="2" eb="4">
      <t>マルガツ</t>
    </rPh>
    <rPh sb="4" eb="5">
      <t>ブン</t>
    </rPh>
    <rPh sb="5" eb="8">
      <t>ソウシキュウ</t>
    </rPh>
    <phoneticPr fontId="1"/>
  </si>
  <si>
    <t>●年夏季賞与</t>
    <rPh sb="1" eb="2">
      <t>ネン</t>
    </rPh>
    <rPh sb="2" eb="6">
      <t>カキショウヨ</t>
    </rPh>
    <phoneticPr fontId="1"/>
  </si>
  <si>
    <t>●年冬季賞与</t>
    <rPh sb="1" eb="2">
      <t>ネン</t>
    </rPh>
    <rPh sb="2" eb="6">
      <t>トウキショウヨ</t>
    </rPh>
    <phoneticPr fontId="1"/>
  </si>
  <si>
    <t>●年総支給額</t>
    <rPh sb="1" eb="2">
      <t>ネン</t>
    </rPh>
    <rPh sb="2" eb="6">
      <t>ソウシキュウガク</t>
    </rPh>
    <phoneticPr fontId="1"/>
  </si>
  <si>
    <t>基準日→適宜変更</t>
    <rPh sb="0" eb="3">
      <t>キジュンビ</t>
    </rPh>
    <rPh sb="4" eb="8">
      <t>テキギヘンコウ</t>
    </rPh>
    <phoneticPr fontId="1"/>
  </si>
  <si>
    <t>企業情報部</t>
    <rPh sb="0" eb="5">
      <t>キギョウジョウホウブ</t>
    </rPh>
    <phoneticPr fontId="1"/>
  </si>
  <si>
    <t>上席課長</t>
    <rPh sb="0" eb="4">
      <t>ジョウセキカチョウ</t>
    </rPh>
    <phoneticPr fontId="1"/>
  </si>
  <si>
    <t>中小企業診断士、AFP、日商簿記2級、MOSエキスパート</t>
    <rPh sb="0" eb="7">
      <t>チュウショウキギョウシンダンシ</t>
    </rPh>
    <rPh sb="12" eb="16">
      <t>ニッショウボキ</t>
    </rPh>
    <rPh sb="17" eb="18">
      <t>キュウ</t>
    </rPh>
    <phoneticPr fontId="1"/>
  </si>
  <si>
    <t>O.S</t>
    <phoneticPr fontId="1"/>
  </si>
  <si>
    <t>正社員</t>
    <rPh sb="0" eb="3">
      <t>セイシャイン</t>
    </rPh>
    <phoneticPr fontId="1"/>
  </si>
  <si>
    <t>男</t>
    <rPh sb="0" eb="1">
      <t>オトコ</t>
    </rPh>
    <phoneticPr fontId="1"/>
  </si>
  <si>
    <t>所在地</t>
    <rPh sb="0" eb="3">
      <t>ショザイチ</t>
    </rPh>
    <phoneticPr fontId="1"/>
  </si>
  <si>
    <t>アクセス</t>
    <phoneticPr fontId="1"/>
  </si>
  <si>
    <t>都営地下鉄大江戸線 / 赤羽橋駅より徒歩9分</t>
    <rPh sb="18" eb="20">
      <t>トホ</t>
    </rPh>
    <rPh sb="21" eb="22">
      <t>フン</t>
    </rPh>
    <phoneticPr fontId="1"/>
  </si>
  <si>
    <t>月間賃料
(千円)</t>
    <rPh sb="0" eb="2">
      <t>ゲッカン</t>
    </rPh>
    <rPh sb="2" eb="4">
      <t>チンリョウ</t>
    </rPh>
    <rPh sb="6" eb="8">
      <t>センエン</t>
    </rPh>
    <phoneticPr fontId="1"/>
  </si>
  <si>
    <t>敷金
(千円)</t>
    <rPh sb="0" eb="2">
      <t>シキキン</t>
    </rPh>
    <rPh sb="4" eb="6">
      <t>センエン</t>
    </rPh>
    <phoneticPr fontId="1"/>
  </si>
  <si>
    <t>東京都港区芝公園4丁目2番8号
　東京タワービルディング5階</t>
    <rPh sb="17" eb="19">
      <t>トウキョウ</t>
    </rPh>
    <rPh sb="29" eb="30">
      <t>カイ</t>
    </rPh>
    <phoneticPr fontId="1"/>
  </si>
  <si>
    <t>延床面積
(㎡)</t>
    <rPh sb="0" eb="4">
      <t>ノベユカメンセキ</t>
    </rPh>
    <phoneticPr fontId="1"/>
  </si>
  <si>
    <t>普通賃貸借
2年更新</t>
    <rPh sb="0" eb="5">
      <t>フツウチンタイシャク</t>
    </rPh>
    <rPh sb="7" eb="10">
      <t>ネンコウシン</t>
    </rPh>
    <phoneticPr fontId="1"/>
  </si>
  <si>
    <t>契約形態</t>
    <rPh sb="0" eb="2">
      <t>ケイヤク</t>
    </rPh>
    <rPh sb="2" eb="4">
      <t>ケイタイ</t>
    </rPh>
    <phoneticPr fontId="1"/>
  </si>
  <si>
    <t>年齢
（歳）</t>
    <rPh sb="0" eb="2">
      <t>ネンレイ</t>
    </rPh>
    <rPh sb="4" eb="5">
      <t>サイ</t>
    </rPh>
    <phoneticPr fontId="1"/>
  </si>
  <si>
    <t>勤続年数
（年）</t>
    <rPh sb="0" eb="4">
      <t>キンゾクネンスウ</t>
    </rPh>
    <rPh sb="6" eb="7">
      <t>ネン</t>
    </rPh>
    <phoneticPr fontId="1"/>
  </si>
  <si>
    <t>所在地
地番・家屋番号</t>
    <rPh sb="0" eb="3">
      <t>ショザイチ</t>
    </rPh>
    <rPh sb="4" eb="6">
      <t>チバン</t>
    </rPh>
    <rPh sb="7" eb="11">
      <t>カオクバンゴウ</t>
    </rPh>
    <phoneticPr fontId="1"/>
  </si>
  <si>
    <t>面積
(㎡)</t>
    <rPh sb="0" eb="2">
      <t>メンセキ</t>
    </rPh>
    <phoneticPr fontId="1"/>
  </si>
  <si>
    <t>所有（建築）
年月・事由</t>
    <rPh sb="0" eb="2">
      <t>ショユウ</t>
    </rPh>
    <rPh sb="3" eb="5">
      <t>ケンチク</t>
    </rPh>
    <rPh sb="7" eb="9">
      <t>ネンゲツ</t>
    </rPh>
    <rPh sb="10" eb="12">
      <t>ジユウ</t>
    </rPh>
    <phoneticPr fontId="1"/>
  </si>
  <si>
    <t>前期末簿価
(千円)</t>
    <rPh sb="0" eb="5">
      <t>ゼンキマツボカ</t>
    </rPh>
    <rPh sb="7" eb="9">
      <t>センエン</t>
    </rPh>
    <phoneticPr fontId="1"/>
  </si>
  <si>
    <t>固定資産税
評価額</t>
    <rPh sb="0" eb="4">
      <t>コテイシサン</t>
    </rPh>
    <rPh sb="4" eb="5">
      <t>ゼイ</t>
    </rPh>
    <rPh sb="6" eb="9">
      <t>ヒョウカガク</t>
    </rPh>
    <phoneticPr fontId="1"/>
  </si>
  <si>
    <t>時価</t>
    <rPh sb="0" eb="2">
      <t>ジカ</t>
    </rPh>
    <phoneticPr fontId="1"/>
  </si>
  <si>
    <t>本店</t>
    <rPh sb="0" eb="2">
      <t>ホンテン</t>
    </rPh>
    <phoneticPr fontId="1"/>
  </si>
  <si>
    <t>宅地</t>
    <rPh sb="0" eb="2">
      <t>タクチ</t>
    </rPh>
    <phoneticPr fontId="1"/>
  </si>
  <si>
    <t>西宮市越水町97番1</t>
    <phoneticPr fontId="1"/>
  </si>
  <si>
    <t>土地は0.7割戻し</t>
    <rPh sb="0" eb="2">
      <t>トチ</t>
    </rPh>
    <rPh sb="6" eb="8">
      <t>ワリモド</t>
    </rPh>
    <phoneticPr fontId="1"/>
  </si>
  <si>
    <t>西宮市越水町98番2</t>
    <phoneticPr fontId="1"/>
  </si>
  <si>
    <t>2000年1月1日相続</t>
    <rPh sb="4" eb="5">
      <t>ネン</t>
    </rPh>
    <rPh sb="6" eb="7">
      <t>ガツ</t>
    </rPh>
    <rPh sb="8" eb="9">
      <t>ヒ</t>
    </rPh>
    <rPh sb="9" eb="11">
      <t>ソウゾク</t>
    </rPh>
    <phoneticPr fontId="1"/>
  </si>
  <si>
    <t>土地）店舗底地</t>
    <rPh sb="0" eb="2">
      <t>トチ</t>
    </rPh>
    <rPh sb="3" eb="5">
      <t>テンポ</t>
    </rPh>
    <rPh sb="5" eb="7">
      <t>ソコチ</t>
    </rPh>
    <phoneticPr fontId="1"/>
  </si>
  <si>
    <t>土地）駐車場</t>
    <rPh sb="0" eb="2">
      <t>トチ</t>
    </rPh>
    <rPh sb="3" eb="6">
      <t>チュウシャジョウ</t>
    </rPh>
    <phoneticPr fontId="1"/>
  </si>
  <si>
    <t>建物）店舗</t>
    <rPh sb="0" eb="2">
      <t>タテモノ</t>
    </rPh>
    <rPh sb="3" eb="5">
      <t>テンポ</t>
    </rPh>
    <phoneticPr fontId="1"/>
  </si>
  <si>
    <t>97番地1</t>
    <rPh sb="2" eb="4">
      <t>バンチ</t>
    </rPh>
    <phoneticPr fontId="1"/>
  </si>
  <si>
    <t>2010年1月1日新築</t>
    <rPh sb="4" eb="5">
      <t>ネン</t>
    </rPh>
    <rPh sb="6" eb="7">
      <t>ガツ</t>
    </rPh>
    <rPh sb="8" eb="9">
      <t>ヒ</t>
    </rPh>
    <rPh sb="9" eb="11">
      <t>シンチク</t>
    </rPh>
    <phoneticPr fontId="1"/>
  </si>
  <si>
    <t>固定資産評価額を0.7で割戻し、時価を算出</t>
    <rPh sb="0" eb="2">
      <t>コテイ</t>
    </rPh>
    <rPh sb="2" eb="4">
      <t>シサン</t>
    </rPh>
    <rPh sb="4" eb="7">
      <t>ヒョウカガク</t>
    </rPh>
    <rPh sb="12" eb="14">
      <t>ワリモド</t>
    </rPh>
    <rPh sb="16" eb="18">
      <t>ジカ</t>
    </rPh>
    <rPh sb="19" eb="21">
      <t>サンシュツ</t>
    </rPh>
    <phoneticPr fontId="1"/>
  </si>
  <si>
    <t>減価償却過不足なし、簿価=時価として評価</t>
    <rPh sb="0" eb="7">
      <t>ゲンカショウキャクカブソク</t>
    </rPh>
    <rPh sb="10" eb="12">
      <t>ボカ</t>
    </rPh>
    <rPh sb="13" eb="15">
      <t>ジカ</t>
    </rPh>
    <rPh sb="18" eb="20">
      <t>ヒョウカ</t>
    </rPh>
    <phoneticPr fontId="1"/>
  </si>
  <si>
    <t>区分
・構造</t>
    <rPh sb="0" eb="2">
      <t>クブン</t>
    </rPh>
    <rPh sb="4" eb="6">
      <t>コウゾウ</t>
    </rPh>
    <phoneticPr fontId="1"/>
  </si>
  <si>
    <t>店舗
鉄骨造り</t>
    <rPh sb="0" eb="2">
      <t>テンポ</t>
    </rPh>
    <rPh sb="3" eb="6">
      <t>テッコツヅク</t>
    </rPh>
    <phoneticPr fontId="1"/>
  </si>
  <si>
    <t>【●●工場】</t>
    <rPh sb="3" eb="5">
      <t>コウジョウ</t>
    </rPh>
    <phoneticPr fontId="1"/>
  </si>
  <si>
    <t>建物）工場</t>
    <rPh sb="0" eb="2">
      <t>タテモノ</t>
    </rPh>
    <rPh sb="3" eb="5">
      <t>コウジョウ</t>
    </rPh>
    <phoneticPr fontId="1"/>
  </si>
  <si>
    <t>工場
鉄骨造り</t>
    <rPh sb="0" eb="2">
      <t>コウジョウ</t>
    </rPh>
    <rPh sb="3" eb="6">
      <t>テッコツヅク</t>
    </rPh>
    <phoneticPr fontId="1"/>
  </si>
  <si>
    <t>契約内容</t>
    <rPh sb="0" eb="4">
      <t>ケイヤクナイヨウ</t>
    </rPh>
    <phoneticPr fontId="1"/>
  </si>
  <si>
    <t>貸主</t>
    <rPh sb="0" eb="2">
      <t>カシヌシ</t>
    </rPh>
    <phoneticPr fontId="1"/>
  </si>
  <si>
    <t>原状回復義務：スケルトン</t>
    <rPh sb="0" eb="4">
      <t>ゲンジョウカイフク</t>
    </rPh>
    <rPh sb="4" eb="6">
      <t>ギム</t>
    </rPh>
    <phoneticPr fontId="1"/>
  </si>
  <si>
    <t>建物）店舗物件</t>
    <rPh sb="0" eb="2">
      <t>タテモノ</t>
    </rPh>
    <rPh sb="3" eb="5">
      <t>テンポ</t>
    </rPh>
    <rPh sb="5" eb="7">
      <t>ブッケン</t>
    </rPh>
    <phoneticPr fontId="1"/>
  </si>
  <si>
    <t>ABC商事株式会社</t>
    <rPh sb="3" eb="5">
      <t>ショウジ</t>
    </rPh>
    <rPh sb="5" eb="9">
      <t>カ</t>
    </rPh>
    <phoneticPr fontId="1"/>
  </si>
  <si>
    <r>
      <t>2</t>
    </r>
    <r>
      <rPr>
        <sz val="12"/>
        <color theme="1"/>
        <rFont val="游ゴシック"/>
        <family val="3"/>
        <charset val="128"/>
      </rPr>
      <t>階：</t>
    </r>
    <r>
      <rPr>
        <sz val="12"/>
        <color theme="1"/>
        <rFont val="Arial"/>
        <family val="2"/>
      </rPr>
      <t>50.12
1</t>
    </r>
    <r>
      <rPr>
        <sz val="12"/>
        <color theme="1"/>
        <rFont val="游ゴシック"/>
        <family val="3"/>
        <charset val="128"/>
      </rPr>
      <t>階：</t>
    </r>
    <r>
      <rPr>
        <sz val="12"/>
        <color theme="1"/>
        <rFont val="Arial"/>
        <family val="2"/>
      </rPr>
      <t xml:space="preserve">50.12
</t>
    </r>
    <r>
      <rPr>
        <sz val="12"/>
        <color theme="1"/>
        <rFont val="游ゴシック"/>
        <family val="3"/>
        <charset val="128"/>
      </rPr>
      <t>合計：</t>
    </r>
    <r>
      <rPr>
        <sz val="12"/>
        <color theme="1"/>
        <rFont val="Arial"/>
        <family val="2"/>
      </rPr>
      <t>100.24</t>
    </r>
    <rPh sb="1" eb="2">
      <t>カイ</t>
    </rPh>
    <rPh sb="10" eb="11">
      <t>カイ</t>
    </rPh>
    <rPh sb="18" eb="20">
      <t>ゴウケイ</t>
    </rPh>
    <phoneticPr fontId="1"/>
  </si>
  <si>
    <t>建物）倉庫</t>
    <rPh sb="0" eb="2">
      <t>タテモノ</t>
    </rPh>
    <rPh sb="3" eb="5">
      <t>ソウコ</t>
    </rPh>
    <phoneticPr fontId="1"/>
  </si>
  <si>
    <t>原状回復義務：なし</t>
    <rPh sb="0" eb="4">
      <t>ゲンジョウカイフク</t>
    </rPh>
    <rPh sb="4" eb="6">
      <t>ギム</t>
    </rPh>
    <phoneticPr fontId="1"/>
  </si>
  <si>
    <t>●●倉庫</t>
    <rPh sb="2" eb="4">
      <t>ソウコ</t>
    </rPh>
    <phoneticPr fontId="1"/>
  </si>
  <si>
    <t>●店</t>
    <rPh sb="1" eb="2">
      <t>テン</t>
    </rPh>
    <phoneticPr fontId="1"/>
  </si>
  <si>
    <t>事業所名</t>
    <rPh sb="0" eb="3">
      <t>ジギョウショ</t>
    </rPh>
    <rPh sb="3" eb="4">
      <t>メイ</t>
    </rPh>
    <phoneticPr fontId="1"/>
  </si>
  <si>
    <t>工場</t>
    <rPh sb="0" eb="2">
      <t>コウジョウ</t>
    </rPh>
    <phoneticPr fontId="1"/>
  </si>
  <si>
    <r>
      <t>2</t>
    </r>
    <r>
      <rPr>
        <sz val="12"/>
        <color theme="1"/>
        <rFont val="ＭＳ Ｐゴシック"/>
        <family val="2"/>
        <charset val="128"/>
      </rPr>
      <t>階：</t>
    </r>
    <r>
      <rPr>
        <sz val="12"/>
        <color theme="1"/>
        <rFont val="Arial"/>
        <family val="2"/>
      </rPr>
      <t>50.12
1</t>
    </r>
    <r>
      <rPr>
        <sz val="12"/>
        <color theme="1"/>
        <rFont val="ＭＳ Ｐゴシック"/>
        <family val="2"/>
        <charset val="128"/>
      </rPr>
      <t>階：</t>
    </r>
    <r>
      <rPr>
        <sz val="12"/>
        <color theme="1"/>
        <rFont val="Arial"/>
        <family val="2"/>
      </rPr>
      <t xml:space="preserve">50.12
</t>
    </r>
    <r>
      <rPr>
        <sz val="12"/>
        <color theme="1"/>
        <rFont val="ＭＳ Ｐゴシック"/>
        <family val="2"/>
        <charset val="128"/>
      </rPr>
      <t>合計：</t>
    </r>
    <r>
      <rPr>
        <sz val="12"/>
        <color theme="1"/>
        <rFont val="Arial"/>
        <family val="2"/>
      </rPr>
      <t>100.24</t>
    </r>
    <rPh sb="1" eb="2">
      <t>カイ</t>
    </rPh>
    <rPh sb="10" eb="11">
      <t>カイ</t>
    </rPh>
    <rPh sb="18" eb="20">
      <t>ゴウケイ</t>
    </rPh>
    <phoneticPr fontId="1"/>
  </si>
  <si>
    <r>
      <rPr>
        <b/>
        <sz val="12"/>
        <color theme="0"/>
        <rFont val="游ゴシック"/>
        <family val="3"/>
        <charset val="128"/>
      </rPr>
      <t xml:space="preserve">面積
</t>
    </r>
    <r>
      <rPr>
        <b/>
        <sz val="12"/>
        <color theme="0"/>
        <rFont val="Arial"/>
        <family val="2"/>
      </rPr>
      <t>(</t>
    </r>
    <r>
      <rPr>
        <b/>
        <sz val="12"/>
        <color theme="0"/>
        <rFont val="游ゴシック"/>
        <family val="3"/>
        <charset val="128"/>
      </rPr>
      <t>㎡</t>
    </r>
    <r>
      <rPr>
        <b/>
        <sz val="12"/>
        <color theme="0"/>
        <rFont val="Arial"/>
        <family val="2"/>
      </rPr>
      <t>)</t>
    </r>
    <rPh sb="0" eb="2">
      <t>メンセキ</t>
    </rPh>
    <phoneticPr fontId="1"/>
  </si>
  <si>
    <t>買掛金</t>
  </si>
  <si>
    <t>未払金</t>
  </si>
  <si>
    <t>【固定資産】</t>
  </si>
  <si>
    <t>［有形固定資産］</t>
  </si>
  <si>
    <t>長期借入金</t>
  </si>
  <si>
    <t>工具器具備品</t>
  </si>
  <si>
    <t>［無形固定資産］</t>
  </si>
  <si>
    <t>資本金</t>
  </si>
  <si>
    <t>【利益剰余金】</t>
  </si>
  <si>
    <t>科目</t>
    <rPh sb="0" eb="2">
      <t>カモク</t>
    </rPh>
    <phoneticPr fontId="1"/>
  </si>
  <si>
    <t>●●年●月期</t>
    <rPh sb="2" eb="3">
      <t>ネン</t>
    </rPh>
    <rPh sb="4" eb="5">
      <t>ガツ</t>
    </rPh>
    <rPh sb="5" eb="6">
      <t>キ</t>
    </rPh>
    <phoneticPr fontId="1"/>
  </si>
  <si>
    <t>●●年●月
（●か月TB）</t>
    <rPh sb="2" eb="3">
      <t>ネン</t>
    </rPh>
    <rPh sb="4" eb="5">
      <t>ガツ</t>
    </rPh>
    <rPh sb="9" eb="10">
      <t>ゲツ</t>
    </rPh>
    <phoneticPr fontId="1"/>
  </si>
  <si>
    <t>【流動資産】</t>
    <rPh sb="1" eb="5">
      <t>リュウドウシサン</t>
    </rPh>
    <phoneticPr fontId="1"/>
  </si>
  <si>
    <t>資産の部</t>
    <rPh sb="0" eb="2">
      <t>シサン</t>
    </rPh>
    <rPh sb="3" eb="4">
      <t>ブ</t>
    </rPh>
    <phoneticPr fontId="1"/>
  </si>
  <si>
    <t>負債の部</t>
    <rPh sb="0" eb="2">
      <t>フサイ</t>
    </rPh>
    <rPh sb="3" eb="4">
      <t>ブ</t>
    </rPh>
    <phoneticPr fontId="1"/>
  </si>
  <si>
    <t>【流動負債】</t>
    <rPh sb="1" eb="3">
      <t>リュウドウ</t>
    </rPh>
    <rPh sb="3" eb="5">
      <t>フサイ</t>
    </rPh>
    <phoneticPr fontId="1"/>
  </si>
  <si>
    <t>現金及び預金</t>
    <rPh sb="0" eb="3">
      <t>ゲンキンオヨ</t>
    </rPh>
    <rPh sb="4" eb="6">
      <t>ヨキン</t>
    </rPh>
    <phoneticPr fontId="1"/>
  </si>
  <si>
    <t>売掛金</t>
    <rPh sb="0" eb="3">
      <t>ウリカケキン</t>
    </rPh>
    <phoneticPr fontId="1"/>
  </si>
  <si>
    <t>資産合計</t>
    <rPh sb="0" eb="4">
      <t>シサンゴウケイ</t>
    </rPh>
    <phoneticPr fontId="1"/>
  </si>
  <si>
    <t>【固定負債】</t>
    <rPh sb="1" eb="5">
      <t>コテイフサイ</t>
    </rPh>
    <phoneticPr fontId="1"/>
  </si>
  <si>
    <t>負債合計</t>
    <rPh sb="0" eb="4">
      <t>フサイゴウケイ</t>
    </rPh>
    <phoneticPr fontId="1"/>
  </si>
  <si>
    <t>電話加入権</t>
    <rPh sb="0" eb="5">
      <t>デンワカニュウケン</t>
    </rPh>
    <phoneticPr fontId="1"/>
  </si>
  <si>
    <t>投資有価証券</t>
    <rPh sb="0" eb="6">
      <t>トウシユウカショウケン</t>
    </rPh>
    <phoneticPr fontId="1"/>
  </si>
  <si>
    <t>【資本金】</t>
    <rPh sb="1" eb="4">
      <t>シホンキン</t>
    </rPh>
    <phoneticPr fontId="4"/>
  </si>
  <si>
    <t>【資本剰余金】</t>
    <rPh sb="1" eb="3">
      <t>シホン</t>
    </rPh>
    <rPh sb="3" eb="6">
      <t>ジョウヨキン</t>
    </rPh>
    <phoneticPr fontId="4"/>
  </si>
  <si>
    <t>【自己株式】</t>
    <rPh sb="1" eb="3">
      <t>ジコ</t>
    </rPh>
    <rPh sb="3" eb="5">
      <t>カブシキ</t>
    </rPh>
    <phoneticPr fontId="4"/>
  </si>
  <si>
    <t>純資産の部</t>
    <rPh sb="0" eb="3">
      <t>ジュンシサン</t>
    </rPh>
    <rPh sb="4" eb="5">
      <t>ブ</t>
    </rPh>
    <phoneticPr fontId="1"/>
  </si>
  <si>
    <t>帳簿価額</t>
    <rPh sb="0" eb="4">
      <t>チョウボカガク</t>
    </rPh>
    <phoneticPr fontId="1"/>
  </si>
  <si>
    <t>売上高比</t>
    <rPh sb="0" eb="2">
      <t>ウリアゲ</t>
    </rPh>
    <rPh sb="2" eb="3">
      <t>ダカ</t>
    </rPh>
    <rPh sb="3" eb="4">
      <t>ヒ</t>
    </rPh>
    <phoneticPr fontId="1"/>
  </si>
  <si>
    <t>売上原価</t>
    <rPh sb="0" eb="4">
      <t>ウリアゲゲンカ</t>
    </rPh>
    <phoneticPr fontId="1"/>
  </si>
  <si>
    <t>販売費及び一般管理費</t>
    <rPh sb="0" eb="3">
      <t>ハンバイヒ</t>
    </rPh>
    <rPh sb="3" eb="4">
      <t>オヨ</t>
    </rPh>
    <rPh sb="5" eb="10">
      <t>イッパンカンリヒ</t>
    </rPh>
    <phoneticPr fontId="1"/>
  </si>
  <si>
    <t>営業利益</t>
    <rPh sb="0" eb="4">
      <t>エイギョウリエキ</t>
    </rPh>
    <phoneticPr fontId="1"/>
  </si>
  <si>
    <t>営業外収益</t>
    <rPh sb="0" eb="5">
      <t>エイギョウガイシュウエキ</t>
    </rPh>
    <phoneticPr fontId="1"/>
  </si>
  <si>
    <t>営業外費用</t>
    <rPh sb="0" eb="3">
      <t>エイギョウガイ</t>
    </rPh>
    <rPh sb="3" eb="5">
      <t>ヒヨウ</t>
    </rPh>
    <phoneticPr fontId="1"/>
  </si>
  <si>
    <t>特別利益</t>
    <rPh sb="0" eb="4">
      <t>トクベツリエキ</t>
    </rPh>
    <phoneticPr fontId="1"/>
  </si>
  <si>
    <t>貸倒引当金戻入額</t>
  </si>
  <si>
    <t>特別損失</t>
    <rPh sb="0" eb="2">
      <t>トクベツ</t>
    </rPh>
    <rPh sb="2" eb="4">
      <t>ソンシツ</t>
    </rPh>
    <phoneticPr fontId="1"/>
  </si>
  <si>
    <t>税引前当期純利益</t>
    <rPh sb="0" eb="2">
      <t>ゼイビ</t>
    </rPh>
    <rPh sb="2" eb="3">
      <t>マエ</t>
    </rPh>
    <rPh sb="3" eb="8">
      <t>トウキジュンリエキ</t>
    </rPh>
    <phoneticPr fontId="1"/>
  </si>
  <si>
    <t>法人税等</t>
    <rPh sb="0" eb="3">
      <t>ホウジンゼイ</t>
    </rPh>
    <rPh sb="3" eb="4">
      <t>ナド</t>
    </rPh>
    <phoneticPr fontId="1"/>
  </si>
  <si>
    <t>税引後当期純利益</t>
    <rPh sb="0" eb="2">
      <t>ゼイビ</t>
    </rPh>
    <rPh sb="2" eb="3">
      <t>ゴ</t>
    </rPh>
    <rPh sb="3" eb="5">
      <t>トウキ</t>
    </rPh>
    <rPh sb="5" eb="8">
      <t>ジュンリエキ</t>
    </rPh>
    <phoneticPr fontId="1"/>
  </si>
  <si>
    <t>減価償却費</t>
  </si>
  <si>
    <t>賃借料</t>
  </si>
  <si>
    <t>修繕費</t>
  </si>
  <si>
    <t>消耗品費</t>
  </si>
  <si>
    <t>水道光熱費</t>
  </si>
  <si>
    <t>旅費交通費</t>
  </si>
  <si>
    <t>支払手数料</t>
  </si>
  <si>
    <t>租税公課</t>
  </si>
  <si>
    <t>保険料</t>
  </si>
  <si>
    <t>通信費</t>
  </si>
  <si>
    <t>諸会費</t>
  </si>
  <si>
    <t>貸倒引当金繰入額</t>
  </si>
  <si>
    <t>雑費</t>
  </si>
  <si>
    <t>売上</t>
    <rPh sb="0" eb="2">
      <t>ウリアゲ</t>
    </rPh>
    <phoneticPr fontId="1"/>
  </si>
  <si>
    <r>
      <rPr>
        <sz val="12"/>
        <color rgb="FFFF0000"/>
        <rFont val="游ゴシック Medium"/>
        <family val="2"/>
        <charset val="128"/>
      </rPr>
      <t>←</t>
    </r>
    <r>
      <rPr>
        <sz val="12"/>
        <color rgb="FFFF0000"/>
        <rFont val="Arial"/>
        <family val="2"/>
      </rPr>
      <t>IM</t>
    </r>
    <r>
      <rPr>
        <sz val="12"/>
        <color rgb="FFFF0000"/>
        <rFont val="游ゴシック Medium"/>
        <family val="2"/>
        <charset val="128"/>
      </rPr>
      <t>に貼るときは非表示</t>
    </r>
    <rPh sb="4" eb="5">
      <t>ハ</t>
    </rPh>
    <rPh sb="9" eb="12">
      <t>ヒヒョウジ</t>
    </rPh>
    <phoneticPr fontId="1"/>
  </si>
  <si>
    <t>販売費および一般管理費合計</t>
    <rPh sb="0" eb="3">
      <t>ハンバイヒ</t>
    </rPh>
    <rPh sb="6" eb="11">
      <t>イッパンカンリヒ</t>
    </rPh>
    <rPh sb="11" eb="13">
      <t>ゴウケイ</t>
    </rPh>
    <phoneticPr fontId="1"/>
  </si>
  <si>
    <t>材料費</t>
    <rPh sb="0" eb="3">
      <t>ザイリョウヒ</t>
    </rPh>
    <phoneticPr fontId="1"/>
  </si>
  <si>
    <t>労務費</t>
    <rPh sb="0" eb="3">
      <t>ロウムヒ</t>
    </rPh>
    <phoneticPr fontId="1"/>
  </si>
  <si>
    <t>外注加工費</t>
    <rPh sb="0" eb="5">
      <t>ガイチュウカコウヒ</t>
    </rPh>
    <phoneticPr fontId="1"/>
  </si>
  <si>
    <t>経費</t>
    <rPh sb="0" eb="2">
      <t>ケイヒ</t>
    </rPh>
    <phoneticPr fontId="1"/>
  </si>
  <si>
    <t>当期製造費用</t>
    <rPh sb="0" eb="2">
      <t>トウキ</t>
    </rPh>
    <rPh sb="2" eb="4">
      <t>セイゾウ</t>
    </rPh>
    <rPh sb="4" eb="6">
      <t>ヒヨウ</t>
    </rPh>
    <phoneticPr fontId="1"/>
  </si>
  <si>
    <t>期首仕掛品棚卸高</t>
    <rPh sb="0" eb="2">
      <t>キシュ</t>
    </rPh>
    <rPh sb="2" eb="5">
      <t>シカカリヒン</t>
    </rPh>
    <rPh sb="5" eb="8">
      <t>タナオロシダカ</t>
    </rPh>
    <phoneticPr fontId="1"/>
  </si>
  <si>
    <t>期末仕掛品棚卸高</t>
    <rPh sb="0" eb="2">
      <t>キマツ</t>
    </rPh>
    <rPh sb="2" eb="5">
      <t>シカカリヒン</t>
    </rPh>
    <rPh sb="5" eb="8">
      <t>タナオロシダカ</t>
    </rPh>
    <phoneticPr fontId="1"/>
  </si>
  <si>
    <t>期首原材料棚卸高</t>
  </si>
  <si>
    <t>原材料仕入高</t>
  </si>
  <si>
    <t>小計</t>
  </si>
  <si>
    <t>期末原材料棚卸高</t>
  </si>
  <si>
    <t>IMの財務詳細ページのデータは財務入力のシートから流用してください</t>
    <rPh sb="3" eb="7">
      <t>ザイムショウサイ</t>
    </rPh>
    <rPh sb="15" eb="19">
      <t>ザイムニュウリョク</t>
    </rPh>
    <rPh sb="25" eb="27">
      <t>リュウヨウ</t>
    </rPh>
    <phoneticPr fontId="1"/>
  </si>
  <si>
    <t>当期製造原価</t>
    <rPh sb="0" eb="4">
      <t>トウキセイゾウ</t>
    </rPh>
    <rPh sb="4" eb="6">
      <t>ゲンカ</t>
    </rPh>
    <phoneticPr fontId="1"/>
  </si>
  <si>
    <t>営業利益</t>
    <rPh sb="0" eb="2">
      <t>エイギョウ</t>
    </rPh>
    <rPh sb="2" eb="4">
      <t>リエキ</t>
    </rPh>
    <phoneticPr fontId="1"/>
  </si>
  <si>
    <t>税引後当期純利益</t>
    <rPh sb="0" eb="3">
      <t>ゼイビキゴ</t>
    </rPh>
    <rPh sb="3" eb="8">
      <t>トウキジュンリエキ</t>
    </rPh>
    <phoneticPr fontId="1"/>
  </si>
  <si>
    <t>修正額</t>
    <rPh sb="0" eb="3">
      <t>シュウセイガク</t>
    </rPh>
    <phoneticPr fontId="1"/>
  </si>
  <si>
    <t>商品在庫</t>
    <rPh sb="0" eb="2">
      <t>ショウヒン</t>
    </rPh>
    <rPh sb="2" eb="4">
      <t>ザイコ</t>
    </rPh>
    <phoneticPr fontId="1"/>
  </si>
  <si>
    <t>経営状態が悪く、3年以上回収できていないため債権金額を0％円評価とする。</t>
    <rPh sb="29" eb="30">
      <t>エン</t>
    </rPh>
    <phoneticPr fontId="1"/>
  </si>
  <si>
    <t>長期滞留在庫であり、0円評価とする</t>
    <rPh sb="0" eb="6">
      <t>チョウキタイリュウザイコ</t>
    </rPh>
    <rPh sb="11" eb="12">
      <t>エン</t>
    </rPh>
    <rPh sb="12" eb="14">
      <t>ヒョウカ</t>
    </rPh>
    <phoneticPr fontId="1"/>
  </si>
  <si>
    <t>【繰延資産】</t>
    <rPh sb="1" eb="5">
      <t>クリノベシサン</t>
    </rPh>
    <phoneticPr fontId="1"/>
  </si>
  <si>
    <t>【繰延税金資産】</t>
    <rPh sb="1" eb="7">
      <t>クリノベゼイキンシサン</t>
    </rPh>
    <phoneticPr fontId="1"/>
  </si>
  <si>
    <t>【繰延資産】</t>
    <rPh sb="1" eb="3">
      <t>クリノベ</t>
    </rPh>
    <rPh sb="3" eb="5">
      <t>シサン</t>
    </rPh>
    <phoneticPr fontId="1"/>
  </si>
  <si>
    <t>［投資その他資産］</t>
    <phoneticPr fontId="1"/>
  </si>
  <si>
    <t>【繰延税金負債】</t>
    <rPh sb="1" eb="3">
      <t>クリノベ</t>
    </rPh>
    <rPh sb="3" eb="5">
      <t>ゼイキン</t>
    </rPh>
    <rPh sb="5" eb="7">
      <t>フサイ</t>
    </rPh>
    <phoneticPr fontId="1"/>
  </si>
  <si>
    <t>●●●株式会社</t>
    <rPh sb="3" eb="7">
      <t>カ</t>
    </rPh>
    <phoneticPr fontId="1"/>
  </si>
  <si>
    <t>株式会社●●●</t>
    <rPh sb="0" eb="4">
      <t>カ</t>
    </rPh>
    <phoneticPr fontId="1"/>
  </si>
  <si>
    <t>その他</t>
  </si>
  <si>
    <t>車両運搬具</t>
    <rPh sb="0" eb="2">
      <t>シャリョウ</t>
    </rPh>
    <rPh sb="2" eb="5">
      <t>ウンパング</t>
    </rPh>
    <phoneticPr fontId="1"/>
  </si>
  <si>
    <t>工具器具備品</t>
    <rPh sb="0" eb="6">
      <t>コウグキグビヒン</t>
    </rPh>
    <phoneticPr fontId="1"/>
  </si>
  <si>
    <t>消却不足額を減額</t>
    <rPh sb="0" eb="4">
      <t>ショウキャクブソク</t>
    </rPh>
    <rPh sb="4" eb="5">
      <t>ガク</t>
    </rPh>
    <rPh sb="6" eb="8">
      <t>ゲンガク</t>
    </rPh>
    <phoneticPr fontId="1"/>
  </si>
  <si>
    <t>資産</t>
    <rPh sb="0" eb="2">
      <t>シサン</t>
    </rPh>
    <phoneticPr fontId="1"/>
  </si>
  <si>
    <t>内容・所在地</t>
    <rPh sb="0" eb="2">
      <t>ナイヨウ</t>
    </rPh>
    <rPh sb="3" eb="6">
      <t>ショザイチ</t>
    </rPh>
    <phoneticPr fontId="1"/>
  </si>
  <si>
    <t>●●工場/大阪府大阪市●●１－２３－３</t>
    <rPh sb="2" eb="4">
      <t>コウジョウ</t>
    </rPh>
    <rPh sb="5" eb="11">
      <t>オオサカフオオサカシ</t>
    </rPh>
    <phoneticPr fontId="1"/>
  </si>
  <si>
    <t>地積(㎡)</t>
    <rPh sb="0" eb="2">
      <t>チセキ</t>
    </rPh>
    <phoneticPr fontId="1"/>
  </si>
  <si>
    <t>帳簿価額</t>
    <rPh sb="0" eb="2">
      <t>チョウボ</t>
    </rPh>
    <rPh sb="2" eb="4">
      <t>カガク</t>
    </rPh>
    <phoneticPr fontId="1"/>
  </si>
  <si>
    <t>評価差額</t>
    <rPh sb="0" eb="4">
      <t>ヒョウカサガク</t>
    </rPh>
    <phoneticPr fontId="1"/>
  </si>
  <si>
    <t>時価評価額</t>
    <rPh sb="0" eb="5">
      <t>ジカヒョウカガク</t>
    </rPh>
    <phoneticPr fontId="1"/>
  </si>
  <si>
    <t>固定資産税評価額÷0.7にて時価を算出</t>
    <rPh sb="0" eb="8">
      <t>コテイシサンゼイヒョウカガク</t>
    </rPh>
    <rPh sb="14" eb="16">
      <t>ジカ</t>
    </rPh>
    <rPh sb="17" eb="19">
      <t>サンシュツ</t>
    </rPh>
    <phoneticPr fontId="1"/>
  </si>
  <si>
    <t>周辺売買事例を元に時価を算出</t>
    <rPh sb="0" eb="2">
      <t>シュウヘン</t>
    </rPh>
    <rPh sb="2" eb="4">
      <t>バイバイ</t>
    </rPh>
    <rPh sb="4" eb="6">
      <t>ジレイ</t>
    </rPh>
    <rPh sb="7" eb="8">
      <t>モト</t>
    </rPh>
    <rPh sb="9" eb="11">
      <t>ジカ</t>
    </rPh>
    <rPh sb="12" eb="14">
      <t>サンシュツ</t>
    </rPh>
    <phoneticPr fontId="1"/>
  </si>
  <si>
    <t>路線価÷0.8にて時価を算出</t>
    <rPh sb="0" eb="3">
      <t>ロセンカ</t>
    </rPh>
    <rPh sb="9" eb="11">
      <t>ジカ</t>
    </rPh>
    <rPh sb="12" eb="14">
      <t>サンシュツ</t>
    </rPh>
    <phoneticPr fontId="1"/>
  </si>
  <si>
    <t>滞留している商品であり、原価から30%引きであれば販売可能とのことであるため、30%減額評価する</t>
    <phoneticPr fontId="1"/>
  </si>
  <si>
    <t>保険商品</t>
    <rPh sb="0" eb="2">
      <t>ホケン</t>
    </rPh>
    <rPh sb="2" eb="4">
      <t>ショウヒン</t>
    </rPh>
    <phoneticPr fontId="1"/>
  </si>
  <si>
    <t>日本生命/スーパーフェニックス</t>
    <rPh sb="0" eb="4">
      <t>ニホンセイメイ</t>
    </rPh>
    <phoneticPr fontId="1"/>
  </si>
  <si>
    <t>●年●月時点解約返戻金を元に時価を算出</t>
    <rPh sb="1" eb="2">
      <t>ネン</t>
    </rPh>
    <rPh sb="3" eb="4">
      <t>ガツ</t>
    </rPh>
    <rPh sb="4" eb="6">
      <t>ジテン</t>
    </rPh>
    <rPh sb="6" eb="11">
      <t>カイヤクヘンレイキン</t>
    </rPh>
    <rPh sb="12" eb="13">
      <t>モト</t>
    </rPh>
    <rPh sb="14" eb="16">
      <t>ジカ</t>
    </rPh>
    <rPh sb="17" eb="19">
      <t>サンシュツ</t>
    </rPh>
    <phoneticPr fontId="1"/>
  </si>
  <si>
    <t>簿外積立分を評価</t>
    <rPh sb="0" eb="2">
      <t>ボガイ</t>
    </rPh>
    <rPh sb="2" eb="4">
      <t>ツミタテ</t>
    </rPh>
    <rPh sb="4" eb="5">
      <t>ブン</t>
    </rPh>
    <rPh sb="6" eb="8">
      <t>ヒョウカ</t>
    </rPh>
    <phoneticPr fontId="1"/>
  </si>
  <si>
    <t>経営セーフティー共済（倒産防止共済）</t>
    <rPh sb="0" eb="2">
      <t>ケイエイ</t>
    </rPh>
    <rPh sb="8" eb="10">
      <t>キョウサイ</t>
    </rPh>
    <rPh sb="11" eb="15">
      <t>トウサンボウシ</t>
    </rPh>
    <rPh sb="15" eb="17">
      <t>キョウサイ</t>
    </rPh>
    <phoneticPr fontId="1"/>
  </si>
  <si>
    <t>銘柄</t>
    <rPh sb="0" eb="2">
      <t>メイガラ</t>
    </rPh>
    <phoneticPr fontId="1"/>
  </si>
  <si>
    <t>投信）グローバルAIファンド</t>
    <rPh sb="0" eb="2">
      <t>トウシン</t>
    </rPh>
    <phoneticPr fontId="1"/>
  </si>
  <si>
    <t>株式）トヨタ自動車</t>
    <rPh sb="0" eb="2">
      <t>カブシキ</t>
    </rPh>
    <rPh sb="6" eb="9">
      <t>ジドウシャ</t>
    </rPh>
    <phoneticPr fontId="1"/>
  </si>
  <si>
    <t>数量</t>
    <rPh sb="0" eb="2">
      <t>スウリョウ</t>
    </rPh>
    <phoneticPr fontId="1"/>
  </si>
  <si>
    <t>●年●月●日終値(●円)を元に時価を算出</t>
    <rPh sb="1" eb="2">
      <t>ネン</t>
    </rPh>
    <rPh sb="3" eb="4">
      <t>ガツ</t>
    </rPh>
    <rPh sb="5" eb="6">
      <t>ヒ</t>
    </rPh>
    <rPh sb="6" eb="8">
      <t>オワリネ</t>
    </rPh>
    <rPh sb="10" eb="11">
      <t>エン</t>
    </rPh>
    <rPh sb="13" eb="14">
      <t>モト</t>
    </rPh>
    <rPh sb="15" eb="17">
      <t>ジカ</t>
    </rPh>
    <rPh sb="18" eb="20">
      <t>サンシュツ</t>
    </rPh>
    <phoneticPr fontId="1"/>
  </si>
  <si>
    <t>●年●月●日基準価格(●円)を元に時価を算出</t>
    <rPh sb="1" eb="2">
      <t>ネン</t>
    </rPh>
    <rPh sb="3" eb="4">
      <t>ガツ</t>
    </rPh>
    <rPh sb="5" eb="6">
      <t>ヒ</t>
    </rPh>
    <rPh sb="6" eb="10">
      <t>キジュンカカク</t>
    </rPh>
    <rPh sb="12" eb="13">
      <t>エン</t>
    </rPh>
    <rPh sb="15" eb="16">
      <t>モト</t>
    </rPh>
    <rPh sb="17" eb="19">
      <t>ジカ</t>
    </rPh>
    <rPh sb="20" eb="22">
      <t>サンシュツ</t>
    </rPh>
    <phoneticPr fontId="1"/>
  </si>
  <si>
    <t>●年●月支払給与</t>
    <rPh sb="1" eb="2">
      <t>ネン</t>
    </rPh>
    <rPh sb="2" eb="4">
      <t>マルガツ</t>
    </rPh>
    <rPh sb="4" eb="8">
      <t>シハライキュウヨ</t>
    </rPh>
    <phoneticPr fontId="1"/>
  </si>
  <si>
    <t>未払日数</t>
    <rPh sb="0" eb="4">
      <t>ミバライニッスウ</t>
    </rPh>
    <phoneticPr fontId="1"/>
  </si>
  <si>
    <t>11日/31日</t>
    <rPh sb="2" eb="3">
      <t>ヒ</t>
    </rPh>
    <rPh sb="6" eb="7">
      <t>ヒ</t>
    </rPh>
    <phoneticPr fontId="1"/>
  </si>
  <si>
    <t>●年●月支払予定賞与</t>
    <rPh sb="1" eb="2">
      <t>ネン</t>
    </rPh>
    <rPh sb="2" eb="4">
      <t>マルガツ</t>
    </rPh>
    <rPh sb="4" eb="6">
      <t>シハライ</t>
    </rPh>
    <rPh sb="6" eb="8">
      <t>ヨテイ</t>
    </rPh>
    <rPh sb="8" eb="10">
      <t>ショウヨ</t>
    </rPh>
    <phoneticPr fontId="1"/>
  </si>
  <si>
    <t>支給対象月数</t>
    <rPh sb="0" eb="4">
      <t>シキュウタイショウ</t>
    </rPh>
    <rPh sb="4" eb="6">
      <t>ゲッスウ</t>
    </rPh>
    <phoneticPr fontId="1"/>
  </si>
  <si>
    <t>6月</t>
    <rPh sb="1" eb="2">
      <t>ガツ</t>
    </rPh>
    <phoneticPr fontId="1"/>
  </si>
  <si>
    <t>経過月数</t>
    <rPh sb="0" eb="4">
      <t>ケイカツキスウ</t>
    </rPh>
    <phoneticPr fontId="1"/>
  </si>
  <si>
    <t>4か月</t>
    <rPh sb="2" eb="3">
      <t>ゲツ</t>
    </rPh>
    <phoneticPr fontId="1"/>
  </si>
  <si>
    <t>引当額</t>
    <rPh sb="0" eb="3">
      <t>ヒキアテガク</t>
    </rPh>
    <phoneticPr fontId="1"/>
  </si>
  <si>
    <t>未払給与引当額</t>
    <rPh sb="0" eb="2">
      <t>ミバライ</t>
    </rPh>
    <rPh sb="2" eb="4">
      <t>キュウヨ</t>
    </rPh>
    <rPh sb="4" eb="6">
      <t>ヒキアテ</t>
    </rPh>
    <rPh sb="6" eb="7">
      <t>ガク</t>
    </rPh>
    <phoneticPr fontId="1"/>
  </si>
  <si>
    <t>概算社会保険料</t>
    <rPh sb="0" eb="2">
      <t>ガイサン</t>
    </rPh>
    <rPh sb="2" eb="7">
      <t>シャカイホケンリョウ</t>
    </rPh>
    <phoneticPr fontId="1"/>
  </si>
  <si>
    <t>社保考慮後引当不足</t>
    <rPh sb="0" eb="5">
      <t>シャホコウリョゴ</t>
    </rPh>
    <rPh sb="5" eb="7">
      <t>ヒキアテ</t>
    </rPh>
    <rPh sb="7" eb="9">
      <t>フソク</t>
    </rPh>
    <phoneticPr fontId="1"/>
  </si>
  <si>
    <t>勤続年数(年)</t>
    <rPh sb="0" eb="4">
      <t>キンゾクネンスウ</t>
    </rPh>
    <rPh sb="5" eb="6">
      <t>ネン</t>
    </rPh>
    <phoneticPr fontId="1"/>
  </si>
  <si>
    <t>田中　太郎</t>
    <rPh sb="0" eb="2">
      <t>タナカ</t>
    </rPh>
    <rPh sb="3" eb="5">
      <t>タロウ</t>
    </rPh>
    <phoneticPr fontId="1"/>
  </si>
  <si>
    <t>要支給額</t>
    <rPh sb="0" eb="4">
      <t>ヨウシキュウガク</t>
    </rPh>
    <phoneticPr fontId="1"/>
  </si>
  <si>
    <t>引当不足</t>
    <rPh sb="0" eb="4">
      <t>ヒキアテブソク</t>
    </rPh>
    <phoneticPr fontId="1"/>
  </si>
  <si>
    <t>中退共積立額</t>
    <rPh sb="0" eb="3">
      <t>チュウタイキョウ</t>
    </rPh>
    <rPh sb="3" eb="6">
      <t>ツミタテガク</t>
    </rPh>
    <phoneticPr fontId="1"/>
  </si>
  <si>
    <t>その他●名</t>
    <rPh sb="2" eb="3">
      <t>タ</t>
    </rPh>
    <rPh sb="4" eb="5">
      <t>メイ</t>
    </rPh>
    <phoneticPr fontId="1"/>
  </si>
  <si>
    <t>基本給</t>
    <rPh sb="0" eb="3">
      <t>キホンキュウ</t>
    </rPh>
    <phoneticPr fontId="1"/>
  </si>
  <si>
    <t>支給倍率</t>
    <rPh sb="0" eb="4">
      <t>シキュウバイリツ</t>
    </rPh>
    <phoneticPr fontId="1"/>
  </si>
  <si>
    <t>退職理由率</t>
    <rPh sb="0" eb="5">
      <t>タイショクリユウリツ</t>
    </rPh>
    <phoneticPr fontId="1"/>
  </si>
  <si>
    <t>適用判定</t>
    <rPh sb="0" eb="2">
      <t>テキヨウ</t>
    </rPh>
    <rPh sb="2" eb="4">
      <t>ハンテイ</t>
    </rPh>
    <phoneticPr fontId="1"/>
  </si>
  <si>
    <t>〇</t>
    <phoneticPr fontId="1"/>
  </si>
  <si>
    <t>×</t>
    <phoneticPr fontId="1"/>
  </si>
  <si>
    <t>繰延税金資産/負債</t>
    <rPh sb="0" eb="4">
      <t>クリノベゼイキン</t>
    </rPh>
    <rPh sb="4" eb="6">
      <t>シサン</t>
    </rPh>
    <rPh sb="7" eb="9">
      <t>フサイ</t>
    </rPh>
    <phoneticPr fontId="1"/>
  </si>
  <si>
    <t>修正科目</t>
    <rPh sb="0" eb="2">
      <t>シュウセイ</t>
    </rPh>
    <rPh sb="2" eb="4">
      <t>カモク</t>
    </rPh>
    <phoneticPr fontId="1"/>
  </si>
  <si>
    <t>棚卸資産</t>
    <rPh sb="0" eb="4">
      <t>タナオロシシサン</t>
    </rPh>
    <phoneticPr fontId="1"/>
  </si>
  <si>
    <t>流動性がないため、除外</t>
    <rPh sb="0" eb="3">
      <t>リュウドウセイ</t>
    </rPh>
    <rPh sb="9" eb="11">
      <t>ジョガイ</t>
    </rPh>
    <phoneticPr fontId="1"/>
  </si>
  <si>
    <t>事業場不動産の為、売却益の実現見込みは低い為、除外</t>
    <rPh sb="0" eb="3">
      <t>ジギョウジョウ</t>
    </rPh>
    <rPh sb="3" eb="6">
      <t>フドウサン</t>
    </rPh>
    <rPh sb="7" eb="8">
      <t>タメ</t>
    </rPh>
    <rPh sb="9" eb="12">
      <t>バイキャクエキ</t>
    </rPh>
    <rPh sb="13" eb="15">
      <t>ジツゲン</t>
    </rPh>
    <rPh sb="15" eb="17">
      <t>ミコ</t>
    </rPh>
    <rPh sb="19" eb="20">
      <t>ヒク</t>
    </rPh>
    <rPh sb="21" eb="22">
      <t>タメ</t>
    </rPh>
    <rPh sb="23" eb="25">
      <t>ジョガイ</t>
    </rPh>
    <phoneticPr fontId="1"/>
  </si>
  <si>
    <t>保険積立金</t>
    <rPh sb="0" eb="2">
      <t>ホケン</t>
    </rPh>
    <rPh sb="2" eb="5">
      <t>ツミタテキン</t>
    </rPh>
    <phoneticPr fontId="1"/>
  </si>
  <si>
    <t>未払費用</t>
    <rPh sb="0" eb="4">
      <t>ミバライヒヨウ</t>
    </rPh>
    <phoneticPr fontId="1"/>
  </si>
  <si>
    <t>賞与引当金</t>
    <rPh sb="0" eb="5">
      <t>ショウヨヒキアテキン</t>
    </rPh>
    <phoneticPr fontId="1"/>
  </si>
  <si>
    <t>退職給付引当</t>
    <rPh sb="0" eb="2">
      <t>タイショク</t>
    </rPh>
    <rPh sb="2" eb="4">
      <t>キュウフ</t>
    </rPh>
    <rPh sb="4" eb="6">
      <t>ヒキアテ</t>
    </rPh>
    <phoneticPr fontId="1"/>
  </si>
  <si>
    <t>キャッシュライクアイテム</t>
    <phoneticPr fontId="1"/>
  </si>
  <si>
    <t>役員貸付金</t>
    <rPh sb="0" eb="5">
      <t>ヤクインカシツケキン</t>
    </rPh>
    <phoneticPr fontId="1"/>
  </si>
  <si>
    <t>立替金</t>
    <rPh sb="0" eb="3">
      <t>タテカエキン</t>
    </rPh>
    <phoneticPr fontId="1"/>
  </si>
  <si>
    <t>売却予定不動産</t>
    <rPh sb="0" eb="4">
      <t>バイキャクヨテイ</t>
    </rPh>
    <rPh sb="4" eb="7">
      <t>フドウサン</t>
    </rPh>
    <phoneticPr fontId="1"/>
  </si>
  <si>
    <t>金額</t>
    <rPh sb="0" eb="2">
      <t>キンガク</t>
    </rPh>
    <phoneticPr fontId="1"/>
  </si>
  <si>
    <t>ネットキャッシュ</t>
    <phoneticPr fontId="1"/>
  </si>
  <si>
    <t>ネットデット</t>
    <phoneticPr fontId="1"/>
  </si>
  <si>
    <t>デットライクアイテム</t>
    <phoneticPr fontId="1"/>
  </si>
  <si>
    <t>役員借入金</t>
    <rPh sb="0" eb="5">
      <t>ヤクインカリイレキン</t>
    </rPh>
    <phoneticPr fontId="1"/>
  </si>
  <si>
    <t>売却予定車両</t>
    <rPh sb="0" eb="4">
      <t>バイキャクヨテイ</t>
    </rPh>
    <rPh sb="4" eb="6">
      <t>シャリョウ</t>
    </rPh>
    <phoneticPr fontId="1"/>
  </si>
  <si>
    <t>資産除去債務</t>
    <rPh sb="0" eb="2">
      <t>シサン</t>
    </rPh>
    <rPh sb="2" eb="4">
      <t>ジョキョ</t>
    </rPh>
    <rPh sb="4" eb="6">
      <t>サイム</t>
    </rPh>
    <phoneticPr fontId="1"/>
  </si>
  <si>
    <t>役員退職慰労金</t>
    <rPh sb="0" eb="2">
      <t>ヤクイン</t>
    </rPh>
    <rPh sb="2" eb="7">
      <t>タイショクイロウキン</t>
    </rPh>
    <phoneticPr fontId="1"/>
  </si>
  <si>
    <t>営業循環外前受金</t>
    <rPh sb="0" eb="4">
      <t>エイギョウジュンカン</t>
    </rPh>
    <rPh sb="4" eb="5">
      <t>ガイ</t>
    </rPh>
    <rPh sb="5" eb="7">
      <t>マエウ</t>
    </rPh>
    <rPh sb="7" eb="8">
      <t>キン</t>
    </rPh>
    <phoneticPr fontId="1"/>
  </si>
  <si>
    <t>ファイナンスリース債務</t>
    <rPh sb="9" eb="11">
      <t>サイム</t>
    </rPh>
    <phoneticPr fontId="1"/>
  </si>
  <si>
    <t>社債</t>
    <rPh sb="0" eb="2">
      <t>シャサイ</t>
    </rPh>
    <phoneticPr fontId="1"/>
  </si>
  <si>
    <t>↑どっちか消す</t>
    <rPh sb="5" eb="6">
      <t>ケ</t>
    </rPh>
    <phoneticPr fontId="1"/>
  </si>
  <si>
    <t>従業員貸付金</t>
    <rPh sb="0" eb="3">
      <t>ジュウギョウイン</t>
    </rPh>
    <rPh sb="3" eb="6">
      <t>カシツケキン</t>
    </rPh>
    <phoneticPr fontId="1"/>
  </si>
  <si>
    <t>●年●月期</t>
    <rPh sb="1" eb="2">
      <t>ネン</t>
    </rPh>
    <rPh sb="2" eb="5">
      <t>マルガツキ</t>
    </rPh>
    <phoneticPr fontId="1"/>
  </si>
  <si>
    <t>簿価純資産額</t>
    <rPh sb="0" eb="6">
      <t>ボカジュンシサンガク</t>
    </rPh>
    <phoneticPr fontId="1"/>
  </si>
  <si>
    <t>税効果</t>
    <rPh sb="0" eb="3">
      <t>ゼイコウカ</t>
    </rPh>
    <phoneticPr fontId="1"/>
  </si>
  <si>
    <t>税考慮額</t>
    <rPh sb="0" eb="3">
      <t>ゼイコウリョ</t>
    </rPh>
    <rPh sb="3" eb="4">
      <t>ガク</t>
    </rPh>
    <phoneticPr fontId="1"/>
  </si>
  <si>
    <t>簿価営業利益</t>
    <rPh sb="0" eb="2">
      <t>ボカ</t>
    </rPh>
    <rPh sb="2" eb="6">
      <t>エイギョウリエキ</t>
    </rPh>
    <phoneticPr fontId="1"/>
  </si>
  <si>
    <t>基準営業利益</t>
    <rPh sb="0" eb="2">
      <t>キジュン</t>
    </rPh>
    <rPh sb="2" eb="6">
      <t>エイギョウリエキ</t>
    </rPh>
    <phoneticPr fontId="1"/>
  </si>
  <si>
    <t>時価純資産</t>
    <rPh sb="0" eb="5">
      <t>ジカジュンシサン</t>
    </rPh>
    <phoneticPr fontId="1"/>
  </si>
  <si>
    <t>営業権</t>
    <rPh sb="0" eb="3">
      <t>エイギョウケン</t>
    </rPh>
    <phoneticPr fontId="1"/>
  </si>
  <si>
    <t>営業権倍率</t>
    <rPh sb="0" eb="5">
      <t>エイギョウケンバイリツ</t>
    </rPh>
    <phoneticPr fontId="1"/>
  </si>
  <si>
    <t>x2</t>
    <phoneticPr fontId="1"/>
  </si>
  <si>
    <t>x1</t>
    <phoneticPr fontId="1"/>
  </si>
  <si>
    <t>x3</t>
    <phoneticPr fontId="1"/>
  </si>
  <si>
    <t>想定株式価値</t>
    <rPh sb="0" eb="2">
      <t>ソウテイ</t>
    </rPh>
    <rPh sb="2" eb="4">
      <t>カブシキ</t>
    </rPh>
    <rPh sb="4" eb="6">
      <t>カチ</t>
    </rPh>
    <phoneticPr fontId="1"/>
  </si>
  <si>
    <t>キャッシュライク</t>
    <phoneticPr fontId="1"/>
  </si>
  <si>
    <t>デットライク</t>
    <phoneticPr fontId="1"/>
  </si>
  <si>
    <t>減価償却費</t>
    <rPh sb="0" eb="5">
      <t>ゲンカショウキャクヒ</t>
    </rPh>
    <phoneticPr fontId="1"/>
  </si>
  <si>
    <t>基準EBITDA</t>
    <rPh sb="0" eb="2">
      <t>キジュン</t>
    </rPh>
    <phoneticPr fontId="1"/>
  </si>
  <si>
    <t>マルチプル倍率</t>
    <rPh sb="5" eb="7">
      <t>バイリツ</t>
    </rPh>
    <phoneticPr fontId="1"/>
  </si>
  <si>
    <t>x4</t>
    <phoneticPr fontId="1"/>
  </si>
  <si>
    <t>x5</t>
    <phoneticPr fontId="1"/>
  </si>
  <si>
    <t>EV（EBITDA×倍率）</t>
    <rPh sb="10" eb="12">
      <t>バイリツ</t>
    </rPh>
    <phoneticPr fontId="1"/>
  </si>
  <si>
    <t>非流動性ディスカウント</t>
    <rPh sb="0" eb="4">
      <t>ヒリュウドウセイ</t>
    </rPh>
    <phoneticPr fontId="1"/>
  </si>
  <si>
    <t>株式会社●●</t>
    <rPh sb="0" eb="4">
      <t>カ</t>
    </rPh>
    <phoneticPr fontId="1"/>
  </si>
  <si>
    <t>平均値</t>
    <rPh sb="0" eb="3">
      <t>ヘイキンチ</t>
    </rPh>
    <phoneticPr fontId="1"/>
  </si>
  <si>
    <t>中央値</t>
    <rPh sb="0" eb="3">
      <t>チュウオウチ</t>
    </rPh>
    <phoneticPr fontId="1"/>
  </si>
  <si>
    <t>企業名</t>
    <rPh sb="0" eb="3">
      <t>キギョウメイ</t>
    </rPh>
    <phoneticPr fontId="1"/>
  </si>
  <si>
    <t>EV/EVIDA倍率</t>
    <rPh sb="8" eb="10">
      <t>バイリツ</t>
    </rPh>
    <phoneticPr fontId="1"/>
  </si>
  <si>
    <t>文字</t>
    <rPh sb="0" eb="2">
      <t>モジ</t>
    </rPh>
    <phoneticPr fontId="1"/>
  </si>
  <si>
    <t>コスト</t>
    <phoneticPr fontId="1"/>
  </si>
  <si>
    <t>マーケット</t>
    <phoneticPr fontId="1"/>
  </si>
  <si>
    <t>インカム</t>
    <phoneticPr fontId="1"/>
  </si>
  <si>
    <t>max</t>
    <phoneticPr fontId="1"/>
  </si>
  <si>
    <t>min</t>
    <phoneticPr fontId="1"/>
  </si>
  <si>
    <t>科目</t>
  </si>
  <si>
    <t>償却方法</t>
  </si>
  <si>
    <t>資産名</t>
  </si>
  <si>
    <t>取得年</t>
  </si>
  <si>
    <t>取得月</t>
  </si>
  <si>
    <t>耐用年数</t>
  </si>
  <si>
    <t>取得原価</t>
  </si>
  <si>
    <t>期末帳簿価額</t>
  </si>
  <si>
    <t>建物合計</t>
    <rPh sb="0" eb="4">
      <t>タテモノゴウケイ</t>
    </rPh>
    <phoneticPr fontId="1"/>
  </si>
  <si>
    <t>車両及び運搬具合計</t>
    <rPh sb="0" eb="2">
      <t>シャリョウ</t>
    </rPh>
    <rPh sb="2" eb="3">
      <t>オヨ</t>
    </rPh>
    <rPh sb="4" eb="6">
      <t>ウンパン</t>
    </rPh>
    <rPh sb="6" eb="7">
      <t>グ</t>
    </rPh>
    <rPh sb="7" eb="9">
      <t>ゴウケイ</t>
    </rPh>
    <phoneticPr fontId="1"/>
  </si>
  <si>
    <t>バランスチェック</t>
    <phoneticPr fontId="1"/>
  </si>
  <si>
    <t>作業不要（自動作成）</t>
    <rPh sb="0" eb="4">
      <t>サギョウフヨウ</t>
    </rPh>
    <rPh sb="5" eb="7">
      <t>ジドウ</t>
    </rPh>
    <rPh sb="7" eb="9">
      <t>サクセイ</t>
    </rPh>
    <phoneticPr fontId="1"/>
  </si>
  <si>
    <r>
      <rPr>
        <sz val="12"/>
        <color theme="1"/>
        <rFont val="游ゴシック"/>
        <family val="3"/>
        <charset val="128"/>
      </rPr>
      <t>商品</t>
    </r>
    <r>
      <rPr>
        <sz val="12"/>
        <color theme="1"/>
        <rFont val="Arial"/>
        <family val="2"/>
      </rPr>
      <t>A</t>
    </r>
    <rPh sb="0" eb="2">
      <t>ショウヒン</t>
    </rPh>
    <phoneticPr fontId="1"/>
  </si>
  <si>
    <r>
      <rPr>
        <sz val="12"/>
        <color theme="1"/>
        <rFont val="游ゴシック"/>
        <family val="3"/>
        <charset val="128"/>
      </rPr>
      <t>商品</t>
    </r>
    <r>
      <rPr>
        <sz val="12"/>
        <color theme="1"/>
        <rFont val="Arial"/>
        <family val="3"/>
      </rPr>
      <t>B</t>
    </r>
    <rPh sb="0" eb="2">
      <t>ショウヒン</t>
    </rPh>
    <phoneticPr fontId="1"/>
  </si>
  <si>
    <r>
      <rPr>
        <sz val="12"/>
        <color theme="1"/>
        <rFont val="游ゴシック"/>
        <family val="3"/>
        <charset val="128"/>
      </rPr>
      <t>商品</t>
    </r>
    <r>
      <rPr>
        <sz val="12"/>
        <color theme="1"/>
        <rFont val="Arial"/>
        <family val="2"/>
      </rPr>
      <t>C</t>
    </r>
    <rPh sb="0" eb="2">
      <t>ショウヒン</t>
    </rPh>
    <phoneticPr fontId="1"/>
  </si>
  <si>
    <r>
      <rPr>
        <sz val="12"/>
        <color theme="1"/>
        <rFont val="游ゴシック"/>
        <family val="3"/>
        <charset val="128"/>
      </rPr>
      <t>その他</t>
    </r>
  </si>
  <si>
    <t>タイトル、合計欄は太字</t>
    <rPh sb="5" eb="7">
      <t>ゴウケイ</t>
    </rPh>
    <rPh sb="7" eb="8">
      <t>ラン</t>
    </rPh>
    <rPh sb="9" eb="11">
      <t>フトジ</t>
    </rPh>
    <phoneticPr fontId="1"/>
  </si>
  <si>
    <t>数字は円単位で入力、表示は千円単位に設定済み</t>
    <rPh sb="0" eb="2">
      <t>スウジ</t>
    </rPh>
    <rPh sb="3" eb="6">
      <t>エンタンイ</t>
    </rPh>
    <rPh sb="7" eb="9">
      <t>ニュウリョク</t>
    </rPh>
    <rPh sb="10" eb="12">
      <t>ヒョウジ</t>
    </rPh>
    <rPh sb="13" eb="15">
      <t>センエン</t>
    </rPh>
    <rPh sb="15" eb="17">
      <t>タンイ</t>
    </rPh>
    <rPh sb="18" eb="21">
      <t>セッテイズ</t>
    </rPh>
    <phoneticPr fontId="1"/>
  </si>
  <si>
    <t>線は紺か白か青。</t>
    <rPh sb="0" eb="1">
      <t>セン</t>
    </rPh>
    <rPh sb="2" eb="3">
      <t>コン</t>
    </rPh>
    <rPh sb="4" eb="5">
      <t>シロ</t>
    </rPh>
    <rPh sb="6" eb="7">
      <t>アオ</t>
    </rPh>
    <phoneticPr fontId="1"/>
  </si>
  <si>
    <t>ｚ</t>
    <phoneticPr fontId="1"/>
  </si>
  <si>
    <t>差（グラフ作成用）</t>
    <rPh sb="0" eb="1">
      <t>サ</t>
    </rPh>
    <rPh sb="5" eb="7">
      <t>サクセイ</t>
    </rPh>
    <rPh sb="7" eb="8">
      <t>ヨウ</t>
    </rPh>
    <phoneticPr fontId="1"/>
  </si>
  <si>
    <t>文字は「游ゴシック」、数字は「Arial」を基本。備考欄などの細かい文章は「游ゴシック Medium」。</t>
    <rPh sb="0" eb="2">
      <t>モジ</t>
    </rPh>
    <rPh sb="22" eb="24">
      <t>キホン</t>
    </rPh>
    <rPh sb="25" eb="28">
      <t>ビコウラン</t>
    </rPh>
    <rPh sb="31" eb="32">
      <t>コマ</t>
    </rPh>
    <rPh sb="34" eb="36">
      <t>ブンショウ</t>
    </rPh>
    <phoneticPr fontId="1"/>
  </si>
  <si>
    <t>基本の背景は以下の通り。紺、水色、グレー、白、青。パレットの上部の色。</t>
    <rPh sb="0" eb="2">
      <t>キホン</t>
    </rPh>
    <rPh sb="3" eb="5">
      <t>ハイケイ</t>
    </rPh>
    <rPh sb="6" eb="8">
      <t>イカ</t>
    </rPh>
    <rPh sb="9" eb="10">
      <t>トオ</t>
    </rPh>
    <rPh sb="12" eb="13">
      <t>コン</t>
    </rPh>
    <rPh sb="14" eb="16">
      <t>ミズイロ</t>
    </rPh>
    <rPh sb="21" eb="22">
      <t>シロ</t>
    </rPh>
    <rPh sb="23" eb="24">
      <t>アオ</t>
    </rPh>
    <rPh sb="30" eb="32">
      <t>ジョウブ</t>
    </rPh>
    <rPh sb="33" eb="34">
      <t>イロ</t>
    </rPh>
    <phoneticPr fontId="1"/>
  </si>
  <si>
    <t>支払保険料</t>
    <rPh sb="0" eb="5">
      <t>シハライホケンリョウ</t>
    </rPh>
    <phoneticPr fontId="1"/>
  </si>
  <si>
    <t>接待交際費</t>
    <rPh sb="0" eb="5">
      <t>セッタイコウサイヒ</t>
    </rPh>
    <phoneticPr fontId="1"/>
  </si>
  <si>
    <t>会議費</t>
    <rPh sb="0" eb="3">
      <t>カイギヒ</t>
    </rPh>
    <phoneticPr fontId="1"/>
  </si>
  <si>
    <t>社会保険料</t>
    <rPh sb="0" eb="4">
      <t>シャカイホケン</t>
    </rPh>
    <rPh sb="4" eb="5">
      <t>リョウ</t>
    </rPh>
    <phoneticPr fontId="1"/>
  </si>
  <si>
    <t>役員報酬（退任予定）</t>
    <rPh sb="0" eb="2">
      <t>ヤクイン</t>
    </rPh>
    <rPh sb="2" eb="4">
      <t>ホウシュウ</t>
    </rPh>
    <rPh sb="5" eb="7">
      <t>タイニン</t>
    </rPh>
    <rPh sb="7" eb="9">
      <t>ヨテイ</t>
    </rPh>
    <phoneticPr fontId="1"/>
  </si>
  <si>
    <t>役員報酬（派遣想定）</t>
    <rPh sb="0" eb="4">
      <t>ヤクインホウシュウ</t>
    </rPh>
    <rPh sb="5" eb="9">
      <t>ハケンソウテイ</t>
    </rPh>
    <phoneticPr fontId="1"/>
  </si>
  <si>
    <t>経常的営業外収益</t>
    <rPh sb="0" eb="3">
      <t>ケイジョウテキ</t>
    </rPh>
    <rPh sb="3" eb="6">
      <t>エイギョウガイ</t>
    </rPh>
    <rPh sb="6" eb="8">
      <t>シュウエキ</t>
    </rPh>
    <phoneticPr fontId="1"/>
  </si>
  <si>
    <t>非経常的販管費</t>
    <rPh sb="0" eb="4">
      <t>ヒケイジョウテキ</t>
    </rPh>
    <rPh sb="4" eb="7">
      <t>ハンカンヒ</t>
    </rPh>
    <phoneticPr fontId="1"/>
  </si>
  <si>
    <t>調整額</t>
    <phoneticPr fontId="1"/>
  </si>
  <si>
    <t>調整後</t>
    <phoneticPr fontId="1"/>
  </si>
  <si>
    <t>調整事由</t>
    <rPh sb="2" eb="4">
      <t>ジユウ</t>
    </rPh>
    <phoneticPr fontId="1"/>
  </si>
  <si>
    <t>商品単価の誤りであり、調整を実施</t>
    <rPh sb="14" eb="16">
      <t>ジッシ</t>
    </rPh>
    <phoneticPr fontId="1"/>
  </si>
  <si>
    <t>調整後EBITDA</t>
    <rPh sb="0" eb="2">
      <t>チョウセイ</t>
    </rPh>
    <rPh sb="2" eb="3">
      <t>ゴ</t>
    </rPh>
    <phoneticPr fontId="1"/>
  </si>
  <si>
    <t>調整項目 合計</t>
    <rPh sb="0" eb="2">
      <t>チョウセイ</t>
    </rPh>
    <rPh sb="2" eb="4">
      <t>コウモク</t>
    </rPh>
    <rPh sb="5" eb="7">
      <t>ゴウケイ</t>
    </rPh>
    <phoneticPr fontId="1"/>
  </si>
  <si>
    <t>TODO</t>
    <phoneticPr fontId="1"/>
  </si>
  <si>
    <t>2月</t>
    <rPh sb="1" eb="2">
      <t>ガツ</t>
    </rPh>
    <phoneticPr fontId="1"/>
  </si>
  <si>
    <t>3月</t>
    <rPh sb="1" eb="2">
      <t>ガツ</t>
    </rPh>
    <phoneticPr fontId="1"/>
  </si>
  <si>
    <t>4月</t>
    <rPh sb="1" eb="2">
      <t>ガツ</t>
    </rPh>
    <phoneticPr fontId="1"/>
  </si>
  <si>
    <t>5月</t>
    <rPh sb="1" eb="2">
      <t>ガツ</t>
    </rPh>
    <phoneticPr fontId="1"/>
  </si>
  <si>
    <t>交渉</t>
    <rPh sb="0" eb="2">
      <t>コウショウ</t>
    </rPh>
    <phoneticPr fontId="1"/>
  </si>
  <si>
    <t>TOP面談</t>
    <rPh sb="3" eb="5">
      <t>メンダン</t>
    </rPh>
    <phoneticPr fontId="1"/>
  </si>
  <si>
    <t>LOIドラフト作成</t>
    <rPh sb="7" eb="9">
      <t>サクセイ</t>
    </rPh>
    <phoneticPr fontId="1"/>
  </si>
  <si>
    <t>LOI提出</t>
    <rPh sb="3" eb="5">
      <t>テイシュツ</t>
    </rPh>
    <phoneticPr fontId="1"/>
  </si>
  <si>
    <t>LOI受領(独占交渉権)</t>
    <rPh sb="3" eb="5">
      <t>ジュリョウ</t>
    </rPh>
    <rPh sb="6" eb="11">
      <t>ドクセンコウショウケン</t>
    </rPh>
    <phoneticPr fontId="1"/>
  </si>
  <si>
    <t>DD</t>
    <phoneticPr fontId="1"/>
  </si>
  <si>
    <t>DDスコープ・依頼先選定</t>
    <rPh sb="7" eb="10">
      <t>イライサキ</t>
    </rPh>
    <rPh sb="10" eb="12">
      <t>センテイ</t>
    </rPh>
    <phoneticPr fontId="1"/>
  </si>
  <si>
    <t>IRL提出</t>
    <rPh sb="3" eb="5">
      <t>テイシュツ</t>
    </rPh>
    <phoneticPr fontId="1"/>
  </si>
  <si>
    <t>QAラリー</t>
    <phoneticPr fontId="1"/>
  </si>
  <si>
    <t>マネジメントインタビュー</t>
    <phoneticPr fontId="1"/>
  </si>
  <si>
    <t>DD結果報告</t>
    <rPh sb="2" eb="4">
      <t>ケッカ</t>
    </rPh>
    <rPh sb="4" eb="6">
      <t>ホウコク</t>
    </rPh>
    <phoneticPr fontId="1"/>
  </si>
  <si>
    <t>契約</t>
    <rPh sb="0" eb="2">
      <t>ケイヤク</t>
    </rPh>
    <phoneticPr fontId="1"/>
  </si>
  <si>
    <t>SPA内容調整</t>
    <rPh sb="3" eb="7">
      <t>ナイヨウチョウセイ</t>
    </rPh>
    <phoneticPr fontId="1"/>
  </si>
  <si>
    <t>SPA締結</t>
    <rPh sb="3" eb="5">
      <t>テイケツ</t>
    </rPh>
    <phoneticPr fontId="1"/>
  </si>
  <si>
    <t>CoC対応等</t>
    <rPh sb="3" eb="5">
      <t>タイオウ</t>
    </rPh>
    <rPh sb="5" eb="6">
      <t>ナド</t>
    </rPh>
    <phoneticPr fontId="1"/>
  </si>
  <si>
    <t>クロージング</t>
    <phoneticPr fontId="1"/>
  </si>
  <si>
    <t>役員変更登記申請</t>
    <rPh sb="0" eb="4">
      <t>ヤクインヘンコウ</t>
    </rPh>
    <rPh sb="4" eb="6">
      <t>トウキ</t>
    </rPh>
    <rPh sb="6" eb="8">
      <t>シンセイ</t>
    </rPh>
    <phoneticPr fontId="1"/>
  </si>
  <si>
    <t>PMI</t>
    <phoneticPr fontId="1"/>
  </si>
  <si>
    <t>従業員・取引先開示</t>
    <rPh sb="0" eb="3">
      <t>ジュウギョウイン</t>
    </rPh>
    <rPh sb="4" eb="6">
      <t>トリヒキ</t>
    </rPh>
    <rPh sb="6" eb="7">
      <t>サキ</t>
    </rPh>
    <rPh sb="7" eb="9">
      <t>カイジ</t>
    </rPh>
    <phoneticPr fontId="1"/>
  </si>
  <si>
    <t>連帯保証解除等</t>
    <rPh sb="0" eb="2">
      <t>レンタイ</t>
    </rPh>
    <rPh sb="2" eb="4">
      <t>ホショウ</t>
    </rPh>
    <rPh sb="4" eb="6">
      <t>カイジョ</t>
    </rPh>
    <rPh sb="6" eb="7">
      <t>ナド</t>
    </rPh>
    <phoneticPr fontId="1"/>
  </si>
  <si>
    <t>PMI・グループ連携</t>
    <rPh sb="8" eb="10">
      <t>レンケイ</t>
    </rPh>
    <phoneticPr fontId="1"/>
  </si>
  <si>
    <t>●</t>
    <phoneticPr fontId="1"/>
  </si>
  <si>
    <t>報酬発生</t>
    <rPh sb="0" eb="4">
      <t>ホウシュウハッセイ</t>
    </rPh>
    <phoneticPr fontId="1"/>
  </si>
  <si>
    <t>スケジュール表</t>
    <rPh sb="6" eb="7">
      <t>ヒョウ</t>
    </rPh>
    <phoneticPr fontId="1"/>
  </si>
  <si>
    <t>日付</t>
    <rPh sb="0" eb="2">
      <t>ヒヅケ</t>
    </rPh>
    <phoneticPr fontId="1"/>
  </si>
  <si>
    <t>曜日</t>
    <rPh sb="0" eb="2">
      <t>ヨウビ</t>
    </rPh>
    <phoneticPr fontId="1"/>
  </si>
  <si>
    <t>【売主】　●●●様</t>
    <rPh sb="1" eb="3">
      <t>ウリヌシ</t>
    </rPh>
    <rPh sb="8" eb="9">
      <t>サマ</t>
    </rPh>
    <phoneticPr fontId="1"/>
  </si>
  <si>
    <t>【買主】　●●●様</t>
    <rPh sb="1" eb="3">
      <t>カイヌシ</t>
    </rPh>
    <rPh sb="8" eb="9">
      <t>サマ</t>
    </rPh>
    <phoneticPr fontId="1"/>
  </si>
  <si>
    <t>M&amp;A承継機構</t>
    <rPh sb="3" eb="7">
      <t>ショウケイキコウ</t>
    </rPh>
    <phoneticPr fontId="1"/>
  </si>
  <si>
    <t>2025年</t>
    <rPh sb="4" eb="5">
      <t>ネン</t>
    </rPh>
    <phoneticPr fontId="1"/>
  </si>
  <si>
    <t>本日　お打ち合わせ</t>
    <rPh sb="0" eb="2">
      <t>ホンジツ</t>
    </rPh>
    <rPh sb="4" eb="5">
      <t>ウ</t>
    </rPh>
    <rPh sb="6" eb="7">
      <t>ア</t>
    </rPh>
    <phoneticPr fontId="1"/>
  </si>
  <si>
    <t>TOP面談準備</t>
    <rPh sb="3" eb="5">
      <t>メンダン</t>
    </rPh>
    <rPh sb="5" eb="7">
      <t>ジュンビ</t>
    </rPh>
    <phoneticPr fontId="1"/>
  </si>
  <si>
    <t>LOI内容検討</t>
    <rPh sb="3" eb="5">
      <t>ナイヨウ</t>
    </rPh>
    <rPh sb="5" eb="7">
      <t>ケントウ</t>
    </rPh>
    <phoneticPr fontId="1"/>
  </si>
  <si>
    <t>LOIドラフト提示</t>
    <rPh sb="7" eb="9">
      <t>テイジ</t>
    </rPh>
    <phoneticPr fontId="1"/>
  </si>
  <si>
    <t>DDスコープ・依頼先検討</t>
    <rPh sb="7" eb="10">
      <t>イライサキ</t>
    </rPh>
    <rPh sb="10" eb="12">
      <t>ケントウ</t>
    </rPh>
    <phoneticPr fontId="1"/>
  </si>
  <si>
    <t>LOI回答(独占交渉権付与)</t>
    <rPh sb="3" eb="5">
      <t>カイトウ</t>
    </rPh>
    <rPh sb="6" eb="11">
      <t>ドクセンコウショウケン</t>
    </rPh>
    <rPh sb="11" eb="13">
      <t>フヨ</t>
    </rPh>
    <phoneticPr fontId="1"/>
  </si>
  <si>
    <t>※独占交渉権獲得</t>
    <rPh sb="1" eb="6">
      <t>ドクセンコウショウケン</t>
    </rPh>
    <rPh sb="6" eb="8">
      <t>カクトク</t>
    </rPh>
    <phoneticPr fontId="1"/>
  </si>
  <si>
    <t>LOI内容説明</t>
    <rPh sb="3" eb="5">
      <t>ナイヨウ</t>
    </rPh>
    <rPh sb="5" eb="7">
      <t>セツメイ</t>
    </rPh>
    <phoneticPr fontId="1"/>
  </si>
  <si>
    <t>DDスコープ・依頼先確定</t>
    <rPh sb="7" eb="9">
      <t>イライ</t>
    </rPh>
    <rPh sb="9" eb="10">
      <t>サキ</t>
    </rPh>
    <rPh sb="10" eb="12">
      <t>カクテイ</t>
    </rPh>
    <phoneticPr fontId="1"/>
  </si>
  <si>
    <t>DDキックオフミーティング</t>
    <phoneticPr fontId="1"/>
  </si>
  <si>
    <t>DD資料提出・QA対応</t>
    <rPh sb="2" eb="6">
      <t>シリョウテイシュツ</t>
    </rPh>
    <rPh sb="9" eb="11">
      <t>タイオウ</t>
    </rPh>
    <phoneticPr fontId="1"/>
  </si>
  <si>
    <t>IRL提出※DD依頼先</t>
    <rPh sb="3" eb="5">
      <t>テイシュツ</t>
    </rPh>
    <rPh sb="8" eb="11">
      <t>イライサキ</t>
    </rPh>
    <phoneticPr fontId="1"/>
  </si>
  <si>
    <t>DDQA対応※DD依頼先</t>
    <rPh sb="4" eb="6">
      <t>タイオウ</t>
    </rPh>
    <rPh sb="9" eb="12">
      <t>イライサキ</t>
    </rPh>
    <phoneticPr fontId="1"/>
  </si>
  <si>
    <t>DD資料提出・QA対応</t>
    <rPh sb="2" eb="4">
      <t>シリョウ</t>
    </rPh>
    <rPh sb="4" eb="6">
      <t>テイシュツ</t>
    </rPh>
    <rPh sb="9" eb="11">
      <t>タイオウ</t>
    </rPh>
    <phoneticPr fontId="1"/>
  </si>
  <si>
    <t>DDマネジメントインタビュー</t>
    <phoneticPr fontId="1"/>
  </si>
  <si>
    <t>SPA内容検討</t>
    <rPh sb="3" eb="5">
      <t>ナイヨウ</t>
    </rPh>
    <rPh sb="5" eb="7">
      <t>ケントウ</t>
    </rPh>
    <phoneticPr fontId="1"/>
  </si>
  <si>
    <t>SPAドラフト提出</t>
    <rPh sb="7" eb="9">
      <t>テイシュツ</t>
    </rPh>
    <phoneticPr fontId="1"/>
  </si>
  <si>
    <t>DD結果確認(DD報告会)</t>
    <rPh sb="2" eb="4">
      <t>ケッカ</t>
    </rPh>
    <rPh sb="4" eb="6">
      <t>カクニン</t>
    </rPh>
    <rPh sb="9" eb="12">
      <t>ホウコクカイ</t>
    </rPh>
    <phoneticPr fontId="1"/>
  </si>
  <si>
    <t>SPA案ご提出</t>
    <rPh sb="3" eb="4">
      <t>アン</t>
    </rPh>
    <rPh sb="5" eb="7">
      <t>テイシュツ</t>
    </rPh>
    <phoneticPr fontId="1"/>
  </si>
  <si>
    <t>SPA調整</t>
    <rPh sb="3" eb="5">
      <t>チョウセイ</t>
    </rPh>
    <phoneticPr fontId="1"/>
  </si>
  <si>
    <t>株式譲渡契約書締結</t>
    <rPh sb="0" eb="7">
      <t>カブシキジョウトケイヤクショ</t>
    </rPh>
    <rPh sb="7" eb="9">
      <t>テイケツ</t>
    </rPh>
    <phoneticPr fontId="1"/>
  </si>
  <si>
    <t>COC対応等</t>
    <rPh sb="3" eb="5">
      <t>タイオウ</t>
    </rPh>
    <rPh sb="5" eb="6">
      <t>ナド</t>
    </rPh>
    <phoneticPr fontId="1"/>
  </si>
  <si>
    <t>クロージング（資金決済、株主名簿書換、役員変更登記申請)</t>
    <rPh sb="7" eb="11">
      <t>シキンケッサイ</t>
    </rPh>
    <rPh sb="12" eb="16">
      <t>カブヌシメイボ</t>
    </rPh>
    <rPh sb="16" eb="18">
      <t>カキカエ</t>
    </rPh>
    <rPh sb="19" eb="23">
      <t>ヤクインヘンコウ</t>
    </rPh>
    <rPh sb="23" eb="27">
      <t>トウキシンセイ</t>
    </rPh>
    <phoneticPr fontId="1"/>
  </si>
  <si>
    <t>従業員・取引先への開示、PMI</t>
    <rPh sb="0" eb="3">
      <t>ジュウギョウイン</t>
    </rPh>
    <rPh sb="4" eb="7">
      <t>トリヒキサキ</t>
    </rPh>
    <rPh sb="9" eb="11">
      <t>カイジ</t>
    </rPh>
    <phoneticPr fontId="1"/>
  </si>
  <si>
    <t>2026年</t>
    <rPh sb="4" eb="5">
      <t>ネン</t>
    </rPh>
    <phoneticPr fontId="1"/>
  </si>
  <si>
    <t>F</t>
    <phoneticPr fontId="1"/>
  </si>
  <si>
    <t>L</t>
    <phoneticPr fontId="1"/>
  </si>
  <si>
    <t>B</t>
    <phoneticPr fontId="1"/>
  </si>
  <si>
    <t>1期目</t>
    <rPh sb="1" eb="3">
      <t>キメ</t>
    </rPh>
    <phoneticPr fontId="1"/>
  </si>
  <si>
    <t>2期目</t>
    <rPh sb="1" eb="3">
      <t>キメ</t>
    </rPh>
    <phoneticPr fontId="1"/>
  </si>
  <si>
    <t>3期目</t>
    <rPh sb="1" eb="3">
      <t>キメ</t>
    </rPh>
    <phoneticPr fontId="1"/>
  </si>
  <si>
    <t>進行期</t>
    <rPh sb="0" eb="2">
      <t>シンコウ</t>
    </rPh>
    <rPh sb="2" eb="3">
      <t>キ</t>
    </rPh>
    <phoneticPr fontId="1"/>
  </si>
  <si>
    <t>（4期目）</t>
    <rPh sb="2" eb="4">
      <t>キメ</t>
    </rPh>
    <phoneticPr fontId="1"/>
  </si>
  <si>
    <t>←基本的にはここをつかう→</t>
    <rPh sb="1" eb="4">
      <t>キホンテキ</t>
    </rPh>
    <phoneticPr fontId="1"/>
  </si>
  <si>
    <r>
      <t>IM</t>
    </r>
    <r>
      <rPr>
        <sz val="12"/>
        <color rgb="FFFF0000"/>
        <rFont val="游ゴシック Medium"/>
        <family val="2"/>
        <charset val="128"/>
      </rPr>
      <t>に貼るときは非表示→</t>
    </r>
    <rPh sb="3" eb="4">
      <t>ハ</t>
    </rPh>
    <rPh sb="8" eb="11">
      <t>ヒヒョウジ</t>
    </rPh>
    <phoneticPr fontId="1"/>
  </si>
  <si>
    <t>修正額</t>
    <rPh sb="0" eb="2">
      <t>シュウセイ</t>
    </rPh>
    <phoneticPr fontId="1"/>
  </si>
  <si>
    <t>【評価修正額】</t>
    <rPh sb="3" eb="5">
      <t>シュウセイ</t>
    </rPh>
    <rPh sb="5" eb="6">
      <t>ガク</t>
    </rPh>
    <phoneticPr fontId="4"/>
  </si>
  <si>
    <t>修正額</t>
    <rPh sb="0" eb="2">
      <t>シュウセイ</t>
    </rPh>
    <rPh sb="2" eb="3">
      <t>ガク</t>
    </rPh>
    <phoneticPr fontId="1"/>
  </si>
  <si>
    <t>修正税効果</t>
    <rPh sb="0" eb="2">
      <t>シュウセイ</t>
    </rPh>
    <rPh sb="2" eb="3">
      <t>ゼイ</t>
    </rPh>
    <rPh sb="3" eb="5">
      <t>コウカ</t>
    </rPh>
    <phoneticPr fontId="4"/>
  </si>
  <si>
    <t>修正後</t>
    <rPh sb="0" eb="2">
      <t>シュウセイ</t>
    </rPh>
    <phoneticPr fontId="1"/>
  </si>
  <si>
    <t>修正後</t>
    <rPh sb="0" eb="3">
      <t>シュウセイゴ</t>
    </rPh>
    <phoneticPr fontId="1"/>
  </si>
  <si>
    <t>修正後営業利益</t>
    <rPh sb="0" eb="2">
      <t>シュウセイ</t>
    </rPh>
    <rPh sb="2" eb="3">
      <t>ゴ</t>
    </rPh>
    <rPh sb="3" eb="7">
      <t>エイギョウリエキ</t>
    </rPh>
    <phoneticPr fontId="1"/>
  </si>
  <si>
    <t>修正後税考慮後営業利益</t>
    <rPh sb="0" eb="2">
      <t>シュウセイ</t>
    </rPh>
    <rPh sb="2" eb="3">
      <t>ゴ</t>
    </rPh>
    <rPh sb="3" eb="7">
      <t>ゼイコウリョゴ</t>
    </rPh>
    <rPh sb="7" eb="11">
      <t>エイギョウリエキ</t>
    </rPh>
    <phoneticPr fontId="1"/>
  </si>
  <si>
    <t>修正後EBITDA</t>
    <rPh sb="0" eb="2">
      <t>シュウセイ</t>
    </rPh>
    <rPh sb="2" eb="3">
      <t>ゴ</t>
    </rPh>
    <phoneticPr fontId="1"/>
  </si>
  <si>
    <t>23年12月期</t>
    <rPh sb="2" eb="3">
      <t>ネン</t>
    </rPh>
    <rPh sb="5" eb="6">
      <t>ガツ</t>
    </rPh>
    <rPh sb="6" eb="7">
      <t>キ</t>
    </rPh>
    <phoneticPr fontId="1"/>
  </si>
  <si>
    <t>24年12月期</t>
    <rPh sb="2" eb="3">
      <t>ネン</t>
    </rPh>
    <rPh sb="5" eb="6">
      <t>ガツ</t>
    </rPh>
    <rPh sb="6" eb="7">
      <t>キ</t>
    </rPh>
    <phoneticPr fontId="1"/>
  </si>
  <si>
    <t>25年12月期</t>
    <rPh sb="2" eb="3">
      <t>ネン</t>
    </rPh>
    <rPh sb="5" eb="6">
      <t>ガツ</t>
    </rPh>
    <rPh sb="6" eb="7">
      <t>キ</t>
    </rPh>
    <phoneticPr fontId="1"/>
  </si>
  <si>
    <t>現金及び預金</t>
  </si>
  <si>
    <t>商品</t>
  </si>
  <si>
    <t>貯蔵品</t>
  </si>
  <si>
    <t>前払費用</t>
  </si>
  <si>
    <t>未収入金</t>
  </si>
  <si>
    <t>貸倒引当金</t>
  </si>
  <si>
    <t>仮払金</t>
  </si>
  <si>
    <t>前払金</t>
  </si>
  <si>
    <t>未収還付法人税等</t>
  </si>
  <si>
    <t>建物附属設備</t>
  </si>
  <si>
    <t>ソフトウェア</t>
  </si>
  <si>
    <t>差入保証金</t>
  </si>
  <si>
    <t>長期前払費用</t>
  </si>
  <si>
    <t>短期借入金</t>
  </si>
  <si>
    <t>未払法人税等</t>
  </si>
  <si>
    <t>資本準備金</t>
  </si>
  <si>
    <t>繰越利益剰余金</t>
  </si>
  <si>
    <t>役員報酬</t>
  </si>
  <si>
    <t>給料手当</t>
  </si>
  <si>
    <t>賞与</t>
  </si>
  <si>
    <t>退職金</t>
  </si>
  <si>
    <t>法定福利費</t>
  </si>
  <si>
    <t>福利厚生費</t>
  </si>
  <si>
    <t>採用教育費</t>
  </si>
  <si>
    <t>広告宣伝費</t>
  </si>
  <si>
    <t>接待交際費</t>
  </si>
  <si>
    <t>会議費</t>
  </si>
  <si>
    <t>事務用消耗品費</t>
  </si>
  <si>
    <t>新聞図書費</t>
  </si>
  <si>
    <t>地代家賃</t>
  </si>
  <si>
    <t>長期前払費用償却</t>
  </si>
  <si>
    <t>派遣料</t>
  </si>
  <si>
    <t>管理諸費</t>
  </si>
  <si>
    <t>売上高</t>
    <phoneticPr fontId="1"/>
  </si>
  <si>
    <t>期首商品棚卸高</t>
  </si>
  <si>
    <t>当期商品仕入高</t>
  </si>
  <si>
    <t>仕入値引戻し高</t>
  </si>
  <si>
    <t>期末商品棚卸高</t>
  </si>
  <si>
    <t>受取利息</t>
  </si>
  <si>
    <t>仕入割引</t>
  </si>
  <si>
    <t>雑収入</t>
  </si>
  <si>
    <t>支払利息</t>
  </si>
  <si>
    <t>雑損失</t>
  </si>
  <si>
    <t>固定資産圧縮損</t>
  </si>
  <si>
    <t>固定資産除却損</t>
  </si>
  <si>
    <t>2025年12月期</t>
    <rPh sb="4" eb="5">
      <t>ネン</t>
    </rPh>
    <rPh sb="7" eb="9">
      <t>ガツキ</t>
    </rPh>
    <phoneticPr fontId="1"/>
  </si>
  <si>
    <t>2023年12月期</t>
    <rPh sb="4" eb="5">
      <t>ネン</t>
    </rPh>
    <rPh sb="7" eb="9">
      <t>ガツキ</t>
    </rPh>
    <phoneticPr fontId="1"/>
  </si>
  <si>
    <t>2024年12月期</t>
    <rPh sb="4" eb="5">
      <t>ネン</t>
    </rPh>
    <rPh sb="7" eb="9">
      <t>ガツキ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</si>
</sst>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quot;△&quot;\ #,##0"/>
    <numFmt numFmtId="177" formatCode="0.0%"/>
    <numFmt numFmtId="178" formatCode="#,##0,"/>
    <numFmt numFmtId="179" formatCode="0_);[Red]\(0\)"/>
    <numFmt numFmtId="180" formatCode="0.00_);[Red]\(0.00\)"/>
    <numFmt numFmtId="181" formatCode="#,##0_ "/>
    <numFmt numFmtId="182" formatCode="#,##0,;\△#,##0,;0"/>
    <numFmt numFmtId="183" formatCode="#,##0.00_ "/>
    <numFmt numFmtId="184" formatCode="#,##0.0_ "/>
    <numFmt numFmtId="185" formatCode="m&quot;月&quot;d&quot;日&quot;;@"/>
  </numFmts>
  <fonts count="57" x14ac:knownFonts="1">
    <font>
      <sz val="11"/>
      <color theme="1"/>
      <name val="游ゴシック Medium"/>
      <family val="2"/>
      <charset val="128"/>
      <scheme val="minor"/>
    </font>
    <font>
      <sz val="6"/>
      <name val="游ゴシック Medium"/>
      <family val="2"/>
      <charset val="128"/>
      <scheme val="minor"/>
    </font>
    <font>
      <b/>
      <sz val="12"/>
      <color theme="0"/>
      <name val="游ゴシック"/>
      <family val="3"/>
      <charset val="128"/>
    </font>
    <font>
      <sz val="9"/>
      <color theme="1"/>
      <name val="游ゴシック Medium"/>
      <family val="3"/>
      <charset val="128"/>
    </font>
    <font>
      <sz val="11"/>
      <color theme="1"/>
      <name val="游ゴシック Medium"/>
      <family val="3"/>
      <charset val="128"/>
    </font>
    <font>
      <b/>
      <sz val="14"/>
      <color theme="1"/>
      <name val="Arial"/>
      <family val="2"/>
    </font>
    <font>
      <b/>
      <sz val="12"/>
      <color theme="1"/>
      <name val="游ゴシック"/>
      <family val="3"/>
      <charset val="128"/>
    </font>
    <font>
      <b/>
      <sz val="12"/>
      <color theme="1"/>
      <name val="Arial"/>
      <family val="2"/>
    </font>
    <font>
      <sz val="12"/>
      <color theme="1"/>
      <name val="Arial"/>
      <family val="2"/>
    </font>
    <font>
      <b/>
      <sz val="12"/>
      <color theme="1"/>
      <name val="游ゴシック"/>
      <family val="2"/>
      <charset val="128"/>
    </font>
    <font>
      <sz val="11"/>
      <color rgb="FFFF0000"/>
      <name val="游ゴシック Medium"/>
      <family val="2"/>
      <charset val="128"/>
      <scheme val="minor"/>
    </font>
    <font>
      <b/>
      <sz val="12"/>
      <color rgb="FFFF0000"/>
      <name val="游ゴシック"/>
      <family val="3"/>
      <charset val="128"/>
    </font>
    <font>
      <sz val="12"/>
      <color theme="1"/>
      <name val="游ゴシック"/>
      <family val="3"/>
      <charset val="128"/>
      <scheme val="major"/>
    </font>
    <font>
      <b/>
      <sz val="12"/>
      <color theme="0"/>
      <name val="游ゴシック"/>
      <family val="3"/>
      <charset val="128"/>
      <scheme val="major"/>
    </font>
    <font>
      <sz val="11"/>
      <color theme="1"/>
      <name val="游ゴシック"/>
      <family val="3"/>
      <charset val="128"/>
      <scheme val="major"/>
    </font>
    <font>
      <b/>
      <sz val="12"/>
      <color theme="1"/>
      <name val="游ゴシック"/>
      <family val="3"/>
      <charset val="128"/>
      <scheme val="major"/>
    </font>
    <font>
      <sz val="11"/>
      <color rgb="FFFF0000"/>
      <name val="游ゴシック"/>
      <family val="3"/>
      <charset val="128"/>
      <scheme val="major"/>
    </font>
    <font>
      <sz val="10"/>
      <color theme="1"/>
      <name val="游ゴシック"/>
      <family val="3"/>
      <charset val="128"/>
      <scheme val="major"/>
    </font>
    <font>
      <sz val="11"/>
      <color theme="1"/>
      <name val="Arial"/>
      <family val="2"/>
    </font>
    <font>
      <sz val="10"/>
      <color theme="1"/>
      <name val="Arial"/>
      <family val="2"/>
    </font>
    <font>
      <b/>
      <sz val="11"/>
      <color theme="1"/>
      <name val="游ゴシック"/>
      <family val="3"/>
      <charset val="128"/>
      <scheme val="major"/>
    </font>
    <font>
      <sz val="12"/>
      <color theme="0"/>
      <name val="游ゴシック"/>
      <family val="3"/>
      <charset val="128"/>
      <scheme val="major"/>
    </font>
    <font>
      <sz val="11"/>
      <color theme="1"/>
      <name val="游ゴシック Medium"/>
      <family val="2"/>
      <charset val="128"/>
      <scheme val="minor"/>
    </font>
    <font>
      <b/>
      <sz val="11"/>
      <color theme="1"/>
      <name val="游ゴシック Medium"/>
      <family val="2"/>
      <charset val="128"/>
      <scheme val="minor"/>
    </font>
    <font>
      <sz val="12"/>
      <color theme="1"/>
      <name val="ＭＳ Ｐゴシック"/>
      <family val="2"/>
      <charset val="128"/>
    </font>
    <font>
      <sz val="12"/>
      <color theme="1"/>
      <name val="游ゴシック"/>
      <family val="3"/>
      <charset val="128"/>
    </font>
    <font>
      <sz val="12"/>
      <color theme="1"/>
      <name val="游ゴシック"/>
      <family val="2"/>
      <charset val="128"/>
    </font>
    <font>
      <sz val="9"/>
      <color theme="1"/>
      <name val="游ゴシック"/>
      <family val="3"/>
      <charset val="128"/>
      <scheme val="major"/>
    </font>
    <font>
      <b/>
      <sz val="12"/>
      <color theme="0"/>
      <name val="Arial"/>
      <family val="2"/>
    </font>
    <font>
      <sz val="12"/>
      <name val="Arial"/>
      <family val="2"/>
    </font>
    <font>
      <sz val="10"/>
      <color theme="1"/>
      <name val="Meiryo UI"/>
      <family val="2"/>
      <charset val="128"/>
    </font>
    <font>
      <sz val="12"/>
      <color rgb="FFFF0000"/>
      <name val="Arial"/>
      <family val="2"/>
    </font>
    <font>
      <sz val="12"/>
      <color rgb="FFFF0000"/>
      <name val="游ゴシック Medium"/>
      <family val="2"/>
      <charset val="128"/>
    </font>
    <font>
      <sz val="12"/>
      <name val="游ゴシック"/>
      <family val="2"/>
      <charset val="128"/>
    </font>
    <font>
      <i/>
      <sz val="9"/>
      <color theme="1"/>
      <name val="游ゴシック"/>
      <family val="3"/>
      <charset val="128"/>
      <scheme val="major"/>
    </font>
    <font>
      <i/>
      <sz val="9"/>
      <color theme="1"/>
      <name val="Arial"/>
      <family val="2"/>
    </font>
    <font>
      <b/>
      <sz val="14"/>
      <color theme="1"/>
      <name val="游ゴシック"/>
      <family val="3"/>
      <charset val="128"/>
      <scheme val="major"/>
    </font>
    <font>
      <sz val="9"/>
      <color theme="1"/>
      <name val="游ゴシック Medium"/>
      <family val="3"/>
      <charset val="128"/>
      <scheme val="minor"/>
    </font>
    <font>
      <b/>
      <sz val="9"/>
      <color theme="1"/>
      <name val="游ゴシック Medium"/>
      <family val="3"/>
      <charset val="128"/>
      <scheme val="minor"/>
    </font>
    <font>
      <b/>
      <sz val="10"/>
      <color rgb="FFFF0000"/>
      <name val="游ゴシック"/>
      <family val="3"/>
      <charset val="128"/>
    </font>
    <font>
      <b/>
      <sz val="11"/>
      <color rgb="FFFF0000"/>
      <name val="游ゴシック Medium"/>
      <family val="3"/>
      <charset val="128"/>
      <scheme val="minor"/>
    </font>
    <font>
      <b/>
      <sz val="11"/>
      <color rgb="FFFF0000"/>
      <name val="游ゴシック"/>
      <family val="3"/>
      <charset val="128"/>
      <scheme val="major"/>
    </font>
    <font>
      <sz val="12"/>
      <color theme="1"/>
      <name val="Arial"/>
      <family val="3"/>
      <charset val="128"/>
    </font>
    <font>
      <sz val="12"/>
      <color theme="1"/>
      <name val="Arial"/>
      <family val="3"/>
    </font>
    <font>
      <sz val="12"/>
      <color theme="0"/>
      <name val="游ゴシック"/>
      <family val="3"/>
      <charset val="128"/>
    </font>
    <font>
      <b/>
      <sz val="11"/>
      <color theme="1"/>
      <name val="Arial"/>
      <family val="2"/>
    </font>
    <font>
      <sz val="12"/>
      <color theme="1"/>
      <name val="Arial"/>
      <family val="2"/>
      <charset val="128"/>
    </font>
    <font>
      <sz val="11"/>
      <name val="游ゴシック"/>
      <family val="3"/>
      <charset val="128"/>
      <scheme val="major"/>
    </font>
    <font>
      <sz val="12"/>
      <name val="游ゴシック"/>
      <family val="3"/>
      <charset val="128"/>
      <scheme val="major"/>
    </font>
    <font>
      <b/>
      <sz val="11"/>
      <color theme="0"/>
      <name val="游ゴシック"/>
      <family val="3"/>
      <charset val="128"/>
      <scheme val="major"/>
    </font>
    <font>
      <sz val="8"/>
      <color theme="0"/>
      <name val="游ゴシック"/>
      <family val="3"/>
      <charset val="128"/>
      <scheme val="major"/>
    </font>
    <font>
      <sz val="8"/>
      <name val="游ゴシック"/>
      <family val="3"/>
      <charset val="128"/>
      <scheme val="major"/>
    </font>
    <font>
      <b/>
      <sz val="11"/>
      <color theme="0" tint="-4.9989318521683403E-2"/>
      <name val="游ゴシック"/>
      <family val="3"/>
      <charset val="128"/>
      <scheme val="major"/>
    </font>
    <font>
      <sz val="8"/>
      <color theme="1"/>
      <name val="游ゴシック"/>
      <family val="3"/>
      <charset val="128"/>
      <scheme val="major"/>
    </font>
    <font>
      <sz val="11"/>
      <color theme="9"/>
      <name val="游ゴシック"/>
      <family val="3"/>
      <charset val="128"/>
      <scheme val="major"/>
    </font>
    <font>
      <sz val="12"/>
      <color theme="1"/>
      <name val="游ゴシック Medium"/>
      <family val="2"/>
      <charset val="128"/>
      <scheme val="minor"/>
    </font>
    <font>
      <sz val="12"/>
      <color theme="0" tint="-0.14999847407452621"/>
      <name val="Arial"/>
      <family val="2"/>
    </font>
  </fonts>
  <fills count="17">
    <fill>
      <patternFill patternType="none"/>
    </fill>
    <fill>
      <patternFill patternType="gray125"/>
    </fill>
    <fill>
      <patternFill patternType="solid">
        <fgColor theme="0"/>
        <bgColor indexed="64"/>
      </patternFill>
    </fill>
    <fill>
      <patternFill patternType="solid">
        <fgColor rgb="FF0B3041"/>
        <bgColor indexed="64"/>
      </patternFill>
    </fill>
    <fill>
      <patternFill patternType="solid">
        <fgColor rgb="FFE3E7E9"/>
        <bgColor indexed="64"/>
      </patternFill>
    </fill>
    <fill>
      <patternFill patternType="solid">
        <fgColor rgb="FFE1F2FB"/>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bgColor indexed="64"/>
      </patternFill>
    </fill>
    <fill>
      <patternFill patternType="solid">
        <fgColor theme="3"/>
        <bgColor indexed="64"/>
      </patternFill>
    </fill>
    <fill>
      <patternFill patternType="solid">
        <fgColor theme="2"/>
        <bgColor indexed="64"/>
      </patternFill>
    </fill>
    <fill>
      <patternFill patternType="solid">
        <fgColor theme="4" tint="0.79998168889431442"/>
        <bgColor indexed="64"/>
      </patternFill>
    </fill>
    <fill>
      <patternFill patternType="solid">
        <fgColor rgb="FFCCECFF"/>
        <bgColor indexed="64"/>
      </patternFill>
    </fill>
    <fill>
      <patternFill patternType="solid">
        <fgColor rgb="FFFFCCCC"/>
        <bgColor indexed="64"/>
      </patternFill>
    </fill>
  </fills>
  <borders count="125">
    <border>
      <left/>
      <right/>
      <top/>
      <bottom/>
      <diagonal/>
    </border>
    <border>
      <left style="thin">
        <color theme="0"/>
      </left>
      <right style="thin">
        <color theme="0"/>
      </right>
      <top style="thin">
        <color theme="0" tint="-0.34998626667073579"/>
      </top>
      <bottom/>
      <diagonal/>
    </border>
    <border>
      <left/>
      <right style="thin">
        <color theme="0"/>
      </right>
      <top style="thin">
        <color theme="0" tint="-0.34998626667073579"/>
      </top>
      <bottom/>
      <diagonal/>
    </border>
    <border>
      <left style="thin">
        <color theme="0"/>
      </left>
      <right style="thin">
        <color theme="0"/>
      </right>
      <top style="thin">
        <color rgb="FF0B3041"/>
      </top>
      <bottom style="thin">
        <color rgb="FF0B3041"/>
      </bottom>
      <diagonal/>
    </border>
    <border>
      <left style="thin">
        <color theme="0"/>
      </left>
      <right/>
      <top style="thin">
        <color rgb="FF0B3041"/>
      </top>
      <bottom style="thin">
        <color rgb="FF0B3041"/>
      </bottom>
      <diagonal/>
    </border>
    <border>
      <left style="thin">
        <color theme="0"/>
      </left>
      <right style="medium">
        <color theme="0"/>
      </right>
      <top/>
      <bottom style="thin">
        <color theme="0" tint="-0.34998626667073579"/>
      </bottom>
      <diagonal/>
    </border>
    <border>
      <left style="medium">
        <color theme="0"/>
      </left>
      <right style="medium">
        <color theme="0"/>
      </right>
      <top/>
      <bottom style="thin">
        <color theme="0" tint="-0.34998626667073579"/>
      </bottom>
      <diagonal/>
    </border>
    <border>
      <left style="thin">
        <color theme="0"/>
      </left>
      <right style="thin">
        <color theme="0"/>
      </right>
      <top style="thin">
        <color rgb="FF0B3041"/>
      </top>
      <bottom style="medium">
        <color rgb="FF0B3041"/>
      </bottom>
      <diagonal/>
    </border>
    <border>
      <left style="thin">
        <color theme="0"/>
      </left>
      <right/>
      <top style="thin">
        <color rgb="FF0B3041"/>
      </top>
      <bottom style="medium">
        <color rgb="FF0B3041"/>
      </bottom>
      <diagonal/>
    </border>
    <border>
      <left style="thin">
        <color theme="0"/>
      </left>
      <right/>
      <top style="medium">
        <color rgb="FF0B3041"/>
      </top>
      <bottom/>
      <diagonal/>
    </border>
    <border>
      <left style="thin">
        <color theme="0"/>
      </left>
      <right style="thin">
        <color theme="0"/>
      </right>
      <top style="medium">
        <color rgb="FF0B3041"/>
      </top>
      <bottom/>
      <diagonal/>
    </border>
    <border>
      <left/>
      <right style="thin">
        <color theme="0"/>
      </right>
      <top style="thin">
        <color rgb="FF0B3041"/>
      </top>
      <bottom style="thin">
        <color rgb="FF0B3041"/>
      </bottom>
      <diagonal/>
    </border>
    <border>
      <left/>
      <right/>
      <top style="thin">
        <color rgb="FF0B3041"/>
      </top>
      <bottom style="thin">
        <color rgb="FF0B3041"/>
      </bottom>
      <diagonal/>
    </border>
    <border>
      <left/>
      <right/>
      <top style="thin">
        <color rgb="FF0B3041"/>
      </top>
      <bottom style="medium">
        <color rgb="FF0B3041"/>
      </bottom>
      <diagonal/>
    </border>
    <border>
      <left style="thin">
        <color theme="0"/>
      </left>
      <right style="medium">
        <color theme="0"/>
      </right>
      <top/>
      <bottom style="thin">
        <color rgb="FF0B3041"/>
      </bottom>
      <diagonal/>
    </border>
    <border>
      <left style="medium">
        <color theme="0"/>
      </left>
      <right style="medium">
        <color theme="0"/>
      </right>
      <top/>
      <bottom style="thin">
        <color rgb="FF0B3041"/>
      </bottom>
      <diagonal/>
    </border>
    <border>
      <left style="thin">
        <color theme="0"/>
      </left>
      <right style="thin">
        <color theme="0"/>
      </right>
      <top style="thin">
        <color theme="0" tint="-0.34998626667073579"/>
      </top>
      <bottom style="thin">
        <color theme="3"/>
      </bottom>
      <diagonal/>
    </border>
    <border>
      <left style="thin">
        <color theme="0"/>
      </left>
      <right style="thin">
        <color theme="0"/>
      </right>
      <top/>
      <bottom style="thin">
        <color theme="3"/>
      </bottom>
      <diagonal/>
    </border>
    <border>
      <left/>
      <right style="thin">
        <color theme="0"/>
      </right>
      <top style="thin">
        <color theme="3"/>
      </top>
      <bottom style="thin">
        <color theme="3"/>
      </bottom>
      <diagonal/>
    </border>
    <border>
      <left style="thin">
        <color theme="0"/>
      </left>
      <right style="thin">
        <color theme="0"/>
      </right>
      <top/>
      <bottom/>
      <diagonal/>
    </border>
    <border>
      <left style="thin">
        <color theme="0"/>
      </left>
      <right style="thin">
        <color theme="0"/>
      </right>
      <top style="thin">
        <color theme="3"/>
      </top>
      <bottom style="thin">
        <color theme="3"/>
      </bottom>
      <diagonal/>
    </border>
    <border>
      <left style="thin">
        <color theme="0"/>
      </left>
      <right/>
      <top/>
      <bottom style="thin">
        <color theme="3"/>
      </bottom>
      <diagonal/>
    </border>
    <border>
      <left/>
      <right style="thin">
        <color theme="0"/>
      </right>
      <top/>
      <bottom style="thin">
        <color theme="3"/>
      </bottom>
      <diagonal/>
    </border>
    <border>
      <left style="thin">
        <color theme="0"/>
      </left>
      <right style="thin">
        <color theme="0"/>
      </right>
      <top style="thin">
        <color theme="0" tint="-0.34998626667073579"/>
      </top>
      <bottom style="dotted">
        <color theme="3"/>
      </bottom>
      <diagonal/>
    </border>
    <border>
      <left style="thin">
        <color theme="0"/>
      </left>
      <right style="thin">
        <color theme="0"/>
      </right>
      <top style="dotted">
        <color theme="3"/>
      </top>
      <bottom style="thin">
        <color theme="3"/>
      </bottom>
      <diagonal/>
    </border>
    <border>
      <left/>
      <right style="thin">
        <color theme="0"/>
      </right>
      <top style="thin">
        <color theme="3"/>
      </top>
      <bottom/>
      <diagonal/>
    </border>
    <border>
      <left style="thin">
        <color theme="0"/>
      </left>
      <right style="thin">
        <color theme="0"/>
      </right>
      <top style="thin">
        <color theme="3"/>
      </top>
      <bottom style="dotted">
        <color theme="3"/>
      </bottom>
      <diagonal/>
    </border>
    <border>
      <left style="thin">
        <color theme="0"/>
      </left>
      <right/>
      <top style="thin">
        <color theme="3"/>
      </top>
      <bottom style="dotted">
        <color theme="3"/>
      </bottom>
      <diagonal/>
    </border>
    <border>
      <left style="thin">
        <color theme="0"/>
      </left>
      <right/>
      <top style="thin">
        <color theme="0" tint="-0.34998626667073579"/>
      </top>
      <bottom style="dotted">
        <color theme="3"/>
      </bottom>
      <diagonal/>
    </border>
    <border>
      <left/>
      <right style="thin">
        <color theme="0"/>
      </right>
      <top style="thin">
        <color theme="3"/>
      </top>
      <bottom style="dotted">
        <color theme="3"/>
      </bottom>
      <diagonal/>
    </border>
    <border>
      <left style="thin">
        <color theme="0"/>
      </left>
      <right style="thick">
        <color theme="7"/>
      </right>
      <top style="dotted">
        <color theme="3"/>
      </top>
      <bottom style="thin">
        <color theme="3"/>
      </bottom>
      <diagonal/>
    </border>
    <border>
      <left style="thin">
        <color theme="0"/>
      </left>
      <right style="thick">
        <color theme="7"/>
      </right>
      <top style="thin">
        <color theme="3"/>
      </top>
      <bottom style="dotted">
        <color theme="3"/>
      </bottom>
      <diagonal/>
    </border>
    <border>
      <left/>
      <right/>
      <top style="thin">
        <color theme="3"/>
      </top>
      <bottom style="dotted">
        <color theme="3"/>
      </bottom>
      <diagonal/>
    </border>
    <border>
      <left/>
      <right/>
      <top style="thick">
        <color theme="7"/>
      </top>
      <bottom/>
      <diagonal/>
    </border>
    <border>
      <left style="thick">
        <color theme="7"/>
      </left>
      <right style="thin">
        <color theme="0"/>
      </right>
      <top style="dotted">
        <color theme="3"/>
      </top>
      <bottom style="thin">
        <color theme="3"/>
      </bottom>
      <diagonal/>
    </border>
    <border>
      <left/>
      <right/>
      <top style="dotted">
        <color theme="3"/>
      </top>
      <bottom/>
      <diagonal/>
    </border>
    <border>
      <left style="thick">
        <color theme="7"/>
      </left>
      <right style="thin">
        <color theme="0"/>
      </right>
      <top style="thin">
        <color theme="3"/>
      </top>
      <bottom style="dotted">
        <color theme="3"/>
      </bottom>
      <diagonal/>
    </border>
    <border>
      <left style="thick">
        <color theme="7"/>
      </left>
      <right/>
      <top style="dotted">
        <color theme="3"/>
      </top>
      <bottom style="thin">
        <color theme="3"/>
      </bottom>
      <diagonal/>
    </border>
    <border>
      <left style="thick">
        <color theme="7"/>
      </left>
      <right style="thick">
        <color theme="7"/>
      </right>
      <top style="thin">
        <color theme="3"/>
      </top>
      <bottom style="dotted">
        <color theme="3"/>
      </bottom>
      <diagonal/>
    </border>
    <border>
      <left style="thick">
        <color theme="7"/>
      </left>
      <right style="thick">
        <color theme="7"/>
      </right>
      <top style="dotted">
        <color theme="3"/>
      </top>
      <bottom style="thin">
        <color theme="3"/>
      </bottom>
      <diagonal/>
    </border>
    <border>
      <left/>
      <right style="thin">
        <color theme="0"/>
      </right>
      <top style="dotted">
        <color theme="3"/>
      </top>
      <bottom style="thin">
        <color theme="3"/>
      </bottom>
      <diagonal/>
    </border>
    <border>
      <left style="thick">
        <color theme="7"/>
      </left>
      <right style="thick">
        <color theme="7"/>
      </right>
      <top style="thin">
        <color theme="0" tint="-0.34998626667073579"/>
      </top>
      <bottom style="dotted">
        <color theme="3"/>
      </bottom>
      <diagonal/>
    </border>
    <border>
      <left style="thick">
        <color theme="7"/>
      </left>
      <right style="thin">
        <color theme="0"/>
      </right>
      <top/>
      <bottom/>
      <diagonal/>
    </border>
    <border>
      <left/>
      <right style="thin">
        <color theme="0"/>
      </right>
      <top/>
      <bottom style="thick">
        <color theme="7"/>
      </bottom>
      <diagonal/>
    </border>
    <border>
      <left style="thin">
        <color theme="0"/>
      </left>
      <right style="thin">
        <color theme="0"/>
      </right>
      <top style="thick">
        <color theme="7"/>
      </top>
      <bottom style="dotted">
        <color theme="3"/>
      </bottom>
      <diagonal/>
    </border>
    <border>
      <left style="thick">
        <color theme="7"/>
      </left>
      <right/>
      <top/>
      <bottom/>
      <diagonal/>
    </border>
    <border>
      <left style="thin">
        <color theme="0"/>
      </left>
      <right/>
      <top style="thick">
        <color theme="7"/>
      </top>
      <bottom style="dotted">
        <color theme="3"/>
      </bottom>
      <diagonal/>
    </border>
    <border>
      <left style="thin">
        <color theme="0"/>
      </left>
      <right/>
      <top/>
      <bottom/>
      <diagonal/>
    </border>
    <border>
      <left style="thin">
        <color theme="0"/>
      </left>
      <right style="thin">
        <color theme="0"/>
      </right>
      <top style="thin">
        <color theme="3"/>
      </top>
      <bottom/>
      <diagonal/>
    </border>
    <border>
      <left/>
      <right style="thin">
        <color theme="0"/>
      </right>
      <top/>
      <bottom/>
      <diagonal/>
    </border>
    <border>
      <left style="thin">
        <color theme="0"/>
      </left>
      <right style="thin">
        <color theme="0"/>
      </right>
      <top style="thick">
        <color theme="7"/>
      </top>
      <bottom style="thick">
        <color theme="7"/>
      </bottom>
      <diagonal/>
    </border>
    <border>
      <left/>
      <right style="thin">
        <color theme="0"/>
      </right>
      <top style="thick">
        <color theme="7"/>
      </top>
      <bottom style="thick">
        <color theme="7"/>
      </bottom>
      <diagonal/>
    </border>
    <border>
      <left style="thin">
        <color theme="0"/>
      </left>
      <right/>
      <top/>
      <bottom style="thin">
        <color theme="0" tint="-0.34998626667073579"/>
      </bottom>
      <diagonal/>
    </border>
    <border>
      <left/>
      <right/>
      <top/>
      <bottom style="thin">
        <color theme="0" tint="-0.34998626667073579"/>
      </bottom>
      <diagonal/>
    </border>
    <border>
      <left/>
      <right/>
      <top style="thin">
        <color theme="0" tint="-0.34998626667073579"/>
      </top>
      <bottom style="thin">
        <color theme="3"/>
      </bottom>
      <diagonal/>
    </border>
    <border>
      <left style="thin">
        <color theme="0"/>
      </left>
      <right/>
      <top style="thin">
        <color theme="3"/>
      </top>
      <bottom style="thin">
        <color theme="3"/>
      </bottom>
      <diagonal/>
    </border>
    <border>
      <left/>
      <right/>
      <top style="thin">
        <color auto="1"/>
      </top>
      <bottom style="thin">
        <color theme="3"/>
      </bottom>
      <diagonal/>
    </border>
    <border>
      <left/>
      <right/>
      <top style="thin">
        <color theme="3"/>
      </top>
      <bottom style="thin">
        <color theme="3"/>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medium">
        <color theme="0"/>
      </right>
      <top/>
      <bottom style="thin">
        <color theme="0" tint="-0.34998626667073579"/>
      </bottom>
      <diagonal/>
    </border>
    <border>
      <left style="thin">
        <color theme="0"/>
      </left>
      <right style="medium">
        <color theme="0"/>
      </right>
      <top/>
      <bottom/>
      <diagonal/>
    </border>
    <border>
      <left/>
      <right style="medium">
        <color theme="0"/>
      </right>
      <top/>
      <bottom/>
      <diagonal/>
    </border>
    <border>
      <left/>
      <right/>
      <top/>
      <bottom style="thin">
        <color theme="3"/>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diagonal/>
    </border>
    <border>
      <left style="thin">
        <color theme="0"/>
      </left>
      <right style="thin">
        <color theme="0"/>
      </right>
      <top/>
      <bottom style="thin">
        <color theme="0" tint="-0.34998626667073579"/>
      </bottom>
      <diagonal/>
    </border>
    <border>
      <left style="thin">
        <color theme="0"/>
      </left>
      <right/>
      <top style="thin">
        <color theme="0" tint="-0.34998626667073579"/>
      </top>
      <bottom/>
      <diagonal/>
    </border>
    <border>
      <left style="thin">
        <color theme="0"/>
      </left>
      <right style="thin">
        <color theme="0"/>
      </right>
      <top style="thin">
        <color theme="0"/>
      </top>
      <bottom style="thin">
        <color theme="0" tint="-0.34998626667073579"/>
      </bottom>
      <diagonal/>
    </border>
    <border>
      <left style="medium">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right style="medium">
        <color theme="0"/>
      </right>
      <top/>
      <bottom style="thin">
        <color theme="0"/>
      </bottom>
      <diagonal/>
    </border>
    <border>
      <left style="medium">
        <color theme="0"/>
      </left>
      <right/>
      <top/>
      <bottom style="thin">
        <color theme="0"/>
      </bottom>
      <diagonal/>
    </border>
    <border>
      <left/>
      <right/>
      <top style="thin">
        <color theme="3"/>
      </top>
      <bottom/>
      <diagonal/>
    </border>
    <border>
      <left/>
      <right style="thin">
        <color theme="0"/>
      </right>
      <top style="thin">
        <color theme="0"/>
      </top>
      <bottom/>
      <diagonal/>
    </border>
    <border>
      <left style="thin">
        <color theme="0" tint="-0.34998626667073579"/>
      </left>
      <right style="thin">
        <color theme="0" tint="-0.34998626667073579"/>
      </right>
      <top style="thin">
        <color theme="0" tint="-0.34998626667073579"/>
      </top>
      <bottom/>
      <diagonal/>
    </border>
    <border>
      <left style="thin">
        <color theme="0"/>
      </left>
      <right style="thin">
        <color theme="0"/>
      </right>
      <top style="thin">
        <color rgb="FF0B3041"/>
      </top>
      <bottom style="thin">
        <color theme="3"/>
      </bottom>
      <diagonal/>
    </border>
    <border>
      <left style="thin">
        <color theme="0"/>
      </left>
      <right style="thin">
        <color theme="0"/>
      </right>
      <top style="thin">
        <color theme="3"/>
      </top>
      <bottom style="thin">
        <color rgb="FF0B3041"/>
      </bottom>
      <diagonal/>
    </border>
    <border>
      <left style="thin">
        <color theme="0"/>
      </left>
      <right/>
      <top style="thin">
        <color theme="3"/>
      </top>
      <bottom style="thin">
        <color rgb="FF0B3041"/>
      </bottom>
      <diagonal/>
    </border>
    <border>
      <left style="thin">
        <color theme="0"/>
      </left>
      <right/>
      <top style="thin">
        <color rgb="FF0B3041"/>
      </top>
      <bottom style="thin">
        <color theme="3"/>
      </bottom>
      <diagonal/>
    </border>
    <border>
      <left style="thin">
        <color theme="0"/>
      </left>
      <right style="thin">
        <color theme="0"/>
      </right>
      <top style="thin">
        <color theme="3"/>
      </top>
      <bottom style="thin">
        <color theme="0"/>
      </bottom>
      <diagonal/>
    </border>
    <border>
      <left/>
      <right/>
      <top style="thin">
        <color theme="3"/>
      </top>
      <bottom style="thin">
        <color rgb="FF0B3041"/>
      </bottom>
      <diagonal/>
    </border>
    <border>
      <left/>
      <right/>
      <top/>
      <bottom style="thin">
        <color theme="0"/>
      </bottom>
      <diagonal/>
    </border>
    <border>
      <left style="medium">
        <color theme="7"/>
      </left>
      <right style="medium">
        <color theme="7"/>
      </right>
      <top style="medium">
        <color theme="7"/>
      </top>
      <bottom/>
      <diagonal/>
    </border>
    <border>
      <left style="medium">
        <color theme="7"/>
      </left>
      <right style="medium">
        <color theme="7"/>
      </right>
      <top/>
      <bottom style="thin">
        <color theme="3"/>
      </bottom>
      <diagonal/>
    </border>
    <border>
      <left style="medium">
        <color theme="7"/>
      </left>
      <right style="medium">
        <color theme="7"/>
      </right>
      <top/>
      <bottom/>
      <diagonal/>
    </border>
    <border>
      <left style="medium">
        <color theme="7"/>
      </left>
      <right style="medium">
        <color theme="7"/>
      </right>
      <top style="thin">
        <color theme="3"/>
      </top>
      <bottom style="thin">
        <color theme="3"/>
      </bottom>
      <diagonal/>
    </border>
    <border>
      <left style="medium">
        <color theme="7"/>
      </left>
      <right style="medium">
        <color theme="7"/>
      </right>
      <top style="thin">
        <color theme="3"/>
      </top>
      <bottom style="medium">
        <color theme="7"/>
      </bottom>
      <diagonal/>
    </border>
    <border>
      <left style="thin">
        <color theme="0" tint="-0.34998626667073579"/>
      </left>
      <right/>
      <top style="thin">
        <color theme="0" tint="-0.34998626667073579"/>
      </top>
      <bottom/>
      <diagonal/>
    </border>
    <border>
      <left style="medium">
        <color theme="7"/>
      </left>
      <right style="medium">
        <color theme="7"/>
      </right>
      <top style="thin">
        <color rgb="FF0B3041"/>
      </top>
      <bottom style="thin">
        <color theme="3"/>
      </bottom>
      <diagonal/>
    </border>
    <border>
      <left style="medium">
        <color theme="7"/>
      </left>
      <right style="medium">
        <color theme="7"/>
      </right>
      <top/>
      <bottom style="medium">
        <color theme="7"/>
      </bottom>
      <diagonal/>
    </border>
    <border>
      <left style="medium">
        <color theme="7"/>
      </left>
      <right style="medium">
        <color theme="7"/>
      </right>
      <top style="thin">
        <color theme="3"/>
      </top>
      <bottom style="thin">
        <color rgb="FF0B3041"/>
      </bottom>
      <diagonal/>
    </border>
    <border>
      <left style="medium">
        <color theme="7"/>
      </left>
      <right style="medium">
        <color theme="7"/>
      </right>
      <top/>
      <bottom style="thin">
        <color theme="0"/>
      </bottom>
      <diagonal/>
    </border>
    <border>
      <left style="medium">
        <color theme="7"/>
      </left>
      <right style="medium">
        <color theme="7"/>
      </right>
      <top style="thin">
        <color theme="0"/>
      </top>
      <bottom style="medium">
        <color theme="7"/>
      </bottom>
      <diagonal/>
    </border>
    <border>
      <left style="medium">
        <color theme="7"/>
      </left>
      <right style="medium">
        <color theme="7"/>
      </right>
      <top style="medium">
        <color theme="7"/>
      </top>
      <bottom style="thin">
        <color theme="0"/>
      </bottom>
      <diagonal/>
    </border>
    <border>
      <left style="medium">
        <color theme="7"/>
      </left>
      <right style="medium">
        <color theme="7"/>
      </right>
      <top style="thin">
        <color rgb="FF0B3041"/>
      </top>
      <bottom style="thin">
        <color rgb="FF0B3041"/>
      </bottom>
      <diagonal/>
    </border>
    <border>
      <left style="medium">
        <color theme="7"/>
      </left>
      <right style="medium">
        <color theme="7"/>
      </right>
      <top style="thin">
        <color rgb="FF0B3041"/>
      </top>
      <bottom/>
      <diagonal/>
    </border>
    <border>
      <left style="medium">
        <color theme="7"/>
      </left>
      <right style="medium">
        <color theme="7"/>
      </right>
      <top/>
      <bottom style="thin">
        <color rgb="FF0B3041"/>
      </bottom>
      <diagonal/>
    </border>
    <border>
      <left style="medium">
        <color theme="7"/>
      </left>
      <right style="medium">
        <color theme="7"/>
      </right>
      <top style="thin">
        <color rgb="FF0B3041"/>
      </top>
      <bottom style="medium">
        <color theme="7"/>
      </bottom>
      <diagonal/>
    </border>
    <border>
      <left style="medium">
        <color theme="0"/>
      </left>
      <right style="medium">
        <color theme="7" tint="-0.499984740745262"/>
      </right>
      <top/>
      <bottom style="medium">
        <color theme="7"/>
      </bottom>
      <diagonal/>
    </border>
    <border>
      <left style="thin">
        <color theme="0"/>
      </left>
      <right style="thin">
        <color theme="0"/>
      </right>
      <top style="thin">
        <color theme="0"/>
      </top>
      <bottom style="thin">
        <color theme="3"/>
      </bottom>
      <diagonal/>
    </border>
    <border>
      <left/>
      <right style="thin">
        <color theme="0"/>
      </right>
      <top style="thin">
        <color theme="0"/>
      </top>
      <bottom style="thin">
        <color theme="3"/>
      </bottom>
      <diagonal/>
    </border>
    <border>
      <left style="thin">
        <color theme="0"/>
      </left>
      <right style="medium">
        <color theme="7"/>
      </right>
      <top style="thin">
        <color theme="3"/>
      </top>
      <bottom/>
      <diagonal/>
    </border>
    <border>
      <left style="medium">
        <color theme="7"/>
      </left>
      <right style="medium">
        <color theme="7"/>
      </right>
      <top style="thin">
        <color theme="3"/>
      </top>
      <bottom/>
      <diagonal/>
    </border>
    <border>
      <left style="thin">
        <color theme="0"/>
      </left>
      <right style="thin">
        <color theme="0"/>
      </right>
      <top/>
      <bottom style="thin">
        <color rgb="FF0B3041"/>
      </bottom>
      <diagonal/>
    </border>
    <border>
      <left/>
      <right/>
      <top/>
      <bottom style="thin">
        <color rgb="FF0B3041"/>
      </bottom>
      <diagonal/>
    </border>
    <border>
      <left/>
      <right style="thin">
        <color theme="0"/>
      </right>
      <top style="thin">
        <color rgb="FF0B3041"/>
      </top>
      <bottom/>
      <diagonal/>
    </border>
    <border>
      <left style="thin">
        <color theme="0"/>
      </left>
      <right style="thin">
        <color theme="0"/>
      </right>
      <top style="thin">
        <color rgb="FF0B3041"/>
      </top>
      <bottom/>
      <diagonal/>
    </border>
    <border>
      <left style="thin">
        <color theme="0"/>
      </left>
      <right style="medium">
        <color theme="7"/>
      </right>
      <top style="thin">
        <color rgb="FF0B3041"/>
      </top>
      <bottom/>
      <diagonal/>
    </border>
    <border>
      <left style="thin">
        <color theme="0"/>
      </left>
      <right/>
      <top/>
      <bottom style="thin">
        <color rgb="FF0B3041"/>
      </bottom>
      <diagonal/>
    </border>
    <border>
      <left style="thin">
        <color theme="0"/>
      </left>
      <right/>
      <top style="thin">
        <color rgb="FF0B3041"/>
      </top>
      <bottom/>
      <diagonal/>
    </border>
    <border>
      <left style="medium">
        <color theme="7"/>
      </left>
      <right style="thin">
        <color theme="0"/>
      </right>
      <top style="medium">
        <color theme="7"/>
      </top>
      <bottom style="medium">
        <color theme="7"/>
      </bottom>
      <diagonal/>
    </border>
    <border>
      <left style="thin">
        <color theme="0"/>
      </left>
      <right style="medium">
        <color theme="7"/>
      </right>
      <top style="medium">
        <color theme="7"/>
      </top>
      <bottom style="medium">
        <color theme="7"/>
      </bottom>
      <diagonal/>
    </border>
    <border>
      <left style="thin">
        <color theme="0"/>
      </left>
      <right style="thin">
        <color theme="0"/>
      </right>
      <top style="medium">
        <color theme="7"/>
      </top>
      <bottom style="medium">
        <color theme="7"/>
      </bottom>
      <diagonal/>
    </border>
    <border>
      <left style="thin">
        <color theme="0"/>
      </left>
      <right style="thin">
        <color theme="0"/>
      </right>
      <top style="thin">
        <color theme="0" tint="-0.34998626667073579"/>
      </top>
      <bottom style="thin">
        <color rgb="FF0B3041"/>
      </bottom>
      <diagonal/>
    </border>
    <border>
      <left style="thin">
        <color theme="0"/>
      </left>
      <right style="thin">
        <color theme="0"/>
      </right>
      <top style="medium">
        <color rgb="FF0B3041"/>
      </top>
      <bottom style="thin">
        <color theme="0"/>
      </bottom>
      <diagonal/>
    </border>
    <border>
      <left style="thin">
        <color theme="0"/>
      </left>
      <right style="medium">
        <color theme="0"/>
      </right>
      <top style="thin">
        <color theme="0"/>
      </top>
      <bottom/>
      <diagonal/>
    </border>
    <border>
      <left/>
      <right style="thin">
        <color theme="0"/>
      </right>
      <top/>
      <bottom style="thin">
        <color rgb="FF0B304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hair">
        <color theme="0" tint="-0.249977111117893"/>
      </top>
      <bottom style="hair">
        <color theme="0" tint="-0.249977111117893"/>
      </bottom>
      <diagonal/>
    </border>
  </borders>
  <cellStyleXfs count="3">
    <xf numFmtId="0" fontId="0" fillId="0" borderId="0">
      <alignment vertical="center"/>
    </xf>
    <xf numFmtId="38" fontId="22" fillId="0" borderId="0" applyFont="0" applyFill="0" applyBorder="0" applyAlignment="0" applyProtection="0">
      <alignment vertical="center"/>
    </xf>
    <xf numFmtId="0" fontId="30" fillId="0" borderId="0">
      <alignment vertical="center"/>
    </xf>
  </cellStyleXfs>
  <cellXfs count="591">
    <xf numFmtId="0" fontId="0" fillId="0" borderId="0" xfId="0">
      <alignment vertical="center"/>
    </xf>
    <xf numFmtId="0" fontId="2" fillId="3" borderId="0" xfId="0" applyFont="1" applyFill="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3" fillId="2" borderId="4" xfId="0" applyFont="1" applyFill="1" applyBorder="1" applyAlignment="1">
      <alignment horizontal="left" vertical="center" indent="1"/>
    </xf>
    <xf numFmtId="0" fontId="3" fillId="2" borderId="4" xfId="0" applyFont="1" applyFill="1" applyBorder="1" applyAlignment="1">
      <alignment horizontal="left" vertical="center" wrapText="1" indent="1"/>
    </xf>
    <xf numFmtId="0" fontId="3" fillId="2" borderId="8" xfId="0" applyFont="1" applyFill="1" applyBorder="1" applyAlignment="1">
      <alignment horizontal="left" vertical="center" indent="1"/>
    </xf>
    <xf numFmtId="0" fontId="4" fillId="5" borderId="9" xfId="0" applyFont="1" applyFill="1" applyBorder="1" applyAlignment="1">
      <alignment horizontal="left" vertical="center" indent="1"/>
    </xf>
    <xf numFmtId="0" fontId="3" fillId="2" borderId="0" xfId="0" applyFont="1" applyFill="1" applyAlignment="1">
      <alignment horizontal="left" vertical="center" indent="1"/>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3" fillId="2" borderId="13" xfId="0" applyFont="1" applyFill="1" applyBorder="1" applyAlignment="1">
      <alignment horizontal="left" vertical="center" wrapText="1" indent="1"/>
    </xf>
    <xf numFmtId="0" fontId="3" fillId="5" borderId="0" xfId="0" applyFont="1" applyFill="1" applyAlignment="1">
      <alignment horizontal="left" vertical="center" indent="1"/>
    </xf>
    <xf numFmtId="0" fontId="3" fillId="2" borderId="12" xfId="0" applyFont="1" applyFill="1" applyBorder="1" applyAlignment="1">
      <alignment horizontal="left" vertical="center" wrapText="1" indent="1"/>
    </xf>
    <xf numFmtId="176" fontId="8" fillId="0" borderId="1" xfId="0" applyNumberFormat="1" applyFont="1" applyBorder="1" applyAlignment="1">
      <alignment horizontal="right" vertical="center" indent="1"/>
    </xf>
    <xf numFmtId="176" fontId="8" fillId="0" borderId="16" xfId="0" applyNumberFormat="1" applyFont="1" applyBorder="1" applyAlignment="1">
      <alignment horizontal="right" vertical="center" indent="1"/>
    </xf>
    <xf numFmtId="176" fontId="8" fillId="0" borderId="17" xfId="0" applyNumberFormat="1" applyFont="1" applyBorder="1" applyAlignment="1">
      <alignment horizontal="right" vertical="center" indent="1"/>
    </xf>
    <xf numFmtId="176" fontId="8" fillId="0" borderId="19" xfId="0" applyNumberFormat="1" applyFont="1" applyBorder="1" applyAlignment="1">
      <alignment horizontal="right" vertical="center" indent="1"/>
    </xf>
    <xf numFmtId="176" fontId="8" fillId="0" borderId="20" xfId="0" applyNumberFormat="1" applyFont="1" applyBorder="1" applyAlignment="1">
      <alignment horizontal="right" vertical="center" indent="1"/>
    </xf>
    <xf numFmtId="0" fontId="3" fillId="2" borderId="21" xfId="0" applyFont="1" applyFill="1" applyBorder="1" applyAlignment="1">
      <alignment horizontal="left" vertical="center" wrapText="1" indent="1"/>
    </xf>
    <xf numFmtId="0" fontId="3" fillId="2" borderId="21" xfId="0" applyFont="1" applyFill="1" applyBorder="1" applyAlignment="1">
      <alignment horizontal="left" vertical="center" indent="1"/>
    </xf>
    <xf numFmtId="0" fontId="3" fillId="2" borderId="16" xfId="0" applyFont="1" applyFill="1" applyBorder="1" applyAlignment="1">
      <alignment horizontal="left" vertical="center" indent="1"/>
    </xf>
    <xf numFmtId="176" fontId="8" fillId="0" borderId="23" xfId="0" applyNumberFormat="1" applyFont="1" applyBorder="1" applyAlignment="1">
      <alignment horizontal="right" vertical="center" indent="1"/>
    </xf>
    <xf numFmtId="176" fontId="8" fillId="0" borderId="24" xfId="0" applyNumberFormat="1" applyFont="1" applyBorder="1" applyAlignment="1">
      <alignment horizontal="right" vertical="center" indent="1"/>
    </xf>
    <xf numFmtId="0" fontId="3" fillId="2" borderId="23" xfId="0" applyFont="1" applyFill="1" applyBorder="1" applyAlignment="1">
      <alignment horizontal="left" vertical="center" indent="1"/>
    </xf>
    <xf numFmtId="176" fontId="8" fillId="0" borderId="26" xfId="0" applyNumberFormat="1" applyFont="1" applyBorder="1" applyAlignment="1">
      <alignment horizontal="right" vertical="center" indent="1"/>
    </xf>
    <xf numFmtId="0" fontId="3" fillId="2" borderId="27" xfId="0" applyFont="1" applyFill="1" applyBorder="1" applyAlignment="1">
      <alignment horizontal="left" vertical="center" wrapText="1" indent="1"/>
    </xf>
    <xf numFmtId="0" fontId="2" fillId="6" borderId="6" xfId="0" applyFont="1" applyFill="1" applyBorder="1" applyAlignment="1">
      <alignment horizontal="center" vertical="center"/>
    </xf>
    <xf numFmtId="176" fontId="8" fillId="0" borderId="28" xfId="0" applyNumberFormat="1" applyFont="1" applyBorder="1" applyAlignment="1">
      <alignment horizontal="right" vertical="center" indent="1"/>
    </xf>
    <xf numFmtId="176" fontId="8" fillId="0" borderId="21" xfId="0" applyNumberFormat="1" applyFont="1" applyBorder="1" applyAlignment="1">
      <alignment horizontal="right" vertical="center" indent="1"/>
    </xf>
    <xf numFmtId="176" fontId="8" fillId="0" borderId="27" xfId="0" applyNumberFormat="1" applyFont="1" applyBorder="1" applyAlignment="1">
      <alignment horizontal="right" vertical="center" indent="1"/>
    </xf>
    <xf numFmtId="176" fontId="8" fillId="0" borderId="29" xfId="0" applyNumberFormat="1" applyFont="1" applyBorder="1" applyAlignment="1">
      <alignment horizontal="right" vertical="center" indent="1"/>
    </xf>
    <xf numFmtId="176" fontId="8" fillId="0" borderId="2" xfId="0" applyNumberFormat="1" applyFont="1" applyBorder="1" applyAlignment="1">
      <alignment horizontal="right" vertical="center" indent="1"/>
    </xf>
    <xf numFmtId="176" fontId="8" fillId="0" borderId="30" xfId="0" applyNumberFormat="1" applyFont="1" applyBorder="1" applyAlignment="1">
      <alignment horizontal="right" vertical="center" indent="1"/>
    </xf>
    <xf numFmtId="176" fontId="8" fillId="0" borderId="31" xfId="0" applyNumberFormat="1" applyFont="1" applyBorder="1" applyAlignment="1">
      <alignment horizontal="right" vertical="center" indent="1"/>
    </xf>
    <xf numFmtId="0" fontId="0" fillId="0" borderId="33" xfId="0" applyBorder="1">
      <alignment vertical="center"/>
    </xf>
    <xf numFmtId="176" fontId="8" fillId="0" borderId="34" xfId="0" applyNumberFormat="1" applyFont="1" applyBorder="1" applyAlignment="1">
      <alignment horizontal="right" vertical="center" indent="1"/>
    </xf>
    <xf numFmtId="176" fontId="8" fillId="0" borderId="36" xfId="0" applyNumberFormat="1" applyFont="1" applyBorder="1" applyAlignment="1">
      <alignment horizontal="right" vertical="center" indent="1"/>
    </xf>
    <xf numFmtId="176" fontId="8" fillId="0" borderId="40" xfId="0" applyNumberFormat="1" applyFont="1" applyBorder="1" applyAlignment="1">
      <alignment horizontal="right" vertical="center" indent="1"/>
    </xf>
    <xf numFmtId="0" fontId="0" fillId="0" borderId="45" xfId="0" applyBorder="1">
      <alignment vertical="center"/>
    </xf>
    <xf numFmtId="176" fontId="7" fillId="7" borderId="41" xfId="0" applyNumberFormat="1" applyFont="1" applyFill="1" applyBorder="1" applyAlignment="1">
      <alignment horizontal="right" vertical="center" indent="1"/>
    </xf>
    <xf numFmtId="176" fontId="7" fillId="7" borderId="39" xfId="0" applyNumberFormat="1" applyFont="1" applyFill="1" applyBorder="1" applyAlignment="1">
      <alignment horizontal="right" vertical="center" indent="1"/>
    </xf>
    <xf numFmtId="176" fontId="7" fillId="7" borderId="38" xfId="0" applyNumberFormat="1" applyFont="1" applyFill="1" applyBorder="1" applyAlignment="1">
      <alignment horizontal="right" vertical="center" indent="1"/>
    </xf>
    <xf numFmtId="176" fontId="7" fillId="7" borderId="37" xfId="0" applyNumberFormat="1" applyFont="1" applyFill="1" applyBorder="1" applyAlignment="1">
      <alignment horizontal="right" vertical="center" indent="1"/>
    </xf>
    <xf numFmtId="176" fontId="7" fillId="7" borderId="32" xfId="0" applyNumberFormat="1" applyFont="1" applyFill="1" applyBorder="1" applyAlignment="1">
      <alignment horizontal="right" vertical="center" indent="1"/>
    </xf>
    <xf numFmtId="176" fontId="7" fillId="7" borderId="35" xfId="0" applyNumberFormat="1" applyFont="1" applyFill="1" applyBorder="1" applyAlignment="1">
      <alignment horizontal="right" vertical="center" indent="1"/>
    </xf>
    <xf numFmtId="176" fontId="7" fillId="0" borderId="44" xfId="0" applyNumberFormat="1" applyFont="1" applyBorder="1" applyAlignment="1">
      <alignment horizontal="right" vertical="center" indent="1"/>
    </xf>
    <xf numFmtId="176" fontId="7" fillId="0" borderId="46" xfId="0" applyNumberFormat="1" applyFont="1" applyBorder="1" applyAlignment="1">
      <alignment horizontal="right" vertical="center" indent="1"/>
    </xf>
    <xf numFmtId="176" fontId="7" fillId="0" borderId="19" xfId="0" applyNumberFormat="1" applyFont="1" applyBorder="1" applyAlignment="1">
      <alignment horizontal="right" vertical="center" indent="1"/>
    </xf>
    <xf numFmtId="176" fontId="7" fillId="0" borderId="47" xfId="0" applyNumberFormat="1" applyFont="1" applyBorder="1" applyAlignment="1">
      <alignment horizontal="right" vertical="center" indent="1"/>
    </xf>
    <xf numFmtId="0" fontId="2" fillId="2" borderId="0" xfId="0" applyFont="1" applyFill="1" applyAlignment="1">
      <alignment horizontal="center" vertical="center"/>
    </xf>
    <xf numFmtId="0" fontId="0" fillId="2" borderId="0" xfId="0" applyFill="1">
      <alignment vertical="center"/>
    </xf>
    <xf numFmtId="0" fontId="6" fillId="2" borderId="0" xfId="0" applyFont="1" applyFill="1" applyAlignment="1">
      <alignment horizontal="left" vertical="center" indent="1"/>
    </xf>
    <xf numFmtId="176" fontId="8" fillId="2" borderId="0" xfId="0" applyNumberFormat="1" applyFont="1" applyFill="1" applyAlignment="1">
      <alignment horizontal="right" vertical="center" indent="1"/>
    </xf>
    <xf numFmtId="0" fontId="9" fillId="2" borderId="0" xfId="0" applyFont="1" applyFill="1" applyAlignment="1">
      <alignment horizontal="left" vertical="center" indent="1"/>
    </xf>
    <xf numFmtId="0" fontId="3" fillId="2" borderId="0" xfId="0" applyFont="1" applyFill="1" applyAlignment="1">
      <alignment horizontal="left" vertical="center" wrapText="1" indent="1"/>
    </xf>
    <xf numFmtId="176" fontId="7" fillId="2" borderId="0" xfId="0" applyNumberFormat="1" applyFont="1" applyFill="1" applyAlignment="1">
      <alignment horizontal="right" vertical="center" indent="1"/>
    </xf>
    <xf numFmtId="0" fontId="10" fillId="2" borderId="0" xfId="0" applyFont="1" applyFill="1">
      <alignment vertical="center"/>
    </xf>
    <xf numFmtId="0" fontId="11" fillId="2" borderId="0" xfId="0" applyFont="1" applyFill="1" applyAlignment="1">
      <alignment horizontal="left" vertical="center"/>
    </xf>
    <xf numFmtId="177" fontId="8" fillId="0" borderId="17" xfId="0" applyNumberFormat="1" applyFont="1" applyBorder="1" applyAlignment="1">
      <alignment horizontal="right" vertical="center" indent="1"/>
    </xf>
    <xf numFmtId="176" fontId="12" fillId="0" borderId="16" xfId="0" applyNumberFormat="1" applyFont="1" applyBorder="1" applyAlignment="1">
      <alignment horizontal="left" vertical="center" indent="1"/>
    </xf>
    <xf numFmtId="176" fontId="12" fillId="0" borderId="17" xfId="0" applyNumberFormat="1" applyFont="1" applyBorder="1" applyAlignment="1">
      <alignment horizontal="left" vertical="center" indent="1"/>
    </xf>
    <xf numFmtId="176" fontId="12" fillId="0" borderId="17" xfId="0" applyNumberFormat="1" applyFont="1" applyBorder="1" applyAlignment="1">
      <alignment horizontal="left" vertical="center" wrapText="1" indent="1"/>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4" fillId="0" borderId="0" xfId="0" applyFont="1">
      <alignment vertical="center"/>
    </xf>
    <xf numFmtId="0" fontId="15" fillId="4" borderId="16" xfId="0" applyFont="1" applyFill="1" applyBorder="1" applyAlignment="1">
      <alignment horizontal="left" vertical="center" indent="1"/>
    </xf>
    <xf numFmtId="0" fontId="16" fillId="0" borderId="0" xfId="0" applyFont="1">
      <alignment vertical="center"/>
    </xf>
    <xf numFmtId="176" fontId="12" fillId="0" borderId="19" xfId="0" applyNumberFormat="1" applyFont="1" applyBorder="1" applyAlignment="1">
      <alignment horizontal="right" vertical="center" indent="1"/>
    </xf>
    <xf numFmtId="0" fontId="14" fillId="0" borderId="33" xfId="0" applyFont="1" applyBorder="1">
      <alignment vertical="center"/>
    </xf>
    <xf numFmtId="0" fontId="17" fillId="0" borderId="0" xfId="0" applyFont="1">
      <alignment vertical="center"/>
    </xf>
    <xf numFmtId="0" fontId="18" fillId="0" borderId="0" xfId="0" applyFont="1">
      <alignment vertical="center"/>
    </xf>
    <xf numFmtId="0" fontId="15" fillId="7" borderId="51" xfId="0" applyFont="1" applyFill="1" applyBorder="1" applyAlignment="1">
      <alignment horizontal="left" vertical="center" indent="1"/>
    </xf>
    <xf numFmtId="0" fontId="14" fillId="0" borderId="0" xfId="0" applyFont="1" applyAlignment="1">
      <alignment horizontal="right" vertical="center"/>
    </xf>
    <xf numFmtId="0" fontId="20" fillId="0" borderId="0" xfId="0" applyFont="1">
      <alignment vertical="center"/>
    </xf>
    <xf numFmtId="0" fontId="12" fillId="4" borderId="1" xfId="0" applyFont="1" applyFill="1" applyBorder="1" applyAlignment="1">
      <alignment horizontal="left" vertical="center" indent="1"/>
    </xf>
    <xf numFmtId="0" fontId="12" fillId="4" borderId="25" xfId="0" applyFont="1" applyFill="1" applyBorder="1" applyAlignment="1">
      <alignment horizontal="left" vertical="center" indent="1"/>
    </xf>
    <xf numFmtId="0" fontId="12" fillId="4" borderId="18" xfId="0" applyFont="1" applyFill="1" applyBorder="1" applyAlignment="1">
      <alignment horizontal="left" vertical="center" indent="1"/>
    </xf>
    <xf numFmtId="0" fontId="12" fillId="4" borderId="49" xfId="0" applyFont="1" applyFill="1" applyBorder="1" applyAlignment="1">
      <alignment horizontal="left" vertical="center" indent="1"/>
    </xf>
    <xf numFmtId="0" fontId="21" fillId="3" borderId="5" xfId="0" applyFont="1" applyFill="1" applyBorder="1" applyAlignment="1">
      <alignment horizontal="center" vertical="center"/>
    </xf>
    <xf numFmtId="0" fontId="21" fillId="3" borderId="6" xfId="0" applyFont="1" applyFill="1" applyBorder="1" applyAlignment="1">
      <alignment horizontal="center" vertical="center"/>
    </xf>
    <xf numFmtId="0" fontId="17" fillId="0" borderId="0" xfId="0" applyFont="1" applyAlignment="1">
      <alignment horizontal="center" vertical="center"/>
    </xf>
    <xf numFmtId="0" fontId="21" fillId="3" borderId="52" xfId="0" applyFont="1" applyFill="1" applyBorder="1" applyAlignment="1">
      <alignment horizontal="centerContinuous" vertical="center"/>
    </xf>
    <xf numFmtId="0" fontId="21" fillId="3" borderId="53" xfId="0" applyFont="1" applyFill="1" applyBorder="1" applyAlignment="1">
      <alignment horizontal="centerContinuous" vertical="center"/>
    </xf>
    <xf numFmtId="0" fontId="21" fillId="3" borderId="0" xfId="0" applyFont="1" applyFill="1" applyAlignment="1">
      <alignment horizontal="centerContinuous" vertical="center"/>
    </xf>
    <xf numFmtId="0" fontId="12" fillId="4" borderId="54" xfId="0" applyFont="1" applyFill="1" applyBorder="1" applyAlignment="1">
      <alignment horizontal="left" vertical="center" indent="1"/>
    </xf>
    <xf numFmtId="176" fontId="12" fillId="0" borderId="2" xfId="0" applyNumberFormat="1" applyFont="1" applyBorder="1" applyAlignment="1">
      <alignment horizontal="right" vertical="center" indent="1"/>
    </xf>
    <xf numFmtId="0" fontId="12" fillId="4" borderId="55" xfId="0" applyFont="1" applyFill="1" applyBorder="1" applyAlignment="1">
      <alignment horizontal="left" vertical="center" indent="1"/>
    </xf>
    <xf numFmtId="0" fontId="12" fillId="0" borderId="49" xfId="0" applyFont="1" applyBorder="1" applyAlignment="1">
      <alignment horizontal="left" vertical="center" indent="2"/>
    </xf>
    <xf numFmtId="176" fontId="12" fillId="0" borderId="19" xfId="0" applyNumberFormat="1" applyFont="1" applyBorder="1" applyAlignment="1">
      <alignment horizontal="left" vertical="center" indent="2"/>
    </xf>
    <xf numFmtId="0" fontId="12" fillId="0" borderId="0" xfId="0" applyFont="1" applyAlignment="1">
      <alignment horizontal="left" vertical="center" indent="2"/>
    </xf>
    <xf numFmtId="176" fontId="12" fillId="0" borderId="0" xfId="0" applyNumberFormat="1" applyFont="1" applyAlignment="1">
      <alignment horizontal="right" vertical="center" indent="1"/>
    </xf>
    <xf numFmtId="176" fontId="12" fillId="0" borderId="0" xfId="0" applyNumberFormat="1" applyFont="1" applyAlignment="1">
      <alignment horizontal="left" vertical="center" indent="2"/>
    </xf>
    <xf numFmtId="176" fontId="12" fillId="0" borderId="17" xfId="0" applyNumberFormat="1" applyFont="1" applyBorder="1" applyAlignment="1">
      <alignment horizontal="centerContinuous" vertical="center"/>
    </xf>
    <xf numFmtId="0" fontId="15" fillId="4" borderId="16" xfId="0" applyFont="1" applyFill="1" applyBorder="1" applyAlignment="1">
      <alignment horizontal="center" vertical="center"/>
    </xf>
    <xf numFmtId="0" fontId="15" fillId="4" borderId="22" xfId="0" applyFont="1" applyFill="1" applyBorder="1" applyAlignment="1">
      <alignment horizontal="center" vertical="center"/>
    </xf>
    <xf numFmtId="0" fontId="13" fillId="3" borderId="59" xfId="0" applyFont="1" applyFill="1" applyBorder="1" applyAlignment="1">
      <alignment horizontal="centerContinuous" vertical="center"/>
    </xf>
    <xf numFmtId="0" fontId="13" fillId="3" borderId="60" xfId="0" applyFont="1" applyFill="1" applyBorder="1" applyAlignment="1">
      <alignment horizontal="center" vertical="center"/>
    </xf>
    <xf numFmtId="0" fontId="12" fillId="2" borderId="17" xfId="0" applyFont="1" applyFill="1" applyBorder="1" applyAlignment="1">
      <alignment horizontal="left" vertical="center" indent="1"/>
    </xf>
    <xf numFmtId="0" fontId="12" fillId="2" borderId="21" xfId="0" applyFont="1" applyFill="1" applyBorder="1" applyAlignment="1">
      <alignment horizontal="left" vertical="center" indent="1"/>
    </xf>
    <xf numFmtId="178" fontId="8" fillId="0" borderId="17" xfId="0" applyNumberFormat="1" applyFont="1" applyBorder="1">
      <alignment vertical="center"/>
    </xf>
    <xf numFmtId="178" fontId="8" fillId="4" borderId="54" xfId="0" applyNumberFormat="1" applyFont="1" applyFill="1" applyBorder="1" applyAlignment="1">
      <alignment horizontal="right" vertical="center" indent="1"/>
    </xf>
    <xf numFmtId="178" fontId="8" fillId="0" borderId="19" xfId="0" applyNumberFormat="1" applyFont="1" applyBorder="1" applyAlignment="1">
      <alignment horizontal="right" vertical="center" indent="1"/>
    </xf>
    <xf numFmtId="178" fontId="8" fillId="0" borderId="0" xfId="0" applyNumberFormat="1" applyFont="1" applyAlignment="1">
      <alignment horizontal="right" vertical="center" indent="1"/>
    </xf>
    <xf numFmtId="178" fontId="8" fillId="4" borderId="18" xfId="0" applyNumberFormat="1" applyFont="1" applyFill="1" applyBorder="1" applyAlignment="1">
      <alignment horizontal="right" vertical="center" indent="1"/>
    </xf>
    <xf numFmtId="178" fontId="14" fillId="0" borderId="0" xfId="0" applyNumberFormat="1" applyFont="1">
      <alignment vertical="center"/>
    </xf>
    <xf numFmtId="178" fontId="8" fillId="4" borderId="57" xfId="0" applyNumberFormat="1" applyFont="1" applyFill="1" applyBorder="1">
      <alignment vertical="center"/>
    </xf>
    <xf numFmtId="178" fontId="8" fillId="0" borderId="19" xfId="0" applyNumberFormat="1" applyFont="1" applyBorder="1">
      <alignment vertical="center"/>
    </xf>
    <xf numFmtId="178" fontId="8" fillId="0" borderId="0" xfId="0" applyNumberFormat="1" applyFont="1">
      <alignment vertical="center"/>
    </xf>
    <xf numFmtId="178" fontId="8" fillId="4" borderId="18" xfId="0" applyNumberFormat="1" applyFont="1" applyFill="1" applyBorder="1">
      <alignment vertical="center"/>
    </xf>
    <xf numFmtId="178" fontId="8" fillId="0" borderId="47" xfId="0" applyNumberFormat="1" applyFont="1" applyBorder="1" applyAlignment="1">
      <alignment horizontal="right" vertical="center" indent="1"/>
    </xf>
    <xf numFmtId="176" fontId="12" fillId="0" borderId="17" xfId="0" applyNumberFormat="1" applyFont="1" applyBorder="1" applyAlignment="1">
      <alignment horizontal="right" vertical="center" indent="1"/>
    </xf>
    <xf numFmtId="178" fontId="8" fillId="0" borderId="17" xfId="0" applyNumberFormat="1" applyFont="1" applyBorder="1" applyAlignment="1">
      <alignment horizontal="right" vertical="center" indent="1"/>
    </xf>
    <xf numFmtId="178" fontId="24" fillId="0" borderId="17" xfId="0" applyNumberFormat="1" applyFont="1" applyBorder="1" applyAlignment="1">
      <alignment horizontal="right" vertical="center" indent="1"/>
    </xf>
    <xf numFmtId="178" fontId="12" fillId="0" borderId="17" xfId="0" applyNumberFormat="1" applyFont="1" applyBorder="1" applyAlignment="1">
      <alignment horizontal="left" vertical="center" indent="1"/>
    </xf>
    <xf numFmtId="178" fontId="12" fillId="0" borderId="21" xfId="0" applyNumberFormat="1" applyFont="1" applyBorder="1" applyAlignment="1">
      <alignment horizontal="left" vertical="center" indent="1"/>
    </xf>
    <xf numFmtId="0" fontId="2" fillId="3" borderId="61" xfId="0" applyFont="1" applyFill="1" applyBorder="1" applyAlignment="1">
      <alignment horizontal="center" vertical="center"/>
    </xf>
    <xf numFmtId="0" fontId="23" fillId="0" borderId="0" xfId="0" applyFont="1">
      <alignment vertical="center"/>
    </xf>
    <xf numFmtId="0" fontId="0" fillId="0" borderId="0" xfId="0" applyAlignment="1">
      <alignment horizontal="center" vertical="center"/>
    </xf>
    <xf numFmtId="0" fontId="23" fillId="8" borderId="0" xfId="0" applyFont="1" applyFill="1">
      <alignment vertical="center"/>
    </xf>
    <xf numFmtId="0" fontId="23" fillId="0" borderId="0" xfId="0" applyFont="1" applyAlignment="1">
      <alignment horizontal="right" vertical="center"/>
    </xf>
    <xf numFmtId="0" fontId="0" fillId="0" borderId="0" xfId="0" applyAlignment="1">
      <alignment horizontal="right" vertical="center"/>
    </xf>
    <xf numFmtId="14" fontId="23" fillId="8" borderId="0" xfId="0" applyNumberFormat="1" applyFont="1" applyFill="1" applyAlignment="1">
      <alignment horizontal="right" vertical="center"/>
    </xf>
    <xf numFmtId="176" fontId="24" fillId="0" borderId="16" xfId="0" applyNumberFormat="1" applyFont="1" applyBorder="1" applyAlignment="1">
      <alignment horizontal="left" vertical="center" indent="1"/>
    </xf>
    <xf numFmtId="176" fontId="8" fillId="0" borderId="17" xfId="0" applyNumberFormat="1" applyFont="1" applyBorder="1" applyAlignment="1">
      <alignment horizontal="left" vertical="center" indent="1"/>
    </xf>
    <xf numFmtId="0" fontId="0" fillId="0" borderId="0" xfId="0" applyAlignment="1">
      <alignment horizontal="left" vertical="center"/>
    </xf>
    <xf numFmtId="176" fontId="8" fillId="0" borderId="16" xfId="0" applyNumberFormat="1" applyFont="1" applyBorder="1">
      <alignment vertical="center"/>
    </xf>
    <xf numFmtId="176" fontId="8" fillId="0" borderId="17" xfId="0" applyNumberFormat="1" applyFont="1" applyBorder="1">
      <alignment vertical="center"/>
    </xf>
    <xf numFmtId="0" fontId="2" fillId="9" borderId="61" xfId="0" applyFont="1" applyFill="1" applyBorder="1" applyAlignment="1">
      <alignment horizontal="center" vertical="center"/>
    </xf>
    <xf numFmtId="0" fontId="2" fillId="9" borderId="6" xfId="0" applyFont="1" applyFill="1" applyBorder="1" applyAlignment="1">
      <alignment horizontal="center" vertical="center"/>
    </xf>
    <xf numFmtId="0" fontId="13" fillId="3" borderId="0" xfId="0" applyFont="1" applyFill="1" applyAlignment="1">
      <alignment horizontal="center" vertical="center"/>
    </xf>
    <xf numFmtId="176" fontId="12" fillId="0" borderId="16" xfId="0" applyNumberFormat="1" applyFont="1" applyBorder="1" applyAlignment="1">
      <alignment horizontal="right" vertical="center" indent="1"/>
    </xf>
    <xf numFmtId="0" fontId="27" fillId="2" borderId="16" xfId="0" applyFont="1" applyFill="1" applyBorder="1" applyAlignment="1">
      <alignment horizontal="left" vertical="center" indent="1"/>
    </xf>
    <xf numFmtId="178" fontId="8" fillId="0" borderId="16" xfId="0" applyNumberFormat="1" applyFont="1" applyBorder="1" applyAlignment="1">
      <alignment horizontal="right" vertical="center" indent="1"/>
    </xf>
    <xf numFmtId="0" fontId="13" fillId="3" borderId="6" xfId="0" applyFont="1" applyFill="1" applyBorder="1" applyAlignment="1">
      <alignment horizontal="center" vertical="center" wrapText="1"/>
    </xf>
    <xf numFmtId="0" fontId="12" fillId="0" borderId="16" xfId="0" applyFont="1" applyBorder="1" applyAlignment="1">
      <alignment horizontal="left" vertical="center" wrapText="1" indent="1"/>
    </xf>
    <xf numFmtId="0" fontId="12" fillId="2" borderId="16" xfId="0" applyFont="1" applyFill="1" applyBorder="1" applyAlignment="1">
      <alignment horizontal="left" vertical="center" wrapText="1" indent="1"/>
    </xf>
    <xf numFmtId="176" fontId="12" fillId="0" borderId="16" xfId="0" applyNumberFormat="1" applyFont="1" applyBorder="1" applyAlignment="1">
      <alignment horizontal="center" vertical="center" wrapText="1"/>
    </xf>
    <xf numFmtId="0" fontId="2" fillId="3" borderId="61" xfId="0" applyFont="1" applyFill="1" applyBorder="1" applyAlignment="1">
      <alignment horizontal="center" vertical="center" wrapText="1"/>
    </xf>
    <xf numFmtId="0" fontId="2" fillId="3" borderId="6" xfId="0" applyFont="1" applyFill="1" applyBorder="1" applyAlignment="1">
      <alignment horizontal="center" vertical="center" wrapText="1"/>
    </xf>
    <xf numFmtId="178" fontId="18" fillId="0" borderId="0" xfId="0" applyNumberFormat="1" applyFont="1">
      <alignment vertical="center"/>
    </xf>
    <xf numFmtId="0" fontId="27" fillId="2" borderId="21" xfId="0" applyFont="1" applyFill="1" applyBorder="1" applyAlignment="1">
      <alignment horizontal="left" vertical="center" wrapText="1" indent="1"/>
    </xf>
    <xf numFmtId="180" fontId="8" fillId="0" borderId="16" xfId="0" applyNumberFormat="1" applyFont="1" applyBorder="1" applyAlignment="1">
      <alignment horizontal="right" vertical="center" indent="1"/>
    </xf>
    <xf numFmtId="180" fontId="8" fillId="0" borderId="17" xfId="0" applyNumberFormat="1" applyFont="1" applyBorder="1" applyAlignment="1">
      <alignment horizontal="right" vertical="center" indent="1"/>
    </xf>
    <xf numFmtId="180" fontId="18" fillId="0" borderId="0" xfId="0" applyNumberFormat="1" applyFont="1">
      <alignment vertical="center"/>
    </xf>
    <xf numFmtId="0" fontId="13" fillId="3" borderId="61" xfId="0" applyFont="1" applyFill="1" applyBorder="1" applyAlignment="1">
      <alignment horizontal="center" vertical="center"/>
    </xf>
    <xf numFmtId="0" fontId="12" fillId="0" borderId="22" xfId="0" applyFont="1" applyBorder="1" applyAlignment="1">
      <alignment horizontal="left" vertical="center" indent="1"/>
    </xf>
    <xf numFmtId="180" fontId="24" fillId="0" borderId="17" xfId="0" applyNumberFormat="1" applyFont="1" applyBorder="1" applyAlignment="1">
      <alignment horizontal="right" vertical="center" wrapText="1" indent="1"/>
    </xf>
    <xf numFmtId="0" fontId="14" fillId="0" borderId="0" xfId="0" applyFont="1" applyAlignment="1">
      <alignment horizontal="left" vertical="center"/>
    </xf>
    <xf numFmtId="180" fontId="8" fillId="0" borderId="17" xfId="0" applyNumberFormat="1" applyFont="1" applyBorder="1" applyAlignment="1">
      <alignment horizontal="right" vertical="center" wrapText="1" indent="1"/>
    </xf>
    <xf numFmtId="0" fontId="28" fillId="3" borderId="6" xfId="0" applyFont="1" applyFill="1" applyBorder="1" applyAlignment="1">
      <alignment horizontal="center" vertical="center" wrapText="1"/>
    </xf>
    <xf numFmtId="0" fontId="15" fillId="7" borderId="22" xfId="0" applyFont="1" applyFill="1" applyBorder="1" applyAlignment="1">
      <alignment horizontal="center" vertical="center"/>
    </xf>
    <xf numFmtId="176" fontId="15" fillId="7" borderId="21" xfId="0" applyNumberFormat="1" applyFont="1" applyFill="1" applyBorder="1" applyAlignment="1">
      <alignment horizontal="centerContinuous" vertical="center"/>
    </xf>
    <xf numFmtId="178" fontId="7" fillId="7" borderId="21" xfId="0" applyNumberFormat="1" applyFont="1" applyFill="1" applyBorder="1" applyAlignment="1">
      <alignment horizontal="right" vertical="center" indent="1"/>
    </xf>
    <xf numFmtId="178" fontId="15" fillId="7" borderId="21" xfId="0" applyNumberFormat="1" applyFont="1" applyFill="1" applyBorder="1" applyAlignment="1">
      <alignment horizontal="left" vertical="center" indent="1"/>
    </xf>
    <xf numFmtId="0" fontId="15" fillId="7" borderId="21" xfId="0" applyFont="1" applyFill="1" applyBorder="1" applyAlignment="1">
      <alignment horizontal="left" vertical="center" indent="1"/>
    </xf>
    <xf numFmtId="176" fontId="7" fillId="7" borderId="21" xfId="0" applyNumberFormat="1" applyFont="1" applyFill="1" applyBorder="1" applyAlignment="1">
      <alignment horizontal="right" vertical="center" indent="1"/>
    </xf>
    <xf numFmtId="177" fontId="7" fillId="7" borderId="17" xfId="0" applyNumberFormat="1" applyFont="1" applyFill="1" applyBorder="1" applyAlignment="1">
      <alignment horizontal="right" vertical="center" indent="1"/>
    </xf>
    <xf numFmtId="0" fontId="15" fillId="7" borderId="16" xfId="0" applyFont="1" applyFill="1" applyBorder="1" applyAlignment="1">
      <alignment horizontal="left" vertical="center" indent="1"/>
    </xf>
    <xf numFmtId="176" fontId="15" fillId="7" borderId="17" xfId="0" applyNumberFormat="1" applyFont="1" applyFill="1" applyBorder="1" applyAlignment="1">
      <alignment horizontal="centerContinuous" vertical="center"/>
    </xf>
    <xf numFmtId="178" fontId="7" fillId="7" borderId="17" xfId="0" applyNumberFormat="1" applyFont="1" applyFill="1" applyBorder="1">
      <alignment vertical="center"/>
    </xf>
    <xf numFmtId="176" fontId="7" fillId="7" borderId="17" xfId="0" applyNumberFormat="1" applyFont="1" applyFill="1" applyBorder="1" applyAlignment="1">
      <alignment horizontal="right" vertical="center"/>
    </xf>
    <xf numFmtId="176" fontId="12" fillId="4" borderId="16" xfId="0" applyNumberFormat="1" applyFont="1" applyFill="1" applyBorder="1" applyAlignment="1">
      <alignment horizontal="left" vertical="center" indent="1"/>
    </xf>
    <xf numFmtId="180" fontId="8" fillId="4" borderId="16" xfId="0" applyNumberFormat="1" applyFont="1" applyFill="1" applyBorder="1" applyAlignment="1">
      <alignment horizontal="right" vertical="center" indent="1"/>
    </xf>
    <xf numFmtId="176" fontId="12" fillId="4" borderId="16" xfId="0" applyNumberFormat="1" applyFont="1" applyFill="1" applyBorder="1" applyAlignment="1">
      <alignment horizontal="right" vertical="center" indent="1"/>
    </xf>
    <xf numFmtId="178" fontId="8" fillId="4" borderId="16" xfId="0" applyNumberFormat="1" applyFont="1" applyFill="1" applyBorder="1" applyAlignment="1">
      <alignment horizontal="right" vertical="center" indent="1"/>
    </xf>
    <xf numFmtId="0" fontId="27" fillId="4" borderId="16" xfId="0" applyFont="1" applyFill="1" applyBorder="1" applyAlignment="1">
      <alignment horizontal="left" vertical="center" indent="1"/>
    </xf>
    <xf numFmtId="176" fontId="12" fillId="4" borderId="17" xfId="0" applyNumberFormat="1" applyFont="1" applyFill="1" applyBorder="1" applyAlignment="1">
      <alignment horizontal="left" vertical="center" indent="1"/>
    </xf>
    <xf numFmtId="180" fontId="8" fillId="4" borderId="17" xfId="0" applyNumberFormat="1" applyFont="1" applyFill="1" applyBorder="1" applyAlignment="1">
      <alignment horizontal="right" vertical="center" indent="1"/>
    </xf>
    <xf numFmtId="178" fontId="8" fillId="4" borderId="17" xfId="0" applyNumberFormat="1" applyFont="1" applyFill="1" applyBorder="1" applyAlignment="1">
      <alignment horizontal="right" vertical="center" indent="1"/>
    </xf>
    <xf numFmtId="0" fontId="2" fillId="3" borderId="6" xfId="0" applyFont="1" applyFill="1" applyBorder="1" applyAlignment="1">
      <alignment horizontal="centerContinuous" vertical="center"/>
    </xf>
    <xf numFmtId="0" fontId="6" fillId="7" borderId="17" xfId="0" applyFont="1" applyFill="1" applyBorder="1" applyAlignment="1">
      <alignment horizontal="left" vertical="center" indent="1"/>
    </xf>
    <xf numFmtId="178" fontId="7" fillId="7" borderId="17" xfId="0" applyNumberFormat="1" applyFont="1" applyFill="1" applyBorder="1" applyAlignment="1">
      <alignment horizontal="right" vertical="center" indent="1"/>
    </xf>
    <xf numFmtId="0" fontId="25" fillId="4" borderId="0" xfId="0" applyFont="1" applyFill="1" applyAlignment="1">
      <alignment horizontal="left" vertical="center" indent="1"/>
    </xf>
    <xf numFmtId="0" fontId="26" fillId="4" borderId="0" xfId="0" applyFont="1" applyFill="1" applyAlignment="1">
      <alignment horizontal="left" vertical="center" indent="1"/>
    </xf>
    <xf numFmtId="0" fontId="2" fillId="3" borderId="53" xfId="0" applyFont="1" applyFill="1" applyBorder="1" applyAlignment="1">
      <alignment horizontal="centerContinuous" vertical="center"/>
    </xf>
    <xf numFmtId="0" fontId="2" fillId="3" borderId="0" xfId="0" applyFont="1" applyFill="1" applyAlignment="1">
      <alignment horizontal="centerContinuous" vertical="center"/>
    </xf>
    <xf numFmtId="0" fontId="0" fillId="0" borderId="47" xfId="0" applyBorder="1">
      <alignment vertical="center"/>
    </xf>
    <xf numFmtId="0" fontId="25" fillId="4" borderId="19" xfId="0" applyFont="1" applyFill="1" applyBorder="1" applyAlignment="1">
      <alignment horizontal="left" vertical="center" indent="1"/>
    </xf>
    <xf numFmtId="0" fontId="2" fillId="3" borderId="52" xfId="0" applyFont="1" applyFill="1" applyBorder="1" applyAlignment="1">
      <alignment horizontal="centerContinuous" vertical="center"/>
    </xf>
    <xf numFmtId="0" fontId="6" fillId="7" borderId="21" xfId="0" applyFont="1" applyFill="1" applyBorder="1" applyAlignment="1">
      <alignment horizontal="left" vertical="center" indent="1"/>
    </xf>
    <xf numFmtId="0" fontId="2" fillId="3" borderId="21" xfId="0" applyFont="1" applyFill="1" applyBorder="1" applyAlignment="1">
      <alignment horizontal="left" vertical="center" indent="1"/>
    </xf>
    <xf numFmtId="0" fontId="2" fillId="3" borderId="68" xfId="0" applyFont="1" applyFill="1" applyBorder="1" applyAlignment="1">
      <alignment horizontal="left" vertical="center" indent="1"/>
    </xf>
    <xf numFmtId="0" fontId="2" fillId="3" borderId="66" xfId="0" applyFont="1" applyFill="1" applyBorder="1" applyAlignment="1">
      <alignment horizontal="left" vertical="center" indent="1"/>
    </xf>
    <xf numFmtId="0" fontId="0" fillId="0" borderId="19" xfId="0" applyBorder="1">
      <alignment vertical="center"/>
    </xf>
    <xf numFmtId="0" fontId="2" fillId="3" borderId="70" xfId="0" applyFont="1" applyFill="1" applyBorder="1" applyAlignment="1">
      <alignment horizontal="centerContinuous" vertical="center"/>
    </xf>
    <xf numFmtId="0" fontId="2" fillId="3" borderId="19" xfId="0" applyFont="1" applyFill="1" applyBorder="1" applyAlignment="1">
      <alignment horizontal="center" vertical="center"/>
    </xf>
    <xf numFmtId="0" fontId="26" fillId="4" borderId="19" xfId="0" applyFont="1" applyFill="1" applyBorder="1" applyAlignment="1">
      <alignment horizontal="left" vertical="center" indent="1"/>
    </xf>
    <xf numFmtId="0" fontId="2" fillId="3" borderId="20" xfId="0" applyFont="1" applyFill="1" applyBorder="1" applyAlignment="1">
      <alignment horizontal="left" vertical="center" indent="1"/>
    </xf>
    <xf numFmtId="0" fontId="25" fillId="7" borderId="21" xfId="0" applyFont="1" applyFill="1" applyBorder="1" applyAlignment="1">
      <alignment horizontal="left" vertical="center" indent="1"/>
    </xf>
    <xf numFmtId="0" fontId="25" fillId="7" borderId="47" xfId="0" applyFont="1" applyFill="1" applyBorder="1" applyAlignment="1">
      <alignment horizontal="left" vertical="center" indent="1"/>
    </xf>
    <xf numFmtId="0" fontId="25" fillId="4" borderId="64" xfId="0" applyFont="1" applyFill="1" applyBorder="1" applyAlignment="1">
      <alignment horizontal="left" vertical="center" indent="1"/>
    </xf>
    <xf numFmtId="0" fontId="0" fillId="0" borderId="49" xfId="0" applyBorder="1">
      <alignment vertical="center"/>
    </xf>
    <xf numFmtId="0" fontId="2" fillId="3" borderId="49" xfId="0" applyFont="1" applyFill="1" applyBorder="1" applyAlignment="1">
      <alignment horizontal="center" vertical="center"/>
    </xf>
    <xf numFmtId="0" fontId="2" fillId="11" borderId="49" xfId="0" applyFont="1" applyFill="1" applyBorder="1" applyAlignment="1">
      <alignment horizontal="center" vertical="center"/>
    </xf>
    <xf numFmtId="0" fontId="2" fillId="3" borderId="62" xfId="0" applyFont="1" applyFill="1" applyBorder="1" applyAlignment="1">
      <alignment horizontal="centerContinuous" vertical="center"/>
    </xf>
    <xf numFmtId="0" fontId="2" fillId="3" borderId="72" xfId="0" applyFont="1" applyFill="1" applyBorder="1" applyAlignment="1">
      <alignment horizontal="center" vertical="center"/>
    </xf>
    <xf numFmtId="0" fontId="2" fillId="3" borderId="73" xfId="0" applyFont="1" applyFill="1" applyBorder="1" applyAlignment="1">
      <alignment horizontal="centerContinuous" vertical="center"/>
    </xf>
    <xf numFmtId="0" fontId="2" fillId="3" borderId="63" xfId="0" applyFont="1" applyFill="1" applyBorder="1" applyAlignment="1">
      <alignment horizontal="centerContinuous" vertical="center"/>
    </xf>
    <xf numFmtId="0" fontId="2" fillId="3" borderId="74" xfId="0" applyFont="1" applyFill="1" applyBorder="1" applyAlignment="1">
      <alignment horizontal="centerContinuous" vertical="center"/>
    </xf>
    <xf numFmtId="0" fontId="2" fillId="3" borderId="75" xfId="0" applyFont="1" applyFill="1" applyBorder="1" applyAlignment="1">
      <alignment horizontal="centerContinuous" vertical="center"/>
    </xf>
    <xf numFmtId="0" fontId="2" fillId="3" borderId="76" xfId="0" applyFont="1" applyFill="1" applyBorder="1" applyAlignment="1">
      <alignment horizontal="centerContinuous" vertical="center"/>
    </xf>
    <xf numFmtId="0" fontId="2" fillId="3" borderId="77" xfId="0" applyFont="1" applyFill="1" applyBorder="1" applyAlignment="1">
      <alignment horizontal="centerContinuous" vertical="center"/>
    </xf>
    <xf numFmtId="0" fontId="2" fillId="11" borderId="74" xfId="0" applyFont="1" applyFill="1" applyBorder="1" applyAlignment="1">
      <alignment horizontal="centerContinuous" vertical="center"/>
    </xf>
    <xf numFmtId="0" fontId="2" fillId="11" borderId="73" xfId="0" applyFont="1" applyFill="1" applyBorder="1" applyAlignment="1">
      <alignment horizontal="centerContinuous" vertical="center"/>
    </xf>
    <xf numFmtId="0" fontId="2" fillId="11" borderId="72" xfId="0" applyFont="1" applyFill="1" applyBorder="1" applyAlignment="1">
      <alignment horizontal="center" vertical="center"/>
    </xf>
    <xf numFmtId="0" fontId="25" fillId="4" borderId="71" xfId="0" applyFont="1" applyFill="1" applyBorder="1" applyAlignment="1">
      <alignment horizontal="left" vertical="center" indent="2"/>
    </xf>
    <xf numFmtId="0" fontId="25" fillId="4" borderId="0" xfId="0" applyFont="1" applyFill="1" applyAlignment="1">
      <alignment horizontal="left" vertical="center" indent="2"/>
    </xf>
    <xf numFmtId="0" fontId="25" fillId="4" borderId="64" xfId="0" applyFont="1" applyFill="1" applyBorder="1" applyAlignment="1">
      <alignment horizontal="left" vertical="center" indent="2"/>
    </xf>
    <xf numFmtId="0" fontId="9" fillId="4" borderId="57" xfId="0" applyFont="1" applyFill="1" applyBorder="1" applyAlignment="1">
      <alignment horizontal="left" vertical="center" indent="2"/>
    </xf>
    <xf numFmtId="0" fontId="25" fillId="4" borderId="78" xfId="0" applyFont="1" applyFill="1" applyBorder="1" applyAlignment="1">
      <alignment horizontal="left" vertical="center" indent="2"/>
    </xf>
    <xf numFmtId="0" fontId="9" fillId="7" borderId="57" xfId="0" applyFont="1" applyFill="1" applyBorder="1" applyAlignment="1">
      <alignment horizontal="left" vertical="center" indent="1"/>
    </xf>
    <xf numFmtId="0" fontId="25" fillId="4" borderId="78" xfId="0" applyFont="1" applyFill="1" applyBorder="1" applyAlignment="1">
      <alignment horizontal="left" vertical="center" indent="3"/>
    </xf>
    <xf numFmtId="0" fontId="25" fillId="4" borderId="64" xfId="0" applyFont="1" applyFill="1" applyBorder="1" applyAlignment="1">
      <alignment horizontal="left" vertical="center" indent="3"/>
    </xf>
    <xf numFmtId="0" fontId="25" fillId="4" borderId="0" xfId="0" applyFont="1" applyFill="1" applyAlignment="1">
      <alignment horizontal="left" vertical="center" indent="3"/>
    </xf>
    <xf numFmtId="0" fontId="6" fillId="7" borderId="57" xfId="0" applyFont="1" applyFill="1" applyBorder="1" applyAlignment="1">
      <alignment horizontal="left" vertical="center" indent="1"/>
    </xf>
    <xf numFmtId="0" fontId="6" fillId="4" borderId="64" xfId="0" applyFont="1" applyFill="1" applyBorder="1" applyAlignment="1">
      <alignment horizontal="left" vertical="center" indent="1"/>
    </xf>
    <xf numFmtId="0" fontId="25" fillId="4" borderId="19" xfId="0" applyFont="1" applyFill="1" applyBorder="1" applyAlignment="1">
      <alignment horizontal="left" vertical="center" indent="2"/>
    </xf>
    <xf numFmtId="0" fontId="6" fillId="7" borderId="57" xfId="0" applyFont="1" applyFill="1" applyBorder="1" applyAlignment="1">
      <alignment horizontal="left" vertical="center"/>
    </xf>
    <xf numFmtId="0" fontId="2" fillId="3" borderId="67" xfId="0" applyFont="1" applyFill="1" applyBorder="1" applyAlignment="1">
      <alignment horizontal="center" vertical="center"/>
    </xf>
    <xf numFmtId="0" fontId="2" fillId="11" borderId="67" xfId="0" applyFont="1" applyFill="1" applyBorder="1" applyAlignment="1">
      <alignment horizontal="center" vertical="center"/>
    </xf>
    <xf numFmtId="0" fontId="25" fillId="10" borderId="66" xfId="0" applyFont="1" applyFill="1" applyBorder="1" applyAlignment="1">
      <alignment horizontal="left" vertical="center" indent="2"/>
    </xf>
    <xf numFmtId="0" fontId="25" fillId="4" borderId="47" xfId="0" applyFont="1" applyFill="1" applyBorder="1" applyAlignment="1">
      <alignment horizontal="left" vertical="center" indent="2"/>
    </xf>
    <xf numFmtId="0" fontId="2" fillId="3" borderId="60" xfId="0" applyFont="1" applyFill="1" applyBorder="1" applyAlignment="1">
      <alignment horizontal="center" vertical="center"/>
    </xf>
    <xf numFmtId="0" fontId="2" fillId="11" borderId="60" xfId="0" applyFont="1" applyFill="1" applyBorder="1" applyAlignment="1">
      <alignment horizontal="center" vertical="center"/>
    </xf>
    <xf numFmtId="0" fontId="9" fillId="7" borderId="57" xfId="0" applyFont="1" applyFill="1" applyBorder="1" applyAlignment="1">
      <alignment horizontal="left" vertical="center" indent="2"/>
    </xf>
    <xf numFmtId="0" fontId="9" fillId="7" borderId="57" xfId="0" applyFont="1" applyFill="1" applyBorder="1" applyAlignment="1">
      <alignment horizontal="left" vertical="center" indent="3"/>
    </xf>
    <xf numFmtId="0" fontId="26" fillId="0" borderId="57" xfId="0" applyFont="1" applyBorder="1" applyAlignment="1">
      <alignment horizontal="left" vertical="center" indent="2"/>
    </xf>
    <xf numFmtId="0" fontId="33" fillId="0" borderId="57" xfId="0" applyFont="1" applyBorder="1" applyAlignment="1">
      <alignment horizontal="left" vertical="center" indent="2"/>
    </xf>
    <xf numFmtId="0" fontId="21" fillId="11" borderId="6" xfId="0" applyFont="1" applyFill="1" applyBorder="1" applyAlignment="1">
      <alignment horizontal="center" vertical="center"/>
    </xf>
    <xf numFmtId="0" fontId="34" fillId="4" borderId="22" xfId="0" applyFont="1" applyFill="1" applyBorder="1" applyAlignment="1">
      <alignment horizontal="right" vertical="center" indent="1"/>
    </xf>
    <xf numFmtId="177" fontId="35" fillId="0" borderId="17" xfId="0" applyNumberFormat="1" applyFont="1" applyBorder="1" applyAlignment="1">
      <alignment horizontal="right" vertical="center" indent="1"/>
    </xf>
    <xf numFmtId="0" fontId="34" fillId="0" borderId="0" xfId="0" applyFont="1">
      <alignment vertical="center"/>
    </xf>
    <xf numFmtId="182" fontId="7" fillId="7" borderId="21" xfId="0" applyNumberFormat="1" applyFont="1" applyFill="1" applyBorder="1" applyAlignment="1">
      <alignment horizontal="right" vertical="center" indent="1"/>
    </xf>
    <xf numFmtId="182" fontId="8" fillId="0" borderId="0" xfId="0" applyNumberFormat="1" applyFont="1" applyAlignment="1">
      <alignment horizontal="right" vertical="center" indent="1"/>
    </xf>
    <xf numFmtId="182" fontId="8" fillId="0" borderId="64" xfId="0" applyNumberFormat="1" applyFont="1" applyBorder="1" applyAlignment="1">
      <alignment horizontal="right" vertical="center" indent="1"/>
    </xf>
    <xf numFmtId="182" fontId="0" fillId="0" borderId="0" xfId="0" applyNumberFormat="1">
      <alignment vertical="center"/>
    </xf>
    <xf numFmtId="182" fontId="18" fillId="0" borderId="0" xfId="0" applyNumberFormat="1" applyFont="1">
      <alignment vertical="center"/>
    </xf>
    <xf numFmtId="0" fontId="2" fillId="3" borderId="1" xfId="0" applyFont="1" applyFill="1" applyBorder="1" applyAlignment="1">
      <alignment horizontal="center" vertical="center"/>
    </xf>
    <xf numFmtId="0" fontId="2" fillId="3" borderId="80" xfId="0" applyFont="1" applyFill="1" applyBorder="1" applyAlignment="1">
      <alignment horizontal="center" vertical="center"/>
    </xf>
    <xf numFmtId="182" fontId="7" fillId="7" borderId="17" xfId="0" applyNumberFormat="1" applyFont="1" applyFill="1" applyBorder="1" applyAlignment="1">
      <alignment horizontal="right" vertical="center" indent="1"/>
    </xf>
    <xf numFmtId="182" fontId="8" fillId="0" borderId="49" xfId="0" applyNumberFormat="1" applyFont="1" applyBorder="1" applyAlignment="1">
      <alignment horizontal="right" vertical="center" indent="1"/>
    </xf>
    <xf numFmtId="182" fontId="8" fillId="0" borderId="17" xfId="0" applyNumberFormat="1" applyFont="1" applyBorder="1" applyAlignment="1">
      <alignment horizontal="right" vertical="center" indent="1"/>
    </xf>
    <xf numFmtId="182" fontId="8" fillId="0" borderId="21" xfId="0" applyNumberFormat="1" applyFont="1" applyBorder="1" applyAlignment="1">
      <alignment horizontal="right" vertical="center" indent="1"/>
    </xf>
    <xf numFmtId="182" fontId="28" fillId="3" borderId="66" xfId="0" applyNumberFormat="1" applyFont="1" applyFill="1" applyBorder="1" applyAlignment="1">
      <alignment horizontal="right" vertical="center" indent="1"/>
    </xf>
    <xf numFmtId="182" fontId="28" fillId="3" borderId="20" xfId="0" applyNumberFormat="1" applyFont="1" applyFill="1" applyBorder="1" applyAlignment="1">
      <alignment horizontal="right" vertical="center" indent="1"/>
    </xf>
    <xf numFmtId="182" fontId="28" fillId="3" borderId="59" xfId="0" applyNumberFormat="1" applyFont="1" applyFill="1" applyBorder="1" applyAlignment="1">
      <alignment horizontal="right" vertical="center" indent="1"/>
    </xf>
    <xf numFmtId="182" fontId="7" fillId="7" borderId="20" xfId="0" applyNumberFormat="1" applyFont="1" applyFill="1" applyBorder="1" applyAlignment="1">
      <alignment horizontal="right" vertical="center" indent="1"/>
    </xf>
    <xf numFmtId="182" fontId="8" fillId="0" borderId="19" xfId="0" applyNumberFormat="1" applyFont="1" applyBorder="1" applyAlignment="1">
      <alignment horizontal="right" vertical="center" indent="1"/>
    </xf>
    <xf numFmtId="182" fontId="28" fillId="3" borderId="17" xfId="0" applyNumberFormat="1" applyFont="1" applyFill="1" applyBorder="1" applyAlignment="1">
      <alignment horizontal="right" vertical="center" indent="1"/>
    </xf>
    <xf numFmtId="0" fontId="6" fillId="4" borderId="57" xfId="0" applyFont="1" applyFill="1" applyBorder="1" applyAlignment="1">
      <alignment horizontal="left" vertical="center" indent="2"/>
    </xf>
    <xf numFmtId="177" fontId="8" fillId="0" borderId="19" xfId="0" applyNumberFormat="1" applyFont="1" applyBorder="1" applyAlignment="1">
      <alignment horizontal="right" vertical="center" indent="1"/>
    </xf>
    <xf numFmtId="178" fontId="31" fillId="2" borderId="49" xfId="0" applyNumberFormat="1" applyFont="1" applyFill="1" applyBorder="1" applyAlignment="1">
      <alignment horizontal="left" vertical="center" indent="1"/>
    </xf>
    <xf numFmtId="177" fontId="8" fillId="10" borderId="67" xfId="0" applyNumberFormat="1" applyFont="1" applyFill="1" applyBorder="1" applyAlignment="1">
      <alignment horizontal="right" vertical="center" indent="1"/>
    </xf>
    <xf numFmtId="177" fontId="8" fillId="7" borderId="3" xfId="0" applyNumberFormat="1" applyFont="1" applyFill="1" applyBorder="1" applyAlignment="1">
      <alignment horizontal="right" vertical="center" indent="1"/>
    </xf>
    <xf numFmtId="0" fontId="2" fillId="3" borderId="71" xfId="0" applyFont="1" applyFill="1" applyBorder="1" applyAlignment="1">
      <alignment horizontal="center" vertical="center"/>
    </xf>
    <xf numFmtId="182" fontId="7" fillId="7" borderId="55" xfId="0" applyNumberFormat="1" applyFont="1" applyFill="1" applyBorder="1" applyAlignment="1">
      <alignment horizontal="right" vertical="center" indent="1"/>
    </xf>
    <xf numFmtId="0" fontId="6" fillId="7" borderId="64" xfId="0" applyFont="1" applyFill="1" applyBorder="1" applyAlignment="1">
      <alignment horizontal="left" vertical="center" indent="1"/>
    </xf>
    <xf numFmtId="0" fontId="2" fillId="3" borderId="64" xfId="0" applyFont="1" applyFill="1" applyBorder="1" applyAlignment="1">
      <alignment horizontal="left" vertical="center" indent="1"/>
    </xf>
    <xf numFmtId="0" fontId="26" fillId="4" borderId="64" xfId="0" applyFont="1" applyFill="1" applyBorder="1" applyAlignment="1">
      <alignment horizontal="left" vertical="center" indent="1"/>
    </xf>
    <xf numFmtId="0" fontId="2" fillId="3" borderId="87" xfId="0" applyFont="1" applyFill="1" applyBorder="1" applyAlignment="1">
      <alignment horizontal="left" vertical="center" indent="1"/>
    </xf>
    <xf numFmtId="0" fontId="2" fillId="3" borderId="69" xfId="0" applyFont="1" applyFill="1" applyBorder="1" applyAlignment="1">
      <alignment horizontal="left" vertical="center" indent="1"/>
    </xf>
    <xf numFmtId="182" fontId="7" fillId="7" borderId="89" xfId="0" applyNumberFormat="1" applyFont="1" applyFill="1" applyBorder="1" applyAlignment="1">
      <alignment horizontal="right" vertical="center" indent="1"/>
    </xf>
    <xf numFmtId="182" fontId="8" fillId="0" borderId="90" xfId="0" applyNumberFormat="1" applyFont="1" applyBorder="1" applyAlignment="1">
      <alignment horizontal="right" vertical="center" indent="1"/>
    </xf>
    <xf numFmtId="182" fontId="7" fillId="7" borderId="91" xfId="0" applyNumberFormat="1" applyFont="1" applyFill="1" applyBorder="1" applyAlignment="1">
      <alignment horizontal="right" vertical="center" indent="1"/>
    </xf>
    <xf numFmtId="182" fontId="28" fillId="3" borderId="92" xfId="0" applyNumberFormat="1" applyFont="1" applyFill="1" applyBorder="1" applyAlignment="1">
      <alignment horizontal="right" vertical="center" indent="1"/>
    </xf>
    <xf numFmtId="0" fontId="2" fillId="6" borderId="88" xfId="0" applyFont="1" applyFill="1" applyBorder="1" applyAlignment="1">
      <alignment horizontal="center" vertical="center"/>
    </xf>
    <xf numFmtId="0" fontId="2" fillId="3" borderId="93" xfId="0" applyFont="1" applyFill="1" applyBorder="1" applyAlignment="1">
      <alignment horizontal="center" vertical="center"/>
    </xf>
    <xf numFmtId="182" fontId="8" fillId="0" borderId="47" xfId="0" applyNumberFormat="1" applyFont="1" applyBorder="1" applyAlignment="1">
      <alignment horizontal="right" vertical="center" indent="1"/>
    </xf>
    <xf numFmtId="182" fontId="28" fillId="3" borderId="21" xfId="0" applyNumberFormat="1" applyFont="1" applyFill="1" applyBorder="1" applyAlignment="1">
      <alignment horizontal="right" vertical="center" indent="1"/>
    </xf>
    <xf numFmtId="182" fontId="7" fillId="7" borderId="94" xfId="0" applyNumberFormat="1" applyFont="1" applyFill="1" applyBorder="1" applyAlignment="1">
      <alignment horizontal="right" vertical="center" indent="1"/>
    </xf>
    <xf numFmtId="182" fontId="8" fillId="0" borderId="89" xfId="0" applyNumberFormat="1" applyFont="1" applyBorder="1" applyAlignment="1">
      <alignment horizontal="right" vertical="center" indent="1"/>
    </xf>
    <xf numFmtId="182" fontId="28" fillId="3" borderId="95" xfId="0" applyNumberFormat="1" applyFont="1" applyFill="1" applyBorder="1" applyAlignment="1">
      <alignment horizontal="right" vertical="center" indent="1"/>
    </xf>
    <xf numFmtId="182" fontId="28" fillId="3" borderId="97" xfId="0" applyNumberFormat="1" applyFont="1" applyFill="1" applyBorder="1" applyAlignment="1">
      <alignment horizontal="right" vertical="center" indent="1"/>
    </xf>
    <xf numFmtId="182" fontId="28" fillId="3" borderId="98" xfId="0" applyNumberFormat="1" applyFont="1" applyFill="1" applyBorder="1" applyAlignment="1">
      <alignment horizontal="right" vertical="center" indent="1"/>
    </xf>
    <xf numFmtId="0" fontId="2" fillId="11" borderId="62" xfId="0" applyFont="1" applyFill="1" applyBorder="1" applyAlignment="1">
      <alignment horizontal="centerContinuous" vertical="center"/>
    </xf>
    <xf numFmtId="0" fontId="2" fillId="11" borderId="0" xfId="0" applyFont="1" applyFill="1" applyAlignment="1">
      <alignment horizontal="centerContinuous" vertical="center"/>
    </xf>
    <xf numFmtId="0" fontId="2" fillId="3" borderId="65" xfId="0" applyFont="1" applyFill="1" applyBorder="1" applyAlignment="1">
      <alignment horizontal="center" vertical="center"/>
    </xf>
    <xf numFmtId="0" fontId="2" fillId="11" borderId="68" xfId="0" applyFont="1" applyFill="1" applyBorder="1" applyAlignment="1">
      <alignment horizontal="center" vertical="center"/>
    </xf>
    <xf numFmtId="182" fontId="7" fillId="0" borderId="20" xfId="0" applyNumberFormat="1" applyFont="1" applyBorder="1" applyAlignment="1">
      <alignment horizontal="right" vertical="center" indent="1"/>
    </xf>
    <xf numFmtId="182" fontId="7" fillId="0" borderId="17" xfId="0" applyNumberFormat="1" applyFont="1" applyBorder="1" applyAlignment="1">
      <alignment horizontal="right" vertical="center" indent="1"/>
    </xf>
    <xf numFmtId="182" fontId="0" fillId="0" borderId="19" xfId="0" applyNumberFormat="1" applyBorder="1">
      <alignment vertical="center"/>
    </xf>
    <xf numFmtId="0" fontId="2" fillId="3" borderId="68" xfId="0" applyFont="1" applyFill="1" applyBorder="1" applyAlignment="1">
      <alignment horizontal="center" vertical="center"/>
    </xf>
    <xf numFmtId="182" fontId="7" fillId="0" borderId="21" xfId="0" applyNumberFormat="1" applyFont="1" applyBorder="1" applyAlignment="1">
      <alignment horizontal="right" vertical="center" indent="1"/>
    </xf>
    <xf numFmtId="182" fontId="7" fillId="0" borderId="91" xfId="0" applyNumberFormat="1" applyFont="1" applyBorder="1" applyAlignment="1">
      <alignment horizontal="right" vertical="center" indent="1"/>
    </xf>
    <xf numFmtId="182" fontId="7" fillId="0" borderId="89" xfId="0" applyNumberFormat="1" applyFont="1" applyBorder="1" applyAlignment="1">
      <alignment horizontal="right" vertical="center" indent="1"/>
    </xf>
    <xf numFmtId="182" fontId="7" fillId="7" borderId="95" xfId="0" applyNumberFormat="1" applyFont="1" applyFill="1" applyBorder="1" applyAlignment="1">
      <alignment horizontal="right" vertical="center" indent="1"/>
    </xf>
    <xf numFmtId="0" fontId="2" fillId="6" borderId="99" xfId="0" applyFont="1" applyFill="1" applyBorder="1" applyAlignment="1">
      <alignment horizontal="center" vertical="center"/>
    </xf>
    <xf numFmtId="182" fontId="29" fillId="0" borderId="17" xfId="0" applyNumberFormat="1" applyFont="1" applyBorder="1" applyAlignment="1">
      <alignment horizontal="right" vertical="center" indent="1"/>
    </xf>
    <xf numFmtId="182" fontId="29" fillId="0" borderId="64" xfId="0" applyNumberFormat="1" applyFont="1" applyBorder="1" applyAlignment="1">
      <alignment horizontal="right" vertical="center" indent="1"/>
    </xf>
    <xf numFmtId="182" fontId="29" fillId="0" borderId="90" xfId="0" applyNumberFormat="1" applyFont="1" applyBorder="1" applyAlignment="1">
      <alignment horizontal="right" vertical="center" indent="1"/>
    </xf>
    <xf numFmtId="182" fontId="7" fillId="7" borderId="100" xfId="0" applyNumberFormat="1" applyFont="1" applyFill="1" applyBorder="1" applyAlignment="1">
      <alignment horizontal="right" vertical="center" indent="1"/>
    </xf>
    <xf numFmtId="182" fontId="7" fillId="7" borderId="101" xfId="0" applyNumberFormat="1" applyFont="1" applyFill="1" applyBorder="1" applyAlignment="1">
      <alignment horizontal="right" vertical="center" indent="1"/>
    </xf>
    <xf numFmtId="182" fontId="7" fillId="7" borderId="103" xfId="0" applyNumberFormat="1" applyFont="1" applyFill="1" applyBorder="1" applyAlignment="1">
      <alignment horizontal="right" vertical="center" indent="1"/>
    </xf>
    <xf numFmtId="0" fontId="2" fillId="12" borderId="104" xfId="0" applyFont="1" applyFill="1" applyBorder="1" applyAlignment="1">
      <alignment horizontal="centerContinuous" vertical="center"/>
    </xf>
    <xf numFmtId="0" fontId="2" fillId="3" borderId="104" xfId="0" applyFont="1" applyFill="1" applyBorder="1" applyAlignment="1">
      <alignment horizontal="centerContinuous" vertical="center"/>
    </xf>
    <xf numFmtId="182" fontId="8" fillId="0" borderId="1" xfId="0" applyNumberFormat="1" applyFont="1" applyBorder="1" applyAlignment="1">
      <alignment horizontal="right" vertical="center" indent="1"/>
    </xf>
    <xf numFmtId="182" fontId="8" fillId="0" borderId="3" xfId="0" applyNumberFormat="1" applyFont="1" applyBorder="1" applyAlignment="1">
      <alignment horizontal="right" vertical="center" indent="1"/>
    </xf>
    <xf numFmtId="182" fontId="8" fillId="0" borderId="7" xfId="0" applyNumberFormat="1" applyFont="1" applyBorder="1" applyAlignment="1">
      <alignment horizontal="right" vertical="center" indent="1"/>
    </xf>
    <xf numFmtId="182" fontId="5" fillId="5" borderId="10" xfId="0" applyNumberFormat="1" applyFont="1" applyFill="1" applyBorder="1" applyAlignment="1">
      <alignment horizontal="right" vertical="center" indent="1"/>
    </xf>
    <xf numFmtId="182" fontId="8" fillId="0" borderId="12" xfId="0" applyNumberFormat="1" applyFont="1" applyBorder="1" applyAlignment="1">
      <alignment horizontal="right" vertical="center" indent="1"/>
    </xf>
    <xf numFmtId="182" fontId="8" fillId="0" borderId="13" xfId="0" applyNumberFormat="1" applyFont="1" applyBorder="1" applyAlignment="1">
      <alignment horizontal="right" vertical="center" indent="1"/>
    </xf>
    <xf numFmtId="182" fontId="5" fillId="5" borderId="0" xfId="0" applyNumberFormat="1" applyFont="1" applyFill="1" applyAlignment="1">
      <alignment horizontal="right" vertical="center" indent="1"/>
    </xf>
    <xf numFmtId="0" fontId="3" fillId="2" borderId="12" xfId="0" applyFont="1" applyFill="1" applyBorder="1" applyAlignment="1">
      <alignment horizontal="left" vertical="center" indent="1"/>
    </xf>
    <xf numFmtId="0" fontId="25" fillId="2" borderId="17" xfId="0" applyFont="1" applyFill="1" applyBorder="1" applyAlignment="1">
      <alignment horizontal="left" vertical="center" indent="1"/>
    </xf>
    <xf numFmtId="178" fontId="8" fillId="2" borderId="17" xfId="0" applyNumberFormat="1" applyFont="1" applyFill="1" applyBorder="1" applyAlignment="1">
      <alignment horizontal="right" vertical="center" indent="1"/>
    </xf>
    <xf numFmtId="0" fontId="25" fillId="7" borderId="84" xfId="0" applyFont="1" applyFill="1" applyBorder="1" applyAlignment="1">
      <alignment horizontal="left" vertical="center" indent="1"/>
    </xf>
    <xf numFmtId="182" fontId="8" fillId="2" borderId="17" xfId="0" applyNumberFormat="1" applyFont="1" applyFill="1" applyBorder="1" applyAlignment="1">
      <alignment horizontal="right" vertical="center" indent="1"/>
    </xf>
    <xf numFmtId="182" fontId="8" fillId="2" borderId="89" xfId="0" applyNumberFormat="1" applyFont="1" applyFill="1" applyBorder="1" applyAlignment="1">
      <alignment horizontal="right" vertical="center" indent="1"/>
    </xf>
    <xf numFmtId="0" fontId="25" fillId="4" borderId="25" xfId="0" applyFont="1" applyFill="1" applyBorder="1" applyAlignment="1">
      <alignment horizontal="left" vertical="center" indent="1"/>
    </xf>
    <xf numFmtId="182" fontId="8" fillId="0" borderId="48" xfId="0" applyNumberFormat="1" applyFont="1" applyBorder="1" applyAlignment="1">
      <alignment horizontal="right" vertical="center" indent="1"/>
    </xf>
    <xf numFmtId="182" fontId="8" fillId="0" borderId="107" xfId="0" applyNumberFormat="1" applyFont="1" applyBorder="1" applyAlignment="1">
      <alignment horizontal="right" vertical="center" indent="1"/>
    </xf>
    <xf numFmtId="182" fontId="8" fillId="0" borderId="108" xfId="0" applyNumberFormat="1" applyFont="1" applyBorder="1" applyAlignment="1">
      <alignment horizontal="right" vertical="center" indent="1"/>
    </xf>
    <xf numFmtId="182" fontId="8" fillId="2" borderId="20" xfId="0" applyNumberFormat="1" applyFont="1" applyFill="1" applyBorder="1" applyAlignment="1">
      <alignment horizontal="right" vertical="center" indent="1"/>
    </xf>
    <xf numFmtId="182" fontId="8" fillId="2" borderId="55" xfId="0" applyNumberFormat="1" applyFont="1" applyFill="1" applyBorder="1" applyAlignment="1">
      <alignment horizontal="right" vertical="center" indent="1"/>
    </xf>
    <xf numFmtId="182" fontId="8" fillId="2" borderId="91" xfId="0" applyNumberFormat="1" applyFont="1" applyFill="1" applyBorder="1" applyAlignment="1">
      <alignment horizontal="right" vertical="center" indent="1"/>
    </xf>
    <xf numFmtId="0" fontId="25" fillId="4" borderId="109" xfId="0" applyFont="1" applyFill="1" applyBorder="1" applyAlignment="1">
      <alignment horizontal="left" vertical="center" indent="1"/>
    </xf>
    <xf numFmtId="182" fontId="8" fillId="2" borderId="110" xfId="0" applyNumberFormat="1" applyFont="1" applyFill="1" applyBorder="1" applyAlignment="1">
      <alignment horizontal="right" vertical="center" indent="1"/>
    </xf>
    <xf numFmtId="182" fontId="8" fillId="0" borderId="102" xfId="0" applyNumberFormat="1" applyFont="1" applyBorder="1" applyAlignment="1">
      <alignment horizontal="right" vertical="center" indent="1"/>
    </xf>
    <xf numFmtId="0" fontId="6" fillId="5" borderId="17" xfId="0" applyFont="1" applyFill="1" applyBorder="1" applyAlignment="1">
      <alignment horizontal="left" vertical="center" indent="1"/>
    </xf>
    <xf numFmtId="182" fontId="7" fillId="5" borderId="64" xfId="0" applyNumberFormat="1" applyFont="1" applyFill="1" applyBorder="1" applyAlignment="1">
      <alignment horizontal="right" vertical="center" indent="1"/>
    </xf>
    <xf numFmtId="182" fontId="7" fillId="5" borderId="90" xfId="0" applyNumberFormat="1" applyFont="1" applyFill="1" applyBorder="1" applyAlignment="1">
      <alignment horizontal="right" vertical="center" indent="1"/>
    </xf>
    <xf numFmtId="0" fontId="6" fillId="5" borderId="81" xfId="0" applyFont="1" applyFill="1" applyBorder="1" applyAlignment="1">
      <alignment horizontal="left" vertical="center" indent="1"/>
    </xf>
    <xf numFmtId="182" fontId="7" fillId="5" borderId="20" xfId="0" applyNumberFormat="1" applyFont="1" applyFill="1" applyBorder="1" applyAlignment="1">
      <alignment horizontal="right" vertical="center" indent="1"/>
    </xf>
    <xf numFmtId="182" fontId="7" fillId="5" borderId="91" xfId="0" applyNumberFormat="1" applyFont="1" applyFill="1" applyBorder="1" applyAlignment="1">
      <alignment horizontal="right" vertical="center" indent="1"/>
    </xf>
    <xf numFmtId="0" fontId="25" fillId="4" borderId="19" xfId="0" applyFont="1" applyFill="1" applyBorder="1" applyAlignment="1">
      <alignment horizontal="left" vertical="center" indent="3"/>
    </xf>
    <xf numFmtId="0" fontId="25" fillId="4" borderId="17" xfId="0" applyFont="1" applyFill="1" applyBorder="1" applyAlignment="1">
      <alignment horizontal="left" vertical="center" indent="3"/>
    </xf>
    <xf numFmtId="0" fontId="25" fillId="4" borderId="47" xfId="0" applyFont="1" applyFill="1" applyBorder="1" applyAlignment="1">
      <alignment horizontal="left" vertical="center" indent="3"/>
    </xf>
    <xf numFmtId="0" fontId="25" fillId="4" borderId="21" xfId="0" applyFont="1" applyFill="1" applyBorder="1" applyAlignment="1">
      <alignment horizontal="left" vertical="center" indent="3"/>
    </xf>
    <xf numFmtId="0" fontId="25" fillId="2" borderId="17" xfId="0" applyFont="1" applyFill="1" applyBorder="1" applyAlignment="1">
      <alignment horizontal="left" vertical="center" indent="2"/>
    </xf>
    <xf numFmtId="0" fontId="26" fillId="4" borderId="19" xfId="0" applyFont="1" applyFill="1" applyBorder="1" applyAlignment="1">
      <alignment horizontal="left" vertical="center" indent="3"/>
    </xf>
    <xf numFmtId="0" fontId="6" fillId="5" borderId="3" xfId="0" applyFont="1" applyFill="1" applyBorder="1" applyAlignment="1">
      <alignment horizontal="left" vertical="center"/>
    </xf>
    <xf numFmtId="0" fontId="26" fillId="4" borderId="0" xfId="0" applyFont="1" applyFill="1" applyAlignment="1">
      <alignment horizontal="left" vertical="center" indent="3"/>
    </xf>
    <xf numFmtId="0" fontId="26" fillId="4" borderId="47" xfId="0" applyFont="1" applyFill="1" applyBorder="1" applyAlignment="1">
      <alignment horizontal="left" vertical="center" indent="3"/>
    </xf>
    <xf numFmtId="0" fontId="25" fillId="2" borderId="110" xfId="0" applyFont="1" applyFill="1" applyBorder="1" applyAlignment="1">
      <alignment horizontal="left" vertical="center" indent="3"/>
    </xf>
    <xf numFmtId="0" fontId="25" fillId="2" borderId="111" xfId="0" applyFont="1" applyFill="1" applyBorder="1" applyAlignment="1">
      <alignment horizontal="left" vertical="center" indent="3"/>
    </xf>
    <xf numFmtId="182" fontId="8" fillId="2" borderId="109" xfId="0" applyNumberFormat="1" applyFont="1" applyFill="1" applyBorder="1" applyAlignment="1">
      <alignment horizontal="right" vertical="center" indent="1"/>
    </xf>
    <xf numFmtId="182" fontId="8" fillId="2" borderId="112" xfId="0" applyNumberFormat="1" applyFont="1" applyFill="1" applyBorder="1" applyAlignment="1">
      <alignment horizontal="right" vertical="center" indent="1"/>
    </xf>
    <xf numFmtId="182" fontId="8" fillId="2" borderId="114" xfId="0" applyNumberFormat="1" applyFont="1" applyFill="1" applyBorder="1" applyAlignment="1">
      <alignment horizontal="right" vertical="center" indent="1"/>
    </xf>
    <xf numFmtId="182" fontId="8" fillId="2" borderId="113" xfId="0" applyNumberFormat="1" applyFont="1" applyFill="1" applyBorder="1" applyAlignment="1">
      <alignment horizontal="right" vertical="center" indent="1"/>
    </xf>
    <xf numFmtId="182" fontId="8" fillId="2" borderId="102" xfId="0" applyNumberFormat="1" applyFont="1" applyFill="1" applyBorder="1" applyAlignment="1">
      <alignment horizontal="right" vertical="center" indent="1"/>
    </xf>
    <xf numFmtId="182" fontId="8" fillId="2" borderId="101" xfId="0" applyNumberFormat="1" applyFont="1" applyFill="1" applyBorder="1" applyAlignment="1">
      <alignment horizontal="right" vertical="center" indent="1"/>
    </xf>
    <xf numFmtId="0" fontId="15" fillId="4" borderId="1" xfId="0" applyFont="1" applyFill="1" applyBorder="1" applyAlignment="1">
      <alignment horizontal="left" vertical="center" indent="1"/>
    </xf>
    <xf numFmtId="183" fontId="8" fillId="0" borderId="1" xfId="0" applyNumberFormat="1" applyFont="1" applyBorder="1" applyAlignment="1">
      <alignment horizontal="right" vertical="center" indent="1"/>
    </xf>
    <xf numFmtId="183" fontId="8" fillId="0" borderId="3" xfId="0" applyNumberFormat="1" applyFont="1" applyBorder="1" applyAlignment="1">
      <alignment horizontal="right" vertical="center" indent="1"/>
    </xf>
    <xf numFmtId="183" fontId="8" fillId="0" borderId="7" xfId="0" applyNumberFormat="1" applyFont="1" applyBorder="1" applyAlignment="1">
      <alignment horizontal="right" vertical="center" indent="1"/>
    </xf>
    <xf numFmtId="183" fontId="5" fillId="5" borderId="10" xfId="0" applyNumberFormat="1" applyFont="1" applyFill="1" applyBorder="1" applyAlignment="1">
      <alignment horizontal="right" vertical="center" indent="1"/>
    </xf>
    <xf numFmtId="0" fontId="15" fillId="5" borderId="10" xfId="0" applyFont="1" applyFill="1" applyBorder="1" applyAlignment="1">
      <alignment horizontal="left" vertical="center" indent="1"/>
    </xf>
    <xf numFmtId="38" fontId="15" fillId="2" borderId="1" xfId="1" applyFont="1" applyFill="1" applyBorder="1" applyAlignment="1">
      <alignment horizontal="right" vertical="center" indent="1"/>
    </xf>
    <xf numFmtId="38" fontId="15" fillId="2" borderId="19" xfId="1" applyFont="1" applyFill="1" applyBorder="1" applyAlignment="1">
      <alignment horizontal="right" vertical="center" indent="1"/>
    </xf>
    <xf numFmtId="38" fontId="15" fillId="2" borderId="7" xfId="1" applyFont="1" applyFill="1" applyBorder="1" applyAlignment="1">
      <alignment horizontal="right" vertical="center" indent="1"/>
    </xf>
    <xf numFmtId="38" fontId="15" fillId="2" borderId="3" xfId="1" applyFont="1" applyFill="1" applyBorder="1" applyAlignment="1">
      <alignment horizontal="right" vertical="center" indent="1"/>
    </xf>
    <xf numFmtId="0" fontId="15" fillId="5" borderId="10" xfId="0" applyFont="1" applyFill="1" applyBorder="1" applyAlignment="1">
      <alignment horizontal="right" vertical="center" indent="1"/>
    </xf>
    <xf numFmtId="182" fontId="8" fillId="5" borderId="1" xfId="0" applyNumberFormat="1" applyFont="1" applyFill="1" applyBorder="1" applyAlignment="1">
      <alignment horizontal="right" vertical="center" indent="1"/>
    </xf>
    <xf numFmtId="182" fontId="8" fillId="2" borderId="1" xfId="0" applyNumberFormat="1" applyFont="1" applyFill="1" applyBorder="1" applyAlignment="1">
      <alignment horizontal="right" vertical="center" indent="1"/>
    </xf>
    <xf numFmtId="182" fontId="12" fillId="2" borderId="1" xfId="0" applyNumberFormat="1" applyFont="1" applyFill="1" applyBorder="1" applyAlignment="1">
      <alignment horizontal="right" vertical="center" indent="1"/>
    </xf>
    <xf numFmtId="182" fontId="24" fillId="2" borderId="1" xfId="0" applyNumberFormat="1" applyFont="1" applyFill="1" applyBorder="1" applyAlignment="1">
      <alignment horizontal="right" vertical="center" indent="1"/>
    </xf>
    <xf numFmtId="182" fontId="8" fillId="5" borderId="19" xfId="0" applyNumberFormat="1" applyFont="1" applyFill="1" applyBorder="1" applyAlignment="1">
      <alignment horizontal="right" vertical="center" indent="1"/>
    </xf>
    <xf numFmtId="182" fontId="12" fillId="2" borderId="3" xfId="0" applyNumberFormat="1" applyFont="1" applyFill="1" applyBorder="1" applyAlignment="1">
      <alignment horizontal="right" vertical="center" indent="1"/>
    </xf>
    <xf numFmtId="182" fontId="13" fillId="3" borderId="3" xfId="0" applyNumberFormat="1" applyFont="1" applyFill="1" applyBorder="1" applyAlignment="1">
      <alignment horizontal="centerContinuous" vertical="center"/>
    </xf>
    <xf numFmtId="0" fontId="3" fillId="2" borderId="115" xfId="0" applyFont="1" applyFill="1" applyBorder="1" applyAlignment="1">
      <alignment horizontal="left" vertical="center" indent="1"/>
    </xf>
    <xf numFmtId="38" fontId="12" fillId="2" borderId="1" xfId="1" applyFont="1" applyFill="1" applyBorder="1" applyAlignment="1">
      <alignment horizontal="center" vertical="center"/>
    </xf>
    <xf numFmtId="38" fontId="12" fillId="2" borderId="3" xfId="1" applyFont="1" applyFill="1" applyBorder="1" applyAlignment="1">
      <alignment horizontal="center" vertical="center"/>
    </xf>
    <xf numFmtId="38" fontId="12" fillId="2" borderId="7" xfId="1" applyFont="1" applyFill="1" applyBorder="1" applyAlignment="1">
      <alignment horizontal="center" vertical="center"/>
    </xf>
    <xf numFmtId="0" fontId="12" fillId="5" borderId="10" xfId="0" applyFont="1" applyFill="1" applyBorder="1" applyAlignment="1">
      <alignment horizontal="right" vertical="center" indent="1"/>
    </xf>
    <xf numFmtId="182" fontId="24" fillId="0" borderId="3" xfId="0" applyNumberFormat="1" applyFont="1" applyBorder="1" applyAlignment="1">
      <alignment horizontal="right" vertical="center" indent="1"/>
    </xf>
    <xf numFmtId="182" fontId="12" fillId="2" borderId="19" xfId="0" applyNumberFormat="1" applyFont="1" applyFill="1" applyBorder="1" applyAlignment="1">
      <alignment horizontal="right" vertical="center" indent="1"/>
    </xf>
    <xf numFmtId="0" fontId="15" fillId="5" borderId="116" xfId="0" applyFont="1" applyFill="1" applyBorder="1" applyAlignment="1">
      <alignment horizontal="left" vertical="center" indent="1"/>
    </xf>
    <xf numFmtId="0" fontId="15" fillId="4" borderId="11" xfId="0" applyFont="1" applyFill="1" applyBorder="1" applyAlignment="1">
      <alignment horizontal="left" vertical="center" indent="1"/>
    </xf>
    <xf numFmtId="0" fontId="15" fillId="7" borderId="11" xfId="0" applyFont="1" applyFill="1" applyBorder="1" applyAlignment="1">
      <alignment horizontal="left" vertical="center" indent="1"/>
    </xf>
    <xf numFmtId="0" fontId="15" fillId="5" borderId="10" xfId="0" applyFont="1" applyFill="1" applyBorder="1" applyAlignment="1">
      <alignment horizontal="left" vertical="center" wrapText="1" indent="1"/>
    </xf>
    <xf numFmtId="0" fontId="15" fillId="5" borderId="10" xfId="0" applyFont="1" applyFill="1" applyBorder="1" applyAlignment="1">
      <alignment horizontal="center" vertical="center" wrapText="1"/>
    </xf>
    <xf numFmtId="182" fontId="8" fillId="0" borderId="112" xfId="0" applyNumberFormat="1" applyFont="1" applyBorder="1" applyAlignment="1">
      <alignment horizontal="right" vertical="center" indent="1"/>
    </xf>
    <xf numFmtId="0" fontId="15" fillId="7" borderId="116" xfId="0" applyFont="1" applyFill="1" applyBorder="1" applyAlignment="1">
      <alignment horizontal="left" vertical="center" indent="1"/>
    </xf>
    <xf numFmtId="182" fontId="8" fillId="0" borderId="1" xfId="0" applyNumberFormat="1" applyFont="1" applyBorder="1" applyAlignment="1">
      <alignment horizontal="centerContinuous" vertical="center"/>
    </xf>
    <xf numFmtId="182" fontId="8" fillId="0" borderId="119" xfId="0" applyNumberFormat="1" applyFont="1" applyBorder="1" applyAlignment="1">
      <alignment horizontal="centerContinuous" vertical="center"/>
    </xf>
    <xf numFmtId="182" fontId="8" fillId="0" borderId="119" xfId="0" applyNumberFormat="1" applyFont="1" applyBorder="1" applyAlignment="1">
      <alignment horizontal="right" vertical="center"/>
    </xf>
    <xf numFmtId="182" fontId="8" fillId="0" borderId="1" xfId="0" applyNumberFormat="1" applyFont="1" applyBorder="1" applyAlignment="1">
      <alignment horizontal="right" vertical="center"/>
    </xf>
    <xf numFmtId="182" fontId="8" fillId="0" borderId="19" xfId="0" applyNumberFormat="1" applyFont="1" applyBorder="1" applyAlignment="1">
      <alignment horizontal="centerContinuous" vertical="center"/>
    </xf>
    <xf numFmtId="182" fontId="8" fillId="0" borderId="112" xfId="0" applyNumberFormat="1" applyFont="1" applyBorder="1" applyAlignment="1">
      <alignment horizontal="centerContinuous" vertical="center"/>
    </xf>
    <xf numFmtId="0" fontId="15" fillId="5" borderId="120" xfId="0" applyFont="1" applyFill="1" applyBorder="1" applyAlignment="1">
      <alignment horizontal="left" vertical="center" indent="1"/>
    </xf>
    <xf numFmtId="0" fontId="15" fillId="5" borderId="79" xfId="0" applyFont="1" applyFill="1" applyBorder="1" applyAlignment="1">
      <alignment horizontal="left" vertical="center" indent="1"/>
    </xf>
    <xf numFmtId="0" fontId="12" fillId="0" borderId="1" xfId="0" applyFont="1" applyBorder="1" applyAlignment="1">
      <alignment horizontal="left" vertical="center" indent="1"/>
    </xf>
    <xf numFmtId="0" fontId="12" fillId="0" borderId="11" xfId="0" applyFont="1" applyBorder="1" applyAlignment="1">
      <alignment horizontal="left" vertical="center" indent="1"/>
    </xf>
    <xf numFmtId="0" fontId="12" fillId="0" borderId="49" xfId="0" applyFont="1" applyBorder="1" applyAlignment="1">
      <alignment horizontal="left" vertical="center" indent="1"/>
    </xf>
    <xf numFmtId="0" fontId="15" fillId="5" borderId="120" xfId="0" applyFont="1" applyFill="1" applyBorder="1" applyAlignment="1">
      <alignment horizontal="right" vertical="center" indent="1"/>
    </xf>
    <xf numFmtId="0" fontId="15" fillId="5" borderId="79" xfId="0" applyFont="1" applyFill="1" applyBorder="1" applyAlignment="1">
      <alignment horizontal="right" vertical="center" indent="1"/>
    </xf>
    <xf numFmtId="184" fontId="8" fillId="0" borderId="1" xfId="0" applyNumberFormat="1" applyFont="1" applyBorder="1" applyAlignment="1">
      <alignment horizontal="right" vertical="center" indent="1"/>
    </xf>
    <xf numFmtId="184" fontId="8" fillId="0" borderId="3" xfId="0" applyNumberFormat="1" applyFont="1" applyBorder="1" applyAlignment="1">
      <alignment horizontal="right" vertical="center" indent="1"/>
    </xf>
    <xf numFmtId="184" fontId="8" fillId="0" borderId="19" xfId="0" applyNumberFormat="1" applyFont="1" applyBorder="1" applyAlignment="1">
      <alignment horizontal="right" vertical="center" indent="1"/>
    </xf>
    <xf numFmtId="184" fontId="5" fillId="5" borderId="120" xfId="0" applyNumberFormat="1" applyFont="1" applyFill="1" applyBorder="1" applyAlignment="1">
      <alignment horizontal="right" vertical="center" indent="1"/>
    </xf>
    <xf numFmtId="184" fontId="5" fillId="5" borderId="0" xfId="0" applyNumberFormat="1" applyFont="1" applyFill="1" applyAlignment="1">
      <alignment horizontal="right" vertical="center" indent="1"/>
    </xf>
    <xf numFmtId="0" fontId="37" fillId="2" borderId="16" xfId="0" applyFont="1" applyFill="1" applyBorder="1" applyAlignment="1">
      <alignment horizontal="left" vertical="center" indent="1"/>
    </xf>
    <xf numFmtId="0" fontId="37" fillId="2" borderId="21" xfId="0" applyFont="1" applyFill="1" applyBorder="1" applyAlignment="1">
      <alignment horizontal="left" vertical="center" indent="1"/>
    </xf>
    <xf numFmtId="0" fontId="37" fillId="2" borderId="21" xfId="0" applyFont="1" applyFill="1" applyBorder="1" applyAlignment="1">
      <alignment horizontal="left" vertical="center" wrapText="1" indent="1"/>
    </xf>
    <xf numFmtId="178" fontId="8" fillId="0" borderId="11" xfId="1" applyNumberFormat="1" applyFont="1" applyFill="1" applyBorder="1" applyAlignment="1">
      <alignment horizontal="right" vertical="center" indent="1"/>
    </xf>
    <xf numFmtId="178" fontId="8" fillId="0" borderId="3" xfId="1" applyNumberFormat="1" applyFont="1" applyBorder="1" applyAlignment="1">
      <alignment horizontal="right" vertical="center" indent="1"/>
    </xf>
    <xf numFmtId="0" fontId="2" fillId="3" borderId="62" xfId="0" applyFont="1" applyFill="1" applyBorder="1">
      <alignment vertical="center"/>
    </xf>
    <xf numFmtId="178" fontId="8" fillId="0" borderId="3" xfId="1" applyNumberFormat="1" applyFont="1" applyFill="1" applyBorder="1" applyAlignment="1">
      <alignment horizontal="right" vertical="center" indent="1"/>
    </xf>
    <xf numFmtId="0" fontId="2" fillId="3" borderId="59" xfId="0" applyFont="1" applyFill="1" applyBorder="1" applyAlignment="1">
      <alignment horizontal="centerContinuous" vertical="center"/>
    </xf>
    <xf numFmtId="0" fontId="2" fillId="11" borderId="67" xfId="0" applyFont="1" applyFill="1" applyBorder="1" applyAlignment="1">
      <alignment horizontal="center" vertical="center" wrapText="1"/>
    </xf>
    <xf numFmtId="0" fontId="2" fillId="11" borderId="121" xfId="0" applyFont="1" applyFill="1" applyBorder="1" applyAlignment="1">
      <alignment horizontal="center" vertical="center" wrapText="1"/>
    </xf>
    <xf numFmtId="38" fontId="2" fillId="3" borderId="6" xfId="0" applyNumberFormat="1" applyFont="1" applyFill="1" applyBorder="1" applyAlignment="1">
      <alignment horizontal="center" vertical="center"/>
    </xf>
    <xf numFmtId="0" fontId="25" fillId="0" borderId="16" xfId="0" applyFont="1" applyBorder="1" applyAlignment="1">
      <alignment horizontal="left" vertical="center" indent="1"/>
    </xf>
    <xf numFmtId="0" fontId="25" fillId="0" borderId="18" xfId="0" applyFont="1" applyBorder="1" applyAlignment="1">
      <alignment horizontal="left" vertical="center" indent="1"/>
    </xf>
    <xf numFmtId="0" fontId="6" fillId="7" borderId="18" xfId="0" applyFont="1" applyFill="1" applyBorder="1" applyAlignment="1">
      <alignment horizontal="left" vertical="center" indent="1"/>
    </xf>
    <xf numFmtId="176" fontId="7" fillId="7" borderId="17" xfId="0" applyNumberFormat="1" applyFont="1" applyFill="1" applyBorder="1" applyAlignment="1">
      <alignment horizontal="right" vertical="center" indent="1"/>
    </xf>
    <xf numFmtId="0" fontId="38" fillId="7" borderId="21" xfId="0" applyFont="1" applyFill="1" applyBorder="1" applyAlignment="1">
      <alignment horizontal="left" vertical="center" wrapText="1" indent="1"/>
    </xf>
    <xf numFmtId="0" fontId="40" fillId="0" borderId="47" xfId="0" applyFont="1" applyBorder="1">
      <alignment vertical="center"/>
    </xf>
    <xf numFmtId="0" fontId="13" fillId="3" borderId="1" xfId="0" applyFont="1" applyFill="1" applyBorder="1" applyAlignment="1">
      <alignment horizontal="center" vertical="center"/>
    </xf>
    <xf numFmtId="0" fontId="13" fillId="3" borderId="111" xfId="0" applyFont="1" applyFill="1" applyBorder="1" applyAlignment="1">
      <alignment horizontal="center" vertical="center"/>
    </xf>
    <xf numFmtId="0" fontId="41" fillId="2" borderId="0" xfId="0" applyFont="1" applyFill="1">
      <alignment vertical="center"/>
    </xf>
    <xf numFmtId="182" fontId="8" fillId="2" borderId="0" xfId="0" applyNumberFormat="1" applyFont="1" applyFill="1" applyAlignment="1">
      <alignment horizontal="right" vertical="center" indent="1"/>
    </xf>
    <xf numFmtId="182" fontId="8" fillId="2" borderId="20" xfId="0" applyNumberFormat="1" applyFont="1" applyFill="1" applyBorder="1" applyAlignment="1">
      <alignment horizontal="right" vertical="center" indent="2"/>
    </xf>
    <xf numFmtId="182" fontId="8" fillId="2" borderId="55" xfId="0" applyNumberFormat="1" applyFont="1" applyFill="1" applyBorder="1" applyAlignment="1">
      <alignment horizontal="right" vertical="center" indent="2"/>
    </xf>
    <xf numFmtId="182" fontId="8" fillId="2" borderId="91" xfId="0" applyNumberFormat="1" applyFont="1" applyFill="1" applyBorder="1" applyAlignment="1">
      <alignment horizontal="right" vertical="center" indent="2"/>
    </xf>
    <xf numFmtId="0" fontId="12" fillId="4" borderId="7" xfId="0" applyFont="1" applyFill="1" applyBorder="1" applyAlignment="1">
      <alignment horizontal="left" vertical="center" indent="1"/>
    </xf>
    <xf numFmtId="0" fontId="8" fillId="4" borderId="12" xfId="0" applyFont="1" applyFill="1" applyBorder="1" applyAlignment="1">
      <alignment horizontal="left" vertical="center" indent="1"/>
    </xf>
    <xf numFmtId="0" fontId="42" fillId="4" borderId="12" xfId="0" applyFont="1" applyFill="1" applyBorder="1" applyAlignment="1">
      <alignment horizontal="left" vertical="center" indent="1"/>
    </xf>
    <xf numFmtId="0" fontId="8" fillId="4" borderId="0" xfId="0" applyFont="1" applyFill="1" applyAlignment="1">
      <alignment horizontal="left" vertical="center" indent="1"/>
    </xf>
    <xf numFmtId="0" fontId="8" fillId="4" borderId="13" xfId="0" applyFont="1" applyFill="1" applyBorder="1" applyAlignment="1">
      <alignment horizontal="left" vertical="center" indent="1"/>
    </xf>
    <xf numFmtId="0" fontId="12" fillId="4" borderId="3" xfId="0" applyFont="1" applyFill="1" applyBorder="1" applyAlignment="1">
      <alignment horizontal="left" vertical="center" indent="1"/>
    </xf>
    <xf numFmtId="0" fontId="12" fillId="4" borderId="19" xfId="0" applyFont="1" applyFill="1" applyBorder="1" applyAlignment="1">
      <alignment horizontal="left" vertical="center" indent="1"/>
    </xf>
    <xf numFmtId="0" fontId="6" fillId="7" borderId="86" xfId="0" applyFont="1" applyFill="1" applyBorder="1" applyAlignment="1">
      <alignment horizontal="left" vertical="center" indent="1"/>
    </xf>
    <xf numFmtId="182" fontId="7" fillId="7" borderId="82" xfId="0" applyNumberFormat="1" applyFont="1" applyFill="1" applyBorder="1" applyAlignment="1">
      <alignment horizontal="right" vertical="center" indent="1"/>
    </xf>
    <xf numFmtId="182" fontId="7" fillId="7" borderId="83" xfId="0" applyNumberFormat="1" applyFont="1" applyFill="1" applyBorder="1" applyAlignment="1">
      <alignment horizontal="right" vertical="center" indent="1"/>
    </xf>
    <xf numFmtId="182" fontId="7" fillId="7" borderId="96" xfId="0" applyNumberFormat="1" applyFont="1" applyFill="1" applyBorder="1" applyAlignment="1">
      <alignment horizontal="right" vertical="center" indent="1"/>
    </xf>
    <xf numFmtId="181" fontId="12" fillId="4" borderId="1" xfId="0" applyNumberFormat="1" applyFont="1" applyFill="1" applyBorder="1" applyAlignment="1">
      <alignment horizontal="left" vertical="center" indent="1"/>
    </xf>
    <xf numFmtId="182" fontId="12" fillId="4" borderId="1" xfId="0" applyNumberFormat="1" applyFont="1" applyFill="1" applyBorder="1" applyAlignment="1">
      <alignment horizontal="left" vertical="center" indent="1"/>
    </xf>
    <xf numFmtId="182" fontId="12" fillId="4" borderId="3" xfId="0" applyNumberFormat="1" applyFont="1" applyFill="1" applyBorder="1" applyAlignment="1">
      <alignment horizontal="left" vertical="center" indent="1"/>
    </xf>
    <xf numFmtId="182" fontId="12" fillId="4" borderId="19" xfId="0" applyNumberFormat="1" applyFont="1" applyFill="1" applyBorder="1" applyAlignment="1">
      <alignment horizontal="left" vertical="center" indent="1"/>
    </xf>
    <xf numFmtId="0" fontId="12" fillId="4" borderId="11" xfId="0" applyFont="1" applyFill="1" applyBorder="1" applyAlignment="1">
      <alignment horizontal="left" vertical="center" indent="1"/>
    </xf>
    <xf numFmtId="0" fontId="12" fillId="4" borderId="119" xfId="0" applyFont="1" applyFill="1" applyBorder="1" applyAlignment="1">
      <alignment horizontal="left" vertical="center" indent="1"/>
    </xf>
    <xf numFmtId="0" fontId="12" fillId="4" borderId="16" xfId="0" applyFont="1" applyFill="1" applyBorder="1" applyAlignment="1">
      <alignment horizontal="left" vertical="center" indent="1"/>
    </xf>
    <xf numFmtId="0" fontId="12" fillId="4" borderId="17" xfId="0" applyFont="1" applyFill="1" applyBorder="1" applyAlignment="1">
      <alignment horizontal="center" vertical="center"/>
    </xf>
    <xf numFmtId="0" fontId="12" fillId="4" borderId="22" xfId="0" applyFont="1" applyFill="1" applyBorder="1" applyAlignment="1">
      <alignment horizontal="center" vertical="center"/>
    </xf>
    <xf numFmtId="0" fontId="12" fillId="4" borderId="16" xfId="0" applyFont="1" applyFill="1" applyBorder="1" applyAlignment="1">
      <alignment horizontal="center" vertical="center"/>
    </xf>
    <xf numFmtId="0" fontId="25" fillId="4" borderId="16" xfId="0" applyFont="1" applyFill="1" applyBorder="1" applyAlignment="1">
      <alignment horizontal="center" vertical="center"/>
    </xf>
    <xf numFmtId="0" fontId="25" fillId="2" borderId="16" xfId="0" applyFont="1" applyFill="1" applyBorder="1" applyAlignment="1">
      <alignment horizontal="left" vertical="center" indent="1"/>
    </xf>
    <xf numFmtId="14" fontId="8" fillId="2" borderId="16" xfId="0" applyNumberFormat="1" applyFont="1" applyFill="1" applyBorder="1" applyAlignment="1">
      <alignment horizontal="right" vertical="center" indent="1"/>
    </xf>
    <xf numFmtId="179" fontId="8" fillId="2" borderId="16" xfId="0" applyNumberFormat="1" applyFont="1" applyFill="1" applyBorder="1" applyAlignment="1">
      <alignment horizontal="right" vertical="center" indent="1"/>
    </xf>
    <xf numFmtId="0" fontId="26" fillId="4" borderId="18" xfId="0" applyFont="1" applyFill="1" applyBorder="1" applyAlignment="1">
      <alignment horizontal="center" vertical="center"/>
    </xf>
    <xf numFmtId="0" fontId="26" fillId="2" borderId="22" xfId="0" applyFont="1" applyFill="1" applyBorder="1" applyAlignment="1">
      <alignment horizontal="left" vertical="center" indent="1"/>
    </xf>
    <xf numFmtId="0" fontId="8" fillId="2" borderId="22" xfId="0" applyFont="1" applyFill="1" applyBorder="1" applyAlignment="1">
      <alignment horizontal="right" vertical="center" indent="1"/>
    </xf>
    <xf numFmtId="0" fontId="25" fillId="2" borderId="22" xfId="0" applyFont="1" applyFill="1" applyBorder="1" applyAlignment="1">
      <alignment horizontal="left" vertical="center" indent="1"/>
    </xf>
    <xf numFmtId="0" fontId="25" fillId="2" borderId="22" xfId="0" applyFont="1" applyFill="1" applyBorder="1" applyAlignment="1">
      <alignment horizontal="right" vertical="center" indent="1"/>
    </xf>
    <xf numFmtId="0" fontId="25" fillId="4" borderId="18" xfId="0" applyFont="1" applyFill="1" applyBorder="1" applyAlignment="1">
      <alignment horizontal="center" vertical="center"/>
    </xf>
    <xf numFmtId="0" fontId="44" fillId="3" borderId="5" xfId="0" applyFont="1" applyFill="1" applyBorder="1" applyAlignment="1">
      <alignment horizontal="center" vertical="center"/>
    </xf>
    <xf numFmtId="0" fontId="26" fillId="7" borderId="22" xfId="0" applyFont="1" applyFill="1" applyBorder="1" applyAlignment="1">
      <alignment horizontal="center" vertical="center"/>
    </xf>
    <xf numFmtId="0" fontId="25" fillId="4" borderId="16" xfId="0" applyFont="1" applyFill="1" applyBorder="1" applyAlignment="1">
      <alignment horizontal="left" vertical="center" indent="1"/>
    </xf>
    <xf numFmtId="0" fontId="25" fillId="4" borderId="18" xfId="0" applyFont="1" applyFill="1" applyBorder="1" applyAlignment="1">
      <alignment horizontal="left" vertical="center" indent="1"/>
    </xf>
    <xf numFmtId="0" fontId="13" fillId="3" borderId="49" xfId="0" applyFont="1" applyFill="1" applyBorder="1" applyAlignment="1">
      <alignment horizontal="center" vertical="center"/>
    </xf>
    <xf numFmtId="0" fontId="0" fillId="12" borderId="0" xfId="0" applyFill="1">
      <alignment vertical="center"/>
    </xf>
    <xf numFmtId="0" fontId="0" fillId="13" borderId="0" xfId="0" applyFill="1">
      <alignment vertical="center"/>
    </xf>
    <xf numFmtId="0" fontId="0" fillId="7" borderId="0" xfId="0" applyFill="1">
      <alignment vertical="center"/>
    </xf>
    <xf numFmtId="0" fontId="0" fillId="6" borderId="0" xfId="0" applyFill="1">
      <alignment vertical="center"/>
    </xf>
    <xf numFmtId="0" fontId="15" fillId="7" borderId="10" xfId="0" applyFont="1" applyFill="1" applyBorder="1" applyAlignment="1">
      <alignment horizontal="left" vertical="center" indent="1"/>
    </xf>
    <xf numFmtId="0" fontId="15" fillId="7" borderId="57" xfId="0" applyFont="1" applyFill="1" applyBorder="1" applyAlignment="1">
      <alignment horizontal="left" vertical="center" indent="1"/>
    </xf>
    <xf numFmtId="0" fontId="15" fillId="13" borderId="56" xfId="0" applyFont="1" applyFill="1" applyBorder="1" applyAlignment="1">
      <alignment horizontal="left" vertical="center" indent="1"/>
    </xf>
    <xf numFmtId="178" fontId="7" fillId="13" borderId="56" xfId="0" applyNumberFormat="1" applyFont="1" applyFill="1" applyBorder="1">
      <alignment vertical="center"/>
    </xf>
    <xf numFmtId="0" fontId="15" fillId="13" borderId="57" xfId="0" applyFont="1" applyFill="1" applyBorder="1" applyAlignment="1">
      <alignment horizontal="left" vertical="center" indent="1"/>
    </xf>
    <xf numFmtId="178" fontId="7" fillId="13" borderId="57" xfId="0" applyNumberFormat="1" applyFont="1" applyFill="1" applyBorder="1">
      <alignment vertical="center"/>
    </xf>
    <xf numFmtId="182" fontId="8" fillId="7" borderId="1" xfId="0" applyNumberFormat="1" applyFont="1" applyFill="1" applyBorder="1" applyAlignment="1">
      <alignment horizontal="right" vertical="center" indent="1"/>
    </xf>
    <xf numFmtId="0" fontId="12" fillId="4" borderId="25" xfId="0" applyFont="1" applyFill="1" applyBorder="1" applyAlignment="1">
      <alignment horizontal="left" vertical="center" indent="2"/>
    </xf>
    <xf numFmtId="0" fontId="12" fillId="4" borderId="49" xfId="0" applyFont="1" applyFill="1" applyBorder="1" applyAlignment="1">
      <alignment horizontal="left" vertical="center" indent="2"/>
    </xf>
    <xf numFmtId="0" fontId="12" fillId="4" borderId="122" xfId="0" applyFont="1" applyFill="1" applyBorder="1" applyAlignment="1">
      <alignment horizontal="left" vertical="center" indent="2"/>
    </xf>
    <xf numFmtId="182" fontId="7" fillId="0" borderId="50" xfId="0" applyNumberFormat="1" applyFont="1" applyBorder="1" applyAlignment="1">
      <alignment horizontal="right" vertical="center" indent="1"/>
    </xf>
    <xf numFmtId="182" fontId="18" fillId="0" borderId="33" xfId="0" applyNumberFormat="1" applyFont="1" applyBorder="1">
      <alignment vertical="center"/>
    </xf>
    <xf numFmtId="182" fontId="19" fillId="0" borderId="0" xfId="0" applyNumberFormat="1" applyFont="1" applyAlignment="1">
      <alignment horizontal="center" vertical="center"/>
    </xf>
    <xf numFmtId="182" fontId="19" fillId="0" borderId="0" xfId="0" applyNumberFormat="1" applyFont="1">
      <alignment vertical="center"/>
    </xf>
    <xf numFmtId="182" fontId="17" fillId="0" borderId="0" xfId="0" applyNumberFormat="1" applyFont="1" applyAlignment="1">
      <alignment horizontal="center" vertical="center"/>
    </xf>
    <xf numFmtId="182" fontId="17" fillId="0" borderId="0" xfId="0" applyNumberFormat="1" applyFont="1">
      <alignment vertical="center"/>
    </xf>
    <xf numFmtId="182" fontId="7" fillId="7" borderId="3" xfId="0" applyNumberFormat="1" applyFont="1" applyFill="1" applyBorder="1" applyAlignment="1">
      <alignment horizontal="right" vertical="center" indent="1"/>
    </xf>
    <xf numFmtId="182" fontId="45" fillId="0" borderId="57" xfId="0" applyNumberFormat="1" applyFont="1" applyBorder="1">
      <alignment vertical="center"/>
    </xf>
    <xf numFmtId="182" fontId="8" fillId="0" borderId="25" xfId="0" applyNumberFormat="1" applyFont="1" applyBorder="1" applyAlignment="1">
      <alignment horizontal="right" vertical="center"/>
    </xf>
    <xf numFmtId="182" fontId="46" fillId="0" borderId="19" xfId="0" applyNumberFormat="1" applyFont="1" applyBorder="1" applyAlignment="1">
      <alignment horizontal="right" vertical="center"/>
    </xf>
    <xf numFmtId="182" fontId="8" fillId="0" borderId="19" xfId="0" applyNumberFormat="1" applyFont="1" applyBorder="1" applyAlignment="1">
      <alignment horizontal="right" vertical="center"/>
    </xf>
    <xf numFmtId="182" fontId="8" fillId="0" borderId="109" xfId="0" applyNumberFormat="1" applyFont="1" applyBorder="1" applyAlignment="1">
      <alignment horizontal="right" vertical="center"/>
    </xf>
    <xf numFmtId="182" fontId="8" fillId="0" borderId="20" xfId="0" applyNumberFormat="1" applyFont="1" applyBorder="1" applyAlignment="1">
      <alignment horizontal="right" vertical="center"/>
    </xf>
    <xf numFmtId="178" fontId="7" fillId="13" borderId="57" xfId="0" applyNumberFormat="1" applyFont="1" applyFill="1" applyBorder="1" applyAlignment="1">
      <alignment horizontal="right" vertical="center" indent="1"/>
    </xf>
    <xf numFmtId="182" fontId="8" fillId="2" borderId="19" xfId="0" applyNumberFormat="1" applyFont="1" applyFill="1" applyBorder="1" applyAlignment="1">
      <alignment horizontal="right" vertical="center" indent="1"/>
    </xf>
    <xf numFmtId="182" fontId="7" fillId="5" borderId="3" xfId="0" applyNumberFormat="1" applyFont="1" applyFill="1" applyBorder="1" applyAlignment="1">
      <alignment horizontal="right" vertical="center" indent="1"/>
    </xf>
    <xf numFmtId="182" fontId="28" fillId="3" borderId="85" xfId="0" applyNumberFormat="1" applyFont="1" applyFill="1" applyBorder="1" applyAlignment="1">
      <alignment horizontal="right" vertical="center" indent="1"/>
    </xf>
    <xf numFmtId="182" fontId="39" fillId="0" borderId="0" xfId="0" applyNumberFormat="1" applyFont="1">
      <alignment vertical="center"/>
    </xf>
    <xf numFmtId="182" fontId="28" fillId="3" borderId="64" xfId="0" applyNumberFormat="1" applyFont="1" applyFill="1" applyBorder="1" applyAlignment="1">
      <alignment horizontal="right" vertical="center" indent="1"/>
    </xf>
    <xf numFmtId="182" fontId="2" fillId="3" borderId="5" xfId="0" applyNumberFormat="1" applyFont="1" applyFill="1" applyBorder="1" applyAlignment="1">
      <alignment horizontal="centerContinuous" vertical="center"/>
    </xf>
    <xf numFmtId="182" fontId="2" fillId="3" borderId="61" xfId="0" applyNumberFormat="1" applyFont="1" applyFill="1" applyBorder="1" applyAlignment="1">
      <alignment horizontal="centerContinuous" vertical="center"/>
    </xf>
    <xf numFmtId="182" fontId="2" fillId="3" borderId="6" xfId="0" applyNumberFormat="1" applyFont="1" applyFill="1" applyBorder="1" applyAlignment="1">
      <alignment horizontal="centerContinuous" vertical="center"/>
    </xf>
    <xf numFmtId="182" fontId="8" fillId="7" borderId="22" xfId="0" applyNumberFormat="1" applyFont="1" applyFill="1" applyBorder="1" applyAlignment="1">
      <alignment horizontal="right" vertical="center" indent="1"/>
    </xf>
    <xf numFmtId="182" fontId="8" fillId="0" borderId="22" xfId="0" applyNumberFormat="1" applyFont="1" applyBorder="1" applyAlignment="1">
      <alignment horizontal="right" vertical="center" indent="1"/>
    </xf>
    <xf numFmtId="182" fontId="8" fillId="0" borderId="106" xfId="0" applyNumberFormat="1" applyFont="1" applyBorder="1" applyAlignment="1">
      <alignment horizontal="right" vertical="center" indent="1"/>
    </xf>
    <xf numFmtId="182" fontId="8" fillId="0" borderId="105" xfId="0" applyNumberFormat="1" applyFont="1" applyBorder="1" applyAlignment="1">
      <alignment horizontal="right" vertical="center" indent="1"/>
    </xf>
    <xf numFmtId="182" fontId="8" fillId="7" borderId="49" xfId="0" applyNumberFormat="1" applyFont="1" applyFill="1" applyBorder="1" applyAlignment="1">
      <alignment horizontal="right" vertical="center" indent="1"/>
    </xf>
    <xf numFmtId="182" fontId="8" fillId="7" borderId="19" xfId="0" applyNumberFormat="1" applyFont="1" applyFill="1" applyBorder="1" applyAlignment="1">
      <alignment horizontal="right" vertical="center" indent="1"/>
    </xf>
    <xf numFmtId="182" fontId="28" fillId="3" borderId="60" xfId="0" applyNumberFormat="1" applyFont="1" applyFill="1" applyBorder="1" applyAlignment="1">
      <alignment horizontal="right" vertical="center" indent="1"/>
    </xf>
    <xf numFmtId="182" fontId="28" fillId="3" borderId="67" xfId="0" applyNumberFormat="1" applyFont="1" applyFill="1" applyBorder="1" applyAlignment="1">
      <alignment horizontal="right" vertical="center" indent="1"/>
    </xf>
    <xf numFmtId="182" fontId="0" fillId="0" borderId="47" xfId="0" applyNumberFormat="1" applyBorder="1">
      <alignment vertical="center"/>
    </xf>
    <xf numFmtId="182" fontId="40" fillId="0" borderId="47" xfId="0" applyNumberFormat="1" applyFont="1" applyBorder="1">
      <alignment vertical="center"/>
    </xf>
    <xf numFmtId="182" fontId="8" fillId="10" borderId="79" xfId="0" applyNumberFormat="1" applyFont="1" applyFill="1" applyBorder="1" applyAlignment="1">
      <alignment horizontal="right" vertical="center" indent="1"/>
    </xf>
    <xf numFmtId="182" fontId="8" fillId="10" borderId="67" xfId="0" applyNumberFormat="1" applyFont="1" applyFill="1" applyBorder="1" applyAlignment="1">
      <alignment horizontal="right" vertical="center" indent="1"/>
    </xf>
    <xf numFmtId="182" fontId="7" fillId="7" borderId="22" xfId="0" applyNumberFormat="1" applyFont="1" applyFill="1" applyBorder="1" applyAlignment="1">
      <alignment horizontal="right" vertical="center" indent="1"/>
    </xf>
    <xf numFmtId="182" fontId="29" fillId="0" borderId="22" xfId="0" applyNumberFormat="1" applyFont="1" applyBorder="1" applyAlignment="1">
      <alignment horizontal="right" vertical="center" indent="1"/>
    </xf>
    <xf numFmtId="182" fontId="0" fillId="0" borderId="49" xfId="0" applyNumberFormat="1" applyBorder="1">
      <alignment vertical="center"/>
    </xf>
    <xf numFmtId="182" fontId="7" fillId="7" borderId="11" xfId="0" applyNumberFormat="1" applyFont="1" applyFill="1" applyBorder="1" applyAlignment="1">
      <alignment horizontal="right" vertical="center" indent="1"/>
    </xf>
    <xf numFmtId="185" fontId="47" fillId="0" borderId="0" xfId="0" applyNumberFormat="1" applyFont="1" applyAlignment="1">
      <alignment horizontal="center" vertical="center"/>
    </xf>
    <xf numFmtId="0" fontId="48" fillId="0" borderId="0" xfId="0" applyFont="1">
      <alignment vertical="center"/>
    </xf>
    <xf numFmtId="0" fontId="47" fillId="0" borderId="0" xfId="0" applyFont="1">
      <alignment vertical="center"/>
    </xf>
    <xf numFmtId="185" fontId="47" fillId="0" borderId="0" xfId="0" applyNumberFormat="1" applyFont="1">
      <alignment vertical="center"/>
    </xf>
    <xf numFmtId="185" fontId="51" fillId="2" borderId="123" xfId="0" applyNumberFormat="1" applyFont="1" applyFill="1" applyBorder="1" applyAlignment="1">
      <alignment horizontal="center" vertical="center"/>
    </xf>
    <xf numFmtId="185" fontId="14" fillId="0" borderId="0" xfId="0" applyNumberFormat="1" applyFont="1" applyAlignment="1">
      <alignment horizontal="center" vertical="center"/>
    </xf>
    <xf numFmtId="0" fontId="15" fillId="0" borderId="0" xfId="0" applyFont="1">
      <alignment vertical="center"/>
    </xf>
    <xf numFmtId="0" fontId="15" fillId="0" borderId="0" xfId="0" applyFont="1" applyAlignment="1">
      <alignment horizontal="left" vertical="center"/>
    </xf>
    <xf numFmtId="0" fontId="14" fillId="0" borderId="0" xfId="0" applyFont="1" applyAlignment="1">
      <alignment horizontal="center" vertical="center"/>
    </xf>
    <xf numFmtId="185" fontId="14" fillId="15" borderId="123" xfId="0" applyNumberFormat="1" applyFont="1" applyFill="1" applyBorder="1" applyAlignment="1">
      <alignment horizontal="center" vertical="center"/>
    </xf>
    <xf numFmtId="185" fontId="14" fillId="16" borderId="123" xfId="0" applyNumberFormat="1" applyFont="1" applyFill="1" applyBorder="1" applyAlignment="1">
      <alignment horizontal="center" vertical="center"/>
    </xf>
    <xf numFmtId="185" fontId="14" fillId="0" borderId="0" xfId="0" applyNumberFormat="1" applyFont="1">
      <alignment vertical="center"/>
    </xf>
    <xf numFmtId="185" fontId="52" fillId="12" borderId="124" xfId="0" applyNumberFormat="1" applyFont="1" applyFill="1" applyBorder="1" applyAlignment="1">
      <alignment horizontal="center" vertical="center"/>
    </xf>
    <xf numFmtId="0" fontId="52" fillId="12" borderId="124" xfId="0" applyFont="1" applyFill="1" applyBorder="1" applyAlignment="1">
      <alignment horizontal="center" vertical="center"/>
    </xf>
    <xf numFmtId="185" fontId="14" fillId="8" borderId="124" xfId="0" applyNumberFormat="1" applyFont="1" applyFill="1" applyBorder="1" applyAlignment="1">
      <alignment horizontal="center" vertical="center"/>
    </xf>
    <xf numFmtId="0" fontId="14" fillId="8" borderId="124" xfId="0" applyFont="1" applyFill="1" applyBorder="1" applyAlignment="1">
      <alignment horizontal="centerContinuous" vertical="center"/>
    </xf>
    <xf numFmtId="185" fontId="14" fillId="0" borderId="124" xfId="0" applyNumberFormat="1" applyFont="1" applyBorder="1" applyAlignment="1">
      <alignment horizontal="center" vertical="center"/>
    </xf>
    <xf numFmtId="0" fontId="14" fillId="0" borderId="124" xfId="0" applyFont="1" applyBorder="1">
      <alignment vertical="center"/>
    </xf>
    <xf numFmtId="0" fontId="14" fillId="13" borderId="124" xfId="0" applyFont="1" applyFill="1" applyBorder="1" applyAlignment="1">
      <alignment horizontal="center" vertical="center"/>
    </xf>
    <xf numFmtId="0" fontId="14" fillId="14" borderId="124" xfId="0" applyFont="1" applyFill="1" applyBorder="1" applyAlignment="1">
      <alignment horizontal="center" vertical="center"/>
    </xf>
    <xf numFmtId="185" fontId="14" fillId="15" borderId="124" xfId="0" applyNumberFormat="1" applyFont="1" applyFill="1" applyBorder="1" applyAlignment="1">
      <alignment horizontal="center" vertical="center"/>
    </xf>
    <xf numFmtId="185" fontId="14" fillId="16" borderId="124" xfId="0" applyNumberFormat="1" applyFont="1" applyFill="1" applyBorder="1" applyAlignment="1">
      <alignment horizontal="center" vertical="center"/>
    </xf>
    <xf numFmtId="185" fontId="14" fillId="13" borderId="124" xfId="0" applyNumberFormat="1" applyFont="1" applyFill="1" applyBorder="1" applyAlignment="1">
      <alignment horizontal="center" vertical="center"/>
    </xf>
    <xf numFmtId="0" fontId="20" fillId="13" borderId="124" xfId="0" applyFont="1" applyFill="1" applyBorder="1" applyAlignment="1">
      <alignment horizontal="center" vertical="center"/>
    </xf>
    <xf numFmtId="185" fontId="49" fillId="12" borderId="124" xfId="0" applyNumberFormat="1" applyFont="1" applyFill="1" applyBorder="1" applyAlignment="1">
      <alignment horizontal="centerContinuous" vertical="center"/>
    </xf>
    <xf numFmtId="179" fontId="50" fillId="12" borderId="124" xfId="0" applyNumberFormat="1" applyFont="1" applyFill="1" applyBorder="1" applyAlignment="1">
      <alignment horizontal="center" vertical="center"/>
    </xf>
    <xf numFmtId="179" fontId="51" fillId="15" borderId="124" xfId="0" applyNumberFormat="1" applyFont="1" applyFill="1" applyBorder="1" applyAlignment="1">
      <alignment horizontal="center" vertical="center"/>
    </xf>
    <xf numFmtId="179" fontId="53" fillId="16" borderId="124" xfId="0" applyNumberFormat="1" applyFont="1" applyFill="1" applyBorder="1" applyAlignment="1">
      <alignment horizontal="center" vertical="center"/>
    </xf>
    <xf numFmtId="185" fontId="47" fillId="6" borderId="124" xfId="0" applyNumberFormat="1" applyFont="1" applyFill="1" applyBorder="1" applyAlignment="1">
      <alignment horizontal="center" vertical="center"/>
    </xf>
    <xf numFmtId="185" fontId="47" fillId="2" borderId="124" xfId="0" applyNumberFormat="1" applyFont="1" applyFill="1" applyBorder="1" applyAlignment="1">
      <alignment horizontal="center" vertical="center"/>
    </xf>
    <xf numFmtId="185" fontId="51" fillId="2" borderId="124" xfId="0" applyNumberFormat="1" applyFont="1" applyFill="1" applyBorder="1" applyAlignment="1">
      <alignment horizontal="center" vertical="center"/>
    </xf>
    <xf numFmtId="185" fontId="47" fillId="0" borderId="124" xfId="0" applyNumberFormat="1" applyFont="1" applyBorder="1" applyAlignment="1">
      <alignment horizontal="center" vertical="center"/>
    </xf>
    <xf numFmtId="185" fontId="54" fillId="6" borderId="124" xfId="0" applyNumberFormat="1" applyFont="1" applyFill="1" applyBorder="1" applyAlignment="1">
      <alignment horizontal="center" vertical="center"/>
    </xf>
    <xf numFmtId="0" fontId="55" fillId="0" borderId="0" xfId="0" applyFont="1">
      <alignment vertical="center"/>
    </xf>
    <xf numFmtId="182" fontId="15" fillId="5" borderId="10" xfId="0" applyNumberFormat="1" applyFont="1" applyFill="1" applyBorder="1" applyAlignment="1">
      <alignment horizontal="center" vertical="center" wrapText="1"/>
    </xf>
    <xf numFmtId="182" fontId="5" fillId="7" borderId="118" xfId="0" applyNumberFormat="1" applyFont="1" applyFill="1" applyBorder="1" applyAlignment="1">
      <alignment horizontal="right" vertical="center" indent="1"/>
    </xf>
    <xf numFmtId="182" fontId="5" fillId="7" borderId="117" xfId="0" applyNumberFormat="1" applyFont="1" applyFill="1" applyBorder="1" applyAlignment="1">
      <alignment horizontal="right" vertical="center" indent="1"/>
    </xf>
    <xf numFmtId="182" fontId="36" fillId="5" borderId="10" xfId="0" applyNumberFormat="1" applyFont="1" applyFill="1" applyBorder="1" applyAlignment="1">
      <alignment horizontal="right" vertical="center" indent="1"/>
    </xf>
    <xf numFmtId="182" fontId="36" fillId="5" borderId="117" xfId="0" applyNumberFormat="1" applyFont="1" applyFill="1" applyBorder="1" applyAlignment="1">
      <alignment horizontal="right" vertical="center" indent="1"/>
    </xf>
    <xf numFmtId="0" fontId="40" fillId="0" borderId="0" xfId="0" applyFont="1" applyAlignment="1">
      <alignment horizontal="center" vertical="center"/>
    </xf>
    <xf numFmtId="0" fontId="40" fillId="8" borderId="0" xfId="0" applyFont="1" applyFill="1" applyAlignment="1">
      <alignment horizontal="centerContinuous" vertical="center"/>
    </xf>
    <xf numFmtId="0" fontId="0" fillId="8" borderId="0" xfId="0" applyFill="1" applyAlignment="1">
      <alignment horizontal="centerContinuous" vertical="center"/>
    </xf>
    <xf numFmtId="177" fontId="7" fillId="0" borderId="20" xfId="0" applyNumberFormat="1" applyFont="1" applyBorder="1" applyAlignment="1">
      <alignment horizontal="right" vertical="center" indent="1"/>
    </xf>
    <xf numFmtId="177" fontId="7" fillId="0" borderId="17" xfId="0" applyNumberFormat="1" applyFont="1" applyBorder="1" applyAlignment="1">
      <alignment horizontal="right" vertical="center" indent="1"/>
    </xf>
    <xf numFmtId="177" fontId="0" fillId="0" borderId="0" xfId="0" applyNumberFormat="1">
      <alignment vertical="center"/>
    </xf>
    <xf numFmtId="177" fontId="0" fillId="0" borderId="47" xfId="0" applyNumberFormat="1" applyBorder="1">
      <alignment vertical="center"/>
    </xf>
    <xf numFmtId="177" fontId="29" fillId="0" borderId="17" xfId="0" applyNumberFormat="1" applyFont="1" applyBorder="1" applyAlignment="1">
      <alignment horizontal="right" vertical="center" indent="1"/>
    </xf>
    <xf numFmtId="177" fontId="0" fillId="0" borderId="19" xfId="0" applyNumberFormat="1" applyBorder="1">
      <alignment vertical="center"/>
    </xf>
    <xf numFmtId="177" fontId="0" fillId="0" borderId="49" xfId="0" applyNumberFormat="1" applyBorder="1">
      <alignment vertical="center"/>
    </xf>
    <xf numFmtId="177" fontId="2" fillId="3" borderId="73" xfId="0" applyNumberFormat="1" applyFont="1" applyFill="1" applyBorder="1" applyAlignment="1">
      <alignment horizontal="centerContinuous" vertical="center"/>
    </xf>
    <xf numFmtId="177" fontId="2" fillId="3" borderId="75" xfId="0" applyNumberFormat="1" applyFont="1" applyFill="1" applyBorder="1" applyAlignment="1">
      <alignment horizontal="center" vertical="center"/>
    </xf>
    <xf numFmtId="177" fontId="2" fillId="3" borderId="0" xfId="0" applyNumberFormat="1" applyFont="1" applyFill="1" applyAlignment="1">
      <alignment horizontal="centerContinuous" vertical="center"/>
    </xf>
    <xf numFmtId="177" fontId="2" fillId="3" borderId="60" xfId="0" applyNumberFormat="1" applyFont="1" applyFill="1" applyBorder="1" applyAlignment="1">
      <alignment horizontal="center" vertical="center"/>
    </xf>
    <xf numFmtId="177" fontId="2" fillId="3" borderId="75" xfId="0" applyNumberFormat="1" applyFont="1" applyFill="1" applyBorder="1" applyAlignment="1">
      <alignment horizontal="centerContinuous" vertical="center"/>
    </xf>
    <xf numFmtId="177" fontId="2" fillId="3" borderId="77" xfId="0" applyNumberFormat="1" applyFont="1" applyFill="1" applyBorder="1" applyAlignment="1">
      <alignment horizontal="centerContinuous" vertical="center"/>
    </xf>
    <xf numFmtId="177" fontId="2" fillId="11" borderId="73" xfId="0" applyNumberFormat="1" applyFont="1" applyFill="1" applyBorder="1" applyAlignment="1">
      <alignment horizontal="centerContinuous" vertical="center"/>
    </xf>
    <xf numFmtId="177" fontId="2" fillId="11" borderId="75" xfId="0" applyNumberFormat="1" applyFont="1" applyFill="1" applyBorder="1" applyAlignment="1">
      <alignment horizontal="center" vertical="center"/>
    </xf>
    <xf numFmtId="178" fontId="56" fillId="0" borderId="3" xfId="1" applyNumberFormat="1" applyFont="1" applyFill="1" applyBorder="1" applyAlignment="1">
      <alignment horizontal="right" vertical="center" indent="1"/>
    </xf>
    <xf numFmtId="182" fontId="24" fillId="2" borderId="112" xfId="0" applyNumberFormat="1" applyFont="1" applyFill="1" applyBorder="1" applyAlignment="1">
      <alignment horizontal="right" vertical="center" indent="1"/>
    </xf>
    <xf numFmtId="0" fontId="26" fillId="4" borderId="0" xfId="0" applyFont="1" applyFill="1" applyAlignment="1">
      <alignment horizontal="left" vertical="center" indent="2"/>
    </xf>
    <xf numFmtId="0" fontId="2" fillId="3" borderId="47" xfId="0" applyFont="1" applyFill="1" applyBorder="1" applyAlignment="1">
      <alignment horizontal="center" vertical="center"/>
    </xf>
    <xf numFmtId="0" fontId="2" fillId="3" borderId="52" xfId="0" applyFont="1" applyFill="1" applyBorder="1" applyAlignment="1">
      <alignment horizontal="center" vertical="center"/>
    </xf>
    <xf numFmtId="0" fontId="2" fillId="3" borderId="58" xfId="0" applyFont="1" applyFill="1" applyBorder="1" applyAlignment="1">
      <alignment horizontal="center" vertical="center"/>
    </xf>
    <xf numFmtId="0" fontId="13" fillId="3" borderId="47" xfId="0" applyFont="1" applyFill="1" applyBorder="1" applyAlignment="1">
      <alignment horizontal="center" vertical="center"/>
    </xf>
    <xf numFmtId="0" fontId="13" fillId="3" borderId="58"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59" xfId="0" applyFont="1" applyFill="1" applyBorder="1" applyAlignment="1">
      <alignment horizontal="center" vertical="center"/>
    </xf>
    <xf numFmtId="0" fontId="13" fillId="3" borderId="60" xfId="0" applyFont="1" applyFill="1" applyBorder="1" applyAlignment="1">
      <alignment horizontal="center" vertical="center"/>
    </xf>
    <xf numFmtId="0" fontId="13" fillId="3" borderId="59" xfId="0" applyFont="1" applyFill="1" applyBorder="1" applyAlignment="1">
      <alignment horizontal="center" vertical="center" wrapText="1"/>
    </xf>
    <xf numFmtId="0" fontId="13" fillId="3" borderId="19" xfId="0" applyFont="1" applyFill="1" applyBorder="1" applyAlignment="1">
      <alignment horizontal="center" vertical="center" wrapText="1"/>
    </xf>
    <xf numFmtId="176" fontId="12" fillId="4" borderId="1" xfId="0" applyNumberFormat="1" applyFont="1" applyFill="1" applyBorder="1" applyAlignment="1">
      <alignment horizontal="center" vertical="center"/>
    </xf>
    <xf numFmtId="176" fontId="12" fillId="4" borderId="19" xfId="0" applyNumberFormat="1" applyFont="1" applyFill="1" applyBorder="1" applyAlignment="1">
      <alignment horizontal="center" vertical="center"/>
    </xf>
    <xf numFmtId="176" fontId="12" fillId="4" borderId="17" xfId="0" applyNumberFormat="1" applyFont="1" applyFill="1" applyBorder="1" applyAlignment="1">
      <alignment horizontal="center" vertical="center"/>
    </xf>
    <xf numFmtId="176" fontId="12" fillId="0" borderId="1" xfId="0" applyNumberFormat="1" applyFont="1" applyBorder="1" applyAlignment="1">
      <alignment horizontal="center" vertical="center"/>
    </xf>
    <xf numFmtId="176" fontId="12" fillId="0" borderId="19" xfId="0" applyNumberFormat="1" applyFont="1" applyBorder="1" applyAlignment="1">
      <alignment horizontal="center" vertical="center"/>
    </xf>
    <xf numFmtId="176" fontId="12" fillId="0" borderId="17" xfId="0" applyNumberFormat="1" applyFont="1" applyBorder="1" applyAlignment="1">
      <alignment horizontal="center" vertical="center"/>
    </xf>
    <xf numFmtId="0" fontId="6" fillId="2" borderId="0" xfId="0" applyFont="1" applyFill="1" applyAlignment="1">
      <alignment horizontal="left" vertical="center" indent="1"/>
    </xf>
    <xf numFmtId="185" fontId="49" fillId="12" borderId="124" xfId="0" applyNumberFormat="1" applyFont="1" applyFill="1" applyBorder="1" applyAlignment="1">
      <alignment horizontal="center" vertical="center"/>
    </xf>
    <xf numFmtId="185" fontId="17" fillId="13" borderId="124" xfId="0" applyNumberFormat="1" applyFont="1" applyFill="1" applyBorder="1" applyAlignment="1">
      <alignment horizontal="center" vertical="center"/>
    </xf>
    <xf numFmtId="0" fontId="14" fillId="13" borderId="124" xfId="0" applyFont="1" applyFill="1" applyBorder="1" applyAlignment="1">
      <alignment horizontal="center" vertical="center"/>
    </xf>
    <xf numFmtId="0" fontId="14" fillId="14" borderId="124" xfId="0" applyFont="1" applyFill="1" applyBorder="1" applyAlignment="1">
      <alignment horizontal="center" vertical="center"/>
    </xf>
    <xf numFmtId="0" fontId="20" fillId="13" borderId="124" xfId="0" applyFont="1" applyFill="1" applyBorder="1" applyAlignment="1">
      <alignment horizontal="center" vertical="center"/>
    </xf>
    <xf numFmtId="0" fontId="25" fillId="4" borderId="2" xfId="0" applyFont="1" applyFill="1" applyBorder="1" applyAlignment="1">
      <alignment horizontal="left" vertical="center" indent="1"/>
    </xf>
    <xf numFmtId="0" fontId="25" fillId="4" borderId="22" xfId="0" applyFont="1" applyFill="1" applyBorder="1" applyAlignment="1">
      <alignment horizontal="left" vertical="center" indent="1"/>
    </xf>
    <xf numFmtId="0" fontId="25" fillId="4" borderId="25" xfId="0" applyFont="1" applyFill="1" applyBorder="1" applyAlignment="1">
      <alignment horizontal="left" vertical="center" indent="1"/>
    </xf>
    <xf numFmtId="0" fontId="25" fillId="4" borderId="43" xfId="0" applyFont="1" applyFill="1" applyBorder="1" applyAlignment="1">
      <alignment horizontal="left" vertical="center" indent="1"/>
    </xf>
    <xf numFmtId="0" fontId="6" fillId="7" borderId="42" xfId="0" applyFont="1" applyFill="1" applyBorder="1" applyAlignment="1">
      <alignment horizontal="left" vertical="center" indent="1"/>
    </xf>
  </cellXfs>
  <cellStyles count="3">
    <cellStyle name="桁区切り" xfId="1" builtinId="6"/>
    <cellStyle name="標準" xfId="0" builtinId="0"/>
    <cellStyle name="標準 2" xfId="2" xr:uid="{CBDC4BB7-289D-4D88-B572-DA1918EAFCB4}"/>
  </cellStyles>
  <dxfs count="0"/>
  <tableStyles count="0" defaultTableStyle="TableStyleMedium2" defaultPivotStyle="PivotStyleLight16"/>
  <colors>
    <mruColors>
      <color rgb="FF0B3041"/>
      <color rgb="FFE3E7E9"/>
      <color rgb="FFE1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1069000000</c:v>
                </c:pt>
                <c:pt idx="2">
                  <c:v>571000000</c:v>
                </c:pt>
              </c:numCache>
            </c:numRef>
          </c:val>
          <c:extLst>
            <c:ext xmlns:c16="http://schemas.microsoft.com/office/drawing/2014/chart" uri="{C3380CC4-5D6E-409C-BE32-E72D297353CC}">
              <c16:uniqueId val="{00000000-6627-4162-991B-CB4F3B97A72F}"/>
            </c:ext>
          </c:extLst>
        </c:ser>
        <c:ser>
          <c:idx val="1"/>
          <c:order val="1"/>
          <c:spPr>
            <a:solidFill>
              <a:schemeClr val="accent4"/>
            </a:solidFill>
            <a:ln>
              <a:noFill/>
            </a:ln>
            <a:effectLst/>
          </c:spPr>
          <c:invertIfNegative val="0"/>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546000000</c:v>
                </c:pt>
                <c:pt idx="2">
                  <c:v>542000000</c:v>
                </c:pt>
              </c:numCache>
            </c:numRef>
          </c:val>
          <c:extLst>
            <c:ext xmlns:c16="http://schemas.microsoft.com/office/drawing/2014/chart" uri="{C3380CC4-5D6E-409C-BE32-E72D297353CC}">
              <c16:uniqueId val="{00000001-6627-4162-991B-CB4F3B97A72F}"/>
            </c:ext>
          </c:extLst>
        </c:ser>
        <c:dLbls>
          <c:showLegendKey val="0"/>
          <c:showVal val="0"/>
          <c:showCatName val="0"/>
          <c:showSerName val="0"/>
          <c:showPercent val="0"/>
          <c:showBubbleSize val="0"/>
        </c:dLbls>
        <c:gapWidth val="70"/>
        <c:overlap val="100"/>
        <c:axId val="1437092543"/>
        <c:axId val="1437094943"/>
      </c:barChart>
      <c:catAx>
        <c:axId val="1437092543"/>
        <c:scaling>
          <c:orientation val="minMax"/>
        </c:scaling>
        <c:delete val="1"/>
        <c:axPos val="l"/>
        <c:numFmt formatCode="General" sourceLinked="1"/>
        <c:majorTickMark val="out"/>
        <c:minorTickMark val="none"/>
        <c:tickLblPos val="nextTo"/>
        <c:crossAx val="1437094943"/>
        <c:crosses val="autoZero"/>
        <c:auto val="1"/>
        <c:lblAlgn val="ctr"/>
        <c:lblOffset val="100"/>
        <c:noMultiLvlLbl val="0"/>
      </c:catAx>
      <c:valAx>
        <c:axId val="1437094943"/>
        <c:scaling>
          <c:orientation val="minMax"/>
        </c:scaling>
        <c:delete val="0"/>
        <c:axPos val="b"/>
        <c:majorGridlines>
          <c:spPr>
            <a:ln w="9525" cap="flat" cmpd="sng" algn="ctr">
              <a:solidFill>
                <a:schemeClr val="tx2"/>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ja-JP"/>
          </a:p>
        </c:txPr>
        <c:crossAx val="143709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グラフ!$C$2</c:f>
              <c:strCache>
                <c:ptCount val="1"/>
                <c:pt idx="0">
                  <c:v>A</c:v>
                </c:pt>
              </c:strCache>
            </c:strRef>
          </c:tx>
          <c:spPr>
            <a:solidFill>
              <a:schemeClr val="accent4"/>
            </a:solidFill>
            <a:ln>
              <a:noFill/>
            </a:ln>
            <a:effectLst/>
          </c:spPr>
          <c:invertIfNegative val="0"/>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extLst>
            <c:ext xmlns:c16="http://schemas.microsoft.com/office/drawing/2014/chart" uri="{C3380CC4-5D6E-409C-BE32-E72D297353CC}">
              <c16:uniqueId val="{00000000-FD86-4CD3-B6C5-DF9544F2E876}"/>
            </c:ext>
          </c:extLst>
        </c:ser>
        <c:ser>
          <c:idx val="1"/>
          <c:order val="1"/>
          <c:tx>
            <c:strRef>
              <c:f>グラフ!$D$2</c:f>
              <c:strCache>
                <c:ptCount val="1"/>
                <c:pt idx="0">
                  <c:v>B</c:v>
                </c:pt>
              </c:strCache>
            </c:strRef>
          </c:tx>
          <c:spPr>
            <a:solidFill>
              <a:schemeClr val="accent2">
                <a:lumMod val="90000"/>
              </a:schemeClr>
            </a:solidFill>
            <a:ln>
              <a:noFill/>
            </a:ln>
            <a:effectLst/>
          </c:spPr>
          <c:invertIfNegative val="0"/>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extLst>
            <c:ext xmlns:c16="http://schemas.microsoft.com/office/drawing/2014/chart" uri="{C3380CC4-5D6E-409C-BE32-E72D297353CC}">
              <c16:uniqueId val="{00000001-FD86-4CD3-B6C5-DF9544F2E876}"/>
            </c:ext>
          </c:extLst>
        </c:ser>
        <c:ser>
          <c:idx val="2"/>
          <c:order val="2"/>
          <c:tx>
            <c:strRef>
              <c:f>グラフ!$E$2</c:f>
              <c:strCache>
                <c:ptCount val="1"/>
                <c:pt idx="0">
                  <c:v>C</c:v>
                </c:pt>
              </c:strCache>
            </c:strRef>
          </c:tx>
          <c:spPr>
            <a:solidFill>
              <a:schemeClr val="bg2">
                <a:lumMod val="90000"/>
              </a:schemeClr>
            </a:solidFill>
            <a:ln>
              <a:noFill/>
            </a:ln>
            <a:effectLst/>
          </c:spPr>
          <c:invertIfNegative val="0"/>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extLst>
            <c:ext xmlns:c16="http://schemas.microsoft.com/office/drawing/2014/chart" uri="{C3380CC4-5D6E-409C-BE32-E72D297353CC}">
              <c16:uniqueId val="{00000002-FD86-4CD3-B6C5-DF9544F2E876}"/>
            </c:ext>
          </c:extLst>
        </c:ser>
        <c:dLbls>
          <c:showLegendKey val="0"/>
          <c:showVal val="0"/>
          <c:showCatName val="0"/>
          <c:showSerName val="0"/>
          <c:showPercent val="0"/>
          <c:showBubbleSize val="0"/>
        </c:dLbls>
        <c:gapWidth val="150"/>
        <c:overlap val="100"/>
        <c:axId val="1627278032"/>
        <c:axId val="1627282832"/>
      </c:barChart>
      <c:catAx>
        <c:axId val="16272780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j-ea"/>
                <a:cs typeface="Arial" panose="020B0604020202020204" pitchFamily="34" charset="0"/>
              </a:defRPr>
            </a:pPr>
            <a:endParaRPr lang="ja-JP"/>
          </a:p>
        </c:txPr>
        <c:crossAx val="1627282832"/>
        <c:crosses val="autoZero"/>
        <c:auto val="1"/>
        <c:lblAlgn val="ctr"/>
        <c:lblOffset val="100"/>
        <c:noMultiLvlLbl val="0"/>
      </c:catAx>
      <c:valAx>
        <c:axId val="16272828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Arial" panose="020B0604020202020204" pitchFamily="34" charset="0"/>
              </a:defRPr>
            </a:pPr>
            <a:endParaRPr lang="ja-JP"/>
          </a:p>
        </c:txPr>
        <c:crossAx val="1627278032"/>
        <c:crosses val="autoZero"/>
        <c:crossBetween val="between"/>
      </c:valAx>
      <c:spPr>
        <a:noFill/>
        <a:ln>
          <a:noFill/>
        </a:ln>
        <a:effectLst/>
      </c:spPr>
    </c:plotArea>
    <c:legend>
      <c:legendPos val="t"/>
      <c:layout>
        <c:manualLayout>
          <c:xMode val="edge"/>
          <c:yMode val="edge"/>
          <c:x val="7.7234520486397118E-2"/>
          <c:y val="2.765957524039692E-2"/>
          <c:w val="0.20066045514385"/>
          <c:h val="7.866027471548206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グラフ!$C$18</c:f>
              <c:strCache>
                <c:ptCount val="1"/>
                <c:pt idx="0">
                  <c:v>A</c:v>
                </c:pt>
              </c:strCache>
            </c:strRef>
          </c:tx>
          <c:spPr>
            <a:ln w="25400" cap="rnd">
              <a:solidFill>
                <a:schemeClr val="tx2"/>
              </a:solidFill>
              <a:round/>
            </a:ln>
            <a:effectLst/>
          </c:spPr>
          <c:marker>
            <c:symbol val="circle"/>
            <c:size val="5"/>
            <c:spPr>
              <a:solidFill>
                <a:schemeClr val="bg1"/>
              </a:solidFill>
              <a:ln w="12700">
                <a:solidFill>
                  <a:schemeClr val="tx2"/>
                </a:solidFill>
              </a:ln>
              <a:effectLst/>
            </c:spPr>
          </c:marker>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extLst>
            <c:ext xmlns:c16="http://schemas.microsoft.com/office/drawing/2014/chart" uri="{C3380CC4-5D6E-409C-BE32-E72D297353CC}">
              <c16:uniqueId val="{00000000-C16A-4D11-8E49-8215ECB67AAE}"/>
            </c:ext>
          </c:extLst>
        </c:ser>
        <c:ser>
          <c:idx val="1"/>
          <c:order val="1"/>
          <c:tx>
            <c:strRef>
              <c:f>グラフ!$D$18</c:f>
              <c:strCache>
                <c:ptCount val="1"/>
                <c:pt idx="0">
                  <c:v>B</c:v>
                </c:pt>
              </c:strCache>
            </c:strRef>
          </c:tx>
          <c:spPr>
            <a:ln w="25400" cap="rnd">
              <a:solidFill>
                <a:schemeClr val="bg2">
                  <a:lumMod val="75000"/>
                </a:schemeClr>
              </a:solidFill>
              <a:round/>
            </a:ln>
            <a:effectLst/>
          </c:spPr>
          <c:marker>
            <c:symbol val="circle"/>
            <c:size val="5"/>
            <c:spPr>
              <a:solidFill>
                <a:schemeClr val="bg1"/>
              </a:solidFill>
              <a:ln w="12700">
                <a:solidFill>
                  <a:schemeClr val="bg2">
                    <a:lumMod val="75000"/>
                  </a:schemeClr>
                </a:solidFill>
              </a:ln>
              <a:effectLst/>
            </c:spPr>
          </c:marker>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extLst>
            <c:ext xmlns:c16="http://schemas.microsoft.com/office/drawing/2014/chart" uri="{C3380CC4-5D6E-409C-BE32-E72D297353CC}">
              <c16:uniqueId val="{00000001-C16A-4D11-8E49-8215ECB67AAE}"/>
            </c:ext>
          </c:extLst>
        </c:ser>
        <c:ser>
          <c:idx val="2"/>
          <c:order val="2"/>
          <c:tx>
            <c:strRef>
              <c:f>グラフ!$E$18</c:f>
              <c:strCache>
                <c:ptCount val="1"/>
                <c:pt idx="0">
                  <c:v>C</c:v>
                </c:pt>
              </c:strCache>
            </c:strRef>
          </c:tx>
          <c:spPr>
            <a:ln w="25400" cap="rnd">
              <a:solidFill>
                <a:schemeClr val="accent4"/>
              </a:solidFill>
              <a:round/>
            </a:ln>
            <a:effectLst/>
          </c:spPr>
          <c:marker>
            <c:symbol val="circle"/>
            <c:size val="5"/>
            <c:spPr>
              <a:solidFill>
                <a:schemeClr val="bg1"/>
              </a:solidFill>
              <a:ln w="12700">
                <a:solidFill>
                  <a:schemeClr val="accent4"/>
                </a:solidFill>
              </a:ln>
              <a:effectLst/>
            </c:spPr>
          </c:marker>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extLst>
            <c:ext xmlns:c16="http://schemas.microsoft.com/office/drawing/2014/chart" uri="{C3380CC4-5D6E-409C-BE32-E72D297353CC}">
              <c16:uniqueId val="{00000002-C16A-4D11-8E49-8215ECB67AAE}"/>
            </c:ext>
          </c:extLst>
        </c:ser>
        <c:dLbls>
          <c:showLegendKey val="0"/>
          <c:showVal val="0"/>
          <c:showCatName val="0"/>
          <c:showSerName val="0"/>
          <c:showPercent val="0"/>
          <c:showBubbleSize val="0"/>
        </c:dLbls>
        <c:marker val="1"/>
        <c:smooth val="0"/>
        <c:axId val="1956101888"/>
        <c:axId val="1956103328"/>
      </c:lineChart>
      <c:catAx>
        <c:axId val="19561018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j-ea"/>
                <a:cs typeface="Arial" panose="020B0604020202020204" pitchFamily="34" charset="0"/>
              </a:defRPr>
            </a:pPr>
            <a:endParaRPr lang="ja-JP"/>
          </a:p>
        </c:txPr>
        <c:crossAx val="1956103328"/>
        <c:crosses val="autoZero"/>
        <c:auto val="1"/>
        <c:lblAlgn val="ctr"/>
        <c:lblOffset val="100"/>
        <c:noMultiLvlLbl val="0"/>
      </c:catAx>
      <c:valAx>
        <c:axId val="19561033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ja-JP"/>
          </a:p>
        </c:txPr>
        <c:crossAx val="1956101888"/>
        <c:crosses val="autoZero"/>
        <c:crossBetween val="between"/>
      </c:valAx>
      <c:spPr>
        <a:noFill/>
        <a:ln>
          <a:noFill/>
        </a:ln>
        <a:effectLst/>
      </c:spPr>
    </c:plotArea>
    <c:legend>
      <c:legendPos val="t"/>
      <c:layout>
        <c:manualLayout>
          <c:xMode val="edge"/>
          <c:yMode val="edge"/>
          <c:x val="8.4000085867708546E-2"/>
          <c:y val="3.226950444712974E-2"/>
          <c:w val="0.30853324584426944"/>
          <c:h val="7.89964275298920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08377077865267"/>
          <c:y val="0.15797098279381744"/>
          <c:w val="0.44116601049868764"/>
          <c:h val="0.73527668416447944"/>
        </c:manualLayout>
      </c:layout>
      <c:doughnutChart>
        <c:varyColors val="1"/>
        <c:ser>
          <c:idx val="0"/>
          <c:order val="0"/>
          <c:tx>
            <c:strRef>
              <c:f>グラフ!$C$33</c:f>
              <c:strCache>
                <c:ptCount val="1"/>
                <c:pt idx="0">
                  <c:v>グラフタイトル</c:v>
                </c:pt>
              </c:strCache>
            </c:strRef>
          </c:tx>
          <c:spPr>
            <a:ln w="12700"/>
          </c:spPr>
          <c:dPt>
            <c:idx val="0"/>
            <c:bubble3D val="0"/>
            <c:spPr>
              <a:solidFill>
                <a:schemeClr val="accent4"/>
              </a:solidFill>
              <a:ln w="12700">
                <a:solidFill>
                  <a:schemeClr val="lt1"/>
                </a:solidFill>
              </a:ln>
              <a:effectLst/>
            </c:spPr>
            <c:extLst>
              <c:ext xmlns:c16="http://schemas.microsoft.com/office/drawing/2014/chart" uri="{C3380CC4-5D6E-409C-BE32-E72D297353CC}">
                <c16:uniqueId val="{00000001-3DA5-4AE0-B88D-DAF7F7D247B1}"/>
              </c:ext>
            </c:extLst>
          </c:dPt>
          <c:dPt>
            <c:idx val="1"/>
            <c:bubble3D val="0"/>
            <c:spPr>
              <a:solidFill>
                <a:schemeClr val="accent2">
                  <a:lumMod val="90000"/>
                </a:schemeClr>
              </a:solidFill>
              <a:ln w="12700">
                <a:solidFill>
                  <a:schemeClr val="lt1"/>
                </a:solidFill>
              </a:ln>
              <a:effectLst/>
            </c:spPr>
            <c:extLst>
              <c:ext xmlns:c16="http://schemas.microsoft.com/office/drawing/2014/chart" uri="{C3380CC4-5D6E-409C-BE32-E72D297353CC}">
                <c16:uniqueId val="{00000002-3DA5-4AE0-B88D-DAF7F7D247B1}"/>
              </c:ext>
            </c:extLst>
          </c:dPt>
          <c:dPt>
            <c:idx val="2"/>
            <c:bubble3D val="0"/>
            <c:spPr>
              <a:solidFill>
                <a:schemeClr val="accent2"/>
              </a:solidFill>
              <a:ln w="12700">
                <a:solidFill>
                  <a:schemeClr val="lt1"/>
                </a:solidFill>
              </a:ln>
              <a:effectLst/>
            </c:spPr>
            <c:extLst>
              <c:ext xmlns:c16="http://schemas.microsoft.com/office/drawing/2014/chart" uri="{C3380CC4-5D6E-409C-BE32-E72D297353CC}">
                <c16:uniqueId val="{00000003-3DA5-4AE0-B88D-DAF7F7D247B1}"/>
              </c:ext>
            </c:extLst>
          </c:dPt>
          <c:dPt>
            <c:idx val="3"/>
            <c:bubble3D val="0"/>
            <c:spPr>
              <a:solidFill>
                <a:schemeClr val="bg2">
                  <a:lumMod val="90000"/>
                </a:schemeClr>
              </a:solidFill>
              <a:ln w="12700">
                <a:solidFill>
                  <a:schemeClr val="lt1"/>
                </a:solidFill>
              </a:ln>
              <a:effectLst/>
            </c:spPr>
            <c:extLst>
              <c:ext xmlns:c16="http://schemas.microsoft.com/office/drawing/2014/chart" uri="{C3380CC4-5D6E-409C-BE32-E72D297353CC}">
                <c16:uniqueId val="{00000004-3DA5-4AE0-B88D-DAF7F7D247B1}"/>
              </c:ext>
            </c:extLst>
          </c:dPt>
          <c:dLbls>
            <c:dLbl>
              <c:idx val="0"/>
              <c:layout>
                <c:manualLayout>
                  <c:x val="0.12026238973123095"/>
                  <c:y val="-0.11193290782799212"/>
                </c:manualLayout>
              </c:layout>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j-lt"/>
                        <a:ea typeface="+mn-ea"/>
                        <a:cs typeface="+mn-cs"/>
                      </a:defRPr>
                    </a:pPr>
                    <a:fld id="{75040AAC-260D-43DB-AF44-FA9BD150A09B}" type="VALUE">
                      <a:rPr lang="en-US" altLang="ja-JP">
                        <a:solidFill>
                          <a:sysClr val="windowText" lastClr="000000"/>
                        </a:solidFill>
                      </a:rPr>
                      <a:pPr>
                        <a:defRPr sz="2000" b="1">
                          <a:solidFill>
                            <a:schemeClr val="bg1"/>
                          </a:solidFill>
                          <a:latin typeface="+mj-lt"/>
                        </a:defRPr>
                      </a:pPr>
                      <a:t>[値]</a:t>
                    </a:fld>
                    <a:endParaRPr lang="ja-JP" alt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j-lt"/>
                      <a:ea typeface="+mn-ea"/>
                      <a:cs typeface="+mn-cs"/>
                    </a:defRPr>
                  </a:pPr>
                  <a:endParaRPr lang="ja-JP" alt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DA5-4AE0-B88D-DAF7F7D247B1}"/>
                </c:ext>
              </c:extLst>
            </c:dLbl>
            <c:dLbl>
              <c:idx val="1"/>
              <c:layout>
                <c:manualLayout>
                  <c:x val="-0.1199114198386054"/>
                  <c:y val="0.107796315179042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j-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5-4AE0-B88D-DAF7F7D247B1}"/>
                </c:ext>
              </c:extLst>
            </c:dLbl>
            <c:dLbl>
              <c:idx val="2"/>
              <c:layout>
                <c:manualLayout>
                  <c:x val="-0.17844112662624284"/>
                  <c:y val="-1.94452031971535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j-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5-4AE0-B88D-DAF7F7D247B1}"/>
                </c:ext>
              </c:extLst>
            </c:dLbl>
            <c:dLbl>
              <c:idx val="3"/>
              <c:layout>
                <c:manualLayout>
                  <c:x val="-0.13537557429972491"/>
                  <c:y val="-5.519401584847704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j-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5-4AE0-B88D-DAF7F7D247B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j-lt"/>
                    <a:ea typeface="+mn-ea"/>
                    <a:cs typeface="+mn-cs"/>
                  </a:defRPr>
                </a:pPr>
                <a:endParaRPr lang="ja-JP"/>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extLst>
            <c:ext xmlns:c16="http://schemas.microsoft.com/office/drawing/2014/chart" uri="{C3380CC4-5D6E-409C-BE32-E72D297353CC}">
              <c16:uniqueId val="{00000000-3DA5-4AE0-B88D-DAF7F7D247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22860301837270339"/>
          <c:y val="7.3579396325459304E-2"/>
          <c:w val="0.22470233965798328"/>
          <c:h val="7.89964275298920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グラフ!$C$51</c:f>
              <c:strCache>
                <c:ptCount val="1"/>
                <c:pt idx="0">
                  <c:v>X</c:v>
                </c:pt>
              </c:strCache>
            </c:strRef>
          </c:tx>
          <c:spPr>
            <a:solidFill>
              <a:schemeClr val="accent4"/>
            </a:solidFill>
            <a:ln>
              <a:noFill/>
            </a:ln>
            <a:effectLst/>
          </c:spPr>
          <c:invertIfNegative val="0"/>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extLst>
            <c:ext xmlns:c16="http://schemas.microsoft.com/office/drawing/2014/chart" uri="{C3380CC4-5D6E-409C-BE32-E72D297353CC}">
              <c16:uniqueId val="{00000000-AC4D-4911-B834-E0AC49971E98}"/>
            </c:ext>
          </c:extLst>
        </c:ser>
        <c:ser>
          <c:idx val="1"/>
          <c:order val="1"/>
          <c:tx>
            <c:strRef>
              <c:f>グラフ!$D$51</c:f>
              <c:strCache>
                <c:ptCount val="1"/>
                <c:pt idx="0">
                  <c:v>Y</c:v>
                </c:pt>
              </c:strCache>
            </c:strRef>
          </c:tx>
          <c:spPr>
            <a:solidFill>
              <a:schemeClr val="accent2">
                <a:lumMod val="90000"/>
              </a:schemeClr>
            </a:solidFill>
            <a:ln>
              <a:noFill/>
            </a:ln>
            <a:effectLst/>
          </c:spPr>
          <c:invertIfNegative val="0"/>
          <c:cat>
            <c:strRef>
              <c:f>グラフ!$B$52:$B$55</c:f>
              <c:strCache>
                <c:ptCount val="4"/>
                <c:pt idx="0">
                  <c:v>D</c:v>
                </c:pt>
                <c:pt idx="1">
                  <c:v>C</c:v>
                </c:pt>
                <c:pt idx="2">
                  <c:v>B</c:v>
                </c:pt>
                <c:pt idx="3">
                  <c:v>A</c:v>
                </c:pt>
              </c:strCache>
            </c:strRef>
          </c:cat>
          <c:val>
            <c:numRef>
              <c:f>グラフ!$D$52:$D$55</c:f>
              <c:numCache>
                <c:formatCode>General</c:formatCode>
                <c:ptCount val="4"/>
                <c:pt idx="0">
                  <c:v>2.4</c:v>
                </c:pt>
                <c:pt idx="1">
                  <c:v>4.4000000000000004</c:v>
                </c:pt>
                <c:pt idx="2">
                  <c:v>1.8</c:v>
                </c:pt>
                <c:pt idx="3">
                  <c:v>2.8</c:v>
                </c:pt>
              </c:numCache>
            </c:numRef>
          </c:val>
          <c:extLst>
            <c:ext xmlns:c16="http://schemas.microsoft.com/office/drawing/2014/chart" uri="{C3380CC4-5D6E-409C-BE32-E72D297353CC}">
              <c16:uniqueId val="{00000001-AC4D-4911-B834-E0AC49971E98}"/>
            </c:ext>
          </c:extLst>
        </c:ser>
        <c:ser>
          <c:idx val="2"/>
          <c:order val="2"/>
          <c:tx>
            <c:strRef>
              <c:f>グラフ!$E$51</c:f>
              <c:strCache>
                <c:ptCount val="1"/>
                <c:pt idx="0">
                  <c:v>Z</c:v>
                </c:pt>
              </c:strCache>
            </c:strRef>
          </c:tx>
          <c:spPr>
            <a:solidFill>
              <a:schemeClr val="bg2">
                <a:lumMod val="90000"/>
              </a:schemeClr>
            </a:solidFill>
            <a:ln>
              <a:noFill/>
            </a:ln>
            <a:effectLst/>
          </c:spPr>
          <c:invertIfNegative val="0"/>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extLst>
            <c:ext xmlns:c16="http://schemas.microsoft.com/office/drawing/2014/chart" uri="{C3380CC4-5D6E-409C-BE32-E72D297353CC}">
              <c16:uniqueId val="{00000002-AC4D-4911-B834-E0AC49971E98}"/>
            </c:ext>
          </c:extLst>
        </c:ser>
        <c:dLbls>
          <c:showLegendKey val="0"/>
          <c:showVal val="0"/>
          <c:showCatName val="0"/>
          <c:showSerName val="0"/>
          <c:showPercent val="0"/>
          <c:showBubbleSize val="0"/>
        </c:dLbls>
        <c:gapWidth val="100"/>
        <c:overlap val="100"/>
        <c:axId val="2057801312"/>
        <c:axId val="2057798912"/>
      </c:barChart>
      <c:catAx>
        <c:axId val="2057801312"/>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ja-JP"/>
          </a:p>
        </c:txPr>
        <c:crossAx val="2057798912"/>
        <c:crosses val="autoZero"/>
        <c:auto val="1"/>
        <c:lblAlgn val="ctr"/>
        <c:lblOffset val="100"/>
        <c:noMultiLvlLbl val="0"/>
      </c:catAx>
      <c:valAx>
        <c:axId val="20577989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ja-JP"/>
          </a:p>
        </c:txPr>
        <c:crossAx val="2057801312"/>
        <c:crosses val="autoZero"/>
        <c:crossBetween val="between"/>
      </c:valAx>
      <c:spPr>
        <a:noFill/>
        <a:ln>
          <a:noFill/>
        </a:ln>
        <a:effectLst/>
      </c:spPr>
    </c:plotArea>
    <c:legend>
      <c:legendPos val="t"/>
      <c:layout>
        <c:manualLayout>
          <c:xMode val="edge"/>
          <c:yMode val="edge"/>
          <c:x val="4.2319435000986991E-2"/>
          <c:y val="4.6150574454487954E-2"/>
          <c:w val="0.1658688833812208"/>
          <c:h val="7.83744205635429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グラフ!$C$2</c:f>
              <c:strCache>
                <c:ptCount val="1"/>
                <c:pt idx="0">
                  <c:v>A</c:v>
                </c:pt>
              </c:strCache>
            </c:strRef>
          </c:tx>
          <c:spPr>
            <a:solidFill>
              <a:schemeClr val="accent2">
                <a:lumMod val="90000"/>
              </a:schemeClr>
            </a:solidFill>
            <a:ln>
              <a:noFill/>
            </a:ln>
            <a:effectLst/>
          </c:spPr>
          <c:invertIfNegative val="0"/>
          <c:dPt>
            <c:idx val="3"/>
            <c:invertIfNegative val="0"/>
            <c:bubble3D val="0"/>
            <c:spPr>
              <a:solidFill>
                <a:schemeClr val="accent4"/>
              </a:solidFill>
              <a:ln>
                <a:noFill/>
              </a:ln>
              <a:effectLst/>
            </c:spPr>
            <c:extLst>
              <c:ext xmlns:c16="http://schemas.microsoft.com/office/drawing/2014/chart" uri="{C3380CC4-5D6E-409C-BE32-E72D297353CC}">
                <c16:uniqueId val="{00000003-00CA-4EDF-ABB0-747CDC3A5F9D}"/>
              </c:ext>
            </c:extLst>
          </c:dPt>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extLst>
            <c:ext xmlns:c16="http://schemas.microsoft.com/office/drawing/2014/chart" uri="{C3380CC4-5D6E-409C-BE32-E72D297353CC}">
              <c16:uniqueId val="{00000000-00CA-4EDF-ABB0-747CDC3A5F9D}"/>
            </c:ext>
          </c:extLst>
        </c:ser>
        <c:dLbls>
          <c:showLegendKey val="0"/>
          <c:showVal val="0"/>
          <c:showCatName val="0"/>
          <c:showSerName val="0"/>
          <c:showPercent val="0"/>
          <c:showBubbleSize val="0"/>
        </c:dLbls>
        <c:gapWidth val="150"/>
        <c:overlap val="100"/>
        <c:axId val="1627278032"/>
        <c:axId val="1627282832"/>
        <c:extLst>
          <c:ext xmlns:c15="http://schemas.microsoft.com/office/drawing/2012/chart" uri="{02D57815-91ED-43cb-92C2-25804820EDAC}">
            <c15:filteredBarSeries>
              <c15:ser>
                <c:idx val="1"/>
                <c:order val="1"/>
                <c:tx>
                  <c:strRef>
                    <c:extLst>
                      <c:ext uri="{02D57815-91ED-43cb-92C2-25804820EDAC}">
                        <c15:formulaRef>
                          <c15:sqref>グラフ!$D$2</c15:sqref>
                        </c15:formulaRef>
                      </c:ext>
                    </c:extLst>
                    <c:strCache>
                      <c:ptCount val="1"/>
                      <c:pt idx="0">
                        <c:v>B</c:v>
                      </c:pt>
                    </c:strCache>
                  </c:strRef>
                </c:tx>
                <c:spPr>
                  <a:solidFill>
                    <a:schemeClr val="accent2">
                      <a:lumMod val="90000"/>
                    </a:schemeClr>
                  </a:solidFill>
                  <a:ln>
                    <a:noFill/>
                  </a:ln>
                  <a:effectLst/>
                </c:spPr>
                <c:invertIfNegative val="0"/>
                <c:cat>
                  <c:strRef>
                    <c:extLst>
                      <c:ext uri="{02D57815-91ED-43cb-92C2-25804820EDAC}">
                        <c15:formulaRef>
                          <c15:sqref>グラフ!$B$3:$B$6</c15:sqref>
                        </c15:formulaRef>
                      </c:ext>
                    </c:extLst>
                    <c:strCache>
                      <c:ptCount val="4"/>
                      <c:pt idx="0">
                        <c:v>第1四半期</c:v>
                      </c:pt>
                      <c:pt idx="1">
                        <c:v>第2四半期</c:v>
                      </c:pt>
                      <c:pt idx="2">
                        <c:v>第3四半期</c:v>
                      </c:pt>
                      <c:pt idx="3">
                        <c:v>第4四半期</c:v>
                      </c:pt>
                    </c:strCache>
                  </c:strRef>
                </c:cat>
                <c:val>
                  <c:numRef>
                    <c:extLst>
                      <c:ext uri="{02D57815-91ED-43cb-92C2-25804820EDAC}">
                        <c15:formulaRef>
                          <c15:sqref>グラフ!$D$3:$D$6</c15:sqref>
                        </c15:formulaRef>
                      </c:ext>
                    </c:extLst>
                    <c:numCache>
                      <c:formatCode>General</c:formatCode>
                      <c:ptCount val="4"/>
                      <c:pt idx="0">
                        <c:v>10</c:v>
                      </c:pt>
                      <c:pt idx="1">
                        <c:v>25</c:v>
                      </c:pt>
                      <c:pt idx="2">
                        <c:v>45</c:v>
                      </c:pt>
                      <c:pt idx="3">
                        <c:v>70</c:v>
                      </c:pt>
                    </c:numCache>
                  </c:numRef>
                </c:val>
                <c:extLst>
                  <c:ext xmlns:c16="http://schemas.microsoft.com/office/drawing/2014/chart" uri="{C3380CC4-5D6E-409C-BE32-E72D297353CC}">
                    <c16:uniqueId val="{00000001-00CA-4EDF-ABB0-747CDC3A5F9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グラフ!$E$2</c15:sqref>
                        </c15:formulaRef>
                      </c:ext>
                    </c:extLst>
                    <c:strCache>
                      <c:ptCount val="1"/>
                      <c:pt idx="0">
                        <c:v>C</c:v>
                      </c:pt>
                    </c:strCache>
                  </c:strRef>
                </c:tx>
                <c:spPr>
                  <a:solidFill>
                    <a:schemeClr val="bg2">
                      <a:lumMod val="90000"/>
                    </a:schemeClr>
                  </a:solidFill>
                  <a:ln>
                    <a:noFill/>
                  </a:ln>
                  <a:effectLst/>
                </c:spPr>
                <c:invertIfNegative val="0"/>
                <c:cat>
                  <c:strRef>
                    <c:extLst xmlns:c15="http://schemas.microsoft.com/office/drawing/2012/chart">
                      <c:ext xmlns:c15="http://schemas.microsoft.com/office/drawing/2012/chart" uri="{02D57815-91ED-43cb-92C2-25804820EDAC}">
                        <c15:formulaRef>
                          <c15:sqref>グラフ!$B$3:$B$6</c15:sqref>
                        </c15:formulaRef>
                      </c:ext>
                    </c:extLst>
                    <c:strCache>
                      <c:ptCount val="4"/>
                      <c:pt idx="0">
                        <c:v>第1四半期</c:v>
                      </c:pt>
                      <c:pt idx="1">
                        <c:v>第2四半期</c:v>
                      </c:pt>
                      <c:pt idx="2">
                        <c:v>第3四半期</c:v>
                      </c:pt>
                      <c:pt idx="3">
                        <c:v>第4四半期</c:v>
                      </c:pt>
                    </c:strCache>
                  </c:strRef>
                </c:cat>
                <c:val>
                  <c:numRef>
                    <c:extLst xmlns:c15="http://schemas.microsoft.com/office/drawing/2012/chart">
                      <c:ext xmlns:c15="http://schemas.microsoft.com/office/drawing/2012/chart" uri="{02D57815-91ED-43cb-92C2-25804820EDAC}">
                        <c15:formulaRef>
                          <c15:sqref>グラフ!$E$3:$E$6</c15:sqref>
                        </c15:formulaRef>
                      </c:ext>
                    </c:extLst>
                    <c:numCache>
                      <c:formatCode>General</c:formatCode>
                      <c:ptCount val="4"/>
                      <c:pt idx="0">
                        <c:v>20</c:v>
                      </c:pt>
                      <c:pt idx="1">
                        <c:v>22</c:v>
                      </c:pt>
                      <c:pt idx="2">
                        <c:v>25</c:v>
                      </c:pt>
                      <c:pt idx="3">
                        <c:v>25</c:v>
                      </c:pt>
                    </c:numCache>
                  </c:numRef>
                </c:val>
                <c:extLst xmlns:c15="http://schemas.microsoft.com/office/drawing/2012/chart">
                  <c:ext xmlns:c16="http://schemas.microsoft.com/office/drawing/2014/chart" uri="{C3380CC4-5D6E-409C-BE32-E72D297353CC}">
                    <c16:uniqueId val="{00000002-00CA-4EDF-ABB0-747CDC3A5F9D}"/>
                  </c:ext>
                </c:extLst>
              </c15:ser>
            </c15:filteredBarSeries>
          </c:ext>
        </c:extLst>
      </c:barChart>
      <c:catAx>
        <c:axId val="16272780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j-ea"/>
                <a:cs typeface="Arial" panose="020B0604020202020204" pitchFamily="34" charset="0"/>
              </a:defRPr>
            </a:pPr>
            <a:endParaRPr lang="ja-JP"/>
          </a:p>
        </c:txPr>
        <c:crossAx val="1627282832"/>
        <c:crosses val="autoZero"/>
        <c:auto val="1"/>
        <c:lblAlgn val="ctr"/>
        <c:lblOffset val="100"/>
        <c:noMultiLvlLbl val="0"/>
      </c:catAx>
      <c:valAx>
        <c:axId val="16272828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Arial" panose="020B0604020202020204" pitchFamily="34" charset="0"/>
              </a:defRPr>
            </a:pPr>
            <a:endParaRPr lang="ja-JP"/>
          </a:p>
        </c:txPr>
        <c:crossAx val="162727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グラフ!$C$2</c:f>
              <c:strCache>
                <c:ptCount val="1"/>
                <c:pt idx="0">
                  <c:v>A</c:v>
                </c:pt>
              </c:strCache>
            </c:strRef>
          </c:tx>
          <c:spPr>
            <a:solidFill>
              <a:schemeClr val="bg2">
                <a:lumMod val="90000"/>
              </a:schemeClr>
            </a:solidFill>
            <a:ln>
              <a:noFill/>
            </a:ln>
            <a:effectLst/>
          </c:spPr>
          <c:invertIfNegative val="0"/>
          <c:dPt>
            <c:idx val="3"/>
            <c:invertIfNegative val="0"/>
            <c:bubble3D val="0"/>
            <c:spPr>
              <a:solidFill>
                <a:schemeClr val="accent4"/>
              </a:solidFill>
              <a:ln>
                <a:noFill/>
              </a:ln>
              <a:effectLst/>
            </c:spPr>
            <c:extLst>
              <c:ext xmlns:c16="http://schemas.microsoft.com/office/drawing/2014/chart" uri="{C3380CC4-5D6E-409C-BE32-E72D297353CC}">
                <c16:uniqueId val="{00000001-8043-419F-BF94-C0A57D292F8D}"/>
              </c:ext>
            </c:extLst>
          </c:dPt>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extLst>
            <c:ext xmlns:c16="http://schemas.microsoft.com/office/drawing/2014/chart" uri="{C3380CC4-5D6E-409C-BE32-E72D297353CC}">
              <c16:uniqueId val="{00000002-8043-419F-BF94-C0A57D292F8D}"/>
            </c:ext>
          </c:extLst>
        </c:ser>
        <c:dLbls>
          <c:showLegendKey val="0"/>
          <c:showVal val="0"/>
          <c:showCatName val="0"/>
          <c:showSerName val="0"/>
          <c:showPercent val="0"/>
          <c:showBubbleSize val="0"/>
        </c:dLbls>
        <c:gapWidth val="150"/>
        <c:overlap val="100"/>
        <c:axId val="1627278032"/>
        <c:axId val="1627282832"/>
        <c:extLst>
          <c:ext xmlns:c15="http://schemas.microsoft.com/office/drawing/2012/chart" uri="{02D57815-91ED-43cb-92C2-25804820EDAC}">
            <c15:filteredBarSeries>
              <c15:ser>
                <c:idx val="1"/>
                <c:order val="1"/>
                <c:tx>
                  <c:strRef>
                    <c:extLst>
                      <c:ext uri="{02D57815-91ED-43cb-92C2-25804820EDAC}">
                        <c15:formulaRef>
                          <c15:sqref>グラフ!$D$2</c15:sqref>
                        </c15:formulaRef>
                      </c:ext>
                    </c:extLst>
                    <c:strCache>
                      <c:ptCount val="1"/>
                      <c:pt idx="0">
                        <c:v>B</c:v>
                      </c:pt>
                    </c:strCache>
                  </c:strRef>
                </c:tx>
                <c:spPr>
                  <a:solidFill>
                    <a:schemeClr val="accent2">
                      <a:lumMod val="90000"/>
                    </a:schemeClr>
                  </a:solidFill>
                  <a:ln>
                    <a:noFill/>
                  </a:ln>
                  <a:effectLst/>
                </c:spPr>
                <c:invertIfNegative val="0"/>
                <c:cat>
                  <c:strRef>
                    <c:extLst>
                      <c:ext uri="{02D57815-91ED-43cb-92C2-25804820EDAC}">
                        <c15:formulaRef>
                          <c15:sqref>グラフ!$B$3:$B$6</c15:sqref>
                        </c15:formulaRef>
                      </c:ext>
                    </c:extLst>
                    <c:strCache>
                      <c:ptCount val="4"/>
                      <c:pt idx="0">
                        <c:v>第1四半期</c:v>
                      </c:pt>
                      <c:pt idx="1">
                        <c:v>第2四半期</c:v>
                      </c:pt>
                      <c:pt idx="2">
                        <c:v>第3四半期</c:v>
                      </c:pt>
                      <c:pt idx="3">
                        <c:v>第4四半期</c:v>
                      </c:pt>
                    </c:strCache>
                  </c:strRef>
                </c:cat>
                <c:val>
                  <c:numRef>
                    <c:extLst>
                      <c:ext uri="{02D57815-91ED-43cb-92C2-25804820EDAC}">
                        <c15:formulaRef>
                          <c15:sqref>グラフ!$D$3:$D$6</c15:sqref>
                        </c15:formulaRef>
                      </c:ext>
                    </c:extLst>
                    <c:numCache>
                      <c:formatCode>General</c:formatCode>
                      <c:ptCount val="4"/>
                      <c:pt idx="0">
                        <c:v>10</c:v>
                      </c:pt>
                      <c:pt idx="1">
                        <c:v>25</c:v>
                      </c:pt>
                      <c:pt idx="2">
                        <c:v>45</c:v>
                      </c:pt>
                      <c:pt idx="3">
                        <c:v>70</c:v>
                      </c:pt>
                    </c:numCache>
                  </c:numRef>
                </c:val>
                <c:extLst>
                  <c:ext xmlns:c16="http://schemas.microsoft.com/office/drawing/2014/chart" uri="{C3380CC4-5D6E-409C-BE32-E72D297353CC}">
                    <c16:uniqueId val="{00000003-8043-419F-BF94-C0A57D292F8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グラフ!$E$2</c15:sqref>
                        </c15:formulaRef>
                      </c:ext>
                    </c:extLst>
                    <c:strCache>
                      <c:ptCount val="1"/>
                      <c:pt idx="0">
                        <c:v>C</c:v>
                      </c:pt>
                    </c:strCache>
                  </c:strRef>
                </c:tx>
                <c:spPr>
                  <a:solidFill>
                    <a:schemeClr val="bg2">
                      <a:lumMod val="90000"/>
                    </a:schemeClr>
                  </a:solidFill>
                  <a:ln>
                    <a:noFill/>
                  </a:ln>
                  <a:effectLst/>
                </c:spPr>
                <c:invertIfNegative val="0"/>
                <c:cat>
                  <c:strRef>
                    <c:extLst xmlns:c15="http://schemas.microsoft.com/office/drawing/2012/chart">
                      <c:ext xmlns:c15="http://schemas.microsoft.com/office/drawing/2012/chart" uri="{02D57815-91ED-43cb-92C2-25804820EDAC}">
                        <c15:formulaRef>
                          <c15:sqref>グラフ!$B$3:$B$6</c15:sqref>
                        </c15:formulaRef>
                      </c:ext>
                    </c:extLst>
                    <c:strCache>
                      <c:ptCount val="4"/>
                      <c:pt idx="0">
                        <c:v>第1四半期</c:v>
                      </c:pt>
                      <c:pt idx="1">
                        <c:v>第2四半期</c:v>
                      </c:pt>
                      <c:pt idx="2">
                        <c:v>第3四半期</c:v>
                      </c:pt>
                      <c:pt idx="3">
                        <c:v>第4四半期</c:v>
                      </c:pt>
                    </c:strCache>
                  </c:strRef>
                </c:cat>
                <c:val>
                  <c:numRef>
                    <c:extLst xmlns:c15="http://schemas.microsoft.com/office/drawing/2012/chart">
                      <c:ext xmlns:c15="http://schemas.microsoft.com/office/drawing/2012/chart" uri="{02D57815-91ED-43cb-92C2-25804820EDAC}">
                        <c15:formulaRef>
                          <c15:sqref>グラフ!$E$3:$E$6</c15:sqref>
                        </c15:formulaRef>
                      </c:ext>
                    </c:extLst>
                    <c:numCache>
                      <c:formatCode>General</c:formatCode>
                      <c:ptCount val="4"/>
                      <c:pt idx="0">
                        <c:v>20</c:v>
                      </c:pt>
                      <c:pt idx="1">
                        <c:v>22</c:v>
                      </c:pt>
                      <c:pt idx="2">
                        <c:v>25</c:v>
                      </c:pt>
                      <c:pt idx="3">
                        <c:v>25</c:v>
                      </c:pt>
                    </c:numCache>
                  </c:numRef>
                </c:val>
                <c:extLst xmlns:c15="http://schemas.microsoft.com/office/drawing/2012/chart">
                  <c:ext xmlns:c16="http://schemas.microsoft.com/office/drawing/2014/chart" uri="{C3380CC4-5D6E-409C-BE32-E72D297353CC}">
                    <c16:uniqueId val="{00000004-8043-419F-BF94-C0A57D292F8D}"/>
                  </c:ext>
                </c:extLst>
              </c15:ser>
            </c15:filteredBarSeries>
          </c:ext>
        </c:extLst>
      </c:barChart>
      <c:catAx>
        <c:axId val="16272780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j-ea"/>
                <a:cs typeface="Arial" panose="020B0604020202020204" pitchFamily="34" charset="0"/>
              </a:defRPr>
            </a:pPr>
            <a:endParaRPr lang="ja-JP"/>
          </a:p>
        </c:txPr>
        <c:crossAx val="1627282832"/>
        <c:crosses val="autoZero"/>
        <c:auto val="1"/>
        <c:lblAlgn val="ctr"/>
        <c:lblOffset val="100"/>
        <c:noMultiLvlLbl val="0"/>
      </c:catAx>
      <c:valAx>
        <c:axId val="16272828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Arial" panose="020B0604020202020204" pitchFamily="34" charset="0"/>
              </a:defRPr>
            </a:pPr>
            <a:endParaRPr lang="ja-JP"/>
          </a:p>
        </c:txPr>
        <c:crossAx val="162727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240030</xdr:colOff>
      <xdr:row>7</xdr:row>
      <xdr:rowOff>160020</xdr:rowOff>
    </xdr:from>
    <xdr:to>
      <xdr:col>5</xdr:col>
      <xdr:colOff>883920</xdr:colOff>
      <xdr:row>21</xdr:row>
      <xdr:rowOff>38100</xdr:rowOff>
    </xdr:to>
    <xdr:graphicFrame macro="">
      <xdr:nvGraphicFramePr>
        <xdr:cNvPr id="5" name="グラフ 4">
          <a:extLst>
            <a:ext uri="{FF2B5EF4-FFF2-40B4-BE49-F238E27FC236}">
              <a16:creationId xmlns:a16="http://schemas.microsoft.com/office/drawing/2014/main" id="{B231C6BD-24C9-189D-83D7-4348EC4A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1668780</xdr:colOff>
      <xdr:row>4</xdr:row>
      <xdr:rowOff>106680</xdr:rowOff>
    </xdr:from>
    <xdr:to>
      <xdr:col>4</xdr:col>
      <xdr:colOff>1676400</xdr:colOff>
      <xdr:row>10</xdr:row>
      <xdr:rowOff>160020</xdr:rowOff>
    </xdr:to>
    <xdr:cxnSp macro="">
      <xdr:nvCxnSpPr>
        <xdr:cNvPr id="2" name="直線矢印コネクタ 1">
          <a:extLst>
            <a:ext uri="{FF2B5EF4-FFF2-40B4-BE49-F238E27FC236}">
              <a16:creationId xmlns:a16="http://schemas.microsoft.com/office/drawing/2014/main" id="{992827FB-2270-4779-886C-A08E83BEB63C}"/>
            </a:ext>
          </a:extLst>
        </xdr:cNvPr>
        <xdr:cNvCxnSpPr/>
      </xdr:nvCxnSpPr>
      <xdr:spPr>
        <a:xfrm flipH="1">
          <a:off x="5981700" y="982980"/>
          <a:ext cx="7620" cy="1424940"/>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1859280</xdr:colOff>
      <xdr:row>5</xdr:row>
      <xdr:rowOff>114300</xdr:rowOff>
    </xdr:from>
    <xdr:to>
      <xdr:col>4</xdr:col>
      <xdr:colOff>1889760</xdr:colOff>
      <xdr:row>16</xdr:row>
      <xdr:rowOff>167640</xdr:rowOff>
    </xdr:to>
    <xdr:cxnSp macro="">
      <xdr:nvCxnSpPr>
        <xdr:cNvPr id="3" name="直線矢印コネクタ 2">
          <a:extLst>
            <a:ext uri="{FF2B5EF4-FFF2-40B4-BE49-F238E27FC236}">
              <a16:creationId xmlns:a16="http://schemas.microsoft.com/office/drawing/2014/main" id="{1BCE7EF2-F664-490B-AC4B-5AC95B81E8B4}"/>
            </a:ext>
          </a:extLst>
        </xdr:cNvPr>
        <xdr:cNvCxnSpPr/>
      </xdr:nvCxnSpPr>
      <xdr:spPr>
        <a:xfrm flipH="1">
          <a:off x="6172200" y="1219200"/>
          <a:ext cx="30480" cy="2567940"/>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2072640</xdr:colOff>
      <xdr:row>17</xdr:row>
      <xdr:rowOff>114300</xdr:rowOff>
    </xdr:from>
    <xdr:to>
      <xdr:col>4</xdr:col>
      <xdr:colOff>2072640</xdr:colOff>
      <xdr:row>24</xdr:row>
      <xdr:rowOff>160020</xdr:rowOff>
    </xdr:to>
    <xdr:cxnSp macro="">
      <xdr:nvCxnSpPr>
        <xdr:cNvPr id="4" name="直線矢印コネクタ 3">
          <a:extLst>
            <a:ext uri="{FF2B5EF4-FFF2-40B4-BE49-F238E27FC236}">
              <a16:creationId xmlns:a16="http://schemas.microsoft.com/office/drawing/2014/main" id="{1E578C28-C92C-46DA-9C39-4C9F292AB090}"/>
            </a:ext>
          </a:extLst>
        </xdr:cNvPr>
        <xdr:cNvCxnSpPr/>
      </xdr:nvCxnSpPr>
      <xdr:spPr>
        <a:xfrm>
          <a:off x="6385560" y="3962400"/>
          <a:ext cx="0" cy="1653540"/>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2103120</xdr:colOff>
      <xdr:row>50</xdr:row>
      <xdr:rowOff>144780</xdr:rowOff>
    </xdr:from>
    <xdr:to>
      <xdr:col>4</xdr:col>
      <xdr:colOff>2103120</xdr:colOff>
      <xdr:row>57</xdr:row>
      <xdr:rowOff>190500</xdr:rowOff>
    </xdr:to>
    <xdr:cxnSp macro="">
      <xdr:nvCxnSpPr>
        <xdr:cNvPr id="5" name="直線矢印コネクタ 4">
          <a:extLst>
            <a:ext uri="{FF2B5EF4-FFF2-40B4-BE49-F238E27FC236}">
              <a16:creationId xmlns:a16="http://schemas.microsoft.com/office/drawing/2014/main" id="{2CAD1FD9-E564-4F4A-B514-75ECF5AB48E0}"/>
            </a:ext>
          </a:extLst>
        </xdr:cNvPr>
        <xdr:cNvCxnSpPr/>
      </xdr:nvCxnSpPr>
      <xdr:spPr>
        <a:xfrm>
          <a:off x="6416040" y="11567160"/>
          <a:ext cx="0" cy="1653540"/>
        </a:xfrm>
        <a:prstGeom prst="straightConnector1">
          <a:avLst/>
        </a:prstGeom>
        <a:ln w="12700">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1188720</xdr:colOff>
      <xdr:row>85</xdr:row>
      <xdr:rowOff>121920</xdr:rowOff>
    </xdr:from>
    <xdr:to>
      <xdr:col>4</xdr:col>
      <xdr:colOff>1188720</xdr:colOff>
      <xdr:row>95</xdr:row>
      <xdr:rowOff>60960</xdr:rowOff>
    </xdr:to>
    <xdr:cxnSp macro="">
      <xdr:nvCxnSpPr>
        <xdr:cNvPr id="6" name="直線矢印コネクタ 5">
          <a:extLst>
            <a:ext uri="{FF2B5EF4-FFF2-40B4-BE49-F238E27FC236}">
              <a16:creationId xmlns:a16="http://schemas.microsoft.com/office/drawing/2014/main" id="{BF8189A8-EFC4-4114-8930-3114A1B15789}"/>
            </a:ext>
          </a:extLst>
        </xdr:cNvPr>
        <xdr:cNvCxnSpPr/>
      </xdr:nvCxnSpPr>
      <xdr:spPr>
        <a:xfrm>
          <a:off x="5501640" y="19552920"/>
          <a:ext cx="0" cy="2225040"/>
        </a:xfrm>
        <a:prstGeom prst="straightConnector1">
          <a:avLst/>
        </a:prstGeom>
        <a:ln w="12700">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206375</xdr:colOff>
      <xdr:row>0</xdr:row>
      <xdr:rowOff>206375</xdr:rowOff>
    </xdr:from>
    <xdr:to>
      <xdr:col>13</xdr:col>
      <xdr:colOff>139700</xdr:colOff>
      <xdr:row>12</xdr:row>
      <xdr:rowOff>206375</xdr:rowOff>
    </xdr:to>
    <xdr:graphicFrame macro="">
      <xdr:nvGraphicFramePr>
        <xdr:cNvPr id="3" name="グラフ 2">
          <a:extLst>
            <a:ext uri="{FF2B5EF4-FFF2-40B4-BE49-F238E27FC236}">
              <a16:creationId xmlns:a16="http://schemas.microsoft.com/office/drawing/2014/main" id="{6F587B49-6B16-0DC0-779B-53010B7AB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16</xdr:row>
      <xdr:rowOff>174625</xdr:rowOff>
    </xdr:from>
    <xdr:to>
      <xdr:col>13</xdr:col>
      <xdr:colOff>168275</xdr:colOff>
      <xdr:row>28</xdr:row>
      <xdr:rowOff>174625</xdr:rowOff>
    </xdr:to>
    <xdr:graphicFrame macro="">
      <xdr:nvGraphicFramePr>
        <xdr:cNvPr id="4" name="グラフ 3">
          <a:extLst>
            <a:ext uri="{FF2B5EF4-FFF2-40B4-BE49-F238E27FC236}">
              <a16:creationId xmlns:a16="http://schemas.microsoft.com/office/drawing/2014/main" id="{A4D65E1C-84A2-4B20-195B-D15C18430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225425</xdr:colOff>
      <xdr:row>31</xdr:row>
      <xdr:rowOff>180975</xdr:rowOff>
    </xdr:from>
    <xdr:to>
      <xdr:col>13</xdr:col>
      <xdr:colOff>174625</xdr:colOff>
      <xdr:row>43</xdr:row>
      <xdr:rowOff>180975</xdr:rowOff>
    </xdr:to>
    <xdr:graphicFrame macro="">
      <xdr:nvGraphicFramePr>
        <xdr:cNvPr id="5" name="グラフ 4">
          <a:extLst>
            <a:ext uri="{FF2B5EF4-FFF2-40B4-BE49-F238E27FC236}">
              <a16:creationId xmlns:a16="http://schemas.microsoft.com/office/drawing/2014/main" id="{A22BD5F0-C93A-0017-4A14-2BCE60617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376465</xdr:colOff>
      <xdr:row>48</xdr:row>
      <xdr:rowOff>20864</xdr:rowOff>
    </xdr:from>
    <xdr:to>
      <xdr:col>13</xdr:col>
      <xdr:colOff>312965</xdr:colOff>
      <xdr:row>60</xdr:row>
      <xdr:rowOff>42635</xdr:rowOff>
    </xdr:to>
    <xdr:graphicFrame macro="">
      <xdr:nvGraphicFramePr>
        <xdr:cNvPr id="6" name="グラフ 5">
          <a:extLst>
            <a:ext uri="{FF2B5EF4-FFF2-40B4-BE49-F238E27FC236}">
              <a16:creationId xmlns:a16="http://schemas.microsoft.com/office/drawing/2014/main" id="{F523760E-CDD7-7C59-A20E-79DD3BFB2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206375</xdr:colOff>
      <xdr:row>0</xdr:row>
      <xdr:rowOff>206375</xdr:rowOff>
    </xdr:from>
    <xdr:to>
      <xdr:col>28</xdr:col>
      <xdr:colOff>139700</xdr:colOff>
      <xdr:row>12</xdr:row>
      <xdr:rowOff>206375</xdr:rowOff>
    </xdr:to>
    <xdr:graphicFrame macro="">
      <xdr:nvGraphicFramePr>
        <xdr:cNvPr id="2" name="グラフ 1">
          <a:extLst>
            <a:ext uri="{FF2B5EF4-FFF2-40B4-BE49-F238E27FC236}">
              <a16:creationId xmlns:a16="http://schemas.microsoft.com/office/drawing/2014/main" id="{2C2DD250-64F8-4889-A00C-97E22B189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206375</xdr:colOff>
      <xdr:row>17</xdr:row>
      <xdr:rowOff>206375</xdr:rowOff>
    </xdr:from>
    <xdr:to>
      <xdr:col>28</xdr:col>
      <xdr:colOff>139700</xdr:colOff>
      <xdr:row>29</xdr:row>
      <xdr:rowOff>206375</xdr:rowOff>
    </xdr:to>
    <xdr:graphicFrame macro="">
      <xdr:nvGraphicFramePr>
        <xdr:cNvPr id="7" name="グラフ 6">
          <a:extLst>
            <a:ext uri="{FF2B5EF4-FFF2-40B4-BE49-F238E27FC236}">
              <a16:creationId xmlns:a16="http://schemas.microsoft.com/office/drawing/2014/main" id="{50A9852C-9F7A-4C26-B248-809B5853C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a:ea typeface="游ゴシック"/>
        <a:cs typeface=""/>
      </a:majorFont>
      <a:minorFont>
        <a:latin typeface="Arial"/>
        <a:ea typeface="游ゴシック Medium"/>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2E52-FBB3-42D0-97C0-905E490CA6D6}">
  <sheetPr>
    <tabColor rgb="FFFFFF00"/>
  </sheetPr>
  <dimension ref="B3:G14"/>
  <sheetViews>
    <sheetView showGridLines="0" workbookViewId="0"/>
  </sheetViews>
  <sheetFormatPr defaultRowHeight="18" x14ac:dyDescent="0.35"/>
  <cols>
    <col min="2" max="2" width="6.375" style="118" customWidth="1"/>
  </cols>
  <sheetData>
    <row r="3" spans="2:7" x14ac:dyDescent="0.35">
      <c r="B3" s="118">
        <v>1</v>
      </c>
      <c r="C3" t="s">
        <v>411</v>
      </c>
    </row>
    <row r="4" spans="2:7" x14ac:dyDescent="0.35">
      <c r="B4" s="118">
        <v>2</v>
      </c>
      <c r="C4" t="s">
        <v>406</v>
      </c>
    </row>
    <row r="5" spans="2:7" x14ac:dyDescent="0.35">
      <c r="B5" s="118">
        <v>3</v>
      </c>
      <c r="C5" t="s">
        <v>407</v>
      </c>
    </row>
    <row r="6" spans="2:7" x14ac:dyDescent="0.35">
      <c r="B6" s="118">
        <v>4</v>
      </c>
      <c r="C6" t="s">
        <v>412</v>
      </c>
    </row>
    <row r="7" spans="2:7" x14ac:dyDescent="0.35">
      <c r="C7" s="452"/>
      <c r="D7" s="454"/>
      <c r="E7" s="453"/>
      <c r="F7" s="51"/>
      <c r="G7" s="455"/>
    </row>
    <row r="8" spans="2:7" x14ac:dyDescent="0.35">
      <c r="B8"/>
      <c r="C8" t="s">
        <v>408</v>
      </c>
    </row>
    <row r="10" spans="2:7" ht="20.25" thickBot="1" x14ac:dyDescent="0.4">
      <c r="C10" s="185" t="s">
        <v>212</v>
      </c>
      <c r="D10" s="175"/>
      <c r="E10" s="175"/>
      <c r="F10" s="176"/>
    </row>
    <row r="11" spans="2:7" ht="19.5" x14ac:dyDescent="0.35">
      <c r="C11" s="186" t="s">
        <v>208</v>
      </c>
      <c r="D11" s="238">
        <f>'BS(借方)'!F10</f>
        <v>0</v>
      </c>
      <c r="E11" s="255" t="s">
        <v>421</v>
      </c>
      <c r="F11" s="266" t="s">
        <v>422</v>
      </c>
    </row>
    <row r="12" spans="2:7" ht="19.5" x14ac:dyDescent="0.35">
      <c r="C12" s="171" t="s">
        <v>211</v>
      </c>
      <c r="D12" s="233">
        <f>SUM(D13:D26)</f>
        <v>5000000</v>
      </c>
      <c r="E12" s="233">
        <f>SUM(E13:E26)</f>
        <v>-500000</v>
      </c>
      <c r="F12" s="262">
        <f t="shared" ref="F12" si="0">SUM(F13:F26)</f>
        <v>4500000</v>
      </c>
    </row>
    <row r="13" spans="2:7" ht="19.5" x14ac:dyDescent="0.35">
      <c r="C13" s="325" t="s">
        <v>215</v>
      </c>
      <c r="D13" s="234">
        <v>5000000</v>
      </c>
      <c r="E13" s="234">
        <v>-500000</v>
      </c>
      <c r="F13" s="263">
        <f>D13+E13</f>
        <v>4500000</v>
      </c>
    </row>
    <row r="14" spans="2:7" ht="19.5" x14ac:dyDescent="0.35">
      <c r="C14" s="325"/>
      <c r="D14" s="234"/>
      <c r="E14" s="234"/>
      <c r="F14" s="263">
        <f t="shared" ref="F14" si="1">D14+E14</f>
        <v>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E176-AAC4-404D-A325-EE3EFB56463F}">
  <sheetPr>
    <tabColor theme="7" tint="-0.499984740745262"/>
  </sheetPr>
  <dimension ref="A1"/>
  <sheetViews>
    <sheetView showGridLines="0" workbookViewId="0"/>
  </sheetViews>
  <sheetFormatPr defaultRowHeight="18" x14ac:dyDescent="0.3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8EA9-53BA-4D11-9FE7-5016D3BF683D}">
  <dimension ref="B1:G78"/>
  <sheetViews>
    <sheetView showGridLines="0" tabSelected="1" zoomScale="85" zoomScaleNormal="85" workbookViewId="0">
      <pane ySplit="4" topLeftCell="A47" activePane="bottomLeft" state="frozen"/>
      <selection pane="bottomLeft" activeCell="A61" sqref="A61"/>
    </sheetView>
  </sheetViews>
  <sheetFormatPr defaultRowHeight="18" x14ac:dyDescent="0.35"/>
  <cols>
    <col min="2" max="2" width="28" style="184" bestFit="1" customWidth="1"/>
    <col min="3" max="7" width="16.125" customWidth="1"/>
    <col min="8" max="8" width="8.875" customWidth="1"/>
  </cols>
  <sheetData>
    <row r="1" spans="2:7" x14ac:dyDescent="0.35">
      <c r="C1" s="544" t="s">
        <v>495</v>
      </c>
      <c r="D1" s="545"/>
      <c r="E1" s="545"/>
    </row>
    <row r="2" spans="2:7" x14ac:dyDescent="0.35">
      <c r="C2" s="543" t="s">
        <v>490</v>
      </c>
      <c r="D2" s="543" t="s">
        <v>491</v>
      </c>
      <c r="E2" s="543" t="s">
        <v>492</v>
      </c>
      <c r="F2" s="543" t="s">
        <v>494</v>
      </c>
      <c r="G2" s="543" t="s">
        <v>493</v>
      </c>
    </row>
    <row r="3" spans="2:7" ht="28.35" customHeight="1" x14ac:dyDescent="0.35">
      <c r="B3" s="399" t="s">
        <v>212</v>
      </c>
      <c r="C3" s="399"/>
      <c r="D3" s="399"/>
      <c r="E3" s="399"/>
      <c r="F3" s="399"/>
      <c r="G3" s="399"/>
    </row>
    <row r="4" spans="2:7" ht="39" x14ac:dyDescent="0.35">
      <c r="B4" s="219" t="s">
        <v>208</v>
      </c>
      <c r="C4" s="219" t="s">
        <v>506</v>
      </c>
      <c r="D4" s="219" t="s">
        <v>507</v>
      </c>
      <c r="E4" s="219" t="s">
        <v>508</v>
      </c>
      <c r="F4" s="219" t="s">
        <v>209</v>
      </c>
      <c r="G4" s="400" t="s">
        <v>210</v>
      </c>
    </row>
    <row r="5" spans="2:7" ht="22.5" customHeight="1" x14ac:dyDescent="0.35">
      <c r="B5" s="171" t="s">
        <v>211</v>
      </c>
      <c r="C5" s="172">
        <f>SUM(C6:C19)</f>
        <v>119157017</v>
      </c>
      <c r="D5" s="172">
        <f>SUM(D6:D19)</f>
        <v>130777358</v>
      </c>
      <c r="E5" s="172">
        <f>SUM(E6:E19)</f>
        <v>141385419</v>
      </c>
      <c r="F5" s="172">
        <f>SUM(F6:F19)</f>
        <v>0</v>
      </c>
      <c r="G5" s="172">
        <f>SUM(G6:G19)</f>
        <v>0</v>
      </c>
    </row>
    <row r="6" spans="2:7" ht="22.5" customHeight="1" x14ac:dyDescent="0.35">
      <c r="B6" s="325" t="s">
        <v>509</v>
      </c>
      <c r="C6" s="102">
        <v>40642580</v>
      </c>
      <c r="D6" s="102">
        <v>48852895</v>
      </c>
      <c r="E6" s="102">
        <v>61842402</v>
      </c>
      <c r="F6" s="102"/>
      <c r="G6" s="102"/>
    </row>
    <row r="7" spans="2:7" ht="22.5" customHeight="1" x14ac:dyDescent="0.35">
      <c r="B7" s="325" t="s">
        <v>510</v>
      </c>
      <c r="C7" s="102">
        <v>32079836</v>
      </c>
      <c r="D7" s="102">
        <v>30240016</v>
      </c>
      <c r="E7" s="102">
        <v>26584168</v>
      </c>
      <c r="F7" s="102"/>
      <c r="G7" s="102"/>
    </row>
    <row r="8" spans="2:7" ht="22.5" customHeight="1" x14ac:dyDescent="0.35">
      <c r="B8" s="325" t="s">
        <v>511</v>
      </c>
      <c r="C8" s="102">
        <v>652076</v>
      </c>
      <c r="D8" s="102">
        <v>580343</v>
      </c>
      <c r="E8" s="102">
        <v>619688</v>
      </c>
      <c r="F8" s="102"/>
      <c r="G8" s="102"/>
    </row>
    <row r="9" spans="2:7" ht="22.5" customHeight="1" x14ac:dyDescent="0.35">
      <c r="B9" s="325" t="s">
        <v>512</v>
      </c>
      <c r="C9" s="102">
        <v>161700</v>
      </c>
      <c r="D9" s="102">
        <v>161700</v>
      </c>
      <c r="E9" s="102">
        <v>161700</v>
      </c>
      <c r="F9" s="102"/>
      <c r="G9" s="102"/>
    </row>
    <row r="10" spans="2:7" ht="22.5" customHeight="1" x14ac:dyDescent="0.35">
      <c r="B10" s="325" t="s">
        <v>513</v>
      </c>
      <c r="C10" s="102">
        <v>45757825</v>
      </c>
      <c r="D10" s="102">
        <v>49800104</v>
      </c>
      <c r="E10" s="102">
        <v>52401281</v>
      </c>
      <c r="F10" s="102"/>
      <c r="G10" s="102"/>
    </row>
    <row r="11" spans="2:7" ht="22.5" customHeight="1" x14ac:dyDescent="0.35">
      <c r="B11" s="325" t="s">
        <v>514</v>
      </c>
      <c r="C11" s="102">
        <v>-457000</v>
      </c>
      <c r="D11" s="102">
        <v>-498000</v>
      </c>
      <c r="E11" s="102">
        <v>-524000</v>
      </c>
      <c r="F11" s="102"/>
      <c r="G11" s="102"/>
    </row>
    <row r="12" spans="2:7" ht="22.5" customHeight="1" x14ac:dyDescent="0.35">
      <c r="B12" s="325" t="s">
        <v>515</v>
      </c>
      <c r="C12" s="102"/>
      <c r="D12" s="102"/>
      <c r="E12" s="102">
        <v>180</v>
      </c>
      <c r="F12" s="102"/>
      <c r="G12" s="102"/>
    </row>
    <row r="13" spans="2:7" ht="22.5" customHeight="1" x14ac:dyDescent="0.35">
      <c r="B13" s="325" t="s">
        <v>516</v>
      </c>
      <c r="C13" s="102">
        <v>320000</v>
      </c>
      <c r="D13" s="102">
        <v>330000</v>
      </c>
      <c r="E13" s="102">
        <v>300000</v>
      </c>
      <c r="F13" s="102"/>
      <c r="G13" s="102"/>
    </row>
    <row r="14" spans="2:7" ht="22.5" customHeight="1" x14ac:dyDescent="0.35">
      <c r="B14" s="325" t="s">
        <v>517</v>
      </c>
      <c r="C14" s="102"/>
      <c r="D14" s="102">
        <v>1310300</v>
      </c>
      <c r="E14" s="102"/>
      <c r="F14" s="102"/>
      <c r="G14" s="102"/>
    </row>
    <row r="15" spans="2:7" ht="22.5" customHeight="1" x14ac:dyDescent="0.35">
      <c r="B15" s="325"/>
      <c r="C15" s="102"/>
      <c r="D15" s="102"/>
      <c r="E15" s="102"/>
      <c r="F15" s="102"/>
      <c r="G15" s="102"/>
    </row>
    <row r="16" spans="2:7" ht="22.5" customHeight="1" x14ac:dyDescent="0.35">
      <c r="B16" s="325"/>
      <c r="C16" s="102"/>
      <c r="D16" s="102"/>
      <c r="E16" s="102"/>
      <c r="F16" s="102"/>
      <c r="G16" s="102"/>
    </row>
    <row r="17" spans="2:7" ht="22.5" customHeight="1" x14ac:dyDescent="0.35">
      <c r="B17" s="325"/>
      <c r="C17" s="102"/>
      <c r="D17" s="102"/>
      <c r="E17" s="102"/>
      <c r="F17" s="102"/>
      <c r="G17" s="102"/>
    </row>
    <row r="18" spans="2:7" ht="22.5" customHeight="1" x14ac:dyDescent="0.35">
      <c r="B18" s="325"/>
      <c r="C18" s="102"/>
      <c r="D18" s="102"/>
      <c r="E18" s="102"/>
      <c r="F18" s="102"/>
      <c r="G18" s="102"/>
    </row>
    <row r="19" spans="2:7" ht="22.5" customHeight="1" x14ac:dyDescent="0.35">
      <c r="B19" s="326"/>
      <c r="C19" s="112"/>
      <c r="D19" s="112"/>
      <c r="E19" s="112"/>
      <c r="F19" s="112"/>
      <c r="G19" s="112"/>
    </row>
    <row r="20" spans="2:7" ht="22.5" customHeight="1" x14ac:dyDescent="0.35">
      <c r="B20" s="171" t="s">
        <v>201</v>
      </c>
      <c r="C20" s="172">
        <f>C21+C35+C46</f>
        <v>22989981</v>
      </c>
      <c r="D20" s="172">
        <f t="shared" ref="D20:G20" si="0">D21+D35+D46</f>
        <v>23828405</v>
      </c>
      <c r="E20" s="172">
        <f t="shared" si="0"/>
        <v>19843083</v>
      </c>
      <c r="F20" s="172">
        <f t="shared" si="0"/>
        <v>0</v>
      </c>
      <c r="G20" s="172">
        <f t="shared" si="0"/>
        <v>0</v>
      </c>
    </row>
    <row r="21" spans="2:7" ht="22.5" customHeight="1" x14ac:dyDescent="0.35">
      <c r="B21" s="329" t="s">
        <v>202</v>
      </c>
      <c r="C21" s="305">
        <f>SUM(C22:C34)</f>
        <v>12240330</v>
      </c>
      <c r="D21" s="305">
        <f t="shared" ref="D21:G21" si="1">SUM(D22:D34)</f>
        <v>9518592</v>
      </c>
      <c r="E21" s="305">
        <f t="shared" si="1"/>
        <v>7402395</v>
      </c>
      <c r="F21" s="305">
        <f t="shared" si="1"/>
        <v>0</v>
      </c>
      <c r="G21" s="305">
        <f t="shared" si="1"/>
        <v>0</v>
      </c>
    </row>
    <row r="22" spans="2:7" ht="22.5" customHeight="1" x14ac:dyDescent="0.35">
      <c r="B22" s="325" t="s">
        <v>518</v>
      </c>
      <c r="C22" s="102">
        <v>7282837</v>
      </c>
      <c r="D22" s="102">
        <v>6298675</v>
      </c>
      <c r="E22" s="102">
        <v>5361688</v>
      </c>
      <c r="F22" s="102"/>
      <c r="G22" s="102"/>
    </row>
    <row r="23" spans="2:7" ht="22.5" customHeight="1" x14ac:dyDescent="0.35">
      <c r="B23" s="325" t="s">
        <v>204</v>
      </c>
      <c r="C23" s="102">
        <v>4957493</v>
      </c>
      <c r="D23" s="102">
        <v>3219917</v>
      </c>
      <c r="E23" s="102">
        <v>2040707</v>
      </c>
      <c r="F23" s="102"/>
      <c r="G23" s="102"/>
    </row>
    <row r="24" spans="2:7" ht="22.5" customHeight="1" x14ac:dyDescent="0.35">
      <c r="B24" s="325"/>
      <c r="C24" s="102"/>
      <c r="D24" s="102"/>
      <c r="E24" s="102"/>
      <c r="F24" s="102"/>
      <c r="G24" s="102"/>
    </row>
    <row r="25" spans="2:7" ht="22.5" customHeight="1" x14ac:dyDescent="0.35">
      <c r="B25" s="325"/>
      <c r="C25" s="102"/>
      <c r="D25" s="102"/>
      <c r="E25" s="102"/>
      <c r="F25" s="102"/>
      <c r="G25" s="102"/>
    </row>
    <row r="26" spans="2:7" ht="22.5" customHeight="1" x14ac:dyDescent="0.35">
      <c r="B26" s="325"/>
      <c r="C26" s="102"/>
      <c r="D26" s="102"/>
      <c r="E26" s="102"/>
      <c r="F26" s="102"/>
      <c r="G26" s="102"/>
    </row>
    <row r="27" spans="2:7" ht="22.5" customHeight="1" x14ac:dyDescent="0.35">
      <c r="B27" s="325"/>
      <c r="C27" s="102"/>
      <c r="D27" s="102"/>
      <c r="E27" s="102"/>
      <c r="F27" s="102"/>
      <c r="G27" s="102"/>
    </row>
    <row r="28" spans="2:7" ht="22.5" customHeight="1" x14ac:dyDescent="0.35">
      <c r="B28" s="325"/>
      <c r="C28" s="102"/>
      <c r="D28" s="102"/>
      <c r="E28" s="102"/>
      <c r="F28" s="102"/>
      <c r="G28" s="102"/>
    </row>
    <row r="29" spans="2:7" ht="22.5" customHeight="1" x14ac:dyDescent="0.35">
      <c r="B29" s="325"/>
      <c r="C29" s="102"/>
      <c r="D29" s="102"/>
      <c r="E29" s="102"/>
      <c r="F29" s="102"/>
      <c r="G29" s="102"/>
    </row>
    <row r="30" spans="2:7" ht="22.5" customHeight="1" x14ac:dyDescent="0.35">
      <c r="B30" s="325"/>
      <c r="C30" s="102"/>
      <c r="D30" s="102"/>
      <c r="E30" s="102"/>
      <c r="F30" s="102"/>
      <c r="G30" s="102"/>
    </row>
    <row r="31" spans="2:7" ht="22.5" customHeight="1" x14ac:dyDescent="0.35">
      <c r="B31" s="325"/>
      <c r="C31" s="102"/>
      <c r="D31" s="102"/>
      <c r="E31" s="102"/>
      <c r="F31" s="102"/>
      <c r="G31" s="102"/>
    </row>
    <row r="32" spans="2:7" ht="22.5" customHeight="1" x14ac:dyDescent="0.35">
      <c r="B32" s="325"/>
      <c r="C32" s="102"/>
      <c r="D32" s="102"/>
      <c r="E32" s="102"/>
      <c r="F32" s="102"/>
      <c r="G32" s="102"/>
    </row>
    <row r="33" spans="2:7" ht="22.5" customHeight="1" x14ac:dyDescent="0.35">
      <c r="B33" s="325"/>
      <c r="C33" s="102"/>
      <c r="D33" s="102"/>
      <c r="E33" s="102"/>
      <c r="F33" s="102"/>
      <c r="G33" s="102"/>
    </row>
    <row r="34" spans="2:7" ht="22.5" customHeight="1" x14ac:dyDescent="0.35">
      <c r="B34" s="326"/>
      <c r="C34" s="112"/>
      <c r="D34" s="112"/>
      <c r="E34" s="112"/>
      <c r="F34" s="112"/>
      <c r="G34" s="112"/>
    </row>
    <row r="35" spans="2:7" ht="22.5" customHeight="1" x14ac:dyDescent="0.35">
      <c r="B35" s="329" t="s">
        <v>205</v>
      </c>
      <c r="C35" s="307">
        <f>SUM(C36:C45)</f>
        <v>3084273</v>
      </c>
      <c r="D35" s="307">
        <f t="shared" ref="D35:G35" si="2">SUM(D36:D45)</f>
        <v>7222851</v>
      </c>
      <c r="E35" s="307">
        <f t="shared" si="2"/>
        <v>4816004</v>
      </c>
      <c r="F35" s="307">
        <f t="shared" si="2"/>
        <v>0</v>
      </c>
      <c r="G35" s="307">
        <f t="shared" si="2"/>
        <v>0</v>
      </c>
    </row>
    <row r="36" spans="2:7" ht="22.35" customHeight="1" x14ac:dyDescent="0.35">
      <c r="B36" s="325" t="s">
        <v>519</v>
      </c>
      <c r="C36" s="248">
        <v>3084273</v>
      </c>
      <c r="D36" s="248">
        <v>7222851</v>
      </c>
      <c r="E36" s="248">
        <v>4816004</v>
      </c>
      <c r="F36" s="480"/>
      <c r="G36" s="480"/>
    </row>
    <row r="37" spans="2:7" ht="22.35" customHeight="1" x14ac:dyDescent="0.35">
      <c r="B37" s="325"/>
      <c r="C37" s="248"/>
      <c r="D37" s="248"/>
      <c r="E37" s="248"/>
      <c r="F37" s="480"/>
      <c r="G37" s="480"/>
    </row>
    <row r="38" spans="2:7" ht="22.35" customHeight="1" x14ac:dyDescent="0.35">
      <c r="B38" s="325"/>
      <c r="C38" s="248"/>
      <c r="D38" s="248"/>
      <c r="E38" s="248"/>
      <c r="F38" s="480"/>
      <c r="G38" s="480"/>
    </row>
    <row r="39" spans="2:7" ht="22.35" customHeight="1" x14ac:dyDescent="0.35">
      <c r="B39" s="325"/>
      <c r="C39" s="248"/>
      <c r="D39" s="248"/>
      <c r="E39" s="248"/>
      <c r="F39" s="480"/>
      <c r="G39" s="480"/>
    </row>
    <row r="40" spans="2:7" ht="22.35" customHeight="1" x14ac:dyDescent="0.35">
      <c r="B40" s="325"/>
      <c r="C40" s="248"/>
      <c r="D40" s="248"/>
      <c r="E40" s="248"/>
      <c r="F40" s="480"/>
      <c r="G40" s="480"/>
    </row>
    <row r="41" spans="2:7" ht="22.35" customHeight="1" x14ac:dyDescent="0.35">
      <c r="B41" s="325"/>
      <c r="C41" s="248"/>
      <c r="D41" s="248"/>
      <c r="E41" s="248"/>
      <c r="F41" s="480"/>
      <c r="G41" s="480"/>
    </row>
    <row r="42" spans="2:7" ht="22.35" customHeight="1" x14ac:dyDescent="0.35">
      <c r="B42" s="325"/>
      <c r="C42" s="248"/>
      <c r="D42" s="248"/>
      <c r="E42" s="248"/>
      <c r="F42" s="480"/>
      <c r="G42" s="480"/>
    </row>
    <row r="43" spans="2:7" ht="22.35" customHeight="1" x14ac:dyDescent="0.35">
      <c r="B43" s="325"/>
      <c r="C43" s="248"/>
      <c r="D43" s="248"/>
      <c r="E43" s="248"/>
      <c r="F43" s="480"/>
      <c r="G43" s="480"/>
    </row>
    <row r="44" spans="2:7" ht="22.35" customHeight="1" x14ac:dyDescent="0.35">
      <c r="B44" s="325"/>
      <c r="C44" s="248"/>
      <c r="D44" s="248"/>
      <c r="E44" s="248"/>
      <c r="F44" s="480"/>
      <c r="G44" s="480"/>
    </row>
    <row r="45" spans="2:7" ht="22.35" customHeight="1" x14ac:dyDescent="0.35">
      <c r="B45" s="326"/>
      <c r="C45" s="242"/>
      <c r="D45" s="242"/>
      <c r="E45" s="242"/>
      <c r="F45" s="307"/>
      <c r="G45" s="307"/>
    </row>
    <row r="46" spans="2:7" ht="22.35" customHeight="1" x14ac:dyDescent="0.35">
      <c r="B46" s="304" t="s">
        <v>277</v>
      </c>
      <c r="C46" s="307">
        <f>SUM(C47:C55)</f>
        <v>7665378</v>
      </c>
      <c r="D46" s="307">
        <f t="shared" ref="D46:G46" si="3">SUM(D47:D55)</f>
        <v>7086962</v>
      </c>
      <c r="E46" s="307">
        <f t="shared" si="3"/>
        <v>7624684</v>
      </c>
      <c r="F46" s="307">
        <f t="shared" si="3"/>
        <v>0</v>
      </c>
      <c r="G46" s="307">
        <f t="shared" si="3"/>
        <v>0</v>
      </c>
    </row>
    <row r="47" spans="2:7" ht="22.5" customHeight="1" x14ac:dyDescent="0.35">
      <c r="B47" s="325" t="s">
        <v>520</v>
      </c>
      <c r="C47" s="248">
        <v>6513280</v>
      </c>
      <c r="D47" s="248">
        <v>6513280</v>
      </c>
      <c r="E47" s="248">
        <v>6639280</v>
      </c>
      <c r="F47" s="480"/>
      <c r="G47" s="480"/>
    </row>
    <row r="48" spans="2:7" ht="22.5" customHeight="1" x14ac:dyDescent="0.35">
      <c r="B48" s="325" t="s">
        <v>521</v>
      </c>
      <c r="C48" s="248">
        <v>1152098</v>
      </c>
      <c r="D48" s="248">
        <v>573682</v>
      </c>
      <c r="E48" s="248">
        <v>985404</v>
      </c>
      <c r="F48" s="248"/>
      <c r="G48" s="248"/>
    </row>
    <row r="49" spans="2:7" ht="22.5" customHeight="1" x14ac:dyDescent="0.35">
      <c r="B49" s="330"/>
      <c r="C49" s="248"/>
      <c r="D49" s="248"/>
      <c r="E49" s="248"/>
      <c r="F49" s="248"/>
      <c r="G49" s="248"/>
    </row>
    <row r="50" spans="2:7" ht="22.5" customHeight="1" x14ac:dyDescent="0.35">
      <c r="B50" s="325"/>
      <c r="C50" s="248"/>
      <c r="D50" s="248"/>
      <c r="E50" s="248"/>
      <c r="F50" s="248"/>
      <c r="G50" s="248"/>
    </row>
    <row r="51" spans="2:7" ht="22.5" customHeight="1" x14ac:dyDescent="0.35">
      <c r="B51" s="325"/>
      <c r="C51" s="248"/>
      <c r="D51" s="248"/>
      <c r="E51" s="248"/>
      <c r="F51" s="248"/>
      <c r="G51" s="248"/>
    </row>
    <row r="52" spans="2:7" ht="22.5" customHeight="1" x14ac:dyDescent="0.35">
      <c r="B52" s="325"/>
      <c r="C52" s="248"/>
      <c r="D52" s="248"/>
      <c r="E52" s="248"/>
      <c r="F52" s="248"/>
      <c r="G52" s="248"/>
    </row>
    <row r="53" spans="2:7" ht="22.5" customHeight="1" x14ac:dyDescent="0.35">
      <c r="B53" s="325"/>
      <c r="C53" s="248"/>
      <c r="D53" s="248"/>
      <c r="E53" s="248"/>
      <c r="F53" s="248"/>
      <c r="G53" s="248"/>
    </row>
    <row r="54" spans="2:7" ht="22.5" customHeight="1" x14ac:dyDescent="0.35">
      <c r="B54" s="325"/>
      <c r="C54" s="248"/>
      <c r="D54" s="248"/>
      <c r="E54" s="248"/>
      <c r="F54" s="248"/>
      <c r="G54" s="248"/>
    </row>
    <row r="55" spans="2:7" ht="22.5" customHeight="1" x14ac:dyDescent="0.35">
      <c r="B55" s="325"/>
      <c r="C55" s="248"/>
      <c r="D55" s="248"/>
      <c r="E55" s="248"/>
      <c r="F55" s="248"/>
      <c r="G55" s="248"/>
    </row>
    <row r="56" spans="2:7" ht="22.5" customHeight="1" x14ac:dyDescent="0.35">
      <c r="B56" s="331" t="s">
        <v>276</v>
      </c>
      <c r="C56" s="481">
        <f>SUM(C57:C60)</f>
        <v>0</v>
      </c>
      <c r="D56" s="481">
        <f t="shared" ref="D56:G56" si="4">SUM(D57:D60)</f>
        <v>0</v>
      </c>
      <c r="E56" s="481">
        <f t="shared" si="4"/>
        <v>0</v>
      </c>
      <c r="F56" s="481">
        <f t="shared" si="4"/>
        <v>0</v>
      </c>
      <c r="G56" s="481">
        <f t="shared" si="4"/>
        <v>0</v>
      </c>
    </row>
    <row r="57" spans="2:7" ht="22.5" customHeight="1" x14ac:dyDescent="0.35">
      <c r="B57" s="325"/>
      <c r="C57" s="248"/>
      <c r="D57" s="248"/>
      <c r="E57" s="248"/>
      <c r="F57" s="248"/>
      <c r="G57" s="248"/>
    </row>
    <row r="58" spans="2:7" ht="22.5" customHeight="1" x14ac:dyDescent="0.35">
      <c r="B58" s="325"/>
      <c r="C58" s="248"/>
      <c r="D58" s="248"/>
      <c r="E58" s="248"/>
      <c r="F58" s="248"/>
      <c r="G58" s="248"/>
    </row>
    <row r="59" spans="2:7" ht="22.5" customHeight="1" x14ac:dyDescent="0.35">
      <c r="B59" s="325"/>
      <c r="C59" s="248"/>
      <c r="D59" s="248"/>
      <c r="E59" s="248"/>
      <c r="F59" s="248"/>
      <c r="G59" s="248"/>
    </row>
    <row r="60" spans="2:7" ht="22.5" customHeight="1" x14ac:dyDescent="0.35">
      <c r="B60" s="326"/>
      <c r="C60" s="242"/>
      <c r="D60" s="242"/>
      <c r="E60" s="242"/>
      <c r="F60" s="242"/>
      <c r="G60" s="242"/>
    </row>
    <row r="61" spans="2:7" ht="22.5" customHeight="1" x14ac:dyDescent="0.35">
      <c r="B61" s="188" t="s">
        <v>217</v>
      </c>
      <c r="C61" s="482">
        <f>C5+C20+C56</f>
        <v>142146998</v>
      </c>
      <c r="D61" s="482">
        <f t="shared" ref="D61:G61" si="5">D5+D20+D56</f>
        <v>154605763</v>
      </c>
      <c r="E61" s="482">
        <f t="shared" si="5"/>
        <v>161228502</v>
      </c>
      <c r="F61" s="482">
        <f t="shared" si="5"/>
        <v>0</v>
      </c>
      <c r="G61" s="482">
        <f t="shared" si="5"/>
        <v>0</v>
      </c>
    </row>
    <row r="62" spans="2:7" x14ac:dyDescent="0.35">
      <c r="C62" s="236"/>
      <c r="D62" s="236"/>
      <c r="E62" s="236"/>
      <c r="F62" s="236"/>
      <c r="G62" s="236"/>
    </row>
    <row r="63" spans="2:7" x14ac:dyDescent="0.35">
      <c r="B63" s="408" t="s">
        <v>400</v>
      </c>
      <c r="C63" s="483" t="b">
        <f>EXACT(C61,'BS (貸方)'!C51)</f>
        <v>1</v>
      </c>
      <c r="D63" s="483" t="b">
        <f>EXACT(D61,'BS (貸方)'!D51)</f>
        <v>1</v>
      </c>
      <c r="E63" s="483" t="b">
        <f>EXACT(E61,'BS (貸方)'!E51)</f>
        <v>1</v>
      </c>
      <c r="F63" s="483" t="b">
        <f>EXACT(F61,'BS (貸方)'!F51)</f>
        <v>1</v>
      </c>
      <c r="G63" s="483" t="b">
        <f>EXACT(G61,'BS (貸方)'!G51)</f>
        <v>1</v>
      </c>
    </row>
    <row r="64" spans="2:7" x14ac:dyDescent="0.35">
      <c r="C64" s="236"/>
      <c r="D64" s="236"/>
      <c r="E64" s="236"/>
      <c r="F64" s="236"/>
      <c r="G64" s="236"/>
    </row>
    <row r="65" spans="3:7" x14ac:dyDescent="0.35">
      <c r="C65" s="236"/>
      <c r="D65" s="236"/>
      <c r="E65" s="236"/>
      <c r="F65" s="236"/>
      <c r="G65" s="236"/>
    </row>
    <row r="66" spans="3:7" x14ac:dyDescent="0.35">
      <c r="C66" s="236"/>
      <c r="D66" s="236"/>
      <c r="E66" s="236"/>
      <c r="F66" s="236"/>
      <c r="G66" s="236"/>
    </row>
    <row r="67" spans="3:7" x14ac:dyDescent="0.35">
      <c r="C67" s="236"/>
      <c r="D67" s="236"/>
      <c r="E67" s="236"/>
      <c r="F67" s="236"/>
      <c r="G67" s="236"/>
    </row>
    <row r="68" spans="3:7" x14ac:dyDescent="0.35">
      <c r="C68" s="236"/>
      <c r="D68" s="236"/>
      <c r="E68" s="236"/>
      <c r="F68" s="236"/>
      <c r="G68" s="236"/>
    </row>
    <row r="69" spans="3:7" x14ac:dyDescent="0.35">
      <c r="C69" s="236"/>
      <c r="D69" s="236"/>
      <c r="E69" s="236"/>
      <c r="F69" s="236"/>
      <c r="G69" s="236"/>
    </row>
    <row r="70" spans="3:7" x14ac:dyDescent="0.35">
      <c r="C70" s="236"/>
      <c r="D70" s="236"/>
      <c r="E70" s="236"/>
      <c r="F70" s="236"/>
      <c r="G70" s="236"/>
    </row>
    <row r="71" spans="3:7" x14ac:dyDescent="0.35">
      <c r="C71" s="236"/>
      <c r="D71" s="236"/>
      <c r="E71" s="236"/>
      <c r="F71" s="236"/>
      <c r="G71" s="236"/>
    </row>
    <row r="72" spans="3:7" x14ac:dyDescent="0.35">
      <c r="C72" s="236"/>
      <c r="D72" s="236"/>
      <c r="E72" s="236"/>
      <c r="F72" s="236"/>
      <c r="G72" s="236"/>
    </row>
    <row r="73" spans="3:7" x14ac:dyDescent="0.35">
      <c r="C73" s="236"/>
      <c r="D73" s="236"/>
      <c r="E73" s="236"/>
      <c r="F73" s="236"/>
      <c r="G73" s="236"/>
    </row>
    <row r="74" spans="3:7" x14ac:dyDescent="0.35">
      <c r="C74" s="236"/>
      <c r="D74" s="236"/>
      <c r="E74" s="236"/>
      <c r="F74" s="236"/>
      <c r="G74" s="236"/>
    </row>
    <row r="75" spans="3:7" x14ac:dyDescent="0.35">
      <c r="C75" s="236"/>
      <c r="D75" s="236"/>
      <c r="E75" s="236"/>
      <c r="F75" s="236"/>
      <c r="G75" s="236"/>
    </row>
    <row r="76" spans="3:7" x14ac:dyDescent="0.35">
      <c r="C76" s="236"/>
      <c r="D76" s="236"/>
      <c r="E76" s="236"/>
      <c r="F76" s="236"/>
      <c r="G76" s="236"/>
    </row>
    <row r="77" spans="3:7" x14ac:dyDescent="0.35">
      <c r="C77" s="236"/>
      <c r="D77" s="236"/>
      <c r="E77" s="236"/>
      <c r="F77" s="236"/>
      <c r="G77" s="236"/>
    </row>
    <row r="78" spans="3:7" x14ac:dyDescent="0.35">
      <c r="C78" s="236"/>
      <c r="D78" s="236"/>
      <c r="E78" s="236"/>
      <c r="F78" s="236"/>
      <c r="G78" s="236"/>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409C-EDB8-445B-BFD6-17B7470A9DA1}">
  <dimension ref="B2:G68"/>
  <sheetViews>
    <sheetView showGridLines="0" zoomScale="85" zoomScaleNormal="85" workbookViewId="0">
      <pane ySplit="4" topLeftCell="A35" activePane="bottomLeft" state="frozen"/>
      <selection pane="bottomLeft" activeCell="A51" sqref="A51"/>
    </sheetView>
  </sheetViews>
  <sheetFormatPr defaultRowHeight="18" x14ac:dyDescent="0.35"/>
  <cols>
    <col min="2" max="2" width="28" style="177" customWidth="1"/>
    <col min="3" max="3" width="16.125" style="177" customWidth="1"/>
    <col min="4" max="7" width="16.125" customWidth="1"/>
    <col min="8" max="8" width="8.875" customWidth="1"/>
  </cols>
  <sheetData>
    <row r="2" spans="2:7" ht="18.75" x14ac:dyDescent="0.35">
      <c r="E2" s="73" t="s">
        <v>66</v>
      </c>
    </row>
    <row r="3" spans="2:7" ht="28.35" customHeight="1" x14ac:dyDescent="0.35">
      <c r="B3" s="399" t="s">
        <v>213</v>
      </c>
      <c r="C3" s="399"/>
      <c r="D3" s="399"/>
      <c r="E3" s="399"/>
      <c r="F3" s="399"/>
      <c r="G3" s="199"/>
    </row>
    <row r="4" spans="2:7" ht="40.35" customHeight="1" x14ac:dyDescent="0.35">
      <c r="B4" s="219" t="s">
        <v>208</v>
      </c>
      <c r="C4" s="219" t="str">
        <f>'BS(借方)'!C4</f>
        <v>23年12月期</v>
      </c>
      <c r="D4" s="219" t="str">
        <f>'BS(借方)'!D4</f>
        <v>24年12月期</v>
      </c>
      <c r="E4" s="219" t="str">
        <f>'BS(借方)'!E4</f>
        <v>25年12月期</v>
      </c>
      <c r="F4" s="219" t="str">
        <f>'BS(借方)'!F4</f>
        <v>●●年●月期</v>
      </c>
      <c r="G4" s="401" t="str">
        <f>'BS(借方)'!G4</f>
        <v>●●年●月
（●か月TB）</v>
      </c>
    </row>
    <row r="5" spans="2:7" ht="22.5" customHeight="1" x14ac:dyDescent="0.35">
      <c r="B5" s="180" t="s">
        <v>214</v>
      </c>
      <c r="C5" s="233">
        <f>SUM(C6:C17)</f>
        <v>40847644</v>
      </c>
      <c r="D5" s="233">
        <f t="shared" ref="D5:G5" si="0">SUM(D6:D17)</f>
        <v>44626188</v>
      </c>
      <c r="E5" s="233">
        <f t="shared" si="0"/>
        <v>41577715</v>
      </c>
      <c r="F5" s="233">
        <f t="shared" si="0"/>
        <v>0</v>
      </c>
      <c r="G5" s="233">
        <f t="shared" si="0"/>
        <v>0</v>
      </c>
    </row>
    <row r="6" spans="2:7" ht="22.5" customHeight="1" x14ac:dyDescent="0.35">
      <c r="B6" s="327" t="s">
        <v>199</v>
      </c>
      <c r="C6" s="268">
        <v>23388161</v>
      </c>
      <c r="D6" s="234">
        <v>32912766</v>
      </c>
      <c r="E6" s="234">
        <v>26935462</v>
      </c>
      <c r="F6" s="234"/>
      <c r="G6" s="234"/>
    </row>
    <row r="7" spans="2:7" ht="22.5" customHeight="1" x14ac:dyDescent="0.35">
      <c r="B7" s="327" t="s">
        <v>522</v>
      </c>
      <c r="C7" s="268">
        <v>8000000</v>
      </c>
      <c r="D7" s="234">
        <v>8000000</v>
      </c>
      <c r="E7" s="234">
        <v>8000000</v>
      </c>
      <c r="F7" s="234"/>
      <c r="G7" s="234"/>
    </row>
    <row r="8" spans="2:7" ht="22.5" customHeight="1" x14ac:dyDescent="0.35">
      <c r="B8" s="327" t="s">
        <v>200</v>
      </c>
      <c r="C8" s="268">
        <v>3614783</v>
      </c>
      <c r="D8" s="234">
        <v>3648822</v>
      </c>
      <c r="E8" s="234">
        <v>3541353</v>
      </c>
      <c r="F8" s="234"/>
      <c r="G8" s="234"/>
    </row>
    <row r="9" spans="2:7" ht="22.5" customHeight="1" x14ac:dyDescent="0.35">
      <c r="B9" s="327" t="s">
        <v>523</v>
      </c>
      <c r="C9" s="268">
        <v>5844700</v>
      </c>
      <c r="D9" s="234">
        <v>64600</v>
      </c>
      <c r="E9" s="234">
        <v>3100900</v>
      </c>
      <c r="F9" s="234"/>
      <c r="G9" s="234"/>
    </row>
    <row r="10" spans="2:7" ht="22.5" customHeight="1" x14ac:dyDescent="0.35">
      <c r="B10" s="327"/>
      <c r="C10" s="268"/>
      <c r="D10" s="234"/>
      <c r="E10" s="234"/>
      <c r="F10" s="234"/>
      <c r="G10" s="234"/>
    </row>
    <row r="11" spans="2:7" ht="22.5" customHeight="1" x14ac:dyDescent="0.35">
      <c r="B11" s="327"/>
      <c r="C11" s="268"/>
      <c r="D11" s="234"/>
      <c r="E11" s="234"/>
      <c r="F11" s="234"/>
      <c r="G11" s="234"/>
    </row>
    <row r="12" spans="2:7" ht="22.5" customHeight="1" x14ac:dyDescent="0.35">
      <c r="B12" s="327"/>
      <c r="C12" s="268"/>
      <c r="D12" s="234"/>
      <c r="E12" s="234"/>
      <c r="F12" s="234"/>
      <c r="G12" s="234"/>
    </row>
    <row r="13" spans="2:7" ht="22.5" customHeight="1" x14ac:dyDescent="0.35">
      <c r="B13" s="327"/>
      <c r="C13" s="268"/>
      <c r="D13" s="234"/>
      <c r="E13" s="234"/>
      <c r="F13" s="234"/>
      <c r="G13" s="234"/>
    </row>
    <row r="14" spans="2:7" ht="22.5" customHeight="1" x14ac:dyDescent="0.35">
      <c r="B14" s="327"/>
      <c r="C14" s="268"/>
      <c r="D14" s="234"/>
      <c r="E14" s="234"/>
      <c r="F14" s="234"/>
      <c r="G14" s="234"/>
    </row>
    <row r="15" spans="2:7" ht="22.5" customHeight="1" x14ac:dyDescent="0.35">
      <c r="B15" s="327"/>
      <c r="C15" s="268"/>
      <c r="D15" s="234"/>
      <c r="E15" s="234"/>
      <c r="F15" s="234"/>
      <c r="G15" s="234"/>
    </row>
    <row r="16" spans="2:7" ht="22.5" customHeight="1" x14ac:dyDescent="0.35">
      <c r="B16" s="327"/>
      <c r="C16" s="268"/>
      <c r="D16" s="234"/>
      <c r="E16" s="234"/>
      <c r="F16" s="234"/>
      <c r="G16" s="234"/>
    </row>
    <row r="17" spans="2:7" ht="22.5" customHeight="1" x14ac:dyDescent="0.35">
      <c r="B17" s="328"/>
      <c r="C17" s="243"/>
      <c r="D17" s="235"/>
      <c r="E17" s="235"/>
      <c r="F17" s="235"/>
      <c r="G17" s="235"/>
    </row>
    <row r="18" spans="2:7" ht="22.5" customHeight="1" x14ac:dyDescent="0.35">
      <c r="B18" s="180" t="s">
        <v>218</v>
      </c>
      <c r="C18" s="233">
        <f>SUM(C19:C24)</f>
        <v>47200000</v>
      </c>
      <c r="D18" s="233">
        <f t="shared" ref="D18:G18" si="1">SUM(D19:D24)</f>
        <v>47200000</v>
      </c>
      <c r="E18" s="233">
        <f t="shared" si="1"/>
        <v>47200000</v>
      </c>
      <c r="F18" s="233">
        <f t="shared" si="1"/>
        <v>0</v>
      </c>
      <c r="G18" s="233">
        <f t="shared" si="1"/>
        <v>0</v>
      </c>
    </row>
    <row r="19" spans="2:7" ht="22.5" customHeight="1" x14ac:dyDescent="0.35">
      <c r="B19" s="327" t="s">
        <v>203</v>
      </c>
      <c r="C19" s="268">
        <v>47200000</v>
      </c>
      <c r="D19" s="234">
        <v>47200000</v>
      </c>
      <c r="E19" s="234">
        <v>47200000</v>
      </c>
      <c r="F19" s="234"/>
      <c r="G19" s="234"/>
    </row>
    <row r="20" spans="2:7" ht="22.5" customHeight="1" x14ac:dyDescent="0.35">
      <c r="B20" s="327"/>
      <c r="C20" s="268"/>
      <c r="D20" s="234"/>
      <c r="E20" s="234"/>
      <c r="F20" s="234"/>
      <c r="G20" s="234"/>
    </row>
    <row r="21" spans="2:7" ht="22.5" customHeight="1" x14ac:dyDescent="0.35">
      <c r="B21" s="327"/>
      <c r="C21" s="268"/>
      <c r="D21" s="234"/>
      <c r="E21" s="234"/>
      <c r="F21" s="234"/>
      <c r="G21" s="234"/>
    </row>
    <row r="22" spans="2:7" ht="22.5" customHeight="1" x14ac:dyDescent="0.35">
      <c r="B22" s="327"/>
      <c r="C22" s="268"/>
      <c r="D22" s="234"/>
      <c r="E22" s="234"/>
      <c r="F22" s="234"/>
      <c r="G22" s="234"/>
    </row>
    <row r="23" spans="2:7" ht="22.5" customHeight="1" x14ac:dyDescent="0.35">
      <c r="B23" s="327"/>
      <c r="C23" s="268"/>
      <c r="D23" s="234"/>
      <c r="E23" s="234"/>
      <c r="F23" s="234"/>
      <c r="G23" s="234"/>
    </row>
    <row r="24" spans="2:7" ht="22.5" customHeight="1" x14ac:dyDescent="0.35">
      <c r="B24" s="328"/>
      <c r="C24" s="243"/>
      <c r="D24" s="235"/>
      <c r="E24" s="235"/>
      <c r="F24" s="235"/>
      <c r="G24" s="235"/>
    </row>
    <row r="25" spans="2:7" ht="22.5" customHeight="1" x14ac:dyDescent="0.35">
      <c r="B25" s="181" t="s">
        <v>219</v>
      </c>
      <c r="C25" s="269">
        <f>C5+C18</f>
        <v>88047644</v>
      </c>
      <c r="D25" s="484">
        <f t="shared" ref="D25:G25" si="2">D5+D18</f>
        <v>91826188</v>
      </c>
      <c r="E25" s="484">
        <f t="shared" si="2"/>
        <v>88777715</v>
      </c>
      <c r="F25" s="484">
        <f t="shared" si="2"/>
        <v>0</v>
      </c>
      <c r="G25" s="484">
        <f t="shared" si="2"/>
        <v>0</v>
      </c>
    </row>
    <row r="26" spans="2:7" ht="22.5" customHeight="1" x14ac:dyDescent="0.35">
      <c r="B26" s="110"/>
      <c r="C26" s="248"/>
      <c r="D26" s="241"/>
      <c r="E26" s="241"/>
      <c r="F26" s="241"/>
      <c r="G26" s="241"/>
    </row>
    <row r="27" spans="2:7" ht="22.5" customHeight="1" x14ac:dyDescent="0.35">
      <c r="B27" s="110"/>
      <c r="C27" s="268"/>
      <c r="D27" s="234"/>
      <c r="E27" s="234"/>
      <c r="F27" s="234"/>
      <c r="G27" s="234"/>
    </row>
    <row r="28" spans="2:7" ht="22.5" customHeight="1" x14ac:dyDescent="0.35">
      <c r="B28" s="110"/>
      <c r="C28" s="268"/>
      <c r="D28" s="234"/>
      <c r="E28" s="234"/>
      <c r="F28" s="234"/>
      <c r="G28" s="234"/>
    </row>
    <row r="29" spans="2:7" ht="22.5" customHeight="1" x14ac:dyDescent="0.35">
      <c r="B29" s="110"/>
      <c r="C29" s="268"/>
      <c r="D29" s="234"/>
      <c r="E29" s="234"/>
      <c r="F29" s="234"/>
      <c r="G29" s="234"/>
    </row>
    <row r="30" spans="2:7" ht="22.5" customHeight="1" x14ac:dyDescent="0.35">
      <c r="B30" s="110"/>
      <c r="C30" s="268"/>
      <c r="D30" s="234"/>
      <c r="E30" s="234"/>
      <c r="F30" s="234"/>
      <c r="G30" s="234"/>
    </row>
    <row r="31" spans="2:7" ht="22.35" customHeight="1" x14ac:dyDescent="0.35">
      <c r="B31" s="110"/>
      <c r="C31" s="268"/>
      <c r="D31" s="234"/>
      <c r="E31" s="234"/>
      <c r="F31" s="234"/>
      <c r="G31" s="234"/>
    </row>
    <row r="32" spans="2:7" ht="22.35" customHeight="1" x14ac:dyDescent="0.35">
      <c r="B32" s="110"/>
      <c r="C32" s="268"/>
      <c r="D32" s="234"/>
      <c r="E32" s="234"/>
      <c r="F32" s="234"/>
      <c r="G32" s="234"/>
    </row>
    <row r="33" spans="2:7" ht="22.35" customHeight="1" x14ac:dyDescent="0.35">
      <c r="B33" s="110"/>
      <c r="C33" s="268"/>
      <c r="D33" s="234"/>
      <c r="E33" s="234"/>
      <c r="F33" s="234"/>
      <c r="G33" s="234"/>
    </row>
    <row r="34" spans="2:7" ht="22.35" customHeight="1" x14ac:dyDescent="0.35">
      <c r="B34" s="179" t="s">
        <v>225</v>
      </c>
      <c r="C34" s="485"/>
      <c r="D34" s="486"/>
      <c r="E34" s="487"/>
      <c r="F34" s="487"/>
      <c r="G34" s="487"/>
    </row>
    <row r="35" spans="2:7" ht="22.35" customHeight="1" x14ac:dyDescent="0.35">
      <c r="B35" s="189" t="s">
        <v>222</v>
      </c>
      <c r="C35" s="488">
        <f>SUM(C36:C38)</f>
        <v>9000000</v>
      </c>
      <c r="D35" s="488">
        <f t="shared" ref="D35:G35" si="3">SUM(D36:D38)</f>
        <v>9000000</v>
      </c>
      <c r="E35" s="488">
        <f t="shared" si="3"/>
        <v>9000000</v>
      </c>
      <c r="F35" s="488">
        <f t="shared" si="3"/>
        <v>0</v>
      </c>
      <c r="G35" s="488">
        <f t="shared" si="3"/>
        <v>0</v>
      </c>
    </row>
    <row r="36" spans="2:7" ht="22.35" customHeight="1" x14ac:dyDescent="0.35">
      <c r="B36" s="327" t="s">
        <v>206</v>
      </c>
      <c r="C36" s="241">
        <v>9000000</v>
      </c>
      <c r="D36" s="248">
        <v>9000000</v>
      </c>
      <c r="E36" s="248">
        <v>9000000</v>
      </c>
      <c r="F36" s="248"/>
      <c r="G36" s="248"/>
    </row>
    <row r="37" spans="2:7" ht="22.35" customHeight="1" x14ac:dyDescent="0.35">
      <c r="B37" s="327"/>
      <c r="C37" s="241"/>
      <c r="D37" s="248"/>
      <c r="E37" s="248"/>
      <c r="F37" s="248"/>
      <c r="G37" s="248"/>
    </row>
    <row r="38" spans="2:7" ht="22.35" customHeight="1" x14ac:dyDescent="0.35">
      <c r="B38" s="328"/>
      <c r="C38" s="489"/>
      <c r="D38" s="242"/>
      <c r="E38" s="242"/>
      <c r="F38" s="242"/>
      <c r="G38" s="242"/>
    </row>
    <row r="39" spans="2:7" ht="22.5" customHeight="1" x14ac:dyDescent="0.35">
      <c r="B39" s="189" t="s">
        <v>223</v>
      </c>
      <c r="C39" s="488">
        <f>SUM(C40:C42)</f>
        <v>1000000</v>
      </c>
      <c r="D39" s="488">
        <f t="shared" ref="D39:G39" si="4">SUM(D40:D42)</f>
        <v>1000000</v>
      </c>
      <c r="E39" s="488">
        <f t="shared" si="4"/>
        <v>1000000</v>
      </c>
      <c r="F39" s="488">
        <f t="shared" si="4"/>
        <v>0</v>
      </c>
      <c r="G39" s="488">
        <f t="shared" si="4"/>
        <v>0</v>
      </c>
    </row>
    <row r="40" spans="2:7" ht="22.5" customHeight="1" x14ac:dyDescent="0.35">
      <c r="B40" s="327" t="s">
        <v>524</v>
      </c>
      <c r="C40" s="241">
        <v>1000000</v>
      </c>
      <c r="D40" s="248">
        <v>1000000</v>
      </c>
      <c r="E40" s="248">
        <v>1000000</v>
      </c>
      <c r="F40" s="248"/>
      <c r="G40" s="248"/>
    </row>
    <row r="41" spans="2:7" ht="22.5" customHeight="1" x14ac:dyDescent="0.35">
      <c r="B41" s="327"/>
      <c r="C41" s="241"/>
      <c r="D41" s="248"/>
      <c r="E41" s="248"/>
      <c r="F41" s="248"/>
      <c r="G41" s="248"/>
    </row>
    <row r="42" spans="2:7" ht="22.5" customHeight="1" x14ac:dyDescent="0.35">
      <c r="B42" s="332"/>
      <c r="C42" s="490"/>
      <c r="D42" s="491"/>
      <c r="E42" s="491"/>
      <c r="F42" s="491"/>
      <c r="G42" s="491"/>
    </row>
    <row r="43" spans="2:7" ht="22.5" customHeight="1" x14ac:dyDescent="0.35">
      <c r="B43" s="306" t="s">
        <v>207</v>
      </c>
      <c r="C43" s="488">
        <f>SUM(C44:C48)</f>
        <v>44099354</v>
      </c>
      <c r="D43" s="488">
        <f t="shared" ref="D43:G43" si="5">SUM(D44:D48)</f>
        <v>52779575</v>
      </c>
      <c r="E43" s="488">
        <f t="shared" si="5"/>
        <v>62450787</v>
      </c>
      <c r="F43" s="488">
        <f t="shared" si="5"/>
        <v>0</v>
      </c>
      <c r="G43" s="488">
        <f t="shared" si="5"/>
        <v>0</v>
      </c>
    </row>
    <row r="44" spans="2:7" ht="22.5" customHeight="1" x14ac:dyDescent="0.35">
      <c r="B44" s="333" t="s">
        <v>525</v>
      </c>
      <c r="C44" s="241">
        <v>44099354</v>
      </c>
      <c r="D44" s="248">
        <v>52779575</v>
      </c>
      <c r="E44" s="248">
        <v>62450787</v>
      </c>
      <c r="F44" s="248"/>
      <c r="G44" s="248"/>
    </row>
    <row r="45" spans="2:7" ht="22.5" customHeight="1" x14ac:dyDescent="0.35">
      <c r="B45" s="327"/>
      <c r="C45" s="241"/>
      <c r="D45" s="248"/>
      <c r="E45" s="248"/>
      <c r="F45" s="248"/>
      <c r="G45" s="248"/>
    </row>
    <row r="46" spans="2:7" ht="22.5" customHeight="1" x14ac:dyDescent="0.35">
      <c r="B46" s="327"/>
      <c r="C46" s="241"/>
      <c r="D46" s="248"/>
      <c r="E46" s="248"/>
      <c r="F46" s="248"/>
      <c r="G46" s="248"/>
    </row>
    <row r="47" spans="2:7" ht="22.5" customHeight="1" x14ac:dyDescent="0.35">
      <c r="B47" s="327"/>
      <c r="C47" s="241"/>
      <c r="D47" s="248"/>
      <c r="E47" s="248"/>
      <c r="F47" s="248"/>
      <c r="G47" s="248"/>
    </row>
    <row r="48" spans="2:7" ht="22.5" customHeight="1" x14ac:dyDescent="0.35">
      <c r="B48" s="328"/>
      <c r="C48" s="489"/>
      <c r="D48" s="242"/>
      <c r="E48" s="242"/>
      <c r="F48" s="242"/>
      <c r="G48" s="242"/>
    </row>
    <row r="49" spans="2:7" ht="22.5" customHeight="1" x14ac:dyDescent="0.35">
      <c r="B49" s="190" t="s">
        <v>224</v>
      </c>
      <c r="C49" s="492">
        <v>0</v>
      </c>
      <c r="D49" s="493">
        <v>0</v>
      </c>
      <c r="E49" s="493">
        <v>0</v>
      </c>
      <c r="F49" s="493">
        <v>0</v>
      </c>
      <c r="G49" s="493">
        <v>0</v>
      </c>
    </row>
    <row r="50" spans="2:7" ht="22.5" customHeight="1" x14ac:dyDescent="0.35">
      <c r="B50" s="182" t="s">
        <v>72</v>
      </c>
      <c r="C50" s="494">
        <f>C35+C39+C43+C49</f>
        <v>54099354</v>
      </c>
      <c r="D50" s="494">
        <f t="shared" ref="D50:G50" si="6">D35+D39+D43+D49</f>
        <v>62779575</v>
      </c>
      <c r="E50" s="494">
        <f t="shared" si="6"/>
        <v>72450787</v>
      </c>
      <c r="F50" s="494">
        <f t="shared" si="6"/>
        <v>0</v>
      </c>
      <c r="G50" s="494">
        <f t="shared" si="6"/>
        <v>0</v>
      </c>
    </row>
    <row r="51" spans="2:7" ht="22.5" customHeight="1" x14ac:dyDescent="0.35">
      <c r="B51" s="183" t="s">
        <v>73</v>
      </c>
      <c r="C51" s="495">
        <f>C25+C50</f>
        <v>142146998</v>
      </c>
      <c r="D51" s="495">
        <f t="shared" ref="D51:G51" si="7">D25+D50</f>
        <v>154605763</v>
      </c>
      <c r="E51" s="495">
        <f t="shared" si="7"/>
        <v>161228502</v>
      </c>
      <c r="F51" s="495">
        <f t="shared" si="7"/>
        <v>0</v>
      </c>
      <c r="G51" s="495">
        <f t="shared" si="7"/>
        <v>0</v>
      </c>
    </row>
    <row r="52" spans="2:7" x14ac:dyDescent="0.35">
      <c r="C52" s="496"/>
      <c r="D52" s="236"/>
      <c r="E52" s="236"/>
      <c r="F52" s="236"/>
      <c r="G52" s="236"/>
    </row>
    <row r="53" spans="2:7" x14ac:dyDescent="0.35">
      <c r="B53" s="408" t="s">
        <v>400</v>
      </c>
      <c r="C53" s="497" t="b">
        <f>EXACT(C51,'BS(借方)'!C61)</f>
        <v>1</v>
      </c>
      <c r="D53" s="497" t="b">
        <f>EXACT(D51,'BS(借方)'!D61)</f>
        <v>1</v>
      </c>
      <c r="E53" s="497" t="b">
        <f>EXACT(E51,'BS(借方)'!E61)</f>
        <v>1</v>
      </c>
      <c r="F53" s="497" t="b">
        <f>EXACT(F51,'BS(借方)'!F61)</f>
        <v>1</v>
      </c>
      <c r="G53" s="497" t="b">
        <f>EXACT(G51,'BS(借方)'!G61)</f>
        <v>1</v>
      </c>
    </row>
    <row r="54" spans="2:7" x14ac:dyDescent="0.35">
      <c r="C54" s="496"/>
      <c r="D54" s="236"/>
      <c r="E54" s="236"/>
      <c r="F54" s="236"/>
      <c r="G54" s="236"/>
    </row>
    <row r="55" spans="2:7" x14ac:dyDescent="0.35">
      <c r="C55" s="496"/>
      <c r="D55" s="236"/>
      <c r="E55" s="236"/>
      <c r="F55" s="236"/>
      <c r="G55" s="236"/>
    </row>
    <row r="56" spans="2:7" x14ac:dyDescent="0.35">
      <c r="C56" s="496"/>
      <c r="D56" s="236"/>
      <c r="E56" s="236"/>
      <c r="F56" s="236"/>
      <c r="G56" s="236"/>
    </row>
    <row r="57" spans="2:7" x14ac:dyDescent="0.35">
      <c r="C57" s="496"/>
      <c r="D57" s="236"/>
      <c r="E57" s="236"/>
      <c r="F57" s="236"/>
      <c r="G57" s="236"/>
    </row>
    <row r="58" spans="2:7" x14ac:dyDescent="0.35">
      <c r="C58" s="496"/>
      <c r="D58" s="236"/>
      <c r="E58" s="236"/>
      <c r="F58" s="236"/>
      <c r="G58" s="236"/>
    </row>
    <row r="59" spans="2:7" x14ac:dyDescent="0.35">
      <c r="C59" s="496"/>
      <c r="D59" s="236"/>
      <c r="E59" s="236"/>
      <c r="F59" s="236"/>
      <c r="G59" s="236"/>
    </row>
    <row r="60" spans="2:7" x14ac:dyDescent="0.35">
      <c r="C60" s="496"/>
      <c r="D60" s="236"/>
      <c r="E60" s="236"/>
      <c r="F60" s="236"/>
      <c r="G60" s="236"/>
    </row>
    <row r="61" spans="2:7" x14ac:dyDescent="0.35">
      <c r="C61" s="496"/>
      <c r="D61" s="236"/>
      <c r="E61" s="236"/>
      <c r="F61" s="236"/>
      <c r="G61" s="236"/>
    </row>
    <row r="62" spans="2:7" x14ac:dyDescent="0.35">
      <c r="C62" s="496"/>
      <c r="D62" s="236"/>
      <c r="E62" s="236"/>
      <c r="F62" s="236"/>
      <c r="G62" s="236"/>
    </row>
    <row r="63" spans="2:7" x14ac:dyDescent="0.35">
      <c r="C63" s="496"/>
      <c r="D63" s="236"/>
      <c r="E63" s="236"/>
      <c r="F63" s="236"/>
      <c r="G63" s="236"/>
    </row>
    <row r="64" spans="2:7" x14ac:dyDescent="0.35">
      <c r="C64" s="496"/>
      <c r="D64" s="236"/>
      <c r="E64" s="236"/>
      <c r="F64" s="236"/>
      <c r="G64" s="236"/>
    </row>
    <row r="65" spans="3:7" x14ac:dyDescent="0.35">
      <c r="C65" s="496"/>
      <c r="D65" s="236"/>
      <c r="E65" s="236"/>
      <c r="F65" s="236"/>
      <c r="G65" s="236"/>
    </row>
    <row r="66" spans="3:7" x14ac:dyDescent="0.35">
      <c r="C66" s="496"/>
      <c r="D66" s="236"/>
      <c r="E66" s="236"/>
      <c r="F66" s="236"/>
      <c r="G66" s="236"/>
    </row>
    <row r="67" spans="3:7" x14ac:dyDescent="0.35">
      <c r="C67" s="496"/>
      <c r="D67" s="236"/>
      <c r="E67" s="236"/>
      <c r="F67" s="236"/>
      <c r="G67" s="236"/>
    </row>
    <row r="68" spans="3:7" x14ac:dyDescent="0.35">
      <c r="C68" s="496"/>
      <c r="D68" s="236"/>
      <c r="E68" s="236"/>
      <c r="F68" s="236"/>
      <c r="G68" s="236"/>
    </row>
  </sheetData>
  <phoneticPr fontId="1"/>
  <pageMargins left="0.7" right="0.7" top="0.75" bottom="0.75" header="0.3" footer="0.3"/>
  <pageSetup paperSize="9" orientation="portrait" horizontalDpi="1200" verticalDpi="1200" r:id="rId1"/>
  <ignoredErrors>
    <ignoredError sqref="C43:I43 F44:I4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791C-BF3F-4315-B954-12B5F7FF96CD}">
  <dimension ref="B2:L77"/>
  <sheetViews>
    <sheetView showGridLines="0" zoomScale="70" zoomScaleNormal="70" workbookViewId="0">
      <pane ySplit="4" topLeftCell="A35" activePane="bottomLeft" state="frozen"/>
      <selection pane="bottomLeft" activeCell="A56" sqref="A56"/>
    </sheetView>
  </sheetViews>
  <sheetFormatPr defaultRowHeight="18" x14ac:dyDescent="0.35"/>
  <cols>
    <col min="2" max="2" width="28" style="184" bestFit="1" customWidth="1"/>
    <col min="3" max="7" width="15" customWidth="1"/>
    <col min="8" max="9" width="15" style="177" customWidth="1"/>
    <col min="10" max="12" width="15" customWidth="1"/>
    <col min="13" max="13" width="16.125" customWidth="1"/>
    <col min="14" max="14" width="8.875" customWidth="1"/>
  </cols>
  <sheetData>
    <row r="2" spans="2:12" ht="18.75" x14ac:dyDescent="0.35">
      <c r="B2"/>
      <c r="C2" s="177"/>
      <c r="D2" s="192"/>
      <c r="G2" s="177"/>
      <c r="H2" s="73" t="s">
        <v>66</v>
      </c>
      <c r="I2"/>
      <c r="K2" s="177"/>
      <c r="L2" s="192"/>
    </row>
    <row r="3" spans="2:12" ht="19.5" x14ac:dyDescent="0.35">
      <c r="B3" s="564" t="s">
        <v>208</v>
      </c>
      <c r="C3" s="195" t="str">
        <f>'BS(借方)'!C4</f>
        <v>23年12月期</v>
      </c>
      <c r="D3" s="197"/>
      <c r="E3" s="198" t="str">
        <f>'BS(借方)'!D4</f>
        <v>24年12月期</v>
      </c>
      <c r="F3" s="176"/>
      <c r="G3" s="199" t="str">
        <f>'BS(借方)'!E4</f>
        <v>25年12月期</v>
      </c>
      <c r="H3" s="200"/>
      <c r="I3" s="201" t="str">
        <f>'BS(借方)'!F4</f>
        <v>●●年●月期</v>
      </c>
      <c r="J3" s="202"/>
      <c r="K3" s="201" t="str">
        <f>'BS(借方)'!G4</f>
        <v>●●年●月
（●か月TB）</v>
      </c>
      <c r="L3" s="204"/>
    </row>
    <row r="4" spans="2:12" ht="19.5" x14ac:dyDescent="0.35">
      <c r="B4" s="565"/>
      <c r="C4" s="196" t="s">
        <v>226</v>
      </c>
      <c r="D4" s="193" t="s">
        <v>227</v>
      </c>
      <c r="E4" s="196" t="s">
        <v>226</v>
      </c>
      <c r="F4" s="196" t="s">
        <v>227</v>
      </c>
      <c r="G4" s="196" t="s">
        <v>226</v>
      </c>
      <c r="H4" s="193" t="s">
        <v>227</v>
      </c>
      <c r="I4" s="196" t="s">
        <v>226</v>
      </c>
      <c r="J4" s="193" t="s">
        <v>227</v>
      </c>
      <c r="K4" s="205" t="s">
        <v>226</v>
      </c>
      <c r="L4" s="194" t="s">
        <v>227</v>
      </c>
    </row>
    <row r="5" spans="2:12" ht="22.5" customHeight="1" x14ac:dyDescent="0.35">
      <c r="B5" s="206" t="s">
        <v>542</v>
      </c>
      <c r="C5" s="296">
        <v>325866987</v>
      </c>
      <c r="D5" s="251">
        <f>IF(C5=0,"",C5/C$11)</f>
        <v>1</v>
      </c>
      <c r="E5" s="296">
        <v>346561600</v>
      </c>
      <c r="F5" s="251">
        <f>IF(E5=0,"",E5/E$11)</f>
        <v>1</v>
      </c>
      <c r="G5" s="296">
        <v>357540639</v>
      </c>
      <c r="H5" s="251">
        <f>IF(G5=0,"",G5/G$11)</f>
        <v>1</v>
      </c>
      <c r="I5" s="296"/>
      <c r="J5" s="251" t="str">
        <f>IF(I5=0,"",I5/I$11)</f>
        <v/>
      </c>
      <c r="K5" s="296"/>
      <c r="L5" s="251" t="str">
        <f>IF(K5=0,"",K5/K$11)</f>
        <v/>
      </c>
    </row>
    <row r="6" spans="2:12" ht="22.5" customHeight="1" x14ac:dyDescent="0.35">
      <c r="B6" s="207"/>
      <c r="C6" s="248"/>
      <c r="D6" s="251" t="str">
        <f t="shared" ref="D6:D56" si="0">IF(C6=0,"",C6/C$11)</f>
        <v/>
      </c>
      <c r="E6" s="248"/>
      <c r="F6" s="251" t="str">
        <f t="shared" ref="F6:F56" si="1">IF(E6=0,"",E6/E$11)</f>
        <v/>
      </c>
      <c r="G6" s="248"/>
      <c r="H6" s="251" t="str">
        <f t="shared" ref="H6:H56" si="2">IF(G6=0,"",G6/G$11)</f>
        <v/>
      </c>
      <c r="I6" s="248"/>
      <c r="J6" s="251" t="str">
        <f t="shared" ref="J6:J56" si="3">IF(I6=0,"",I6/I$11)</f>
        <v/>
      </c>
      <c r="K6" s="248"/>
      <c r="L6" s="251" t="str">
        <f t="shared" ref="L6:L56" si="4">IF(K6=0,"",K6/K$11)</f>
        <v/>
      </c>
    </row>
    <row r="7" spans="2:12" ht="22.5" customHeight="1" x14ac:dyDescent="0.35">
      <c r="B7" s="207"/>
      <c r="C7" s="248"/>
      <c r="D7" s="251" t="str">
        <f t="shared" ref="D7:D8" si="5">IF(C7=0,"",C7/C$11)</f>
        <v/>
      </c>
      <c r="E7" s="248"/>
      <c r="F7" s="251" t="str">
        <f t="shared" ref="F7:F8" si="6">IF(E7=0,"",E7/E$11)</f>
        <v/>
      </c>
      <c r="G7" s="248"/>
      <c r="H7" s="251" t="str">
        <f t="shared" ref="H7:H8" si="7">IF(G7=0,"",G7/G$11)</f>
        <v/>
      </c>
      <c r="I7" s="248"/>
      <c r="J7" s="251" t="str">
        <f t="shared" ref="J7:J8" si="8">IF(I7=0,"",I7/I$11)</f>
        <v/>
      </c>
      <c r="K7" s="248"/>
      <c r="L7" s="251" t="str">
        <f t="shared" ref="L7:L8" si="9">IF(K7=0,"",K7/K$11)</f>
        <v/>
      </c>
    </row>
    <row r="8" spans="2:12" ht="22.5" customHeight="1" x14ac:dyDescent="0.35">
      <c r="B8" s="207"/>
      <c r="C8" s="248"/>
      <c r="D8" s="251" t="str">
        <f t="shared" si="5"/>
        <v/>
      </c>
      <c r="E8" s="248"/>
      <c r="F8" s="251" t="str">
        <f t="shared" si="6"/>
        <v/>
      </c>
      <c r="G8" s="248"/>
      <c r="H8" s="251" t="str">
        <f t="shared" si="7"/>
        <v/>
      </c>
      <c r="I8" s="248"/>
      <c r="J8" s="251" t="str">
        <f t="shared" si="8"/>
        <v/>
      </c>
      <c r="K8" s="248"/>
      <c r="L8" s="251" t="str">
        <f t="shared" si="9"/>
        <v/>
      </c>
    </row>
    <row r="9" spans="2:12" ht="22.5" customHeight="1" x14ac:dyDescent="0.35">
      <c r="B9" s="207"/>
      <c r="C9" s="248"/>
      <c r="D9" s="251" t="str">
        <f t="shared" si="0"/>
        <v/>
      </c>
      <c r="E9" s="248"/>
      <c r="F9" s="251" t="str">
        <f t="shared" si="1"/>
        <v/>
      </c>
      <c r="G9" s="248"/>
      <c r="H9" s="251" t="str">
        <f t="shared" si="2"/>
        <v/>
      </c>
      <c r="I9" s="248"/>
      <c r="J9" s="251" t="str">
        <f t="shared" si="3"/>
        <v/>
      </c>
      <c r="K9" s="248"/>
      <c r="L9" s="251" t="str">
        <f t="shared" si="4"/>
        <v/>
      </c>
    </row>
    <row r="10" spans="2:12" ht="22.5" customHeight="1" x14ac:dyDescent="0.35">
      <c r="B10" s="208"/>
      <c r="C10" s="242"/>
      <c r="D10" s="59" t="str">
        <f t="shared" si="0"/>
        <v/>
      </c>
      <c r="E10" s="242"/>
      <c r="F10" s="59" t="str">
        <f t="shared" si="1"/>
        <v/>
      </c>
      <c r="G10" s="242"/>
      <c r="H10" s="59" t="str">
        <f t="shared" si="2"/>
        <v/>
      </c>
      <c r="I10" s="242"/>
      <c r="J10" s="59" t="str">
        <f t="shared" si="3"/>
        <v/>
      </c>
      <c r="K10" s="242"/>
      <c r="L10" s="59" t="str">
        <f t="shared" si="4"/>
        <v/>
      </c>
    </row>
    <row r="11" spans="2:12" ht="22.5" customHeight="1" x14ac:dyDescent="0.35">
      <c r="B11" s="211" t="s">
        <v>39</v>
      </c>
      <c r="C11" s="240">
        <f>SUM(C5:C10)</f>
        <v>325866987</v>
      </c>
      <c r="D11" s="157">
        <f>IF(C11=0,"",C11/C$11)</f>
        <v>1</v>
      </c>
      <c r="E11" s="240">
        <f>SUM(E5:E10)</f>
        <v>346561600</v>
      </c>
      <c r="F11" s="157">
        <f t="shared" si="1"/>
        <v>1</v>
      </c>
      <c r="G11" s="240">
        <f>SUM(G5:G10)</f>
        <v>357540639</v>
      </c>
      <c r="H11" s="157">
        <f t="shared" si="2"/>
        <v>1</v>
      </c>
      <c r="I11" s="240">
        <f>SUM(I5:I10)</f>
        <v>0</v>
      </c>
      <c r="J11" s="157" t="str">
        <f t="shared" si="3"/>
        <v/>
      </c>
      <c r="K11" s="240">
        <f>SUM(K5:K10)</f>
        <v>0</v>
      </c>
      <c r="L11" s="157" t="str">
        <f t="shared" si="4"/>
        <v/>
      </c>
    </row>
    <row r="12" spans="2:12" ht="22.5" customHeight="1" x14ac:dyDescent="0.35">
      <c r="B12" s="210" t="s">
        <v>543</v>
      </c>
      <c r="C12" s="248">
        <v>28930577</v>
      </c>
      <c r="D12" s="251">
        <f t="shared" si="0"/>
        <v>8.8780324961239471E-2</v>
      </c>
      <c r="E12" s="248">
        <v>32079836</v>
      </c>
      <c r="F12" s="251">
        <f t="shared" si="1"/>
        <v>9.2566043093060518E-2</v>
      </c>
      <c r="G12" s="248">
        <v>30240016</v>
      </c>
      <c r="H12" s="251">
        <f t="shared" si="2"/>
        <v>8.4577842912005319E-2</v>
      </c>
      <c r="I12" s="248"/>
      <c r="J12" s="251" t="str">
        <f t="shared" si="3"/>
        <v/>
      </c>
      <c r="K12" s="248"/>
      <c r="L12" s="251" t="str">
        <f t="shared" si="4"/>
        <v/>
      </c>
    </row>
    <row r="13" spans="2:12" ht="22.5" customHeight="1" x14ac:dyDescent="0.35">
      <c r="B13" s="563" t="s">
        <v>544</v>
      </c>
      <c r="C13" s="248">
        <v>162685310</v>
      </c>
      <c r="D13" s="251">
        <f t="shared" si="0"/>
        <v>0.49923839017175436</v>
      </c>
      <c r="E13" s="248">
        <v>179686065</v>
      </c>
      <c r="F13" s="251">
        <f t="shared" si="1"/>
        <v>0.5184823275284971</v>
      </c>
      <c r="G13" s="248">
        <v>193114742</v>
      </c>
      <c r="H13" s="251">
        <f t="shared" si="2"/>
        <v>0.54011969811353389</v>
      </c>
      <c r="I13" s="248"/>
      <c r="J13" s="251" t="str">
        <f t="shared" si="3"/>
        <v/>
      </c>
      <c r="K13" s="248"/>
      <c r="L13" s="251" t="str">
        <f t="shared" si="4"/>
        <v/>
      </c>
    </row>
    <row r="14" spans="2:12" ht="22.5" customHeight="1" x14ac:dyDescent="0.35">
      <c r="B14" s="563" t="s">
        <v>545</v>
      </c>
      <c r="C14" s="248">
        <v>-18920</v>
      </c>
      <c r="D14" s="251">
        <f t="shared" ref="D14" si="10">IF(C14=0,"",C14/C$11)</f>
        <v>-5.8060499390200582E-5</v>
      </c>
      <c r="E14" s="248"/>
      <c r="F14" s="251" t="str">
        <f t="shared" ref="F14" si="11">IF(E14=0,"",E14/E$11)</f>
        <v/>
      </c>
      <c r="G14" s="248"/>
      <c r="H14" s="251" t="str">
        <f t="shared" ref="H14" si="12">IF(G14=0,"",G14/G$11)</f>
        <v/>
      </c>
      <c r="I14" s="248"/>
      <c r="J14" s="251" t="str">
        <f t="shared" ref="J14" si="13">IF(I14=0,"",I14/I$11)</f>
        <v/>
      </c>
      <c r="K14" s="248"/>
      <c r="L14" s="251" t="str">
        <f t="shared" ref="L14" si="14">IF(K14=0,"",K14/K$11)</f>
        <v/>
      </c>
    </row>
    <row r="15" spans="2:12" ht="22.5" customHeight="1" x14ac:dyDescent="0.35">
      <c r="B15" s="563" t="s">
        <v>546</v>
      </c>
      <c r="C15" s="248">
        <v>-32079836</v>
      </c>
      <c r="D15" s="251">
        <f t="shared" si="0"/>
        <v>-9.8444571803157216E-2</v>
      </c>
      <c r="E15" s="248">
        <v>-30240016</v>
      </c>
      <c r="F15" s="251">
        <f t="shared" si="1"/>
        <v>-8.7257261046809573E-2</v>
      </c>
      <c r="G15" s="248">
        <v>-26584168</v>
      </c>
      <c r="H15" s="251">
        <f t="shared" si="2"/>
        <v>-7.4352856990894403E-2</v>
      </c>
      <c r="I15" s="248"/>
      <c r="J15" s="251" t="str">
        <f t="shared" si="3"/>
        <v/>
      </c>
      <c r="K15" s="248"/>
      <c r="L15" s="251" t="str">
        <f t="shared" si="4"/>
        <v/>
      </c>
    </row>
    <row r="16" spans="2:12" ht="22.5" customHeight="1" x14ac:dyDescent="0.35">
      <c r="B16" s="209" t="s">
        <v>228</v>
      </c>
      <c r="C16" s="279">
        <f>SUM(C12:C15)</f>
        <v>159517131</v>
      </c>
      <c r="D16" s="546">
        <f t="shared" si="0"/>
        <v>0.4895160828304464</v>
      </c>
      <c r="E16" s="279">
        <f>SUM(E12:E15)</f>
        <v>181525885</v>
      </c>
      <c r="F16" s="546">
        <f t="shared" si="1"/>
        <v>0.52379110957474806</v>
      </c>
      <c r="G16" s="279">
        <f>SUM(G12:G15)</f>
        <v>196770590</v>
      </c>
      <c r="H16" s="546">
        <f t="shared" si="2"/>
        <v>0.55034468403464476</v>
      </c>
      <c r="I16" s="279">
        <f>SUM(I12:I15)</f>
        <v>0</v>
      </c>
      <c r="J16" s="546" t="str">
        <f t="shared" si="3"/>
        <v/>
      </c>
      <c r="K16" s="279">
        <f>SUM(K12:K15)</f>
        <v>0</v>
      </c>
      <c r="L16" s="546" t="str">
        <f t="shared" si="4"/>
        <v/>
      </c>
    </row>
    <row r="17" spans="2:12" ht="22.5" customHeight="1" x14ac:dyDescent="0.35">
      <c r="B17" s="211" t="s">
        <v>52</v>
      </c>
      <c r="C17" s="240">
        <f>C11-C16</f>
        <v>166349856</v>
      </c>
      <c r="D17" s="157">
        <f t="shared" si="0"/>
        <v>0.51048391716955355</v>
      </c>
      <c r="E17" s="240">
        <f>E11-E16</f>
        <v>165035715</v>
      </c>
      <c r="F17" s="157">
        <f t="shared" si="1"/>
        <v>0.47620889042525194</v>
      </c>
      <c r="G17" s="240">
        <f>G11-G16</f>
        <v>160770049</v>
      </c>
      <c r="H17" s="157">
        <f t="shared" si="2"/>
        <v>0.44965531596535518</v>
      </c>
      <c r="I17" s="240">
        <f>I11-I16</f>
        <v>0</v>
      </c>
      <c r="J17" s="157" t="str">
        <f t="shared" si="3"/>
        <v/>
      </c>
      <c r="K17" s="240">
        <f>K11-K16</f>
        <v>0</v>
      </c>
      <c r="L17" s="157" t="str">
        <f t="shared" si="4"/>
        <v/>
      </c>
    </row>
    <row r="18" spans="2:12" ht="22.5" customHeight="1" x14ac:dyDescent="0.35">
      <c r="B18" s="209" t="s">
        <v>229</v>
      </c>
      <c r="C18" s="280">
        <f>SGA!C40</f>
        <v>145464229</v>
      </c>
      <c r="D18" s="547">
        <f t="shared" si="0"/>
        <v>0.44639142595932862</v>
      </c>
      <c r="E18" s="280">
        <f>SGA!E40</f>
        <v>154261272</v>
      </c>
      <c r="F18" s="547">
        <f t="shared" si="1"/>
        <v>0.44511934386267837</v>
      </c>
      <c r="G18" s="280">
        <f>SGA!G40</f>
        <v>147845764</v>
      </c>
      <c r="H18" s="547">
        <f t="shared" si="2"/>
        <v>0.41350757892447576</v>
      </c>
      <c r="I18" s="280">
        <f>SGA!I40</f>
        <v>0</v>
      </c>
      <c r="J18" s="547" t="str">
        <f t="shared" si="3"/>
        <v/>
      </c>
      <c r="K18" s="280">
        <f>SGA!K40</f>
        <v>0</v>
      </c>
      <c r="L18" s="547" t="str">
        <f t="shared" si="4"/>
        <v/>
      </c>
    </row>
    <row r="19" spans="2:12" ht="22.5" customHeight="1" x14ac:dyDescent="0.35">
      <c r="B19" s="211" t="s">
        <v>230</v>
      </c>
      <c r="C19" s="240">
        <f>C17- C18</f>
        <v>20885627</v>
      </c>
      <c r="D19" s="157">
        <f t="shared" si="0"/>
        <v>6.4092491210224992E-2</v>
      </c>
      <c r="E19" s="240">
        <f>E17- E18</f>
        <v>10774443</v>
      </c>
      <c r="F19" s="157">
        <f t="shared" si="1"/>
        <v>3.1089546562573581E-2</v>
      </c>
      <c r="G19" s="240">
        <f>G17- G18</f>
        <v>12924285</v>
      </c>
      <c r="H19" s="157">
        <f t="shared" si="2"/>
        <v>3.6147737040879431E-2</v>
      </c>
      <c r="I19" s="240">
        <f>I17- I18</f>
        <v>0</v>
      </c>
      <c r="J19" s="157" t="str">
        <f t="shared" si="3"/>
        <v/>
      </c>
      <c r="K19" s="240">
        <f>K17- K18</f>
        <v>0</v>
      </c>
      <c r="L19" s="157" t="str">
        <f t="shared" si="4"/>
        <v/>
      </c>
    </row>
    <row r="20" spans="2:12" ht="22.5" customHeight="1" x14ac:dyDescent="0.35">
      <c r="B20" s="209" t="s">
        <v>231</v>
      </c>
      <c r="C20" s="280">
        <f>SUM(C21:C27)</f>
        <v>1273342</v>
      </c>
      <c r="D20" s="547">
        <f t="shared" si="0"/>
        <v>3.9075513961161091E-3</v>
      </c>
      <c r="E20" s="280">
        <f>SUM(E21:E27)</f>
        <v>2398375</v>
      </c>
      <c r="F20" s="547">
        <f t="shared" si="1"/>
        <v>6.9204868629415377E-3</v>
      </c>
      <c r="G20" s="280">
        <f>SUM(G21:G27)</f>
        <v>1051276</v>
      </c>
      <c r="H20" s="547">
        <f t="shared" si="2"/>
        <v>2.940297927923097E-3</v>
      </c>
      <c r="I20" s="280">
        <f>SUM(I21:I27)</f>
        <v>0</v>
      </c>
      <c r="J20" s="547" t="str">
        <f t="shared" si="3"/>
        <v/>
      </c>
      <c r="K20" s="280">
        <f>SUM(K21:K27)</f>
        <v>0</v>
      </c>
      <c r="L20" s="547" t="str">
        <f t="shared" si="4"/>
        <v/>
      </c>
    </row>
    <row r="21" spans="2:12" ht="22.5" customHeight="1" x14ac:dyDescent="0.35">
      <c r="B21" s="212" t="s">
        <v>547</v>
      </c>
      <c r="C21" s="248">
        <v>292</v>
      </c>
      <c r="D21" s="251">
        <f t="shared" si="0"/>
        <v>8.9607113223776795E-7</v>
      </c>
      <c r="E21" s="248">
        <v>3285</v>
      </c>
      <c r="F21" s="251">
        <f t="shared" si="1"/>
        <v>9.4788343544120287E-6</v>
      </c>
      <c r="G21" s="248">
        <v>76490</v>
      </c>
      <c r="H21" s="251">
        <f t="shared" si="2"/>
        <v>2.139337229298849E-4</v>
      </c>
      <c r="I21" s="248"/>
      <c r="J21" s="251" t="str">
        <f t="shared" si="3"/>
        <v/>
      </c>
      <c r="K21" s="248"/>
      <c r="L21" s="251" t="str">
        <f t="shared" si="4"/>
        <v/>
      </c>
    </row>
    <row r="22" spans="2:12" ht="22.5" customHeight="1" x14ac:dyDescent="0.35">
      <c r="B22" s="214" t="s">
        <v>548</v>
      </c>
      <c r="C22" s="248">
        <v>211750</v>
      </c>
      <c r="D22" s="251">
        <f t="shared" ref="D22:D25" si="15">IF(C22=0,"",C22/C$11)</f>
        <v>6.4980500771009368E-4</v>
      </c>
      <c r="E22" s="248">
        <v>52250</v>
      </c>
      <c r="F22" s="251">
        <f t="shared" ref="F22:F25" si="16">IF(E22=0,"",E22/E$11)</f>
        <v>1.5076684779848662E-4</v>
      </c>
      <c r="G22" s="248"/>
      <c r="H22" s="251" t="str">
        <f t="shared" ref="H22:H25" si="17">IF(G22=0,"",G22/G$11)</f>
        <v/>
      </c>
      <c r="I22" s="248"/>
      <c r="J22" s="251" t="str">
        <f t="shared" ref="J22:J25" si="18">IF(I22=0,"",I22/I$11)</f>
        <v/>
      </c>
      <c r="K22" s="248"/>
      <c r="L22" s="251" t="str">
        <f t="shared" ref="L22:L25" si="19">IF(K22=0,"",K22/K$11)</f>
        <v/>
      </c>
    </row>
    <row r="23" spans="2:12" ht="22.5" customHeight="1" x14ac:dyDescent="0.35">
      <c r="B23" s="214" t="s">
        <v>234</v>
      </c>
      <c r="C23" s="248">
        <v>448000</v>
      </c>
      <c r="D23" s="251">
        <f t="shared" si="15"/>
        <v>1.3747940658990411E-3</v>
      </c>
      <c r="E23" s="248">
        <v>457000</v>
      </c>
      <c r="F23" s="251">
        <f t="shared" si="16"/>
        <v>1.3186688888786294E-3</v>
      </c>
      <c r="G23" s="248">
        <v>498000</v>
      </c>
      <c r="H23" s="251">
        <f t="shared" si="17"/>
        <v>1.3928486602050292E-3</v>
      </c>
      <c r="I23" s="248"/>
      <c r="J23" s="251" t="str">
        <f t="shared" si="18"/>
        <v/>
      </c>
      <c r="K23" s="248"/>
      <c r="L23" s="251" t="str">
        <f t="shared" si="19"/>
        <v/>
      </c>
    </row>
    <row r="24" spans="2:12" ht="22.5" customHeight="1" x14ac:dyDescent="0.35">
      <c r="B24" s="214" t="s">
        <v>549</v>
      </c>
      <c r="C24" s="248">
        <v>613300</v>
      </c>
      <c r="D24" s="251">
        <f t="shared" si="15"/>
        <v>1.8820562513747366E-3</v>
      </c>
      <c r="E24" s="248">
        <v>1885840</v>
      </c>
      <c r="F24" s="251">
        <f t="shared" si="16"/>
        <v>5.4415722919100096E-3</v>
      </c>
      <c r="G24" s="248">
        <v>476786</v>
      </c>
      <c r="H24" s="251">
        <f t="shared" si="17"/>
        <v>1.3335155447881828E-3</v>
      </c>
      <c r="I24" s="248"/>
      <c r="J24" s="251" t="str">
        <f t="shared" si="18"/>
        <v/>
      </c>
      <c r="K24" s="248"/>
      <c r="L24" s="251" t="str">
        <f t="shared" si="19"/>
        <v/>
      </c>
    </row>
    <row r="25" spans="2:12" ht="22.5" customHeight="1" x14ac:dyDescent="0.35">
      <c r="B25" s="214"/>
      <c r="C25" s="248"/>
      <c r="D25" s="251" t="str">
        <f t="shared" si="15"/>
        <v/>
      </c>
      <c r="E25" s="248"/>
      <c r="F25" s="251" t="str">
        <f t="shared" si="16"/>
        <v/>
      </c>
      <c r="G25" s="248"/>
      <c r="H25" s="251" t="str">
        <f t="shared" si="17"/>
        <v/>
      </c>
      <c r="I25" s="248"/>
      <c r="J25" s="251" t="str">
        <f t="shared" si="18"/>
        <v/>
      </c>
      <c r="K25" s="248"/>
      <c r="L25" s="251" t="str">
        <f t="shared" si="19"/>
        <v/>
      </c>
    </row>
    <row r="26" spans="2:12" ht="22.5" customHeight="1" x14ac:dyDescent="0.35">
      <c r="B26" s="214"/>
      <c r="C26" s="248"/>
      <c r="D26" s="251" t="str">
        <f t="shared" si="0"/>
        <v/>
      </c>
      <c r="E26" s="248"/>
      <c r="F26" s="251" t="str">
        <f t="shared" si="1"/>
        <v/>
      </c>
      <c r="G26" s="248"/>
      <c r="H26" s="251" t="str">
        <f t="shared" si="2"/>
        <v/>
      </c>
      <c r="I26" s="248"/>
      <c r="J26" s="251" t="str">
        <f t="shared" si="3"/>
        <v/>
      </c>
      <c r="K26" s="248"/>
      <c r="L26" s="251" t="str">
        <f t="shared" si="4"/>
        <v/>
      </c>
    </row>
    <row r="27" spans="2:12" ht="22.5" customHeight="1" x14ac:dyDescent="0.35">
      <c r="B27" s="213"/>
      <c r="C27" s="242"/>
      <c r="D27" s="59" t="str">
        <f t="shared" si="0"/>
        <v/>
      </c>
      <c r="E27" s="242"/>
      <c r="F27" s="59" t="str">
        <f t="shared" si="1"/>
        <v/>
      </c>
      <c r="G27" s="242"/>
      <c r="H27" s="59" t="str">
        <f t="shared" si="2"/>
        <v/>
      </c>
      <c r="I27" s="242"/>
      <c r="J27" s="59" t="str">
        <f t="shared" si="3"/>
        <v/>
      </c>
      <c r="K27" s="242"/>
      <c r="L27" s="59" t="str">
        <f t="shared" si="4"/>
        <v/>
      </c>
    </row>
    <row r="28" spans="2:12" ht="22.5" customHeight="1" x14ac:dyDescent="0.35">
      <c r="B28" s="209" t="s">
        <v>232</v>
      </c>
      <c r="C28" s="280">
        <f>SUM(C29:C35)</f>
        <v>230000</v>
      </c>
      <c r="D28" s="547">
        <f t="shared" si="0"/>
        <v>7.0580945347495415E-4</v>
      </c>
      <c r="E28" s="280">
        <f>SUM(E29:E35)</f>
        <v>2287900</v>
      </c>
      <c r="F28" s="547">
        <f t="shared" si="1"/>
        <v>6.6017123651322014E-3</v>
      </c>
      <c r="G28" s="280">
        <f>SUM(G29:G35)</f>
        <v>90040</v>
      </c>
      <c r="H28" s="547">
        <f t="shared" si="2"/>
        <v>2.5183151278084502E-4</v>
      </c>
      <c r="I28" s="280">
        <f>SUM(I29:I35)</f>
        <v>0</v>
      </c>
      <c r="J28" s="547" t="str">
        <f t="shared" si="3"/>
        <v/>
      </c>
      <c r="K28" s="280">
        <f>SUM(K29:K35)</f>
        <v>0</v>
      </c>
      <c r="L28" s="547" t="str">
        <f t="shared" si="4"/>
        <v/>
      </c>
    </row>
    <row r="29" spans="2:12" ht="22.5" customHeight="1" x14ac:dyDescent="0.35">
      <c r="B29" s="212" t="s">
        <v>550</v>
      </c>
      <c r="C29" s="248">
        <v>80000</v>
      </c>
      <c r="D29" s="251">
        <f t="shared" si="0"/>
        <v>2.4549894033911449E-4</v>
      </c>
      <c r="E29" s="248">
        <v>80000</v>
      </c>
      <c r="F29" s="251">
        <f t="shared" si="1"/>
        <v>2.3083919280151061E-4</v>
      </c>
      <c r="G29" s="248">
        <v>80000</v>
      </c>
      <c r="H29" s="251">
        <f t="shared" si="2"/>
        <v>2.2375078878795649E-4</v>
      </c>
      <c r="I29" s="248"/>
      <c r="J29" s="251" t="str">
        <f t="shared" si="3"/>
        <v/>
      </c>
      <c r="K29" s="248"/>
      <c r="L29" s="251" t="str">
        <f t="shared" si="4"/>
        <v/>
      </c>
    </row>
    <row r="30" spans="2:12" ht="22.5" customHeight="1" x14ac:dyDescent="0.35">
      <c r="B30" s="214" t="s">
        <v>551</v>
      </c>
      <c r="C30" s="248">
        <v>150000</v>
      </c>
      <c r="D30" s="251">
        <f t="shared" ref="D30:D33" si="20">IF(C30=0,"",C30/C$11)</f>
        <v>4.6031051313583966E-4</v>
      </c>
      <c r="E30" s="248">
        <v>1649900</v>
      </c>
      <c r="F30" s="251">
        <f t="shared" ref="F30:F33" si="21">IF(E30=0,"",E30/E$11)</f>
        <v>4.7607698025401548E-3</v>
      </c>
      <c r="G30" s="248">
        <v>10040</v>
      </c>
      <c r="H30" s="251">
        <f t="shared" ref="H30:H33" si="22">IF(G30=0,"",G30/G$11)</f>
        <v>2.8080723992888541E-5</v>
      </c>
      <c r="I30" s="248"/>
      <c r="J30" s="251" t="str">
        <f t="shared" ref="J30:J33" si="23">IF(I30=0,"",I30/I$11)</f>
        <v/>
      </c>
      <c r="K30" s="248"/>
      <c r="L30" s="251" t="str">
        <f t="shared" ref="L30:L33" si="24">IF(K30=0,"",K30/K$11)</f>
        <v/>
      </c>
    </row>
    <row r="31" spans="2:12" ht="22.5" customHeight="1" x14ac:dyDescent="0.35">
      <c r="B31" s="214" t="s">
        <v>552</v>
      </c>
      <c r="C31" s="248"/>
      <c r="D31" s="251" t="str">
        <f t="shared" si="20"/>
        <v/>
      </c>
      <c r="E31" s="248">
        <v>558000</v>
      </c>
      <c r="F31" s="251">
        <f t="shared" si="21"/>
        <v>1.6101033697905366E-3</v>
      </c>
      <c r="G31" s="248"/>
      <c r="H31" s="251" t="str">
        <f t="shared" si="22"/>
        <v/>
      </c>
      <c r="I31" s="248"/>
      <c r="J31" s="251" t="str">
        <f t="shared" si="23"/>
        <v/>
      </c>
      <c r="K31" s="248"/>
      <c r="L31" s="251" t="str">
        <f t="shared" si="24"/>
        <v/>
      </c>
    </row>
    <row r="32" spans="2:12" ht="22.5" customHeight="1" x14ac:dyDescent="0.35">
      <c r="B32" s="214"/>
      <c r="C32" s="248"/>
      <c r="D32" s="251" t="str">
        <f t="shared" si="20"/>
        <v/>
      </c>
      <c r="E32" s="248"/>
      <c r="F32" s="251" t="str">
        <f t="shared" si="21"/>
        <v/>
      </c>
      <c r="G32" s="248"/>
      <c r="H32" s="251" t="str">
        <f t="shared" si="22"/>
        <v/>
      </c>
      <c r="I32" s="248"/>
      <c r="J32" s="251" t="str">
        <f t="shared" si="23"/>
        <v/>
      </c>
      <c r="K32" s="248"/>
      <c r="L32" s="251" t="str">
        <f t="shared" si="24"/>
        <v/>
      </c>
    </row>
    <row r="33" spans="2:12" ht="22.5" customHeight="1" x14ac:dyDescent="0.35">
      <c r="B33" s="214"/>
      <c r="C33" s="248"/>
      <c r="D33" s="251" t="str">
        <f t="shared" si="20"/>
        <v/>
      </c>
      <c r="E33" s="248"/>
      <c r="F33" s="251" t="str">
        <f t="shared" si="21"/>
        <v/>
      </c>
      <c r="G33" s="248"/>
      <c r="H33" s="251" t="str">
        <f t="shared" si="22"/>
        <v/>
      </c>
      <c r="I33" s="248"/>
      <c r="J33" s="251" t="str">
        <f t="shared" si="23"/>
        <v/>
      </c>
      <c r="K33" s="248"/>
      <c r="L33" s="251" t="str">
        <f t="shared" si="24"/>
        <v/>
      </c>
    </row>
    <row r="34" spans="2:12" ht="22.5" customHeight="1" x14ac:dyDescent="0.35">
      <c r="B34" s="214"/>
      <c r="C34" s="248"/>
      <c r="D34" s="251" t="str">
        <f t="shared" si="0"/>
        <v/>
      </c>
      <c r="E34" s="248"/>
      <c r="F34" s="251" t="str">
        <f t="shared" si="1"/>
        <v/>
      </c>
      <c r="G34" s="248"/>
      <c r="H34" s="251" t="str">
        <f t="shared" si="2"/>
        <v/>
      </c>
      <c r="I34" s="248"/>
      <c r="J34" s="251" t="str">
        <f t="shared" si="3"/>
        <v/>
      </c>
      <c r="K34" s="248"/>
      <c r="L34" s="251" t="str">
        <f t="shared" si="4"/>
        <v/>
      </c>
    </row>
    <row r="35" spans="2:12" ht="22.5" customHeight="1" x14ac:dyDescent="0.35">
      <c r="B35" s="213"/>
      <c r="C35" s="242"/>
      <c r="D35" s="59" t="str">
        <f t="shared" si="0"/>
        <v/>
      </c>
      <c r="E35" s="242"/>
      <c r="F35" s="59" t="str">
        <f t="shared" si="1"/>
        <v/>
      </c>
      <c r="G35" s="242"/>
      <c r="H35" s="59" t="str">
        <f t="shared" si="2"/>
        <v/>
      </c>
      <c r="I35" s="242"/>
      <c r="J35" s="59" t="str">
        <f t="shared" si="3"/>
        <v/>
      </c>
      <c r="K35" s="242"/>
      <c r="L35" s="59" t="str">
        <f t="shared" si="4"/>
        <v/>
      </c>
    </row>
    <row r="36" spans="2:12" ht="22.5" customHeight="1" x14ac:dyDescent="0.35">
      <c r="B36" s="211" t="s">
        <v>54</v>
      </c>
      <c r="C36" s="240">
        <f>C19+C20-C28</f>
        <v>21928969</v>
      </c>
      <c r="D36" s="157">
        <f t="shared" si="0"/>
        <v>6.7294233152866145E-2</v>
      </c>
      <c r="E36" s="240">
        <f>E19+E20-E28</f>
        <v>10884918</v>
      </c>
      <c r="F36" s="157">
        <f t="shared" si="1"/>
        <v>3.1408321060382917E-2</v>
      </c>
      <c r="G36" s="240">
        <f>G19+G20-G28</f>
        <v>13885521</v>
      </c>
      <c r="H36" s="157">
        <f t="shared" si="2"/>
        <v>3.8836203456021678E-2</v>
      </c>
      <c r="I36" s="240">
        <f>I19+I20-I28</f>
        <v>0</v>
      </c>
      <c r="J36" s="157" t="str">
        <f t="shared" si="3"/>
        <v/>
      </c>
      <c r="K36" s="240">
        <f>K19+K20-K28</f>
        <v>0</v>
      </c>
      <c r="L36" s="157" t="str">
        <f t="shared" si="4"/>
        <v/>
      </c>
    </row>
    <row r="37" spans="2:12" ht="22.5" customHeight="1" x14ac:dyDescent="0.35">
      <c r="B37" s="209" t="s">
        <v>233</v>
      </c>
      <c r="C37" s="279">
        <f>SUM(C38:C43)</f>
        <v>0</v>
      </c>
      <c r="D37" s="546" t="str">
        <f>IF(C37=0,"",C37/C$11)</f>
        <v/>
      </c>
      <c r="E37" s="279">
        <f>SUM(E38:E43)</f>
        <v>0</v>
      </c>
      <c r="F37" s="546" t="str">
        <f t="shared" si="1"/>
        <v/>
      </c>
      <c r="G37" s="279">
        <f>SUM(G38:G43)</f>
        <v>0</v>
      </c>
      <c r="H37" s="546" t="str">
        <f t="shared" si="2"/>
        <v/>
      </c>
      <c r="I37" s="279">
        <f>SUM(I38:I43)</f>
        <v>0</v>
      </c>
      <c r="J37" s="546" t="str">
        <f t="shared" si="3"/>
        <v/>
      </c>
      <c r="K37" s="279">
        <f>SUM(K38:K43)</f>
        <v>0</v>
      </c>
      <c r="L37" s="546" t="str">
        <f t="shared" si="4"/>
        <v/>
      </c>
    </row>
    <row r="38" spans="2:12" ht="22.5" customHeight="1" x14ac:dyDescent="0.35">
      <c r="B38" s="214"/>
      <c r="C38" s="248"/>
      <c r="D38" s="251" t="str">
        <f t="shared" si="0"/>
        <v/>
      </c>
      <c r="E38" s="248"/>
      <c r="F38" s="251" t="str">
        <f t="shared" si="1"/>
        <v/>
      </c>
      <c r="G38" s="248"/>
      <c r="H38" s="251" t="str">
        <f t="shared" si="2"/>
        <v/>
      </c>
      <c r="I38" s="248"/>
      <c r="J38" s="251" t="str">
        <f t="shared" si="3"/>
        <v/>
      </c>
      <c r="K38" s="248"/>
      <c r="L38" s="251" t="str">
        <f t="shared" si="4"/>
        <v/>
      </c>
    </row>
    <row r="39" spans="2:12" ht="22.5" customHeight="1" x14ac:dyDescent="0.35">
      <c r="B39" s="214"/>
      <c r="C39" s="248"/>
      <c r="D39" s="251" t="str">
        <f t="shared" ref="D39:D41" si="25">IF(C39=0,"",C39/C$11)</f>
        <v/>
      </c>
      <c r="E39" s="248"/>
      <c r="F39" s="251" t="str">
        <f t="shared" ref="F39:F41" si="26">IF(E39=0,"",E39/E$11)</f>
        <v/>
      </c>
      <c r="G39" s="248"/>
      <c r="H39" s="251" t="str">
        <f t="shared" ref="H39:H41" si="27">IF(G39=0,"",G39/G$11)</f>
        <v/>
      </c>
      <c r="I39" s="248"/>
      <c r="J39" s="251" t="str">
        <f t="shared" ref="J39:J41" si="28">IF(I39=0,"",I39/I$11)</f>
        <v/>
      </c>
      <c r="K39" s="248"/>
      <c r="L39" s="251" t="str">
        <f t="shared" ref="L39:L41" si="29">IF(K39=0,"",K39/K$11)</f>
        <v/>
      </c>
    </row>
    <row r="40" spans="2:12" ht="22.5" customHeight="1" x14ac:dyDescent="0.35">
      <c r="B40" s="214"/>
      <c r="C40" s="248"/>
      <c r="D40" s="251" t="str">
        <f t="shared" si="25"/>
        <v/>
      </c>
      <c r="E40" s="248"/>
      <c r="F40" s="251" t="str">
        <f t="shared" si="26"/>
        <v/>
      </c>
      <c r="G40" s="248"/>
      <c r="H40" s="251" t="str">
        <f t="shared" si="27"/>
        <v/>
      </c>
      <c r="I40" s="248"/>
      <c r="J40" s="251" t="str">
        <f t="shared" si="28"/>
        <v/>
      </c>
      <c r="K40" s="248"/>
      <c r="L40" s="251" t="str">
        <f t="shared" si="29"/>
        <v/>
      </c>
    </row>
    <row r="41" spans="2:12" ht="22.5" customHeight="1" x14ac:dyDescent="0.35">
      <c r="B41" s="214"/>
      <c r="C41" s="248"/>
      <c r="D41" s="251" t="str">
        <f t="shared" si="25"/>
        <v/>
      </c>
      <c r="E41" s="248"/>
      <c r="F41" s="251" t="str">
        <f t="shared" si="26"/>
        <v/>
      </c>
      <c r="G41" s="248"/>
      <c r="H41" s="251" t="str">
        <f t="shared" si="27"/>
        <v/>
      </c>
      <c r="I41" s="248"/>
      <c r="J41" s="251" t="str">
        <f t="shared" si="28"/>
        <v/>
      </c>
      <c r="K41" s="248"/>
      <c r="L41" s="251" t="str">
        <f t="shared" si="29"/>
        <v/>
      </c>
    </row>
    <row r="42" spans="2:12" ht="22.5" customHeight="1" x14ac:dyDescent="0.35">
      <c r="B42" s="214"/>
      <c r="C42" s="248"/>
      <c r="D42" s="251" t="str">
        <f t="shared" si="0"/>
        <v/>
      </c>
      <c r="E42" s="248"/>
      <c r="F42" s="251" t="str">
        <f t="shared" si="1"/>
        <v/>
      </c>
      <c r="G42" s="248"/>
      <c r="H42" s="251" t="str">
        <f t="shared" si="2"/>
        <v/>
      </c>
      <c r="I42" s="248"/>
      <c r="J42" s="251" t="str">
        <f t="shared" si="3"/>
        <v/>
      </c>
      <c r="K42" s="248"/>
      <c r="L42" s="251" t="str">
        <f t="shared" si="4"/>
        <v/>
      </c>
    </row>
    <row r="43" spans="2:12" ht="22.5" customHeight="1" x14ac:dyDescent="0.35">
      <c r="B43" s="213"/>
      <c r="C43" s="242"/>
      <c r="D43" s="59" t="str">
        <f t="shared" si="0"/>
        <v/>
      </c>
      <c r="E43" s="242"/>
      <c r="F43" s="59" t="str">
        <f t="shared" si="1"/>
        <v/>
      </c>
      <c r="G43" s="242"/>
      <c r="H43" s="59" t="str">
        <f t="shared" si="2"/>
        <v/>
      </c>
      <c r="I43" s="242"/>
      <c r="J43" s="59" t="str">
        <f t="shared" si="3"/>
        <v/>
      </c>
      <c r="K43" s="242"/>
      <c r="L43" s="59" t="str">
        <f t="shared" si="4"/>
        <v/>
      </c>
    </row>
    <row r="44" spans="2:12" ht="22.5" customHeight="1" x14ac:dyDescent="0.35">
      <c r="B44" s="209" t="s">
        <v>235</v>
      </c>
      <c r="C44" s="279">
        <f>SUM(C45:C50)</f>
        <v>44117</v>
      </c>
      <c r="D44" s="547">
        <f t="shared" si="0"/>
        <v>1.3538345938675893E-4</v>
      </c>
      <c r="E44" s="279">
        <f>SUM(E45:E50)</f>
        <v>0</v>
      </c>
      <c r="F44" s="547" t="str">
        <f t="shared" si="1"/>
        <v/>
      </c>
      <c r="G44" s="279">
        <f>SUM(G45:G50)</f>
        <v>0</v>
      </c>
      <c r="H44" s="547" t="str">
        <f t="shared" si="2"/>
        <v/>
      </c>
      <c r="I44" s="279">
        <f>SUM(I45:I50)</f>
        <v>0</v>
      </c>
      <c r="J44" s="547" t="str">
        <f t="shared" si="3"/>
        <v/>
      </c>
      <c r="K44" s="279">
        <f>SUM(K45:K50)</f>
        <v>0</v>
      </c>
      <c r="L44" s="547" t="str">
        <f t="shared" si="4"/>
        <v/>
      </c>
    </row>
    <row r="45" spans="2:12" ht="22.5" customHeight="1" x14ac:dyDescent="0.35">
      <c r="B45" s="212" t="s">
        <v>553</v>
      </c>
      <c r="C45" s="248">
        <v>44117</v>
      </c>
      <c r="D45" s="251">
        <f t="shared" ref="D45:D48" si="30">IF(C45=0,"",C45/C$11)</f>
        <v>1.3538345938675893E-4</v>
      </c>
      <c r="E45" s="248"/>
      <c r="F45" s="251" t="str">
        <f t="shared" ref="F45:F48" si="31">IF(E45=0,"",E45/E$11)</f>
        <v/>
      </c>
      <c r="G45" s="248"/>
      <c r="H45" s="251" t="str">
        <f t="shared" ref="H45:H48" si="32">IF(G45=0,"",G45/G$11)</f>
        <v/>
      </c>
      <c r="I45" s="248"/>
      <c r="J45" s="251" t="str">
        <f t="shared" ref="J45:J48" si="33">IF(I45=0,"",I45/I$11)</f>
        <v/>
      </c>
      <c r="K45" s="248"/>
      <c r="L45" s="251" t="str">
        <f t="shared" ref="L45:L48" si="34">IF(K45=0,"",K45/K$11)</f>
        <v/>
      </c>
    </row>
    <row r="46" spans="2:12" ht="22.5" customHeight="1" x14ac:dyDescent="0.35">
      <c r="B46" s="214"/>
      <c r="C46" s="248"/>
      <c r="D46" s="251" t="str">
        <f t="shared" si="30"/>
        <v/>
      </c>
      <c r="E46" s="248"/>
      <c r="F46" s="251" t="str">
        <f t="shared" si="31"/>
        <v/>
      </c>
      <c r="G46" s="248"/>
      <c r="H46" s="251" t="str">
        <f t="shared" si="32"/>
        <v/>
      </c>
      <c r="I46" s="248"/>
      <c r="J46" s="251" t="str">
        <f t="shared" si="33"/>
        <v/>
      </c>
      <c r="K46" s="248"/>
      <c r="L46" s="251" t="str">
        <f t="shared" si="34"/>
        <v/>
      </c>
    </row>
    <row r="47" spans="2:12" ht="22.5" customHeight="1" x14ac:dyDescent="0.35">
      <c r="B47" s="214"/>
      <c r="C47" s="248"/>
      <c r="D47" s="251" t="str">
        <f t="shared" si="30"/>
        <v/>
      </c>
      <c r="E47" s="248"/>
      <c r="F47" s="251" t="str">
        <f t="shared" si="31"/>
        <v/>
      </c>
      <c r="G47" s="248"/>
      <c r="H47" s="251" t="str">
        <f t="shared" si="32"/>
        <v/>
      </c>
      <c r="I47" s="248"/>
      <c r="J47" s="251" t="str">
        <f t="shared" si="33"/>
        <v/>
      </c>
      <c r="K47" s="248"/>
      <c r="L47" s="251" t="str">
        <f t="shared" si="34"/>
        <v/>
      </c>
    </row>
    <row r="48" spans="2:12" ht="22.5" customHeight="1" x14ac:dyDescent="0.35">
      <c r="B48" s="214"/>
      <c r="C48" s="248"/>
      <c r="D48" s="251" t="str">
        <f t="shared" si="30"/>
        <v/>
      </c>
      <c r="E48" s="248"/>
      <c r="F48" s="251" t="str">
        <f t="shared" si="31"/>
        <v/>
      </c>
      <c r="G48" s="248"/>
      <c r="H48" s="251" t="str">
        <f t="shared" si="32"/>
        <v/>
      </c>
      <c r="I48" s="248"/>
      <c r="J48" s="251" t="str">
        <f t="shared" si="33"/>
        <v/>
      </c>
      <c r="K48" s="248"/>
      <c r="L48" s="251" t="str">
        <f t="shared" si="34"/>
        <v/>
      </c>
    </row>
    <row r="49" spans="2:12" ht="22.5" customHeight="1" x14ac:dyDescent="0.35">
      <c r="B49" s="214"/>
      <c r="C49" s="248"/>
      <c r="D49" s="251" t="str">
        <f t="shared" si="0"/>
        <v/>
      </c>
      <c r="E49" s="248"/>
      <c r="F49" s="251" t="str">
        <f t="shared" si="1"/>
        <v/>
      </c>
      <c r="G49" s="248"/>
      <c r="H49" s="251" t="str">
        <f t="shared" si="2"/>
        <v/>
      </c>
      <c r="I49" s="248"/>
      <c r="J49" s="251" t="str">
        <f t="shared" si="3"/>
        <v/>
      </c>
      <c r="K49" s="248"/>
      <c r="L49" s="251" t="str">
        <f t="shared" si="4"/>
        <v/>
      </c>
    </row>
    <row r="50" spans="2:12" ht="22.5" customHeight="1" x14ac:dyDescent="0.35">
      <c r="B50" s="213"/>
      <c r="C50" s="242"/>
      <c r="D50" s="59" t="str">
        <f t="shared" si="0"/>
        <v/>
      </c>
      <c r="E50" s="242"/>
      <c r="F50" s="59" t="str">
        <f t="shared" si="1"/>
        <v/>
      </c>
      <c r="G50" s="242"/>
      <c r="H50" s="59" t="str">
        <f t="shared" si="2"/>
        <v/>
      </c>
      <c r="I50" s="242"/>
      <c r="J50" s="59" t="str">
        <f t="shared" si="3"/>
        <v/>
      </c>
      <c r="K50" s="242"/>
      <c r="L50" s="59" t="str">
        <f t="shared" si="4"/>
        <v/>
      </c>
    </row>
    <row r="51" spans="2:12" ht="22.5" customHeight="1" x14ac:dyDescent="0.35">
      <c r="B51" s="215" t="s">
        <v>236</v>
      </c>
      <c r="C51" s="240">
        <f>C36+C37-C44</f>
        <v>21884852</v>
      </c>
      <c r="D51" s="157">
        <f t="shared" si="0"/>
        <v>6.7158849693479378E-2</v>
      </c>
      <c r="E51" s="240">
        <f>E36+E37-E44</f>
        <v>10884918</v>
      </c>
      <c r="F51" s="157">
        <f t="shared" si="1"/>
        <v>3.1408321060382917E-2</v>
      </c>
      <c r="G51" s="240">
        <f>G36+G37-G44</f>
        <v>13885521</v>
      </c>
      <c r="H51" s="157">
        <f t="shared" si="2"/>
        <v>3.8836203456021678E-2</v>
      </c>
      <c r="I51" s="240">
        <f>I36+I37-I44</f>
        <v>0</v>
      </c>
      <c r="J51" s="157" t="str">
        <f t="shared" si="3"/>
        <v/>
      </c>
      <c r="K51" s="240">
        <f>K36+K37-K44</f>
        <v>0</v>
      </c>
      <c r="L51" s="157" t="str">
        <f t="shared" si="4"/>
        <v/>
      </c>
    </row>
    <row r="52" spans="2:12" ht="22.5" customHeight="1" x14ac:dyDescent="0.35">
      <c r="B52" s="250" t="s">
        <v>237</v>
      </c>
      <c r="C52" s="279">
        <f>SUM(C53:C55)</f>
        <v>6900842</v>
      </c>
      <c r="D52" s="546">
        <f t="shared" si="0"/>
        <v>2.1176867480595694E-2</v>
      </c>
      <c r="E52" s="279">
        <f>SUM(E53:E55)</f>
        <v>2204697</v>
      </c>
      <c r="F52" s="546">
        <f t="shared" si="1"/>
        <v>6.3616309481489006E-3</v>
      </c>
      <c r="G52" s="279">
        <f>SUM(G53:G55)</f>
        <v>4214309</v>
      </c>
      <c r="H52" s="546">
        <f t="shared" si="2"/>
        <v>1.1786937036827302E-2</v>
      </c>
      <c r="I52" s="279">
        <f>SUM(I53:I55)</f>
        <v>0</v>
      </c>
      <c r="J52" s="546" t="str">
        <f t="shared" si="3"/>
        <v/>
      </c>
      <c r="K52" s="279">
        <f>SUM(K53:K55)</f>
        <v>0</v>
      </c>
      <c r="L52" s="546" t="str">
        <f t="shared" si="4"/>
        <v/>
      </c>
    </row>
    <row r="53" spans="2:12" ht="22.5" customHeight="1" x14ac:dyDescent="0.35">
      <c r="B53" s="214" t="s">
        <v>237</v>
      </c>
      <c r="C53" s="248">
        <v>6900842</v>
      </c>
      <c r="D53" s="251">
        <f t="shared" si="0"/>
        <v>2.1176867480595694E-2</v>
      </c>
      <c r="E53" s="248">
        <v>2204697</v>
      </c>
      <c r="F53" s="251">
        <f t="shared" si="1"/>
        <v>6.3616309481489006E-3</v>
      </c>
      <c r="G53" s="248">
        <v>4214309</v>
      </c>
      <c r="H53" s="251">
        <f t="shared" si="2"/>
        <v>1.1786937036827302E-2</v>
      </c>
      <c r="I53" s="248"/>
      <c r="J53" s="251" t="str">
        <f t="shared" si="3"/>
        <v/>
      </c>
      <c r="K53" s="248"/>
      <c r="L53" s="251" t="str">
        <f t="shared" si="4"/>
        <v/>
      </c>
    </row>
    <row r="54" spans="2:12" ht="22.5" customHeight="1" x14ac:dyDescent="0.35">
      <c r="B54" s="214"/>
      <c r="C54" s="248"/>
      <c r="D54" s="251"/>
      <c r="E54" s="248"/>
      <c r="F54" s="251"/>
      <c r="G54" s="248"/>
      <c r="H54" s="251"/>
      <c r="I54" s="248"/>
      <c r="J54" s="251"/>
      <c r="K54" s="248"/>
      <c r="L54" s="251"/>
    </row>
    <row r="55" spans="2:12" ht="22.5" customHeight="1" x14ac:dyDescent="0.35">
      <c r="B55" s="216"/>
      <c r="C55" s="242"/>
      <c r="D55" s="59" t="str">
        <f t="shared" si="0"/>
        <v/>
      </c>
      <c r="E55" s="242"/>
      <c r="F55" s="59" t="str">
        <f t="shared" si="1"/>
        <v/>
      </c>
      <c r="G55" s="242"/>
      <c r="H55" s="59" t="str">
        <f t="shared" si="2"/>
        <v/>
      </c>
      <c r="I55" s="242"/>
      <c r="J55" s="59" t="str">
        <f t="shared" si="3"/>
        <v/>
      </c>
      <c r="K55" s="242"/>
      <c r="L55" s="59" t="str">
        <f t="shared" si="4"/>
        <v/>
      </c>
    </row>
    <row r="56" spans="2:12" ht="22.5" customHeight="1" x14ac:dyDescent="0.35">
      <c r="B56" s="215" t="s">
        <v>238</v>
      </c>
      <c r="C56" s="240">
        <f>C51-C52</f>
        <v>14984010</v>
      </c>
      <c r="D56" s="157">
        <f t="shared" si="0"/>
        <v>4.5981982212883687E-2</v>
      </c>
      <c r="E56" s="240">
        <f>E51-E52</f>
        <v>8680221</v>
      </c>
      <c r="F56" s="157">
        <f t="shared" si="1"/>
        <v>2.5046690112234017E-2</v>
      </c>
      <c r="G56" s="240">
        <f>G51-G52</f>
        <v>9671212</v>
      </c>
      <c r="H56" s="157">
        <f t="shared" si="2"/>
        <v>2.7049266419194379E-2</v>
      </c>
      <c r="I56" s="240">
        <f>I51-I52</f>
        <v>0</v>
      </c>
      <c r="J56" s="157" t="str">
        <f t="shared" si="3"/>
        <v/>
      </c>
      <c r="K56" s="240">
        <f>K51-K52</f>
        <v>0</v>
      </c>
      <c r="L56" s="157" t="str">
        <f t="shared" si="4"/>
        <v/>
      </c>
    </row>
    <row r="57" spans="2:12" x14ac:dyDescent="0.35">
      <c r="C57" s="236"/>
      <c r="D57" s="548"/>
      <c r="E57" s="236"/>
      <c r="F57" s="548"/>
      <c r="G57" s="236"/>
      <c r="H57" s="549"/>
      <c r="I57" s="496"/>
      <c r="J57" s="548"/>
      <c r="K57" s="236"/>
      <c r="L57" s="548"/>
    </row>
    <row r="58" spans="2:12" x14ac:dyDescent="0.35">
      <c r="C58" s="236">
        <v>14984010</v>
      </c>
      <c r="D58" s="548"/>
      <c r="E58" s="236">
        <v>8680221</v>
      </c>
      <c r="F58" s="548"/>
      <c r="G58" s="236">
        <v>9671212</v>
      </c>
      <c r="H58" s="549"/>
      <c r="I58" s="496"/>
      <c r="J58" s="548"/>
      <c r="K58" s="236"/>
      <c r="L58" s="548"/>
    </row>
    <row r="59" spans="2:12" x14ac:dyDescent="0.35">
      <c r="C59" s="236" t="b">
        <f>C58=C56</f>
        <v>1</v>
      </c>
      <c r="D59" s="548"/>
      <c r="E59" s="236" t="b">
        <f>E58=E56</f>
        <v>1</v>
      </c>
      <c r="F59" s="548"/>
      <c r="G59" s="236" t="b">
        <f>G58=G56</f>
        <v>1</v>
      </c>
      <c r="H59" s="549"/>
      <c r="I59" s="236" t="b">
        <f>I58=I56</f>
        <v>1</v>
      </c>
      <c r="J59" s="548"/>
      <c r="K59" s="236" t="b">
        <f>K58=K56</f>
        <v>1</v>
      </c>
      <c r="L59" s="548"/>
    </row>
    <row r="60" spans="2:12" x14ac:dyDescent="0.35">
      <c r="C60" s="236"/>
      <c r="D60" s="548"/>
      <c r="E60" s="236"/>
      <c r="F60" s="548"/>
      <c r="G60" s="236"/>
      <c r="H60" s="549"/>
      <c r="I60" s="496"/>
      <c r="J60" s="548"/>
      <c r="K60" s="236"/>
      <c r="L60" s="548"/>
    </row>
    <row r="61" spans="2:12" x14ac:dyDescent="0.35">
      <c r="C61" s="236"/>
      <c r="D61" s="548"/>
      <c r="E61" s="236"/>
      <c r="F61" s="548"/>
      <c r="G61" s="236"/>
      <c r="H61" s="549"/>
      <c r="I61" s="496"/>
      <c r="J61" s="548"/>
      <c r="K61" s="236"/>
      <c r="L61" s="548"/>
    </row>
    <row r="62" spans="2:12" x14ac:dyDescent="0.35">
      <c r="C62" s="236"/>
      <c r="D62" s="548"/>
      <c r="E62" s="236"/>
      <c r="F62" s="548"/>
      <c r="G62" s="236"/>
      <c r="H62" s="549"/>
      <c r="I62" s="496"/>
      <c r="J62" s="548"/>
      <c r="K62" s="236"/>
      <c r="L62" s="548"/>
    </row>
    <row r="63" spans="2:12" x14ac:dyDescent="0.35">
      <c r="C63" s="236"/>
      <c r="D63" s="548"/>
      <c r="E63" s="236"/>
      <c r="F63" s="236"/>
      <c r="G63" s="236"/>
      <c r="H63" s="549"/>
      <c r="I63" s="496"/>
      <c r="J63" s="548"/>
      <c r="K63" s="236"/>
      <c r="L63" s="548"/>
    </row>
    <row r="64" spans="2:12" x14ac:dyDescent="0.35">
      <c r="C64" s="236"/>
      <c r="D64" s="548"/>
      <c r="E64" s="236"/>
      <c r="F64" s="236"/>
      <c r="G64" s="236"/>
      <c r="H64" s="549"/>
      <c r="I64" s="496"/>
      <c r="J64" s="548"/>
      <c r="K64" s="236"/>
      <c r="L64" s="548"/>
    </row>
    <row r="65" spans="3:12" x14ac:dyDescent="0.35">
      <c r="C65" s="236"/>
      <c r="D65" s="548"/>
      <c r="E65" s="236"/>
      <c r="F65" s="236"/>
      <c r="G65" s="236"/>
      <c r="H65" s="549"/>
      <c r="I65" s="496"/>
      <c r="J65" s="548"/>
      <c r="K65" s="236"/>
      <c r="L65" s="236"/>
    </row>
    <row r="66" spans="3:12" x14ac:dyDescent="0.35">
      <c r="C66" s="236"/>
      <c r="D66" s="548"/>
      <c r="E66" s="236"/>
      <c r="F66" s="236"/>
      <c r="G66" s="236"/>
      <c r="H66" s="549"/>
      <c r="I66" s="496"/>
      <c r="J66" s="548"/>
      <c r="K66" s="236"/>
      <c r="L66" s="236"/>
    </row>
    <row r="67" spans="3:12" x14ac:dyDescent="0.35">
      <c r="C67" s="236"/>
      <c r="D67" s="236"/>
      <c r="E67" s="236"/>
      <c r="F67" s="236"/>
      <c r="G67" s="236"/>
      <c r="H67" s="549"/>
      <c r="I67" s="496"/>
      <c r="J67" s="548"/>
      <c r="K67" s="236"/>
      <c r="L67" s="236"/>
    </row>
    <row r="68" spans="3:12" x14ac:dyDescent="0.35">
      <c r="C68" s="236"/>
      <c r="D68" s="236"/>
      <c r="E68" s="236"/>
      <c r="F68" s="236"/>
      <c r="G68" s="236"/>
      <c r="H68" s="549"/>
      <c r="I68" s="496"/>
      <c r="J68" s="548"/>
      <c r="K68" s="236"/>
      <c r="L68" s="236"/>
    </row>
    <row r="69" spans="3:12" x14ac:dyDescent="0.35">
      <c r="C69" s="236"/>
      <c r="D69" s="236"/>
      <c r="E69" s="236"/>
      <c r="F69" s="236"/>
      <c r="G69" s="236"/>
      <c r="H69" s="549"/>
      <c r="I69" s="496"/>
      <c r="J69" s="548"/>
      <c r="K69" s="236"/>
      <c r="L69" s="236"/>
    </row>
    <row r="70" spans="3:12" x14ac:dyDescent="0.35">
      <c r="C70" s="236"/>
      <c r="D70" s="236"/>
      <c r="E70" s="236"/>
      <c r="F70" s="236"/>
      <c r="G70" s="236"/>
      <c r="H70" s="549"/>
      <c r="I70" s="496"/>
      <c r="J70" s="548"/>
      <c r="K70" s="236"/>
      <c r="L70" s="236"/>
    </row>
    <row r="71" spans="3:12" x14ac:dyDescent="0.35">
      <c r="C71" s="236"/>
      <c r="D71" s="236"/>
      <c r="E71" s="236"/>
      <c r="F71" s="236"/>
      <c r="G71" s="236"/>
      <c r="H71" s="496"/>
      <c r="I71" s="496"/>
      <c r="J71" s="548"/>
      <c r="K71" s="236"/>
      <c r="L71" s="236"/>
    </row>
    <row r="72" spans="3:12" x14ac:dyDescent="0.35">
      <c r="C72" s="236"/>
      <c r="D72" s="236"/>
      <c r="E72" s="236"/>
      <c r="F72" s="236"/>
      <c r="G72" s="236"/>
      <c r="H72" s="496"/>
      <c r="I72" s="496"/>
      <c r="J72" s="548"/>
      <c r="K72" s="236"/>
      <c r="L72" s="236"/>
    </row>
    <row r="73" spans="3:12" x14ac:dyDescent="0.35">
      <c r="C73" s="236"/>
      <c r="D73" s="236"/>
      <c r="E73" s="236"/>
      <c r="F73" s="236"/>
      <c r="G73" s="236"/>
      <c r="H73" s="496"/>
      <c r="I73" s="496"/>
      <c r="J73" s="548"/>
      <c r="K73" s="236"/>
      <c r="L73" s="236"/>
    </row>
    <row r="74" spans="3:12" x14ac:dyDescent="0.35">
      <c r="C74" s="236"/>
      <c r="D74" s="236"/>
      <c r="E74" s="236"/>
      <c r="F74" s="236"/>
      <c r="G74" s="236"/>
      <c r="H74" s="496"/>
      <c r="I74" s="496"/>
      <c r="J74" s="548"/>
      <c r="K74" s="236"/>
      <c r="L74" s="236"/>
    </row>
    <row r="75" spans="3:12" x14ac:dyDescent="0.35">
      <c r="C75" s="236"/>
      <c r="D75" s="236"/>
      <c r="E75" s="236"/>
      <c r="F75" s="236"/>
      <c r="G75" s="236"/>
      <c r="H75" s="496"/>
      <c r="I75" s="496"/>
      <c r="J75" s="548"/>
      <c r="K75" s="236"/>
      <c r="L75" s="236"/>
    </row>
    <row r="76" spans="3:12" x14ac:dyDescent="0.35">
      <c r="C76" s="236"/>
      <c r="D76" s="236"/>
      <c r="E76" s="236"/>
      <c r="F76" s="236"/>
      <c r="G76" s="236"/>
      <c r="H76" s="496"/>
      <c r="I76" s="496"/>
      <c r="J76" s="236"/>
      <c r="K76" s="236"/>
      <c r="L76" s="236"/>
    </row>
    <row r="77" spans="3:12" x14ac:dyDescent="0.35">
      <c r="C77" s="236"/>
      <c r="D77" s="236"/>
      <c r="E77" s="236"/>
      <c r="F77" s="236"/>
      <c r="G77" s="236"/>
      <c r="H77" s="496"/>
      <c r="I77" s="496"/>
      <c r="J77" s="236"/>
      <c r="K77" s="236"/>
      <c r="L77" s="236"/>
    </row>
  </sheetData>
  <mergeCells count="1">
    <mergeCell ref="B3:B4"/>
  </mergeCells>
  <phoneticPr fontId="1"/>
  <pageMargins left="0.7" right="0.7" top="0.75" bottom="0.75" header="0.3" footer="0.3"/>
  <ignoredErrors>
    <ignoredError sqref="D11:L11 D54:L56 D53 H53:L53 F53 D16:L20 D12:D15 F12:F15 H12:L15 D25:L28 D21:D24 F21:F24 H21:L24 D32:L52 D29:D31 F31:L31 F29:F30 H29:L3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05ED0-3477-400C-B1B1-1095AAABBA7B}">
  <dimension ref="A4:L62"/>
  <sheetViews>
    <sheetView showGridLines="0" topLeftCell="A2" zoomScale="70" zoomScaleNormal="70" workbookViewId="0">
      <pane ySplit="5" topLeftCell="A7" activePane="bottomLeft" state="frozen"/>
      <selection activeCell="A2" sqref="A2"/>
      <selection pane="bottomLeft" activeCell="A7" sqref="A7"/>
    </sheetView>
  </sheetViews>
  <sheetFormatPr defaultRowHeight="18" x14ac:dyDescent="0.35"/>
  <cols>
    <col min="2" max="2" width="28" style="184" bestFit="1" customWidth="1"/>
    <col min="3" max="3" width="15" customWidth="1"/>
    <col min="4" max="4" width="15" style="548" customWidth="1"/>
    <col min="5" max="5" width="15" customWidth="1"/>
    <col min="6" max="6" width="15" style="548" customWidth="1"/>
    <col min="7" max="7" width="15" customWidth="1"/>
    <col min="8" max="8" width="15" style="549" customWidth="1"/>
    <col min="9" max="9" width="15" style="177" customWidth="1"/>
    <col min="10" max="10" width="15" style="548" customWidth="1"/>
    <col min="11" max="11" width="15" customWidth="1"/>
    <col min="12" max="12" width="15" style="548" customWidth="1"/>
    <col min="13" max="13" width="16.125" customWidth="1"/>
    <col min="14" max="14" width="8.875" customWidth="1"/>
  </cols>
  <sheetData>
    <row r="4" spans="1:12" ht="18.75" x14ac:dyDescent="0.35">
      <c r="B4"/>
      <c r="C4" s="177"/>
      <c r="D4" s="552"/>
      <c r="G4" s="177"/>
      <c r="H4" s="73" t="s">
        <v>66</v>
      </c>
      <c r="I4"/>
      <c r="K4" s="177"/>
      <c r="L4" s="552"/>
    </row>
    <row r="5" spans="1:12" ht="19.5" x14ac:dyDescent="0.35">
      <c r="B5" s="564" t="s">
        <v>208</v>
      </c>
      <c r="C5" s="195" t="str">
        <f>'BS(借方)'!C4</f>
        <v>23年12月期</v>
      </c>
      <c r="D5" s="553"/>
      <c r="E5" s="198" t="str">
        <f>'BS(借方)'!D4</f>
        <v>24年12月期</v>
      </c>
      <c r="F5" s="555"/>
      <c r="G5" s="199" t="str">
        <f>'BS(借方)'!E4</f>
        <v>25年12月期</v>
      </c>
      <c r="H5" s="557"/>
      <c r="I5" s="201" t="str">
        <f>'BS(借方)'!F4</f>
        <v>●●年●月期</v>
      </c>
      <c r="J5" s="558"/>
      <c r="K5" s="203" t="str">
        <f>'BS(借方)'!G4</f>
        <v>●●年●月
（●か月TB）</v>
      </c>
      <c r="L5" s="559"/>
    </row>
    <row r="6" spans="1:12" ht="19.5" x14ac:dyDescent="0.35">
      <c r="B6" s="566"/>
      <c r="C6" s="223" t="s">
        <v>226</v>
      </c>
      <c r="D6" s="554" t="s">
        <v>227</v>
      </c>
      <c r="E6" s="223" t="s">
        <v>226</v>
      </c>
      <c r="F6" s="556" t="s">
        <v>227</v>
      </c>
      <c r="G6" s="223" t="s">
        <v>226</v>
      </c>
      <c r="H6" s="554" t="s">
        <v>227</v>
      </c>
      <c r="I6" s="223" t="s">
        <v>226</v>
      </c>
      <c r="J6" s="554" t="s">
        <v>227</v>
      </c>
      <c r="K6" s="224" t="s">
        <v>226</v>
      </c>
      <c r="L6" s="560" t="s">
        <v>227</v>
      </c>
    </row>
    <row r="7" spans="1:12" ht="22.5" customHeight="1" x14ac:dyDescent="0.35">
      <c r="A7" s="252" t="s">
        <v>496</v>
      </c>
      <c r="B7" s="221" t="s">
        <v>252</v>
      </c>
      <c r="C7" s="498">
        <f>PL!C11</f>
        <v>325866987</v>
      </c>
      <c r="D7" s="253" t="s">
        <v>56</v>
      </c>
      <c r="E7" s="499">
        <f>PL!E11</f>
        <v>346561600</v>
      </c>
      <c r="F7" s="253" t="s">
        <v>56</v>
      </c>
      <c r="G7" s="499">
        <f>PL!G11</f>
        <v>357540639</v>
      </c>
      <c r="H7" s="253" t="s">
        <v>56</v>
      </c>
      <c r="I7" s="499">
        <f>PL!I11</f>
        <v>0</v>
      </c>
      <c r="J7" s="253" t="s">
        <v>56</v>
      </c>
      <c r="K7" s="499">
        <f>PL!K11</f>
        <v>0</v>
      </c>
      <c r="L7" s="253" t="s">
        <v>56</v>
      </c>
    </row>
    <row r="8" spans="1:12" ht="22.5" customHeight="1" x14ac:dyDescent="0.35">
      <c r="B8" s="222" t="s">
        <v>262</v>
      </c>
      <c r="C8" s="241"/>
      <c r="D8" s="251" t="str">
        <f>IF(C8=0,"",C8/C$7)</f>
        <v/>
      </c>
      <c r="E8" s="248"/>
      <c r="F8" s="251" t="str">
        <f>IF(E8=0,"",E8/E$7)</f>
        <v/>
      </c>
      <c r="G8" s="248"/>
      <c r="H8" s="251" t="str">
        <f>IF(G8=0,"",G8/G$7)</f>
        <v/>
      </c>
      <c r="I8" s="248"/>
      <c r="J8" s="251" t="str">
        <f>IF(I8=0,"",I8/I$7)</f>
        <v/>
      </c>
      <c r="K8" s="248"/>
      <c r="L8" s="251" t="str">
        <f>IF(K8=0,"",K8/K$7)</f>
        <v/>
      </c>
    </row>
    <row r="9" spans="1:12" ht="22.5" customHeight="1" x14ac:dyDescent="0.35">
      <c r="B9" s="207" t="s">
        <v>263</v>
      </c>
      <c r="C9" s="241"/>
      <c r="D9" s="251" t="str">
        <f t="shared" ref="D9:F51" si="0">IF(C9=0,"",C9/C$7)</f>
        <v/>
      </c>
      <c r="E9" s="248"/>
      <c r="F9" s="251" t="str">
        <f t="shared" si="0"/>
        <v/>
      </c>
      <c r="G9" s="248"/>
      <c r="H9" s="251" t="str">
        <f t="shared" ref="H9" si="1">IF(G9=0,"",G9/G$7)</f>
        <v/>
      </c>
      <c r="I9" s="248"/>
      <c r="J9" s="251" t="str">
        <f t="shared" ref="J9" si="2">IF(I9=0,"",I9/I$7)</f>
        <v/>
      </c>
      <c r="K9" s="248"/>
      <c r="L9" s="251" t="str">
        <f t="shared" ref="L9" si="3">IF(K9=0,"",K9/K$7)</f>
        <v/>
      </c>
    </row>
    <row r="10" spans="1:12" ht="22.5" customHeight="1" x14ac:dyDescent="0.35">
      <c r="B10" s="207" t="s">
        <v>264</v>
      </c>
      <c r="C10" s="241"/>
      <c r="D10" s="251" t="str">
        <f t="shared" si="0"/>
        <v/>
      </c>
      <c r="E10" s="248"/>
      <c r="F10" s="251" t="str">
        <f t="shared" si="0"/>
        <v/>
      </c>
      <c r="G10" s="248"/>
      <c r="H10" s="251" t="str">
        <f t="shared" ref="H10" si="4">IF(G10=0,"",G10/G$7)</f>
        <v/>
      </c>
      <c r="I10" s="248"/>
      <c r="J10" s="251" t="str">
        <f t="shared" ref="J10" si="5">IF(I10=0,"",I10/I$7)</f>
        <v/>
      </c>
      <c r="K10" s="248"/>
      <c r="L10" s="251" t="str">
        <f t="shared" ref="L10" si="6">IF(K10=0,"",K10/K$7)</f>
        <v/>
      </c>
    </row>
    <row r="11" spans="1:12" ht="22.5" customHeight="1" x14ac:dyDescent="0.35">
      <c r="B11" s="207" t="s">
        <v>265</v>
      </c>
      <c r="C11" s="241"/>
      <c r="D11" s="251" t="str">
        <f t="shared" si="0"/>
        <v/>
      </c>
      <c r="E11" s="248"/>
      <c r="F11" s="251" t="str">
        <f t="shared" si="0"/>
        <v/>
      </c>
      <c r="G11" s="248"/>
      <c r="H11" s="251" t="str">
        <f t="shared" ref="H11" si="7">IF(G11=0,"",G11/G$7)</f>
        <v/>
      </c>
      <c r="I11" s="248"/>
      <c r="J11" s="251" t="str">
        <f t="shared" ref="J11" si="8">IF(I11=0,"",I11/I$7)</f>
        <v/>
      </c>
      <c r="K11" s="248"/>
      <c r="L11" s="251" t="str">
        <f t="shared" ref="L11" si="9">IF(K11=0,"",K11/K$7)</f>
        <v/>
      </c>
    </row>
    <row r="12" spans="1:12" ht="22.5" customHeight="1" x14ac:dyDescent="0.35">
      <c r="B12" s="207"/>
      <c r="C12" s="241"/>
      <c r="D12" s="251" t="str">
        <f t="shared" si="0"/>
        <v/>
      </c>
      <c r="E12" s="248"/>
      <c r="F12" s="251" t="str">
        <f t="shared" si="0"/>
        <v/>
      </c>
      <c r="G12" s="248"/>
      <c r="H12" s="251" t="str">
        <f t="shared" ref="H12" si="10">IF(G12=0,"",G12/G$7)</f>
        <v/>
      </c>
      <c r="I12" s="248"/>
      <c r="J12" s="251" t="str">
        <f t="shared" ref="J12" si="11">IF(I12=0,"",I12/I$7)</f>
        <v/>
      </c>
      <c r="K12" s="248"/>
      <c r="L12" s="251" t="str">
        <f t="shared" ref="L12" si="12">IF(K12=0,"",K12/K$7)</f>
        <v/>
      </c>
    </row>
    <row r="13" spans="1:12" ht="22.5" customHeight="1" x14ac:dyDescent="0.35">
      <c r="B13" s="208"/>
      <c r="C13" s="489"/>
      <c r="D13" s="59" t="str">
        <f t="shared" si="0"/>
        <v/>
      </c>
      <c r="E13" s="242"/>
      <c r="F13" s="59" t="str">
        <f t="shared" si="0"/>
        <v/>
      </c>
      <c r="G13" s="242"/>
      <c r="H13" s="59" t="str">
        <f t="shared" ref="H13" si="13">IF(G13=0,"",G13/G$7)</f>
        <v/>
      </c>
      <c r="I13" s="242"/>
      <c r="J13" s="59" t="str">
        <f t="shared" ref="J13" si="14">IF(I13=0,"",I13/I$7)</f>
        <v/>
      </c>
      <c r="K13" s="242"/>
      <c r="L13" s="59" t="str">
        <f t="shared" ref="L13" si="15">IF(K13=0,"",K13/K$7)</f>
        <v/>
      </c>
    </row>
    <row r="14" spans="1:12" ht="22.5" customHeight="1" x14ac:dyDescent="0.35">
      <c r="B14" s="226" t="s">
        <v>255</v>
      </c>
      <c r="C14" s="500">
        <f>SUM(C8:C13)</f>
        <v>0</v>
      </c>
      <c r="D14" s="157" t="str">
        <f t="shared" si="0"/>
        <v/>
      </c>
      <c r="E14" s="240">
        <f>SUM(E8:E13)</f>
        <v>0</v>
      </c>
      <c r="F14" s="157" t="str">
        <f t="shared" si="0"/>
        <v/>
      </c>
      <c r="G14" s="240">
        <f>SUM(G8:G13)</f>
        <v>0</v>
      </c>
      <c r="H14" s="157" t="str">
        <f t="shared" ref="H14" si="16">IF(G14=0,"",G14/G$7)</f>
        <v/>
      </c>
      <c r="I14" s="240">
        <f>SUM(I8:I13)</f>
        <v>0</v>
      </c>
      <c r="J14" s="157" t="str">
        <f t="shared" ref="J14" si="17">IF(I14=0,"",I14/I$7)</f>
        <v/>
      </c>
      <c r="K14" s="240">
        <f>SUM(K8:K13)</f>
        <v>0</v>
      </c>
      <c r="L14" s="157" t="str">
        <f t="shared" ref="L14" si="18">IF(K14=0,"",K14/K$7)</f>
        <v/>
      </c>
    </row>
    <row r="15" spans="1:12" ht="22.5" customHeight="1" x14ac:dyDescent="0.35">
      <c r="B15" s="222"/>
      <c r="C15" s="241"/>
      <c r="D15" s="251" t="str">
        <f t="shared" si="0"/>
        <v/>
      </c>
      <c r="E15" s="248"/>
      <c r="F15" s="251" t="str">
        <f t="shared" si="0"/>
        <v/>
      </c>
      <c r="G15" s="248"/>
      <c r="H15" s="251" t="str">
        <f t="shared" ref="H15" si="19">IF(G15=0,"",G15/G$7)</f>
        <v/>
      </c>
      <c r="I15" s="248"/>
      <c r="J15" s="251" t="str">
        <f t="shared" ref="J15" si="20">IF(I15=0,"",I15/I$7)</f>
        <v/>
      </c>
      <c r="K15" s="248"/>
      <c r="L15" s="251" t="str">
        <f t="shared" ref="L15" si="21">IF(K15=0,"",K15/K$7)</f>
        <v/>
      </c>
    </row>
    <row r="16" spans="1:12" ht="22.5" customHeight="1" x14ac:dyDescent="0.35">
      <c r="B16" s="207"/>
      <c r="C16" s="241"/>
      <c r="D16" s="251"/>
      <c r="E16" s="248"/>
      <c r="F16" s="251"/>
      <c r="G16" s="248"/>
      <c r="H16" s="251"/>
      <c r="I16" s="248"/>
      <c r="J16" s="251"/>
      <c r="K16" s="248"/>
      <c r="L16" s="251"/>
    </row>
    <row r="17" spans="2:12" ht="22.5" customHeight="1" x14ac:dyDescent="0.35">
      <c r="B17" s="207"/>
      <c r="C17" s="241"/>
      <c r="D17" s="251"/>
      <c r="E17" s="248"/>
      <c r="F17" s="251"/>
      <c r="G17" s="248"/>
      <c r="H17" s="251"/>
      <c r="I17" s="248"/>
      <c r="J17" s="251"/>
      <c r="K17" s="248"/>
      <c r="L17" s="251"/>
    </row>
    <row r="18" spans="2:12" ht="22.5" customHeight="1" x14ac:dyDescent="0.35">
      <c r="B18" s="207"/>
      <c r="C18" s="241"/>
      <c r="D18" s="251" t="str">
        <f t="shared" si="0"/>
        <v/>
      </c>
      <c r="E18" s="248"/>
      <c r="F18" s="251" t="str">
        <f t="shared" si="0"/>
        <v/>
      </c>
      <c r="G18" s="248"/>
      <c r="H18" s="251" t="str">
        <f t="shared" ref="H18" si="22">IF(G18=0,"",G18/G$7)</f>
        <v/>
      </c>
      <c r="I18" s="248"/>
      <c r="J18" s="251" t="str">
        <f t="shared" ref="J18" si="23">IF(I18=0,"",I18/I$7)</f>
        <v/>
      </c>
      <c r="K18" s="248"/>
      <c r="L18" s="251" t="str">
        <f t="shared" ref="L18" si="24">IF(K18=0,"",K18/K$7)</f>
        <v/>
      </c>
    </row>
    <row r="19" spans="2:12" ht="22.5" customHeight="1" x14ac:dyDescent="0.35">
      <c r="B19" s="207"/>
      <c r="C19" s="241"/>
      <c r="D19" s="251" t="str">
        <f t="shared" si="0"/>
        <v/>
      </c>
      <c r="E19" s="248"/>
      <c r="F19" s="251" t="str">
        <f t="shared" si="0"/>
        <v/>
      </c>
      <c r="G19" s="248"/>
      <c r="H19" s="251" t="str">
        <f t="shared" ref="H19" si="25">IF(G19=0,"",G19/G$7)</f>
        <v/>
      </c>
      <c r="I19" s="248"/>
      <c r="J19" s="251" t="str">
        <f t="shared" ref="J19" si="26">IF(I19=0,"",I19/I$7)</f>
        <v/>
      </c>
      <c r="K19" s="248"/>
      <c r="L19" s="251" t="str">
        <f t="shared" ref="L19" si="27">IF(K19=0,"",K19/K$7)</f>
        <v/>
      </c>
    </row>
    <row r="20" spans="2:12" ht="22.5" customHeight="1" x14ac:dyDescent="0.35">
      <c r="B20" s="207"/>
      <c r="C20" s="241"/>
      <c r="D20" s="251" t="str">
        <f t="shared" si="0"/>
        <v/>
      </c>
      <c r="E20" s="248"/>
      <c r="F20" s="251" t="str">
        <f t="shared" si="0"/>
        <v/>
      </c>
      <c r="G20" s="248"/>
      <c r="H20" s="251" t="str">
        <f t="shared" ref="H20" si="28">IF(G20=0,"",G20/G$7)</f>
        <v/>
      </c>
      <c r="I20" s="248"/>
      <c r="J20" s="251" t="str">
        <f t="shared" ref="J20" si="29">IF(I20=0,"",I20/I$7)</f>
        <v/>
      </c>
      <c r="K20" s="248"/>
      <c r="L20" s="251" t="str">
        <f t="shared" ref="L20" si="30">IF(K20=0,"",K20/K$7)</f>
        <v/>
      </c>
    </row>
    <row r="21" spans="2:12" ht="22.5" customHeight="1" x14ac:dyDescent="0.35">
      <c r="B21" s="207"/>
      <c r="C21" s="241"/>
      <c r="D21" s="251" t="str">
        <f t="shared" si="0"/>
        <v/>
      </c>
      <c r="E21" s="248"/>
      <c r="F21" s="251" t="str">
        <f t="shared" si="0"/>
        <v/>
      </c>
      <c r="G21" s="248"/>
      <c r="H21" s="251" t="str">
        <f t="shared" ref="H21" si="31">IF(G21=0,"",G21/G$7)</f>
        <v/>
      </c>
      <c r="I21" s="248"/>
      <c r="J21" s="251" t="str">
        <f t="shared" ref="J21" si="32">IF(I21=0,"",I21/I$7)</f>
        <v/>
      </c>
      <c r="K21" s="248"/>
      <c r="L21" s="251" t="str">
        <f t="shared" ref="L21" si="33">IF(K21=0,"",K21/K$7)</f>
        <v/>
      </c>
    </row>
    <row r="22" spans="2:12" ht="22.5" customHeight="1" x14ac:dyDescent="0.35">
      <c r="B22" s="208"/>
      <c r="C22" s="489"/>
      <c r="D22" s="59" t="str">
        <f t="shared" si="0"/>
        <v/>
      </c>
      <c r="E22" s="242"/>
      <c r="F22" s="59" t="str">
        <f t="shared" si="0"/>
        <v/>
      </c>
      <c r="G22" s="242"/>
      <c r="H22" s="59" t="str">
        <f t="shared" ref="H22" si="34">IF(G22=0,"",G22/G$7)</f>
        <v/>
      </c>
      <c r="I22" s="242"/>
      <c r="J22" s="59" t="str">
        <f t="shared" ref="J22" si="35">IF(I22=0,"",I22/I$7)</f>
        <v/>
      </c>
      <c r="K22" s="242"/>
      <c r="L22" s="59" t="str">
        <f t="shared" ref="L22" si="36">IF(K22=0,"",K22/K$7)</f>
        <v/>
      </c>
    </row>
    <row r="23" spans="2:12" ht="22.5" customHeight="1" x14ac:dyDescent="0.35">
      <c r="B23" s="226" t="s">
        <v>256</v>
      </c>
      <c r="C23" s="500">
        <f>SUM(C15:C22)</f>
        <v>0</v>
      </c>
      <c r="D23" s="157" t="str">
        <f t="shared" si="0"/>
        <v/>
      </c>
      <c r="E23" s="240">
        <f>SUM(E15:E22)</f>
        <v>0</v>
      </c>
      <c r="F23" s="157" t="str">
        <f t="shared" si="0"/>
        <v/>
      </c>
      <c r="G23" s="240">
        <f>SUM(G15:G22)</f>
        <v>0</v>
      </c>
      <c r="H23" s="157" t="str">
        <f t="shared" ref="H23" si="37">IF(G23=0,"",G23/G$7)</f>
        <v/>
      </c>
      <c r="I23" s="240">
        <f>SUM(I15:I22)</f>
        <v>0</v>
      </c>
      <c r="J23" s="157" t="str">
        <f t="shared" ref="J23" si="38">IF(I23=0,"",I23/I$7)</f>
        <v/>
      </c>
      <c r="K23" s="240">
        <f>SUM(K15:K22)</f>
        <v>0</v>
      </c>
      <c r="L23" s="157" t="str">
        <f t="shared" ref="L23" si="39">IF(K23=0,"",K23/K$7)</f>
        <v/>
      </c>
    </row>
    <row r="24" spans="2:12" ht="22.5" customHeight="1" x14ac:dyDescent="0.35">
      <c r="B24" s="222"/>
      <c r="C24" s="241"/>
      <c r="D24" s="251" t="str">
        <f t="shared" si="0"/>
        <v/>
      </c>
      <c r="E24" s="248"/>
      <c r="F24" s="251" t="str">
        <f t="shared" si="0"/>
        <v/>
      </c>
      <c r="G24" s="248"/>
      <c r="H24" s="251" t="str">
        <f t="shared" ref="H24" si="40">IF(G24=0,"",G24/G$7)</f>
        <v/>
      </c>
      <c r="I24" s="248"/>
      <c r="J24" s="251" t="str">
        <f t="shared" ref="J24" si="41">IF(I24=0,"",I24/I$7)</f>
        <v/>
      </c>
      <c r="K24" s="248"/>
      <c r="L24" s="251" t="str">
        <f t="shared" ref="L24" si="42">IF(K24=0,"",K24/K$7)</f>
        <v/>
      </c>
    </row>
    <row r="25" spans="2:12" ht="22.5" customHeight="1" x14ac:dyDescent="0.35">
      <c r="B25" s="207"/>
      <c r="C25" s="241"/>
      <c r="D25" s="251"/>
      <c r="E25" s="248"/>
      <c r="F25" s="251"/>
      <c r="G25" s="248"/>
      <c r="H25" s="251"/>
      <c r="I25" s="248"/>
      <c r="J25" s="251"/>
      <c r="K25" s="248"/>
      <c r="L25" s="251"/>
    </row>
    <row r="26" spans="2:12" ht="22.5" customHeight="1" x14ac:dyDescent="0.35">
      <c r="B26" s="207"/>
      <c r="C26" s="241"/>
      <c r="D26" s="251"/>
      <c r="E26" s="248"/>
      <c r="F26" s="251"/>
      <c r="G26" s="248"/>
      <c r="H26" s="251"/>
      <c r="I26" s="248"/>
      <c r="J26" s="251"/>
      <c r="K26" s="248"/>
      <c r="L26" s="251"/>
    </row>
    <row r="27" spans="2:12" ht="22.5" customHeight="1" x14ac:dyDescent="0.35">
      <c r="B27" s="207"/>
      <c r="C27" s="241"/>
      <c r="D27" s="251"/>
      <c r="E27" s="248"/>
      <c r="F27" s="251"/>
      <c r="G27" s="248"/>
      <c r="H27" s="251"/>
      <c r="I27" s="248"/>
      <c r="J27" s="251"/>
      <c r="K27" s="248"/>
      <c r="L27" s="251"/>
    </row>
    <row r="28" spans="2:12" ht="22.5" customHeight="1" x14ac:dyDescent="0.35">
      <c r="B28" s="207"/>
      <c r="C28" s="241"/>
      <c r="D28" s="251" t="str">
        <f t="shared" si="0"/>
        <v/>
      </c>
      <c r="E28" s="248"/>
      <c r="F28" s="251" t="str">
        <f t="shared" si="0"/>
        <v/>
      </c>
      <c r="G28" s="248"/>
      <c r="H28" s="251" t="str">
        <f t="shared" ref="H28" si="43">IF(G28=0,"",G28/G$7)</f>
        <v/>
      </c>
      <c r="I28" s="248"/>
      <c r="J28" s="251" t="str">
        <f t="shared" ref="J28" si="44">IF(I28=0,"",I28/I$7)</f>
        <v/>
      </c>
      <c r="K28" s="248"/>
      <c r="L28" s="251" t="str">
        <f t="shared" ref="L28" si="45">IF(K28=0,"",K28/K$7)</f>
        <v/>
      </c>
    </row>
    <row r="29" spans="2:12" ht="22.5" customHeight="1" x14ac:dyDescent="0.35">
      <c r="B29" s="207"/>
      <c r="C29" s="241"/>
      <c r="D29" s="251" t="str">
        <f t="shared" si="0"/>
        <v/>
      </c>
      <c r="E29" s="248"/>
      <c r="F29" s="251" t="str">
        <f t="shared" si="0"/>
        <v/>
      </c>
      <c r="G29" s="248"/>
      <c r="H29" s="251" t="str">
        <f t="shared" ref="H29" si="46">IF(G29=0,"",G29/G$7)</f>
        <v/>
      </c>
      <c r="I29" s="248"/>
      <c r="J29" s="251" t="str">
        <f t="shared" ref="J29" si="47">IF(I29=0,"",I29/I$7)</f>
        <v/>
      </c>
      <c r="K29" s="248"/>
      <c r="L29" s="251" t="str">
        <f t="shared" ref="L29" si="48">IF(K29=0,"",K29/K$7)</f>
        <v/>
      </c>
    </row>
    <row r="30" spans="2:12" ht="22.5" customHeight="1" x14ac:dyDescent="0.35">
      <c r="B30" s="207"/>
      <c r="C30" s="241"/>
      <c r="D30" s="251" t="str">
        <f t="shared" si="0"/>
        <v/>
      </c>
      <c r="E30" s="248"/>
      <c r="F30" s="251" t="str">
        <f t="shared" si="0"/>
        <v/>
      </c>
      <c r="G30" s="248"/>
      <c r="H30" s="251" t="str">
        <f t="shared" ref="H30" si="49">IF(G30=0,"",G30/G$7)</f>
        <v/>
      </c>
      <c r="I30" s="248"/>
      <c r="J30" s="251" t="str">
        <f t="shared" ref="J30" si="50">IF(I30=0,"",I30/I$7)</f>
        <v/>
      </c>
      <c r="K30" s="248"/>
      <c r="L30" s="251" t="str">
        <f t="shared" ref="L30" si="51">IF(K30=0,"",K30/K$7)</f>
        <v/>
      </c>
    </row>
    <row r="31" spans="2:12" ht="22.5" customHeight="1" x14ac:dyDescent="0.35">
      <c r="B31" s="207"/>
      <c r="C31" s="241"/>
      <c r="D31" s="251" t="str">
        <f t="shared" si="0"/>
        <v/>
      </c>
      <c r="E31" s="248"/>
      <c r="F31" s="251" t="str">
        <f t="shared" si="0"/>
        <v/>
      </c>
      <c r="G31" s="248"/>
      <c r="H31" s="251" t="str">
        <f t="shared" ref="H31" si="52">IF(G31=0,"",G31/G$7)</f>
        <v/>
      </c>
      <c r="I31" s="248"/>
      <c r="J31" s="251" t="str">
        <f t="shared" ref="J31" si="53">IF(I31=0,"",I31/I$7)</f>
        <v/>
      </c>
      <c r="K31" s="248"/>
      <c r="L31" s="251" t="str">
        <f t="shared" ref="L31" si="54">IF(K31=0,"",K31/K$7)</f>
        <v/>
      </c>
    </row>
    <row r="32" spans="2:12" ht="22.5" customHeight="1" x14ac:dyDescent="0.35">
      <c r="B32" s="208"/>
      <c r="C32" s="489"/>
      <c r="D32" s="59" t="str">
        <f t="shared" si="0"/>
        <v/>
      </c>
      <c r="E32" s="242"/>
      <c r="F32" s="59" t="str">
        <f t="shared" si="0"/>
        <v/>
      </c>
      <c r="G32" s="242"/>
      <c r="H32" s="59" t="str">
        <f t="shared" ref="H32" si="55">IF(G32=0,"",G32/G$7)</f>
        <v/>
      </c>
      <c r="I32" s="242"/>
      <c r="J32" s="59" t="str">
        <f t="shared" ref="J32" si="56">IF(I32=0,"",I32/I$7)</f>
        <v/>
      </c>
      <c r="K32" s="242"/>
      <c r="L32" s="59" t="str">
        <f t="shared" ref="L32" si="57">IF(K32=0,"",K32/K$7)</f>
        <v/>
      </c>
    </row>
    <row r="33" spans="2:12" ht="22.5" customHeight="1" x14ac:dyDescent="0.35">
      <c r="B33" s="226" t="s">
        <v>257</v>
      </c>
      <c r="C33" s="500">
        <f>SUM(C24:C32)</f>
        <v>0</v>
      </c>
      <c r="D33" s="157" t="str">
        <f t="shared" si="0"/>
        <v/>
      </c>
      <c r="E33" s="240">
        <f>SUM(E24:E32)</f>
        <v>0</v>
      </c>
      <c r="F33" s="157" t="str">
        <f t="shared" si="0"/>
        <v/>
      </c>
      <c r="G33" s="240">
        <f>SUM(G24:G32)</f>
        <v>0</v>
      </c>
      <c r="H33" s="157" t="str">
        <f t="shared" ref="H33" si="58">IF(G33=0,"",G33/G$7)</f>
        <v/>
      </c>
      <c r="I33" s="240">
        <f>SUM(I24:I32)</f>
        <v>0</v>
      </c>
      <c r="J33" s="157" t="str">
        <f t="shared" ref="J33" si="59">IF(I33=0,"",I33/I$7)</f>
        <v/>
      </c>
      <c r="K33" s="240">
        <f>SUM(K24:K32)</f>
        <v>0</v>
      </c>
      <c r="L33" s="157" t="str">
        <f t="shared" ref="L33" si="60">IF(K33=0,"",K33/K$7)</f>
        <v/>
      </c>
    </row>
    <row r="34" spans="2:12" ht="22.5" customHeight="1" x14ac:dyDescent="0.35">
      <c r="B34" s="222"/>
      <c r="C34" s="241"/>
      <c r="D34" s="251" t="str">
        <f t="shared" si="0"/>
        <v/>
      </c>
      <c r="E34" s="248"/>
      <c r="F34" s="251" t="str">
        <f t="shared" si="0"/>
        <v/>
      </c>
      <c r="G34" s="248"/>
      <c r="H34" s="251" t="str">
        <f t="shared" ref="H34" si="61">IF(G34=0,"",G34/G$7)</f>
        <v/>
      </c>
      <c r="I34" s="248"/>
      <c r="J34" s="251" t="str">
        <f t="shared" ref="J34:J35" si="62">IF(I34=0,"",I34/I$7)</f>
        <v/>
      </c>
      <c r="K34" s="248"/>
      <c r="L34" s="251" t="str">
        <f t="shared" ref="L34" si="63">IF(K34=0,"",K34/K$7)</f>
        <v/>
      </c>
    </row>
    <row r="35" spans="2:12" ht="22.5" customHeight="1" x14ac:dyDescent="0.35">
      <c r="B35" s="207"/>
      <c r="C35" s="241"/>
      <c r="D35" s="251" t="str">
        <f t="shared" si="0"/>
        <v/>
      </c>
      <c r="E35" s="248"/>
      <c r="F35" s="251" t="str">
        <f t="shared" si="0"/>
        <v/>
      </c>
      <c r="G35" s="248"/>
      <c r="H35" s="251" t="str">
        <f t="shared" ref="H35" si="64">IF(G35=0,"",G35/G$7)</f>
        <v/>
      </c>
      <c r="I35" s="248"/>
      <c r="J35" s="251" t="str">
        <f t="shared" si="62"/>
        <v/>
      </c>
      <c r="K35" s="248"/>
      <c r="L35" s="251" t="str">
        <f t="shared" ref="L35" si="65">IF(K35=0,"",K35/K$7)</f>
        <v/>
      </c>
    </row>
    <row r="36" spans="2:12" ht="22.5" customHeight="1" x14ac:dyDescent="0.35">
      <c r="B36" s="207"/>
      <c r="C36" s="241"/>
      <c r="D36" s="251" t="str">
        <f t="shared" si="0"/>
        <v/>
      </c>
      <c r="E36" s="248"/>
      <c r="F36" s="251" t="str">
        <f t="shared" si="0"/>
        <v/>
      </c>
      <c r="G36" s="248"/>
      <c r="H36" s="251" t="str">
        <f t="shared" ref="H36" si="66">IF(G36=0,"",G36/G$7)</f>
        <v/>
      </c>
      <c r="I36" s="248"/>
      <c r="J36" s="251" t="str">
        <f t="shared" ref="J36" si="67">IF(I36=0,"",I36/I$7)</f>
        <v/>
      </c>
      <c r="K36" s="248"/>
      <c r="L36" s="251" t="str">
        <f t="shared" ref="L36" si="68">IF(K36=0,"",K36/K$7)</f>
        <v/>
      </c>
    </row>
    <row r="37" spans="2:12" ht="22.5" customHeight="1" x14ac:dyDescent="0.35">
      <c r="B37" s="207"/>
      <c r="C37" s="241"/>
      <c r="D37" s="251"/>
      <c r="E37" s="248"/>
      <c r="F37" s="251"/>
      <c r="G37" s="248"/>
      <c r="H37" s="251"/>
      <c r="I37" s="248"/>
      <c r="J37" s="251"/>
      <c r="K37" s="248"/>
      <c r="L37" s="251"/>
    </row>
    <row r="38" spans="2:12" ht="22.5" customHeight="1" x14ac:dyDescent="0.35">
      <c r="B38" s="207"/>
      <c r="C38" s="241"/>
      <c r="D38" s="251"/>
      <c r="E38" s="248"/>
      <c r="F38" s="251"/>
      <c r="G38" s="248"/>
      <c r="H38" s="251"/>
      <c r="I38" s="248"/>
      <c r="J38" s="251"/>
      <c r="K38" s="248"/>
      <c r="L38" s="251"/>
    </row>
    <row r="39" spans="2:12" ht="22.5" customHeight="1" x14ac:dyDescent="0.35">
      <c r="B39" s="207"/>
      <c r="C39" s="241"/>
      <c r="D39" s="251" t="str">
        <f t="shared" si="0"/>
        <v/>
      </c>
      <c r="E39" s="248"/>
      <c r="F39" s="251" t="str">
        <f t="shared" si="0"/>
        <v/>
      </c>
      <c r="G39" s="248"/>
      <c r="H39" s="251" t="str">
        <f t="shared" ref="H39" si="69">IF(G39=0,"",G39/G$7)</f>
        <v/>
      </c>
      <c r="I39" s="248"/>
      <c r="J39" s="251" t="str">
        <f t="shared" ref="J39" si="70">IF(I39=0,"",I39/I$7)</f>
        <v/>
      </c>
      <c r="K39" s="248"/>
      <c r="L39" s="251" t="str">
        <f t="shared" ref="L39" si="71">IF(K39=0,"",K39/K$7)</f>
        <v/>
      </c>
    </row>
    <row r="40" spans="2:12" ht="22.5" customHeight="1" x14ac:dyDescent="0.35">
      <c r="B40" s="207"/>
      <c r="C40" s="241"/>
      <c r="D40" s="251" t="str">
        <f t="shared" si="0"/>
        <v/>
      </c>
      <c r="E40" s="248"/>
      <c r="F40" s="251" t="str">
        <f t="shared" si="0"/>
        <v/>
      </c>
      <c r="G40" s="248"/>
      <c r="H40" s="251" t="str">
        <f t="shared" ref="H40" si="72">IF(G40=0,"",G40/G$7)</f>
        <v/>
      </c>
      <c r="I40" s="248"/>
      <c r="J40" s="251" t="str">
        <f t="shared" ref="J40" si="73">IF(I40=0,"",I40/I$7)</f>
        <v/>
      </c>
      <c r="K40" s="248"/>
      <c r="L40" s="251" t="str">
        <f t="shared" ref="L40" si="74">IF(K40=0,"",K40/K$7)</f>
        <v/>
      </c>
    </row>
    <row r="41" spans="2:12" ht="22.5" customHeight="1" x14ac:dyDescent="0.35">
      <c r="B41" s="207"/>
      <c r="C41" s="241"/>
      <c r="D41" s="251" t="str">
        <f t="shared" si="0"/>
        <v/>
      </c>
      <c r="E41" s="248"/>
      <c r="F41" s="251" t="str">
        <f t="shared" si="0"/>
        <v/>
      </c>
      <c r="G41" s="248"/>
      <c r="H41" s="251" t="str">
        <f t="shared" ref="H41" si="75">IF(G41=0,"",G41/G$7)</f>
        <v/>
      </c>
      <c r="I41" s="248"/>
      <c r="J41" s="251" t="str">
        <f t="shared" ref="J41" si="76">IF(I41=0,"",I41/I$7)</f>
        <v/>
      </c>
      <c r="K41" s="248"/>
      <c r="L41" s="251" t="str">
        <f t="shared" ref="L41" si="77">IF(K41=0,"",K41/K$7)</f>
        <v/>
      </c>
    </row>
    <row r="42" spans="2:12" ht="22.5" customHeight="1" x14ac:dyDescent="0.35">
      <c r="B42" s="207"/>
      <c r="C42" s="241"/>
      <c r="D42" s="251" t="str">
        <f t="shared" si="0"/>
        <v/>
      </c>
      <c r="E42" s="248"/>
      <c r="F42" s="251" t="str">
        <f t="shared" si="0"/>
        <v/>
      </c>
      <c r="G42" s="248"/>
      <c r="H42" s="251" t="str">
        <f t="shared" ref="H42" si="78">IF(G42=0,"",G42/G$7)</f>
        <v/>
      </c>
      <c r="I42" s="248"/>
      <c r="J42" s="251" t="str">
        <f t="shared" ref="J42" si="79">IF(I42=0,"",I42/I$7)</f>
        <v/>
      </c>
      <c r="K42" s="248"/>
      <c r="L42" s="251" t="str">
        <f t="shared" ref="L42" si="80">IF(K42=0,"",K42/K$7)</f>
        <v/>
      </c>
    </row>
    <row r="43" spans="2:12" ht="22.5" customHeight="1" x14ac:dyDescent="0.35">
      <c r="B43" s="207"/>
      <c r="C43" s="241"/>
      <c r="D43" s="251" t="str">
        <f t="shared" si="0"/>
        <v/>
      </c>
      <c r="E43" s="248"/>
      <c r="F43" s="251" t="str">
        <f t="shared" si="0"/>
        <v/>
      </c>
      <c r="G43" s="248"/>
      <c r="H43" s="251" t="str">
        <f t="shared" ref="H43" si="81">IF(G43=0,"",G43/G$7)</f>
        <v/>
      </c>
      <c r="I43" s="248"/>
      <c r="J43" s="251" t="str">
        <f t="shared" ref="J43" si="82">IF(I43=0,"",I43/I$7)</f>
        <v/>
      </c>
      <c r="K43" s="248"/>
      <c r="L43" s="251" t="str">
        <f t="shared" ref="L43" si="83">IF(K43=0,"",K43/K$7)</f>
        <v/>
      </c>
    </row>
    <row r="44" spans="2:12" ht="22.5" customHeight="1" x14ac:dyDescent="0.35">
      <c r="B44" s="207"/>
      <c r="C44" s="241"/>
      <c r="D44" s="251" t="str">
        <f t="shared" si="0"/>
        <v/>
      </c>
      <c r="E44" s="248"/>
      <c r="F44" s="251" t="str">
        <f t="shared" si="0"/>
        <v/>
      </c>
      <c r="G44" s="248"/>
      <c r="H44" s="251" t="str">
        <f t="shared" ref="H44" si="84">IF(G44=0,"",G44/G$7)</f>
        <v/>
      </c>
      <c r="I44" s="248"/>
      <c r="J44" s="251" t="str">
        <f t="shared" ref="J44" si="85">IF(I44=0,"",I44/I$7)</f>
        <v/>
      </c>
      <c r="K44" s="248"/>
      <c r="L44" s="251" t="str">
        <f t="shared" ref="L44" si="86">IF(K44=0,"",K44/K$7)</f>
        <v/>
      </c>
    </row>
    <row r="45" spans="2:12" ht="22.5" customHeight="1" x14ac:dyDescent="0.35">
      <c r="B45" s="208"/>
      <c r="C45" s="489"/>
      <c r="D45" s="59" t="str">
        <f t="shared" si="0"/>
        <v/>
      </c>
      <c r="E45" s="242"/>
      <c r="F45" s="59" t="str">
        <f t="shared" si="0"/>
        <v/>
      </c>
      <c r="G45" s="242"/>
      <c r="H45" s="59" t="str">
        <f t="shared" ref="H45" si="87">IF(G45=0,"",G45/G$7)</f>
        <v/>
      </c>
      <c r="I45" s="242"/>
      <c r="J45" s="59" t="str">
        <f t="shared" ref="J45" si="88">IF(I45=0,"",I45/I$7)</f>
        <v/>
      </c>
      <c r="K45" s="242"/>
      <c r="L45" s="59" t="str">
        <f t="shared" ref="L45" si="89">IF(K45=0,"",K45/K$7)</f>
        <v/>
      </c>
    </row>
    <row r="46" spans="2:12" ht="22.5" customHeight="1" x14ac:dyDescent="0.35">
      <c r="B46" s="226" t="s">
        <v>258</v>
      </c>
      <c r="C46" s="500">
        <f>SUM(C34:C45)</f>
        <v>0</v>
      </c>
      <c r="D46" s="157" t="str">
        <f t="shared" si="0"/>
        <v/>
      </c>
      <c r="E46" s="240">
        <f>SUM(E34:E45)</f>
        <v>0</v>
      </c>
      <c r="F46" s="157" t="str">
        <f t="shared" si="0"/>
        <v/>
      </c>
      <c r="G46" s="240">
        <f>SUM(G34:G45)</f>
        <v>0</v>
      </c>
      <c r="H46" s="157" t="str">
        <f t="shared" ref="H46" si="90">IF(G46=0,"",G46/G$7)</f>
        <v/>
      </c>
      <c r="I46" s="240">
        <f>SUM(I34:I45)</f>
        <v>0</v>
      </c>
      <c r="J46" s="157" t="str">
        <f t="shared" ref="J46" si="91">IF(I46=0,"",I46/I$7)</f>
        <v/>
      </c>
      <c r="K46" s="240">
        <f>SUM(K34:K45)</f>
        <v>0</v>
      </c>
      <c r="L46" s="157" t="str">
        <f t="shared" ref="L46" si="92">IF(K46=0,"",K46/K$7)</f>
        <v/>
      </c>
    </row>
    <row r="47" spans="2:12" ht="22.5" customHeight="1" x14ac:dyDescent="0.35">
      <c r="B47" s="225" t="s">
        <v>259</v>
      </c>
      <c r="C47" s="500">
        <f>C14+C23+C33+C46</f>
        <v>0</v>
      </c>
      <c r="D47" s="157" t="str">
        <f t="shared" si="0"/>
        <v/>
      </c>
      <c r="E47" s="500">
        <f>E14+E23+E33+E46</f>
        <v>0</v>
      </c>
      <c r="F47" s="157" t="str">
        <f t="shared" si="0"/>
        <v/>
      </c>
      <c r="G47" s="500">
        <f>G14+G23+G33+G46</f>
        <v>0</v>
      </c>
      <c r="H47" s="157" t="str">
        <f t="shared" ref="H47" si="93">IF(G47=0,"",G47/G$7)</f>
        <v/>
      </c>
      <c r="I47" s="500">
        <f>I14+I23+I33+I46</f>
        <v>0</v>
      </c>
      <c r="J47" s="157" t="str">
        <f t="shared" ref="J47" si="94">IF(I47=0,"",I47/I$7)</f>
        <v/>
      </c>
      <c r="K47" s="500">
        <f>K14+K23+K33+K46</f>
        <v>0</v>
      </c>
      <c r="L47" s="157" t="str">
        <f t="shared" ref="L47" si="95">IF(K47=0,"",K47/K$7)</f>
        <v/>
      </c>
    </row>
    <row r="48" spans="2:12" ht="22.5" customHeight="1" x14ac:dyDescent="0.35">
      <c r="B48" s="227" t="s">
        <v>260</v>
      </c>
      <c r="C48" s="489"/>
      <c r="D48" s="59" t="str">
        <f t="shared" si="0"/>
        <v/>
      </c>
      <c r="E48" s="242">
        <f>SUM(E36:E47)</f>
        <v>0</v>
      </c>
      <c r="F48" s="59" t="str">
        <f t="shared" si="0"/>
        <v/>
      </c>
      <c r="G48" s="242">
        <f>SUM(G36:G47)</f>
        <v>0</v>
      </c>
      <c r="H48" s="59" t="str">
        <f t="shared" ref="H48" si="96">IF(G48=0,"",G48/G$7)</f>
        <v/>
      </c>
      <c r="I48" s="242">
        <f>SUM(I36:I47)</f>
        <v>0</v>
      </c>
      <c r="J48" s="59" t="str">
        <f t="shared" ref="J48" si="97">IF(I48=0,"",I48/I$7)</f>
        <v/>
      </c>
      <c r="K48" s="242">
        <f>SUM(K36:K47)</f>
        <v>0</v>
      </c>
      <c r="L48" s="59" t="str">
        <f t="shared" ref="L48" si="98">IF(K48=0,"",K48/K$7)</f>
        <v/>
      </c>
    </row>
    <row r="49" spans="2:12" ht="22.5" customHeight="1" x14ac:dyDescent="0.35">
      <c r="B49" s="211" t="s">
        <v>93</v>
      </c>
      <c r="C49" s="500">
        <f>SUM(C47:C48)</f>
        <v>0</v>
      </c>
      <c r="D49" s="157" t="str">
        <f t="shared" si="0"/>
        <v/>
      </c>
      <c r="E49" s="240">
        <f>SUM(E47:E48)</f>
        <v>0</v>
      </c>
      <c r="F49" s="157" t="str">
        <f t="shared" si="0"/>
        <v/>
      </c>
      <c r="G49" s="240">
        <f>SUM(G47:G48)</f>
        <v>0</v>
      </c>
      <c r="H49" s="157" t="str">
        <f t="shared" ref="H49" si="99">IF(G49=0,"",G49/G$7)</f>
        <v/>
      </c>
      <c r="I49" s="240">
        <f>SUM(I47:I48)</f>
        <v>0</v>
      </c>
      <c r="J49" s="157" t="str">
        <f t="shared" ref="J49" si="100">IF(I49=0,"",I49/I$7)</f>
        <v/>
      </c>
      <c r="K49" s="240">
        <f>SUM(K47:K48)</f>
        <v>0</v>
      </c>
      <c r="L49" s="157" t="str">
        <f t="shared" ref="L49" si="101">IF(K49=0,"",K49/K$7)</f>
        <v/>
      </c>
    </row>
    <row r="50" spans="2:12" ht="22.5" customHeight="1" x14ac:dyDescent="0.35">
      <c r="B50" s="228" t="s">
        <v>261</v>
      </c>
      <c r="C50" s="501"/>
      <c r="D50" s="550" t="str">
        <f t="shared" si="0"/>
        <v/>
      </c>
      <c r="E50" s="288">
        <f>SUM(E40:E49)</f>
        <v>0</v>
      </c>
      <c r="F50" s="550" t="str">
        <f t="shared" si="0"/>
        <v/>
      </c>
      <c r="G50" s="288">
        <f>SUM(G40:G49)</f>
        <v>0</v>
      </c>
      <c r="H50" s="550" t="str">
        <f t="shared" ref="H50" si="102">IF(G50=0,"",G50/G$7)</f>
        <v/>
      </c>
      <c r="I50" s="288">
        <f>SUM(I40:I49)</f>
        <v>0</v>
      </c>
      <c r="J50" s="550" t="str">
        <f t="shared" ref="J50" si="103">IF(I50=0,"",I50/I$7)</f>
        <v/>
      </c>
      <c r="K50" s="288">
        <f>SUM(K40:K49)</f>
        <v>0</v>
      </c>
      <c r="L50" s="550" t="str">
        <f t="shared" ref="L50" si="104">IF(K50=0,"",K50/K$7)</f>
        <v/>
      </c>
    </row>
    <row r="51" spans="2:12" ht="22.5" customHeight="1" x14ac:dyDescent="0.35">
      <c r="B51" s="211" t="s">
        <v>267</v>
      </c>
      <c r="C51" s="500">
        <f>C49-C50</f>
        <v>0</v>
      </c>
      <c r="D51" s="157" t="str">
        <f t="shared" si="0"/>
        <v/>
      </c>
      <c r="E51" s="240">
        <f>E49-E50</f>
        <v>0</v>
      </c>
      <c r="F51" s="157" t="str">
        <f t="shared" si="0"/>
        <v/>
      </c>
      <c r="G51" s="240">
        <f>G49-G50</f>
        <v>0</v>
      </c>
      <c r="H51" s="157" t="str">
        <f t="shared" ref="H51" si="105">IF(G51=0,"",G51/G$7)</f>
        <v/>
      </c>
      <c r="I51" s="240">
        <f>I49-I50</f>
        <v>0</v>
      </c>
      <c r="J51" s="157" t="str">
        <f t="shared" ref="J51" si="106">IF(I51=0,"",I51/I$7)</f>
        <v/>
      </c>
      <c r="K51" s="240">
        <f>K49-K50</f>
        <v>0</v>
      </c>
      <c r="L51" s="157" t="str">
        <f t="shared" ref="L51" si="107">IF(K51=0,"",K51/K$7)</f>
        <v/>
      </c>
    </row>
    <row r="52" spans="2:12" x14ac:dyDescent="0.35">
      <c r="B52" s="177"/>
      <c r="C52" s="502"/>
      <c r="D52" s="551"/>
      <c r="E52" s="281"/>
      <c r="F52" s="551"/>
      <c r="G52" s="281"/>
      <c r="H52" s="551"/>
      <c r="I52" s="281"/>
      <c r="J52" s="551"/>
      <c r="K52" s="281"/>
      <c r="L52" s="551"/>
    </row>
    <row r="53" spans="2:12" x14ac:dyDescent="0.35">
      <c r="B53" s="177"/>
      <c r="C53" s="502"/>
      <c r="D53" s="551"/>
      <c r="E53" s="281"/>
      <c r="F53" s="551"/>
      <c r="G53" s="281"/>
      <c r="H53" s="551"/>
      <c r="I53" s="281"/>
      <c r="J53" s="551"/>
      <c r="K53" s="281"/>
      <c r="L53" s="551"/>
    </row>
    <row r="54" spans="2:12" x14ac:dyDescent="0.35">
      <c r="B54" s="177"/>
      <c r="C54" s="502"/>
      <c r="D54" s="551"/>
      <c r="E54" s="281"/>
      <c r="F54" s="551"/>
      <c r="G54" s="281"/>
      <c r="H54" s="551"/>
      <c r="I54" s="281"/>
      <c r="J54" s="551"/>
      <c r="K54" s="281"/>
      <c r="L54" s="551"/>
    </row>
    <row r="55" spans="2:12" x14ac:dyDescent="0.35">
      <c r="B55" s="177"/>
      <c r="C55" s="502"/>
      <c r="D55" s="551"/>
      <c r="E55" s="281"/>
      <c r="F55" s="551"/>
      <c r="G55" s="281"/>
      <c r="H55" s="551"/>
      <c r="I55" s="281"/>
      <c r="J55" s="551"/>
      <c r="K55" s="281"/>
      <c r="L55" s="551"/>
    </row>
    <row r="56" spans="2:12" x14ac:dyDescent="0.35">
      <c r="B56" s="177"/>
      <c r="C56" s="502"/>
      <c r="D56" s="551"/>
      <c r="E56" s="281"/>
      <c r="F56" s="551"/>
      <c r="G56" s="281"/>
      <c r="H56" s="551"/>
      <c r="I56" s="281"/>
      <c r="J56" s="551"/>
      <c r="K56" s="281"/>
      <c r="L56" s="551"/>
    </row>
    <row r="57" spans="2:12" x14ac:dyDescent="0.35">
      <c r="B57" s="177"/>
      <c r="C57" s="502"/>
      <c r="D57" s="551"/>
      <c r="E57" s="281"/>
      <c r="F57" s="551"/>
      <c r="G57" s="281"/>
      <c r="H57" s="551"/>
      <c r="I57" s="281"/>
      <c r="J57" s="551"/>
      <c r="K57" s="281"/>
      <c r="L57" s="551"/>
    </row>
    <row r="58" spans="2:12" x14ac:dyDescent="0.35">
      <c r="B58" s="177"/>
      <c r="C58" s="502"/>
      <c r="D58" s="551"/>
      <c r="E58" s="281"/>
      <c r="F58" s="551"/>
      <c r="G58" s="281"/>
      <c r="H58" s="551"/>
      <c r="I58" s="281"/>
      <c r="J58" s="551"/>
      <c r="K58" s="281"/>
      <c r="L58" s="551"/>
    </row>
    <row r="59" spans="2:12" x14ac:dyDescent="0.35">
      <c r="B59" s="177"/>
      <c r="C59" s="502"/>
      <c r="D59" s="551"/>
      <c r="E59" s="281"/>
      <c r="F59" s="551"/>
      <c r="G59" s="281"/>
      <c r="H59" s="551"/>
      <c r="I59" s="281"/>
      <c r="J59" s="551"/>
      <c r="K59" s="281"/>
      <c r="L59" s="551"/>
    </row>
    <row r="60" spans="2:12" x14ac:dyDescent="0.35">
      <c r="C60" s="236"/>
      <c r="E60" s="236"/>
      <c r="G60" s="236"/>
      <c r="I60" s="496"/>
      <c r="K60" s="236"/>
    </row>
    <row r="61" spans="2:12" x14ac:dyDescent="0.35">
      <c r="C61" s="236"/>
      <c r="E61" s="236"/>
      <c r="G61" s="236"/>
      <c r="I61" s="496"/>
      <c r="K61" s="236"/>
    </row>
    <row r="62" spans="2:12" x14ac:dyDescent="0.35">
      <c r="C62" s="236"/>
      <c r="E62" s="236"/>
      <c r="G62" s="236"/>
      <c r="I62" s="496"/>
      <c r="K62" s="236"/>
    </row>
  </sheetData>
  <mergeCells count="1">
    <mergeCell ref="B5:B6"/>
  </mergeCells>
  <phoneticPr fontId="1"/>
  <pageMargins left="0.7" right="0.7" top="0.75" bottom="0.75" header="0.3" footer="0.3"/>
  <ignoredErrors>
    <ignoredError sqref="D14:L5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01D-4D9D-4149-8687-FD65B42C27ED}">
  <dimension ref="B2:M54"/>
  <sheetViews>
    <sheetView showGridLines="0" zoomScale="70" zoomScaleNormal="70" workbookViewId="0">
      <pane ySplit="4" topLeftCell="A5" activePane="bottomLeft" state="frozen"/>
      <selection pane="bottomLeft" activeCell="A5" sqref="A5"/>
    </sheetView>
  </sheetViews>
  <sheetFormatPr defaultRowHeight="18" x14ac:dyDescent="0.35"/>
  <cols>
    <col min="2" max="2" width="28" style="184" bestFit="1" customWidth="1"/>
    <col min="3" max="7" width="15" customWidth="1"/>
    <col min="8" max="9" width="15" style="177" customWidth="1"/>
    <col min="10" max="12" width="15" customWidth="1"/>
    <col min="13" max="13" width="16.125" customWidth="1"/>
    <col min="14" max="14" width="8.875" customWidth="1"/>
  </cols>
  <sheetData>
    <row r="2" spans="2:13" ht="18.75" x14ac:dyDescent="0.35">
      <c r="B2"/>
      <c r="C2" s="177"/>
      <c r="D2" s="192"/>
      <c r="G2" s="177"/>
      <c r="H2" s="73" t="s">
        <v>66</v>
      </c>
      <c r="I2"/>
      <c r="K2" s="177"/>
      <c r="L2" s="192"/>
    </row>
    <row r="3" spans="2:13" ht="19.5" x14ac:dyDescent="0.35">
      <c r="B3" s="564" t="s">
        <v>208</v>
      </c>
      <c r="C3" s="195" t="str">
        <f>'BS(借方)'!C4</f>
        <v>23年12月期</v>
      </c>
      <c r="D3" s="197"/>
      <c r="E3" s="198" t="str">
        <f>'BS(借方)'!D4</f>
        <v>24年12月期</v>
      </c>
      <c r="F3" s="176"/>
      <c r="G3" s="199" t="str">
        <f>'BS(借方)'!E4</f>
        <v>25年12月期</v>
      </c>
      <c r="H3" s="200"/>
      <c r="I3" s="201" t="str">
        <f>'BS(借方)'!F4</f>
        <v>●●年●月期</v>
      </c>
      <c r="J3" s="202"/>
      <c r="K3" s="203" t="str">
        <f>'BS(借方)'!G4</f>
        <v>●●年●月
（●か月TB）</v>
      </c>
      <c r="L3" s="204"/>
    </row>
    <row r="4" spans="2:13" ht="19.5" x14ac:dyDescent="0.35">
      <c r="B4" s="564"/>
      <c r="C4" s="219" t="s">
        <v>226</v>
      </c>
      <c r="D4" s="193" t="s">
        <v>227</v>
      </c>
      <c r="E4" s="219" t="s">
        <v>226</v>
      </c>
      <c r="F4" s="219" t="s">
        <v>227</v>
      </c>
      <c r="G4" s="219" t="s">
        <v>226</v>
      </c>
      <c r="H4" s="193" t="s">
        <v>227</v>
      </c>
      <c r="I4" s="219" t="s">
        <v>226</v>
      </c>
      <c r="J4" s="193" t="s">
        <v>227</v>
      </c>
      <c r="K4" s="220" t="s">
        <v>226</v>
      </c>
      <c r="L4" s="194" t="s">
        <v>227</v>
      </c>
    </row>
    <row r="5" spans="2:13" ht="22.5" customHeight="1" x14ac:dyDescent="0.35">
      <c r="B5" s="221" t="s">
        <v>252</v>
      </c>
      <c r="C5" s="498">
        <f>PL!C11</f>
        <v>325866987</v>
      </c>
      <c r="D5" s="253" t="s">
        <v>56</v>
      </c>
      <c r="E5" s="499">
        <f>PL!E11</f>
        <v>346561600</v>
      </c>
      <c r="F5" s="253" t="s">
        <v>56</v>
      </c>
      <c r="G5" s="499">
        <f>PL!G11</f>
        <v>357540639</v>
      </c>
      <c r="H5" s="253" t="s">
        <v>56</v>
      </c>
      <c r="I5" s="499">
        <f>PL!I11</f>
        <v>0</v>
      </c>
      <c r="J5" s="253" t="s">
        <v>56</v>
      </c>
      <c r="K5" s="499">
        <f>PL!K11</f>
        <v>0</v>
      </c>
      <c r="L5" s="253" t="s">
        <v>56</v>
      </c>
      <c r="M5" s="252" t="s">
        <v>253</v>
      </c>
    </row>
    <row r="6" spans="2:13" ht="22.5" customHeight="1" x14ac:dyDescent="0.35">
      <c r="B6" s="222" t="s">
        <v>526</v>
      </c>
      <c r="C6" s="241">
        <v>10500000</v>
      </c>
      <c r="D6" s="251">
        <f>C6/$C$5</f>
        <v>3.2221735919508776E-2</v>
      </c>
      <c r="E6" s="248">
        <v>17120000</v>
      </c>
      <c r="F6" s="251">
        <f>E6/$E$5</f>
        <v>4.9399587259523273E-2</v>
      </c>
      <c r="G6" s="248">
        <v>11870000</v>
      </c>
      <c r="H6" s="251">
        <f>G6/$G$5</f>
        <v>3.3199023286413047E-2</v>
      </c>
      <c r="I6" s="248"/>
      <c r="J6" s="251">
        <f>IFERROR(I6/$I$5,"")</f>
      </c>
      <c r="K6" s="248"/>
      <c r="L6" s="251">
        <f>IFERROR(K6/$K$5,"")</f>
      </c>
    </row>
    <row r="7" spans="2:13" ht="22.5" customHeight="1" x14ac:dyDescent="0.35">
      <c r="B7" s="207" t="s">
        <v>527</v>
      </c>
      <c r="C7" s="241">
        <v>64348988</v>
      </c>
      <c r="D7" s="251">
        <f t="shared" ref="D7:D39" si="0">C7/$C$5</f>
        <v>0.19747010457367994</v>
      </c>
      <c r="E7" s="248">
        <v>65194441</v>
      </c>
      <c r="F7" s="251">
        <f t="shared" ref="F7:F39" si="1">E7/$E$5</f>
        <v>0.18811790169482134</v>
      </c>
      <c r="G7" s="248">
        <v>64753816</v>
      </c>
      <c r="H7" s="251">
        <f t="shared" ref="H7:H39" si="2">G7/$G$5</f>
        <v>0.18110896758787748</v>
      </c>
      <c r="I7" s="248"/>
      <c r="J7" s="251">
        <f t="shared" ref="J7:J39" si="3">IFERROR(I7/$I$5,"")</f>
      </c>
      <c r="K7" s="248"/>
      <c r="L7" s="251">
        <f t="shared" ref="L7:L39" si="4">IFERROR(K7/$K$5,"")</f>
      </c>
    </row>
    <row r="8" spans="2:13" ht="22.5" customHeight="1" x14ac:dyDescent="0.35">
      <c r="B8" s="207" t="s">
        <v>528</v>
      </c>
      <c r="C8" s="241">
        <v>3549000</v>
      </c>
      <c r="D8" s="251">
        <f t="shared" si="0"/>
        <v>1.0890946740793966E-2</v>
      </c>
      <c r="E8" s="248">
        <v>3405000</v>
      </c>
      <c r="F8" s="251">
        <f t="shared" si="1"/>
        <v>9.8250931436142958E-3</v>
      </c>
      <c r="G8" s="248">
        <v>3197000</v>
      </c>
      <c r="H8" s="251">
        <f t="shared" si="2"/>
        <v>8.9416408969387115E-3</v>
      </c>
      <c r="I8" s="248"/>
      <c r="J8" s="251">
        <f t="shared" si="3"/>
      </c>
      <c r="K8" s="248"/>
      <c r="L8" s="251">
        <f t="shared" si="4"/>
      </c>
    </row>
    <row r="9" spans="2:13" ht="22.5" customHeight="1" x14ac:dyDescent="0.35">
      <c r="B9" s="207" t="s">
        <v>529</v>
      </c>
      <c r="C9" s="241">
        <v>370000</v>
      </c>
      <c r="D9" s="251">
        <f t="shared" si="0"/>
        <v>1.1354325990684045E-3</v>
      </c>
      <c r="E9" s="248"/>
      <c r="F9" s="251">
        <f t="shared" si="1"/>
        <v>0</v>
      </c>
      <c r="G9" s="248"/>
      <c r="H9" s="251">
        <f t="shared" si="2"/>
        <v>0</v>
      </c>
      <c r="I9" s="248"/>
      <c r="J9" s="251">
        <f t="shared" si="3"/>
      </c>
      <c r="K9" s="248"/>
      <c r="L9" s="251">
        <f t="shared" si="4"/>
      </c>
    </row>
    <row r="10" spans="2:13" ht="22.5" customHeight="1" x14ac:dyDescent="0.35">
      <c r="B10" s="207" t="s">
        <v>530</v>
      </c>
      <c r="C10" s="241">
        <v>11424051</v>
      </c>
      <c r="D10" s="251">
        <f t="shared" si="0"/>
        <v>3.5057405186000014E-2</v>
      </c>
      <c r="E10" s="248">
        <v>12207732</v>
      </c>
      <c r="F10" s="251">
        <f t="shared" si="1"/>
        <v>3.5225287510214635E-2</v>
      </c>
      <c r="G10" s="248">
        <v>10842135</v>
      </c>
      <c r="H10" s="251">
        <f t="shared" si="2"/>
        <v>3.0324203229943884E-2</v>
      </c>
      <c r="I10" s="248"/>
      <c r="J10" s="251">
        <f t="shared" si="3"/>
      </c>
      <c r="K10" s="248"/>
      <c r="L10" s="251">
        <f t="shared" si="4"/>
      </c>
    </row>
    <row r="11" spans="2:13" ht="22.5" customHeight="1" x14ac:dyDescent="0.35">
      <c r="B11" s="207" t="s">
        <v>531</v>
      </c>
      <c r="C11" s="241">
        <v>1851569</v>
      </c>
      <c r="D11" s="251">
        <f t="shared" si="0"/>
        <v>5.6819778433094235E-3</v>
      </c>
      <c r="E11" s="248">
        <v>2218165</v>
      </c>
      <c r="F11" s="251">
        <f t="shared" si="1"/>
        <v>6.4004927262570352E-3</v>
      </c>
      <c r="G11" s="248">
        <v>2913601</v>
      </c>
      <c r="H11" s="251">
        <f t="shared" si="2"/>
        <v>8.1490065245422346E-3</v>
      </c>
      <c r="I11" s="248"/>
      <c r="J11" s="251">
        <f t="shared" si="3"/>
      </c>
      <c r="K11" s="248"/>
      <c r="L11" s="251">
        <f t="shared" si="4"/>
      </c>
    </row>
    <row r="12" spans="2:13" ht="22.5" customHeight="1" x14ac:dyDescent="0.35">
      <c r="B12" s="207" t="s">
        <v>532</v>
      </c>
      <c r="C12" s="241">
        <v>291360</v>
      </c>
      <c r="D12" s="251">
        <f t="shared" si="0"/>
        <v>8.9410714071505506E-4</v>
      </c>
      <c r="E12" s="248">
        <v>184800</v>
      </c>
      <c r="F12" s="251">
        <f t="shared" si="1"/>
        <v>5.3323853537148955E-4</v>
      </c>
      <c r="G12" s="248">
        <v>88700</v>
      </c>
      <c r="H12" s="251">
        <f t="shared" si="2"/>
        <v>2.4808368706864678E-4</v>
      </c>
      <c r="I12" s="248"/>
      <c r="J12" s="251">
        <f t="shared" si="3"/>
      </c>
      <c r="K12" s="248"/>
      <c r="L12" s="251">
        <f t="shared" si="4"/>
      </c>
    </row>
    <row r="13" spans="2:13" ht="22.5" customHeight="1" x14ac:dyDescent="0.35">
      <c r="B13" s="207" t="s">
        <v>533</v>
      </c>
      <c r="C13" s="241">
        <v>1200593</v>
      </c>
      <c r="D13" s="251">
        <f t="shared" si="0"/>
        <v>3.6843038659819813E-3</v>
      </c>
      <c r="E13" s="248">
        <v>1208388</v>
      </c>
      <c r="F13" s="251">
        <f t="shared" si="1"/>
        <v>3.4867913813878978E-3</v>
      </c>
      <c r="G13" s="248">
        <v>1053123</v>
      </c>
      <c r="H13" s="251">
        <f t="shared" si="2"/>
        <v>2.9454637742592389E-3</v>
      </c>
      <c r="I13" s="248"/>
      <c r="J13" s="251">
        <f t="shared" si="3"/>
      </c>
      <c r="K13" s="248"/>
      <c r="L13" s="251">
        <f t="shared" si="4"/>
      </c>
    </row>
    <row r="14" spans="2:13" ht="22.5" customHeight="1" x14ac:dyDescent="0.35">
      <c r="B14" s="207" t="s">
        <v>534</v>
      </c>
      <c r="C14" s="241">
        <v>547960</v>
      </c>
      <c r="D14" s="251">
        <f t="shared" si="0"/>
        <v>1.6815449918527647E-3</v>
      </c>
      <c r="E14" s="248">
        <v>180010</v>
      </c>
      <c r="F14" s="251">
        <f t="shared" si="1"/>
        <v>5.194170387024991E-4</v>
      </c>
      <c r="G14" s="248">
        <v>86721</v>
      </c>
      <c r="H14" s="251">
        <f t="shared" si="2"/>
        <v>2.4254865193100469E-4</v>
      </c>
      <c r="I14" s="248"/>
      <c r="J14" s="251">
        <f t="shared" si="3"/>
      </c>
      <c r="K14" s="248"/>
      <c r="L14" s="251">
        <f t="shared" si="4"/>
      </c>
    </row>
    <row r="15" spans="2:13" ht="22.5" customHeight="1" x14ac:dyDescent="0.35">
      <c r="B15" s="207" t="s">
        <v>535</v>
      </c>
      <c r="C15" s="241">
        <v>272805</v>
      </c>
      <c r="D15" s="251">
        <f t="shared" si="0"/>
        <v>8.3716673024015163E-4</v>
      </c>
      <c r="E15" s="248">
        <v>366979</v>
      </c>
      <c r="F15" s="251">
        <f t="shared" si="1"/>
        <v>1.0589142016888195E-3</v>
      </c>
      <c r="G15" s="248">
        <v>459575</v>
      </c>
      <c r="H15" s="251">
        <f t="shared" si="2"/>
        <v>1.2853783594653138E-3</v>
      </c>
      <c r="I15" s="248"/>
      <c r="J15" s="251">
        <f t="shared" si="3"/>
      </c>
      <c r="K15" s="248"/>
      <c r="L15" s="251">
        <f t="shared" si="4"/>
      </c>
    </row>
    <row r="16" spans="2:13" ht="22.5" customHeight="1" x14ac:dyDescent="0.35">
      <c r="B16" s="207" t="s">
        <v>244</v>
      </c>
      <c r="C16" s="241">
        <v>2801560</v>
      </c>
      <c r="D16" s="251">
        <f t="shared" si="0"/>
        <v>8.5972501412056208E-3</v>
      </c>
      <c r="E16" s="248">
        <v>2701132</v>
      </c>
      <c r="F16" s="251">
        <f t="shared" si="1"/>
        <v>7.7940891316291248E-3</v>
      </c>
      <c r="G16" s="248">
        <v>2770899</v>
      </c>
      <c r="H16" s="251">
        <f t="shared" si="2"/>
        <v>7.7498854612719987E-3</v>
      </c>
      <c r="I16" s="248"/>
      <c r="J16" s="251">
        <f t="shared" si="3"/>
      </c>
      <c r="K16" s="248"/>
      <c r="L16" s="251">
        <f t="shared" si="4"/>
      </c>
    </row>
    <row r="17" spans="2:12" ht="22.5" customHeight="1" x14ac:dyDescent="0.35">
      <c r="B17" s="207" t="s">
        <v>248</v>
      </c>
      <c r="C17" s="241">
        <v>1043002</v>
      </c>
      <c r="D17" s="251">
        <f t="shared" si="0"/>
        <v>3.2006985721447136E-3</v>
      </c>
      <c r="E17" s="248">
        <v>1254118</v>
      </c>
      <c r="F17" s="251">
        <f t="shared" si="1"/>
        <v>3.6187448349730609E-3</v>
      </c>
      <c r="G17" s="248">
        <v>1367473</v>
      </c>
      <c r="H17" s="251">
        <f t="shared" si="2"/>
        <v>3.8246645299529155E-3</v>
      </c>
      <c r="I17" s="248"/>
      <c r="J17" s="251">
        <f t="shared" si="3"/>
      </c>
      <c r="K17" s="248"/>
      <c r="L17" s="251">
        <f t="shared" si="4"/>
      </c>
    </row>
    <row r="18" spans="2:12" ht="22.5" customHeight="1" x14ac:dyDescent="0.35">
      <c r="B18" s="207" t="s">
        <v>242</v>
      </c>
      <c r="C18" s="241">
        <v>2345684</v>
      </c>
      <c r="D18" s="251">
        <f t="shared" si="0"/>
        <v>7.1982867046301935E-3</v>
      </c>
      <c r="E18" s="248">
        <v>4467693</v>
      </c>
      <c r="F18" s="251">
        <f t="shared" si="1"/>
        <v>1.2891483072561992E-2</v>
      </c>
      <c r="G18" s="248">
        <v>3124510</v>
      </c>
      <c r="H18" s="251">
        <f t="shared" si="2"/>
        <v>8.7388947134482246E-3</v>
      </c>
      <c r="I18" s="248"/>
      <c r="J18" s="251">
        <f t="shared" si="3"/>
      </c>
      <c r="K18" s="248"/>
      <c r="L18" s="251">
        <f t="shared" si="4"/>
      </c>
    </row>
    <row r="19" spans="2:12" ht="22.5" customHeight="1" x14ac:dyDescent="0.35">
      <c r="B19" s="207" t="s">
        <v>536</v>
      </c>
      <c r="C19" s="241">
        <v>1991419</v>
      </c>
      <c r="D19" s="251">
        <f t="shared" si="0"/>
        <v>6.1111406783897386E-3</v>
      </c>
      <c r="E19" s="248">
        <v>1929685</v>
      </c>
      <c r="F19" s="251">
        <f t="shared" si="1"/>
        <v>5.5680865970147873E-3</v>
      </c>
      <c r="G19" s="248">
        <v>1771435</v>
      </c>
      <c r="H19" s="251">
        <f t="shared" si="2"/>
        <v>4.9544997317074214E-3</v>
      </c>
      <c r="I19" s="248"/>
      <c r="J19" s="251">
        <f t="shared" si="3"/>
      </c>
      <c r="K19" s="248"/>
      <c r="L19" s="251">
        <f t="shared" si="4"/>
      </c>
    </row>
    <row r="20" spans="2:12" ht="22.5" customHeight="1" x14ac:dyDescent="0.35">
      <c r="B20" s="207" t="s">
        <v>241</v>
      </c>
      <c r="C20" s="241">
        <v>805390</v>
      </c>
      <c r="D20" s="251">
        <f t="shared" si="0"/>
        <v>2.471529894496493E-3</v>
      </c>
      <c r="E20" s="248">
        <v>926390</v>
      </c>
      <c r="F20" s="251">
        <f t="shared" si="1"/>
        <v>2.6730889977423927E-3</v>
      </c>
      <c r="G20" s="248">
        <v>532686</v>
      </c>
      <c r="H20" s="251">
        <f t="shared" si="2"/>
        <v>1.4898614084537674E-3</v>
      </c>
      <c r="I20" s="248"/>
      <c r="J20" s="251">
        <f t="shared" si="3"/>
      </c>
      <c r="K20" s="248"/>
      <c r="L20" s="251">
        <f t="shared" si="4"/>
      </c>
    </row>
    <row r="21" spans="2:12" ht="22.5" customHeight="1" x14ac:dyDescent="0.35">
      <c r="B21" s="207" t="s">
        <v>243</v>
      </c>
      <c r="C21" s="241">
        <v>1033592</v>
      </c>
      <c r="D21" s="251">
        <f t="shared" si="0"/>
        <v>3.1718217592873253E-3</v>
      </c>
      <c r="E21" s="248">
        <v>1113959</v>
      </c>
      <c r="F21" s="251">
        <f t="shared" si="1"/>
        <v>3.2143174546747245E-3</v>
      </c>
      <c r="G21" s="248">
        <v>1037468</v>
      </c>
      <c r="H21" s="251">
        <f t="shared" si="2"/>
        <v>2.9016785417782954E-3</v>
      </c>
      <c r="I21" s="248"/>
      <c r="J21" s="251">
        <f t="shared" si="3"/>
      </c>
      <c r="K21" s="248"/>
      <c r="L21" s="251">
        <f t="shared" si="4"/>
      </c>
    </row>
    <row r="22" spans="2:12" ht="22.5" customHeight="1" x14ac:dyDescent="0.35">
      <c r="B22" s="207" t="s">
        <v>537</v>
      </c>
      <c r="C22" s="241">
        <v>125589</v>
      </c>
      <c r="D22" s="251">
        <f t="shared" si="0"/>
        <v>3.8539958022811314E-4</v>
      </c>
      <c r="E22" s="248">
        <v>140970</v>
      </c>
      <c r="F22" s="251">
        <f t="shared" si="1"/>
        <v>4.0676751261536188E-4</v>
      </c>
      <c r="G22" s="248">
        <v>170827</v>
      </c>
      <c r="H22" s="251">
        <f t="shared" si="2"/>
        <v>4.7778344995350302E-4</v>
      </c>
      <c r="I22" s="248"/>
      <c r="J22" s="251">
        <f t="shared" si="3"/>
      </c>
      <c r="K22" s="248"/>
      <c r="L22" s="251">
        <f t="shared" si="4"/>
      </c>
    </row>
    <row r="23" spans="2:12" ht="22.5" customHeight="1" x14ac:dyDescent="0.35">
      <c r="B23" s="207" t="s">
        <v>249</v>
      </c>
      <c r="C23" s="241">
        <v>562500</v>
      </c>
      <c r="D23" s="251">
        <f t="shared" si="0"/>
        <v>1.7261644242593987E-3</v>
      </c>
      <c r="E23" s="248">
        <v>687001</v>
      </c>
      <c r="F23" s="251">
        <f t="shared" si="1"/>
        <v>1.9823344536728823E-3</v>
      </c>
      <c r="G23" s="248">
        <v>571330</v>
      </c>
      <c r="H23" s="251">
        <f t="shared" si="2"/>
        <v>1.5979442269777899E-3</v>
      </c>
      <c r="I23" s="248"/>
      <c r="J23" s="251">
        <f t="shared" si="3"/>
      </c>
      <c r="K23" s="248"/>
      <c r="L23" s="251">
        <f t="shared" si="4"/>
      </c>
    </row>
    <row r="24" spans="2:12" ht="22.5" customHeight="1" x14ac:dyDescent="0.35">
      <c r="B24" s="207" t="s">
        <v>245</v>
      </c>
      <c r="C24" s="241">
        <v>9571976</v>
      </c>
      <c r="D24" s="251">
        <f t="shared" si="0"/>
        <v>2.9373874561892947E-2</v>
      </c>
      <c r="E24" s="248">
        <v>6925601</v>
      </c>
      <c r="F24" s="251">
        <f t="shared" si="1"/>
        <v>1.9983751806316685E-2</v>
      </c>
      <c r="G24" s="248">
        <v>9654287</v>
      </c>
      <c r="H24" s="251">
        <f t="shared" si="2"/>
        <v>2.7001929142941427E-2</v>
      </c>
      <c r="I24" s="248"/>
      <c r="J24" s="251">
        <f t="shared" si="3"/>
      </c>
      <c r="K24" s="248"/>
      <c r="L24" s="251">
        <f t="shared" si="4"/>
      </c>
    </row>
    <row r="25" spans="2:12" ht="22.5" customHeight="1" x14ac:dyDescent="0.35">
      <c r="B25" s="207" t="s">
        <v>538</v>
      </c>
      <c r="C25" s="241">
        <v>16889664</v>
      </c>
      <c r="D25" s="251">
        <f t="shared" si="0"/>
        <v>5.1829932683546125E-2</v>
      </c>
      <c r="E25" s="248">
        <v>17046964</v>
      </c>
      <c r="F25" s="251">
        <f t="shared" si="1"/>
        <v>4.9188842618455131E-2</v>
      </c>
      <c r="G25" s="248">
        <v>17105264</v>
      </c>
      <c r="H25" s="251">
        <f t="shared" si="2"/>
        <v>4.7841453905327951E-2</v>
      </c>
      <c r="I25" s="248"/>
      <c r="J25" s="251">
        <f t="shared" si="3"/>
      </c>
      <c r="K25" s="248"/>
      <c r="L25" s="251">
        <f t="shared" si="4"/>
      </c>
    </row>
    <row r="26" spans="2:12" ht="22.5" customHeight="1" x14ac:dyDescent="0.35">
      <c r="B26" s="207" t="s">
        <v>240</v>
      </c>
      <c r="C26" s="241">
        <v>109263</v>
      </c>
      <c r="D26" s="251">
        <f t="shared" si="0"/>
        <v>3.3529938397840832E-4</v>
      </c>
      <c r="E26" s="248">
        <v>109263</v>
      </c>
      <c r="F26" s="251">
        <f t="shared" si="1"/>
        <v>3.1527728403839316E-4</v>
      </c>
      <c r="G26" s="248">
        <v>111925</v>
      </c>
      <c r="H26" s="251">
        <f t="shared" si="2"/>
        <v>3.1304133793865038E-4</v>
      </c>
      <c r="I26" s="248"/>
      <c r="J26" s="251">
        <f t="shared" si="3"/>
      </c>
      <c r="K26" s="248"/>
      <c r="L26" s="251">
        <f t="shared" si="4"/>
      </c>
    </row>
    <row r="27" spans="2:12" ht="22.5" customHeight="1" x14ac:dyDescent="0.35">
      <c r="B27" s="207" t="s">
        <v>247</v>
      </c>
      <c r="C27" s="241">
        <v>1353440</v>
      </c>
      <c r="D27" s="251">
        <f t="shared" si="0"/>
        <v>4.1533510726571394E-3</v>
      </c>
      <c r="E27" s="248">
        <v>2474330</v>
      </c>
      <c r="F27" s="251">
        <f t="shared" si="1"/>
        <v>7.139654249057022E-3</v>
      </c>
      <c r="G27" s="248">
        <v>1603450</v>
      </c>
      <c r="H27" s="251">
        <f t="shared" si="2"/>
        <v>4.4846650285256104E-3</v>
      </c>
      <c r="I27" s="248"/>
      <c r="J27" s="251">
        <f t="shared" si="3"/>
      </c>
      <c r="K27" s="248"/>
      <c r="L27" s="251">
        <f t="shared" si="4"/>
      </c>
    </row>
    <row r="28" spans="2:12" ht="22.5" customHeight="1" x14ac:dyDescent="0.35">
      <c r="B28" s="207" t="s">
        <v>246</v>
      </c>
      <c r="C28" s="241">
        <v>145500</v>
      </c>
      <c r="D28" s="251">
        <f t="shared" si="0"/>
        <v>4.465011977417645E-4</v>
      </c>
      <c r="E28" s="248">
        <v>145678</v>
      </c>
      <c r="F28" s="251">
        <f t="shared" si="1"/>
        <v>4.2035239911173078E-4</v>
      </c>
      <c r="G28" s="248">
        <v>145622</v>
      </c>
      <c r="H28" s="251">
        <f t="shared" si="2"/>
        <v>4.0728796706099752E-4</v>
      </c>
      <c r="I28" s="248"/>
      <c r="J28" s="251">
        <f t="shared" si="3"/>
      </c>
      <c r="K28" s="248"/>
      <c r="L28" s="251">
        <f t="shared" si="4"/>
      </c>
    </row>
    <row r="29" spans="2:12" ht="22.5" customHeight="1" x14ac:dyDescent="0.35">
      <c r="B29" s="207" t="s">
        <v>239</v>
      </c>
      <c r="C29" s="241">
        <v>5076378</v>
      </c>
      <c r="D29" s="251">
        <f t="shared" si="0"/>
        <v>1.5578067747009917E-2</v>
      </c>
      <c r="E29" s="248">
        <v>5742515</v>
      </c>
      <c r="F29" s="251">
        <f t="shared" si="1"/>
        <v>1.6569969090632086E-2</v>
      </c>
      <c r="G29" s="248">
        <v>4523044</v>
      </c>
      <c r="H29" s="251">
        <f t="shared" si="2"/>
        <v>1.2650433284032923E-2</v>
      </c>
      <c r="I29" s="248"/>
      <c r="J29" s="251">
        <f t="shared" si="3"/>
      </c>
      <c r="K29" s="248"/>
      <c r="L29" s="251">
        <f t="shared" si="4"/>
      </c>
    </row>
    <row r="30" spans="2:12" ht="22.5" customHeight="1" x14ac:dyDescent="0.35">
      <c r="B30" s="207" t="s">
        <v>539</v>
      </c>
      <c r="C30" s="241">
        <v>571543</v>
      </c>
      <c r="D30" s="251">
        <f t="shared" si="0"/>
        <v>1.7539150107279814E-3</v>
      </c>
      <c r="E30" s="248">
        <v>578416</v>
      </c>
      <c r="F30" s="251">
        <f t="shared" si="1"/>
        <v>1.6690135317934821E-3</v>
      </c>
      <c r="G30" s="248">
        <v>579928</v>
      </c>
      <c r="H30" s="251">
        <f t="shared" si="2"/>
        <v>1.6219918430027754E-3</v>
      </c>
      <c r="I30" s="248"/>
      <c r="J30" s="251">
        <f t="shared" si="3"/>
      </c>
      <c r="K30" s="248"/>
      <c r="L30" s="251">
        <f t="shared" si="4"/>
      </c>
    </row>
    <row r="31" spans="2:12" ht="22.5" customHeight="1" x14ac:dyDescent="0.35">
      <c r="B31" s="207" t="s">
        <v>250</v>
      </c>
      <c r="C31" s="241">
        <v>457000</v>
      </c>
      <c r="D31" s="251">
        <f t="shared" si="0"/>
        <v>1.4024126966871917E-3</v>
      </c>
      <c r="E31" s="248">
        <v>498000</v>
      </c>
      <c r="F31" s="251">
        <f t="shared" si="1"/>
        <v>1.4369739751894036E-3</v>
      </c>
      <c r="G31" s="248">
        <v>524000</v>
      </c>
      <c r="H31" s="251">
        <f t="shared" si="2"/>
        <v>1.465567666561115E-3</v>
      </c>
      <c r="I31" s="248"/>
      <c r="J31" s="251">
        <f t="shared" si="3"/>
      </c>
      <c r="K31" s="248"/>
      <c r="L31" s="251">
        <f t="shared" si="4"/>
      </c>
    </row>
    <row r="32" spans="2:12" ht="22.5" customHeight="1" x14ac:dyDescent="0.35">
      <c r="B32" s="207" t="s">
        <v>251</v>
      </c>
      <c r="C32" s="241">
        <v>227878</v>
      </c>
      <c r="D32" s="251">
        <f t="shared" si="0"/>
        <v>6.9929759408245921E-4</v>
      </c>
      <c r="E32" s="248">
        <v>290290</v>
      </c>
      <c r="F32" s="251">
        <f t="shared" si="1"/>
        <v>8.3762886597938139E-4</v>
      </c>
      <c r="G32" s="248">
        <v>435586</v>
      </c>
      <c r="H32" s="251">
        <f t="shared" si="2"/>
        <v>1.2182838885623853E-3</v>
      </c>
      <c r="I32" s="248"/>
      <c r="J32" s="251">
        <f t="shared" si="3"/>
      </c>
      <c r="K32" s="248"/>
      <c r="L32" s="251">
        <f t="shared" si="4"/>
      </c>
    </row>
    <row r="33" spans="2:12" ht="22.5" customHeight="1" x14ac:dyDescent="0.35">
      <c r="B33" s="207" t="s">
        <v>540</v>
      </c>
      <c r="C33" s="241">
        <v>2346637</v>
      </c>
      <c r="D33" s="251">
        <f t="shared" si="0"/>
        <v>7.2012112107569829E-3</v>
      </c>
      <c r="E33" s="248">
        <v>1711213</v>
      </c>
      <c r="F33" s="251">
        <f t="shared" si="1"/>
        <v>4.9376878453931423E-3</v>
      </c>
      <c r="G33" s="248">
        <v>2846031</v>
      </c>
      <c r="H33" s="251">
        <f t="shared" si="2"/>
        <v>7.9600210145622068E-3</v>
      </c>
      <c r="I33" s="248"/>
      <c r="J33" s="251">
        <f t="shared" si="3"/>
      </c>
      <c r="K33" s="248"/>
      <c r="L33" s="251">
        <f t="shared" si="4"/>
      </c>
    </row>
    <row r="34" spans="2:12" ht="22.5" customHeight="1" x14ac:dyDescent="0.35">
      <c r="B34" s="207" t="s">
        <v>541</v>
      </c>
      <c r="C34" s="241">
        <v>3649888</v>
      </c>
      <c r="D34" s="251">
        <f t="shared" si="0"/>
        <v>1.1200545454455623E-2</v>
      </c>
      <c r="E34" s="248">
        <v>3432539</v>
      </c>
      <c r="F34" s="251">
        <f t="shared" si="1"/>
        <v>9.9045566502463048E-3</v>
      </c>
      <c r="G34" s="248">
        <v>3705328</v>
      </c>
      <c r="H34" s="251">
        <f t="shared" si="2"/>
        <v>1.0363375783976265E-2</v>
      </c>
      <c r="I34" s="248"/>
      <c r="J34" s="251">
        <f t="shared" si="3"/>
      </c>
      <c r="K34" s="248"/>
      <c r="L34" s="251">
        <f t="shared" si="4"/>
      </c>
    </row>
    <row r="35" spans="2:12" ht="22.5" customHeight="1" x14ac:dyDescent="0.35">
      <c r="B35" s="207"/>
      <c r="C35" s="241"/>
      <c r="D35" s="251">
        <f t="shared" si="0"/>
        <v>0</v>
      </c>
      <c r="E35" s="248"/>
      <c r="F35" s="251">
        <f t="shared" si="1"/>
        <v>0</v>
      </c>
      <c r="G35" s="248"/>
      <c r="H35" s="251">
        <f t="shared" si="2"/>
        <v>0</v>
      </c>
      <c r="I35" s="248"/>
      <c r="J35" s="251">
        <f t="shared" si="3"/>
      </c>
      <c r="K35" s="248"/>
      <c r="L35" s="251">
        <f t="shared" si="4"/>
      </c>
    </row>
    <row r="36" spans="2:12" ht="22.5" customHeight="1" x14ac:dyDescent="0.35">
      <c r="B36" s="207"/>
      <c r="C36" s="241"/>
      <c r="D36" s="251">
        <f t="shared" si="0"/>
        <v>0</v>
      </c>
      <c r="E36" s="248"/>
      <c r="F36" s="251">
        <f t="shared" si="1"/>
        <v>0</v>
      </c>
      <c r="G36" s="248"/>
      <c r="H36" s="251">
        <f t="shared" si="2"/>
        <v>0</v>
      </c>
      <c r="I36" s="248"/>
      <c r="J36" s="251">
        <f t="shared" si="3"/>
      </c>
      <c r="K36" s="248"/>
      <c r="L36" s="251">
        <f t="shared" si="4"/>
      </c>
    </row>
    <row r="37" spans="2:12" ht="22.5" customHeight="1" x14ac:dyDescent="0.35">
      <c r="B37" s="207"/>
      <c r="C37" s="241"/>
      <c r="D37" s="251">
        <f t="shared" si="0"/>
        <v>0</v>
      </c>
      <c r="E37" s="248"/>
      <c r="F37" s="251">
        <f t="shared" si="1"/>
        <v>0</v>
      </c>
      <c r="G37" s="248"/>
      <c r="H37" s="251">
        <f t="shared" si="2"/>
        <v>0</v>
      </c>
      <c r="I37" s="248"/>
      <c r="J37" s="251">
        <f t="shared" si="3"/>
      </c>
      <c r="K37" s="248"/>
      <c r="L37" s="251">
        <f t="shared" si="4"/>
      </c>
    </row>
    <row r="38" spans="2:12" ht="22.5" customHeight="1" x14ac:dyDescent="0.35">
      <c r="B38" s="207"/>
      <c r="C38" s="241"/>
      <c r="D38" s="251">
        <f t="shared" si="0"/>
        <v>0</v>
      </c>
      <c r="E38" s="248"/>
      <c r="F38" s="251">
        <f t="shared" si="1"/>
        <v>0</v>
      </c>
      <c r="G38" s="248"/>
      <c r="H38" s="251">
        <f t="shared" si="2"/>
        <v>0</v>
      </c>
      <c r="I38" s="248"/>
      <c r="J38" s="251">
        <f t="shared" si="3"/>
      </c>
      <c r="K38" s="248"/>
      <c r="L38" s="251">
        <f t="shared" si="4"/>
      </c>
    </row>
    <row r="39" spans="2:12" ht="22.5" customHeight="1" x14ac:dyDescent="0.35">
      <c r="B39" s="207"/>
      <c r="C39" s="241"/>
      <c r="D39" s="251">
        <f t="shared" si="0"/>
        <v>0</v>
      </c>
      <c r="E39" s="248"/>
      <c r="F39" s="251">
        <f t="shared" si="1"/>
        <v>0</v>
      </c>
      <c r="G39" s="248"/>
      <c r="H39" s="251">
        <f t="shared" si="2"/>
        <v>0</v>
      </c>
      <c r="I39" s="248"/>
      <c r="J39" s="251">
        <f t="shared" si="3"/>
      </c>
      <c r="K39" s="248"/>
      <c r="L39" s="251">
        <f t="shared" si="4"/>
      </c>
    </row>
    <row r="40" spans="2:12" ht="22.5" customHeight="1" x14ac:dyDescent="0.35">
      <c r="B40" s="218" t="s">
        <v>254</v>
      </c>
      <c r="C40" s="503">
        <f>SUM(C6:C39)</f>
        <v>145464229</v>
      </c>
      <c r="D40" s="254">
        <f>C40/C5</f>
        <v>0.44639142595932862</v>
      </c>
      <c r="E40" s="472">
        <f>SUM(E6:E39)</f>
        <v>154261272</v>
      </c>
      <c r="F40" s="254">
        <f>E40/E5</f>
        <v>0.44511934386267837</v>
      </c>
      <c r="G40" s="472">
        <f>SUM(G6:G39)</f>
        <v>147845764</v>
      </c>
      <c r="H40" s="254">
        <f>G40/G5</f>
        <v>0.41350757892447576</v>
      </c>
      <c r="I40" s="472">
        <f>SUM(I6:I39)</f>
        <v>0</v>
      </c>
      <c r="J40" s="254">
        <f>IFERROR(I40/I5,"")</f>
      </c>
      <c r="K40" s="472">
        <f>SUM(K6:K39)</f>
        <v>0</v>
      </c>
      <c r="L40" s="254">
        <f>IFERROR(K40/K5,"")</f>
      </c>
    </row>
    <row r="41" spans="2:12" x14ac:dyDescent="0.35">
      <c r="B41" s="177"/>
      <c r="C41" s="502"/>
      <c r="D41" s="184"/>
      <c r="E41" s="281"/>
      <c r="F41" s="184"/>
      <c r="G41" s="281"/>
      <c r="H41" s="184"/>
      <c r="I41" s="281"/>
      <c r="J41" s="184"/>
      <c r="K41" s="281"/>
      <c r="L41" s="184"/>
    </row>
    <row r="42" spans="2:12" x14ac:dyDescent="0.35">
      <c r="B42" s="177"/>
      <c r="C42" s="502"/>
      <c r="D42" s="184"/>
      <c r="E42" s="281"/>
      <c r="F42" s="184"/>
      <c r="G42" s="281"/>
      <c r="H42" s="184"/>
      <c r="I42" s="281"/>
      <c r="J42" s="184"/>
      <c r="K42" s="281"/>
      <c r="L42" s="184"/>
    </row>
    <row r="43" spans="2:12" x14ac:dyDescent="0.35">
      <c r="B43" s="177"/>
      <c r="C43" s="502"/>
      <c r="D43" s="184"/>
      <c r="E43" s="281"/>
      <c r="F43" s="184"/>
      <c r="G43" s="281"/>
      <c r="H43" s="184"/>
      <c r="I43" s="281"/>
      <c r="J43" s="184"/>
      <c r="K43" s="281"/>
      <c r="L43" s="184"/>
    </row>
    <row r="44" spans="2:12" x14ac:dyDescent="0.35">
      <c r="B44" s="177"/>
      <c r="C44" s="502"/>
      <c r="D44" s="184"/>
      <c r="E44" s="281"/>
      <c r="F44" s="184"/>
      <c r="G44" s="281"/>
      <c r="H44" s="184"/>
      <c r="I44" s="281"/>
      <c r="J44" s="184"/>
      <c r="K44" s="281"/>
      <c r="L44" s="184"/>
    </row>
    <row r="45" spans="2:12" x14ac:dyDescent="0.35">
      <c r="B45" s="177"/>
      <c r="C45" s="502"/>
      <c r="D45" s="184"/>
      <c r="E45" s="281"/>
      <c r="F45" s="184"/>
      <c r="G45" s="281"/>
      <c r="H45" s="184"/>
      <c r="I45" s="281"/>
      <c r="J45" s="184"/>
      <c r="K45" s="281"/>
      <c r="L45" s="184"/>
    </row>
    <row r="46" spans="2:12" x14ac:dyDescent="0.35">
      <c r="B46" s="177"/>
      <c r="C46" s="502"/>
      <c r="D46" s="184"/>
      <c r="E46" s="281"/>
      <c r="F46" s="184"/>
      <c r="G46" s="281"/>
      <c r="H46" s="184"/>
      <c r="I46" s="281"/>
      <c r="J46" s="184"/>
      <c r="K46" s="281"/>
      <c r="L46" s="184"/>
    </row>
    <row r="47" spans="2:12" x14ac:dyDescent="0.35">
      <c r="B47" s="177"/>
      <c r="C47" s="502"/>
      <c r="D47" s="184"/>
      <c r="E47" s="281"/>
      <c r="F47" s="184"/>
      <c r="G47" s="281"/>
      <c r="H47" s="184"/>
      <c r="I47" s="281"/>
      <c r="J47" s="184"/>
      <c r="K47" s="281"/>
      <c r="L47" s="184"/>
    </row>
    <row r="48" spans="2:12" x14ac:dyDescent="0.35">
      <c r="B48" s="177"/>
      <c r="C48" s="502"/>
      <c r="D48" s="184"/>
      <c r="E48" s="281"/>
      <c r="F48" s="184"/>
      <c r="G48" s="281"/>
      <c r="H48" s="184"/>
      <c r="I48" s="281"/>
      <c r="J48" s="184"/>
      <c r="K48" s="281"/>
      <c r="L48" s="184"/>
    </row>
    <row r="49" spans="3:11" x14ac:dyDescent="0.35">
      <c r="C49" s="236"/>
      <c r="E49" s="236"/>
      <c r="G49" s="236"/>
      <c r="I49" s="496"/>
      <c r="K49" s="236"/>
    </row>
    <row r="50" spans="3:11" x14ac:dyDescent="0.35">
      <c r="C50" s="236"/>
      <c r="E50" s="236"/>
      <c r="G50" s="236"/>
      <c r="I50" s="496"/>
      <c r="K50" s="236"/>
    </row>
    <row r="51" spans="3:11" x14ac:dyDescent="0.35">
      <c r="C51" s="236"/>
      <c r="E51" s="236"/>
      <c r="G51" s="236"/>
      <c r="I51" s="496"/>
      <c r="K51" s="236"/>
    </row>
    <row r="52" spans="3:11" x14ac:dyDescent="0.35">
      <c r="C52" s="236"/>
      <c r="E52" s="236"/>
      <c r="G52" s="236"/>
      <c r="I52" s="496"/>
      <c r="K52" s="236"/>
    </row>
    <row r="53" spans="3:11" x14ac:dyDescent="0.35">
      <c r="C53" s="236"/>
      <c r="E53" s="236"/>
      <c r="G53" s="236"/>
      <c r="I53" s="496"/>
      <c r="K53" s="236"/>
    </row>
    <row r="54" spans="3:11" x14ac:dyDescent="0.35">
      <c r="C54" s="236"/>
      <c r="E54" s="236"/>
    </row>
  </sheetData>
  <mergeCells count="1">
    <mergeCell ref="B3:B4"/>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6EDB-0F41-4508-888C-9D95E0C97143}">
  <sheetPr>
    <tabColor theme="7" tint="-0.499984740745262"/>
  </sheetPr>
  <dimension ref="A1"/>
  <sheetViews>
    <sheetView showGridLines="0" workbookViewId="0">
      <selection activeCell="J21" sqref="J21"/>
    </sheetView>
  </sheetViews>
  <sheetFormatPr defaultRowHeight="18" x14ac:dyDescent="0.35"/>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0316-52DA-4463-9BD0-6758FA7406D7}">
  <sheetPr>
    <tabColor rgb="FF00B0F0"/>
  </sheetPr>
  <dimension ref="A1:I9"/>
  <sheetViews>
    <sheetView showGridLines="0" zoomScaleNormal="100" workbookViewId="0">
      <selection activeCell="I4" sqref="I4"/>
    </sheetView>
  </sheetViews>
  <sheetFormatPr defaultRowHeight="18" x14ac:dyDescent="0.35"/>
  <cols>
    <col min="2" max="6" width="18.625" customWidth="1"/>
  </cols>
  <sheetData>
    <row r="1" spans="1:9" x14ac:dyDescent="0.35">
      <c r="A1" s="411" t="s">
        <v>401</v>
      </c>
    </row>
    <row r="2" spans="1:9" ht="18.75" x14ac:dyDescent="0.35">
      <c r="F2" s="73" t="s">
        <v>66</v>
      </c>
    </row>
    <row r="3" spans="1:9" ht="21.95" customHeight="1" x14ac:dyDescent="0.35">
      <c r="B3" s="397"/>
      <c r="C3" s="409" t="s">
        <v>389</v>
      </c>
      <c r="D3" s="451" t="s">
        <v>410</v>
      </c>
      <c r="E3" s="410" t="s">
        <v>388</v>
      </c>
      <c r="F3" s="410"/>
    </row>
    <row r="4" spans="1:9" ht="32.1" customHeight="1" x14ac:dyDescent="0.35">
      <c r="B4" s="431" t="s">
        <v>387</v>
      </c>
      <c r="C4" s="398">
        <v>0</v>
      </c>
      <c r="D4" s="395">
        <v>0</v>
      </c>
      <c r="E4" s="395">
        <v>0</v>
      </c>
      <c r="F4" s="396">
        <v>100</v>
      </c>
      <c r="I4" t="s">
        <v>409</v>
      </c>
    </row>
    <row r="5" spans="1:9" ht="32.1" customHeight="1" x14ac:dyDescent="0.35">
      <c r="B5" s="431" t="s">
        <v>386</v>
      </c>
      <c r="C5" s="395">
        <f>'EV EBITDAマルチプル'!K7</f>
        <v>1069000000</v>
      </c>
      <c r="D5" s="561">
        <f>E5-C5</f>
        <v>546000000</v>
      </c>
      <c r="E5" s="395">
        <f>'EV EBITDAマルチプル'!M7</f>
        <v>1615000000</v>
      </c>
      <c r="F5" s="398">
        <v>0</v>
      </c>
    </row>
    <row r="6" spans="1:9" ht="32.1" customHeight="1" x14ac:dyDescent="0.35">
      <c r="B6" s="421" t="s">
        <v>385</v>
      </c>
      <c r="C6" s="398">
        <f>年買法!K6</f>
        <v>571000000</v>
      </c>
      <c r="D6" s="561">
        <f>E6-C6</f>
        <v>542000000</v>
      </c>
      <c r="E6" s="398">
        <f>年買法!M6</f>
        <v>1113000000</v>
      </c>
      <c r="F6" s="398">
        <v>0</v>
      </c>
    </row>
    <row r="7" spans="1:9" ht="32.1" customHeight="1" x14ac:dyDescent="0.35"/>
    <row r="8" spans="1:9" ht="15.6" customHeight="1" x14ac:dyDescent="0.35"/>
    <row r="9" spans="1:9" ht="32.1" customHeight="1" x14ac:dyDescent="0.35"/>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81CD-22DC-45FF-A43F-B32A5FDD5886}">
  <sheetPr>
    <tabColor theme="7"/>
  </sheetPr>
  <dimension ref="B2:E119"/>
  <sheetViews>
    <sheetView showGridLines="0" zoomScale="85" zoomScaleNormal="85" workbookViewId="0">
      <pane ySplit="4" topLeftCell="A44" activePane="bottomLeft" state="frozen"/>
      <selection pane="bottomLeft" activeCell="A61" sqref="A61"/>
    </sheetView>
  </sheetViews>
  <sheetFormatPr defaultRowHeight="18" x14ac:dyDescent="0.35"/>
  <cols>
    <col min="2" max="2" width="28" style="184" bestFit="1" customWidth="1"/>
    <col min="3" max="5" width="16.125" customWidth="1"/>
  </cols>
  <sheetData>
    <row r="2" spans="2:5" ht="18.75" x14ac:dyDescent="0.35">
      <c r="E2" s="73" t="s">
        <v>66</v>
      </c>
    </row>
    <row r="3" spans="2:5" ht="28.35" customHeight="1" thickBot="1" x14ac:dyDescent="0.4">
      <c r="B3" s="185" t="s">
        <v>212</v>
      </c>
      <c r="C3" s="175"/>
      <c r="D3" s="175"/>
      <c r="E3" s="176"/>
    </row>
    <row r="4" spans="2:5" ht="19.5" x14ac:dyDescent="0.35">
      <c r="B4" s="186" t="s">
        <v>208</v>
      </c>
      <c r="C4" s="238" t="str">
        <f>'BS(借方)'!E4</f>
        <v>25年12月期</v>
      </c>
      <c r="D4" s="255" t="s">
        <v>497</v>
      </c>
      <c r="E4" s="266" t="s">
        <v>501</v>
      </c>
    </row>
    <row r="5" spans="2:5" ht="22.5" customHeight="1" x14ac:dyDescent="0.35">
      <c r="B5" s="171" t="s">
        <v>211</v>
      </c>
      <c r="C5" s="233">
        <f>SUM(C6:C19)</f>
        <v>141385419</v>
      </c>
      <c r="D5" s="233">
        <f>SUM(D6:D19)</f>
        <v>0</v>
      </c>
      <c r="E5" s="262">
        <f>C5+D5</f>
        <v>141385419</v>
      </c>
    </row>
    <row r="6" spans="2:5" ht="22.5" customHeight="1" x14ac:dyDescent="0.35">
      <c r="B6" s="325" t="str">
        <f>'BS(借方)'!B6</f>
        <v>現金及び預金</v>
      </c>
      <c r="C6" s="234">
        <f>'BS(借方)'!E6</f>
        <v>61842402</v>
      </c>
      <c r="D6" s="234"/>
      <c r="E6" s="263">
        <f>C6+D6</f>
        <v>61842402</v>
      </c>
    </row>
    <row r="7" spans="2:5" ht="22.5" customHeight="1" x14ac:dyDescent="0.35">
      <c r="B7" s="325" t="str">
        <f>'BS(借方)'!B7</f>
        <v>商品</v>
      </c>
      <c r="C7" s="234">
        <f>'BS(借方)'!E7</f>
        <v>26584168</v>
      </c>
      <c r="D7" s="234"/>
      <c r="E7" s="263">
        <f t="shared" ref="E7:E19" si="0">C7+D7</f>
        <v>26584168</v>
      </c>
    </row>
    <row r="8" spans="2:5" ht="22.5" customHeight="1" x14ac:dyDescent="0.35">
      <c r="B8" s="325" t="str">
        <f>'BS(借方)'!B8</f>
        <v>貯蔵品</v>
      </c>
      <c r="C8" s="234">
        <f>'BS(借方)'!E8</f>
        <v>619688</v>
      </c>
      <c r="D8" s="234"/>
      <c r="E8" s="263">
        <f t="shared" si="0"/>
        <v>619688</v>
      </c>
    </row>
    <row r="9" spans="2:5" ht="22.5" customHeight="1" x14ac:dyDescent="0.35">
      <c r="B9" s="325" t="str">
        <f>'BS(借方)'!B9</f>
        <v>前払費用</v>
      </c>
      <c r="C9" s="234">
        <f>'BS(借方)'!E9</f>
        <v>161700</v>
      </c>
      <c r="D9" s="234"/>
      <c r="E9" s="263">
        <f t="shared" si="0"/>
        <v>161700</v>
      </c>
    </row>
    <row r="10" spans="2:5" ht="22.5" customHeight="1" x14ac:dyDescent="0.35">
      <c r="B10" s="325" t="str">
        <f>'BS(借方)'!B10</f>
        <v>未収入金</v>
      </c>
      <c r="C10" s="234">
        <f>'BS(借方)'!E10</f>
        <v>52401281</v>
      </c>
      <c r="D10" s="234"/>
      <c r="E10" s="263">
        <f t="shared" si="0"/>
        <v>52401281</v>
      </c>
    </row>
    <row r="11" spans="2:5" ht="22.5" customHeight="1" x14ac:dyDescent="0.35">
      <c r="B11" s="325" t="str">
        <f>'BS(借方)'!B11</f>
        <v>貸倒引当金</v>
      </c>
      <c r="C11" s="234">
        <f>'BS(借方)'!E11</f>
        <v>-524000</v>
      </c>
      <c r="D11" s="234">
        <f>-C11</f>
      </c>
      <c r="E11" s="263">
        <f t="shared" si="0"/>
        <v>-524000</v>
      </c>
    </row>
    <row r="12" spans="2:5" ht="22.5" customHeight="1" x14ac:dyDescent="0.35">
      <c r="B12" s="325" t="str">
        <f>'BS(借方)'!B12</f>
        <v>仮払金</v>
      </c>
      <c r="C12" s="234">
        <f>'BS(借方)'!E12</f>
        <v>180</v>
      </c>
      <c r="D12" s="234"/>
      <c r="E12" s="263">
        <f t="shared" si="0"/>
        <v>180</v>
      </c>
    </row>
    <row r="13" spans="2:5" ht="22.5" customHeight="1" x14ac:dyDescent="0.35">
      <c r="B13" s="325" t="str">
        <f>'BS(借方)'!B13</f>
        <v>前払金</v>
      </c>
      <c r="C13" s="234">
        <f>'BS(借方)'!E13</f>
        <v>300000</v>
      </c>
      <c r="D13" s="234"/>
      <c r="E13" s="263">
        <f t="shared" si="0"/>
        <v>300000</v>
      </c>
    </row>
    <row r="14" spans="2:5" ht="22.5" customHeight="1" x14ac:dyDescent="0.35">
      <c r="B14" s="325" t="str">
        <f>'BS(借方)'!B14</f>
        <v>未収還付法人税等</v>
      </c>
      <c r="C14" s="234">
        <f>'BS(借方)'!E14</f>
        <v>0</v>
      </c>
      <c r="D14" s="234"/>
      <c r="E14" s="263">
        <f t="shared" si="0"/>
        <v>0</v>
      </c>
    </row>
    <row r="15" spans="2:5" ht="22.5" customHeight="1" x14ac:dyDescent="0.35">
      <c r="B15" s="325">
        <f>'BS(借方)'!B15</f>
        <v>0</v>
      </c>
      <c r="C15" s="234">
        <f>'BS(借方)'!E15</f>
        <v>0</v>
      </c>
      <c r="D15" s="234"/>
      <c r="E15" s="263">
        <f t="shared" si="0"/>
        <v>0</v>
      </c>
    </row>
    <row r="16" spans="2:5" ht="22.5" customHeight="1" x14ac:dyDescent="0.35">
      <c r="B16" s="325">
        <f>'BS(借方)'!B16</f>
        <v>0</v>
      </c>
      <c r="C16" s="234">
        <f>'BS(借方)'!E16</f>
        <v>0</v>
      </c>
      <c r="D16" s="234"/>
      <c r="E16" s="263">
        <f t="shared" si="0"/>
        <v>0</v>
      </c>
    </row>
    <row r="17" spans="2:5" ht="22.5" customHeight="1" x14ac:dyDescent="0.35">
      <c r="B17" s="325">
        <f>'BS(借方)'!B17</f>
        <v>0</v>
      </c>
      <c r="C17" s="234">
        <f>'BS(借方)'!E17</f>
        <v>0</v>
      </c>
      <c r="D17" s="234"/>
      <c r="E17" s="263">
        <f t="shared" si="0"/>
        <v>0</v>
      </c>
    </row>
    <row r="18" spans="2:5" ht="22.5" customHeight="1" x14ac:dyDescent="0.35">
      <c r="B18" s="325">
        <f>'BS(借方)'!B18</f>
        <v>0</v>
      </c>
      <c r="C18" s="234">
        <f>'BS(借方)'!E18</f>
        <v>0</v>
      </c>
      <c r="D18" s="234"/>
      <c r="E18" s="263">
        <f t="shared" si="0"/>
        <v>0</v>
      </c>
    </row>
    <row r="19" spans="2:5" ht="22.5" customHeight="1" x14ac:dyDescent="0.35">
      <c r="B19" s="326"/>
      <c r="C19" s="235"/>
      <c r="D19" s="235"/>
      <c r="E19" s="263">
        <f t="shared" si="0"/>
        <v>0</v>
      </c>
    </row>
    <row r="20" spans="2:5" ht="22.5" customHeight="1" x14ac:dyDescent="0.35">
      <c r="B20" s="171" t="s">
        <v>201</v>
      </c>
      <c r="C20" s="247">
        <f>C21+C35+C46</f>
        <v>19843083</v>
      </c>
      <c r="D20" s="247">
        <f>D21+D35+D46</f>
        <v>0</v>
      </c>
      <c r="E20" s="264">
        <f>C20+D20</f>
        <v>19843083</v>
      </c>
    </row>
    <row r="21" spans="2:5" ht="22.5" customHeight="1" x14ac:dyDescent="0.35">
      <c r="B21" s="329" t="s">
        <v>202</v>
      </c>
      <c r="C21" s="307">
        <f>SUM(C22:C34)</f>
        <v>7402395</v>
      </c>
      <c r="D21" s="307">
        <f>SUM(D22:D34)</f>
        <v>0</v>
      </c>
      <c r="E21" s="308">
        <f>C21+D21</f>
        <v>7402395</v>
      </c>
    </row>
    <row r="22" spans="2:5" ht="22.5" customHeight="1" x14ac:dyDescent="0.35">
      <c r="B22" s="325" t="str">
        <f>'BS(借方)'!B22</f>
        <v>建物附属設備</v>
      </c>
      <c r="C22" s="234">
        <f>'BS(借方)'!E22</f>
        <v>5361688</v>
      </c>
      <c r="D22" s="234"/>
      <c r="E22" s="263">
        <f>C22+D22</f>
        <v>5361688</v>
      </c>
    </row>
    <row r="23" spans="2:5" ht="22.5" customHeight="1" x14ac:dyDescent="0.35">
      <c r="B23" s="325" t="str">
        <f>'BS(借方)'!B23</f>
        <v>工具器具備品</v>
      </c>
      <c r="C23" s="234">
        <f>'BS(借方)'!E23</f>
        <v>2040707</v>
      </c>
      <c r="D23" s="234"/>
      <c r="E23" s="263">
        <f t="shared" ref="E23:E34" si="1">C23+D23</f>
        <v>2040707</v>
      </c>
    </row>
    <row r="24" spans="2:5" ht="22.5" customHeight="1" x14ac:dyDescent="0.35">
      <c r="B24" s="325">
        <f>'BS(借方)'!B24</f>
        <v>0</v>
      </c>
      <c r="C24" s="234">
        <f>'BS(借方)'!E24</f>
        <v>0</v>
      </c>
      <c r="D24" s="234"/>
      <c r="E24" s="263">
        <f t="shared" si="1"/>
        <v>0</v>
      </c>
    </row>
    <row r="25" spans="2:5" ht="22.5" customHeight="1" x14ac:dyDescent="0.35">
      <c r="B25" s="325">
        <f>'BS(借方)'!B25</f>
        <v>0</v>
      </c>
      <c r="C25" s="234">
        <f>'BS(借方)'!E25</f>
        <v>0</v>
      </c>
      <c r="D25" s="234"/>
      <c r="E25" s="263">
        <f t="shared" si="1"/>
        <v>0</v>
      </c>
    </row>
    <row r="26" spans="2:5" ht="22.5" customHeight="1" x14ac:dyDescent="0.35">
      <c r="B26" s="325">
        <f>'BS(借方)'!B26</f>
        <v>0</v>
      </c>
      <c r="C26" s="234">
        <f>'BS(借方)'!E26</f>
        <v>0</v>
      </c>
      <c r="D26" s="234"/>
      <c r="E26" s="263">
        <f t="shared" si="1"/>
        <v>0</v>
      </c>
    </row>
    <row r="27" spans="2:5" ht="22.5" customHeight="1" x14ac:dyDescent="0.35">
      <c r="B27" s="325">
        <f>'BS(借方)'!B27</f>
        <v>0</v>
      </c>
      <c r="C27" s="234">
        <f>'BS(借方)'!E27</f>
        <v>0</v>
      </c>
      <c r="D27" s="234"/>
      <c r="E27" s="263">
        <f t="shared" si="1"/>
        <v>0</v>
      </c>
    </row>
    <row r="28" spans="2:5" ht="22.5" customHeight="1" x14ac:dyDescent="0.35">
      <c r="B28" s="325">
        <f>'BS(借方)'!B28</f>
        <v>0</v>
      </c>
      <c r="C28" s="234">
        <f>'BS(借方)'!E28</f>
        <v>0</v>
      </c>
      <c r="D28" s="234"/>
      <c r="E28" s="263">
        <f t="shared" si="1"/>
        <v>0</v>
      </c>
    </row>
    <row r="29" spans="2:5" ht="22.5" customHeight="1" x14ac:dyDescent="0.35">
      <c r="B29" s="325">
        <f>'BS(借方)'!B29</f>
        <v>0</v>
      </c>
      <c r="C29" s="234">
        <f>'BS(借方)'!E29</f>
        <v>0</v>
      </c>
      <c r="D29" s="234"/>
      <c r="E29" s="263">
        <f t="shared" si="1"/>
        <v>0</v>
      </c>
    </row>
    <row r="30" spans="2:5" ht="22.5" customHeight="1" x14ac:dyDescent="0.35">
      <c r="B30" s="325">
        <f>'BS(借方)'!B30</f>
        <v>0</v>
      </c>
      <c r="C30" s="234">
        <f>'BS(借方)'!E30</f>
        <v>0</v>
      </c>
      <c r="D30" s="234"/>
      <c r="E30" s="263">
        <f t="shared" si="1"/>
        <v>0</v>
      </c>
    </row>
    <row r="31" spans="2:5" ht="22.5" customHeight="1" x14ac:dyDescent="0.35">
      <c r="B31" s="325">
        <f>'BS(借方)'!B31</f>
        <v>0</v>
      </c>
      <c r="C31" s="234">
        <f>'BS(借方)'!E31</f>
        <v>0</v>
      </c>
      <c r="D31" s="234"/>
      <c r="E31" s="263">
        <f t="shared" si="1"/>
        <v>0</v>
      </c>
    </row>
    <row r="32" spans="2:5" ht="22.5" customHeight="1" x14ac:dyDescent="0.35">
      <c r="B32" s="325">
        <f>'BS(借方)'!B32</f>
        <v>0</v>
      </c>
      <c r="C32" s="234">
        <f>'BS(借方)'!E32</f>
        <v>0</v>
      </c>
      <c r="D32" s="234"/>
      <c r="E32" s="263">
        <f t="shared" si="1"/>
        <v>0</v>
      </c>
    </row>
    <row r="33" spans="2:5" ht="22.5" customHeight="1" x14ac:dyDescent="0.35">
      <c r="B33" s="325">
        <f>'BS(借方)'!B33</f>
        <v>0</v>
      </c>
      <c r="C33" s="234">
        <f>'BS(借方)'!E33</f>
        <v>0</v>
      </c>
      <c r="D33" s="234"/>
      <c r="E33" s="263">
        <f t="shared" si="1"/>
        <v>0</v>
      </c>
    </row>
    <row r="34" spans="2:5" ht="22.5" customHeight="1" x14ac:dyDescent="0.35">
      <c r="B34" s="326"/>
      <c r="C34" s="235"/>
      <c r="D34" s="235"/>
      <c r="E34" s="263">
        <f t="shared" si="1"/>
        <v>0</v>
      </c>
    </row>
    <row r="35" spans="2:5" ht="22.5" customHeight="1" x14ac:dyDescent="0.35">
      <c r="B35" s="329" t="s">
        <v>205</v>
      </c>
      <c r="C35" s="313">
        <f>SUM(C36:C45)</f>
        <v>4816004</v>
      </c>
      <c r="D35" s="314">
        <f>SUM(D36:D45)</f>
        <v>0</v>
      </c>
      <c r="E35" s="315">
        <f>C35+D35</f>
        <v>4816004</v>
      </c>
    </row>
    <row r="36" spans="2:5" ht="22.35" customHeight="1" x14ac:dyDescent="0.35">
      <c r="B36" s="325" t="str">
        <f>'BS(借方)'!B36</f>
        <v>ソフトウェア</v>
      </c>
      <c r="C36" s="234">
        <f>'BS(借方)'!E36</f>
        <v>4816004</v>
      </c>
      <c r="D36" s="234"/>
      <c r="E36" s="263">
        <f>C36+D36</f>
        <v>4816004</v>
      </c>
    </row>
    <row r="37" spans="2:5" ht="22.35" customHeight="1" x14ac:dyDescent="0.35">
      <c r="B37" s="325">
        <f>'BS(借方)'!B37</f>
        <v>0</v>
      </c>
      <c r="C37" s="234">
        <f>'BS(借方)'!E37</f>
        <v>0</v>
      </c>
      <c r="D37" s="234"/>
      <c r="E37" s="263">
        <f t="shared" ref="E37:E45" si="2">C37+D37</f>
        <v>0</v>
      </c>
    </row>
    <row r="38" spans="2:5" ht="22.35" customHeight="1" x14ac:dyDescent="0.35">
      <c r="B38" s="325">
        <f>'BS(借方)'!B38</f>
        <v>0</v>
      </c>
      <c r="C38" s="234">
        <f>'BS(借方)'!E38</f>
        <v>0</v>
      </c>
      <c r="D38" s="234"/>
      <c r="E38" s="263">
        <f t="shared" si="2"/>
        <v>0</v>
      </c>
    </row>
    <row r="39" spans="2:5" ht="22.35" customHeight="1" x14ac:dyDescent="0.35">
      <c r="B39" s="325">
        <f>'BS(借方)'!B39</f>
        <v>0</v>
      </c>
      <c r="C39" s="234">
        <f>'BS(借方)'!E39</f>
        <v>0</v>
      </c>
      <c r="D39" s="234"/>
      <c r="E39" s="263">
        <f t="shared" si="2"/>
        <v>0</v>
      </c>
    </row>
    <row r="40" spans="2:5" ht="22.35" customHeight="1" x14ac:dyDescent="0.35">
      <c r="B40" s="325">
        <f>'BS(借方)'!B40</f>
        <v>0</v>
      </c>
      <c r="C40" s="234">
        <f>'BS(借方)'!E40</f>
        <v>0</v>
      </c>
      <c r="D40" s="234"/>
      <c r="E40" s="263">
        <f t="shared" si="2"/>
        <v>0</v>
      </c>
    </row>
    <row r="41" spans="2:5" ht="22.35" customHeight="1" x14ac:dyDescent="0.35">
      <c r="B41" s="325"/>
      <c r="C41" s="234"/>
      <c r="D41" s="234"/>
      <c r="E41" s="263">
        <f t="shared" si="2"/>
        <v>0</v>
      </c>
    </row>
    <row r="42" spans="2:5" ht="22.35" customHeight="1" x14ac:dyDescent="0.35">
      <c r="B42" s="325"/>
      <c r="C42" s="234"/>
      <c r="D42" s="234"/>
      <c r="E42" s="263">
        <f t="shared" si="2"/>
        <v>0</v>
      </c>
    </row>
    <row r="43" spans="2:5" ht="22.35" customHeight="1" x14ac:dyDescent="0.35">
      <c r="B43" s="325"/>
      <c r="C43" s="234"/>
      <c r="D43" s="234"/>
      <c r="E43" s="263">
        <f t="shared" si="2"/>
        <v>0</v>
      </c>
    </row>
    <row r="44" spans="2:5" ht="22.35" customHeight="1" x14ac:dyDescent="0.35">
      <c r="B44" s="325"/>
      <c r="C44" s="234"/>
      <c r="D44" s="234"/>
      <c r="E44" s="263">
        <f t="shared" si="2"/>
        <v>0</v>
      </c>
    </row>
    <row r="45" spans="2:5" ht="22.35" customHeight="1" x14ac:dyDescent="0.35">
      <c r="B45" s="326"/>
      <c r="C45" s="235"/>
      <c r="D45" s="235"/>
      <c r="E45" s="263">
        <f t="shared" si="2"/>
        <v>0</v>
      </c>
    </row>
    <row r="46" spans="2:5" ht="22.35" customHeight="1" x14ac:dyDescent="0.35">
      <c r="B46" s="329" t="s">
        <v>277</v>
      </c>
      <c r="C46" s="413">
        <f>SUM(C47:C54)</f>
        <v>7624684</v>
      </c>
      <c r="D46" s="414">
        <f>SUM(D47:D54)</f>
        <v>0</v>
      </c>
      <c r="E46" s="415">
        <f>C46+D46</f>
        <v>7624684</v>
      </c>
    </row>
    <row r="47" spans="2:5" ht="22.5" customHeight="1" x14ac:dyDescent="0.35">
      <c r="B47" s="178" t="str">
        <f>'BS(借方)'!B47</f>
        <v>差入保証金</v>
      </c>
      <c r="C47" s="234">
        <f>'BS(借方)'!E47</f>
        <v>6639280</v>
      </c>
      <c r="D47" s="234"/>
      <c r="E47" s="263">
        <f>C47+D47</f>
        <v>6639280</v>
      </c>
    </row>
    <row r="48" spans="2:5" ht="22.5" customHeight="1" x14ac:dyDescent="0.35">
      <c r="B48" s="178" t="str">
        <f>'BS(借方)'!B48</f>
        <v>長期前払費用</v>
      </c>
      <c r="C48" s="234">
        <f>'BS(借方)'!E48</f>
        <v>985404</v>
      </c>
      <c r="D48" s="234">
        <f>-C48</f>
      </c>
      <c r="E48" s="263">
        <f t="shared" ref="E48:E59" si="3">C48+D48</f>
        <v>985404</v>
      </c>
    </row>
    <row r="49" spans="2:5" ht="22.5" customHeight="1" x14ac:dyDescent="0.35">
      <c r="B49" s="187">
        <f>'BS(借方)'!B49</f>
        <v>0</v>
      </c>
      <c r="C49" s="234">
        <f>'BS(借方)'!E49</f>
        <v>0</v>
      </c>
      <c r="D49" s="234"/>
      <c r="E49" s="263">
        <f t="shared" si="3"/>
        <v>0</v>
      </c>
    </row>
    <row r="50" spans="2:5" ht="22.5" customHeight="1" x14ac:dyDescent="0.35">
      <c r="B50" s="178">
        <f>'BS(借方)'!B50</f>
        <v>0</v>
      </c>
      <c r="C50" s="234">
        <f>'BS(借方)'!E50</f>
        <v>0</v>
      </c>
      <c r="D50" s="234"/>
      <c r="E50" s="263">
        <f>C50+D50</f>
        <v>0</v>
      </c>
    </row>
    <row r="51" spans="2:5" ht="22.5" customHeight="1" x14ac:dyDescent="0.35">
      <c r="B51" s="187">
        <f>'BS(借方)'!B51</f>
        <v>0</v>
      </c>
      <c r="C51" s="234">
        <f>'BS(借方)'!E51</f>
        <v>0</v>
      </c>
      <c r="D51" s="234"/>
      <c r="E51" s="263">
        <f t="shared" si="3"/>
        <v>0</v>
      </c>
    </row>
    <row r="52" spans="2:5" ht="22.5" customHeight="1" x14ac:dyDescent="0.35">
      <c r="B52" s="187">
        <f>'BS(借方)'!B52</f>
        <v>0</v>
      </c>
      <c r="C52" s="234">
        <f>'BS(借方)'!E52</f>
        <v>0</v>
      </c>
      <c r="D52" s="234"/>
      <c r="E52" s="263">
        <f t="shared" si="3"/>
        <v>0</v>
      </c>
    </row>
    <row r="53" spans="2:5" ht="22.5" customHeight="1" x14ac:dyDescent="0.35">
      <c r="B53" s="178">
        <f>'BS(借方)'!B53</f>
        <v>0</v>
      </c>
      <c r="C53" s="234">
        <f>'BS(借方)'!E53</f>
        <v>0</v>
      </c>
      <c r="D53" s="234"/>
      <c r="E53" s="263">
        <f t="shared" si="3"/>
        <v>0</v>
      </c>
    </row>
    <row r="54" spans="2:5" ht="22.5" customHeight="1" x14ac:dyDescent="0.35">
      <c r="B54" s="178">
        <f>'BS(借方)'!B54</f>
        <v>0</v>
      </c>
      <c r="C54" s="234">
        <f>'BS(借方)'!E54</f>
        <v>0</v>
      </c>
      <c r="D54" s="234"/>
      <c r="E54" s="263">
        <f t="shared" ref="E54:E55" si="4">C54+D54</f>
        <v>0</v>
      </c>
    </row>
    <row r="55" spans="2:5" ht="22.35" customHeight="1" x14ac:dyDescent="0.35">
      <c r="B55" s="178"/>
      <c r="C55" s="234"/>
      <c r="D55" s="234"/>
      <c r="E55" s="263">
        <f t="shared" si="4"/>
        <v>0</v>
      </c>
    </row>
    <row r="56" spans="2:5" ht="22.35" customHeight="1" x14ac:dyDescent="0.35">
      <c r="B56" s="322" t="s">
        <v>274</v>
      </c>
      <c r="C56" s="323">
        <f>SUM(C57:C59)</f>
        <v>0</v>
      </c>
      <c r="D56" s="323">
        <f>SUM(D57:D59)</f>
        <v>0</v>
      </c>
      <c r="E56" s="324">
        <f>C56+D56</f>
        <v>0</v>
      </c>
    </row>
    <row r="57" spans="2:5" ht="22.35" customHeight="1" x14ac:dyDescent="0.35">
      <c r="B57" s="178">
        <f>'BS(借方)'!B57</f>
        <v>0</v>
      </c>
      <c r="C57" s="412">
        <f>'BS(借方)'!E57</f>
        <v>0</v>
      </c>
      <c r="D57" s="412"/>
      <c r="E57" s="263">
        <f t="shared" si="3"/>
        <v>0</v>
      </c>
    </row>
    <row r="58" spans="2:5" ht="22.35" customHeight="1" x14ac:dyDescent="0.35">
      <c r="B58" s="178"/>
      <c r="C58" s="412"/>
      <c r="D58" s="412"/>
      <c r="E58" s="263">
        <f t="shared" si="3"/>
        <v>0</v>
      </c>
    </row>
    <row r="59" spans="2:5" ht="22.35" customHeight="1" x14ac:dyDescent="0.35">
      <c r="B59" s="316"/>
      <c r="C59" s="317"/>
      <c r="D59" s="317"/>
      <c r="E59" s="318">
        <f t="shared" si="3"/>
        <v>0</v>
      </c>
    </row>
    <row r="60" spans="2:5" ht="22.35" customHeight="1" x14ac:dyDescent="0.35">
      <c r="B60" s="319" t="s">
        <v>275</v>
      </c>
      <c r="C60" s="320">
        <v>0</v>
      </c>
      <c r="D60" s="320">
        <f>ROUND(MAX(0,-('修正BS(借方)'!D5+'修正BS(借方)'!D20+'修正BS(借方)'!D56-('修正BS(貸方) '!D5+'修正BS(貸方) '!D18))*0.34),0)</f>
      </c>
      <c r="E60" s="321">
        <f>C60+D60</f>
        <v>0</v>
      </c>
    </row>
    <row r="61" spans="2:5" ht="22.5" customHeight="1" thickBot="1" x14ac:dyDescent="0.4">
      <c r="B61" s="188" t="s">
        <v>217</v>
      </c>
      <c r="C61" s="245">
        <f>C5+C20+C56+C60</f>
        <v>161228502</v>
      </c>
      <c r="D61" s="245">
        <f>D5+D20+D56+D60</f>
        <v>0</v>
      </c>
      <c r="E61" s="265">
        <f>C61+D61</f>
        <v>161228502</v>
      </c>
    </row>
    <row r="62" spans="2:5" x14ac:dyDescent="0.35">
      <c r="C62" s="237"/>
      <c r="D62" s="237"/>
      <c r="E62" s="237"/>
    </row>
    <row r="63" spans="2:5" x14ac:dyDescent="0.35">
      <c r="C63" s="237"/>
      <c r="D63" s="237"/>
      <c r="E63" s="237"/>
    </row>
    <row r="64" spans="2:5" x14ac:dyDescent="0.35">
      <c r="C64" s="237"/>
      <c r="D64" s="237"/>
      <c r="E64" s="237"/>
    </row>
    <row r="65" spans="3:5" x14ac:dyDescent="0.35">
      <c r="C65" s="237"/>
      <c r="D65" s="237"/>
      <c r="E65" s="237"/>
    </row>
    <row r="66" spans="3:5" x14ac:dyDescent="0.35">
      <c r="C66" s="237"/>
      <c r="D66" s="237"/>
      <c r="E66" s="237"/>
    </row>
    <row r="67" spans="3:5" x14ac:dyDescent="0.35">
      <c r="C67" s="237"/>
      <c r="D67" s="237"/>
      <c r="E67" s="237"/>
    </row>
    <row r="68" spans="3:5" x14ac:dyDescent="0.35">
      <c r="C68" s="237"/>
      <c r="D68" s="237"/>
      <c r="E68" s="237"/>
    </row>
    <row r="69" spans="3:5" x14ac:dyDescent="0.35">
      <c r="C69" s="237"/>
      <c r="D69" s="237"/>
      <c r="E69" s="237"/>
    </row>
    <row r="70" spans="3:5" x14ac:dyDescent="0.35">
      <c r="C70" s="237"/>
      <c r="D70" s="237"/>
      <c r="E70" s="237"/>
    </row>
    <row r="71" spans="3:5" x14ac:dyDescent="0.35">
      <c r="C71" s="237"/>
      <c r="D71" s="237"/>
      <c r="E71" s="237"/>
    </row>
    <row r="72" spans="3:5" x14ac:dyDescent="0.35">
      <c r="C72" s="237"/>
      <c r="D72" s="237"/>
      <c r="E72" s="237"/>
    </row>
    <row r="73" spans="3:5" x14ac:dyDescent="0.35">
      <c r="C73" s="237"/>
      <c r="D73" s="237"/>
      <c r="E73" s="237"/>
    </row>
    <row r="74" spans="3:5" x14ac:dyDescent="0.35">
      <c r="C74" s="237"/>
      <c r="D74" s="237"/>
      <c r="E74" s="237"/>
    </row>
    <row r="75" spans="3:5" x14ac:dyDescent="0.35">
      <c r="C75" s="237"/>
      <c r="D75" s="237"/>
      <c r="E75" s="237"/>
    </row>
    <row r="76" spans="3:5" x14ac:dyDescent="0.35">
      <c r="C76" s="237"/>
      <c r="D76" s="237"/>
      <c r="E76" s="237"/>
    </row>
    <row r="77" spans="3:5" x14ac:dyDescent="0.35">
      <c r="C77" s="237"/>
      <c r="D77" s="237"/>
      <c r="E77" s="237"/>
    </row>
    <row r="78" spans="3:5" x14ac:dyDescent="0.35">
      <c r="C78" s="237"/>
      <c r="D78" s="237"/>
      <c r="E78" s="237"/>
    </row>
    <row r="79" spans="3:5" x14ac:dyDescent="0.35">
      <c r="C79" s="237"/>
      <c r="D79" s="237"/>
      <c r="E79" s="237"/>
    </row>
    <row r="80" spans="3:5" x14ac:dyDescent="0.35">
      <c r="C80" s="237"/>
      <c r="D80" s="237"/>
      <c r="E80" s="237"/>
    </row>
    <row r="81" spans="3:5" x14ac:dyDescent="0.35">
      <c r="C81" s="237"/>
      <c r="D81" s="237"/>
      <c r="E81" s="237"/>
    </row>
    <row r="82" spans="3:5" x14ac:dyDescent="0.35">
      <c r="C82" s="237"/>
      <c r="D82" s="237"/>
      <c r="E82" s="237"/>
    </row>
    <row r="83" spans="3:5" x14ac:dyDescent="0.35">
      <c r="C83" s="237"/>
      <c r="D83" s="237"/>
      <c r="E83" s="237"/>
    </row>
    <row r="84" spans="3:5" x14ac:dyDescent="0.35">
      <c r="C84" s="237"/>
      <c r="D84" s="237"/>
      <c r="E84" s="237"/>
    </row>
    <row r="85" spans="3:5" x14ac:dyDescent="0.35">
      <c r="C85" s="237"/>
      <c r="D85" s="237"/>
      <c r="E85" s="237"/>
    </row>
    <row r="86" spans="3:5" x14ac:dyDescent="0.35">
      <c r="C86" s="237"/>
      <c r="D86" s="237"/>
      <c r="E86" s="237"/>
    </row>
    <row r="87" spans="3:5" x14ac:dyDescent="0.35">
      <c r="C87" s="237"/>
      <c r="D87" s="237"/>
      <c r="E87" s="237"/>
    </row>
    <row r="88" spans="3:5" x14ac:dyDescent="0.35">
      <c r="C88" s="237"/>
      <c r="D88" s="237"/>
      <c r="E88" s="237"/>
    </row>
    <row r="89" spans="3:5" x14ac:dyDescent="0.35">
      <c r="C89" s="237"/>
      <c r="D89" s="237"/>
      <c r="E89" s="237"/>
    </row>
    <row r="90" spans="3:5" x14ac:dyDescent="0.35">
      <c r="C90" s="237"/>
      <c r="D90" s="237"/>
      <c r="E90" s="237"/>
    </row>
    <row r="91" spans="3:5" x14ac:dyDescent="0.35">
      <c r="C91" s="237"/>
      <c r="D91" s="237"/>
      <c r="E91" s="237"/>
    </row>
    <row r="92" spans="3:5" x14ac:dyDescent="0.35">
      <c r="C92" s="237"/>
      <c r="D92" s="237"/>
      <c r="E92" s="237"/>
    </row>
    <row r="93" spans="3:5" x14ac:dyDescent="0.35">
      <c r="C93" s="237"/>
      <c r="D93" s="237"/>
      <c r="E93" s="237"/>
    </row>
    <row r="94" spans="3:5" x14ac:dyDescent="0.35">
      <c r="C94" s="237"/>
      <c r="D94" s="237"/>
      <c r="E94" s="237"/>
    </row>
    <row r="95" spans="3:5" x14ac:dyDescent="0.35">
      <c r="C95" s="237"/>
      <c r="D95" s="237"/>
      <c r="E95" s="237"/>
    </row>
    <row r="96" spans="3:5" x14ac:dyDescent="0.35">
      <c r="C96" s="140"/>
      <c r="D96" s="140"/>
      <c r="E96" s="140"/>
    </row>
    <row r="97" spans="3:5" x14ac:dyDescent="0.35">
      <c r="C97" s="140"/>
      <c r="D97" s="140"/>
      <c r="E97" s="140"/>
    </row>
    <row r="98" spans="3:5" x14ac:dyDescent="0.35">
      <c r="C98" s="140"/>
      <c r="D98" s="140"/>
      <c r="E98" s="140"/>
    </row>
    <row r="99" spans="3:5" x14ac:dyDescent="0.35">
      <c r="C99" s="140"/>
      <c r="D99" s="140"/>
      <c r="E99" s="140"/>
    </row>
    <row r="100" spans="3:5" x14ac:dyDescent="0.35">
      <c r="C100" s="140"/>
      <c r="D100" s="140"/>
      <c r="E100" s="140"/>
    </row>
    <row r="101" spans="3:5" x14ac:dyDescent="0.35">
      <c r="C101" s="140"/>
      <c r="D101" s="140"/>
      <c r="E101" s="140"/>
    </row>
    <row r="102" spans="3:5" x14ac:dyDescent="0.35">
      <c r="C102" s="140"/>
      <c r="D102" s="140"/>
      <c r="E102" s="140"/>
    </row>
    <row r="103" spans="3:5" x14ac:dyDescent="0.35">
      <c r="C103" s="140"/>
      <c r="D103" s="140"/>
      <c r="E103" s="140"/>
    </row>
    <row r="104" spans="3:5" x14ac:dyDescent="0.35">
      <c r="C104" s="140"/>
      <c r="D104" s="140"/>
      <c r="E104" s="140"/>
    </row>
    <row r="105" spans="3:5" x14ac:dyDescent="0.35">
      <c r="C105" s="140"/>
      <c r="D105" s="140"/>
      <c r="E105" s="140"/>
    </row>
    <row r="106" spans="3:5" x14ac:dyDescent="0.35">
      <c r="C106" s="140"/>
      <c r="D106" s="140"/>
      <c r="E106" s="140"/>
    </row>
    <row r="107" spans="3:5" x14ac:dyDescent="0.35">
      <c r="C107" s="140"/>
      <c r="D107" s="140"/>
      <c r="E107" s="140"/>
    </row>
    <row r="108" spans="3:5" x14ac:dyDescent="0.35">
      <c r="C108" s="140"/>
      <c r="D108" s="140"/>
      <c r="E108" s="140"/>
    </row>
    <row r="109" spans="3:5" x14ac:dyDescent="0.35">
      <c r="C109" s="71"/>
      <c r="D109" s="71"/>
      <c r="E109" s="71"/>
    </row>
    <row r="110" spans="3:5" x14ac:dyDescent="0.35">
      <c r="C110" s="71"/>
      <c r="D110" s="71"/>
      <c r="E110" s="71"/>
    </row>
    <row r="111" spans="3:5" x14ac:dyDescent="0.35">
      <c r="C111" s="71"/>
      <c r="D111" s="71"/>
      <c r="E111" s="71"/>
    </row>
    <row r="112" spans="3:5" x14ac:dyDescent="0.35">
      <c r="C112" s="71"/>
      <c r="D112" s="71"/>
      <c r="E112" s="71"/>
    </row>
    <row r="113" spans="3:5" x14ac:dyDescent="0.35">
      <c r="C113" s="71"/>
      <c r="D113" s="71"/>
      <c r="E113" s="71"/>
    </row>
    <row r="114" spans="3:5" x14ac:dyDescent="0.35">
      <c r="C114" s="71"/>
      <c r="D114" s="71"/>
      <c r="E114" s="71"/>
    </row>
    <row r="115" spans="3:5" x14ac:dyDescent="0.35">
      <c r="C115" s="71"/>
      <c r="D115" s="71"/>
      <c r="E115" s="71"/>
    </row>
    <row r="116" spans="3:5" x14ac:dyDescent="0.35">
      <c r="C116" s="71"/>
      <c r="D116" s="71"/>
      <c r="E116" s="71"/>
    </row>
    <row r="117" spans="3:5" x14ac:dyDescent="0.35">
      <c r="C117" s="71"/>
      <c r="D117" s="71"/>
      <c r="E117" s="71"/>
    </row>
    <row r="118" spans="3:5" x14ac:dyDescent="0.35">
      <c r="C118" s="71"/>
      <c r="D118" s="71"/>
      <c r="E118" s="71"/>
    </row>
    <row r="119" spans="3:5" x14ac:dyDescent="0.35">
      <c r="C119" s="71"/>
      <c r="D119" s="71"/>
      <c r="E119" s="71"/>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6F3E-AC05-4F9B-8199-7BA9E466CFCF}">
  <dimension ref="A2:F18"/>
  <sheetViews>
    <sheetView showGridLines="0" zoomScaleNormal="100" workbookViewId="0">
      <selection activeCell="E18" sqref="E18"/>
    </sheetView>
  </sheetViews>
  <sheetFormatPr defaultRowHeight="18" x14ac:dyDescent="0.35"/>
  <cols>
    <col min="2" max="5" width="18.625" customWidth="1"/>
    <col min="6" max="6" width="40.125" customWidth="1"/>
  </cols>
  <sheetData>
    <row r="2" spans="1:6" ht="18.75" x14ac:dyDescent="0.35">
      <c r="E2" s="73" t="s">
        <v>66</v>
      </c>
    </row>
    <row r="3" spans="1:6" ht="21.95" customHeight="1" x14ac:dyDescent="0.35">
      <c r="A3" t="inlineStr">
        <is>
          <t>未収入金</t>
        </is>
      </c>
      <c r="B3" s="2" t="s">
        <v>0</v>
      </c>
      <c r="C3" s="3" t="s">
        <v>1</v>
      </c>
      <c r="D3" s="3" t="s">
        <v>2</v>
      </c>
      <c r="E3" s="3" t="s">
        <v>3</v>
      </c>
      <c r="F3" s="1" t="s">
        <v>423</v>
      </c>
    </row>
    <row r="4" spans="1:6" ht="32.1" customHeight="1" x14ac:dyDescent="0.35">
      <c r="B4" s="75" t="inlineStr">
        <is>
          <t>社会保険診療報酬支払基金（神奈川県）</t>
        </is>
      </c>
      <c r="C4" s="296">
        <v>35166706</v>
      </c>
      <c r="D4" s="296">
        <v>0</v>
      </c>
      <c r="E4" s="296">
        <f>SUM(C4,D4)</f>
        <v>0</v>
      </c>
      <c r="F4" s="4" t="inlineStr">
        <is>
          <t>診療報酬の請求債権。公的保険者に対する債権であり貸倒リスクは実質的にないため帳簿価額により評価する。</t>
        </is>
      </c>
    </row>
    <row r="5" spans="1:6" ht="32.1" customHeight="1" x14ac:dyDescent="0.35">
      <c r="B5" s="75" t="inlineStr">
        <is>
          <t>神奈川県国民健康保険団体連合会</t>
        </is>
      </c>
      <c r="C5" s="297">
        <v>16411998</v>
      </c>
      <c r="D5" s="297">
        <v>0</v>
      </c>
      <c r="E5" s="297">
        <f t="shared" ref="E5:E7" si="0">SUM(C5,D5)</f>
        <v>3087.5</v>
      </c>
      <c r="F5" s="5" t="inlineStr">
        <is>
          <t>診療報酬16,270,584円及び介護給付費141,414円。同上。</t>
        </is>
      </c>
    </row>
    <row r="6" spans="1:6" ht="32.1" customHeight="1" x14ac:dyDescent="0.35">
      <c r="B6" s="75" t="inlineStr">
        <is>
          <t>その他（㈱パーク24・窓口未収金等）</t>
        </is>
      </c>
      <c r="C6" s="297">
        <v>822577</v>
      </c>
      <c r="D6" s="297">
        <v>0</v>
      </c>
      <c r="E6" s="297">
        <f t="shared" si="0"/>
        <v>8287</v>
      </c>
      <c r="F6" s="5" t="inlineStr">
        <is>
          <t>㈱パーク24 546千円ほか小口7件。内容は要確認。</t>
        </is>
      </c>
    </row>
    <row r="7" spans="1:6" ht="32.1" customHeight="1" thickBot="1" x14ac:dyDescent="0.4">
      <c r="B7" s="416"/>
      <c r="C7" s="298"/>
      <c r="D7" s="298"/>
      <c r="E7" s="298">
        <f t="shared" si="0"/>
        <v>88980</v>
      </c>
      <c r="F7" s="6"/>
    </row>
    <row r="8" spans="1:6" ht="32.1" customHeight="1" x14ac:dyDescent="0.35">
      <c r="B8" s="347" t="s">
        <v>5</v>
      </c>
      <c r="C8" s="299">
        <f>SUM(C4:C7)</f>
        <v>125963</v>
      </c>
      <c r="D8" s="299">
        <f>SUM(D4:D7)</f>
        <v>-25608.5</v>
      </c>
      <c r="E8" s="299">
        <f>C8+D8</f>
        <v>100354.5</v>
      </c>
      <c r="F8" s="7"/>
    </row>
    <row r="12" spans="1:6" ht="18.75" x14ac:dyDescent="0.35">
      <c r="E12" s="73" t="s">
        <v>66</v>
      </c>
    </row>
    <row r="13" spans="1:6" ht="21.95" customHeight="1" x14ac:dyDescent="0.35">
      <c r="A13" t="s">
        <v>271</v>
      </c>
      <c r="B13" s="9" t="s">
        <v>0</v>
      </c>
      <c r="C13" s="10" t="s">
        <v>1</v>
      </c>
      <c r="D13" s="10" t="s">
        <v>2</v>
      </c>
      <c r="E13" s="10" t="s">
        <v>3</v>
      </c>
      <c r="F13" s="1" t="s">
        <v>423</v>
      </c>
    </row>
    <row r="14" spans="1:6" ht="32.1" customHeight="1" x14ac:dyDescent="0.35">
      <c r="B14" s="417" t="inlineStr">
        <is>
          <t>商品（薬品等）</t>
        </is>
      </c>
      <c r="C14" s="300">
        <v>26584168</v>
      </c>
      <c r="D14" s="300">
        <v>0</v>
      </c>
      <c r="E14" s="300">
        <f>SUM(C14,D14)</f>
      </c>
      <c r="F14" s="13" t="inlineStr">
        <is>
          <t>内訳書上は「薬品等（明細書会社保存）」の一括表示。品目別明細・使用期限別の滞留状況が未確認のため帳簿価額により評価する（要確認）。評価方法は最終仕入原価法。</t>
        </is>
      </c>
    </row>
    <row r="15" spans="1:6" ht="32.1" customHeight="1" x14ac:dyDescent="0.35">
      <c r="B15" s="418" t="inlineStr">
        <is>
          <t>貯蔵品（薬袋等）</t>
        </is>
      </c>
      <c r="C15" s="300">
        <v>619688</v>
      </c>
      <c r="D15" s="300">
        <v>0</v>
      </c>
      <c r="E15" s="300">
        <f>SUM(C15,D15)</f>
      </c>
      <c r="F15" s="303" t="s">
        <v>273</v>
      </c>
    </row>
    <row r="16" spans="1:6" ht="32.1" customHeight="1" x14ac:dyDescent="0.35">
      <c r="B16" s="419"/>
      <c r="C16" s="234"/>
      <c r="D16" s="234"/>
      <c r="E16" s="234">
        <f>SUM(C16,D16)</f>
      </c>
      <c r="F16" s="8"/>
    </row>
    <row r="17" spans="2:6" ht="32.1" customHeight="1" thickBot="1" x14ac:dyDescent="0.4">
      <c r="B17" s="420"/>
      <c r="C17" s="301"/>
      <c r="D17" s="301"/>
      <c r="E17" s="301">
        <f>SUM(C17,D17)</f>
      </c>
      <c r="F17" s="11"/>
    </row>
    <row r="18" spans="2:6" ht="32.1" customHeight="1" x14ac:dyDescent="0.35">
      <c r="B18" s="347" t="s">
        <v>5</v>
      </c>
      <c r="C18" s="302">
        <f>SUM(C14:C17)</f>
        <v>400447</v>
      </c>
      <c r="D18" s="302">
        <f>SUM(D14:D17)</f>
        <v>-130922</v>
      </c>
      <c r="E18" s="302">
        <f>C18+D18</f>
        <v>269525</v>
      </c>
      <c r="F18" s="12"/>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52E9-7014-4E8C-ABC0-79027E38D9DD}">
  <dimension ref="B2:F8"/>
  <sheetViews>
    <sheetView showGridLines="0" zoomScaleNormal="100" workbookViewId="0">
      <selection activeCell="B4" sqref="B4:B7"/>
    </sheetView>
  </sheetViews>
  <sheetFormatPr defaultRowHeight="18" x14ac:dyDescent="0.35"/>
  <cols>
    <col min="2" max="5" width="18.625" customWidth="1"/>
    <col min="6" max="6" width="25.875" customWidth="1"/>
  </cols>
  <sheetData>
    <row r="2" spans="2:6" ht="18.75" x14ac:dyDescent="0.35">
      <c r="E2" s="73" t="s">
        <v>66</v>
      </c>
    </row>
    <row r="3" spans="2:6" ht="21.95" customHeight="1" x14ac:dyDescent="0.35">
      <c r="B3" s="2" t="s">
        <v>285</v>
      </c>
      <c r="C3" s="3" t="s">
        <v>1</v>
      </c>
      <c r="D3" s="3" t="s">
        <v>2</v>
      </c>
      <c r="E3" s="3" t="s">
        <v>3</v>
      </c>
      <c r="F3" s="1" t="s">
        <v>423</v>
      </c>
    </row>
    <row r="4" spans="2:6" ht="32.1" customHeight="1" x14ac:dyDescent="0.35">
      <c r="B4" s="75" t="inlineStr">
        <is>
          <t>建物附属設備</t>
        </is>
      </c>
      <c r="C4" s="296">
        <v>5361688</v>
      </c>
      <c r="D4" s="296">
        <v>0</v>
      </c>
      <c r="E4" s="296">
        <f>SUM(C4,D4)</f>
        <v>0</v>
      </c>
      <c r="F4" s="4" t="inlineStr">
        <is>
          <t>固定資産台帳が未受領のため個別資産の償却過不足の検証は未実施。税法基準（定率法・建物附属設備は定額法、ソフトウェアは定額法）により継続的に償却されており、帳簿価額により評価する（要確認）。店舗はいずれも賃借であり、有形固定資産の大宗は内装造作と推察される。</t>
        </is>
      </c>
    </row>
    <row r="5" spans="2:6" ht="32.1" customHeight="1" x14ac:dyDescent="0.35">
      <c r="B5" s="75" t="inlineStr">
        <is>
          <t>工具器具備品</t>
        </is>
      </c>
      <c r="C5" s="297">
        <v>2040707</v>
      </c>
      <c r="D5" s="297">
        <v>0</v>
      </c>
      <c r="E5" s="297">
        <f t="shared" ref="E5:E7" si="0">SUM(C5,D5)</f>
        <v>3087.5</v>
      </c>
      <c r="F5" s="4" t="s">
        <v>284</v>
      </c>
    </row>
    <row r="6" spans="2:6" ht="32.1" customHeight="1" x14ac:dyDescent="0.35">
      <c r="B6" s="75" t="inlineStr">
        <is>
          <t>ソフトウェア</t>
        </is>
      </c>
      <c r="C6" s="297">
        <v>4816004</v>
      </c>
      <c r="D6" s="297">
        <v>0</v>
      </c>
      <c r="E6" s="297">
        <f t="shared" si="0"/>
        <v>8287</v>
      </c>
      <c r="F6" s="4" t="s">
        <v>284</v>
      </c>
    </row>
    <row r="7" spans="2:6" ht="32.1" customHeight="1" thickBot="1" x14ac:dyDescent="0.4">
      <c r="B7" s="416"/>
      <c r="C7" s="298"/>
      <c r="D7" s="298"/>
      <c r="E7" s="298">
        <f t="shared" si="0"/>
        <v>88980</v>
      </c>
      <c r="F7" s="6"/>
    </row>
    <row r="8" spans="2:6" ht="32.1" customHeight="1" x14ac:dyDescent="0.35">
      <c r="B8" s="347" t="s">
        <v>5</v>
      </c>
      <c r="C8" s="299">
        <f>SUM(C4:C7)</f>
        <v>125963</v>
      </c>
      <c r="D8" s="299">
        <f>SUM(D4:D7)</f>
        <v>-25608.5</v>
      </c>
      <c r="E8" s="299">
        <f>C8+D8</f>
        <v>100354.5</v>
      </c>
      <c r="F8" s="7"/>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8598-4F8A-47CF-A80F-B946E52DB5A7}">
  <dimension ref="B2:G8"/>
  <sheetViews>
    <sheetView showGridLines="0" zoomScaleNormal="100" workbookViewId="0">
      <selection activeCell="E15" sqref="E15"/>
    </sheetView>
  </sheetViews>
  <sheetFormatPr defaultRowHeight="18" x14ac:dyDescent="0.35"/>
  <cols>
    <col min="2" max="2" width="49.5" customWidth="1"/>
    <col min="3" max="6" width="18.625" customWidth="1"/>
    <col min="7" max="7" width="32.875" customWidth="1"/>
  </cols>
  <sheetData>
    <row r="2" spans="2:7" ht="18.75" x14ac:dyDescent="0.35">
      <c r="E2" s="73"/>
      <c r="F2" s="73" t="s">
        <v>66</v>
      </c>
    </row>
    <row r="3" spans="2:7" ht="21.95" customHeight="1" x14ac:dyDescent="0.35">
      <c r="B3" s="2" t="s">
        <v>286</v>
      </c>
      <c r="C3" s="3" t="s">
        <v>288</v>
      </c>
      <c r="D3" s="3" t="s">
        <v>289</v>
      </c>
      <c r="E3" s="3" t="s">
        <v>290</v>
      </c>
      <c r="F3" s="3" t="s">
        <v>291</v>
      </c>
      <c r="G3" s="1" t="s">
        <v>423</v>
      </c>
    </row>
    <row r="4" spans="2:7" ht="32.1" customHeight="1" x14ac:dyDescent="0.35">
      <c r="B4" s="75" t="inlineStr">
        <is>
          <t>該当なし</t>
        </is>
      </c>
      <c r="C4" s="343">
        <v>500</v>
      </c>
      <c r="D4" s="296">
        <v>5000000</v>
      </c>
      <c r="E4" s="296">
        <f>F4-D4</f>
        <v>-2000000</v>
      </c>
      <c r="F4" s="296">
        <v>3000000</v>
      </c>
      <c r="G4" s="4" t="inlineStr">
        <is>
          <t>対象会社は土地・建物等の不動産を保有していない。店舗3件・駐車場4件はいずれも賃借（地代家賃等の内訳書により確認）。したがって不動産の時価評価は実施していない。</t>
        </is>
      </c>
    </row>
    <row r="5" spans="2:7" ht="32.1" customHeight="1" x14ac:dyDescent="0.35">
      <c r="B5" s="421"/>
      <c r="C5" s="344"/>
      <c r="D5" s="297"/>
      <c r="E5" s="297">
        <f t="shared" ref="E5:E7" si="0">F5-D5</f>
        <v>2000000</v>
      </c>
      <c r="F5" s="297"/>
      <c r="G5" s="4"/>
    </row>
    <row r="6" spans="2:7" ht="32.1" customHeight="1" x14ac:dyDescent="0.35">
      <c r="B6" s="422"/>
      <c r="C6" s="344"/>
      <c r="D6" s="248"/>
      <c r="E6" s="297">
        <f t="shared" si="0"/>
        <v>2000000</v>
      </c>
      <c r="F6" s="297"/>
      <c r="G6" s="4"/>
    </row>
    <row r="7" spans="2:7" ht="32.1" customHeight="1" thickBot="1" x14ac:dyDescent="0.4">
      <c r="B7" s="416"/>
      <c r="C7" s="345"/>
      <c r="D7" s="298"/>
      <c r="E7" s="248">
        <f t="shared" si="0"/>
        <v>0</v>
      </c>
      <c r="F7" s="248"/>
      <c r="G7" s="6"/>
    </row>
    <row r="8" spans="2:7" ht="32.1" customHeight="1" x14ac:dyDescent="0.35">
      <c r="B8" s="347" t="s">
        <v>5</v>
      </c>
      <c r="C8" s="346">
        <f>SUM(C4:C7)</f>
        <v>1000</v>
      </c>
      <c r="D8" s="299">
        <f>SUM(D4:D7)</f>
        <v>15000000</v>
      </c>
      <c r="E8" s="299">
        <f>SUM(E4:E7)</f>
        <v>2000000</v>
      </c>
      <c r="F8" s="299">
        <f>SUM(F4:F7)</f>
        <v>17000000</v>
      </c>
      <c r="G8" s="7"/>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961E-FEA7-4477-8320-A5814446603D}">
  <dimension ref="B2:F8"/>
  <sheetViews>
    <sheetView showGridLines="0" zoomScaleNormal="100" workbookViewId="0">
      <selection activeCell="B12" sqref="B12"/>
    </sheetView>
  </sheetViews>
  <sheetFormatPr defaultRowHeight="18" x14ac:dyDescent="0.35"/>
  <cols>
    <col min="2" max="2" width="41.375" bestFit="1" customWidth="1"/>
    <col min="3" max="5" width="18.625" customWidth="1"/>
    <col min="6" max="6" width="33.125" bestFit="1" customWidth="1"/>
  </cols>
  <sheetData>
    <row r="2" spans="2:6" ht="18.75" x14ac:dyDescent="0.35">
      <c r="E2" s="73" t="s">
        <v>66</v>
      </c>
    </row>
    <row r="3" spans="2:6" ht="21.95" customHeight="1" x14ac:dyDescent="0.35">
      <c r="B3" s="2" t="s">
        <v>296</v>
      </c>
      <c r="C3" s="3" t="s">
        <v>1</v>
      </c>
      <c r="D3" s="3" t="s">
        <v>2</v>
      </c>
      <c r="E3" s="3" t="s">
        <v>3</v>
      </c>
      <c r="F3" s="1" t="s">
        <v>423</v>
      </c>
    </row>
    <row r="4" spans="2:6" ht="32.1" customHeight="1" x14ac:dyDescent="0.35">
      <c r="B4" s="75" t="inlineStr">
        <is>
          <t>中小企業倒産防止共済（簿外）</t>
        </is>
      </c>
      <c r="C4" s="296">
        <v>0</v>
      </c>
      <c r="D4" s="296">
        <f>E4-C4</f>
        <v>5000000</v>
      </c>
      <c r="E4" s="296">
        <v>0</v>
      </c>
      <c r="F4" s="4" t="inlineStr">
        <is>
          <t>令和7年12月期BSに保険積立金の計上はないが、雑益の内訳書に「倒産防止共済金 前納減額金 9,720円」の計上があり、掛金を全額損金算入している簿外の積立が存在すると認められる。解約手当金額（最大800万円）は時価純資産の加算要素となるため、加入時期・掛金月額・納付済掛金総額を要確認。金額が特定できないため本評価では未計上とする。</t>
        </is>
      </c>
    </row>
    <row r="5" spans="2:6" ht="32.1" customHeight="1" x14ac:dyDescent="0.35">
      <c r="B5" s="421" t="inlineStr">
        <is>
          <t>生命保険等</t>
        </is>
      </c>
      <c r="C5" s="297">
        <v>0</v>
      </c>
      <c r="D5" s="297"/>
      <c r="E5" s="297">
        <v>0</v>
      </c>
      <c r="F5" s="4" t="inlineStr">
        <is>
          <t>保険料1,603千円（令和7年12月期）の内訳・保険証券が未受領のため、掛捨て以外の積立性保険の有無は未確認（要確認）。</t>
        </is>
      </c>
    </row>
    <row r="6" spans="2:6" ht="32.1" customHeight="1" x14ac:dyDescent="0.35">
      <c r="B6" s="422"/>
      <c r="C6" s="297"/>
      <c r="D6" s="297"/>
      <c r="E6" s="297"/>
      <c r="F6" s="4"/>
    </row>
    <row r="7" spans="2:6" ht="32.1" customHeight="1" thickBot="1" x14ac:dyDescent="0.4">
      <c r="B7" s="416"/>
      <c r="C7" s="298"/>
      <c r="D7" s="298"/>
      <c r="E7" s="298"/>
      <c r="F7" s="6"/>
    </row>
    <row r="8" spans="2:6" ht="32.1" customHeight="1" x14ac:dyDescent="0.35">
      <c r="B8" s="456" t="s">
        <v>5</v>
      </c>
      <c r="C8" s="299">
        <f>SUM(C4:C7)</f>
        <v>10000000</v>
      </c>
      <c r="D8" s="299">
        <f>SUM(D4:D7)</f>
        <v>5000000</v>
      </c>
      <c r="E8" s="299">
        <f>C8+D8</f>
        <v>15000000</v>
      </c>
      <c r="F8" s="7"/>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6183-EEF3-4C94-9C96-340648C91692}">
  <dimension ref="B2:G9"/>
  <sheetViews>
    <sheetView showGridLines="0" zoomScaleNormal="100" workbookViewId="0">
      <selection activeCell="F14" sqref="F14"/>
    </sheetView>
  </sheetViews>
  <sheetFormatPr defaultRowHeight="18" x14ac:dyDescent="0.35"/>
  <cols>
    <col min="2" max="2" width="35.125" customWidth="1"/>
    <col min="3" max="3" width="21.125" customWidth="1"/>
    <col min="4" max="6" width="18.625" customWidth="1"/>
    <col min="7" max="7" width="31.375" bestFit="1" customWidth="1"/>
  </cols>
  <sheetData>
    <row r="2" spans="2:7" ht="18.75" x14ac:dyDescent="0.35">
      <c r="F2" s="73" t="s">
        <v>66</v>
      </c>
    </row>
    <row r="3" spans="2:7" ht="21.95" customHeight="1" x14ac:dyDescent="0.35">
      <c r="B3" s="2" t="s">
        <v>301</v>
      </c>
      <c r="C3" s="116" t="s">
        <v>304</v>
      </c>
      <c r="D3" s="3" t="s">
        <v>1</v>
      </c>
      <c r="E3" s="3" t="s">
        <v>2</v>
      </c>
      <c r="F3" s="3" t="s">
        <v>3</v>
      </c>
      <c r="G3" s="1" t="s">
        <v>423</v>
      </c>
    </row>
    <row r="4" spans="2:7" ht="32.1" customHeight="1" x14ac:dyDescent="0.35">
      <c r="B4" s="75" t="inlineStr">
        <is>
          <t>該当なし</t>
        </is>
      </c>
      <c r="C4" s="348">
        <v>1000</v>
      </c>
      <c r="D4" s="296">
        <v>0</v>
      </c>
      <c r="E4" s="296">
        <f>F4-D4</f>
        <v>5000000</v>
      </c>
      <c r="F4" s="296">
        <v>0</v>
      </c>
      <c r="G4" s="4" t="inlineStr">
        <is>
          <t>令和7年12月期BSに有価証券・投資有価証券の計上はない。貸付金及び受取利息の内訳書上、役員貸付金・従業員貸付金の計上もない。</t>
        </is>
      </c>
    </row>
    <row r="5" spans="2:7" ht="32.1" customHeight="1" x14ac:dyDescent="0.35">
      <c r="B5" s="421"/>
      <c r="C5" s="351"/>
      <c r="D5" s="297"/>
      <c r="E5" s="297">
        <f>F5-D5</f>
        <v>3000000</v>
      </c>
      <c r="F5" s="297"/>
      <c r="G5" s="4"/>
    </row>
    <row r="6" spans="2:7" ht="32.1" customHeight="1" x14ac:dyDescent="0.35">
      <c r="B6" s="422"/>
      <c r="C6" s="349"/>
      <c r="D6" s="297"/>
      <c r="E6" s="297"/>
      <c r="F6" s="297"/>
      <c r="G6" s="4"/>
    </row>
    <row r="7" spans="2:7" ht="32.1" customHeight="1" x14ac:dyDescent="0.35">
      <c r="B7" s="421"/>
      <c r="C7" s="351"/>
      <c r="D7" s="297"/>
      <c r="E7" s="297">
        <f>F7-D7</f>
        <v>0</v>
      </c>
      <c r="F7" s="297"/>
      <c r="G7" s="4"/>
    </row>
    <row r="8" spans="2:7" ht="32.1" customHeight="1" thickBot="1" x14ac:dyDescent="0.4">
      <c r="B8" s="416"/>
      <c r="C8" s="350"/>
      <c r="D8" s="298"/>
      <c r="E8" s="248">
        <f>F8-D8</f>
        <v>0</v>
      </c>
      <c r="F8" s="298"/>
      <c r="G8" s="6"/>
    </row>
    <row r="9" spans="2:7" ht="32.1" customHeight="1" x14ac:dyDescent="0.35">
      <c r="B9" s="347" t="s">
        <v>5</v>
      </c>
      <c r="C9" s="352" t="s">
        <v>56</v>
      </c>
      <c r="D9" s="299">
        <f>SUM(D4:D8)</f>
        <v>20000000</v>
      </c>
      <c r="E9" s="299">
        <f>SUM(E4:E8)</f>
        <v>8000000</v>
      </c>
      <c r="F9" s="299">
        <f>D9+E9</f>
        <v>28000000</v>
      </c>
      <c r="G9" s="7"/>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7A0F-6515-4C31-8215-9FA1FE38CDA6}">
  <sheetPr>
    <tabColor theme="7"/>
  </sheetPr>
  <dimension ref="B2:E103"/>
  <sheetViews>
    <sheetView showGridLines="0" zoomScale="85" zoomScaleNormal="85" workbookViewId="0">
      <pane ySplit="4" topLeftCell="A35" activePane="bottomLeft" state="frozen"/>
      <selection pane="bottomLeft" activeCell="A53" sqref="A53"/>
    </sheetView>
  </sheetViews>
  <sheetFormatPr defaultRowHeight="18" x14ac:dyDescent="0.35"/>
  <cols>
    <col min="2" max="2" width="28" style="177" customWidth="1"/>
    <col min="3" max="5" width="16.125" customWidth="1"/>
    <col min="6" max="6" width="8.875" customWidth="1"/>
  </cols>
  <sheetData>
    <row r="2" spans="2:5" ht="18.75" x14ac:dyDescent="0.35">
      <c r="E2" s="73" t="s">
        <v>66</v>
      </c>
    </row>
    <row r="3" spans="2:5" ht="28.35" customHeight="1" thickBot="1" x14ac:dyDescent="0.4">
      <c r="B3" s="179" t="s">
        <v>213</v>
      </c>
      <c r="C3" s="170"/>
      <c r="D3" s="170"/>
      <c r="E3" s="294"/>
    </row>
    <row r="4" spans="2:5" ht="19.5" x14ac:dyDescent="0.35">
      <c r="B4" s="1" t="s">
        <v>208</v>
      </c>
      <c r="C4" s="239" t="str">
        <f>'修正BS(借方)'!C4</f>
        <v>25年12月期</v>
      </c>
      <c r="D4" s="267" t="s">
        <v>497</v>
      </c>
      <c r="E4" s="266" t="s">
        <v>502</v>
      </c>
    </row>
    <row r="5" spans="2:5" ht="22.5" customHeight="1" x14ac:dyDescent="0.35">
      <c r="B5" s="257" t="s">
        <v>214</v>
      </c>
      <c r="C5" s="240">
        <f>SUM(C6:C17)</f>
        <v>41577715</v>
      </c>
      <c r="D5" s="233">
        <f>SUM(D6:D17)</f>
        <v>0</v>
      </c>
      <c r="E5" s="262">
        <f>C5+D5</f>
        <v>41577715</v>
      </c>
    </row>
    <row r="6" spans="2:5" ht="22.5" customHeight="1" x14ac:dyDescent="0.35">
      <c r="B6" s="214" t="str">
        <f>'BS (貸方)'!B6</f>
        <v>買掛金</v>
      </c>
      <c r="C6" s="248">
        <f>'BS (貸方)'!E6</f>
        <v>26935462</v>
      </c>
      <c r="D6" s="268"/>
      <c r="E6" s="263">
        <f>C6+D6</f>
        <v>26935462</v>
      </c>
    </row>
    <row r="7" spans="2:5" ht="22.5" customHeight="1" x14ac:dyDescent="0.35">
      <c r="B7" s="214" t="str">
        <f>'BS (貸方)'!B7</f>
        <v>短期借入金</v>
      </c>
      <c r="C7" s="248">
        <f>'BS (貸方)'!E7</f>
        <v>8000000</v>
      </c>
      <c r="D7" s="268"/>
      <c r="E7" s="263">
        <f t="shared" ref="E7:E17" si="0">C7+D7</f>
        <v>8000000</v>
      </c>
    </row>
    <row r="8" spans="2:5" ht="22.5" customHeight="1" x14ac:dyDescent="0.35">
      <c r="B8" s="214" t="str">
        <f>'BS (貸方)'!B8</f>
        <v>未払金</v>
      </c>
      <c r="C8" s="248">
        <f>'BS (貸方)'!E8</f>
        <v>3541353</v>
      </c>
      <c r="D8" s="268"/>
      <c r="E8" s="263">
        <f t="shared" si="0"/>
        <v>3541353</v>
      </c>
    </row>
    <row r="9" spans="2:5" ht="22.5" customHeight="1" x14ac:dyDescent="0.35">
      <c r="B9" s="214" t="str">
        <f>'BS (貸方)'!B9</f>
        <v>未払法人税等</v>
      </c>
      <c r="C9" s="248">
        <f>'BS (貸方)'!E9</f>
        <v>3100900</v>
      </c>
      <c r="D9" s="268"/>
      <c r="E9" s="263">
        <f t="shared" si="0"/>
        <v>3100900</v>
      </c>
    </row>
    <row r="10" spans="2:5" ht="22.5" customHeight="1" x14ac:dyDescent="0.35">
      <c r="B10" s="214">
        <f>'BS (貸方)'!B10</f>
        <v>0</v>
      </c>
      <c r="C10" s="248">
        <f>'BS (貸方)'!E10</f>
        <v>0</v>
      </c>
      <c r="D10" s="268"/>
      <c r="E10" s="263">
        <f t="shared" si="0"/>
        <v>0</v>
      </c>
    </row>
    <row r="11" spans="2:5" ht="22.5" customHeight="1" x14ac:dyDescent="0.35">
      <c r="B11" s="214">
        <f>'BS (貸方)'!B11</f>
        <v>0</v>
      </c>
      <c r="C11" s="248">
        <f>'BS (貸方)'!E11</f>
        <v>0</v>
      </c>
      <c r="D11" s="268"/>
      <c r="E11" s="263">
        <f t="shared" si="0"/>
        <v>0</v>
      </c>
    </row>
    <row r="12" spans="2:5" ht="22.5" customHeight="1" x14ac:dyDescent="0.35">
      <c r="B12" s="214">
        <f>'BS (貸方)'!B12</f>
        <v>0</v>
      </c>
      <c r="C12" s="248">
        <f>'BS (貸方)'!E12</f>
        <v>0</v>
      </c>
      <c r="D12" s="268"/>
      <c r="E12" s="263">
        <f t="shared" si="0"/>
        <v>0</v>
      </c>
    </row>
    <row r="13" spans="2:5" ht="22.5" customHeight="1" x14ac:dyDescent="0.35">
      <c r="B13" s="214">
        <f>'BS (貸方)'!B13</f>
        <v>0</v>
      </c>
      <c r="C13" s="248">
        <f>'BS (貸方)'!E13</f>
        <v>0</v>
      </c>
      <c r="D13" s="268"/>
      <c r="E13" s="263">
        <f t="shared" si="0"/>
        <v>0</v>
      </c>
    </row>
    <row r="14" spans="2:5" ht="22.5" customHeight="1" x14ac:dyDescent="0.35">
      <c r="B14" s="214">
        <f>'BS (貸方)'!B14</f>
        <v>0</v>
      </c>
      <c r="C14" s="248">
        <f>'BS (貸方)'!E14</f>
        <v>0</v>
      </c>
      <c r="D14" s="268"/>
      <c r="E14" s="263">
        <f t="shared" si="0"/>
        <v>0</v>
      </c>
    </row>
    <row r="15" spans="2:5" ht="22.5" customHeight="1" x14ac:dyDescent="0.35">
      <c r="B15" s="214">
        <f>'BS (貸方)'!B15</f>
        <v>0</v>
      </c>
      <c r="C15" s="248">
        <f>'BS (貸方)'!E15</f>
        <v>0</v>
      </c>
      <c r="D15" s="268"/>
      <c r="E15" s="263">
        <f t="shared" si="0"/>
        <v>0</v>
      </c>
    </row>
    <row r="16" spans="2:5" ht="22.5" customHeight="1" x14ac:dyDescent="0.35">
      <c r="B16" s="214">
        <f>'BS (貸方)'!B16</f>
        <v>0</v>
      </c>
      <c r="C16" s="248">
        <f>'BS (貸方)'!E16</f>
        <v>0</v>
      </c>
      <c r="D16" s="268"/>
      <c r="E16" s="263">
        <f t="shared" si="0"/>
        <v>0</v>
      </c>
    </row>
    <row r="17" spans="2:5" ht="22.5" customHeight="1" x14ac:dyDescent="0.35">
      <c r="B17" s="213"/>
      <c r="C17" s="242"/>
      <c r="D17" s="243"/>
      <c r="E17" s="263">
        <f t="shared" si="0"/>
        <v>0</v>
      </c>
    </row>
    <row r="18" spans="2:5" ht="22.5" customHeight="1" x14ac:dyDescent="0.35">
      <c r="B18" s="257" t="s">
        <v>218</v>
      </c>
      <c r="C18" s="240">
        <f>SUM(C19:C26)</f>
        <v>47200000</v>
      </c>
      <c r="D18" s="233">
        <f>SUM(D19:D26)</f>
        <v>0</v>
      </c>
      <c r="E18" s="270">
        <f>C18+D18</f>
        <v>47200000</v>
      </c>
    </row>
    <row r="19" spans="2:5" ht="22.5" customHeight="1" x14ac:dyDescent="0.35">
      <c r="B19" s="214" t="str">
        <f>'BS (貸方)'!B19</f>
        <v>長期借入金</v>
      </c>
      <c r="C19" s="248">
        <f>'BS (貸方)'!E19</f>
        <v>47200000</v>
      </c>
      <c r="D19" s="268"/>
      <c r="E19" s="263">
        <f>C19+D19</f>
        <v>47200000</v>
      </c>
    </row>
    <row r="20" spans="2:5" ht="22.5" customHeight="1" x14ac:dyDescent="0.35">
      <c r="B20" s="214">
        <f>'BS (貸方)'!B20</f>
        <v>0</v>
      </c>
      <c r="C20" s="248">
        <f>'BS (貸方)'!E20</f>
        <v>0</v>
      </c>
      <c r="D20" s="268"/>
      <c r="E20" s="263">
        <f t="shared" ref="E20:E22" si="1">C20+D20</f>
        <v>0</v>
      </c>
    </row>
    <row r="21" spans="2:5" ht="22.5" customHeight="1" x14ac:dyDescent="0.35">
      <c r="B21" s="214">
        <f>'BS (貸方)'!B21</f>
        <v>0</v>
      </c>
      <c r="C21" s="248">
        <f>'BS (貸方)'!E21</f>
        <v>0</v>
      </c>
      <c r="D21" s="268"/>
      <c r="E21" s="263">
        <f t="shared" si="1"/>
        <v>0</v>
      </c>
    </row>
    <row r="22" spans="2:5" ht="22.5" customHeight="1" x14ac:dyDescent="0.35">
      <c r="B22" s="214">
        <f>'BS (貸方)'!B22</f>
        <v>0</v>
      </c>
      <c r="C22" s="248">
        <f>'BS (貸方)'!E22</f>
        <v>0</v>
      </c>
      <c r="D22" s="268"/>
      <c r="E22" s="263">
        <f t="shared" si="1"/>
        <v>0</v>
      </c>
    </row>
    <row r="23" spans="2:5" ht="22.5" customHeight="1" x14ac:dyDescent="0.35">
      <c r="B23" s="214">
        <f>'BS (貸方)'!B23</f>
        <v>0</v>
      </c>
      <c r="C23" s="248">
        <f>'BS (貸方)'!E23</f>
        <v>0</v>
      </c>
      <c r="D23" s="268"/>
      <c r="E23" s="263">
        <f t="shared" ref="E23:E26" si="2">C23+D23</f>
        <v>0</v>
      </c>
    </row>
    <row r="24" spans="2:5" ht="22.5" customHeight="1" x14ac:dyDescent="0.35">
      <c r="B24" s="214"/>
      <c r="C24" s="248"/>
      <c r="D24" s="268"/>
      <c r="E24" s="263">
        <f t="shared" si="2"/>
        <v>0</v>
      </c>
    </row>
    <row r="25" spans="2:5" ht="22.5" customHeight="1" x14ac:dyDescent="0.35">
      <c r="B25" s="214"/>
      <c r="C25" s="248"/>
      <c r="D25" s="268"/>
      <c r="E25" s="263">
        <f t="shared" si="2"/>
        <v>0</v>
      </c>
    </row>
    <row r="26" spans="2:5" ht="22.5" customHeight="1" x14ac:dyDescent="0.35">
      <c r="B26" s="214"/>
      <c r="C26" s="248"/>
      <c r="D26" s="268"/>
      <c r="E26" s="263">
        <f t="shared" si="2"/>
        <v>0</v>
      </c>
    </row>
    <row r="27" spans="2:5" ht="22.5" customHeight="1" x14ac:dyDescent="0.35">
      <c r="B27" s="215" t="s">
        <v>278</v>
      </c>
      <c r="C27" s="247">
        <v>0</v>
      </c>
      <c r="D27" s="256">
        <f>ROUND(MAX(0,('修正BS(借方)'!D5+'修正BS(借方)'!D20+'修正BS(借方)'!D56-('修正BS(貸方) '!D5+'修正BS(貸方) '!D18))*0.34),0)</f>
      </c>
      <c r="E27" s="264">
        <f>C27+D27</f>
        <v>0</v>
      </c>
    </row>
    <row r="28" spans="2:5" ht="22.5" customHeight="1" thickBot="1" x14ac:dyDescent="0.4">
      <c r="B28" s="258" t="s">
        <v>219</v>
      </c>
      <c r="C28" s="249">
        <f>C5+C18+C27</f>
        <v>88777715</v>
      </c>
      <c r="D28" s="269">
        <f>D5+D18+D27</f>
        <v>0</v>
      </c>
      <c r="E28" s="272">
        <f>C28+D28</f>
        <v>88777715</v>
      </c>
    </row>
    <row r="29" spans="2:5" ht="22.5" customHeight="1" x14ac:dyDescent="0.35">
      <c r="B29" s="103"/>
      <c r="C29" s="241"/>
      <c r="D29" s="241"/>
      <c r="E29" s="241"/>
    </row>
    <row r="30" spans="2:5" ht="22.5" customHeight="1" x14ac:dyDescent="0.35">
      <c r="B30" s="103"/>
      <c r="C30" s="234"/>
      <c r="D30" s="234"/>
      <c r="E30" s="234"/>
    </row>
    <row r="31" spans="2:5" ht="22.5" customHeight="1" x14ac:dyDescent="0.35">
      <c r="B31" s="103"/>
      <c r="C31" s="234"/>
      <c r="D31" s="234"/>
      <c r="E31" s="234"/>
    </row>
    <row r="32" spans="2:5" ht="22.5" customHeight="1" x14ac:dyDescent="0.35">
      <c r="B32" s="103"/>
      <c r="C32" s="234"/>
      <c r="D32" s="234"/>
      <c r="E32" s="234"/>
    </row>
    <row r="33" spans="2:5" ht="22.5" customHeight="1" x14ac:dyDescent="0.35">
      <c r="B33" s="103"/>
      <c r="C33" s="234"/>
      <c r="D33" s="234"/>
      <c r="E33" s="234"/>
    </row>
    <row r="34" spans="2:5" ht="22.35" customHeight="1" thickBot="1" x14ac:dyDescent="0.4">
      <c r="B34" s="175" t="s">
        <v>225</v>
      </c>
      <c r="C34" s="170"/>
      <c r="D34" s="170"/>
      <c r="E34" s="295"/>
    </row>
    <row r="35" spans="2:5" ht="22.35" customHeight="1" x14ac:dyDescent="0.35">
      <c r="B35" s="257" t="s">
        <v>222</v>
      </c>
      <c r="C35" s="240">
        <f>SUM(C36:C38)</f>
        <v>9000000</v>
      </c>
      <c r="D35" s="233">
        <f>SUM(D36:D38)</f>
        <v>0</v>
      </c>
      <c r="E35" s="262">
        <f>C35+D35</f>
        <v>9000000</v>
      </c>
    </row>
    <row r="36" spans="2:5" ht="22.35" customHeight="1" x14ac:dyDescent="0.35">
      <c r="B36" s="173" t="str">
        <f>'BS (貸方)'!B36</f>
        <v>資本金</v>
      </c>
      <c r="C36" s="241">
        <f>'BS (貸方)'!E36</f>
        <v>9000000</v>
      </c>
      <c r="D36" s="234"/>
      <c r="E36" s="263">
        <f>C36+D36</f>
        <v>9000000</v>
      </c>
    </row>
    <row r="37" spans="2:5" ht="22.35" customHeight="1" x14ac:dyDescent="0.35">
      <c r="B37" s="173"/>
      <c r="C37" s="234"/>
      <c r="D37" s="234"/>
      <c r="E37" s="263">
        <f t="shared" ref="E37:E38" si="3">C37+D37</f>
        <v>0</v>
      </c>
    </row>
    <row r="38" spans="2:5" ht="22.35" customHeight="1" x14ac:dyDescent="0.35">
      <c r="B38" s="191"/>
      <c r="C38" s="242"/>
      <c r="D38" s="243"/>
      <c r="E38" s="263">
        <f t="shared" si="3"/>
        <v>0</v>
      </c>
    </row>
    <row r="39" spans="2:5" ht="22.35" customHeight="1" x14ac:dyDescent="0.35">
      <c r="B39" s="257" t="s">
        <v>223</v>
      </c>
      <c r="C39" s="247">
        <f>SUM(C40:C42)</f>
        <v>1000000</v>
      </c>
      <c r="D39" s="256">
        <f>SUM(D40:D42)</f>
        <v>0</v>
      </c>
      <c r="E39" s="264">
        <f>C39+D39</f>
        <v>1000000</v>
      </c>
    </row>
    <row r="40" spans="2:5" ht="22.35" customHeight="1" x14ac:dyDescent="0.35">
      <c r="B40" s="309" t="str">
        <f>'BS (貸方)'!B40</f>
        <v>資本準備金</v>
      </c>
      <c r="C40" s="310">
        <f>'BS (貸方)'!E40</f>
        <v>1000000</v>
      </c>
      <c r="D40" s="311"/>
      <c r="E40" s="312">
        <f>C40+D40</f>
        <v>1000000</v>
      </c>
    </row>
    <row r="41" spans="2:5" ht="22.35" customHeight="1" x14ac:dyDescent="0.35">
      <c r="B41" s="173"/>
      <c r="C41" s="248"/>
      <c r="D41" s="268"/>
      <c r="E41" s="263">
        <f t="shared" ref="E41:E42" si="4">C41+D41</f>
        <v>0</v>
      </c>
    </row>
    <row r="42" spans="2:5" ht="22.35" customHeight="1" x14ac:dyDescent="0.35">
      <c r="B42" s="259"/>
      <c r="C42" s="242"/>
      <c r="D42" s="243"/>
      <c r="E42" s="263">
        <f t="shared" si="4"/>
        <v>0</v>
      </c>
    </row>
    <row r="43" spans="2:5" ht="22.5" customHeight="1" x14ac:dyDescent="0.35">
      <c r="B43" s="257" t="s">
        <v>207</v>
      </c>
      <c r="C43" s="247">
        <f t="shared" ref="C43:D43" si="5">SUM(C44:C47)</f>
        <v>62450787</v>
      </c>
      <c r="D43" s="256">
        <f t="shared" si="5"/>
        <v>0</v>
      </c>
      <c r="E43" s="264">
        <f>C43+D43</f>
        <v>62450787</v>
      </c>
    </row>
    <row r="44" spans="2:5" ht="22.5" customHeight="1" x14ac:dyDescent="0.35">
      <c r="B44" s="174" t="str">
        <f>'BS (貸方)'!B44</f>
        <v>繰越利益剰余金</v>
      </c>
      <c r="C44" s="241">
        <f>'BS (貸方)'!E44</f>
        <v>62450787</v>
      </c>
      <c r="D44" s="234"/>
      <c r="E44" s="263">
        <f>C44+D44</f>
        <v>62450787</v>
      </c>
    </row>
    <row r="45" spans="2:5" ht="22.5" customHeight="1" x14ac:dyDescent="0.35">
      <c r="B45" s="173">
        <f>'BS (貸方)'!B45</f>
        <v>0</v>
      </c>
      <c r="C45" s="234">
        <f>'BS (貸方)'!E45</f>
        <v>0</v>
      </c>
      <c r="D45" s="234"/>
      <c r="E45" s="263">
        <f t="shared" ref="E45:E47" si="6">C45+D45</f>
        <v>0</v>
      </c>
    </row>
    <row r="46" spans="2:5" ht="22.5" customHeight="1" x14ac:dyDescent="0.35">
      <c r="B46" s="173">
        <f>'BS (貸方)'!B46</f>
        <v>0</v>
      </c>
      <c r="C46" s="234">
        <f>'BS (貸方)'!E46</f>
        <v>0</v>
      </c>
      <c r="D46" s="234"/>
      <c r="E46" s="263">
        <f t="shared" si="6"/>
        <v>0</v>
      </c>
    </row>
    <row r="47" spans="2:5" ht="22.5" customHeight="1" x14ac:dyDescent="0.35">
      <c r="B47" s="191"/>
      <c r="C47" s="242"/>
      <c r="D47" s="243"/>
      <c r="E47" s="263">
        <f t="shared" si="6"/>
        <v>0</v>
      </c>
    </row>
    <row r="48" spans="2:5" ht="22.5" customHeight="1" x14ac:dyDescent="0.35">
      <c r="B48" s="423" t="s">
        <v>224</v>
      </c>
      <c r="C48" s="424">
        <v>0</v>
      </c>
      <c r="D48" s="425">
        <v>0</v>
      </c>
      <c r="E48" s="426">
        <f t="shared" ref="E48:E53" si="7">C48+D48</f>
        <v>0</v>
      </c>
    </row>
    <row r="49" spans="2:5" ht="22.5" customHeight="1" x14ac:dyDescent="0.35">
      <c r="B49" s="423" t="s">
        <v>498</v>
      </c>
      <c r="C49" s="424"/>
      <c r="D49" s="425">
        <f>SUM(D50:D51)</f>
        <v>0</v>
      </c>
      <c r="E49" s="426">
        <f t="shared" si="7"/>
        <v>0</v>
      </c>
    </row>
    <row r="50" spans="2:5" ht="22.5" customHeight="1" x14ac:dyDescent="0.35">
      <c r="B50" s="335" t="s">
        <v>499</v>
      </c>
      <c r="C50" s="562"/>
      <c r="D50" s="339">
        <f>'修正BS(借方)'!D61-'修正BS(借方)'!D60-(D5+D18)</f>
      </c>
      <c r="E50" s="341">
        <f t="shared" si="7"/>
        <v>0</v>
      </c>
    </row>
    <row r="51" spans="2:5" ht="22.5" customHeight="1" x14ac:dyDescent="0.35">
      <c r="B51" s="334" t="s">
        <v>500</v>
      </c>
      <c r="C51" s="336"/>
      <c r="D51" s="338">
        <f>'修正BS(借方)'!D60-D27</f>
      </c>
      <c r="E51" s="340">
        <f t="shared" si="7"/>
        <v>0</v>
      </c>
    </row>
    <row r="52" spans="2:5" ht="22.5" customHeight="1" x14ac:dyDescent="0.35">
      <c r="B52" s="260" t="s">
        <v>72</v>
      </c>
      <c r="C52" s="246">
        <f>C35+C39+C43+C48</f>
        <v>72450787</v>
      </c>
      <c r="D52" s="246">
        <f>D35+D39+D43+D48+D49</f>
        <v>0</v>
      </c>
      <c r="E52" s="273">
        <f t="shared" si="7"/>
        <v>72450787</v>
      </c>
    </row>
    <row r="53" spans="2:5" ht="22.5" customHeight="1" thickBot="1" x14ac:dyDescent="0.4">
      <c r="B53" s="261" t="s">
        <v>73</v>
      </c>
      <c r="C53" s="244">
        <f t="shared" ref="C53:D53" si="8">C28+C52</f>
        <v>161228502</v>
      </c>
      <c r="D53" s="244">
        <f t="shared" si="8"/>
        <v>0</v>
      </c>
      <c r="E53" s="274">
        <f t="shared" si="7"/>
        <v>161228502</v>
      </c>
    </row>
    <row r="54" spans="2:5" x14ac:dyDescent="0.35">
      <c r="C54" s="236"/>
      <c r="D54" s="236"/>
      <c r="E54" s="236"/>
    </row>
    <row r="55" spans="2:5" x14ac:dyDescent="0.35">
      <c r="C55" s="236" t="b">
        <f>C53='修正BS(借方)'!C61</f>
        <v>1</v>
      </c>
      <c r="D55" s="236"/>
      <c r="E55" s="236"/>
    </row>
    <row r="56" spans="2:5" x14ac:dyDescent="0.35">
      <c r="C56" s="236"/>
      <c r="D56" s="236"/>
      <c r="E56" s="236"/>
    </row>
    <row r="57" spans="2:5" x14ac:dyDescent="0.35">
      <c r="C57" s="236"/>
      <c r="D57" s="236"/>
      <c r="E57" s="236"/>
    </row>
    <row r="58" spans="2:5" x14ac:dyDescent="0.35">
      <c r="C58" s="236"/>
      <c r="D58" s="236"/>
      <c r="E58" s="236"/>
    </row>
    <row r="59" spans="2:5" x14ac:dyDescent="0.35">
      <c r="C59" s="236"/>
      <c r="D59" s="236"/>
      <c r="E59" s="236"/>
    </row>
    <row r="60" spans="2:5" x14ac:dyDescent="0.35">
      <c r="C60" s="236"/>
      <c r="D60" s="236"/>
      <c r="E60" s="236"/>
    </row>
    <row r="61" spans="2:5" x14ac:dyDescent="0.35">
      <c r="C61" s="236"/>
      <c r="D61" s="236"/>
      <c r="E61" s="236"/>
    </row>
    <row r="62" spans="2:5" x14ac:dyDescent="0.35">
      <c r="C62" s="236"/>
      <c r="D62" s="236"/>
      <c r="E62" s="236"/>
    </row>
    <row r="63" spans="2:5" x14ac:dyDescent="0.35">
      <c r="C63" s="236"/>
      <c r="D63" s="236"/>
      <c r="E63" s="236"/>
    </row>
    <row r="64" spans="2:5" x14ac:dyDescent="0.35">
      <c r="C64" s="236"/>
      <c r="D64" s="236"/>
      <c r="E64" s="236"/>
    </row>
    <row r="65" spans="3:5" x14ac:dyDescent="0.35">
      <c r="C65" s="236"/>
      <c r="D65" s="236"/>
      <c r="E65" s="236"/>
    </row>
    <row r="66" spans="3:5" x14ac:dyDescent="0.35">
      <c r="C66" s="236"/>
      <c r="D66" s="236"/>
      <c r="E66" s="236"/>
    </row>
    <row r="67" spans="3:5" x14ac:dyDescent="0.35">
      <c r="C67" s="236"/>
      <c r="D67" s="236"/>
      <c r="E67" s="236"/>
    </row>
    <row r="68" spans="3:5" x14ac:dyDescent="0.35">
      <c r="C68" s="236"/>
      <c r="D68" s="236"/>
      <c r="E68" s="236"/>
    </row>
    <row r="69" spans="3:5" x14ac:dyDescent="0.35">
      <c r="C69" s="236"/>
      <c r="D69" s="236"/>
      <c r="E69" s="236"/>
    </row>
    <row r="70" spans="3:5" x14ac:dyDescent="0.35">
      <c r="C70" s="236"/>
      <c r="D70" s="236"/>
      <c r="E70" s="236"/>
    </row>
    <row r="71" spans="3:5" x14ac:dyDescent="0.35">
      <c r="C71" s="236"/>
      <c r="D71" s="236"/>
      <c r="E71" s="236"/>
    </row>
    <row r="72" spans="3:5" x14ac:dyDescent="0.35">
      <c r="C72" s="236"/>
      <c r="D72" s="236"/>
      <c r="E72" s="236"/>
    </row>
    <row r="73" spans="3:5" x14ac:dyDescent="0.35">
      <c r="C73" s="236"/>
      <c r="D73" s="236"/>
      <c r="E73" s="236"/>
    </row>
    <row r="74" spans="3:5" x14ac:dyDescent="0.35">
      <c r="C74" s="236"/>
      <c r="D74" s="236"/>
      <c r="E74" s="236"/>
    </row>
    <row r="75" spans="3:5" x14ac:dyDescent="0.35">
      <c r="C75" s="236"/>
      <c r="D75" s="236"/>
      <c r="E75" s="236"/>
    </row>
    <row r="76" spans="3:5" x14ac:dyDescent="0.35">
      <c r="C76" s="236"/>
      <c r="D76" s="236"/>
      <c r="E76" s="236"/>
    </row>
    <row r="77" spans="3:5" x14ac:dyDescent="0.35">
      <c r="C77" s="236"/>
      <c r="D77" s="236"/>
      <c r="E77" s="236"/>
    </row>
    <row r="78" spans="3:5" x14ac:dyDescent="0.35">
      <c r="C78" s="236"/>
      <c r="D78" s="236"/>
      <c r="E78" s="236"/>
    </row>
    <row r="79" spans="3:5" x14ac:dyDescent="0.35">
      <c r="C79" s="236"/>
      <c r="D79" s="236"/>
      <c r="E79" s="236"/>
    </row>
    <row r="80" spans="3:5" x14ac:dyDescent="0.35">
      <c r="C80" s="236"/>
      <c r="D80" s="236"/>
      <c r="E80" s="236"/>
    </row>
    <row r="81" spans="3:5" x14ac:dyDescent="0.35">
      <c r="C81" s="236"/>
      <c r="D81" s="236"/>
      <c r="E81" s="236"/>
    </row>
    <row r="82" spans="3:5" x14ac:dyDescent="0.35">
      <c r="C82" s="236"/>
      <c r="D82" s="236"/>
      <c r="E82" s="236"/>
    </row>
    <row r="83" spans="3:5" x14ac:dyDescent="0.35">
      <c r="C83" s="236"/>
      <c r="D83" s="236"/>
      <c r="E83" s="236"/>
    </row>
    <row r="84" spans="3:5" x14ac:dyDescent="0.35">
      <c r="C84" s="236"/>
      <c r="D84" s="236"/>
      <c r="E84" s="236"/>
    </row>
    <row r="85" spans="3:5" x14ac:dyDescent="0.35">
      <c r="C85" s="236"/>
      <c r="D85" s="236"/>
      <c r="E85" s="236"/>
    </row>
    <row r="86" spans="3:5" x14ac:dyDescent="0.35">
      <c r="C86" s="236"/>
      <c r="D86" s="236"/>
      <c r="E86" s="236"/>
    </row>
    <row r="87" spans="3:5" x14ac:dyDescent="0.35">
      <c r="C87" s="236"/>
      <c r="D87" s="236"/>
      <c r="E87" s="236"/>
    </row>
    <row r="88" spans="3:5" x14ac:dyDescent="0.35">
      <c r="C88" s="236"/>
      <c r="D88" s="236"/>
      <c r="E88" s="236"/>
    </row>
    <row r="89" spans="3:5" x14ac:dyDescent="0.35">
      <c r="C89" s="236"/>
      <c r="D89" s="236"/>
      <c r="E89" s="236"/>
    </row>
    <row r="90" spans="3:5" x14ac:dyDescent="0.35">
      <c r="C90" s="236"/>
      <c r="D90" s="236"/>
      <c r="E90" s="236"/>
    </row>
    <row r="91" spans="3:5" x14ac:dyDescent="0.35">
      <c r="C91" s="236"/>
      <c r="D91" s="236"/>
      <c r="E91" s="236"/>
    </row>
    <row r="92" spans="3:5" x14ac:dyDescent="0.35">
      <c r="C92" s="236"/>
      <c r="D92" s="236"/>
      <c r="E92" s="236"/>
    </row>
    <row r="93" spans="3:5" x14ac:dyDescent="0.35">
      <c r="C93" s="236"/>
      <c r="D93" s="236"/>
      <c r="E93" s="236"/>
    </row>
    <row r="94" spans="3:5" x14ac:dyDescent="0.35">
      <c r="C94" s="236"/>
      <c r="D94" s="236"/>
      <c r="E94" s="236"/>
    </row>
    <row r="95" spans="3:5" x14ac:dyDescent="0.35">
      <c r="C95" s="236"/>
      <c r="D95" s="236"/>
      <c r="E95" s="236"/>
    </row>
    <row r="96" spans="3:5" x14ac:dyDescent="0.35">
      <c r="C96" s="236"/>
      <c r="D96" s="236"/>
      <c r="E96" s="236"/>
    </row>
    <row r="97" spans="3:5" x14ac:dyDescent="0.35">
      <c r="C97" s="236"/>
      <c r="D97" s="236"/>
      <c r="E97" s="236"/>
    </row>
    <row r="98" spans="3:5" x14ac:dyDescent="0.35">
      <c r="C98" s="236"/>
      <c r="D98" s="236"/>
      <c r="E98" s="236"/>
    </row>
    <row r="99" spans="3:5" x14ac:dyDescent="0.35">
      <c r="C99" s="236"/>
      <c r="D99" s="236"/>
      <c r="E99" s="236"/>
    </row>
    <row r="100" spans="3:5" x14ac:dyDescent="0.35">
      <c r="C100" s="236"/>
      <c r="D100" s="236"/>
      <c r="E100" s="236"/>
    </row>
    <row r="101" spans="3:5" x14ac:dyDescent="0.35">
      <c r="C101" s="236"/>
      <c r="D101" s="236"/>
      <c r="E101" s="236"/>
    </row>
    <row r="102" spans="3:5" x14ac:dyDescent="0.35">
      <c r="C102" s="236"/>
      <c r="D102" s="236"/>
      <c r="E102" s="236"/>
    </row>
    <row r="103" spans="3:5" x14ac:dyDescent="0.35">
      <c r="C103" s="236"/>
      <c r="D103" s="236"/>
      <c r="E103" s="236"/>
    </row>
  </sheetData>
  <phoneticPr fontId="1"/>
  <pageMargins left="0.7" right="0.7" top="0.75" bottom="0.75" header="0.3" footer="0.3"/>
  <ignoredErrors>
    <ignoredError sqref="D18 D43"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8B4A-703B-46F1-BBE9-B06FD74C4F19}">
  <dimension ref="B2:G11"/>
  <sheetViews>
    <sheetView showGridLines="0" zoomScaleNormal="100" workbookViewId="0">
      <selection activeCell="E14" sqref="E14"/>
    </sheetView>
  </sheetViews>
  <sheetFormatPr defaultRowHeight="18" x14ac:dyDescent="0.35"/>
  <cols>
    <col min="2" max="2" width="37.125" customWidth="1"/>
    <col min="3" max="4" width="18.625" customWidth="1"/>
    <col min="5" max="7" width="19.625" customWidth="1"/>
  </cols>
  <sheetData>
    <row r="2" spans="2:7" ht="18.75" x14ac:dyDescent="0.35">
      <c r="D2" s="73" t="s">
        <v>66</v>
      </c>
      <c r="E2" s="73" t="s">
        <v>66</v>
      </c>
      <c r="F2" s="73" t="s">
        <v>66</v>
      </c>
    </row>
    <row r="3" spans="2:7" ht="21.95" customHeight="1" x14ac:dyDescent="0.35">
      <c r="B3" s="2" t="s">
        <v>307</v>
      </c>
      <c r="C3" s="3" t="s">
        <v>308</v>
      </c>
      <c r="D3" s="3" t="s">
        <v>316</v>
      </c>
      <c r="E3" s="359" t="s">
        <v>317</v>
      </c>
      <c r="F3" s="3" t="s">
        <v>316</v>
      </c>
    </row>
    <row r="4" spans="2:7" ht="32.1" customHeight="1" x14ac:dyDescent="0.35">
      <c r="B4" s="354" t="inlineStr">
        <is>
          <t>－</t>
        </is>
      </c>
      <c r="C4" s="355" t="inlineStr">
        <is>
          <t>－</t>
        </is>
      </c>
      <c r="D4" s="353" t="inlineStr">
        <is>
          <t>－</t>
        </is>
      </c>
      <c r="E4" s="337" t="inlineStr">
        <is>
          <t>－</t>
        </is>
      </c>
      <c r="F4" s="353" t="inlineStr">
        <is>
          <t>－</t>
        </is>
      </c>
    </row>
    <row r="6">
      <c r="B6" s="2" t="inlineStr">
        <is>
          <t>就業規則・賃金規程（給与の締日・支払日）が未受領のため、未払給与の引当不足額は算定不能。要確認事項として整理し、本評価では未計上とする。</t>
        </is>
      </c>
    </row>
    <row r="7" spans="2:7" ht="18.75" x14ac:dyDescent="0.35">
      <c r="D7" s="73"/>
      <c r="E7" s="73" t="s">
        <v>66</v>
      </c>
    </row>
    <row r="8" spans="2:7" ht="19.5" x14ac:dyDescent="0.35">
      <c r="B8" s="2" t="s">
        <v>310</v>
      </c>
      <c r="C8" s="3" t="s">
        <v>311</v>
      </c>
      <c r="D8" s="3" t="s">
        <v>313</v>
      </c>
      <c r="E8" s="3" t="s">
        <v>315</v>
      </c>
      <c r="F8" s="359" t="s">
        <v>317</v>
      </c>
      <c r="G8" s="359" t="s">
        <v>318</v>
      </c>
    </row>
    <row r="9" spans="2:7" ht="31.7" customHeight="1" x14ac:dyDescent="0.35">
      <c r="B9" s="354" t="inlineStr">
        <is>
          <t>－</t>
        </is>
      </c>
      <c r="C9" s="355" t="inlineStr">
        <is>
          <t>－</t>
        </is>
      </c>
      <c r="D9" s="356" t="inlineStr">
        <is>
          <t>－</t>
        </is>
      </c>
      <c r="E9" s="462" t="inlineStr">
        <is>
          <t>－</t>
        </is>
      </c>
      <c r="F9" s="337" t="inlineStr">
        <is>
          <t>－</t>
        </is>
      </c>
      <c r="G9" s="357" t="inlineStr">
        <is>
          <t>－</t>
        </is>
      </c>
    </row>
    <row r="10" spans="2:7" ht="31.7" customHeight="1" x14ac:dyDescent="0.35"/>
    <row r="11" spans="2:7" ht="31.7" customHeight="1" x14ac:dyDescent="0.35">
      <c r="B11" s="354" t="inlineStr">
        <is>
          <t>未払金の内訳書に「港北年金事務所 2,349,413円（11月分・賞与分社会保険料）」の計上があり、賞与に係る社会保険料は未払計上されている。賞与支給規程・支給月が未確認のため賞与引当不足額は算定不能。本評価では未計上とする（要確認）。</t>
        </is>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89DF-5C83-4269-B2D3-02B7A37949BA}">
  <dimension ref="B2:J10"/>
  <sheetViews>
    <sheetView showGridLines="0" zoomScaleNormal="100" workbookViewId="0">
      <selection activeCell="J10" sqref="J10"/>
    </sheetView>
  </sheetViews>
  <sheetFormatPr defaultRowHeight="18" x14ac:dyDescent="0.35"/>
  <cols>
    <col min="2" max="2" width="4.625" customWidth="1"/>
    <col min="3" max="3" width="14.5" customWidth="1"/>
    <col min="4" max="11" width="18.625" customWidth="1"/>
  </cols>
  <sheetData>
    <row r="2" spans="2:10" ht="18.75" x14ac:dyDescent="0.35">
      <c r="J2" s="73" t="s">
        <v>66</v>
      </c>
    </row>
    <row r="3" spans="2:10" ht="21.95" customHeight="1" x14ac:dyDescent="0.35">
      <c r="B3" s="2" t="s">
        <v>83</v>
      </c>
      <c r="C3" s="2" t="s">
        <v>103</v>
      </c>
      <c r="D3" s="3" t="s">
        <v>319</v>
      </c>
      <c r="E3" s="3" t="s">
        <v>325</v>
      </c>
      <c r="F3" s="3" t="s">
        <v>326</v>
      </c>
      <c r="G3" s="3" t="s">
        <v>327</v>
      </c>
      <c r="H3" s="3" t="s">
        <v>321</v>
      </c>
      <c r="I3" s="3" t="s">
        <v>323</v>
      </c>
      <c r="J3" s="3" t="s">
        <v>322</v>
      </c>
    </row>
    <row r="4" spans="2:10" ht="32.1" customHeight="1" x14ac:dyDescent="0.35">
      <c r="B4" s="427">
        <v>1</v>
      </c>
      <c r="C4" s="428" t="inlineStr">
        <is>
          <t>－</t>
        </is>
      </c>
      <c r="D4" s="355"/>
      <c r="E4" s="355"/>
      <c r="F4" s="355"/>
      <c r="G4" s="355"/>
      <c r="H4" s="355"/>
      <c r="I4" s="355"/>
      <c r="J4" s="355"/>
    </row>
    <row r="5" spans="2:10" ht="32.1" customHeight="1" x14ac:dyDescent="0.35">
      <c r="B5" s="427">
        <v>2</v>
      </c>
      <c r="C5" s="428"/>
      <c r="D5" s="355"/>
      <c r="E5" s="355"/>
      <c r="F5" s="355"/>
      <c r="G5" s="355"/>
      <c r="H5" s="355"/>
      <c r="I5" s="355"/>
      <c r="J5" s="355"/>
    </row>
    <row r="6" spans="2:10" ht="32.1" customHeight="1" x14ac:dyDescent="0.35">
      <c r="B6" s="427">
        <v>3</v>
      </c>
      <c r="C6" s="428"/>
      <c r="D6" s="355"/>
      <c r="E6" s="355"/>
      <c r="F6" s="355"/>
      <c r="G6" s="355"/>
      <c r="H6" s="355"/>
      <c r="I6" s="355"/>
      <c r="J6" s="355"/>
    </row>
    <row r="7" spans="2:10" ht="32.1" customHeight="1" x14ac:dyDescent="0.35">
      <c r="B7" s="427">
        <v>4</v>
      </c>
      <c r="C7" s="428"/>
      <c r="D7" s="355"/>
      <c r="E7" s="355"/>
      <c r="F7" s="355"/>
      <c r="G7" s="355"/>
      <c r="H7" s="355"/>
      <c r="I7" s="355"/>
      <c r="J7" s="355"/>
    </row>
    <row r="8" spans="2:10" ht="32.1" customHeight="1" x14ac:dyDescent="0.35">
      <c r="B8" s="427">
        <v>5</v>
      </c>
      <c r="C8" s="428"/>
      <c r="D8" s="355"/>
      <c r="E8" s="355"/>
      <c r="F8" s="355"/>
      <c r="G8" s="355"/>
      <c r="H8" s="355"/>
      <c r="I8" s="355"/>
      <c r="J8" s="355"/>
    </row>
    <row r="9" spans="2:10" ht="32.1" customHeight="1" thickBot="1" x14ac:dyDescent="0.4">
      <c r="B9" s="427"/>
      <c r="C9" s="428"/>
      <c r="D9" s="355"/>
      <c r="E9" s="355"/>
      <c r="F9" s="355"/>
      <c r="G9" s="355"/>
      <c r="H9" s="355"/>
      <c r="I9" s="355"/>
      <c r="J9" s="355"/>
    </row>
    <row r="10" spans="2:10" ht="31.7" customHeight="1" x14ac:dyDescent="0.35">
      <c r="B10" s="347"/>
      <c r="C10" s="347" t="s">
        <v>5</v>
      </c>
      <c r="D10" s="352"/>
      <c r="E10" s="352"/>
      <c r="F10" s="352"/>
      <c r="G10" s="352"/>
      <c r="H10" s="299">
        <f>SUM(H6:H9)</f>
        <v>0</v>
      </c>
      <c r="I10" s="299">
        <f>SUM(I6:I9)</f>
        <v>0</v>
      </c>
      <c r="J10" s="299">
        <f>H10+I10</f>
        <v>0</v>
      </c>
    </row>
    <row r="12">
      <c r="B12" s="347" t="inlineStr">
        <is>
          <t>退職金規程・従業員名簿が未受領のため退職給付引当不足額は算定不能。令和5年12月期に退職金370千円の支給実績があり、規程の有無を含め要確認。本評価では未計上とする。</t>
        </is>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DFD6-3CDD-4A82-A826-AD21F04FD6AC}">
  <sheetPr>
    <tabColor theme="6"/>
  </sheetPr>
  <dimension ref="B2:F18"/>
  <sheetViews>
    <sheetView showGridLines="0" zoomScaleNormal="100" workbookViewId="0">
      <selection activeCell="D4" sqref="D4"/>
    </sheetView>
  </sheetViews>
  <sheetFormatPr defaultRowHeight="18" x14ac:dyDescent="0.35"/>
  <cols>
    <col min="2" max="2" width="35.125" customWidth="1"/>
    <col min="3" max="3" width="21.125" customWidth="1"/>
    <col min="4" max="5" width="18.625" customWidth="1"/>
    <col min="6" max="6" width="51.5" customWidth="1"/>
  </cols>
  <sheetData>
    <row r="2" spans="2:6" ht="18.75" x14ac:dyDescent="0.35">
      <c r="E2" s="73" t="s">
        <v>66</v>
      </c>
    </row>
    <row r="3" spans="2:6" ht="21.95" customHeight="1" x14ac:dyDescent="0.35">
      <c r="B3" s="2" t="s">
        <v>332</v>
      </c>
      <c r="C3" s="116" t="s">
        <v>328</v>
      </c>
      <c r="D3" s="3" t="s">
        <v>499</v>
      </c>
      <c r="E3" s="3" t="s">
        <v>331</v>
      </c>
      <c r="F3" s="1" t="s">
        <v>84</v>
      </c>
    </row>
    <row r="4" spans="2:6" ht="32.1" customHeight="1" x14ac:dyDescent="0.35">
      <c r="B4" s="75" t="inlineStr">
        <is>
          <t>貸倒引当金</t>
        </is>
      </c>
      <c r="C4" s="361" t="inlineStr">
        <is>
          <t>〇</t>
        </is>
      </c>
      <c r="D4" s="296">
        <v>524000</v>
      </c>
      <c r="E4" s="296">
        <f>-D4*0.34</f>
      </c>
      <c r="F4" s="360" t="inlineStr">
        <is>
          <t>全額戻入。将来加算一時差異</t>
        </is>
      </c>
    </row>
    <row r="5" spans="2:6" ht="32.1" customHeight="1" x14ac:dyDescent="0.35">
      <c r="B5" s="421" t="inlineStr">
        <is>
          <t>長期前払費用</t>
        </is>
      </c>
      <c r="C5" s="362" t="inlineStr">
        <is>
          <t>〇</t>
        </is>
      </c>
      <c r="D5" s="297">
        <v>-985404</v>
      </c>
      <c r="E5" s="297">
        <f>-D5*0.34</f>
      </c>
      <c r="F5" s="4" t="inlineStr">
        <is>
          <t>賃貸借契約の更新料の未償却分を全額控除。将来減算一時差異</t>
        </is>
      </c>
    </row>
    <row r="6" spans="2:6" ht="32.1" customHeight="1" x14ac:dyDescent="0.35">
      <c r="B6" s="421" t="inlineStr">
        <is>
          <t>未収入金</t>
        </is>
      </c>
      <c r="C6" s="362" t="inlineStr">
        <is>
          <t>〇</t>
        </is>
      </c>
      <c r="D6" s="297"/>
      <c r="E6" s="297">
        <f>-D6*0.34</f>
      </c>
      <c r="F6" s="4" t="inlineStr">
        <is>
          <t>98.4%が社会保険診療報酬支払基金・国保連に対する債権であり簿価評価</t>
        </is>
      </c>
    </row>
    <row r="7" spans="2:6" ht="32.1" customHeight="1" x14ac:dyDescent="0.35">
      <c r="B7" s="421" t="inlineStr">
        <is>
          <t>商品・貯蔵品</t>
        </is>
      </c>
      <c r="C7" s="362" t="inlineStr">
        <is>
          <t>〇</t>
        </is>
      </c>
      <c r="D7" s="297"/>
      <c r="E7" s="365">
        <f>-D7*0.34</f>
      </c>
      <c r="F7" s="4" t="inlineStr">
        <is>
          <t>品目別明細・滞留状況が未確認のため簿価評価（要確認）</t>
        </is>
      </c>
    </row>
    <row r="8" spans="2:6" ht="32.1" customHeight="1" x14ac:dyDescent="0.35">
      <c r="B8" s="421" t="inlineStr">
        <is>
          <t>減価償却資産</t>
        </is>
      </c>
      <c r="C8" s="362" t="inlineStr">
        <is>
          <t>〇</t>
        </is>
      </c>
      <c r="D8" s="297"/>
      <c r="E8" s="365">
        <f>-D8*0.34</f>
      </c>
      <c r="F8" s="4" t="inlineStr">
        <is>
          <t>固定資産台帳が未受領のため償却過不足未検証（要確認）</t>
        </is>
      </c>
    </row>
    <row r="9" spans="2:6" ht="32.1" customHeight="1" x14ac:dyDescent="0.35">
      <c r="B9" s="421" t="inlineStr">
        <is>
          <t>ソフトウェア</t>
        </is>
      </c>
      <c r="C9" s="362" t="inlineStr">
        <is>
          <t>〇</t>
        </is>
      </c>
      <c r="D9" s="297"/>
      <c r="E9" s="297">
        <f>-D9*0.34</f>
      </c>
      <c r="F9" s="4" t="inlineStr">
        <is>
          <t>自社利用の業務システムであり、事業継続を前提に簿価評価</t>
        </is>
      </c>
    </row>
    <row r="10" spans="2:6" ht="32.1" customHeight="1" x14ac:dyDescent="0.35">
      <c r="B10" s="421" t="inlineStr">
        <is>
          <t>差入保証金</t>
        </is>
      </c>
      <c r="C10" s="362" t="inlineStr">
        <is>
          <t>〇</t>
        </is>
      </c>
      <c r="D10" s="297"/>
      <c r="E10" s="297">
        <f>-D10*0.34</f>
      </c>
      <c r="F10" s="4" t="inlineStr">
        <is>
          <t>店舗・駐車場7件の保証金。返還条件・原状回復義務が未確認のため簿価評価（要確認）</t>
        </is>
      </c>
    </row>
    <row r="11" spans="2:6" ht="32.1" customHeight="1" x14ac:dyDescent="0.35">
      <c r="B11" s="421" t="inlineStr">
        <is>
          <t>倒産防止共済（簿外）</t>
        </is>
      </c>
      <c r="C11" s="362" t="inlineStr">
        <is>
          <t>〇</t>
        </is>
      </c>
      <c r="D11" s="297"/>
      <c r="E11" s="297">
        <f>-D11*0.34</f>
      </c>
      <c r="F11" s="4" t="inlineStr">
        <is>
          <t>解約手当金額が未確認のため未計上。判明後は加算要素（要確認）</t>
        </is>
      </c>
    </row>
    <row r="12" spans="2:6" ht="32.1" customHeight="1" x14ac:dyDescent="0.35">
      <c r="B12" s="421" t="inlineStr">
        <is>
          <t>未払給与（未払残業代）</t>
        </is>
      </c>
      <c r="C12" s="362" t="inlineStr">
        <is>
          <t>〇</t>
        </is>
      </c>
      <c r="D12" s="297"/>
      <c r="E12" s="297">
        <f>-D12*0.34</f>
      </c>
      <c r="F12" s="4" t="inlineStr">
        <is>
          <t>就業規則・賃金規程が未受領のため未計上（要確認）</t>
        </is>
      </c>
    </row>
    <row r="13" spans="2:6" ht="32.1" customHeight="1" x14ac:dyDescent="0.35">
      <c r="B13" s="421" t="inlineStr">
        <is>
          <t>賞与引当金</t>
        </is>
      </c>
      <c r="C13" s="362" t="inlineStr">
        <is>
          <t>〇</t>
        </is>
      </c>
      <c r="D13" s="297"/>
      <c r="E13" s="297">
        <f>-D13*0.34</f>
      </c>
      <c r="F13" s="4" t="inlineStr">
        <is>
          <t>賞与に係る社会保険料は未払計上済。引当不足額は未確認のため未計上（要確認）</t>
        </is>
      </c>
    </row>
    <row r="14" spans="2:6" ht="32.1" customHeight="1" x14ac:dyDescent="0.35">
      <c r="B14" s="421" t="inlineStr">
        <is>
          <t>退職給付引当金</t>
        </is>
      </c>
      <c r="C14" s="362" t="inlineStr">
        <is>
          <t>〇</t>
        </is>
      </c>
      <c r="D14" s="297"/>
      <c r="E14" s="297">
        <f>-D14*0.34</f>
      </c>
      <c r="F14" s="4" t="inlineStr">
        <is>
          <t>退職金規程が未受領のため未計上（要確認）</t>
        </is>
      </c>
    </row>
    <row r="15" spans="2:6" ht="32.1" customHeight="1" x14ac:dyDescent="0.35">
      <c r="B15" s="421"/>
      <c r="C15" s="362"/>
      <c r="D15" s="297"/>
      <c r="E15" s="297">
        <f>-D15*0.34</f>
      </c>
      <c r="F15" s="4"/>
    </row>
    <row r="16" spans="2:6" ht="32.1" customHeight="1" x14ac:dyDescent="0.35">
      <c r="B16" s="421"/>
      <c r="C16" s="362"/>
      <c r="D16" s="297"/>
      <c r="E16" s="297">
        <f>-D16*0.34</f>
      </c>
      <c r="F16" s="4"/>
    </row>
    <row r="17" spans="2:6" ht="32.1" customHeight="1" thickBot="1" x14ac:dyDescent="0.4">
      <c r="B17" s="416"/>
      <c r="C17" s="363"/>
      <c r="D17" s="298"/>
      <c r="E17" s="248">
        <f>-D17*0.34</f>
      </c>
      <c r="F17" s="6"/>
    </row>
    <row r="18" spans="2:6" ht="32.1" customHeight="1" x14ac:dyDescent="0.35">
      <c r="B18" s="347" t="s">
        <v>5</v>
      </c>
      <c r="C18" s="364" t="s">
        <v>56</v>
      </c>
      <c r="D18" s="299">
        <f>SUM(D4:D17)</f>
        <v>-5000000</v>
      </c>
      <c r="E18" s="299">
        <f>SUM(E4:E17)</f>
        <v>1700000.0000000002</v>
      </c>
      <c r="F18" s="7" t="inlineStr">
        <is>
          <t>修正額の純額は△461千円（貸倒引当金の戻入524千円－長期前払費用の控除985千円）であり、実効税率34%による繰延税金資産157千円を修正貸借対照表上の【繰延税金資産】に計上している。</t>
        </is>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C53D-720D-434A-8660-091E99014DC1}">
  <sheetPr>
    <tabColor theme="6"/>
  </sheetPr>
  <dimension ref="B2:F17"/>
  <sheetViews>
    <sheetView showGridLines="0" zoomScaleNormal="100" workbookViewId="0">
      <selection activeCell="F15" sqref="F15"/>
    </sheetView>
  </sheetViews>
  <sheetFormatPr defaultRowHeight="18" x14ac:dyDescent="0.35"/>
  <cols>
    <col min="2" max="3" width="27.375" customWidth="1"/>
    <col min="4" max="4" width="4.875" customWidth="1"/>
    <col min="5" max="6" width="27.375" customWidth="1"/>
  </cols>
  <sheetData>
    <row r="2" spans="2:6" ht="18.75" x14ac:dyDescent="0.35">
      <c r="C2" s="73"/>
      <c r="F2" s="73" t="s">
        <v>66</v>
      </c>
    </row>
    <row r="3" spans="2:6" ht="21.95" customHeight="1" x14ac:dyDescent="0.35">
      <c r="B3" s="2" t="s">
        <v>340</v>
      </c>
      <c r="C3" s="3" t="s">
        <v>344</v>
      </c>
      <c r="E3" s="2" t="s">
        <v>347</v>
      </c>
      <c r="F3" s="3" t="s">
        <v>344</v>
      </c>
    </row>
    <row r="4" spans="2:6" ht="32.1" customHeight="1" x14ac:dyDescent="0.35">
      <c r="B4" s="428" t="inlineStr">
        <is>
          <t>現金及び預金</t>
        </is>
      </c>
      <c r="C4" s="355">
        <f>'修正BS(借方)'!E6</f>
      </c>
      <c r="E4" s="428" t="inlineStr">
        <is>
          <t>短期借入金</t>
        </is>
      </c>
      <c r="F4" s="355">
        <f>'修正BS(貸方) '!E7</f>
      </c>
    </row>
    <row r="5" spans="2:6" ht="32.1" customHeight="1" x14ac:dyDescent="0.35">
      <c r="B5" s="429"/>
      <c r="C5" s="358"/>
      <c r="E5" s="429" t="inlineStr">
        <is>
          <t>長期借入金</t>
        </is>
      </c>
      <c r="F5" s="358">
        <f>'修正BS(貸方) '!E19</f>
      </c>
    </row>
    <row r="6" spans="2:6" ht="32.1" customHeight="1" x14ac:dyDescent="0.35">
      <c r="B6" s="429"/>
      <c r="C6" s="358"/>
      <c r="E6" s="429"/>
      <c r="F6" s="358"/>
    </row>
    <row r="7" spans="2:6" ht="32.1" customHeight="1" x14ac:dyDescent="0.35">
      <c r="B7" s="429"/>
      <c r="C7" s="358"/>
      <c r="E7" s="429"/>
      <c r="F7" s="358"/>
    </row>
    <row r="8" spans="2:6" ht="32.1" customHeight="1" x14ac:dyDescent="0.35">
      <c r="B8" s="429"/>
      <c r="C8" s="358"/>
      <c r="E8" s="429"/>
      <c r="F8" s="358"/>
    </row>
    <row r="9" spans="2:6" ht="32.1" customHeight="1" x14ac:dyDescent="0.35">
      <c r="B9" s="429"/>
      <c r="C9" s="358"/>
      <c r="E9" s="429"/>
      <c r="F9" s="358"/>
    </row>
    <row r="10" spans="2:6" ht="32.1" customHeight="1" x14ac:dyDescent="0.35">
      <c r="B10" s="430"/>
      <c r="C10" s="358"/>
      <c r="E10" s="429"/>
      <c r="F10" s="358"/>
    </row>
    <row r="11" spans="2:6" ht="32.1" customHeight="1" x14ac:dyDescent="0.35">
      <c r="B11" s="429"/>
      <c r="C11" s="358"/>
      <c r="E11" s="429"/>
      <c r="F11" s="358"/>
    </row>
    <row r="12" spans="2:6" ht="32.1" customHeight="1" thickBot="1" x14ac:dyDescent="0.4">
      <c r="B12" s="430"/>
      <c r="C12" s="366"/>
      <c r="E12" s="430"/>
      <c r="F12" s="366"/>
    </row>
    <row r="13" spans="2:6" ht="31.7" customHeight="1" x14ac:dyDescent="0.35">
      <c r="B13" s="347" t="s">
        <v>93</v>
      </c>
      <c r="C13" s="541">
        <f>SUM(C4:C12)</f>
        <v>0</v>
      </c>
      <c r="E13" s="347" t="s">
        <v>5</v>
      </c>
      <c r="F13" s="541">
        <f>SUM(F4:F12)</f>
        <v>0</v>
      </c>
    </row>
    <row r="14" spans="2:6" ht="18.75" thickBot="1" x14ac:dyDescent="0.4"/>
    <row r="15" spans="2:6" ht="31.7" customHeight="1" thickBot="1" x14ac:dyDescent="0.4">
      <c r="B15" s="367" t="s">
        <v>345</v>
      </c>
      <c r="C15" s="542">
        <f>C13-F13</f>
        <v>0</v>
      </c>
      <c r="E15" s="367"/>
      <c r="F15" s="542"/>
    </row>
    <row r="17" spans="3:6" x14ac:dyDescent="0.35">
      <c r="C17"/>
      <c r="F17"/>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A89D0-33AE-4D29-B643-8AF6218E2A1D}">
  <sheetPr>
    <tabColor theme="7"/>
  </sheetPr>
  <dimension ref="B1:Q67"/>
  <sheetViews>
    <sheetView showGridLines="0" zoomScale="70" zoomScaleNormal="70" workbookViewId="0">
      <pane ySplit="4" topLeftCell="A35" activePane="bottomLeft" state="frozen"/>
      <selection activeCell="Q4" sqref="Q4"/>
      <selection pane="bottomLeft" activeCell="A56" sqref="A56"/>
    </sheetView>
  </sheetViews>
  <sheetFormatPr defaultRowHeight="18" x14ac:dyDescent="0.35"/>
  <cols>
    <col min="2" max="2" width="28" style="177" bestFit="1" customWidth="1"/>
    <col min="3" max="17" width="15" style="184" customWidth="1"/>
    <col min="18" max="18" width="16.125" customWidth="1"/>
  </cols>
  <sheetData>
    <row r="1" spans="2:17" x14ac:dyDescent="0.35">
      <c r="B1" s="184"/>
      <c r="C1"/>
      <c r="D1"/>
      <c r="E1"/>
      <c r="F1"/>
      <c r="G1"/>
      <c r="H1"/>
      <c r="I1"/>
      <c r="J1"/>
      <c r="K1"/>
      <c r="L1"/>
      <c r="M1"/>
      <c r="N1"/>
      <c r="O1"/>
      <c r="P1"/>
      <c r="Q1"/>
    </row>
    <row r="2" spans="2:17" ht="18.75" x14ac:dyDescent="0.35">
      <c r="B2"/>
      <c r="C2" s="177"/>
      <c r="D2"/>
      <c r="E2"/>
      <c r="F2" s="177"/>
      <c r="G2"/>
      <c r="H2"/>
      <c r="I2" s="177"/>
      <c r="J2"/>
      <c r="K2" s="73" t="s">
        <v>66</v>
      </c>
      <c r="L2" s="177"/>
      <c r="M2"/>
      <c r="N2"/>
      <c r="O2" s="177"/>
      <c r="P2"/>
      <c r="Q2"/>
    </row>
    <row r="3" spans="2:17" ht="20.25" thickBot="1" x14ac:dyDescent="0.4">
      <c r="B3" s="564" t="s">
        <v>208</v>
      </c>
      <c r="C3" s="195" t="str">
        <f>'BS(借方)'!C4</f>
        <v>23年12月期</v>
      </c>
      <c r="D3" s="176"/>
      <c r="E3" s="176"/>
      <c r="F3" s="195" t="str">
        <f>'BS(借方)'!D4</f>
        <v>24年12月期</v>
      </c>
      <c r="G3" s="176"/>
      <c r="H3" s="176"/>
      <c r="I3" s="195" t="str">
        <f>'BS(借方)'!E4</f>
        <v>25年12月期</v>
      </c>
      <c r="J3" s="176"/>
      <c r="K3" s="176"/>
      <c r="L3" s="195" t="str">
        <f>'BS(借方)'!F4</f>
        <v>●●年●月期</v>
      </c>
      <c r="M3" s="176"/>
      <c r="N3" s="176"/>
      <c r="O3" s="275" t="str">
        <f>'BS(借方)'!G4</f>
        <v>●●年●月
（●か月TB）</v>
      </c>
      <c r="P3" s="276"/>
      <c r="Q3" s="276"/>
    </row>
    <row r="4" spans="2:17" ht="19.5" x14ac:dyDescent="0.35">
      <c r="B4" s="565"/>
      <c r="C4" s="223" t="s">
        <v>226</v>
      </c>
      <c r="D4" s="282" t="s">
        <v>270</v>
      </c>
      <c r="E4" s="287" t="s">
        <v>502</v>
      </c>
      <c r="F4" s="277" t="s">
        <v>226</v>
      </c>
      <c r="G4" s="282" t="s">
        <v>270</v>
      </c>
      <c r="H4" s="287" t="s">
        <v>502</v>
      </c>
      <c r="I4" s="223" t="s">
        <v>226</v>
      </c>
      <c r="J4" s="282" t="s">
        <v>270</v>
      </c>
      <c r="K4" s="287" t="s">
        <v>502</v>
      </c>
      <c r="L4" s="223" t="s">
        <v>226</v>
      </c>
      <c r="M4" s="282" t="s">
        <v>270</v>
      </c>
      <c r="N4" s="287" t="s">
        <v>502</v>
      </c>
      <c r="O4" s="224" t="s">
        <v>226</v>
      </c>
      <c r="P4" s="224" t="s">
        <v>270</v>
      </c>
      <c r="Q4" s="287" t="s">
        <v>502</v>
      </c>
    </row>
    <row r="5" spans="2:17" ht="22.5" customHeight="1" x14ac:dyDescent="0.35">
      <c r="B5" s="206" t="str">
        <f>PL!B5</f>
        <v>売上高</v>
      </c>
      <c r="C5" s="248">
        <f>PL!C5</f>
        <v>325866987</v>
      </c>
      <c r="D5" s="268"/>
      <c r="E5" s="263">
        <f>C5+D5</f>
        <v>325866987</v>
      </c>
      <c r="F5" s="248">
        <f>PL!E5</f>
        <v>346561600</v>
      </c>
      <c r="G5" s="268"/>
      <c r="H5" s="263">
        <f>F5+G5</f>
        <v>346561600</v>
      </c>
      <c r="I5" s="248">
        <f>PL!G5</f>
        <v>357540639</v>
      </c>
      <c r="J5" s="268"/>
      <c r="K5" s="263">
        <f>I5+J5</f>
        <v>357540639</v>
      </c>
      <c r="L5" s="248">
        <f>PL!I5</f>
        <v>0</v>
      </c>
      <c r="M5" s="268"/>
      <c r="N5" s="263">
        <f>L5+M5</f>
        <v>0</v>
      </c>
      <c r="O5" s="248">
        <f>PL!K5</f>
        <v>0</v>
      </c>
      <c r="P5" s="268"/>
      <c r="Q5" s="263">
        <f>O5+P5</f>
        <v>0</v>
      </c>
    </row>
    <row r="6" spans="2:17" ht="22.5" customHeight="1" x14ac:dyDescent="0.35">
      <c r="B6" s="207">
        <f>PL!B6</f>
        <v>0</v>
      </c>
      <c r="C6" s="248">
        <f>PL!C6</f>
        <v>0</v>
      </c>
      <c r="D6" s="268"/>
      <c r="E6" s="263">
        <f t="shared" ref="E6:E7" si="0">C6+D6</f>
        <v>0</v>
      </c>
      <c r="F6" s="248">
        <f>PL!E6</f>
        <v>0</v>
      </c>
      <c r="G6" s="268"/>
      <c r="H6" s="263">
        <f t="shared" ref="H6:H7" si="1">F6+G6</f>
        <v>0</v>
      </c>
      <c r="I6" s="248">
        <f>PL!G6</f>
        <v>0</v>
      </c>
      <c r="J6" s="268"/>
      <c r="K6" s="263">
        <f t="shared" ref="K6:K7" si="2">I6+J6</f>
        <v>0</v>
      </c>
      <c r="L6" s="248">
        <f>PL!I6</f>
        <v>0</v>
      </c>
      <c r="M6" s="268"/>
      <c r="N6" s="263">
        <f t="shared" ref="N6:N7" si="3">L6+M6</f>
        <v>0</v>
      </c>
      <c r="O6" s="248">
        <f>PL!K6</f>
        <v>0</v>
      </c>
      <c r="P6" s="268"/>
      <c r="Q6" s="263">
        <f t="shared" ref="Q6:Q7" si="4">O6+P6</f>
        <v>0</v>
      </c>
    </row>
    <row r="7" spans="2:17" ht="22.5" customHeight="1" x14ac:dyDescent="0.35">
      <c r="B7" s="207">
        <f>PL!B7</f>
        <v>0</v>
      </c>
      <c r="C7" s="248">
        <f>PL!C7</f>
        <v>0</v>
      </c>
      <c r="D7" s="268"/>
      <c r="E7" s="263">
        <f t="shared" si="0"/>
        <v>0</v>
      </c>
      <c r="F7" s="248">
        <f>PL!E7</f>
        <v>0</v>
      </c>
      <c r="G7" s="268"/>
      <c r="H7" s="263">
        <f t="shared" si="1"/>
        <v>0</v>
      </c>
      <c r="I7" s="248">
        <f>PL!G7</f>
        <v>0</v>
      </c>
      <c r="J7" s="268"/>
      <c r="K7" s="263">
        <f t="shared" si="2"/>
        <v>0</v>
      </c>
      <c r="L7" s="248">
        <f>PL!I7</f>
        <v>0</v>
      </c>
      <c r="M7" s="268"/>
      <c r="N7" s="263">
        <f t="shared" si="3"/>
        <v>0</v>
      </c>
      <c r="O7" s="248">
        <f>PL!K7</f>
        <v>0</v>
      </c>
      <c r="P7" s="268"/>
      <c r="Q7" s="263">
        <f t="shared" si="4"/>
        <v>0</v>
      </c>
    </row>
    <row r="8" spans="2:17" ht="22.5" customHeight="1" x14ac:dyDescent="0.35">
      <c r="B8" s="207">
        <f>PL!B8</f>
        <v>0</v>
      </c>
      <c r="C8" s="248">
        <f>PL!C8</f>
        <v>0</v>
      </c>
      <c r="D8" s="268"/>
      <c r="E8" s="263">
        <f t="shared" ref="E8:E9" si="5">C8+D8</f>
        <v>0</v>
      </c>
      <c r="F8" s="248">
        <f>PL!E8</f>
        <v>0</v>
      </c>
      <c r="G8" s="268"/>
      <c r="H8" s="263">
        <f t="shared" ref="H8:H9" si="6">F8+G8</f>
        <v>0</v>
      </c>
      <c r="I8" s="248">
        <f>PL!G8</f>
        <v>0</v>
      </c>
      <c r="J8" s="268"/>
      <c r="K8" s="263">
        <f t="shared" ref="K8:K9" si="7">I8+J8</f>
        <v>0</v>
      </c>
      <c r="L8" s="248">
        <f>PL!I8</f>
        <v>0</v>
      </c>
      <c r="M8" s="268"/>
      <c r="N8" s="263">
        <f t="shared" ref="N8:N9" si="8">L8+M8</f>
        <v>0</v>
      </c>
      <c r="O8" s="248">
        <f>PL!K8</f>
        <v>0</v>
      </c>
      <c r="P8" s="268"/>
      <c r="Q8" s="263">
        <f t="shared" ref="Q8:Q9" si="9">O8+P8</f>
        <v>0</v>
      </c>
    </row>
    <row r="9" spans="2:17" ht="22.5" customHeight="1" x14ac:dyDescent="0.35">
      <c r="B9" s="207">
        <f>PL!B9</f>
        <v>0</v>
      </c>
      <c r="C9" s="248">
        <f>PL!C9</f>
        <v>0</v>
      </c>
      <c r="D9" s="268"/>
      <c r="E9" s="263">
        <f t="shared" si="5"/>
        <v>0</v>
      </c>
      <c r="F9" s="248">
        <f>PL!E9</f>
        <v>0</v>
      </c>
      <c r="G9" s="268"/>
      <c r="H9" s="263">
        <f t="shared" si="6"/>
        <v>0</v>
      </c>
      <c r="I9" s="248">
        <f>PL!G9</f>
        <v>0</v>
      </c>
      <c r="J9" s="268"/>
      <c r="K9" s="263">
        <f t="shared" si="7"/>
        <v>0</v>
      </c>
      <c r="L9" s="248">
        <f>PL!I9</f>
        <v>0</v>
      </c>
      <c r="M9" s="268"/>
      <c r="N9" s="263">
        <f t="shared" si="8"/>
        <v>0</v>
      </c>
      <c r="O9" s="248">
        <f>PL!K9</f>
        <v>0</v>
      </c>
      <c r="P9" s="268"/>
      <c r="Q9" s="263">
        <f t="shared" si="9"/>
        <v>0</v>
      </c>
    </row>
    <row r="10" spans="2:17" ht="22.5" customHeight="1" x14ac:dyDescent="0.35">
      <c r="B10" s="208"/>
      <c r="C10" s="242"/>
      <c r="D10" s="243"/>
      <c r="E10" s="271">
        <f t="shared" ref="E10:E22" si="10">C10+D10</f>
        <v>0</v>
      </c>
      <c r="F10" s="242"/>
      <c r="G10" s="243"/>
      <c r="H10" s="271">
        <f t="shared" ref="H10:H22" si="11">F10+G10</f>
        <v>0</v>
      </c>
      <c r="I10" s="242"/>
      <c r="J10" s="243"/>
      <c r="K10" s="271">
        <f t="shared" ref="K10:K22" si="12">I10+J10</f>
        <v>0</v>
      </c>
      <c r="L10" s="242"/>
      <c r="M10" s="243"/>
      <c r="N10" s="271">
        <f t="shared" ref="N10:N22" si="13">L10+M10</f>
        <v>0</v>
      </c>
      <c r="O10" s="242"/>
      <c r="P10" s="243"/>
      <c r="Q10" s="271">
        <f t="shared" ref="Q10:Q22" si="14">O10+P10</f>
        <v>0</v>
      </c>
    </row>
    <row r="11" spans="2:17" ht="22.5" customHeight="1" x14ac:dyDescent="0.35">
      <c r="B11" s="211" t="s">
        <v>39</v>
      </c>
      <c r="C11" s="240">
        <f>SUM(C5:C10)</f>
        <v>325866987</v>
      </c>
      <c r="D11" s="240">
        <f>SUM(D5:D10)</f>
        <v>0</v>
      </c>
      <c r="E11" s="262">
        <f t="shared" si="10"/>
        <v>325866987</v>
      </c>
      <c r="F11" s="240">
        <f>SUM(F5:F10)</f>
        <v>346561600</v>
      </c>
      <c r="G11" s="240">
        <f>SUM(G5:G10)</f>
        <v>0</v>
      </c>
      <c r="H11" s="262">
        <f t="shared" si="11"/>
        <v>346561600</v>
      </c>
      <c r="I11" s="240">
        <f>SUM(I5:I10)</f>
        <v>357540639</v>
      </c>
      <c r="J11" s="240">
        <f>SUM(J5:J10)</f>
        <v>0</v>
      </c>
      <c r="K11" s="262">
        <f t="shared" si="12"/>
        <v>357540639</v>
      </c>
      <c r="L11" s="240">
        <f>SUM(L5:L10)</f>
        <v>0</v>
      </c>
      <c r="M11" s="240">
        <f>SUM(M5:M10)</f>
        <v>0</v>
      </c>
      <c r="N11" s="262">
        <f t="shared" si="13"/>
        <v>0</v>
      </c>
      <c r="O11" s="240">
        <f>SUM(O5:O10)</f>
        <v>0</v>
      </c>
      <c r="P11" s="240">
        <f>SUM(P5:P10)</f>
        <v>0</v>
      </c>
      <c r="Q11" s="262">
        <f t="shared" si="14"/>
        <v>0</v>
      </c>
    </row>
    <row r="12" spans="2:17" ht="22.5" customHeight="1" x14ac:dyDescent="0.35">
      <c r="B12" s="210" t="str">
        <f>PL!B12</f>
        <v>期首商品棚卸高</v>
      </c>
      <c r="C12" s="248">
        <f>PL!C12</f>
        <v>28930577</v>
      </c>
      <c r="D12" s="268"/>
      <c r="E12" s="263">
        <f t="shared" si="10"/>
        <v>28930577</v>
      </c>
      <c r="F12" s="248">
        <f>PL!E12</f>
        <v>32079836</v>
      </c>
      <c r="G12" s="268"/>
      <c r="H12" s="263">
        <f t="shared" si="11"/>
        <v>32079836</v>
      </c>
      <c r="I12" s="248">
        <f>PL!G12</f>
        <v>30240016</v>
      </c>
      <c r="J12" s="268"/>
      <c r="K12" s="263">
        <f t="shared" si="12"/>
        <v>30240016</v>
      </c>
      <c r="L12" s="248">
        <f>PL!I12</f>
        <v>0</v>
      </c>
      <c r="M12" s="268"/>
      <c r="N12" s="263">
        <f t="shared" si="13"/>
        <v>0</v>
      </c>
      <c r="O12" s="248">
        <f>PL!K12</f>
        <v>0</v>
      </c>
      <c r="P12" s="268"/>
      <c r="Q12" s="263">
        <f t="shared" si="14"/>
        <v>0</v>
      </c>
    </row>
    <row r="13" spans="2:17" ht="22.5" customHeight="1" x14ac:dyDescent="0.35">
      <c r="B13" s="563" t="str">
        <f>PL!B13</f>
        <v>当期商品仕入高</v>
      </c>
      <c r="C13" s="248">
        <f>PL!C13</f>
        <v>162685310</v>
      </c>
      <c r="D13" s="268"/>
      <c r="E13" s="263">
        <f t="shared" si="10"/>
        <v>162685310</v>
      </c>
      <c r="F13" s="248">
        <f>PL!E13</f>
        <v>179686065</v>
      </c>
      <c r="G13" s="268"/>
      <c r="H13" s="263">
        <f t="shared" si="11"/>
        <v>179686065</v>
      </c>
      <c r="I13" s="248">
        <f>PL!G13</f>
        <v>193114742</v>
      </c>
      <c r="J13" s="268"/>
      <c r="K13" s="263">
        <f t="shared" si="12"/>
        <v>193114742</v>
      </c>
      <c r="L13" s="248">
        <f>PL!I13</f>
        <v>0</v>
      </c>
      <c r="M13" s="268"/>
      <c r="N13" s="263">
        <f t="shared" si="13"/>
        <v>0</v>
      </c>
      <c r="O13" s="248">
        <f>PL!K13</f>
        <v>0</v>
      </c>
      <c r="P13" s="268"/>
      <c r="Q13" s="263">
        <f t="shared" si="14"/>
        <v>0</v>
      </c>
    </row>
    <row r="14" spans="2:17" ht="22.5" customHeight="1" x14ac:dyDescent="0.35">
      <c r="B14" s="563" t="str">
        <f>PL!B14</f>
        <v>仕入値引戻し高</v>
      </c>
      <c r="C14" s="248">
        <f>PL!C14</f>
        <v>-18920</v>
      </c>
      <c r="D14" s="268"/>
      <c r="E14" s="263">
        <f t="shared" si="10"/>
        <v>-18920</v>
      </c>
      <c r="F14" s="248">
        <f>PL!E14</f>
        <v>0</v>
      </c>
      <c r="G14" s="268"/>
      <c r="H14" s="263">
        <f t="shared" si="11"/>
        <v>0</v>
      </c>
      <c r="I14" s="248">
        <f>PL!G14</f>
        <v>0</v>
      </c>
      <c r="J14" s="268"/>
      <c r="K14" s="263">
        <f t="shared" si="12"/>
        <v>0</v>
      </c>
      <c r="L14" s="248">
        <f>PL!I14</f>
        <v>0</v>
      </c>
      <c r="M14" s="268"/>
      <c r="N14" s="263">
        <f t="shared" si="13"/>
        <v>0</v>
      </c>
      <c r="O14" s="248">
        <f>PL!K14</f>
        <v>0</v>
      </c>
      <c r="P14" s="268"/>
      <c r="Q14" s="263">
        <f t="shared" si="14"/>
        <v>0</v>
      </c>
    </row>
    <row r="15" spans="2:17" ht="22.5" customHeight="1" x14ac:dyDescent="0.35">
      <c r="B15" s="563" t="str">
        <f>PL!B15</f>
        <v>期末商品棚卸高</v>
      </c>
      <c r="C15" s="248">
        <f>PL!C15</f>
        <v>-32079836</v>
      </c>
      <c r="D15" s="268"/>
      <c r="E15" s="263">
        <f t="shared" si="10"/>
        <v>-32079836</v>
      </c>
      <c r="F15" s="248">
        <f>PL!E15</f>
        <v>-30240016</v>
      </c>
      <c r="G15" s="268"/>
      <c r="H15" s="263">
        <f t="shared" si="11"/>
        <v>-30240016</v>
      </c>
      <c r="I15" s="248">
        <f>PL!G15</f>
        <v>-26584168</v>
      </c>
      <c r="J15" s="268"/>
      <c r="K15" s="263">
        <f t="shared" si="12"/>
        <v>-26584168</v>
      </c>
      <c r="L15" s="248">
        <f>PL!I15</f>
        <v>0</v>
      </c>
      <c r="M15" s="268"/>
      <c r="N15" s="263">
        <f t="shared" si="13"/>
        <v>0</v>
      </c>
      <c r="O15" s="248">
        <f>PL!K15</f>
        <v>0</v>
      </c>
      <c r="P15" s="268"/>
      <c r="Q15" s="263">
        <f t="shared" si="14"/>
        <v>0</v>
      </c>
    </row>
    <row r="16" spans="2:17" ht="22.5" customHeight="1" x14ac:dyDescent="0.35">
      <c r="B16" s="209" t="s">
        <v>228</v>
      </c>
      <c r="C16" s="279">
        <f>SUM(C12:C15)</f>
        <v>159517131</v>
      </c>
      <c r="D16" s="279">
        <f>SUM(D12:D15)</f>
        <v>0</v>
      </c>
      <c r="E16" s="284">
        <f t="shared" si="10"/>
        <v>159517131</v>
      </c>
      <c r="F16" s="279">
        <f>SUM(F12:F15)</f>
        <v>181525885</v>
      </c>
      <c r="G16" s="279">
        <f>SUM(G12:G15)</f>
        <v>0</v>
      </c>
      <c r="H16" s="284">
        <f t="shared" si="11"/>
        <v>181525885</v>
      </c>
      <c r="I16" s="279">
        <f>SUM(I12:I15)</f>
        <v>196770590</v>
      </c>
      <c r="J16" s="279">
        <f>SUM(J12:J15)</f>
        <v>0</v>
      </c>
      <c r="K16" s="284">
        <f t="shared" si="12"/>
        <v>196770590</v>
      </c>
      <c r="L16" s="279">
        <f>SUM(L12:L15)</f>
        <v>0</v>
      </c>
      <c r="M16" s="279">
        <f>SUM(M12:M15)</f>
        <v>0</v>
      </c>
      <c r="N16" s="284">
        <f t="shared" si="13"/>
        <v>0</v>
      </c>
      <c r="O16" s="279">
        <f>SUM(O12:O15)</f>
        <v>0</v>
      </c>
      <c r="P16" s="279">
        <f>SUM(P12:P15)</f>
        <v>0</v>
      </c>
      <c r="Q16" s="284">
        <f t="shared" si="14"/>
        <v>0</v>
      </c>
    </row>
    <row r="17" spans="2:17" ht="22.5" customHeight="1" x14ac:dyDescent="0.35">
      <c r="B17" s="211" t="s">
        <v>52</v>
      </c>
      <c r="C17" s="240">
        <f>C11-C16</f>
        <v>166349856</v>
      </c>
      <c r="D17" s="240">
        <f>D11-D16</f>
        <v>0</v>
      </c>
      <c r="E17" s="262">
        <f t="shared" si="10"/>
        <v>166349856</v>
      </c>
      <c r="F17" s="240">
        <f>F11-F16</f>
        <v>165035715</v>
      </c>
      <c r="G17" s="240">
        <f>G11-G16</f>
        <v>0</v>
      </c>
      <c r="H17" s="262">
        <f t="shared" si="11"/>
        <v>165035715</v>
      </c>
      <c r="I17" s="240">
        <f>I11-I16</f>
        <v>160770049</v>
      </c>
      <c r="J17" s="240">
        <f>J11-J16</f>
        <v>0</v>
      </c>
      <c r="K17" s="262">
        <f t="shared" si="12"/>
        <v>160770049</v>
      </c>
      <c r="L17" s="240">
        <f>L11-L16</f>
        <v>0</v>
      </c>
      <c r="M17" s="240">
        <f>M11-M16</f>
        <v>0</v>
      </c>
      <c r="N17" s="262">
        <f t="shared" si="13"/>
        <v>0</v>
      </c>
      <c r="O17" s="240">
        <f>O11-O16</f>
        <v>0</v>
      </c>
      <c r="P17" s="240">
        <f>P11-P16</f>
        <v>0</v>
      </c>
      <c r="Q17" s="262">
        <f t="shared" si="14"/>
        <v>0</v>
      </c>
    </row>
    <row r="18" spans="2:17" ht="22.5" customHeight="1" x14ac:dyDescent="0.35">
      <c r="B18" s="209" t="s">
        <v>229</v>
      </c>
      <c r="C18" s="280">
        <f>修正SGA!C39</f>
        <v>145464229</v>
      </c>
      <c r="D18" s="283">
        <f>修正SGA!D39</f>
      </c>
      <c r="E18" s="285">
        <f t="shared" si="10"/>
        <v>145464229</v>
      </c>
      <c r="F18" s="280">
        <f>修正SGA!F39</f>
        <v>154261272</v>
      </c>
      <c r="G18" s="283">
        <f>修正SGA!G39</f>
      </c>
      <c r="H18" s="285">
        <f t="shared" si="11"/>
        <v>154261272</v>
      </c>
      <c r="I18" s="280">
        <f>修正SGA!I39</f>
        <v>147845764</v>
      </c>
      <c r="J18" s="283">
        <f>修正SGA!J39</f>
      </c>
      <c r="K18" s="285">
        <f t="shared" si="12"/>
        <v>147845764</v>
      </c>
      <c r="L18" s="280">
        <f>修正SGA!L39</f>
        <v>0</v>
      </c>
      <c r="M18" s="283"/>
      <c r="N18" s="285">
        <f t="shared" si="13"/>
        <v>0</v>
      </c>
      <c r="O18" s="280">
        <f>修正SGA!O39</f>
        <v>0</v>
      </c>
      <c r="P18" s="283"/>
      <c r="Q18" s="285">
        <f t="shared" si="14"/>
        <v>0</v>
      </c>
    </row>
    <row r="19" spans="2:17" ht="22.5" customHeight="1" x14ac:dyDescent="0.35">
      <c r="B19" s="211" t="s">
        <v>230</v>
      </c>
      <c r="C19" s="240">
        <f>C17- C18</f>
        <v>20885627</v>
      </c>
      <c r="D19" s="240">
        <f>D17- D18</f>
        <v>0</v>
      </c>
      <c r="E19" s="262">
        <f t="shared" si="10"/>
        <v>20885627</v>
      </c>
      <c r="F19" s="240">
        <f>F17- F18</f>
        <v>10774443</v>
      </c>
      <c r="G19" s="240">
        <f>G17- G18</f>
        <v>0</v>
      </c>
      <c r="H19" s="262">
        <f t="shared" si="11"/>
        <v>10774443</v>
      </c>
      <c r="I19" s="240">
        <f>I17- I18</f>
        <v>12924285</v>
      </c>
      <c r="J19" s="240">
        <f>J17- J18</f>
        <v>0</v>
      </c>
      <c r="K19" s="262">
        <f t="shared" si="12"/>
        <v>12924285</v>
      </c>
      <c r="L19" s="240">
        <f>L17- L18</f>
        <v>0</v>
      </c>
      <c r="M19" s="240">
        <f>M17- M18</f>
        <v>0</v>
      </c>
      <c r="N19" s="262">
        <f t="shared" si="13"/>
        <v>0</v>
      </c>
      <c r="O19" s="240">
        <f>O17- O18</f>
        <v>0</v>
      </c>
      <c r="P19" s="240">
        <f>P17- P18</f>
        <v>0</v>
      </c>
      <c r="Q19" s="262">
        <f t="shared" si="14"/>
        <v>0</v>
      </c>
    </row>
    <row r="20" spans="2:17" ht="22.5" customHeight="1" x14ac:dyDescent="0.35">
      <c r="B20" s="209" t="s">
        <v>231</v>
      </c>
      <c r="C20" s="280">
        <f>SUM(C21:C27)</f>
        <v>1273342</v>
      </c>
      <c r="D20" s="280">
        <f>SUM(D21:D27)</f>
        <v>0</v>
      </c>
      <c r="E20" s="285">
        <f t="shared" si="10"/>
        <v>1273342</v>
      </c>
      <c r="F20" s="280">
        <f>SUM(F21:F27)</f>
        <v>2398375</v>
      </c>
      <c r="G20" s="280">
        <f>SUM(G21:G27)</f>
        <v>0</v>
      </c>
      <c r="H20" s="285">
        <f t="shared" si="11"/>
        <v>2398375</v>
      </c>
      <c r="I20" s="280">
        <f>SUM(I21:I27)</f>
        <v>1051276</v>
      </c>
      <c r="J20" s="280">
        <f>SUM(J21:J27)</f>
        <v>0</v>
      </c>
      <c r="K20" s="285">
        <f t="shared" si="12"/>
        <v>1051276</v>
      </c>
      <c r="L20" s="280">
        <f>SUM(L21:L27)</f>
        <v>0</v>
      </c>
      <c r="M20" s="280">
        <f>SUM(M21:M27)</f>
        <v>0</v>
      </c>
      <c r="N20" s="285">
        <f t="shared" si="13"/>
        <v>0</v>
      </c>
      <c r="O20" s="280">
        <f>SUM(O21:O27)</f>
        <v>0</v>
      </c>
      <c r="P20" s="280">
        <f>SUM(P21:P27)</f>
        <v>0</v>
      </c>
      <c r="Q20" s="285">
        <f t="shared" si="14"/>
        <v>0</v>
      </c>
    </row>
    <row r="21" spans="2:17" ht="22.5" customHeight="1" x14ac:dyDescent="0.35">
      <c r="B21" s="212" t="str">
        <f>PL!B21</f>
        <v>受取利息</v>
      </c>
      <c r="C21" s="248">
        <f>PL!C21</f>
        <v>292</v>
      </c>
      <c r="D21" s="268">
        <f>-C21</f>
      </c>
      <c r="E21" s="263">
        <f t="shared" si="10"/>
        <v>292</v>
      </c>
      <c r="F21" s="248">
        <f>PL!E21</f>
        <v>3285</v>
      </c>
      <c r="G21" s="268">
        <f>-F21</f>
      </c>
      <c r="H21" s="263">
        <f t="shared" si="11"/>
        <v>3285</v>
      </c>
      <c r="I21" s="248">
        <f>PL!G21</f>
        <v>76490</v>
      </c>
      <c r="J21" s="268">
        <f>-I21</f>
      </c>
      <c r="K21" s="263">
        <f t="shared" si="12"/>
        <v>76490</v>
      </c>
      <c r="L21" s="248">
        <f>PL!I21</f>
        <v>0</v>
      </c>
      <c r="M21" s="268"/>
      <c r="N21" s="263">
        <f t="shared" si="13"/>
        <v>0</v>
      </c>
      <c r="O21" s="248">
        <f>PL!K21</f>
        <v>0</v>
      </c>
      <c r="P21" s="268"/>
      <c r="Q21" s="263">
        <f t="shared" si="14"/>
        <v>0</v>
      </c>
    </row>
    <row r="22" spans="2:17" ht="22.5" customHeight="1" x14ac:dyDescent="0.35">
      <c r="B22" s="214" t="str">
        <f>PL!B22</f>
        <v>仕入割引</v>
      </c>
      <c r="C22" s="248">
        <f>PL!C22</f>
        <v>211750</v>
      </c>
      <c r="D22" s="268">
        <f>-C22</f>
      </c>
      <c r="E22" s="263">
        <f t="shared" si="10"/>
        <v>211750</v>
      </c>
      <c r="F22" s="248">
        <f>PL!E22</f>
        <v>52250</v>
      </c>
      <c r="G22" s="268">
        <f>-F22</f>
      </c>
      <c r="H22" s="263">
        <f t="shared" si="11"/>
        <v>52250</v>
      </c>
      <c r="I22" s="248">
        <f>PL!G22</f>
        <v>0</v>
      </c>
      <c r="J22" s="268">
        <f>-I22</f>
      </c>
      <c r="K22" s="263">
        <f t="shared" si="12"/>
        <v>0</v>
      </c>
      <c r="L22" s="248">
        <f>PL!I22</f>
        <v>0</v>
      </c>
      <c r="M22" s="268"/>
      <c r="N22" s="263">
        <f t="shared" si="13"/>
        <v>0</v>
      </c>
      <c r="O22" s="248">
        <f>PL!K22</f>
        <v>0</v>
      </c>
      <c r="P22" s="268"/>
      <c r="Q22" s="263">
        <f t="shared" si="14"/>
        <v>0</v>
      </c>
    </row>
    <row r="23" spans="2:17" ht="22.5" customHeight="1" x14ac:dyDescent="0.35">
      <c r="B23" s="214" t="str">
        <f>PL!B23</f>
        <v>貸倒引当金戻入額</v>
      </c>
      <c r="C23" s="248">
        <f>PL!C23</f>
        <v>448000</v>
      </c>
      <c r="D23" s="268">
        <f>-C23</f>
      </c>
      <c r="E23" s="263">
        <f t="shared" ref="E23:E26" si="15">C23+D23</f>
        <v>448000</v>
      </c>
      <c r="F23" s="248">
        <f>PL!E23</f>
        <v>457000</v>
      </c>
      <c r="G23" s="268">
        <f>-F23</f>
      </c>
      <c r="H23" s="263">
        <f t="shared" ref="H23:H26" si="16">F23+G23</f>
        <v>457000</v>
      </c>
      <c r="I23" s="248">
        <f>PL!G23</f>
        <v>498000</v>
      </c>
      <c r="J23" s="268">
        <f>-I23</f>
      </c>
      <c r="K23" s="263">
        <f t="shared" ref="K23:K26" si="17">I23+J23</f>
        <v>498000</v>
      </c>
      <c r="L23" s="248">
        <f>PL!I23</f>
        <v>0</v>
      </c>
      <c r="M23" s="268"/>
      <c r="N23" s="263">
        <f t="shared" ref="N23:N26" si="18">L23+M23</f>
        <v>0</v>
      </c>
      <c r="O23" s="248">
        <f>PL!K23</f>
        <v>0</v>
      </c>
      <c r="P23" s="268"/>
      <c r="Q23" s="263">
        <f t="shared" ref="Q23:Q26" si="19">O23+P23</f>
        <v>0</v>
      </c>
    </row>
    <row r="24" spans="2:17" ht="22.5" customHeight="1" x14ac:dyDescent="0.35">
      <c r="B24" s="214" t="str">
        <f>PL!B24</f>
        <v>雑収入</v>
      </c>
      <c r="C24" s="248">
        <f>PL!C24</f>
        <v>613300</v>
      </c>
      <c r="D24" s="268">
        <f>-C24</f>
      </c>
      <c r="E24" s="263">
        <f t="shared" si="15"/>
        <v>613300</v>
      </c>
      <c r="F24" s="248">
        <f>PL!E24</f>
        <v>1885840</v>
      </c>
      <c r="G24" s="268">
        <f>-F24</f>
      </c>
      <c r="H24" s="263">
        <f t="shared" si="16"/>
        <v>1885840</v>
      </c>
      <c r="I24" s="248">
        <f>PL!G24</f>
        <v>476786</v>
      </c>
      <c r="J24" s="268">
        <f>-I24</f>
      </c>
      <c r="K24" s="263">
        <f t="shared" si="17"/>
        <v>476786</v>
      </c>
      <c r="L24" s="248">
        <f>PL!I24</f>
        <v>0</v>
      </c>
      <c r="M24" s="268"/>
      <c r="N24" s="263">
        <f t="shared" si="18"/>
        <v>0</v>
      </c>
      <c r="O24" s="248">
        <f>PL!K24</f>
        <v>0</v>
      </c>
      <c r="P24" s="268"/>
      <c r="Q24" s="263">
        <f t="shared" si="19"/>
        <v>0</v>
      </c>
    </row>
    <row r="25" spans="2:17" ht="22.5" customHeight="1" x14ac:dyDescent="0.35">
      <c r="B25" s="214">
        <f>PL!B25</f>
        <v>0</v>
      </c>
      <c r="C25" s="248">
        <f>PL!C25</f>
        <v>0</v>
      </c>
      <c r="D25" s="268"/>
      <c r="E25" s="263">
        <f t="shared" si="15"/>
        <v>0</v>
      </c>
      <c r="F25" s="248">
        <f>PL!E25</f>
        <v>0</v>
      </c>
      <c r="G25" s="268"/>
      <c r="H25" s="263">
        <f t="shared" si="16"/>
        <v>0</v>
      </c>
      <c r="I25" s="248">
        <f>PL!G25</f>
        <v>0</v>
      </c>
      <c r="J25" s="268"/>
      <c r="K25" s="263">
        <f t="shared" si="17"/>
        <v>0</v>
      </c>
      <c r="L25" s="248">
        <f>PL!I25</f>
        <v>0</v>
      </c>
      <c r="M25" s="268"/>
      <c r="N25" s="263">
        <f t="shared" si="18"/>
        <v>0</v>
      </c>
      <c r="O25" s="248">
        <f>PL!K25</f>
        <v>0</v>
      </c>
      <c r="P25" s="268"/>
      <c r="Q25" s="263">
        <f t="shared" si="19"/>
        <v>0</v>
      </c>
    </row>
    <row r="26" spans="2:17" ht="22.5" customHeight="1" x14ac:dyDescent="0.35">
      <c r="B26" s="214">
        <f>PL!B26</f>
        <v>0</v>
      </c>
      <c r="C26" s="248">
        <f>PL!C26</f>
        <v>0</v>
      </c>
      <c r="D26" s="268"/>
      <c r="E26" s="263">
        <f t="shared" si="15"/>
        <v>0</v>
      </c>
      <c r="F26" s="248">
        <f>PL!E26</f>
        <v>0</v>
      </c>
      <c r="G26" s="268"/>
      <c r="H26" s="263">
        <f t="shared" si="16"/>
        <v>0</v>
      </c>
      <c r="I26" s="248">
        <f>PL!G26</f>
        <v>0</v>
      </c>
      <c r="J26" s="268"/>
      <c r="K26" s="263">
        <f t="shared" si="17"/>
        <v>0</v>
      </c>
      <c r="L26" s="248">
        <f>PL!I26</f>
        <v>0</v>
      </c>
      <c r="M26" s="268"/>
      <c r="N26" s="263">
        <f t="shared" si="18"/>
        <v>0</v>
      </c>
      <c r="O26" s="248">
        <f>PL!K26</f>
        <v>0</v>
      </c>
      <c r="P26" s="268"/>
      <c r="Q26" s="263">
        <f t="shared" si="19"/>
        <v>0</v>
      </c>
    </row>
    <row r="27" spans="2:17" ht="22.5" customHeight="1" x14ac:dyDescent="0.35">
      <c r="B27" s="213"/>
      <c r="C27" s="242"/>
      <c r="D27" s="243"/>
      <c r="E27" s="271">
        <f>C27+D27</f>
        <v>0</v>
      </c>
      <c r="F27" s="242"/>
      <c r="G27" s="243"/>
      <c r="H27" s="271">
        <f>F27+G27</f>
        <v>0</v>
      </c>
      <c r="I27" s="242"/>
      <c r="J27" s="243"/>
      <c r="K27" s="271">
        <f>I27+J27</f>
        <v>0</v>
      </c>
      <c r="L27" s="242"/>
      <c r="M27" s="243"/>
      <c r="N27" s="271">
        <f>L27+M27</f>
        <v>0</v>
      </c>
      <c r="O27" s="242"/>
      <c r="P27" s="243"/>
      <c r="Q27" s="271">
        <f>O27+P27</f>
        <v>0</v>
      </c>
    </row>
    <row r="28" spans="2:17" ht="22.5" customHeight="1" x14ac:dyDescent="0.35">
      <c r="B28" s="209" t="s">
        <v>232</v>
      </c>
      <c r="C28" s="280">
        <f>SUM(C29:C35)</f>
        <v>230000</v>
      </c>
      <c r="D28" s="280">
        <f>SUM(D29:D35)</f>
        <v>0</v>
      </c>
      <c r="E28" s="285">
        <f>C28+D28</f>
        <v>230000</v>
      </c>
      <c r="F28" s="280">
        <f>SUM(F29:F35)</f>
        <v>2287900</v>
      </c>
      <c r="G28" s="280">
        <f>SUM(G29:G35)</f>
        <v>0</v>
      </c>
      <c r="H28" s="285">
        <f>F28+G28</f>
        <v>2287900</v>
      </c>
      <c r="I28" s="280">
        <f>SUM(I29:I35)</f>
        <v>90040</v>
      </c>
      <c r="J28" s="280">
        <f>SUM(J29:J35)</f>
        <v>0</v>
      </c>
      <c r="K28" s="285">
        <f>I28+J28</f>
        <v>90040</v>
      </c>
      <c r="L28" s="280">
        <f>SUM(L29:L35)</f>
        <v>0</v>
      </c>
      <c r="M28" s="280">
        <f>SUM(M29:M35)</f>
        <v>0</v>
      </c>
      <c r="N28" s="285">
        <f>L28+M28</f>
        <v>0</v>
      </c>
      <c r="O28" s="280">
        <f>SUM(O29:O35)</f>
        <v>0</v>
      </c>
      <c r="P28" s="280">
        <f>SUM(P29:P35)</f>
        <v>0</v>
      </c>
      <c r="Q28" s="285">
        <f>O28+P28</f>
        <v>0</v>
      </c>
    </row>
    <row r="29" spans="2:17" ht="22.5" customHeight="1" x14ac:dyDescent="0.35">
      <c r="B29" s="212" t="str">
        <f>PL!B29</f>
        <v>支払利息</v>
      </c>
      <c r="C29" s="248">
        <f>PL!C29</f>
        <v>80000</v>
      </c>
      <c r="D29" s="268">
        <f>-C29</f>
      </c>
      <c r="E29" s="263">
        <f>C29+D29</f>
        <v>80000</v>
      </c>
      <c r="F29" s="248">
        <f>PL!E29</f>
        <v>80000</v>
      </c>
      <c r="G29" s="268">
        <f>-F29</f>
      </c>
      <c r="H29" s="263">
        <f>F29+G29</f>
        <v>80000</v>
      </c>
      <c r="I29" s="248">
        <f>PL!G29</f>
        <v>80000</v>
      </c>
      <c r="J29" s="268">
        <f>-I29</f>
      </c>
      <c r="K29" s="263">
        <f>I29+J29</f>
        <v>80000</v>
      </c>
      <c r="L29" s="248">
        <f>PL!I29</f>
        <v>0</v>
      </c>
      <c r="M29" s="268"/>
      <c r="N29" s="263">
        <f>L29+M29</f>
        <v>0</v>
      </c>
      <c r="O29" s="248">
        <f>PL!K29</f>
        <v>0</v>
      </c>
      <c r="P29" s="268"/>
      <c r="Q29" s="263">
        <f>O29+P29</f>
        <v>0</v>
      </c>
    </row>
    <row r="30" spans="2:17" ht="22.5" customHeight="1" x14ac:dyDescent="0.35">
      <c r="B30" s="214" t="str">
        <f>PL!B30</f>
        <v>雑損失</v>
      </c>
      <c r="C30" s="248">
        <f>PL!C30</f>
        <v>150000</v>
      </c>
      <c r="D30" s="268">
        <f>-C30</f>
      </c>
      <c r="E30" s="263">
        <f>C30+D30</f>
        <v>150000</v>
      </c>
      <c r="F30" s="248">
        <f>PL!E30</f>
        <v>1649900</v>
      </c>
      <c r="G30" s="268">
        <f>-F30</f>
      </c>
      <c r="H30" s="263">
        <f>F30+G30</f>
        <v>1649900</v>
      </c>
      <c r="I30" s="248">
        <f>PL!G30</f>
        <v>10040</v>
      </c>
      <c r="J30" s="268">
        <f>-I30</f>
      </c>
      <c r="K30" s="263">
        <f>I30+J30</f>
        <v>10040</v>
      </c>
      <c r="L30" s="248">
        <f>PL!I30</f>
        <v>0</v>
      </c>
      <c r="M30" s="268"/>
      <c r="N30" s="263">
        <f>L30+M30</f>
        <v>0</v>
      </c>
      <c r="O30" s="248">
        <f>PL!K30</f>
        <v>0</v>
      </c>
      <c r="P30" s="268"/>
      <c r="Q30" s="263">
        <f>O30+P30</f>
        <v>0</v>
      </c>
    </row>
    <row r="31" spans="2:17" ht="22.5" customHeight="1" x14ac:dyDescent="0.35">
      <c r="B31" s="214" t="str">
        <f>PL!B31</f>
        <v>固定資産圧縮損</v>
      </c>
      <c r="C31" s="248">
        <f>PL!C31</f>
        <v>0</v>
      </c>
      <c r="D31" s="268">
        <f>-C31</f>
      </c>
      <c r="E31" s="263">
        <f t="shared" ref="E31:E33" si="20">C31+D31</f>
        <v>0</v>
      </c>
      <c r="F31" s="248">
        <f>PL!E31</f>
        <v>558000</v>
      </c>
      <c r="G31" s="268">
        <f>-F31</f>
      </c>
      <c r="H31" s="263">
        <f t="shared" ref="H31:H33" si="21">F31+G31</f>
        <v>558000</v>
      </c>
      <c r="I31" s="248">
        <f>PL!G31</f>
        <v>0</v>
      </c>
      <c r="J31" s="268">
        <f>-I31</f>
      </c>
      <c r="K31" s="263">
        <f t="shared" ref="K31:K33" si="22">I31+J31</f>
        <v>0</v>
      </c>
      <c r="L31" s="248">
        <f>PL!I31</f>
        <v>0</v>
      </c>
      <c r="M31" s="268"/>
      <c r="N31" s="263">
        <f t="shared" ref="N31:N33" si="23">L31+M31</f>
        <v>0</v>
      </c>
      <c r="O31" s="248">
        <f>PL!K31</f>
        <v>0</v>
      </c>
      <c r="P31" s="268"/>
      <c r="Q31" s="263">
        <f t="shared" ref="Q31:Q33" si="24">O31+P31</f>
        <v>0</v>
      </c>
    </row>
    <row r="32" spans="2:17" ht="22.5" customHeight="1" x14ac:dyDescent="0.35">
      <c r="B32" s="214">
        <f>PL!B32</f>
        <v>0</v>
      </c>
      <c r="C32" s="248">
        <f>PL!C32</f>
        <v>0</v>
      </c>
      <c r="D32" s="268"/>
      <c r="E32" s="263">
        <f t="shared" si="20"/>
        <v>0</v>
      </c>
      <c r="F32" s="248">
        <f>PL!E32</f>
        <v>0</v>
      </c>
      <c r="G32" s="268"/>
      <c r="H32" s="263">
        <f t="shared" si="21"/>
        <v>0</v>
      </c>
      <c r="I32" s="248">
        <f>PL!G32</f>
        <v>0</v>
      </c>
      <c r="J32" s="268"/>
      <c r="K32" s="263">
        <f t="shared" si="22"/>
        <v>0</v>
      </c>
      <c r="L32" s="248">
        <f>PL!I32</f>
        <v>0</v>
      </c>
      <c r="M32" s="268"/>
      <c r="N32" s="263">
        <f t="shared" si="23"/>
        <v>0</v>
      </c>
      <c r="O32" s="248">
        <f>PL!K32</f>
        <v>0</v>
      </c>
      <c r="P32" s="268"/>
      <c r="Q32" s="263">
        <f t="shared" si="24"/>
        <v>0</v>
      </c>
    </row>
    <row r="33" spans="2:17" ht="22.5" customHeight="1" x14ac:dyDescent="0.35">
      <c r="B33" s="214">
        <f>PL!B33</f>
        <v>0</v>
      </c>
      <c r="C33" s="248">
        <f>PL!C33</f>
        <v>0</v>
      </c>
      <c r="D33" s="268"/>
      <c r="E33" s="263">
        <f t="shared" si="20"/>
        <v>0</v>
      </c>
      <c r="F33" s="248">
        <f>PL!E33</f>
        <v>0</v>
      </c>
      <c r="G33" s="268"/>
      <c r="H33" s="263">
        <f t="shared" si="21"/>
        <v>0</v>
      </c>
      <c r="I33" s="248">
        <f>PL!G33</f>
        <v>0</v>
      </c>
      <c r="J33" s="268"/>
      <c r="K33" s="263">
        <f t="shared" si="22"/>
        <v>0</v>
      </c>
      <c r="L33" s="248">
        <f>PL!I33</f>
        <v>0</v>
      </c>
      <c r="M33" s="268"/>
      <c r="N33" s="263">
        <f t="shared" si="23"/>
        <v>0</v>
      </c>
      <c r="O33" s="248">
        <f>PL!K33</f>
        <v>0</v>
      </c>
      <c r="P33" s="268"/>
      <c r="Q33" s="263">
        <f t="shared" si="24"/>
        <v>0</v>
      </c>
    </row>
    <row r="34" spans="2:17" ht="22.5" customHeight="1" x14ac:dyDescent="0.35">
      <c r="B34" s="214">
        <f>PL!B34</f>
        <v>0</v>
      </c>
      <c r="C34" s="248">
        <f>PL!C34</f>
        <v>0</v>
      </c>
      <c r="D34" s="268"/>
      <c r="E34" s="263">
        <f t="shared" ref="E34:E39" si="25">C34+D34</f>
        <v>0</v>
      </c>
      <c r="F34" s="248">
        <f>PL!E34</f>
        <v>0</v>
      </c>
      <c r="G34" s="268"/>
      <c r="H34" s="263">
        <f t="shared" ref="H34:H39" si="26">F34+G34</f>
        <v>0</v>
      </c>
      <c r="I34" s="248">
        <f>PL!G34</f>
        <v>0</v>
      </c>
      <c r="J34" s="268"/>
      <c r="K34" s="263">
        <f t="shared" ref="K34:K39" si="27">I34+J34</f>
        <v>0</v>
      </c>
      <c r="L34" s="248">
        <f>PL!I34</f>
        <v>0</v>
      </c>
      <c r="M34" s="268"/>
      <c r="N34" s="263">
        <f t="shared" ref="N34:N39" si="28">L34+M34</f>
        <v>0</v>
      </c>
      <c r="O34" s="248">
        <f>PL!K34</f>
        <v>0</v>
      </c>
      <c r="P34" s="268"/>
      <c r="Q34" s="263">
        <f t="shared" ref="Q34:Q39" si="29">O34+P34</f>
        <v>0</v>
      </c>
    </row>
    <row r="35" spans="2:17" ht="22.5" customHeight="1" x14ac:dyDescent="0.35">
      <c r="B35" s="213"/>
      <c r="C35" s="242"/>
      <c r="D35" s="243"/>
      <c r="E35" s="271">
        <f t="shared" si="25"/>
        <v>0</v>
      </c>
      <c r="F35" s="242"/>
      <c r="G35" s="243"/>
      <c r="H35" s="271">
        <f t="shared" si="26"/>
        <v>0</v>
      </c>
      <c r="I35" s="242"/>
      <c r="J35" s="243"/>
      <c r="K35" s="271">
        <f t="shared" si="27"/>
        <v>0</v>
      </c>
      <c r="L35" s="242"/>
      <c r="M35" s="243"/>
      <c r="N35" s="271">
        <f t="shared" si="28"/>
        <v>0</v>
      </c>
      <c r="O35" s="242"/>
      <c r="P35" s="243"/>
      <c r="Q35" s="271">
        <f t="shared" si="29"/>
        <v>0</v>
      </c>
    </row>
    <row r="36" spans="2:17" ht="22.5" customHeight="1" x14ac:dyDescent="0.35">
      <c r="B36" s="211" t="s">
        <v>54</v>
      </c>
      <c r="C36" s="240">
        <f>C19+C20-C28</f>
        <v>21928969</v>
      </c>
      <c r="D36" s="240">
        <f>D19+D20-D28</f>
        <v>0</v>
      </c>
      <c r="E36" s="262">
        <f t="shared" si="25"/>
        <v>21928969</v>
      </c>
      <c r="F36" s="240">
        <f>F19+F20-F28</f>
        <v>10884918</v>
      </c>
      <c r="G36" s="240">
        <f>G19+G20-G28</f>
        <v>0</v>
      </c>
      <c r="H36" s="262">
        <f t="shared" si="26"/>
        <v>10884918</v>
      </c>
      <c r="I36" s="240">
        <f>I19+I20-I28</f>
        <v>13885521</v>
      </c>
      <c r="J36" s="240">
        <f>J19+J20-J28</f>
        <v>0</v>
      </c>
      <c r="K36" s="262">
        <f t="shared" si="27"/>
        <v>13885521</v>
      </c>
      <c r="L36" s="240">
        <f>L19+L20-L28</f>
        <v>0</v>
      </c>
      <c r="M36" s="240">
        <f>M19+M20-M28</f>
        <v>0</v>
      </c>
      <c r="N36" s="262">
        <f t="shared" si="28"/>
        <v>0</v>
      </c>
      <c r="O36" s="240">
        <f>O19+O20-O28</f>
        <v>0</v>
      </c>
      <c r="P36" s="240">
        <f>P19+P20-P28</f>
        <v>0</v>
      </c>
      <c r="Q36" s="262">
        <f t="shared" si="29"/>
        <v>0</v>
      </c>
    </row>
    <row r="37" spans="2:17" ht="22.5" customHeight="1" x14ac:dyDescent="0.35">
      <c r="B37" s="209" t="s">
        <v>233</v>
      </c>
      <c r="C37" s="279">
        <f>SUM(C38:C43)</f>
        <v>0</v>
      </c>
      <c r="D37" s="279">
        <f>SUM(D38:D43)</f>
        <v>0</v>
      </c>
      <c r="E37" s="284">
        <f t="shared" si="25"/>
        <v>0</v>
      </c>
      <c r="F37" s="279">
        <f>SUM(F38:F43)</f>
        <v>0</v>
      </c>
      <c r="G37" s="279">
        <f>SUM(G38:G43)</f>
        <v>0</v>
      </c>
      <c r="H37" s="284">
        <f t="shared" si="26"/>
        <v>0</v>
      </c>
      <c r="I37" s="279">
        <f>SUM(I38:I43)</f>
        <v>0</v>
      </c>
      <c r="J37" s="279">
        <f>SUM(J38:J43)</f>
        <v>0</v>
      </c>
      <c r="K37" s="284">
        <f t="shared" si="27"/>
        <v>0</v>
      </c>
      <c r="L37" s="279">
        <f>SUM(L38:L43)</f>
        <v>0</v>
      </c>
      <c r="M37" s="279">
        <f>SUM(M38:M43)</f>
        <v>0</v>
      </c>
      <c r="N37" s="284">
        <f t="shared" si="28"/>
        <v>0</v>
      </c>
      <c r="O37" s="279">
        <f>SUM(O38:O43)</f>
        <v>0</v>
      </c>
      <c r="P37" s="279">
        <f>SUM(P38:P43)</f>
        <v>0</v>
      </c>
      <c r="Q37" s="284">
        <f t="shared" si="29"/>
        <v>0</v>
      </c>
    </row>
    <row r="38" spans="2:17" ht="22.5" customHeight="1" x14ac:dyDescent="0.35">
      <c r="B38" s="214">
        <f>PL!B38</f>
        <v>0</v>
      </c>
      <c r="C38" s="248">
        <f>PL!C38</f>
        <v>0</v>
      </c>
      <c r="D38" s="268"/>
      <c r="E38" s="263">
        <f t="shared" si="25"/>
        <v>0</v>
      </c>
      <c r="F38" s="248">
        <f>PL!E38</f>
        <v>0</v>
      </c>
      <c r="G38" s="268"/>
      <c r="H38" s="263">
        <f t="shared" si="26"/>
        <v>0</v>
      </c>
      <c r="I38" s="248">
        <f>PL!G38</f>
        <v>0</v>
      </c>
      <c r="J38" s="268"/>
      <c r="K38" s="263">
        <f t="shared" si="27"/>
        <v>0</v>
      </c>
      <c r="L38" s="248">
        <f>PL!I38</f>
        <v>0</v>
      </c>
      <c r="M38" s="268"/>
      <c r="N38" s="263">
        <f t="shared" si="28"/>
        <v>0</v>
      </c>
      <c r="O38" s="248">
        <f>PL!K38</f>
        <v>0</v>
      </c>
      <c r="P38" s="268"/>
      <c r="Q38" s="263">
        <f t="shared" si="29"/>
        <v>0</v>
      </c>
    </row>
    <row r="39" spans="2:17" ht="22.5" customHeight="1" x14ac:dyDescent="0.35">
      <c r="B39" s="214">
        <f>PL!B39</f>
        <v>0</v>
      </c>
      <c r="C39" s="248">
        <f>PL!C39</f>
        <v>0</v>
      </c>
      <c r="D39" s="268"/>
      <c r="E39" s="263">
        <f t="shared" si="25"/>
        <v>0</v>
      </c>
      <c r="F39" s="248">
        <f>PL!E39</f>
        <v>0</v>
      </c>
      <c r="G39" s="268"/>
      <c r="H39" s="263">
        <f t="shared" si="26"/>
        <v>0</v>
      </c>
      <c r="I39" s="248">
        <f>PL!G39</f>
        <v>0</v>
      </c>
      <c r="J39" s="268"/>
      <c r="K39" s="263">
        <f t="shared" si="27"/>
        <v>0</v>
      </c>
      <c r="L39" s="248">
        <f>PL!I39</f>
        <v>0</v>
      </c>
      <c r="M39" s="268"/>
      <c r="N39" s="263">
        <f t="shared" si="28"/>
        <v>0</v>
      </c>
      <c r="O39" s="248">
        <f>PL!K39</f>
        <v>0</v>
      </c>
      <c r="P39" s="268"/>
      <c r="Q39" s="263">
        <f t="shared" si="29"/>
        <v>0</v>
      </c>
    </row>
    <row r="40" spans="2:17" ht="22.5" customHeight="1" x14ac:dyDescent="0.35">
      <c r="B40" s="214">
        <f>PL!B40</f>
        <v>0</v>
      </c>
      <c r="C40" s="248">
        <f>PL!C40</f>
        <v>0</v>
      </c>
      <c r="D40" s="268"/>
      <c r="E40" s="263">
        <f t="shared" ref="E40:E42" si="30">C40+D40</f>
        <v>0</v>
      </c>
      <c r="F40" s="248">
        <f>PL!E40</f>
        <v>0</v>
      </c>
      <c r="G40" s="268"/>
      <c r="H40" s="263">
        <f t="shared" ref="H40:H42" si="31">F40+G40</f>
        <v>0</v>
      </c>
      <c r="I40" s="248">
        <f>PL!G40</f>
        <v>0</v>
      </c>
      <c r="J40" s="268"/>
      <c r="K40" s="263">
        <f t="shared" ref="K40:K42" si="32">I40+J40</f>
        <v>0</v>
      </c>
      <c r="L40" s="248">
        <f>PL!I40</f>
        <v>0</v>
      </c>
      <c r="M40" s="268"/>
      <c r="N40" s="263">
        <f t="shared" ref="N40:N42" si="33">L40+M40</f>
        <v>0</v>
      </c>
      <c r="O40" s="248">
        <f>PL!K40</f>
        <v>0</v>
      </c>
      <c r="P40" s="268"/>
      <c r="Q40" s="263">
        <f t="shared" ref="Q40:Q42" si="34">O40+P40</f>
        <v>0</v>
      </c>
    </row>
    <row r="41" spans="2:17" ht="22.5" customHeight="1" x14ac:dyDescent="0.35">
      <c r="B41" s="214">
        <f>PL!B41</f>
        <v>0</v>
      </c>
      <c r="C41" s="248">
        <f>PL!C41</f>
        <v>0</v>
      </c>
      <c r="D41" s="268"/>
      <c r="E41" s="263">
        <f t="shared" si="30"/>
        <v>0</v>
      </c>
      <c r="F41" s="248">
        <f>PL!E41</f>
        <v>0</v>
      </c>
      <c r="G41" s="268"/>
      <c r="H41" s="263">
        <f t="shared" si="31"/>
        <v>0</v>
      </c>
      <c r="I41" s="248">
        <f>PL!G41</f>
        <v>0</v>
      </c>
      <c r="J41" s="268"/>
      <c r="K41" s="263">
        <f t="shared" si="32"/>
        <v>0</v>
      </c>
      <c r="L41" s="248">
        <f>PL!I41</f>
        <v>0</v>
      </c>
      <c r="M41" s="268"/>
      <c r="N41" s="263">
        <f t="shared" si="33"/>
        <v>0</v>
      </c>
      <c r="O41" s="248">
        <f>PL!K41</f>
        <v>0</v>
      </c>
      <c r="P41" s="268"/>
      <c r="Q41" s="263">
        <f t="shared" si="34"/>
        <v>0</v>
      </c>
    </row>
    <row r="42" spans="2:17" ht="22.5" customHeight="1" x14ac:dyDescent="0.35">
      <c r="B42" s="214">
        <f>PL!B42</f>
        <v>0</v>
      </c>
      <c r="C42" s="248">
        <f>PL!C42</f>
        <v>0</v>
      </c>
      <c r="D42" s="268"/>
      <c r="E42" s="263">
        <f t="shared" si="30"/>
        <v>0</v>
      </c>
      <c r="F42" s="248">
        <f>PL!E42</f>
        <v>0</v>
      </c>
      <c r="G42" s="268"/>
      <c r="H42" s="263">
        <f t="shared" si="31"/>
        <v>0</v>
      </c>
      <c r="I42" s="248">
        <f>PL!G42</f>
        <v>0</v>
      </c>
      <c r="J42" s="268"/>
      <c r="K42" s="263">
        <f t="shared" si="32"/>
        <v>0</v>
      </c>
      <c r="L42" s="248">
        <f>PL!I42</f>
        <v>0</v>
      </c>
      <c r="M42" s="268"/>
      <c r="N42" s="263">
        <f t="shared" si="33"/>
        <v>0</v>
      </c>
      <c r="O42" s="248">
        <f>PL!K42</f>
        <v>0</v>
      </c>
      <c r="P42" s="268"/>
      <c r="Q42" s="263">
        <f t="shared" si="34"/>
        <v>0</v>
      </c>
    </row>
    <row r="43" spans="2:17" ht="22.5" customHeight="1" x14ac:dyDescent="0.35">
      <c r="B43" s="213"/>
      <c r="C43" s="242"/>
      <c r="D43" s="243"/>
      <c r="E43" s="271">
        <f>C43+D43</f>
        <v>0</v>
      </c>
      <c r="F43" s="242"/>
      <c r="G43" s="243"/>
      <c r="H43" s="271">
        <f>F43+G43</f>
        <v>0</v>
      </c>
      <c r="I43" s="242"/>
      <c r="J43" s="243"/>
      <c r="K43" s="271">
        <f>I43+J43</f>
        <v>0</v>
      </c>
      <c r="L43" s="242"/>
      <c r="M43" s="243"/>
      <c r="N43" s="271">
        <f>L43+M43</f>
        <v>0</v>
      </c>
      <c r="O43" s="242"/>
      <c r="P43" s="243"/>
      <c r="Q43" s="271">
        <f>O43+P43</f>
        <v>0</v>
      </c>
    </row>
    <row r="44" spans="2:17" ht="22.5" customHeight="1" x14ac:dyDescent="0.35">
      <c r="B44" s="209" t="s">
        <v>235</v>
      </c>
      <c r="C44" s="279">
        <f>SUM(C45:C50)</f>
        <v>44117</v>
      </c>
      <c r="D44" s="279">
        <f>SUM(D45:D50)</f>
        <v>0</v>
      </c>
      <c r="E44" s="285">
        <f>C44+D44</f>
        <v>44117</v>
      </c>
      <c r="F44" s="279">
        <f>SUM(F45:F50)</f>
        <v>0</v>
      </c>
      <c r="G44" s="279">
        <f>SUM(G45:G50)</f>
        <v>0</v>
      </c>
      <c r="H44" s="285">
        <f>F44+G44</f>
        <v>0</v>
      </c>
      <c r="I44" s="279">
        <f>SUM(I45:I50)</f>
        <v>0</v>
      </c>
      <c r="J44" s="279">
        <f>SUM(J45:J50)</f>
        <v>0</v>
      </c>
      <c r="K44" s="285">
        <f>I44+J44</f>
        <v>0</v>
      </c>
      <c r="L44" s="279">
        <f>SUM(L45:L50)</f>
        <v>0</v>
      </c>
      <c r="M44" s="279">
        <f>SUM(M45:M50)</f>
        <v>0</v>
      </c>
      <c r="N44" s="285">
        <f>L44+M44</f>
        <v>0</v>
      </c>
      <c r="O44" s="279">
        <f>SUM(O45:O50)</f>
        <v>0</v>
      </c>
      <c r="P44" s="279">
        <f>SUM(P45:P50)</f>
        <v>0</v>
      </c>
      <c r="Q44" s="285">
        <f>O44+P44</f>
        <v>0</v>
      </c>
    </row>
    <row r="45" spans="2:17" ht="22.5" customHeight="1" x14ac:dyDescent="0.35">
      <c r="B45" s="212" t="str">
        <f>PL!B45</f>
        <v>固定資産除却損</v>
      </c>
      <c r="C45" s="248">
        <f>PL!C45</f>
        <v>44117</v>
      </c>
      <c r="D45" s="268">
        <f>-C45</f>
      </c>
      <c r="E45" s="263">
        <f>C45+D45</f>
        <v>44117</v>
      </c>
      <c r="F45" s="248">
        <f>PL!E45</f>
        <v>0</v>
      </c>
      <c r="G45" s="268">
        <f>-F45</f>
      </c>
      <c r="H45" s="263">
        <f>F45+G45</f>
        <v>0</v>
      </c>
      <c r="I45" s="248">
        <f>PL!G45</f>
        <v>0</v>
      </c>
      <c r="J45" s="268">
        <f>-I45</f>
      </c>
      <c r="K45" s="263">
        <f>I45+J45</f>
        <v>0</v>
      </c>
      <c r="L45" s="248">
        <f>PL!I45</f>
        <v>0</v>
      </c>
      <c r="M45" s="268"/>
      <c r="N45" s="263">
        <f>L45+M45</f>
        <v>0</v>
      </c>
      <c r="O45" s="248">
        <f>PL!K45</f>
        <v>0</v>
      </c>
      <c r="P45" s="268"/>
      <c r="Q45" s="263">
        <f>O45+P45</f>
        <v>0</v>
      </c>
    </row>
    <row r="46" spans="2:17" ht="19.5" x14ac:dyDescent="0.35">
      <c r="B46" s="214">
        <f>PL!B46</f>
        <v>0</v>
      </c>
      <c r="C46" s="248">
        <f>PL!C46</f>
        <v>0</v>
      </c>
      <c r="D46" s="268"/>
      <c r="E46" s="263">
        <f>C46+D46</f>
        <v>0</v>
      </c>
      <c r="F46" s="248">
        <f>PL!E46</f>
        <v>0</v>
      </c>
      <c r="G46" s="268"/>
      <c r="H46" s="263">
        <f>F46+G46</f>
        <v>0</v>
      </c>
      <c r="I46" s="248">
        <f>PL!G46</f>
        <v>0</v>
      </c>
      <c r="J46" s="268"/>
      <c r="K46" s="263">
        <f>I46+J46</f>
        <v>0</v>
      </c>
      <c r="L46" s="248">
        <f>PL!I46</f>
        <v>0</v>
      </c>
      <c r="M46" s="268"/>
      <c r="N46" s="263">
        <f>L46+M46</f>
        <v>0</v>
      </c>
      <c r="O46" s="248">
        <f>PL!K46</f>
        <v>0</v>
      </c>
      <c r="P46" s="268"/>
      <c r="Q46" s="263">
        <f>O46+P46</f>
        <v>0</v>
      </c>
    </row>
    <row r="47" spans="2:17" ht="19.5" x14ac:dyDescent="0.35">
      <c r="B47" s="214">
        <f>PL!B47</f>
        <v>0</v>
      </c>
      <c r="C47" s="248">
        <f>PL!C47</f>
        <v>0</v>
      </c>
      <c r="D47" s="268"/>
      <c r="E47" s="263">
        <f t="shared" ref="E47:E49" si="35">C47+D47</f>
        <v>0</v>
      </c>
      <c r="F47" s="248">
        <f>PL!E47</f>
        <v>0</v>
      </c>
      <c r="G47" s="268"/>
      <c r="H47" s="263">
        <f t="shared" ref="H47:H49" si="36">F47+G47</f>
        <v>0</v>
      </c>
      <c r="I47" s="248">
        <f>PL!G47</f>
        <v>0</v>
      </c>
      <c r="J47" s="268"/>
      <c r="K47" s="263">
        <f t="shared" ref="K47:K49" si="37">I47+J47</f>
        <v>0</v>
      </c>
      <c r="L47" s="248">
        <f>PL!I47</f>
        <v>0</v>
      </c>
      <c r="M47" s="268"/>
      <c r="N47" s="263">
        <f t="shared" ref="N47:N49" si="38">L47+M47</f>
        <v>0</v>
      </c>
      <c r="O47" s="248">
        <f>PL!K47</f>
        <v>0</v>
      </c>
      <c r="P47" s="268"/>
      <c r="Q47" s="263">
        <f t="shared" ref="Q47:Q49" si="39">O47+P47</f>
        <v>0</v>
      </c>
    </row>
    <row r="48" spans="2:17" ht="19.5" x14ac:dyDescent="0.35">
      <c r="B48" s="214">
        <f>PL!B48</f>
        <v>0</v>
      </c>
      <c r="C48" s="248">
        <f>PL!C48</f>
        <v>0</v>
      </c>
      <c r="D48" s="268"/>
      <c r="E48" s="263">
        <f t="shared" si="35"/>
        <v>0</v>
      </c>
      <c r="F48" s="248">
        <f>PL!E48</f>
        <v>0</v>
      </c>
      <c r="G48" s="268"/>
      <c r="H48" s="263">
        <f t="shared" si="36"/>
        <v>0</v>
      </c>
      <c r="I48" s="248">
        <f>PL!G48</f>
        <v>0</v>
      </c>
      <c r="J48" s="268"/>
      <c r="K48" s="263">
        <f t="shared" si="37"/>
        <v>0</v>
      </c>
      <c r="L48" s="248">
        <f>PL!I48</f>
        <v>0</v>
      </c>
      <c r="M48" s="268"/>
      <c r="N48" s="263">
        <f t="shared" si="38"/>
        <v>0</v>
      </c>
      <c r="O48" s="248">
        <f>PL!K48</f>
        <v>0</v>
      </c>
      <c r="P48" s="268"/>
      <c r="Q48" s="263">
        <f t="shared" si="39"/>
        <v>0</v>
      </c>
    </row>
    <row r="49" spans="2:17" ht="19.5" x14ac:dyDescent="0.35">
      <c r="B49" s="214">
        <f>PL!B49</f>
        <v>0</v>
      </c>
      <c r="C49" s="248">
        <f>PL!C49</f>
        <v>0</v>
      </c>
      <c r="D49" s="268"/>
      <c r="E49" s="263">
        <f t="shared" si="35"/>
        <v>0</v>
      </c>
      <c r="F49" s="248">
        <f>PL!E49</f>
        <v>0</v>
      </c>
      <c r="G49" s="268"/>
      <c r="H49" s="263">
        <f t="shared" si="36"/>
        <v>0</v>
      </c>
      <c r="I49" s="248">
        <f>PL!G49</f>
        <v>0</v>
      </c>
      <c r="J49" s="268"/>
      <c r="K49" s="263">
        <f t="shared" si="37"/>
        <v>0</v>
      </c>
      <c r="L49" s="248">
        <f>PL!I49</f>
        <v>0</v>
      </c>
      <c r="M49" s="268"/>
      <c r="N49" s="263">
        <f t="shared" si="38"/>
        <v>0</v>
      </c>
      <c r="O49" s="248">
        <f>PL!K49</f>
        <v>0</v>
      </c>
      <c r="P49" s="268"/>
      <c r="Q49" s="263">
        <f t="shared" si="39"/>
        <v>0</v>
      </c>
    </row>
    <row r="50" spans="2:17" ht="19.5" x14ac:dyDescent="0.35">
      <c r="B50" s="213"/>
      <c r="C50" s="242"/>
      <c r="D50" s="243"/>
      <c r="E50" s="271">
        <f t="shared" ref="E50:E56" si="40">C50+D50</f>
        <v>0</v>
      </c>
      <c r="F50" s="242"/>
      <c r="G50" s="243"/>
      <c r="H50" s="271">
        <f t="shared" ref="H50:H56" si="41">F50+G50</f>
        <v>0</v>
      </c>
      <c r="I50" s="242"/>
      <c r="J50" s="243"/>
      <c r="K50" s="271">
        <f t="shared" ref="K50:K56" si="42">I50+J50</f>
        <v>0</v>
      </c>
      <c r="L50" s="242"/>
      <c r="M50" s="243"/>
      <c r="N50" s="271">
        <f t="shared" ref="N50:N56" si="43">L50+M50</f>
        <v>0</v>
      </c>
      <c r="O50" s="242"/>
      <c r="P50" s="243"/>
      <c r="Q50" s="271">
        <f t="shared" ref="Q50:Q56" si="44">O50+P50</f>
        <v>0</v>
      </c>
    </row>
    <row r="51" spans="2:17" ht="19.5" x14ac:dyDescent="0.35">
      <c r="B51" s="215" t="s">
        <v>236</v>
      </c>
      <c r="C51" s="240">
        <f>C36+C37-C44</f>
        <v>21884852</v>
      </c>
      <c r="D51" s="240">
        <f>D36+D37-D44</f>
        <v>0</v>
      </c>
      <c r="E51" s="262">
        <f t="shared" si="40"/>
        <v>21884852</v>
      </c>
      <c r="F51" s="240">
        <f>F36+F37-F44</f>
        <v>10884918</v>
      </c>
      <c r="G51" s="240">
        <f>G36+G37-G44</f>
        <v>0</v>
      </c>
      <c r="H51" s="262">
        <f t="shared" si="41"/>
        <v>10884918</v>
      </c>
      <c r="I51" s="240">
        <f>I36+I37-I44</f>
        <v>13885521</v>
      </c>
      <c r="J51" s="240">
        <f>J36+J37-J44</f>
        <v>0</v>
      </c>
      <c r="K51" s="262">
        <f t="shared" si="42"/>
        <v>13885521</v>
      </c>
      <c r="L51" s="240">
        <f>L36+L37-L44</f>
        <v>0</v>
      </c>
      <c r="M51" s="240">
        <f>M36+M37-M44</f>
        <v>0</v>
      </c>
      <c r="N51" s="262">
        <f t="shared" si="43"/>
        <v>0</v>
      </c>
      <c r="O51" s="240">
        <f>O36+O37-O44</f>
        <v>0</v>
      </c>
      <c r="P51" s="240">
        <f>P36+P37-P44</f>
        <v>0</v>
      </c>
      <c r="Q51" s="262">
        <f t="shared" si="44"/>
        <v>0</v>
      </c>
    </row>
    <row r="52" spans="2:17" ht="19.5" x14ac:dyDescent="0.35">
      <c r="B52" s="250" t="s">
        <v>237</v>
      </c>
      <c r="C52" s="279">
        <f>SUM(C53:C55)</f>
        <v>6900842</v>
      </c>
      <c r="D52" s="279">
        <f>SUM(D53:D55)</f>
        <v>0</v>
      </c>
      <c r="E52" s="284">
        <f t="shared" si="40"/>
        <v>6900842</v>
      </c>
      <c r="F52" s="279">
        <f>SUM(F53:F55)</f>
        <v>2204697</v>
      </c>
      <c r="G52" s="279">
        <f>SUM(G53:G55)</f>
        <v>0</v>
      </c>
      <c r="H52" s="284">
        <f t="shared" si="41"/>
        <v>2204697</v>
      </c>
      <c r="I52" s="279">
        <f>SUM(I53:I55)</f>
        <v>4214309</v>
      </c>
      <c r="J52" s="279">
        <f>SUM(J53:J55)</f>
        <v>0</v>
      </c>
      <c r="K52" s="284">
        <f t="shared" si="42"/>
        <v>4214309</v>
      </c>
      <c r="L52" s="279">
        <f>SUM(L53:L55)</f>
        <v>0</v>
      </c>
      <c r="M52" s="279">
        <f>SUM(M53:M55)</f>
        <v>0</v>
      </c>
      <c r="N52" s="284">
        <f t="shared" si="43"/>
        <v>0</v>
      </c>
      <c r="O52" s="279">
        <f>SUM(O53:O55)</f>
        <v>0</v>
      </c>
      <c r="P52" s="279">
        <f>SUM(P53:P55)</f>
        <v>0</v>
      </c>
      <c r="Q52" s="284">
        <f t="shared" si="44"/>
        <v>0</v>
      </c>
    </row>
    <row r="53" spans="2:17" ht="19.5" x14ac:dyDescent="0.35">
      <c r="B53" s="214" t="str">
        <f>PL!B53</f>
        <v>法人税等</v>
      </c>
      <c r="C53" s="248">
        <f>PL!C53</f>
        <v>6900842</v>
      </c>
      <c r="D53" s="268"/>
      <c r="E53" s="263">
        <f t="shared" si="40"/>
        <v>6900842</v>
      </c>
      <c r="F53" s="248">
        <f>PL!E53</f>
        <v>2204697</v>
      </c>
      <c r="G53" s="268"/>
      <c r="H53" s="263">
        <f t="shared" si="41"/>
        <v>2204697</v>
      </c>
      <c r="I53" s="248">
        <f>PL!G53</f>
        <v>4214309</v>
      </c>
      <c r="J53" s="268"/>
      <c r="K53" s="263">
        <f t="shared" si="42"/>
        <v>4214309</v>
      </c>
      <c r="L53" s="248">
        <f>PL!I53</f>
        <v>0</v>
      </c>
      <c r="M53" s="268"/>
      <c r="N53" s="263">
        <f t="shared" si="43"/>
        <v>0</v>
      </c>
      <c r="O53" s="248">
        <f>PL!K53</f>
        <v>0</v>
      </c>
      <c r="P53" s="268"/>
      <c r="Q53" s="263">
        <f t="shared" si="44"/>
        <v>0</v>
      </c>
    </row>
    <row r="54" spans="2:17" ht="19.5" x14ac:dyDescent="0.35">
      <c r="B54" s="214">
        <f>PL!B54</f>
        <v>0</v>
      </c>
      <c r="C54" s="248">
        <f>PL!C54</f>
        <v>0</v>
      </c>
      <c r="D54" s="268"/>
      <c r="E54" s="263">
        <f t="shared" si="40"/>
        <v>0</v>
      </c>
      <c r="F54" s="248">
        <f>PL!E54</f>
        <v>0</v>
      </c>
      <c r="G54" s="268"/>
      <c r="H54" s="263">
        <f t="shared" si="41"/>
        <v>0</v>
      </c>
      <c r="I54" s="248">
        <f>PL!G54</f>
        <v>0</v>
      </c>
      <c r="J54" s="268"/>
      <c r="K54" s="263">
        <f t="shared" si="42"/>
        <v>0</v>
      </c>
      <c r="L54" s="248">
        <f>PL!I54</f>
        <v>0</v>
      </c>
      <c r="M54" s="268"/>
      <c r="N54" s="263">
        <f t="shared" si="43"/>
        <v>0</v>
      </c>
      <c r="O54" s="248">
        <f>PL!K54</f>
        <v>0</v>
      </c>
      <c r="P54" s="268"/>
      <c r="Q54" s="263">
        <f t="shared" si="44"/>
        <v>0</v>
      </c>
    </row>
    <row r="55" spans="2:17" ht="19.5" x14ac:dyDescent="0.35">
      <c r="B55" s="216"/>
      <c r="C55" s="242"/>
      <c r="D55" s="243"/>
      <c r="E55" s="271">
        <f t="shared" si="40"/>
        <v>0</v>
      </c>
      <c r="F55" s="242"/>
      <c r="G55" s="243"/>
      <c r="H55" s="271">
        <f t="shared" si="41"/>
        <v>0</v>
      </c>
      <c r="I55" s="242"/>
      <c r="J55" s="243"/>
      <c r="K55" s="271">
        <f t="shared" si="42"/>
        <v>0</v>
      </c>
      <c r="L55" s="242"/>
      <c r="M55" s="243"/>
      <c r="N55" s="271">
        <f t="shared" si="43"/>
        <v>0</v>
      </c>
      <c r="O55" s="242"/>
      <c r="P55" s="243"/>
      <c r="Q55" s="271">
        <f t="shared" si="44"/>
        <v>0</v>
      </c>
    </row>
    <row r="56" spans="2:17" ht="20.25" thickBot="1" x14ac:dyDescent="0.4">
      <c r="B56" s="215" t="s">
        <v>238</v>
      </c>
      <c r="C56" s="240">
        <f>C51-C52</f>
        <v>14984010</v>
      </c>
      <c r="D56" s="240">
        <f>D51-D52</f>
        <v>0</v>
      </c>
      <c r="E56" s="286">
        <f t="shared" si="40"/>
        <v>14984010</v>
      </c>
      <c r="F56" s="240">
        <f>F51-F52</f>
        <v>8680221</v>
      </c>
      <c r="G56" s="240">
        <f>G51-G52</f>
        <v>0</v>
      </c>
      <c r="H56" s="286">
        <f t="shared" si="41"/>
        <v>8680221</v>
      </c>
      <c r="I56" s="240">
        <f>I51-I52</f>
        <v>9671212</v>
      </c>
      <c r="J56" s="240">
        <f>J51-J52</f>
        <v>0</v>
      </c>
      <c r="K56" s="286">
        <f t="shared" si="42"/>
        <v>9671212</v>
      </c>
      <c r="L56" s="240">
        <f>L51-L52</f>
        <v>0</v>
      </c>
      <c r="M56" s="240">
        <f>M51-M52</f>
        <v>0</v>
      </c>
      <c r="N56" s="286">
        <f t="shared" si="43"/>
        <v>0</v>
      </c>
      <c r="O56" s="240">
        <f>O51-O52</f>
        <v>0</v>
      </c>
      <c r="P56" s="240">
        <f>P51-P52</f>
        <v>0</v>
      </c>
      <c r="Q56" s="286">
        <f t="shared" si="44"/>
        <v>0</v>
      </c>
    </row>
    <row r="57" spans="2:17" x14ac:dyDescent="0.35">
      <c r="C57" s="281"/>
      <c r="D57" s="281"/>
      <c r="E57" s="281"/>
      <c r="F57" s="281"/>
      <c r="G57" s="281"/>
      <c r="H57" s="281"/>
      <c r="I57" s="281"/>
      <c r="J57" s="281"/>
      <c r="K57" s="281"/>
      <c r="L57" s="281"/>
      <c r="M57" s="281"/>
      <c r="N57" s="281"/>
      <c r="O57" s="281"/>
      <c r="P57" s="281"/>
      <c r="Q57" s="281"/>
    </row>
    <row r="58" spans="2:17" x14ac:dyDescent="0.35">
      <c r="C58" s="281">
        <v>14984010</v>
      </c>
      <c r="D58" s="281"/>
      <c r="E58" s="281"/>
      <c r="F58" s="281">
        <v>8680221</v>
      </c>
      <c r="G58" s="281"/>
      <c r="H58" s="281"/>
      <c r="I58" s="281">
        <v>9671212</v>
      </c>
      <c r="J58" s="281"/>
      <c r="K58" s="281"/>
      <c r="L58" s="281"/>
      <c r="M58" s="281"/>
      <c r="N58" s="281"/>
      <c r="O58" s="281"/>
      <c r="P58" s="281"/>
      <c r="Q58" s="281"/>
    </row>
    <row r="59" spans="2:17" x14ac:dyDescent="0.35">
      <c r="C59" s="281" t="b">
        <f>C58=C56</f>
        <v>1</v>
      </c>
      <c r="D59" s="281"/>
      <c r="E59" s="281"/>
      <c r="F59" s="281" t="b">
        <f>F58=F56</f>
        <v>1</v>
      </c>
      <c r="G59" s="281"/>
      <c r="H59" s="281"/>
      <c r="I59" s="281" t="b">
        <f>I58=I56</f>
        <v>1</v>
      </c>
      <c r="J59" s="281"/>
      <c r="K59" s="281"/>
      <c r="L59" s="281" t="b">
        <f>L58=L56</f>
        <v>1</v>
      </c>
      <c r="M59" s="281"/>
      <c r="N59" s="281"/>
      <c r="O59" s="281" t="b">
        <f>O58=O56</f>
        <v>1</v>
      </c>
      <c r="P59" s="281"/>
      <c r="Q59" s="281"/>
    </row>
    <row r="60" spans="2:17" x14ac:dyDescent="0.35">
      <c r="C60" s="281"/>
      <c r="D60" s="281"/>
      <c r="E60" s="281"/>
      <c r="F60" s="281"/>
      <c r="G60" s="281"/>
      <c r="H60" s="281"/>
      <c r="I60" s="281"/>
      <c r="J60" s="281"/>
      <c r="K60" s="281"/>
      <c r="L60" s="281"/>
      <c r="M60" s="281"/>
      <c r="N60" s="281"/>
      <c r="O60" s="281"/>
      <c r="P60" s="281"/>
      <c r="Q60" s="281"/>
    </row>
    <row r="61" spans="2:17" x14ac:dyDescent="0.35">
      <c r="C61" s="281"/>
      <c r="D61" s="281"/>
      <c r="E61" s="281"/>
      <c r="F61" s="281"/>
      <c r="G61" s="281"/>
      <c r="H61" s="281"/>
      <c r="I61" s="281"/>
      <c r="J61" s="281"/>
      <c r="K61" s="281"/>
      <c r="L61" s="281"/>
      <c r="M61" s="281"/>
      <c r="N61" s="281"/>
      <c r="O61" s="281"/>
      <c r="P61" s="281"/>
      <c r="Q61" s="281"/>
    </row>
    <row r="62" spans="2:17" x14ac:dyDescent="0.35">
      <c r="C62" s="281"/>
      <c r="D62" s="281"/>
      <c r="E62" s="281"/>
      <c r="F62" s="281"/>
      <c r="G62" s="281"/>
      <c r="H62" s="281"/>
      <c r="I62" s="281"/>
      <c r="J62" s="281"/>
      <c r="K62" s="281"/>
      <c r="L62" s="281"/>
      <c r="M62" s="281"/>
      <c r="N62" s="281"/>
      <c r="O62" s="281"/>
      <c r="P62" s="281"/>
      <c r="Q62" s="281"/>
    </row>
    <row r="63" spans="2:17" x14ac:dyDescent="0.35">
      <c r="C63" s="281"/>
      <c r="D63" s="281"/>
      <c r="E63" s="281"/>
      <c r="F63" s="281"/>
      <c r="G63" s="281"/>
      <c r="H63" s="281"/>
      <c r="I63" s="281"/>
      <c r="J63" s="281"/>
      <c r="K63" s="281"/>
      <c r="L63" s="281"/>
      <c r="M63" s="281"/>
      <c r="N63" s="281"/>
      <c r="O63" s="281"/>
      <c r="P63" s="281"/>
      <c r="Q63" s="281"/>
    </row>
    <row r="64" spans="2:17" x14ac:dyDescent="0.35">
      <c r="C64" s="281"/>
      <c r="D64" s="281"/>
      <c r="E64" s="281"/>
      <c r="F64" s="281"/>
      <c r="G64" s="281"/>
      <c r="H64" s="281"/>
      <c r="I64" s="281"/>
      <c r="J64" s="281"/>
      <c r="K64" s="281"/>
      <c r="L64" s="281"/>
      <c r="M64" s="281"/>
      <c r="N64" s="281"/>
      <c r="O64" s="281"/>
      <c r="P64" s="281"/>
      <c r="Q64" s="281"/>
    </row>
    <row r="65" spans="3:17" x14ac:dyDescent="0.35">
      <c r="C65" s="281"/>
      <c r="D65" s="281"/>
      <c r="E65" s="281"/>
      <c r="F65" s="281"/>
      <c r="G65" s="281"/>
      <c r="H65" s="281"/>
      <c r="I65" s="281"/>
      <c r="J65" s="281"/>
      <c r="K65" s="281"/>
      <c r="L65" s="281"/>
      <c r="M65" s="281"/>
      <c r="N65" s="281"/>
      <c r="O65" s="281"/>
      <c r="P65" s="281"/>
      <c r="Q65" s="281"/>
    </row>
    <row r="66" spans="3:17" x14ac:dyDescent="0.35">
      <c r="E66" s="281"/>
      <c r="H66" s="281"/>
      <c r="K66" s="281"/>
      <c r="N66" s="281"/>
      <c r="Q66" s="281"/>
    </row>
    <row r="67" spans="3:17" x14ac:dyDescent="0.35">
      <c r="E67" s="281"/>
      <c r="H67" s="281"/>
      <c r="K67" s="281"/>
      <c r="N67" s="281"/>
      <c r="Q67" s="281"/>
    </row>
  </sheetData>
  <mergeCells count="1">
    <mergeCell ref="B3:B4"/>
  </mergeCells>
  <phoneticPr fontId="1"/>
  <pageMargins left="0.7" right="0.7" top="0.75" bottom="0.75" header="0.3" footer="0.3"/>
  <ignoredErrors>
    <ignoredError sqref="E11:S57"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F0FD-958B-4E31-892D-618B17ED89B7}">
  <dimension ref="B2:Q39"/>
  <sheetViews>
    <sheetView showGridLines="0" zoomScale="70" zoomScaleNormal="70" workbookViewId="0">
      <pane ySplit="4" topLeftCell="A5" activePane="bottomLeft" state="frozen"/>
      <selection pane="bottomLeft" activeCell="A5" sqref="A5"/>
    </sheetView>
  </sheetViews>
  <sheetFormatPr defaultRowHeight="18" x14ac:dyDescent="0.35"/>
  <cols>
    <col min="2" max="2" width="28" style="184" bestFit="1" customWidth="1"/>
    <col min="3" max="17" width="15" customWidth="1"/>
  </cols>
  <sheetData>
    <row r="2" spans="2:17" ht="18.75" x14ac:dyDescent="0.35">
      <c r="B2"/>
      <c r="C2" s="177"/>
      <c r="F2" s="177"/>
      <c r="I2" s="177"/>
      <c r="K2" s="73" t="s">
        <v>66</v>
      </c>
      <c r="L2" s="177"/>
      <c r="O2" s="177"/>
    </row>
    <row r="3" spans="2:17" ht="20.25" thickBot="1" x14ac:dyDescent="0.4">
      <c r="B3" s="564" t="s">
        <v>208</v>
      </c>
      <c r="C3" s="195" t="str">
        <f>'BS(借方)'!C4</f>
        <v>23年12月期</v>
      </c>
      <c r="D3" s="176"/>
      <c r="E3" s="176"/>
      <c r="F3" s="195" t="str">
        <f>'BS(借方)'!D4</f>
        <v>24年12月期</v>
      </c>
      <c r="G3" s="176"/>
      <c r="H3" s="176"/>
      <c r="I3" s="195" t="str">
        <f>'BS(借方)'!E4</f>
        <v>25年12月期</v>
      </c>
      <c r="J3" s="176"/>
      <c r="K3" s="176"/>
      <c r="L3" s="195" t="str">
        <f>'BS(借方)'!F4</f>
        <v>●●年●月期</v>
      </c>
      <c r="M3" s="176"/>
      <c r="N3" s="176"/>
      <c r="O3" s="275" t="str">
        <f>'BS(借方)'!G4</f>
        <v>●●年●月
（●か月TB）</v>
      </c>
      <c r="P3" s="276"/>
      <c r="Q3" s="276"/>
    </row>
    <row r="4" spans="2:17" ht="19.5" x14ac:dyDescent="0.35">
      <c r="B4" s="564"/>
      <c r="C4" s="223" t="s">
        <v>226</v>
      </c>
      <c r="D4" s="282" t="s">
        <v>270</v>
      </c>
      <c r="E4" s="287" t="s">
        <v>502</v>
      </c>
      <c r="F4" s="223" t="s">
        <v>226</v>
      </c>
      <c r="G4" s="282" t="s">
        <v>270</v>
      </c>
      <c r="H4" s="287" t="s">
        <v>502</v>
      </c>
      <c r="I4" s="223" t="s">
        <v>226</v>
      </c>
      <c r="J4" s="282" t="s">
        <v>270</v>
      </c>
      <c r="K4" s="287" t="s">
        <v>502</v>
      </c>
      <c r="L4" s="223" t="s">
        <v>226</v>
      </c>
      <c r="M4" s="282" t="s">
        <v>270</v>
      </c>
      <c r="N4" s="287" t="s">
        <v>502</v>
      </c>
      <c r="O4" s="224" t="s">
        <v>226</v>
      </c>
      <c r="P4" s="278" t="s">
        <v>270</v>
      </c>
      <c r="Q4" s="287" t="s">
        <v>502</v>
      </c>
    </row>
    <row r="5" spans="2:17" ht="22.5" customHeight="1" x14ac:dyDescent="0.35">
      <c r="B5" s="217" t="str">
        <f>SGA!B6</f>
        <v>役員報酬</v>
      </c>
      <c r="C5" s="248">
        <f>SGA!C6</f>
        <v>10500000</v>
      </c>
      <c r="D5" s="234"/>
      <c r="E5" s="263">
        <f>C5+D5</f>
        <v>10500000</v>
      </c>
      <c r="F5" s="248">
        <f>SGA!E6</f>
        <v>17120000</v>
      </c>
      <c r="G5" s="234"/>
      <c r="H5" s="263">
        <f>F5+G5</f>
        <v>17120000</v>
      </c>
      <c r="I5" s="248">
        <f>SGA!G6</f>
        <v>11870000</v>
      </c>
      <c r="J5" s="234"/>
      <c r="K5" s="263">
        <f>I5+J5</f>
        <v>11870000</v>
      </c>
      <c r="L5" s="248">
        <f>SGA!I6</f>
        <v>0</v>
      </c>
      <c r="M5" s="234"/>
      <c r="N5" s="263">
        <f>L5+M5</f>
        <v>0</v>
      </c>
      <c r="O5" s="248">
        <f>SGA!K6</f>
        <v>0</v>
      </c>
      <c r="P5" s="234"/>
      <c r="Q5" s="263">
        <f>O5+P5</f>
        <v>0</v>
      </c>
    </row>
    <row r="6" spans="2:17" ht="22.5" customHeight="1" x14ac:dyDescent="0.35">
      <c r="B6" s="207" t="str">
        <f>SGA!B7</f>
        <v>給料手当</v>
      </c>
      <c r="C6" s="268">
        <f>SGA!C7</f>
        <v>64348988</v>
      </c>
      <c r="D6" s="234"/>
      <c r="E6" s="263">
        <f t="shared" ref="E6:E38" si="0">C6+D6</f>
        <v>64348988</v>
      </c>
      <c r="F6" s="248">
        <f>SGA!E7</f>
        <v>65194441</v>
      </c>
      <c r="G6" s="234"/>
      <c r="H6" s="263">
        <f t="shared" ref="H6:H38" si="1">F6+G6</f>
        <v>65194441</v>
      </c>
      <c r="I6" s="248">
        <f>SGA!G7</f>
        <v>64753816</v>
      </c>
      <c r="J6" s="234"/>
      <c r="K6" s="263">
        <f t="shared" ref="K6:K34" si="2">I6+J6</f>
        <v>64753816</v>
      </c>
      <c r="L6" s="248">
        <f>SGA!I7</f>
        <v>0</v>
      </c>
      <c r="M6" s="234"/>
      <c r="N6" s="263">
        <f t="shared" ref="N6:N34" si="3">L6+M6</f>
        <v>0</v>
      </c>
      <c r="O6" s="248">
        <f>SGA!K7</f>
        <v>0</v>
      </c>
      <c r="P6" s="234"/>
      <c r="Q6" s="263">
        <f t="shared" ref="Q6:Q34" si="4">O6+P6</f>
        <v>0</v>
      </c>
    </row>
    <row r="7" spans="2:17" ht="22.5" customHeight="1" x14ac:dyDescent="0.35">
      <c r="B7" s="207" t="str">
        <f>SGA!B8</f>
        <v>賞与</v>
      </c>
      <c r="C7" s="268">
        <f>SGA!C8</f>
        <v>3549000</v>
      </c>
      <c r="D7" s="234"/>
      <c r="E7" s="263">
        <f t="shared" si="0"/>
        <v>3549000</v>
      </c>
      <c r="F7" s="248">
        <f>SGA!E8</f>
        <v>3405000</v>
      </c>
      <c r="G7" s="234"/>
      <c r="H7" s="263">
        <f t="shared" si="1"/>
        <v>3405000</v>
      </c>
      <c r="I7" s="248">
        <f>SGA!G8</f>
        <v>3197000</v>
      </c>
      <c r="J7" s="234"/>
      <c r="K7" s="263">
        <f t="shared" si="2"/>
        <v>3197000</v>
      </c>
      <c r="L7" s="248">
        <f>SGA!I8</f>
        <v>0</v>
      </c>
      <c r="M7" s="234"/>
      <c r="N7" s="263">
        <f t="shared" si="3"/>
        <v>0</v>
      </c>
      <c r="O7" s="248">
        <f>SGA!K8</f>
        <v>0</v>
      </c>
      <c r="P7" s="234"/>
      <c r="Q7" s="263">
        <f t="shared" si="4"/>
        <v>0</v>
      </c>
    </row>
    <row r="8" spans="2:17" ht="22.5" customHeight="1" x14ac:dyDescent="0.35">
      <c r="B8" s="207" t="str">
        <f>SGA!B9</f>
        <v>退職金</v>
      </c>
      <c r="C8" s="268">
        <f>SGA!C9</f>
        <v>370000</v>
      </c>
      <c r="D8" s="234">
        <f>-C8</f>
      </c>
      <c r="E8" s="263">
        <f t="shared" si="0"/>
        <v>370000</v>
      </c>
      <c r="F8" s="248">
        <f>SGA!E9</f>
        <v>0</v>
      </c>
      <c r="G8" s="234"/>
      <c r="H8" s="263">
        <f t="shared" si="1"/>
        <v>0</v>
      </c>
      <c r="I8" s="248">
        <f>SGA!G9</f>
        <v>0</v>
      </c>
      <c r="J8" s="234"/>
      <c r="K8" s="263">
        <f t="shared" si="2"/>
        <v>0</v>
      </c>
      <c r="L8" s="248">
        <f>SGA!I9</f>
        <v>0</v>
      </c>
      <c r="M8" s="234"/>
      <c r="N8" s="263">
        <f t="shared" si="3"/>
        <v>0</v>
      </c>
      <c r="O8" s="248">
        <f>SGA!K9</f>
        <v>0</v>
      </c>
      <c r="P8" s="234"/>
      <c r="Q8" s="263">
        <f t="shared" si="4"/>
        <v>0</v>
      </c>
    </row>
    <row r="9" spans="2:17" ht="22.5" customHeight="1" x14ac:dyDescent="0.35">
      <c r="B9" s="207" t="str">
        <f>SGA!B10</f>
        <v>法定福利費</v>
      </c>
      <c r="C9" s="268">
        <f>SGA!C10</f>
        <v>11424051</v>
      </c>
      <c r="D9" s="234"/>
      <c r="E9" s="263">
        <f t="shared" si="0"/>
        <v>11424051</v>
      </c>
      <c r="F9" s="248">
        <f>SGA!E10</f>
        <v>12207732</v>
      </c>
      <c r="G9" s="234"/>
      <c r="H9" s="263">
        <f t="shared" si="1"/>
        <v>12207732</v>
      </c>
      <c r="I9" s="248">
        <f>SGA!G10</f>
        <v>10842135</v>
      </c>
      <c r="J9" s="234"/>
      <c r="K9" s="263">
        <f t="shared" si="2"/>
        <v>10842135</v>
      </c>
      <c r="L9" s="248">
        <f>SGA!I10</f>
        <v>0</v>
      </c>
      <c r="M9" s="234"/>
      <c r="N9" s="263">
        <f t="shared" si="3"/>
        <v>0</v>
      </c>
      <c r="O9" s="248">
        <f>SGA!K10</f>
        <v>0</v>
      </c>
      <c r="P9" s="234"/>
      <c r="Q9" s="263">
        <f t="shared" si="4"/>
        <v>0</v>
      </c>
    </row>
    <row r="10" spans="2:17" ht="22.5" customHeight="1" x14ac:dyDescent="0.35">
      <c r="B10" s="207" t="str">
        <f>SGA!B11</f>
        <v>福利厚生費</v>
      </c>
      <c r="C10" s="268">
        <f>SGA!C11</f>
        <v>1851569</v>
      </c>
      <c r="D10" s="234"/>
      <c r="E10" s="263">
        <f t="shared" ref="E10:E37" si="5">C10+D10</f>
        <v>1851569</v>
      </c>
      <c r="F10" s="248">
        <f>SGA!E11</f>
        <v>2218165</v>
      </c>
      <c r="G10" s="234"/>
      <c r="H10" s="263">
        <f t="shared" si="1"/>
        <v>2218165</v>
      </c>
      <c r="I10" s="248">
        <f>SGA!G11</f>
        <v>2913601</v>
      </c>
      <c r="J10" s="234"/>
      <c r="K10" s="263">
        <f t="shared" si="2"/>
        <v>2913601</v>
      </c>
      <c r="L10" s="248">
        <f>SGA!I11</f>
        <v>0</v>
      </c>
      <c r="M10" s="234"/>
      <c r="N10" s="263">
        <f t="shared" si="3"/>
        <v>0</v>
      </c>
      <c r="O10" s="248">
        <f>SGA!K11</f>
        <v>0</v>
      </c>
      <c r="P10" s="234"/>
      <c r="Q10" s="263">
        <f t="shared" si="4"/>
        <v>0</v>
      </c>
    </row>
    <row r="11" spans="2:17" ht="22.5" customHeight="1" x14ac:dyDescent="0.35">
      <c r="B11" s="207" t="str">
        <f>SGA!B12</f>
        <v>採用教育費</v>
      </c>
      <c r="C11" s="268">
        <f>SGA!C12</f>
        <v>291360</v>
      </c>
      <c r="D11" s="234"/>
      <c r="E11" s="263">
        <f t="shared" si="5"/>
        <v>291360</v>
      </c>
      <c r="F11" s="248">
        <f>SGA!E12</f>
        <v>184800</v>
      </c>
      <c r="G11" s="234"/>
      <c r="H11" s="263">
        <f t="shared" si="1"/>
        <v>184800</v>
      </c>
      <c r="I11" s="248">
        <f>SGA!G12</f>
        <v>88700</v>
      </c>
      <c r="J11" s="234"/>
      <c r="K11" s="263">
        <f t="shared" si="2"/>
        <v>88700</v>
      </c>
      <c r="L11" s="248">
        <f>SGA!I12</f>
        <v>0</v>
      </c>
      <c r="M11" s="234"/>
      <c r="N11" s="263">
        <f t="shared" si="3"/>
        <v>0</v>
      </c>
      <c r="O11" s="248">
        <f>SGA!K12</f>
        <v>0</v>
      </c>
      <c r="P11" s="234"/>
      <c r="Q11" s="263">
        <f t="shared" si="4"/>
        <v>0</v>
      </c>
    </row>
    <row r="12" spans="2:17" ht="22.5" customHeight="1" x14ac:dyDescent="0.35">
      <c r="B12" s="207" t="str">
        <f>SGA!B13</f>
        <v>広告宣伝費</v>
      </c>
      <c r="C12" s="268">
        <f>SGA!C13</f>
        <v>1200593</v>
      </c>
      <c r="D12" s="234"/>
      <c r="E12" s="263">
        <f t="shared" si="5"/>
        <v>1200593</v>
      </c>
      <c r="F12" s="248">
        <f>SGA!E13</f>
        <v>1208388</v>
      </c>
      <c r="G12" s="234"/>
      <c r="H12" s="263">
        <f t="shared" si="1"/>
        <v>1208388</v>
      </c>
      <c r="I12" s="248">
        <f>SGA!G13</f>
        <v>1053123</v>
      </c>
      <c r="J12" s="234"/>
      <c r="K12" s="263">
        <f t="shared" si="2"/>
        <v>1053123</v>
      </c>
      <c r="L12" s="248">
        <f>SGA!I13</f>
        <v>0</v>
      </c>
      <c r="M12" s="234"/>
      <c r="N12" s="263">
        <f t="shared" si="3"/>
        <v>0</v>
      </c>
      <c r="O12" s="248">
        <f>SGA!K13</f>
        <v>0</v>
      </c>
      <c r="P12" s="234"/>
      <c r="Q12" s="263">
        <f t="shared" si="4"/>
        <v>0</v>
      </c>
    </row>
    <row r="13" spans="2:17" ht="22.5" customHeight="1" x14ac:dyDescent="0.35">
      <c r="B13" s="207" t="str">
        <f>SGA!B14</f>
        <v>接待交際費</v>
      </c>
      <c r="C13" s="268">
        <f>SGA!C14</f>
        <v>547960</v>
      </c>
      <c r="D13" s="234"/>
      <c r="E13" s="263">
        <f t="shared" si="5"/>
        <v>547960</v>
      </c>
      <c r="F13" s="248">
        <f>SGA!E14</f>
        <v>180010</v>
      </c>
      <c r="G13" s="234"/>
      <c r="H13" s="263">
        <f t="shared" si="1"/>
        <v>180010</v>
      </c>
      <c r="I13" s="248">
        <f>SGA!G14</f>
        <v>86721</v>
      </c>
      <c r="J13" s="234"/>
      <c r="K13" s="263">
        <f t="shared" si="2"/>
        <v>86721</v>
      </c>
      <c r="L13" s="248">
        <f>SGA!I14</f>
        <v>0</v>
      </c>
      <c r="M13" s="234"/>
      <c r="N13" s="263">
        <f t="shared" si="3"/>
        <v>0</v>
      </c>
      <c r="O13" s="248">
        <f>SGA!K14</f>
        <v>0</v>
      </c>
      <c r="P13" s="234"/>
      <c r="Q13" s="263">
        <f t="shared" si="4"/>
        <v>0</v>
      </c>
    </row>
    <row r="14" spans="2:17" ht="22.5" customHeight="1" x14ac:dyDescent="0.35">
      <c r="B14" s="207" t="str">
        <f>SGA!B15</f>
        <v>会議費</v>
      </c>
      <c r="C14" s="268">
        <f>SGA!C15</f>
        <v>272805</v>
      </c>
      <c r="D14" s="234"/>
      <c r="E14" s="263">
        <f t="shared" si="5"/>
        <v>272805</v>
      </c>
      <c r="F14" s="248">
        <f>SGA!E15</f>
        <v>366979</v>
      </c>
      <c r="G14" s="234"/>
      <c r="H14" s="263">
        <f t="shared" si="1"/>
        <v>366979</v>
      </c>
      <c r="I14" s="248">
        <f>SGA!G15</f>
        <v>459575</v>
      </c>
      <c r="J14" s="234"/>
      <c r="K14" s="263">
        <f t="shared" si="2"/>
        <v>459575</v>
      </c>
      <c r="L14" s="248">
        <f>SGA!I15</f>
        <v>0</v>
      </c>
      <c r="M14" s="234"/>
      <c r="N14" s="263">
        <f t="shared" si="3"/>
        <v>0</v>
      </c>
      <c r="O14" s="248">
        <f>SGA!K15</f>
        <v>0</v>
      </c>
      <c r="P14" s="234"/>
      <c r="Q14" s="263">
        <f t="shared" si="4"/>
        <v>0</v>
      </c>
    </row>
    <row r="15" spans="2:17" ht="22.5" customHeight="1" x14ac:dyDescent="0.35">
      <c r="B15" s="207" t="str">
        <f>SGA!B16</f>
        <v>旅費交通費</v>
      </c>
      <c r="C15" s="268">
        <f>SGA!C16</f>
        <v>2801560</v>
      </c>
      <c r="D15" s="234"/>
      <c r="E15" s="263">
        <f t="shared" si="5"/>
        <v>2801560</v>
      </c>
      <c r="F15" s="248">
        <f>SGA!E16</f>
        <v>2701132</v>
      </c>
      <c r="G15" s="234"/>
      <c r="H15" s="263">
        <f t="shared" si="1"/>
        <v>2701132</v>
      </c>
      <c r="I15" s="248">
        <f>SGA!G16</f>
        <v>2770899</v>
      </c>
      <c r="J15" s="234"/>
      <c r="K15" s="263">
        <f t="shared" si="2"/>
        <v>2770899</v>
      </c>
      <c r="L15" s="248">
        <f>SGA!I16</f>
        <v>0</v>
      </c>
      <c r="M15" s="234"/>
      <c r="N15" s="263">
        <f t="shared" si="3"/>
        <v>0</v>
      </c>
      <c r="O15" s="248">
        <f>SGA!K16</f>
        <v>0</v>
      </c>
      <c r="P15" s="234"/>
      <c r="Q15" s="263">
        <f t="shared" si="4"/>
        <v>0</v>
      </c>
    </row>
    <row r="16" spans="2:17" ht="22.5" customHeight="1" x14ac:dyDescent="0.35">
      <c r="B16" s="207" t="str">
        <f>SGA!B17</f>
        <v>通信費</v>
      </c>
      <c r="C16" s="268">
        <f>SGA!C17</f>
        <v>1043002</v>
      </c>
      <c r="D16" s="234"/>
      <c r="E16" s="263">
        <f t="shared" si="5"/>
        <v>1043002</v>
      </c>
      <c r="F16" s="248">
        <f>SGA!E17</f>
        <v>1254118</v>
      </c>
      <c r="G16" s="234"/>
      <c r="H16" s="263">
        <f t="shared" si="1"/>
        <v>1254118</v>
      </c>
      <c r="I16" s="248">
        <f>SGA!G17</f>
        <v>1367473</v>
      </c>
      <c r="J16" s="234"/>
      <c r="K16" s="263">
        <f t="shared" si="2"/>
        <v>1367473</v>
      </c>
      <c r="L16" s="248">
        <f>SGA!I17</f>
        <v>0</v>
      </c>
      <c r="M16" s="234"/>
      <c r="N16" s="263">
        <f t="shared" si="3"/>
        <v>0</v>
      </c>
      <c r="O16" s="248">
        <f>SGA!K17</f>
        <v>0</v>
      </c>
      <c r="P16" s="234"/>
      <c r="Q16" s="263">
        <f t="shared" si="4"/>
        <v>0</v>
      </c>
    </row>
    <row r="17" spans="2:17" ht="22.5" customHeight="1" x14ac:dyDescent="0.35">
      <c r="B17" s="207" t="str">
        <f>SGA!B18</f>
        <v>消耗品費</v>
      </c>
      <c r="C17" s="268">
        <f>SGA!C18</f>
        <v>2345684</v>
      </c>
      <c r="D17" s="234"/>
      <c r="E17" s="263">
        <f t="shared" si="5"/>
        <v>2345684</v>
      </c>
      <c r="F17" s="248">
        <f>SGA!E18</f>
        <v>4467693</v>
      </c>
      <c r="G17" s="234"/>
      <c r="H17" s="263">
        <f t="shared" si="1"/>
        <v>4467693</v>
      </c>
      <c r="I17" s="248">
        <f>SGA!G18</f>
        <v>3124510</v>
      </c>
      <c r="J17" s="234"/>
      <c r="K17" s="263">
        <f t="shared" si="2"/>
        <v>3124510</v>
      </c>
      <c r="L17" s="248">
        <f>SGA!I18</f>
        <v>0</v>
      </c>
      <c r="M17" s="234"/>
      <c r="N17" s="263">
        <f t="shared" si="3"/>
        <v>0</v>
      </c>
      <c r="O17" s="248">
        <f>SGA!K18</f>
        <v>0</v>
      </c>
      <c r="P17" s="234"/>
      <c r="Q17" s="263">
        <f t="shared" si="4"/>
        <v>0</v>
      </c>
    </row>
    <row r="18" spans="2:17" ht="22.5" customHeight="1" x14ac:dyDescent="0.35">
      <c r="B18" s="207" t="str">
        <f>SGA!B19</f>
        <v>事務用消耗品費</v>
      </c>
      <c r="C18" s="268">
        <f>SGA!C19</f>
        <v>1991419</v>
      </c>
      <c r="D18" s="234"/>
      <c r="E18" s="263">
        <f t="shared" si="5"/>
        <v>1991419</v>
      </c>
      <c r="F18" s="248">
        <f>SGA!E19</f>
        <v>1929685</v>
      </c>
      <c r="G18" s="234"/>
      <c r="H18" s="263">
        <f t="shared" si="1"/>
        <v>1929685</v>
      </c>
      <c r="I18" s="248">
        <f>SGA!G19</f>
        <v>1771435</v>
      </c>
      <c r="J18" s="234"/>
      <c r="K18" s="263">
        <f t="shared" si="2"/>
        <v>1771435</v>
      </c>
      <c r="L18" s="248">
        <f>SGA!I19</f>
        <v>0</v>
      </c>
      <c r="M18" s="234"/>
      <c r="N18" s="263">
        <f t="shared" si="3"/>
        <v>0</v>
      </c>
      <c r="O18" s="248">
        <f>SGA!K19</f>
        <v>0</v>
      </c>
      <c r="P18" s="234"/>
      <c r="Q18" s="263">
        <f t="shared" si="4"/>
        <v>0</v>
      </c>
    </row>
    <row r="19" spans="2:17" ht="22.5" customHeight="1" x14ac:dyDescent="0.35">
      <c r="B19" s="207" t="str">
        <f>SGA!B20</f>
        <v>修繕費</v>
      </c>
      <c r="C19" s="268">
        <f>SGA!C20</f>
        <v>805390</v>
      </c>
      <c r="D19" s="234"/>
      <c r="E19" s="263">
        <f t="shared" si="5"/>
        <v>805390</v>
      </c>
      <c r="F19" s="248">
        <f>SGA!E20</f>
        <v>926390</v>
      </c>
      <c r="G19" s="234"/>
      <c r="H19" s="263">
        <f t="shared" si="1"/>
        <v>926390</v>
      </c>
      <c r="I19" s="248">
        <f>SGA!G20</f>
        <v>532686</v>
      </c>
      <c r="J19" s="234"/>
      <c r="K19" s="263">
        <f t="shared" si="2"/>
        <v>532686</v>
      </c>
      <c r="L19" s="248">
        <f>SGA!I20</f>
        <v>0</v>
      </c>
      <c r="M19" s="234"/>
      <c r="N19" s="263">
        <f t="shared" si="3"/>
        <v>0</v>
      </c>
      <c r="O19" s="248">
        <f>SGA!K20</f>
        <v>0</v>
      </c>
      <c r="P19" s="234"/>
      <c r="Q19" s="263">
        <f t="shared" si="4"/>
        <v>0</v>
      </c>
    </row>
    <row r="20" spans="2:17" ht="22.5" customHeight="1" x14ac:dyDescent="0.35">
      <c r="B20" s="207" t="str">
        <f>SGA!B21</f>
        <v>水道光熱費</v>
      </c>
      <c r="C20" s="268">
        <f>SGA!C21</f>
        <v>1033592</v>
      </c>
      <c r="D20" s="234"/>
      <c r="E20" s="263">
        <f t="shared" si="5"/>
        <v>1033592</v>
      </c>
      <c r="F20" s="248">
        <f>SGA!E21</f>
        <v>1113959</v>
      </c>
      <c r="G20" s="234"/>
      <c r="H20" s="263">
        <f t="shared" si="1"/>
        <v>1113959</v>
      </c>
      <c r="I20" s="248">
        <f>SGA!G21</f>
        <v>1037468</v>
      </c>
      <c r="J20" s="234"/>
      <c r="K20" s="263">
        <f t="shared" si="2"/>
        <v>1037468</v>
      </c>
      <c r="L20" s="248">
        <f>SGA!I21</f>
        <v>0</v>
      </c>
      <c r="M20" s="234"/>
      <c r="N20" s="263">
        <f t="shared" si="3"/>
        <v>0</v>
      </c>
      <c r="O20" s="248">
        <f>SGA!K21</f>
        <v>0</v>
      </c>
      <c r="P20" s="234"/>
      <c r="Q20" s="263">
        <f t="shared" si="4"/>
        <v>0</v>
      </c>
    </row>
    <row r="21" spans="2:17" ht="22.5" customHeight="1" x14ac:dyDescent="0.35">
      <c r="B21" s="207" t="str">
        <f>SGA!B22</f>
        <v>新聞図書費</v>
      </c>
      <c r="C21" s="268">
        <f>SGA!C22</f>
        <v>125589</v>
      </c>
      <c r="D21" s="234"/>
      <c r="E21" s="263">
        <f t="shared" si="5"/>
        <v>125589</v>
      </c>
      <c r="F21" s="248">
        <f>SGA!E22</f>
        <v>140970</v>
      </c>
      <c r="G21" s="234"/>
      <c r="H21" s="263">
        <f t="shared" si="1"/>
        <v>140970</v>
      </c>
      <c r="I21" s="248">
        <f>SGA!G22</f>
        <v>170827</v>
      </c>
      <c r="J21" s="234"/>
      <c r="K21" s="263">
        <f t="shared" si="2"/>
        <v>170827</v>
      </c>
      <c r="L21" s="248">
        <f>SGA!I22</f>
        <v>0</v>
      </c>
      <c r="M21" s="234"/>
      <c r="N21" s="263">
        <f t="shared" si="3"/>
        <v>0</v>
      </c>
      <c r="O21" s="248">
        <f>SGA!K22</f>
        <v>0</v>
      </c>
      <c r="P21" s="234"/>
      <c r="Q21" s="263">
        <f t="shared" si="4"/>
        <v>0</v>
      </c>
    </row>
    <row r="22" spans="2:17" ht="22.5" customHeight="1" x14ac:dyDescent="0.35">
      <c r="B22" s="207" t="str">
        <f>SGA!B23</f>
        <v>諸会費</v>
      </c>
      <c r="C22" s="268">
        <f>SGA!C23</f>
        <v>562500</v>
      </c>
      <c r="D22" s="234"/>
      <c r="E22" s="263">
        <f t="shared" si="5"/>
        <v>562500</v>
      </c>
      <c r="F22" s="248">
        <f>SGA!E23</f>
        <v>687001</v>
      </c>
      <c r="G22" s="234"/>
      <c r="H22" s="263">
        <f t="shared" si="1"/>
        <v>687001</v>
      </c>
      <c r="I22" s="248">
        <f>SGA!G23</f>
        <v>571330</v>
      </c>
      <c r="J22" s="234"/>
      <c r="K22" s="263">
        <f t="shared" si="2"/>
        <v>571330</v>
      </c>
      <c r="L22" s="248">
        <f>SGA!I23</f>
        <v>0</v>
      </c>
      <c r="M22" s="234"/>
      <c r="N22" s="263">
        <f t="shared" si="3"/>
        <v>0</v>
      </c>
      <c r="O22" s="248">
        <f>SGA!K23</f>
        <v>0</v>
      </c>
      <c r="P22" s="234"/>
      <c r="Q22" s="263">
        <f t="shared" si="4"/>
        <v>0</v>
      </c>
    </row>
    <row r="23" spans="2:17" ht="22.5" customHeight="1" x14ac:dyDescent="0.35">
      <c r="B23" s="207" t="str">
        <f>SGA!B24</f>
        <v>支払手数料</v>
      </c>
      <c r="C23" s="268">
        <f>SGA!C24</f>
        <v>9571976</v>
      </c>
      <c r="D23" s="234"/>
      <c r="E23" s="263">
        <f t="shared" si="5"/>
        <v>9571976</v>
      </c>
      <c r="F23" s="248">
        <f>SGA!E24</f>
        <v>6925601</v>
      </c>
      <c r="G23" s="234"/>
      <c r="H23" s="263">
        <f t="shared" si="1"/>
        <v>6925601</v>
      </c>
      <c r="I23" s="248">
        <f>SGA!G24</f>
        <v>9654287</v>
      </c>
      <c r="J23" s="234"/>
      <c r="K23" s="263">
        <f t="shared" si="2"/>
        <v>9654287</v>
      </c>
      <c r="L23" s="248">
        <f>SGA!I24</f>
        <v>0</v>
      </c>
      <c r="M23" s="234"/>
      <c r="N23" s="263">
        <f t="shared" si="3"/>
        <v>0</v>
      </c>
      <c r="O23" s="248">
        <f>SGA!K24</f>
        <v>0</v>
      </c>
      <c r="P23" s="234"/>
      <c r="Q23" s="263">
        <f t="shared" si="4"/>
        <v>0</v>
      </c>
    </row>
    <row r="24" spans="2:17" ht="22.5" customHeight="1" x14ac:dyDescent="0.35">
      <c r="B24" s="207" t="str">
        <f>SGA!B25</f>
        <v>地代家賃</v>
      </c>
      <c r="C24" s="268">
        <f>SGA!C25</f>
        <v>16889664</v>
      </c>
      <c r="D24" s="234"/>
      <c r="E24" s="263">
        <f t="shared" si="5"/>
        <v>16889664</v>
      </c>
      <c r="F24" s="248">
        <f>SGA!E25</f>
        <v>17046964</v>
      </c>
      <c r="G24" s="234"/>
      <c r="H24" s="263">
        <f t="shared" si="1"/>
        <v>17046964</v>
      </c>
      <c r="I24" s="248">
        <f>SGA!G25</f>
        <v>17105264</v>
      </c>
      <c r="J24" s="234"/>
      <c r="K24" s="263">
        <f t="shared" si="2"/>
        <v>17105264</v>
      </c>
      <c r="L24" s="248">
        <f>SGA!I25</f>
        <v>0</v>
      </c>
      <c r="M24" s="234"/>
      <c r="N24" s="263">
        <f t="shared" si="3"/>
        <v>0</v>
      </c>
      <c r="O24" s="248">
        <f>SGA!K25</f>
        <v>0</v>
      </c>
      <c r="P24" s="234"/>
      <c r="Q24" s="263">
        <f t="shared" si="4"/>
        <v>0</v>
      </c>
    </row>
    <row r="25" spans="2:17" ht="22.5" customHeight="1" x14ac:dyDescent="0.35">
      <c r="B25" s="207" t="str">
        <f>SGA!B26</f>
        <v>賃借料</v>
      </c>
      <c r="C25" s="268">
        <f>SGA!C26</f>
        <v>109263</v>
      </c>
      <c r="D25" s="234"/>
      <c r="E25" s="263">
        <f t="shared" si="5"/>
        <v>109263</v>
      </c>
      <c r="F25" s="248">
        <f>SGA!E26</f>
        <v>109263</v>
      </c>
      <c r="G25" s="234"/>
      <c r="H25" s="263">
        <f t="shared" si="1"/>
        <v>109263</v>
      </c>
      <c r="I25" s="248">
        <f>SGA!G26</f>
        <v>111925</v>
      </c>
      <c r="J25" s="234"/>
      <c r="K25" s="263">
        <f t="shared" si="2"/>
        <v>111925</v>
      </c>
      <c r="L25" s="248">
        <f>SGA!I26</f>
        <v>0</v>
      </c>
      <c r="M25" s="234"/>
      <c r="N25" s="263">
        <f t="shared" si="3"/>
        <v>0</v>
      </c>
      <c r="O25" s="248">
        <f>SGA!K26</f>
        <v>0</v>
      </c>
      <c r="P25" s="234"/>
      <c r="Q25" s="263">
        <f t="shared" si="4"/>
        <v>0</v>
      </c>
    </row>
    <row r="26" spans="2:17" ht="22.5" customHeight="1" x14ac:dyDescent="0.35">
      <c r="B26" s="207" t="str">
        <f>SGA!B27</f>
        <v>保険料</v>
      </c>
      <c r="C26" s="268">
        <f>SGA!C27</f>
        <v>1353440</v>
      </c>
      <c r="D26" s="234"/>
      <c r="E26" s="263">
        <f t="shared" si="5"/>
        <v>1353440</v>
      </c>
      <c r="F26" s="248">
        <f>SGA!E27</f>
        <v>2474330</v>
      </c>
      <c r="G26" s="234"/>
      <c r="H26" s="263">
        <f t="shared" si="1"/>
        <v>2474330</v>
      </c>
      <c r="I26" s="248">
        <f>SGA!G27</f>
        <v>1603450</v>
      </c>
      <c r="J26" s="234"/>
      <c r="K26" s="263">
        <f t="shared" si="2"/>
        <v>1603450</v>
      </c>
      <c r="L26" s="248">
        <f>SGA!I27</f>
        <v>0</v>
      </c>
      <c r="M26" s="234"/>
      <c r="N26" s="263">
        <f t="shared" si="3"/>
        <v>0</v>
      </c>
      <c r="O26" s="248">
        <f>SGA!K27</f>
        <v>0</v>
      </c>
      <c r="P26" s="234"/>
      <c r="Q26" s="263">
        <f t="shared" si="4"/>
        <v>0</v>
      </c>
    </row>
    <row r="27" spans="2:17" ht="22.5" customHeight="1" x14ac:dyDescent="0.35">
      <c r="B27" s="207" t="str">
        <f>SGA!B28</f>
        <v>租税公課</v>
      </c>
      <c r="C27" s="268">
        <f>SGA!C28</f>
        <v>145500</v>
      </c>
      <c r="D27" s="234"/>
      <c r="E27" s="263">
        <f t="shared" si="5"/>
        <v>145500</v>
      </c>
      <c r="F27" s="248">
        <f>SGA!E28</f>
        <v>145678</v>
      </c>
      <c r="G27" s="234"/>
      <c r="H27" s="263">
        <f t="shared" si="1"/>
        <v>145678</v>
      </c>
      <c r="I27" s="248">
        <f>SGA!G28</f>
        <v>145622</v>
      </c>
      <c r="J27" s="234"/>
      <c r="K27" s="263">
        <f t="shared" si="2"/>
        <v>145622</v>
      </c>
      <c r="L27" s="248">
        <f>SGA!I28</f>
        <v>0</v>
      </c>
      <c r="M27" s="234"/>
      <c r="N27" s="263">
        <f t="shared" si="3"/>
        <v>0</v>
      </c>
      <c r="O27" s="248">
        <f>SGA!K28</f>
        <v>0</v>
      </c>
      <c r="P27" s="234"/>
      <c r="Q27" s="263">
        <f t="shared" si="4"/>
        <v>0</v>
      </c>
    </row>
    <row r="28" spans="2:17" ht="22.5" customHeight="1" x14ac:dyDescent="0.35">
      <c r="B28" s="207" t="str">
        <f>SGA!B29</f>
        <v>減価償却費</v>
      </c>
      <c r="C28" s="268">
        <f>SGA!C29</f>
        <v>5076378</v>
      </c>
      <c r="D28" s="234"/>
      <c r="E28" s="263">
        <f t="shared" si="5"/>
        <v>5076378</v>
      </c>
      <c r="F28" s="248">
        <f>SGA!E29</f>
        <v>5742515</v>
      </c>
      <c r="G28" s="234"/>
      <c r="H28" s="263">
        <f t="shared" si="1"/>
        <v>5742515</v>
      </c>
      <c r="I28" s="248">
        <f>SGA!G29</f>
        <v>4523044</v>
      </c>
      <c r="J28" s="234"/>
      <c r="K28" s="263">
        <f t="shared" si="2"/>
        <v>4523044</v>
      </c>
      <c r="L28" s="248">
        <f>SGA!I29</f>
        <v>0</v>
      </c>
      <c r="M28" s="234"/>
      <c r="N28" s="263">
        <f t="shared" si="3"/>
        <v>0</v>
      </c>
      <c r="O28" s="248">
        <f>SGA!K29</f>
        <v>0</v>
      </c>
      <c r="P28" s="234"/>
      <c r="Q28" s="263">
        <f t="shared" si="4"/>
        <v>0</v>
      </c>
    </row>
    <row r="29" spans="2:17" ht="22.5" customHeight="1" x14ac:dyDescent="0.35">
      <c r="B29" s="207" t="str">
        <f>SGA!B30</f>
        <v>長期前払費用償却</v>
      </c>
      <c r="C29" s="268">
        <f>SGA!C30</f>
        <v>571543</v>
      </c>
      <c r="D29" s="234"/>
      <c r="E29" s="263">
        <f t="shared" si="5"/>
        <v>571543</v>
      </c>
      <c r="F29" s="248">
        <f>SGA!E30</f>
        <v>578416</v>
      </c>
      <c r="G29" s="234"/>
      <c r="H29" s="263">
        <f t="shared" si="1"/>
        <v>578416</v>
      </c>
      <c r="I29" s="248">
        <f>SGA!G30</f>
        <v>579928</v>
      </c>
      <c r="J29" s="234"/>
      <c r="K29" s="263">
        <f t="shared" si="2"/>
        <v>579928</v>
      </c>
      <c r="L29" s="248">
        <f>SGA!I30</f>
        <v>0</v>
      </c>
      <c r="M29" s="234"/>
      <c r="N29" s="263">
        <f t="shared" si="3"/>
        <v>0</v>
      </c>
      <c r="O29" s="248">
        <f>SGA!K30</f>
        <v>0</v>
      </c>
      <c r="P29" s="234"/>
      <c r="Q29" s="263">
        <f t="shared" si="4"/>
        <v>0</v>
      </c>
    </row>
    <row r="30" spans="2:17" ht="22.5" customHeight="1" x14ac:dyDescent="0.35">
      <c r="B30" s="207" t="str">
        <f>SGA!B31</f>
        <v>貸倒引当金繰入額</v>
      </c>
      <c r="C30" s="268">
        <f>SGA!C31</f>
        <v>457000</v>
      </c>
      <c r="D30" s="234">
        <f>-C30</f>
      </c>
      <c r="E30" s="263">
        <f t="shared" si="5"/>
        <v>457000</v>
      </c>
      <c r="F30" s="248">
        <f>SGA!E31</f>
        <v>498000</v>
      </c>
      <c r="G30" s="234">
        <f>-F30</f>
      </c>
      <c r="H30" s="263">
        <f t="shared" si="1"/>
        <v>498000</v>
      </c>
      <c r="I30" s="248">
        <f>SGA!G31</f>
        <v>524000</v>
      </c>
      <c r="J30" s="234">
        <f>-I30</f>
      </c>
      <c r="K30" s="263">
        <f t="shared" si="2"/>
        <v>524000</v>
      </c>
      <c r="L30" s="248">
        <f>SGA!I31</f>
        <v>0</v>
      </c>
      <c r="M30" s="234"/>
      <c r="N30" s="263">
        <f t="shared" si="3"/>
        <v>0</v>
      </c>
      <c r="O30" s="248">
        <f>SGA!K31</f>
        <v>0</v>
      </c>
      <c r="P30" s="234"/>
      <c r="Q30" s="263">
        <f t="shared" si="4"/>
        <v>0</v>
      </c>
    </row>
    <row r="31" spans="2:17" ht="22.5" customHeight="1" x14ac:dyDescent="0.35">
      <c r="B31" s="207" t="str">
        <f>SGA!B32</f>
        <v>雑費</v>
      </c>
      <c r="C31" s="268">
        <f>SGA!C32</f>
        <v>227878</v>
      </c>
      <c r="D31" s="234"/>
      <c r="E31" s="263">
        <f t="shared" si="5"/>
        <v>227878</v>
      </c>
      <c r="F31" s="248">
        <f>SGA!E32</f>
        <v>290290</v>
      </c>
      <c r="G31" s="234"/>
      <c r="H31" s="263">
        <f t="shared" si="1"/>
        <v>290290</v>
      </c>
      <c r="I31" s="248">
        <f>SGA!G32</f>
        <v>435586</v>
      </c>
      <c r="J31" s="234"/>
      <c r="K31" s="263">
        <f t="shared" si="2"/>
        <v>435586</v>
      </c>
      <c r="L31" s="248">
        <f>SGA!I32</f>
        <v>0</v>
      </c>
      <c r="M31" s="234"/>
      <c r="N31" s="263">
        <f t="shared" si="3"/>
        <v>0</v>
      </c>
      <c r="O31" s="248">
        <f>SGA!K32</f>
        <v>0</v>
      </c>
      <c r="P31" s="234"/>
      <c r="Q31" s="263">
        <f t="shared" si="4"/>
        <v>0</v>
      </c>
    </row>
    <row r="32" spans="2:17" ht="22.5" customHeight="1" x14ac:dyDescent="0.35">
      <c r="B32" s="207" t="str">
        <f>SGA!B33</f>
        <v>派遣料</v>
      </c>
      <c r="C32" s="268">
        <f>SGA!C33</f>
        <v>2346637</v>
      </c>
      <c r="D32" s="234"/>
      <c r="E32" s="263">
        <f t="shared" si="5"/>
        <v>2346637</v>
      </c>
      <c r="F32" s="248">
        <f>SGA!E33</f>
        <v>1711213</v>
      </c>
      <c r="G32" s="234"/>
      <c r="H32" s="263">
        <f t="shared" si="1"/>
        <v>1711213</v>
      </c>
      <c r="I32" s="248">
        <f>SGA!G33</f>
        <v>2846031</v>
      </c>
      <c r="J32" s="234"/>
      <c r="K32" s="263">
        <f t="shared" si="2"/>
        <v>2846031</v>
      </c>
      <c r="L32" s="248">
        <f>SGA!I33</f>
        <v>0</v>
      </c>
      <c r="M32" s="234"/>
      <c r="N32" s="263">
        <f t="shared" si="3"/>
        <v>0</v>
      </c>
      <c r="O32" s="248">
        <f>SGA!K33</f>
        <v>0</v>
      </c>
      <c r="P32" s="234"/>
      <c r="Q32" s="263">
        <f t="shared" si="4"/>
        <v>0</v>
      </c>
    </row>
    <row r="33" spans="2:17" ht="22.5" customHeight="1" x14ac:dyDescent="0.35">
      <c r="B33" s="207" t="str">
        <f>SGA!B34</f>
        <v>管理諸費</v>
      </c>
      <c r="C33" s="268">
        <f>SGA!C34</f>
        <v>3649888</v>
      </c>
      <c r="D33" s="234"/>
      <c r="E33" s="263">
        <f t="shared" si="5"/>
        <v>3649888</v>
      </c>
      <c r="F33" s="248">
        <f>SGA!E34</f>
        <v>3432539</v>
      </c>
      <c r="G33" s="234"/>
      <c r="H33" s="263">
        <f t="shared" si="1"/>
        <v>3432539</v>
      </c>
      <c r="I33" s="248">
        <f>SGA!G34</f>
        <v>3705328</v>
      </c>
      <c r="J33" s="234"/>
      <c r="K33" s="263">
        <f t="shared" si="2"/>
        <v>3705328</v>
      </c>
      <c r="L33" s="248">
        <f>SGA!I34</f>
        <v>0</v>
      </c>
      <c r="M33" s="234"/>
      <c r="N33" s="263">
        <f t="shared" si="3"/>
        <v>0</v>
      </c>
      <c r="O33" s="248">
        <f>SGA!K34</f>
        <v>0</v>
      </c>
      <c r="P33" s="234"/>
      <c r="Q33" s="263">
        <f t="shared" si="4"/>
        <v>0</v>
      </c>
    </row>
    <row r="34" spans="2:17" ht="22.5" customHeight="1" x14ac:dyDescent="0.35">
      <c r="B34" s="207">
        <f>SGA!B35</f>
        <v>0</v>
      </c>
      <c r="C34" s="268">
        <f>SGA!C35</f>
        <v>0</v>
      </c>
      <c r="D34" s="234"/>
      <c r="E34" s="263">
        <f t="shared" si="5"/>
        <v>0</v>
      </c>
      <c r="F34" s="248">
        <f>SGA!E35</f>
        <v>0</v>
      </c>
      <c r="G34" s="234"/>
      <c r="H34" s="263">
        <f t="shared" si="1"/>
        <v>0</v>
      </c>
      <c r="I34" s="248">
        <f>SGA!G35</f>
        <v>0</v>
      </c>
      <c r="J34" s="234"/>
      <c r="K34" s="263">
        <f t="shared" si="2"/>
        <v>0</v>
      </c>
      <c r="L34" s="248">
        <f>SGA!I35</f>
        <v>0</v>
      </c>
      <c r="M34" s="234"/>
      <c r="N34" s="263">
        <f t="shared" si="3"/>
        <v>0</v>
      </c>
      <c r="O34" s="248">
        <f>SGA!K35</f>
        <v>0</v>
      </c>
      <c r="P34" s="234"/>
      <c r="Q34" s="263">
        <f t="shared" si="4"/>
        <v>0</v>
      </c>
    </row>
    <row r="35" spans="2:17" ht="22.5" customHeight="1" x14ac:dyDescent="0.35">
      <c r="B35" s="207"/>
      <c r="C35" s="268"/>
      <c r="D35" s="234"/>
      <c r="E35" s="263">
        <f t="shared" si="5"/>
        <v>0</v>
      </c>
      <c r="F35" s="268"/>
      <c r="G35" s="234"/>
      <c r="H35" s="263">
        <f t="shared" si="1"/>
        <v>0</v>
      </c>
      <c r="I35" s="268"/>
      <c r="J35" s="234"/>
      <c r="K35" s="263">
        <f t="shared" ref="K35:K38" si="6">I35+J35</f>
        <v>0</v>
      </c>
      <c r="L35" s="268"/>
      <c r="M35" s="234"/>
      <c r="N35" s="263">
        <f t="shared" ref="N35:N38" si="7">L35+M35</f>
        <v>0</v>
      </c>
      <c r="O35" s="268"/>
      <c r="P35" s="234"/>
      <c r="Q35" s="263">
        <f t="shared" ref="Q35:Q38" si="8">O35+P35</f>
        <v>0</v>
      </c>
    </row>
    <row r="36" spans="2:17" ht="22.5" customHeight="1" x14ac:dyDescent="0.35">
      <c r="B36" s="207"/>
      <c r="C36" s="268"/>
      <c r="D36" s="234"/>
      <c r="E36" s="263">
        <f t="shared" si="5"/>
        <v>0</v>
      </c>
      <c r="F36" s="268"/>
      <c r="G36" s="234"/>
      <c r="H36" s="263">
        <f t="shared" si="1"/>
        <v>0</v>
      </c>
      <c r="I36" s="268"/>
      <c r="J36" s="234"/>
      <c r="K36" s="263">
        <f t="shared" si="6"/>
        <v>0</v>
      </c>
      <c r="L36" s="268"/>
      <c r="M36" s="234"/>
      <c r="N36" s="263">
        <f t="shared" si="7"/>
        <v>0</v>
      </c>
      <c r="O36" s="268"/>
      <c r="P36" s="234"/>
      <c r="Q36" s="263">
        <f t="shared" si="8"/>
        <v>0</v>
      </c>
    </row>
    <row r="37" spans="2:17" ht="22.5" customHeight="1" x14ac:dyDescent="0.35">
      <c r="B37" s="207"/>
      <c r="C37" s="268"/>
      <c r="D37" s="234"/>
      <c r="E37" s="263">
        <f t="shared" si="5"/>
        <v>0</v>
      </c>
      <c r="F37" s="268"/>
      <c r="G37" s="234"/>
      <c r="H37" s="263">
        <f t="shared" si="1"/>
        <v>0</v>
      </c>
      <c r="I37" s="268"/>
      <c r="J37" s="234"/>
      <c r="K37" s="263">
        <f t="shared" si="6"/>
        <v>0</v>
      </c>
      <c r="L37" s="268"/>
      <c r="M37" s="234"/>
      <c r="N37" s="263">
        <f t="shared" si="7"/>
        <v>0</v>
      </c>
      <c r="O37" s="268"/>
      <c r="P37" s="234"/>
      <c r="Q37" s="263">
        <f t="shared" si="8"/>
        <v>0</v>
      </c>
    </row>
    <row r="38" spans="2:17" ht="22.5" customHeight="1" x14ac:dyDescent="0.35">
      <c r="B38" s="207"/>
      <c r="C38" s="242"/>
      <c r="D38" s="235"/>
      <c r="E38" s="263">
        <f t="shared" si="0"/>
        <v>0</v>
      </c>
      <c r="F38" s="242"/>
      <c r="G38" s="235"/>
      <c r="H38" s="263">
        <f t="shared" si="1"/>
        <v>0</v>
      </c>
      <c r="I38" s="242"/>
      <c r="J38" s="235"/>
      <c r="K38" s="263">
        <f t="shared" si="6"/>
        <v>0</v>
      </c>
      <c r="L38" s="242"/>
      <c r="M38" s="235"/>
      <c r="N38" s="263">
        <f t="shared" si="7"/>
        <v>0</v>
      </c>
      <c r="O38" s="242"/>
      <c r="P38" s="235"/>
      <c r="Q38" s="263">
        <f t="shared" si="8"/>
        <v>0</v>
      </c>
    </row>
    <row r="39" spans="2:17" ht="22.5" customHeight="1" thickBot="1" x14ac:dyDescent="0.4">
      <c r="B39" s="218" t="s">
        <v>254</v>
      </c>
      <c r="C39" s="240">
        <f>SUM(C5:C38)</f>
        <v>145464229</v>
      </c>
      <c r="D39" s="240">
        <f>SUM(D5:D38)</f>
        <v>0</v>
      </c>
      <c r="E39" s="293">
        <f>C39+D39</f>
        <v>145464229</v>
      </c>
      <c r="F39" s="240">
        <f>SUM(F5:F38)</f>
        <v>154261272</v>
      </c>
      <c r="G39" s="240">
        <f>SUM(G5:G38)</f>
        <v>0</v>
      </c>
      <c r="H39" s="293">
        <f>F39+G39</f>
        <v>154261272</v>
      </c>
      <c r="I39" s="240">
        <f>SUM(I5:I38)</f>
        <v>147845764</v>
      </c>
      <c r="J39" s="240">
        <f>SUM(J5:J38)</f>
        <v>0</v>
      </c>
      <c r="K39" s="293">
        <f>I39+J39</f>
        <v>147845764</v>
      </c>
      <c r="L39" s="240">
        <f>SUM(L5:L38)</f>
        <v>0</v>
      </c>
      <c r="M39" s="240">
        <f>SUM(M5:M38)</f>
        <v>0</v>
      </c>
      <c r="N39" s="293">
        <f>L39+M39</f>
        <v>0</v>
      </c>
      <c r="O39" s="240">
        <f>SUM(O5:O38)</f>
        <v>0</v>
      </c>
      <c r="P39" s="240">
        <f>SUM(P5:P38)</f>
        <v>0</v>
      </c>
      <c r="Q39" s="293">
        <f>O39+P39</f>
        <v>0</v>
      </c>
    </row>
  </sheetData>
  <mergeCells count="1">
    <mergeCell ref="B3:B4"/>
  </mergeCells>
  <phoneticPr fontId="1"/>
  <pageMargins left="0.7" right="0.7" top="0.75" bottom="0.75" header="0.3" footer="0.3"/>
  <ignoredErrors>
    <ignoredError sqref="E39:Q39"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05B7-37FB-494F-BFCF-BDEDB57AC7C8}">
  <dimension ref="B2:Q44"/>
  <sheetViews>
    <sheetView showGridLines="0" topLeftCell="A2" zoomScale="63" zoomScaleNormal="100" workbookViewId="0">
      <pane ySplit="3" topLeftCell="A5" activePane="bottomLeft" state="frozen"/>
      <selection activeCell="B11" sqref="B11"/>
      <selection pane="bottomLeft" activeCell="A5" sqref="A5"/>
    </sheetView>
  </sheetViews>
  <sheetFormatPr defaultRowHeight="18" x14ac:dyDescent="0.35"/>
  <cols>
    <col min="2" max="2" width="28" style="184" bestFit="1" customWidth="1"/>
    <col min="3" max="17" width="15" customWidth="1"/>
  </cols>
  <sheetData>
    <row r="2" spans="2:17" ht="18.75" x14ac:dyDescent="0.35">
      <c r="B2"/>
      <c r="C2" s="177"/>
      <c r="F2" s="177"/>
      <c r="I2" s="177"/>
      <c r="K2" s="73" t="s">
        <v>66</v>
      </c>
      <c r="L2" s="177"/>
      <c r="O2" s="177"/>
    </row>
    <row r="3" spans="2:17" ht="20.25" thickBot="1" x14ac:dyDescent="0.4">
      <c r="B3" s="564" t="s">
        <v>208</v>
      </c>
      <c r="C3" s="195" t="str">
        <f>'BS(借方)'!C4</f>
        <v>23年12月期</v>
      </c>
      <c r="D3" s="176"/>
      <c r="E3" s="176"/>
      <c r="F3" s="195" t="str">
        <f>'BS(借方)'!D4</f>
        <v>24年12月期</v>
      </c>
      <c r="G3" s="176"/>
      <c r="H3" s="176"/>
      <c r="I3" s="195" t="str">
        <f>'BS(借方)'!E4</f>
        <v>25年12月期</v>
      </c>
      <c r="J3" s="176"/>
      <c r="K3" s="176"/>
      <c r="L3" s="195" t="str">
        <f>'BS(借方)'!F4</f>
        <v>●●年●月期</v>
      </c>
      <c r="M3" s="176"/>
      <c r="N3" s="176"/>
      <c r="O3" s="275" t="str">
        <f>'BS(借方)'!G4</f>
        <v>●●年●月
（●か月TB）</v>
      </c>
      <c r="P3" s="276"/>
      <c r="Q3" s="276"/>
    </row>
    <row r="4" spans="2:17" ht="19.5" x14ac:dyDescent="0.35">
      <c r="B4" s="566"/>
      <c r="C4" s="223" t="s">
        <v>226</v>
      </c>
      <c r="D4" s="282" t="s">
        <v>270</v>
      </c>
      <c r="E4" s="287" t="s">
        <v>502</v>
      </c>
      <c r="F4" s="223" t="s">
        <v>226</v>
      </c>
      <c r="G4" s="282" t="s">
        <v>270</v>
      </c>
      <c r="H4" s="287" t="s">
        <v>502</v>
      </c>
      <c r="I4" s="223" t="s">
        <v>226</v>
      </c>
      <c r="J4" s="282" t="s">
        <v>270</v>
      </c>
      <c r="K4" s="287" t="s">
        <v>502</v>
      </c>
      <c r="L4" s="223" t="s">
        <v>226</v>
      </c>
      <c r="M4" s="282" t="s">
        <v>270</v>
      </c>
      <c r="N4" s="287" t="s">
        <v>502</v>
      </c>
      <c r="O4" s="224" t="s">
        <v>226</v>
      </c>
      <c r="P4" s="278" t="s">
        <v>270</v>
      </c>
      <c r="Q4" s="287" t="s">
        <v>502</v>
      </c>
    </row>
    <row r="5" spans="2:17" ht="22.5" customHeight="1" x14ac:dyDescent="0.35">
      <c r="B5" s="222" t="s">
        <v>262</v>
      </c>
      <c r="C5" s="248">
        <v>500000</v>
      </c>
      <c r="D5" s="234">
        <v>-500000</v>
      </c>
      <c r="E5" s="263">
        <f>C5+D5</f>
        <v>0</v>
      </c>
      <c r="F5" s="248">
        <v>500000</v>
      </c>
      <c r="G5" s="234">
        <v>-500000</v>
      </c>
      <c r="H5" s="263">
        <f>F5+G5</f>
        <v>0</v>
      </c>
      <c r="I5" s="248">
        <v>500000</v>
      </c>
      <c r="J5" s="234">
        <v>-500000</v>
      </c>
      <c r="K5" s="263">
        <f>I5+J5</f>
        <v>0</v>
      </c>
      <c r="L5" s="248">
        <v>500000</v>
      </c>
      <c r="M5" s="234">
        <v>-500000</v>
      </c>
      <c r="N5" s="263">
        <f>L5+M5</f>
        <v>0</v>
      </c>
      <c r="O5" s="248">
        <v>500000</v>
      </c>
      <c r="P5" s="234">
        <v>-500000</v>
      </c>
      <c r="Q5" s="263">
        <f>O5+P5</f>
        <v>0</v>
      </c>
    </row>
    <row r="6" spans="2:17" ht="22.5" customHeight="1" x14ac:dyDescent="0.35">
      <c r="B6" s="207" t="s">
        <v>263</v>
      </c>
      <c r="C6" s="268"/>
      <c r="D6" s="234"/>
      <c r="E6" s="263">
        <f t="shared" ref="E6:E41" si="0">C6+D6</f>
        <v>0</v>
      </c>
      <c r="F6" s="268"/>
      <c r="G6" s="234"/>
      <c r="H6" s="263">
        <f t="shared" ref="H6:H41" si="1">F6+G6</f>
        <v>0</v>
      </c>
      <c r="I6" s="268"/>
      <c r="J6" s="234"/>
      <c r="K6" s="263">
        <f t="shared" ref="K6:K41" si="2">I6+J6</f>
        <v>0</v>
      </c>
      <c r="L6" s="268"/>
      <c r="M6" s="234"/>
      <c r="N6" s="263">
        <f t="shared" ref="N6:N41" si="3">L6+M6</f>
        <v>0</v>
      </c>
      <c r="O6" s="268"/>
      <c r="P6" s="234"/>
      <c r="Q6" s="263">
        <f t="shared" ref="Q6:Q41" si="4">O6+P6</f>
        <v>0</v>
      </c>
    </row>
    <row r="7" spans="2:17" ht="22.5" customHeight="1" x14ac:dyDescent="0.35">
      <c r="B7" s="207" t="s">
        <v>264</v>
      </c>
      <c r="C7" s="268"/>
      <c r="D7" s="234"/>
      <c r="E7" s="263">
        <f t="shared" si="0"/>
        <v>0</v>
      </c>
      <c r="F7" s="268"/>
      <c r="G7" s="234"/>
      <c r="H7" s="263">
        <f t="shared" si="1"/>
        <v>0</v>
      </c>
      <c r="I7" s="268"/>
      <c r="J7" s="234"/>
      <c r="K7" s="263">
        <f t="shared" si="2"/>
        <v>0</v>
      </c>
      <c r="L7" s="268"/>
      <c r="M7" s="234"/>
      <c r="N7" s="263">
        <f t="shared" si="3"/>
        <v>0</v>
      </c>
      <c r="O7" s="268"/>
      <c r="P7" s="234"/>
      <c r="Q7" s="263">
        <f t="shared" si="4"/>
        <v>0</v>
      </c>
    </row>
    <row r="8" spans="2:17" ht="22.5" customHeight="1" x14ac:dyDescent="0.35">
      <c r="B8" s="207" t="s">
        <v>265</v>
      </c>
      <c r="C8" s="268"/>
      <c r="D8" s="234"/>
      <c r="E8" s="263">
        <f t="shared" si="0"/>
        <v>0</v>
      </c>
      <c r="F8" s="268"/>
      <c r="G8" s="234"/>
      <c r="H8" s="263">
        <f t="shared" si="1"/>
        <v>0</v>
      </c>
      <c r="I8" s="268"/>
      <c r="J8" s="234"/>
      <c r="K8" s="263">
        <f t="shared" si="2"/>
        <v>0</v>
      </c>
      <c r="L8" s="268"/>
      <c r="M8" s="234"/>
      <c r="N8" s="263">
        <f t="shared" si="3"/>
        <v>0</v>
      </c>
      <c r="O8" s="268"/>
      <c r="P8" s="234"/>
      <c r="Q8" s="263">
        <f t="shared" si="4"/>
        <v>0</v>
      </c>
    </row>
    <row r="9" spans="2:17" ht="22.5" customHeight="1" x14ac:dyDescent="0.35">
      <c r="B9" s="207"/>
      <c r="C9" s="268"/>
      <c r="D9" s="234"/>
      <c r="E9" s="263">
        <f t="shared" si="0"/>
        <v>0</v>
      </c>
      <c r="F9" s="268"/>
      <c r="G9" s="234"/>
      <c r="H9" s="263">
        <f t="shared" si="1"/>
        <v>0</v>
      </c>
      <c r="I9" s="268"/>
      <c r="J9" s="234"/>
      <c r="K9" s="263">
        <f t="shared" si="2"/>
        <v>0</v>
      </c>
      <c r="L9" s="268"/>
      <c r="M9" s="234"/>
      <c r="N9" s="263">
        <f t="shared" si="3"/>
        <v>0</v>
      </c>
      <c r="O9" s="268"/>
      <c r="P9" s="234"/>
      <c r="Q9" s="263">
        <f t="shared" si="4"/>
        <v>0</v>
      </c>
    </row>
    <row r="10" spans="2:17" ht="22.5" customHeight="1" x14ac:dyDescent="0.35">
      <c r="B10" s="208"/>
      <c r="C10" s="242"/>
      <c r="D10" s="235"/>
      <c r="E10" s="263">
        <f t="shared" si="0"/>
        <v>0</v>
      </c>
      <c r="F10" s="242"/>
      <c r="G10" s="235"/>
      <c r="H10" s="263">
        <f t="shared" si="1"/>
        <v>0</v>
      </c>
      <c r="I10" s="242"/>
      <c r="J10" s="235"/>
      <c r="K10" s="263">
        <f t="shared" si="2"/>
        <v>0</v>
      </c>
      <c r="L10" s="242"/>
      <c r="M10" s="235"/>
      <c r="N10" s="263">
        <f t="shared" si="3"/>
        <v>0</v>
      </c>
      <c r="O10" s="242"/>
      <c r="P10" s="235"/>
      <c r="Q10" s="263">
        <f t="shared" si="4"/>
        <v>0</v>
      </c>
    </row>
    <row r="11" spans="2:17" ht="22.5" customHeight="1" x14ac:dyDescent="0.35">
      <c r="B11" s="226" t="s">
        <v>255</v>
      </c>
      <c r="C11" s="240">
        <f>SUM(C5:C10)</f>
        <v>500000</v>
      </c>
      <c r="D11" s="240">
        <f>SUM(D5:D10)</f>
        <v>-500000</v>
      </c>
      <c r="E11" s="291">
        <f t="shared" si="0"/>
        <v>0</v>
      </c>
      <c r="F11" s="240">
        <f>SUM(F5:F10)</f>
        <v>500000</v>
      </c>
      <c r="G11" s="240">
        <f>SUM(G5:G10)</f>
        <v>-500000</v>
      </c>
      <c r="H11" s="291">
        <f t="shared" si="1"/>
        <v>0</v>
      </c>
      <c r="I11" s="240">
        <f>SUM(I5:I10)</f>
        <v>500000</v>
      </c>
      <c r="J11" s="240">
        <f>SUM(J5:J10)</f>
        <v>-500000</v>
      </c>
      <c r="K11" s="291">
        <f t="shared" si="2"/>
        <v>0</v>
      </c>
      <c r="L11" s="240">
        <f>SUM(L5:L10)</f>
        <v>500000</v>
      </c>
      <c r="M11" s="240">
        <f>SUM(M5:M10)</f>
        <v>-500000</v>
      </c>
      <c r="N11" s="291">
        <f t="shared" si="3"/>
        <v>0</v>
      </c>
      <c r="O11" s="240">
        <f>SUM(O5:O10)</f>
        <v>500000</v>
      </c>
      <c r="P11" s="240">
        <f>SUM(P5:P10)</f>
        <v>-500000</v>
      </c>
      <c r="Q11" s="291">
        <f t="shared" si="4"/>
        <v>0</v>
      </c>
    </row>
    <row r="12" spans="2:17" ht="22.5" customHeight="1" x14ac:dyDescent="0.35">
      <c r="B12" s="222"/>
      <c r="C12" s="248"/>
      <c r="D12" s="234"/>
      <c r="E12" s="263">
        <f t="shared" si="0"/>
        <v>0</v>
      </c>
      <c r="F12" s="248"/>
      <c r="G12" s="234"/>
      <c r="H12" s="263">
        <f t="shared" si="1"/>
        <v>0</v>
      </c>
      <c r="I12" s="248"/>
      <c r="J12" s="234"/>
      <c r="K12" s="263">
        <f t="shared" si="2"/>
        <v>0</v>
      </c>
      <c r="L12" s="248"/>
      <c r="M12" s="234"/>
      <c r="N12" s="263">
        <f t="shared" si="3"/>
        <v>0</v>
      </c>
      <c r="O12" s="248"/>
      <c r="P12" s="234"/>
      <c r="Q12" s="263">
        <f t="shared" si="4"/>
        <v>0</v>
      </c>
    </row>
    <row r="13" spans="2:17" ht="22.5" customHeight="1" x14ac:dyDescent="0.35">
      <c r="B13" s="207"/>
      <c r="C13" s="268"/>
      <c r="D13" s="234"/>
      <c r="E13" s="263">
        <f t="shared" si="0"/>
        <v>0</v>
      </c>
      <c r="F13" s="268"/>
      <c r="G13" s="234"/>
      <c r="H13" s="263">
        <f t="shared" si="1"/>
        <v>0</v>
      </c>
      <c r="I13" s="268"/>
      <c r="J13" s="234"/>
      <c r="K13" s="263">
        <f t="shared" si="2"/>
        <v>0</v>
      </c>
      <c r="L13" s="268"/>
      <c r="M13" s="234"/>
      <c r="N13" s="263">
        <f t="shared" si="3"/>
        <v>0</v>
      </c>
      <c r="O13" s="268"/>
      <c r="P13" s="234"/>
      <c r="Q13" s="263">
        <f t="shared" si="4"/>
        <v>0</v>
      </c>
    </row>
    <row r="14" spans="2:17" ht="22.5" customHeight="1" x14ac:dyDescent="0.35">
      <c r="B14" s="207"/>
      <c r="C14" s="268"/>
      <c r="D14" s="234"/>
      <c r="E14" s="263">
        <f t="shared" si="0"/>
        <v>0</v>
      </c>
      <c r="F14" s="268"/>
      <c r="G14" s="234"/>
      <c r="H14" s="263">
        <f t="shared" si="1"/>
        <v>0</v>
      </c>
      <c r="I14" s="268"/>
      <c r="J14" s="234"/>
      <c r="K14" s="263">
        <f t="shared" si="2"/>
        <v>0</v>
      </c>
      <c r="L14" s="268"/>
      <c r="M14" s="234"/>
      <c r="N14" s="263">
        <f t="shared" si="3"/>
        <v>0</v>
      </c>
      <c r="O14" s="268"/>
      <c r="P14" s="234"/>
      <c r="Q14" s="263">
        <f t="shared" si="4"/>
        <v>0</v>
      </c>
    </row>
    <row r="15" spans="2:17" ht="22.5" customHeight="1" x14ac:dyDescent="0.35">
      <c r="B15" s="207"/>
      <c r="C15" s="268"/>
      <c r="D15" s="234"/>
      <c r="E15" s="263">
        <f t="shared" si="0"/>
        <v>0</v>
      </c>
      <c r="F15" s="268"/>
      <c r="G15" s="234"/>
      <c r="H15" s="263">
        <f t="shared" si="1"/>
        <v>0</v>
      </c>
      <c r="I15" s="268"/>
      <c r="J15" s="234"/>
      <c r="K15" s="263">
        <f t="shared" si="2"/>
        <v>0</v>
      </c>
      <c r="L15" s="268"/>
      <c r="M15" s="234"/>
      <c r="N15" s="263">
        <f t="shared" si="3"/>
        <v>0</v>
      </c>
      <c r="O15" s="268"/>
      <c r="P15" s="234"/>
      <c r="Q15" s="263">
        <f t="shared" si="4"/>
        <v>0</v>
      </c>
    </row>
    <row r="16" spans="2:17" ht="22.5" customHeight="1" x14ac:dyDescent="0.35">
      <c r="B16" s="207"/>
      <c r="C16" s="268"/>
      <c r="D16" s="234"/>
      <c r="E16" s="263">
        <f t="shared" si="0"/>
        <v>0</v>
      </c>
      <c r="F16" s="268"/>
      <c r="G16" s="234"/>
      <c r="H16" s="263">
        <f t="shared" si="1"/>
        <v>0</v>
      </c>
      <c r="I16" s="268"/>
      <c r="J16" s="234"/>
      <c r="K16" s="263">
        <f t="shared" si="2"/>
        <v>0</v>
      </c>
      <c r="L16" s="268"/>
      <c r="M16" s="234"/>
      <c r="N16" s="263">
        <f t="shared" si="3"/>
        <v>0</v>
      </c>
      <c r="O16" s="268"/>
      <c r="P16" s="234"/>
      <c r="Q16" s="263">
        <f t="shared" si="4"/>
        <v>0</v>
      </c>
    </row>
    <row r="17" spans="2:17" ht="22.5" customHeight="1" x14ac:dyDescent="0.35">
      <c r="B17" s="208"/>
      <c r="C17" s="242"/>
      <c r="D17" s="235"/>
      <c r="E17" s="263">
        <f t="shared" si="0"/>
        <v>0</v>
      </c>
      <c r="F17" s="242"/>
      <c r="G17" s="235"/>
      <c r="H17" s="263">
        <f t="shared" si="1"/>
        <v>0</v>
      </c>
      <c r="I17" s="242"/>
      <c r="J17" s="235"/>
      <c r="K17" s="263">
        <f t="shared" si="2"/>
        <v>0</v>
      </c>
      <c r="L17" s="242"/>
      <c r="M17" s="235"/>
      <c r="N17" s="263">
        <f t="shared" si="3"/>
        <v>0</v>
      </c>
      <c r="O17" s="242"/>
      <c r="P17" s="235"/>
      <c r="Q17" s="263">
        <f t="shared" si="4"/>
        <v>0</v>
      </c>
    </row>
    <row r="18" spans="2:17" ht="22.5" customHeight="1" x14ac:dyDescent="0.35">
      <c r="B18" s="226" t="s">
        <v>256</v>
      </c>
      <c r="C18" s="240">
        <f>SUM(C12:C17)</f>
        <v>0</v>
      </c>
      <c r="D18" s="240">
        <f>SUM(D12:D17)</f>
        <v>0</v>
      </c>
      <c r="E18" s="291">
        <f t="shared" si="0"/>
        <v>0</v>
      </c>
      <c r="F18" s="240">
        <f>SUM(F12:F17)</f>
        <v>0</v>
      </c>
      <c r="G18" s="240">
        <f>SUM(G12:G17)</f>
        <v>0</v>
      </c>
      <c r="H18" s="291">
        <f t="shared" si="1"/>
        <v>0</v>
      </c>
      <c r="I18" s="240">
        <f>SUM(I12:I17)</f>
        <v>0</v>
      </c>
      <c r="J18" s="240">
        <f>SUM(J12:J17)</f>
        <v>0</v>
      </c>
      <c r="K18" s="291">
        <f t="shared" si="2"/>
        <v>0</v>
      </c>
      <c r="L18" s="240">
        <f>SUM(L12:L17)</f>
        <v>0</v>
      </c>
      <c r="M18" s="240">
        <f>SUM(M12:M17)</f>
        <v>0</v>
      </c>
      <c r="N18" s="291">
        <f t="shared" si="3"/>
        <v>0</v>
      </c>
      <c r="O18" s="240">
        <f>SUM(O12:O17)</f>
        <v>0</v>
      </c>
      <c r="P18" s="240">
        <f>SUM(P12:P17)</f>
        <v>0</v>
      </c>
      <c r="Q18" s="291">
        <f t="shared" si="4"/>
        <v>0</v>
      </c>
    </row>
    <row r="19" spans="2:17" ht="22.5" customHeight="1" x14ac:dyDescent="0.35">
      <c r="B19" s="222"/>
      <c r="C19" s="248"/>
      <c r="D19" s="234"/>
      <c r="E19" s="263">
        <f t="shared" si="0"/>
        <v>0</v>
      </c>
      <c r="F19" s="248"/>
      <c r="G19" s="234"/>
      <c r="H19" s="263">
        <f t="shared" si="1"/>
        <v>0</v>
      </c>
      <c r="I19" s="248"/>
      <c r="J19" s="234"/>
      <c r="K19" s="263">
        <f t="shared" si="2"/>
        <v>0</v>
      </c>
      <c r="L19" s="248"/>
      <c r="M19" s="234"/>
      <c r="N19" s="263">
        <f t="shared" si="3"/>
        <v>0</v>
      </c>
      <c r="O19" s="248"/>
      <c r="P19" s="234"/>
      <c r="Q19" s="263">
        <f t="shared" si="4"/>
        <v>0</v>
      </c>
    </row>
    <row r="20" spans="2:17" ht="22.5" customHeight="1" x14ac:dyDescent="0.35">
      <c r="B20" s="207"/>
      <c r="C20" s="268"/>
      <c r="D20" s="234"/>
      <c r="E20" s="263">
        <f t="shared" si="0"/>
        <v>0</v>
      </c>
      <c r="F20" s="268"/>
      <c r="G20" s="234"/>
      <c r="H20" s="263">
        <f t="shared" si="1"/>
        <v>0</v>
      </c>
      <c r="I20" s="268"/>
      <c r="J20" s="234"/>
      <c r="K20" s="263">
        <f t="shared" si="2"/>
        <v>0</v>
      </c>
      <c r="L20" s="268"/>
      <c r="M20" s="234"/>
      <c r="N20" s="263">
        <f t="shared" si="3"/>
        <v>0</v>
      </c>
      <c r="O20" s="268"/>
      <c r="P20" s="234"/>
      <c r="Q20" s="263">
        <f t="shared" si="4"/>
        <v>0</v>
      </c>
    </row>
    <row r="21" spans="2:17" ht="22.5" customHeight="1" x14ac:dyDescent="0.35">
      <c r="B21" s="207"/>
      <c r="C21" s="268"/>
      <c r="D21" s="234"/>
      <c r="E21" s="263">
        <f t="shared" si="0"/>
        <v>0</v>
      </c>
      <c r="F21" s="268"/>
      <c r="G21" s="234"/>
      <c r="H21" s="263">
        <f t="shared" si="1"/>
        <v>0</v>
      </c>
      <c r="I21" s="268"/>
      <c r="J21" s="234"/>
      <c r="K21" s="263">
        <f t="shared" si="2"/>
        <v>0</v>
      </c>
      <c r="L21" s="268"/>
      <c r="M21" s="234"/>
      <c r="N21" s="263">
        <f t="shared" si="3"/>
        <v>0</v>
      </c>
      <c r="O21" s="268"/>
      <c r="P21" s="234"/>
      <c r="Q21" s="263">
        <f t="shared" si="4"/>
        <v>0</v>
      </c>
    </row>
    <row r="22" spans="2:17" ht="22.5" customHeight="1" x14ac:dyDescent="0.35">
      <c r="B22" s="207"/>
      <c r="C22" s="268"/>
      <c r="D22" s="234"/>
      <c r="E22" s="263">
        <f t="shared" si="0"/>
        <v>0</v>
      </c>
      <c r="F22" s="268"/>
      <c r="G22" s="234"/>
      <c r="H22" s="263">
        <f t="shared" si="1"/>
        <v>0</v>
      </c>
      <c r="I22" s="268"/>
      <c r="J22" s="234"/>
      <c r="K22" s="263">
        <f t="shared" si="2"/>
        <v>0</v>
      </c>
      <c r="L22" s="268"/>
      <c r="M22" s="234"/>
      <c r="N22" s="263">
        <f t="shared" si="3"/>
        <v>0</v>
      </c>
      <c r="O22" s="268"/>
      <c r="P22" s="234"/>
      <c r="Q22" s="263">
        <f t="shared" si="4"/>
        <v>0</v>
      </c>
    </row>
    <row r="23" spans="2:17" ht="22.5" customHeight="1" x14ac:dyDescent="0.35">
      <c r="B23" s="207"/>
      <c r="C23" s="268"/>
      <c r="D23" s="234"/>
      <c r="E23" s="263">
        <f t="shared" si="0"/>
        <v>0</v>
      </c>
      <c r="F23" s="268"/>
      <c r="G23" s="234"/>
      <c r="H23" s="263">
        <f t="shared" si="1"/>
        <v>0</v>
      </c>
      <c r="I23" s="268"/>
      <c r="J23" s="234"/>
      <c r="K23" s="263">
        <f t="shared" si="2"/>
        <v>0</v>
      </c>
      <c r="L23" s="268"/>
      <c r="M23" s="234"/>
      <c r="N23" s="263">
        <f t="shared" si="3"/>
        <v>0</v>
      </c>
      <c r="O23" s="268"/>
      <c r="P23" s="234"/>
      <c r="Q23" s="263">
        <f t="shared" si="4"/>
        <v>0</v>
      </c>
    </row>
    <row r="24" spans="2:17" ht="22.5" customHeight="1" x14ac:dyDescent="0.35">
      <c r="B24" s="208"/>
      <c r="C24" s="242"/>
      <c r="D24" s="235"/>
      <c r="E24" s="263">
        <f t="shared" si="0"/>
        <v>0</v>
      </c>
      <c r="F24" s="242"/>
      <c r="G24" s="235"/>
      <c r="H24" s="263">
        <f t="shared" si="1"/>
        <v>0</v>
      </c>
      <c r="I24" s="242"/>
      <c r="J24" s="235"/>
      <c r="K24" s="263">
        <f t="shared" si="2"/>
        <v>0</v>
      </c>
      <c r="L24" s="242"/>
      <c r="M24" s="235"/>
      <c r="N24" s="263">
        <f t="shared" si="3"/>
        <v>0</v>
      </c>
      <c r="O24" s="242"/>
      <c r="P24" s="235"/>
      <c r="Q24" s="263">
        <f t="shared" si="4"/>
        <v>0</v>
      </c>
    </row>
    <row r="25" spans="2:17" ht="22.5" customHeight="1" x14ac:dyDescent="0.35">
      <c r="B25" s="226" t="s">
        <v>257</v>
      </c>
      <c r="C25" s="240">
        <f>SUM(C19:C24)</f>
        <v>0</v>
      </c>
      <c r="D25" s="240">
        <f>SUM(D19:D24)</f>
        <v>0</v>
      </c>
      <c r="E25" s="291">
        <f t="shared" si="0"/>
        <v>0</v>
      </c>
      <c r="F25" s="240">
        <f>SUM(F19:F24)</f>
        <v>0</v>
      </c>
      <c r="G25" s="240">
        <f>SUM(G19:G24)</f>
        <v>0</v>
      </c>
      <c r="H25" s="291">
        <f t="shared" si="1"/>
        <v>0</v>
      </c>
      <c r="I25" s="240">
        <f>SUM(I19:I24)</f>
        <v>0</v>
      </c>
      <c r="J25" s="240">
        <f>SUM(J19:J24)</f>
        <v>0</v>
      </c>
      <c r="K25" s="291">
        <f t="shared" si="2"/>
        <v>0</v>
      </c>
      <c r="L25" s="240">
        <f>SUM(L19:L24)</f>
        <v>0</v>
      </c>
      <c r="M25" s="240">
        <f>SUM(M19:M24)</f>
        <v>0</v>
      </c>
      <c r="N25" s="291">
        <f t="shared" si="3"/>
        <v>0</v>
      </c>
      <c r="O25" s="240">
        <f>SUM(O19:O24)</f>
        <v>0</v>
      </c>
      <c r="P25" s="240">
        <f>SUM(P19:P24)</f>
        <v>0</v>
      </c>
      <c r="Q25" s="291">
        <f t="shared" si="4"/>
        <v>0</v>
      </c>
    </row>
    <row r="26" spans="2:17" ht="22.5" customHeight="1" x14ac:dyDescent="0.35">
      <c r="B26" s="222"/>
      <c r="C26" s="248"/>
      <c r="D26" s="234"/>
      <c r="E26" s="263">
        <f t="shared" si="0"/>
        <v>0</v>
      </c>
      <c r="F26" s="248"/>
      <c r="G26" s="234"/>
      <c r="H26" s="263">
        <f t="shared" si="1"/>
        <v>0</v>
      </c>
      <c r="I26" s="248"/>
      <c r="J26" s="234"/>
      <c r="K26" s="263">
        <f t="shared" si="2"/>
        <v>0</v>
      </c>
      <c r="L26" s="248"/>
      <c r="M26" s="234"/>
      <c r="N26" s="263">
        <f t="shared" si="3"/>
        <v>0</v>
      </c>
      <c r="O26" s="248"/>
      <c r="P26" s="234"/>
      <c r="Q26" s="263">
        <f t="shared" si="4"/>
        <v>0</v>
      </c>
    </row>
    <row r="27" spans="2:17" ht="22.5" customHeight="1" x14ac:dyDescent="0.35">
      <c r="B27" s="207"/>
      <c r="C27" s="268"/>
      <c r="D27" s="234"/>
      <c r="E27" s="263">
        <f t="shared" si="0"/>
        <v>0</v>
      </c>
      <c r="F27" s="268"/>
      <c r="G27" s="234"/>
      <c r="H27" s="263">
        <f t="shared" si="1"/>
        <v>0</v>
      </c>
      <c r="I27" s="268"/>
      <c r="J27" s="234"/>
      <c r="K27" s="263">
        <f t="shared" si="2"/>
        <v>0</v>
      </c>
      <c r="L27" s="268"/>
      <c r="M27" s="234"/>
      <c r="N27" s="263">
        <f t="shared" si="3"/>
        <v>0</v>
      </c>
      <c r="O27" s="268"/>
      <c r="P27" s="234"/>
      <c r="Q27" s="263">
        <f t="shared" si="4"/>
        <v>0</v>
      </c>
    </row>
    <row r="28" spans="2:17" ht="22.5" customHeight="1" x14ac:dyDescent="0.35">
      <c r="B28" s="207"/>
      <c r="C28" s="268"/>
      <c r="D28" s="234"/>
      <c r="E28" s="263">
        <f t="shared" si="0"/>
        <v>0</v>
      </c>
      <c r="F28" s="268"/>
      <c r="G28" s="234"/>
      <c r="H28" s="263">
        <f t="shared" si="1"/>
        <v>0</v>
      </c>
      <c r="I28" s="268"/>
      <c r="J28" s="234"/>
      <c r="K28" s="263">
        <f t="shared" si="2"/>
        <v>0</v>
      </c>
      <c r="L28" s="268"/>
      <c r="M28" s="234"/>
      <c r="N28" s="263">
        <f t="shared" si="3"/>
        <v>0</v>
      </c>
      <c r="O28" s="268"/>
      <c r="P28" s="234"/>
      <c r="Q28" s="263">
        <f t="shared" si="4"/>
        <v>0</v>
      </c>
    </row>
    <row r="29" spans="2:17" ht="22.5" customHeight="1" x14ac:dyDescent="0.35">
      <c r="B29" s="207"/>
      <c r="C29" s="268"/>
      <c r="D29" s="234"/>
      <c r="E29" s="263">
        <f t="shared" si="0"/>
        <v>0</v>
      </c>
      <c r="F29" s="268"/>
      <c r="G29" s="234"/>
      <c r="H29" s="263">
        <f t="shared" si="1"/>
        <v>0</v>
      </c>
      <c r="I29" s="268"/>
      <c r="J29" s="234"/>
      <c r="K29" s="263">
        <f t="shared" si="2"/>
        <v>0</v>
      </c>
      <c r="L29" s="268"/>
      <c r="M29" s="234"/>
      <c r="N29" s="263">
        <f t="shared" si="3"/>
        <v>0</v>
      </c>
      <c r="O29" s="268"/>
      <c r="P29" s="234"/>
      <c r="Q29" s="263">
        <f t="shared" si="4"/>
        <v>0</v>
      </c>
    </row>
    <row r="30" spans="2:17" ht="22.5" customHeight="1" x14ac:dyDescent="0.35">
      <c r="B30" s="207"/>
      <c r="C30" s="268"/>
      <c r="D30" s="234"/>
      <c r="E30" s="263">
        <f t="shared" si="0"/>
        <v>0</v>
      </c>
      <c r="F30" s="268"/>
      <c r="G30" s="234"/>
      <c r="H30" s="263">
        <f t="shared" si="1"/>
        <v>0</v>
      </c>
      <c r="I30" s="268"/>
      <c r="J30" s="234"/>
      <c r="K30" s="263">
        <f t="shared" si="2"/>
        <v>0</v>
      </c>
      <c r="L30" s="268"/>
      <c r="M30" s="234"/>
      <c r="N30" s="263">
        <f t="shared" si="3"/>
        <v>0</v>
      </c>
      <c r="O30" s="268"/>
      <c r="P30" s="234"/>
      <c r="Q30" s="263">
        <f t="shared" si="4"/>
        <v>0</v>
      </c>
    </row>
    <row r="31" spans="2:17" ht="22.5" customHeight="1" x14ac:dyDescent="0.35">
      <c r="B31" s="207"/>
      <c r="C31" s="268"/>
      <c r="D31" s="234"/>
      <c r="E31" s="263">
        <f t="shared" si="0"/>
        <v>0</v>
      </c>
      <c r="F31" s="268"/>
      <c r="G31" s="234"/>
      <c r="H31" s="263">
        <f t="shared" si="1"/>
        <v>0</v>
      </c>
      <c r="I31" s="268"/>
      <c r="J31" s="234"/>
      <c r="K31" s="263">
        <f t="shared" si="2"/>
        <v>0</v>
      </c>
      <c r="L31" s="268"/>
      <c r="M31" s="234"/>
      <c r="N31" s="263">
        <f t="shared" si="3"/>
        <v>0</v>
      </c>
      <c r="O31" s="268"/>
      <c r="P31" s="234"/>
      <c r="Q31" s="263">
        <f t="shared" si="4"/>
        <v>0</v>
      </c>
    </row>
    <row r="32" spans="2:17" ht="22.5" customHeight="1" x14ac:dyDescent="0.35">
      <c r="B32" s="207"/>
      <c r="C32" s="268"/>
      <c r="D32" s="234"/>
      <c r="E32" s="263">
        <f t="shared" si="0"/>
        <v>0</v>
      </c>
      <c r="F32" s="268"/>
      <c r="G32" s="234"/>
      <c r="H32" s="263">
        <f t="shared" si="1"/>
        <v>0</v>
      </c>
      <c r="I32" s="268"/>
      <c r="J32" s="234"/>
      <c r="K32" s="263">
        <f t="shared" si="2"/>
        <v>0</v>
      </c>
      <c r="L32" s="268"/>
      <c r="M32" s="234"/>
      <c r="N32" s="263">
        <f t="shared" si="3"/>
        <v>0</v>
      </c>
      <c r="O32" s="268"/>
      <c r="P32" s="234"/>
      <c r="Q32" s="263">
        <f t="shared" si="4"/>
        <v>0</v>
      </c>
    </row>
    <row r="33" spans="2:17" ht="22.5" customHeight="1" x14ac:dyDescent="0.35">
      <c r="B33" s="207"/>
      <c r="C33" s="268"/>
      <c r="D33" s="234"/>
      <c r="E33" s="263">
        <f t="shared" si="0"/>
        <v>0</v>
      </c>
      <c r="F33" s="268"/>
      <c r="G33" s="234"/>
      <c r="H33" s="263">
        <f t="shared" si="1"/>
        <v>0</v>
      </c>
      <c r="I33" s="268"/>
      <c r="J33" s="234"/>
      <c r="K33" s="263">
        <f t="shared" si="2"/>
        <v>0</v>
      </c>
      <c r="L33" s="268"/>
      <c r="M33" s="234"/>
      <c r="N33" s="263">
        <f t="shared" si="3"/>
        <v>0</v>
      </c>
      <c r="O33" s="268"/>
      <c r="P33" s="234"/>
      <c r="Q33" s="263">
        <f t="shared" si="4"/>
        <v>0</v>
      </c>
    </row>
    <row r="34" spans="2:17" ht="22.5" customHeight="1" x14ac:dyDescent="0.35">
      <c r="B34" s="207"/>
      <c r="C34" s="268"/>
      <c r="D34" s="234"/>
      <c r="E34" s="263">
        <f t="shared" si="0"/>
        <v>0</v>
      </c>
      <c r="F34" s="268"/>
      <c r="G34" s="234"/>
      <c r="H34" s="263">
        <f t="shared" si="1"/>
        <v>0</v>
      </c>
      <c r="I34" s="268"/>
      <c r="J34" s="234"/>
      <c r="K34" s="263">
        <f t="shared" si="2"/>
        <v>0</v>
      </c>
      <c r="L34" s="268"/>
      <c r="M34" s="234"/>
      <c r="N34" s="263">
        <f t="shared" si="3"/>
        <v>0</v>
      </c>
      <c r="O34" s="268"/>
      <c r="P34" s="234"/>
      <c r="Q34" s="263">
        <f t="shared" si="4"/>
        <v>0</v>
      </c>
    </row>
    <row r="35" spans="2:17" ht="22.5" customHeight="1" x14ac:dyDescent="0.35">
      <c r="B35" s="208"/>
      <c r="C35" s="242"/>
      <c r="D35" s="235"/>
      <c r="E35" s="263">
        <f t="shared" si="0"/>
        <v>0</v>
      </c>
      <c r="F35" s="242"/>
      <c r="G35" s="235"/>
      <c r="H35" s="263">
        <f t="shared" si="1"/>
        <v>0</v>
      </c>
      <c r="I35" s="242"/>
      <c r="J35" s="235"/>
      <c r="K35" s="263">
        <f t="shared" si="2"/>
        <v>0</v>
      </c>
      <c r="L35" s="242"/>
      <c r="M35" s="235"/>
      <c r="N35" s="263">
        <f t="shared" si="3"/>
        <v>0</v>
      </c>
      <c r="O35" s="242"/>
      <c r="P35" s="235"/>
      <c r="Q35" s="263">
        <f t="shared" si="4"/>
        <v>0</v>
      </c>
    </row>
    <row r="36" spans="2:17" ht="22.5" customHeight="1" x14ac:dyDescent="0.35">
      <c r="B36" s="226" t="s">
        <v>258</v>
      </c>
      <c r="C36" s="240">
        <f>SUM(C26:C35)</f>
        <v>0</v>
      </c>
      <c r="D36" s="240">
        <f>SUM(D26:D35)</f>
        <v>0</v>
      </c>
      <c r="E36" s="292">
        <f t="shared" si="0"/>
        <v>0</v>
      </c>
      <c r="F36" s="240">
        <f>SUM(F26:F35)</f>
        <v>0</v>
      </c>
      <c r="G36" s="240">
        <f>SUM(G26:G35)</f>
        <v>0</v>
      </c>
      <c r="H36" s="292">
        <f t="shared" si="1"/>
        <v>0</v>
      </c>
      <c r="I36" s="240">
        <f>SUM(I26:I35)</f>
        <v>0</v>
      </c>
      <c r="J36" s="240">
        <f>SUM(J26:J35)</f>
        <v>0</v>
      </c>
      <c r="K36" s="292">
        <f t="shared" si="2"/>
        <v>0</v>
      </c>
      <c r="L36" s="240">
        <f>SUM(L26:L35)</f>
        <v>0</v>
      </c>
      <c r="M36" s="240">
        <f>SUM(M26:M35)</f>
        <v>0</v>
      </c>
      <c r="N36" s="292">
        <f t="shared" si="3"/>
        <v>0</v>
      </c>
      <c r="O36" s="240">
        <f>SUM(O26:O35)</f>
        <v>0</v>
      </c>
      <c r="P36" s="240">
        <f>SUM(P26:P35)</f>
        <v>0</v>
      </c>
      <c r="Q36" s="292">
        <f t="shared" si="4"/>
        <v>0</v>
      </c>
    </row>
    <row r="37" spans="2:17" ht="22.5" customHeight="1" x14ac:dyDescent="0.35">
      <c r="B37" s="225" t="s">
        <v>259</v>
      </c>
      <c r="C37" s="240">
        <f>C11+C18+C25+C36</f>
        <v>500000</v>
      </c>
      <c r="D37" s="240">
        <f>D11+D18+D25+D36</f>
        <v>-500000</v>
      </c>
      <c r="E37" s="291">
        <f t="shared" si="0"/>
        <v>0</v>
      </c>
      <c r="F37" s="240">
        <f>F11+F18+F25+F36</f>
        <v>500000</v>
      </c>
      <c r="G37" s="240">
        <f>G11+G18+G25+G36</f>
        <v>-500000</v>
      </c>
      <c r="H37" s="291">
        <f t="shared" si="1"/>
        <v>0</v>
      </c>
      <c r="I37" s="240">
        <f>I11+I18+I25+I36</f>
        <v>500000</v>
      </c>
      <c r="J37" s="240">
        <f>J11+J18+J25+J36</f>
        <v>-500000</v>
      </c>
      <c r="K37" s="291">
        <f t="shared" si="2"/>
        <v>0</v>
      </c>
      <c r="L37" s="240">
        <f>L11+L18+L25+L36</f>
        <v>500000</v>
      </c>
      <c r="M37" s="240">
        <f>M11+M18+M25+M36</f>
        <v>-500000</v>
      </c>
      <c r="N37" s="291">
        <f t="shared" si="3"/>
        <v>0</v>
      </c>
      <c r="O37" s="240">
        <f>O11+O18+O25+O36</f>
        <v>500000</v>
      </c>
      <c r="P37" s="240">
        <f>P11+P18+P25+P36</f>
        <v>-500000</v>
      </c>
      <c r="Q37" s="291">
        <f t="shared" si="4"/>
        <v>0</v>
      </c>
    </row>
    <row r="38" spans="2:17" ht="22.5" customHeight="1" x14ac:dyDescent="0.35">
      <c r="B38" s="227" t="s">
        <v>260</v>
      </c>
      <c r="C38" s="242"/>
      <c r="D38" s="235"/>
      <c r="E38" s="263">
        <f t="shared" si="0"/>
        <v>0</v>
      </c>
      <c r="F38" s="242"/>
      <c r="G38" s="235"/>
      <c r="H38" s="263">
        <f t="shared" si="1"/>
        <v>0</v>
      </c>
      <c r="I38" s="242"/>
      <c r="J38" s="235"/>
      <c r="K38" s="263">
        <f t="shared" si="2"/>
        <v>0</v>
      </c>
      <c r="L38" s="242"/>
      <c r="M38" s="235"/>
      <c r="N38" s="263">
        <f t="shared" si="3"/>
        <v>0</v>
      </c>
      <c r="O38" s="242"/>
      <c r="P38" s="235"/>
      <c r="Q38" s="263">
        <f t="shared" si="4"/>
        <v>0</v>
      </c>
    </row>
    <row r="39" spans="2:17" ht="22.5" customHeight="1" x14ac:dyDescent="0.35">
      <c r="B39" s="211" t="s">
        <v>93</v>
      </c>
      <c r="C39" s="240">
        <f>SUM(C37:C38)</f>
        <v>500000</v>
      </c>
      <c r="D39" s="240">
        <f>SUM(D37:D38)</f>
        <v>-500000</v>
      </c>
      <c r="E39" s="291">
        <f t="shared" si="0"/>
        <v>0</v>
      </c>
      <c r="F39" s="240">
        <f>SUM(F37:F38)</f>
        <v>500000</v>
      </c>
      <c r="G39" s="240">
        <f>SUM(G37:G38)</f>
        <v>-500000</v>
      </c>
      <c r="H39" s="291">
        <f t="shared" si="1"/>
        <v>0</v>
      </c>
      <c r="I39" s="240">
        <f>SUM(I37:I38)</f>
        <v>500000</v>
      </c>
      <c r="J39" s="240">
        <f>SUM(J37:J38)</f>
        <v>-500000</v>
      </c>
      <c r="K39" s="291">
        <f t="shared" si="2"/>
        <v>0</v>
      </c>
      <c r="L39" s="240">
        <f>SUM(L37:L38)</f>
        <v>500000</v>
      </c>
      <c r="M39" s="240">
        <f>SUM(M37:M38)</f>
        <v>-500000</v>
      </c>
      <c r="N39" s="291">
        <f t="shared" si="3"/>
        <v>0</v>
      </c>
      <c r="O39" s="240">
        <f>SUM(O37:O38)</f>
        <v>500000</v>
      </c>
      <c r="P39" s="240">
        <f>SUM(P37:P38)</f>
        <v>-500000</v>
      </c>
      <c r="Q39" s="291">
        <f t="shared" si="4"/>
        <v>0</v>
      </c>
    </row>
    <row r="40" spans="2:17" ht="22.5" customHeight="1" x14ac:dyDescent="0.35">
      <c r="B40" s="228" t="s">
        <v>261</v>
      </c>
      <c r="C40" s="288"/>
      <c r="D40" s="289"/>
      <c r="E40" s="290">
        <f t="shared" si="0"/>
        <v>0</v>
      </c>
      <c r="F40" s="288"/>
      <c r="G40" s="289"/>
      <c r="H40" s="290">
        <f t="shared" si="1"/>
        <v>0</v>
      </c>
      <c r="I40" s="288"/>
      <c r="J40" s="289"/>
      <c r="K40" s="290">
        <f t="shared" si="2"/>
        <v>0</v>
      </c>
      <c r="L40" s="288"/>
      <c r="M40" s="289"/>
      <c r="N40" s="290">
        <f t="shared" si="3"/>
        <v>0</v>
      </c>
      <c r="O40" s="288"/>
      <c r="P40" s="289"/>
      <c r="Q40" s="290">
        <f t="shared" si="4"/>
        <v>0</v>
      </c>
    </row>
    <row r="41" spans="2:17" ht="22.5" customHeight="1" thickBot="1" x14ac:dyDescent="0.4">
      <c r="B41" s="211" t="s">
        <v>267</v>
      </c>
      <c r="C41" s="240">
        <f>C39-C40</f>
        <v>500000</v>
      </c>
      <c r="D41" s="240">
        <f>D39-D40</f>
        <v>-500000</v>
      </c>
      <c r="E41" s="293">
        <f t="shared" si="0"/>
        <v>0</v>
      </c>
      <c r="F41" s="240">
        <f>F39-F40</f>
        <v>500000</v>
      </c>
      <c r="G41" s="240">
        <f>G39-G40</f>
        <v>-500000</v>
      </c>
      <c r="H41" s="293">
        <f t="shared" si="1"/>
        <v>0</v>
      </c>
      <c r="I41" s="240">
        <f>I39-I40</f>
        <v>500000</v>
      </c>
      <c r="J41" s="240">
        <f>J39-J40</f>
        <v>-500000</v>
      </c>
      <c r="K41" s="293">
        <f t="shared" si="2"/>
        <v>0</v>
      </c>
      <c r="L41" s="240">
        <f>L39-L40</f>
        <v>500000</v>
      </c>
      <c r="M41" s="240">
        <f>M39-M40</f>
        <v>-500000</v>
      </c>
      <c r="N41" s="293">
        <f t="shared" si="3"/>
        <v>0</v>
      </c>
      <c r="O41" s="240">
        <f>O39-O40</f>
        <v>500000</v>
      </c>
      <c r="P41" s="240">
        <f>P39-P40</f>
        <v>-500000</v>
      </c>
      <c r="Q41" s="293">
        <f t="shared" si="4"/>
        <v>0</v>
      </c>
    </row>
    <row r="42" spans="2:17" x14ac:dyDescent="0.35">
      <c r="C42" s="236"/>
      <c r="D42" s="236"/>
      <c r="E42" s="236"/>
      <c r="F42" s="236"/>
      <c r="G42" s="236"/>
      <c r="H42" s="236"/>
      <c r="I42" s="236"/>
      <c r="J42" s="236"/>
      <c r="K42" s="236"/>
      <c r="L42" s="236"/>
      <c r="M42" s="236"/>
      <c r="N42" s="236"/>
      <c r="O42" s="236"/>
      <c r="P42" s="236"/>
      <c r="Q42" s="236"/>
    </row>
    <row r="43" spans="2:17" x14ac:dyDescent="0.35">
      <c r="C43" s="236"/>
      <c r="D43" s="236"/>
      <c r="E43" s="236"/>
      <c r="F43" s="236"/>
      <c r="G43" s="236"/>
      <c r="H43" s="236"/>
      <c r="I43" s="236"/>
      <c r="J43" s="236"/>
      <c r="K43" s="236"/>
      <c r="L43" s="236"/>
      <c r="M43" s="236"/>
      <c r="N43" s="236"/>
      <c r="O43" s="236"/>
      <c r="P43" s="236"/>
      <c r="Q43" s="236"/>
    </row>
    <row r="44" spans="2:17" x14ac:dyDescent="0.35">
      <c r="C44" s="236"/>
      <c r="D44" s="236"/>
      <c r="E44" s="236"/>
      <c r="F44" s="236"/>
      <c r="G44" s="236"/>
      <c r="H44" s="236"/>
      <c r="I44" s="236"/>
      <c r="J44" s="236"/>
      <c r="K44" s="236"/>
      <c r="L44" s="236"/>
      <c r="M44" s="236"/>
      <c r="N44" s="236"/>
      <c r="O44" s="236"/>
      <c r="P44" s="236"/>
      <c r="Q44" s="236"/>
    </row>
  </sheetData>
  <mergeCells count="1">
    <mergeCell ref="B3:B4"/>
  </mergeCells>
  <phoneticPr fontId="1"/>
  <pageMargins left="0.7" right="0.7" top="0.75" bottom="0.75" header="0.3" footer="0.3"/>
  <ignoredErrors>
    <ignoredError sqref="E11:R42"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BD1C-9F1A-42F9-827B-5A3BCFE224EE}">
  <sheetPr>
    <tabColor rgb="FF00B0F0"/>
  </sheetPr>
  <dimension ref="B2:M10"/>
  <sheetViews>
    <sheetView showGridLines="0" topLeftCell="C1" zoomScaleNormal="100" workbookViewId="0">
      <selection activeCell="B6" sqref="B6"/>
    </sheetView>
  </sheetViews>
  <sheetFormatPr defaultRowHeight="18" x14ac:dyDescent="0.35"/>
  <cols>
    <col min="2" max="3" width="18.625" customWidth="1"/>
    <col min="5" max="5" width="24.625" bestFit="1" customWidth="1"/>
    <col min="6" max="8" width="18.625" customWidth="1"/>
    <col min="10" max="13" width="20.125" customWidth="1"/>
  </cols>
  <sheetData>
    <row r="2" spans="2:13" ht="18.75" x14ac:dyDescent="0.35">
      <c r="C2" s="73" t="s">
        <v>66</v>
      </c>
      <c r="H2" s="73" t="s">
        <v>66</v>
      </c>
      <c r="M2" s="73" t="inlineStr">
        <is>
          <t>(単位：千円)</t>
        </is>
      </c>
    </row>
    <row r="3" spans="2:13" ht="21.95" customHeight="1" x14ac:dyDescent="0.35">
      <c r="B3" s="2">
        <f>修正PL!I3</f>
      </c>
      <c r="C3" s="3" t="s">
        <v>344</v>
      </c>
      <c r="E3" s="2"/>
      <c r="F3" s="2">
        <f>修正PL!C3</f>
      </c>
      <c r="G3" s="2">
        <f>修正PL!F3</f>
      </c>
      <c r="H3" s="2">
        <f>修正PL!I3</f>
      </c>
      <c r="J3" s="2" t="s">
        <v>365</v>
      </c>
      <c r="K3" s="2" t="inlineStr">
        <is>
          <t>x1</t>
        </is>
      </c>
      <c r="L3" s="2" t="inlineStr">
        <is>
          <t>x2</t>
        </is>
      </c>
      <c r="M3" s="2" t="inlineStr">
        <is>
          <t>x3</t>
        </is>
      </c>
    </row>
    <row r="4" spans="2:13" s="537" customFormat="1" ht="32.1" customHeight="1" x14ac:dyDescent="0.35">
      <c r="B4" s="75" t="s">
        <v>358</v>
      </c>
      <c r="C4" s="296">
        <f>'BS (貸方)'!E50</f>
      </c>
      <c r="E4" s="75" t="s">
        <v>361</v>
      </c>
      <c r="F4" s="296">
        <f>修正PL!C19</f>
      </c>
      <c r="G4" s="296">
        <f>修正PL!F19</f>
      </c>
      <c r="H4" s="296">
        <f>修正PL!I19</f>
      </c>
      <c r="J4" s="432" t="s">
        <v>363</v>
      </c>
      <c r="K4" s="375">
        <f>C7</f>
      </c>
      <c r="L4" s="374"/>
      <c r="M4" s="374"/>
    </row>
    <row r="5" spans="2:13" s="537" customFormat="1" ht="32.1" customHeight="1" thickBot="1" x14ac:dyDescent="0.4">
      <c r="B5" s="431" t="s">
        <v>270</v>
      </c>
      <c r="C5" s="297">
        <f>'修正BS(貸方) '!D50</f>
      </c>
      <c r="E5" s="431" t="s">
        <v>499</v>
      </c>
      <c r="F5" s="297">
        <f>修正PL!D19</f>
      </c>
      <c r="G5" s="297">
        <f>修正PL!G19</f>
      </c>
      <c r="H5" s="297">
        <f>修正PL!J19</f>
      </c>
      <c r="J5" s="422" t="s">
        <v>364</v>
      </c>
      <c r="K5" s="248">
        <f>H10*1</f>
      </c>
      <c r="L5" s="372">
        <f>H10*2</f>
      </c>
      <c r="M5" s="372">
        <f>H10*3</f>
      </c>
    </row>
    <row r="6" spans="2:13" s="537" customFormat="1" ht="32.1" customHeight="1" thickBot="1" x14ac:dyDescent="0.4">
      <c r="B6" s="431" t="s">
        <v>359</v>
      </c>
      <c r="C6" s="297">
        <f>'修正BS(貸方) '!D51</f>
      </c>
      <c r="E6" s="369" t="s">
        <v>503</v>
      </c>
      <c r="F6" s="472">
        <f>SUM(F4:F5)</f>
        <v>350000000</v>
      </c>
      <c r="G6" s="472">
        <f t="shared" ref="G6:H6" si="0">SUM(G4:G5)</f>
        <v>350000000</v>
      </c>
      <c r="H6" s="472">
        <f t="shared" si="0"/>
        <v>350000000</v>
      </c>
      <c r="J6" s="373" t="s">
        <v>369</v>
      </c>
      <c r="K6" s="539">
        <f>K4+K5</f>
      </c>
      <c r="L6" s="539">
        <f>K4+L5</f>
      </c>
      <c r="M6" s="540">
        <f>K4+M5</f>
      </c>
    </row>
    <row r="7" spans="2:13" s="537" customFormat="1" ht="32.1" customHeight="1" thickBot="1" x14ac:dyDescent="0.4">
      <c r="B7" s="347" t="s">
        <v>363</v>
      </c>
      <c r="C7" s="299">
        <f>SUM(C4:C6)</f>
        <v>333000000</v>
      </c>
      <c r="E7" s="431" t="s">
        <v>360</v>
      </c>
      <c r="F7" s="297">
        <f>-F6*0.34</f>
        <v>-119000000.00000001</v>
      </c>
      <c r="G7" s="297">
        <f>-G6*0.34</f>
        <v>-119000000.00000001</v>
      </c>
      <c r="H7" s="297">
        <f>-H6*0.34</f>
        <v>-119000000.00000001</v>
      </c>
    </row>
    <row r="8" spans="2:13" s="537" customFormat="1" ht="32.1" customHeight="1" x14ac:dyDescent="0.35">
      <c r="E8" s="371" t="s">
        <v>504</v>
      </c>
      <c r="F8" s="299">
        <f>SUM(F6:F7)</f>
        <v>231000000</v>
      </c>
      <c r="G8" s="299">
        <f>SUM(G6:G7)</f>
      </c>
      <c r="H8" s="299">
        <f>SUM(H6:H7)</f>
      </c>
    </row>
    <row r="9" spans="2:13" s="537" customFormat="1" ht="15.6" customHeight="1" thickBot="1" x14ac:dyDescent="0.4"/>
    <row r="10" spans="2:13" s="537" customFormat="1" ht="32.1" customHeight="1" x14ac:dyDescent="0.35">
      <c r="G10" s="538" t="s">
        <v>362</v>
      </c>
      <c r="H10" s="299">
        <f>AVERAGE(F8:H8)</f>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6596-CDF7-4FFC-8D60-EFCFA3A48D57}">
  <sheetPr>
    <tabColor rgb="FF00B0F0"/>
  </sheetPr>
  <dimension ref="B2:M10"/>
  <sheetViews>
    <sheetView showGridLines="0" zoomScaleNormal="100" workbookViewId="0">
      <selection activeCell="E9" sqref="E9"/>
    </sheetView>
  </sheetViews>
  <sheetFormatPr defaultRowHeight="18" x14ac:dyDescent="0.35"/>
  <cols>
    <col min="2" max="3" width="18.625" customWidth="1"/>
    <col min="5" max="5" width="24.625" bestFit="1" customWidth="1"/>
    <col min="6" max="8" width="18.625" customWidth="1"/>
    <col min="10" max="10" width="26" bestFit="1" customWidth="1"/>
    <col min="11" max="13" width="20.125" customWidth="1"/>
  </cols>
  <sheetData>
    <row r="2" spans="2:13" ht="18.75" x14ac:dyDescent="0.35">
      <c r="C2" s="73" t="s">
        <v>66</v>
      </c>
      <c r="H2" s="73" t="s">
        <v>66</v>
      </c>
      <c r="M2" s="73" t="inlineStr">
        <is>
          <t>(単位：千円)</t>
        </is>
      </c>
    </row>
    <row r="3" spans="2:13" ht="21.95" customHeight="1" x14ac:dyDescent="0.35">
      <c r="B3" s="2">
        <f>修正PL!I3</f>
      </c>
      <c r="C3" s="3" t="s">
        <v>344</v>
      </c>
      <c r="E3" s="2"/>
      <c r="F3" s="2">
        <f>修正PL!C3</f>
      </c>
      <c r="G3" s="2">
        <f>修正PL!F3</f>
      </c>
      <c r="H3" s="2">
        <f>修正PL!I3</f>
      </c>
      <c r="J3" s="2" t="s">
        <v>374</v>
      </c>
      <c r="K3" s="2" t="inlineStr">
        <is>
          <t>x3</t>
        </is>
      </c>
      <c r="L3" s="2" t="inlineStr">
        <is>
          <t>x4</t>
        </is>
      </c>
      <c r="M3" s="2" t="inlineStr">
        <is>
          <t>x5</t>
        </is>
      </c>
    </row>
    <row r="4" spans="2:13" s="537" customFormat="1" ht="32.1" customHeight="1" x14ac:dyDescent="0.35">
      <c r="B4" s="342" t="s">
        <v>370</v>
      </c>
      <c r="C4" s="296">
        <f>ネットキャッシュ!C13</f>
      </c>
      <c r="E4" s="75" t="s">
        <v>361</v>
      </c>
      <c r="F4" s="296">
        <f>修正PL!C19</f>
      </c>
      <c r="G4" s="296">
        <f>修正PL!F19</f>
      </c>
      <c r="H4" s="296">
        <f>修正PL!I19</f>
      </c>
      <c r="J4" s="432" t="s">
        <v>377</v>
      </c>
      <c r="K4" s="376">
        <f>H10*3</f>
      </c>
      <c r="L4" s="377">
        <f>H10*4</f>
      </c>
      <c r="M4" s="377">
        <f>H10*5</f>
      </c>
    </row>
    <row r="5" spans="2:13" s="537" customFormat="1" ht="32.1" customHeight="1" thickBot="1" x14ac:dyDescent="0.4">
      <c r="B5" s="368" t="s">
        <v>371</v>
      </c>
      <c r="C5" s="297">
        <f>ネットキャッシュ!F13</f>
      </c>
      <c r="E5" s="431" t="s">
        <v>499</v>
      </c>
      <c r="F5" s="297">
        <f>修正PL!D19</f>
      </c>
      <c r="G5" s="297">
        <f>修正PL!G19</f>
      </c>
      <c r="H5" s="297">
        <f>修正PL!J19</f>
      </c>
      <c r="J5" s="421" t="s">
        <v>378</v>
      </c>
      <c r="K5" s="376">
        <f>-K4*0.1</f>
      </c>
      <c r="L5" s="376">
        <f>-L4*0.1</f>
      </c>
      <c r="M5" s="376">
        <f>-M4*0.1</f>
      </c>
    </row>
    <row r="6" spans="2:13" s="537" customFormat="1" ht="32.1" customHeight="1" thickBot="1" x14ac:dyDescent="0.4">
      <c r="B6" s="347" t="s">
        <v>345</v>
      </c>
      <c r="C6" s="299">
        <f>C4-C5</f>
        <v>250000000</v>
      </c>
      <c r="E6" s="369" t="s">
        <v>503</v>
      </c>
      <c r="F6" s="472">
        <f>SUM(F4:F5)</f>
        <v>350000000</v>
      </c>
      <c r="G6" s="472">
        <f t="shared" ref="G6:H6" si="0">SUM(G4:G5)</f>
        <v>450000000</v>
      </c>
      <c r="H6" s="472">
        <f t="shared" si="0"/>
        <v>350000000</v>
      </c>
      <c r="J6" s="422" t="str">
        <f>B6</f>
        <v>ネットキャッシュ</v>
      </c>
      <c r="K6" s="378">
        <f>C6</f>
        <v>250000000</v>
      </c>
      <c r="L6" s="379"/>
      <c r="M6" s="379"/>
    </row>
    <row r="7" spans="2:13" s="537" customFormat="1" ht="32.1" customHeight="1" thickBot="1" x14ac:dyDescent="0.4">
      <c r="E7" s="431" t="inlineStr">
        <is>
          <t>減価償却費・長期前払費用償却</t>
        </is>
      </c>
      <c r="F7" s="297">
        <f>修正SGA!E28+修正SGA!E29</f>
      </c>
      <c r="G7" s="297">
        <f>修正SGA!H28+修正SGA!H29</f>
      </c>
      <c r="H7" s="297">
        <f>修正SGA!K28+修正SGA!K29</f>
      </c>
      <c r="J7" s="373" t="s">
        <v>369</v>
      </c>
      <c r="K7" s="539">
        <f>SUM(K4:K6)</f>
      </c>
      <c r="L7" s="539">
        <f>SUM(L4:L5)+K6</f>
      </c>
      <c r="M7" s="540">
        <f>SUM(M4:M5)+K6</f>
      </c>
    </row>
    <row r="8" spans="2:13" s="537" customFormat="1" ht="32.1" customHeight="1" x14ac:dyDescent="0.35">
      <c r="E8" s="370" t="s">
        <v>505</v>
      </c>
      <c r="F8" s="299">
        <f>SUM(F6:F7)</f>
        <v>360000000</v>
      </c>
      <c r="G8" s="299">
        <f t="shared" ref="G8:H8" si="1">SUM(G6:G7)</f>
        <v>460000000</v>
      </c>
      <c r="H8" s="299">
        <f t="shared" si="1"/>
        <v>360000000</v>
      </c>
    </row>
    <row r="9" spans="2:13" s="537" customFormat="1" ht="15.6" customHeight="1" thickBot="1" x14ac:dyDescent="0.4"/>
    <row r="10" spans="2:13" s="537" customFormat="1" ht="32.1" customHeight="1" x14ac:dyDescent="0.35">
      <c r="G10" s="538" t="s">
        <v>373</v>
      </c>
      <c r="H10" s="299">
        <f>AVERAGE(F8:H8)</f>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AB9C-A2BB-422B-AE96-8CC517297F17}">
  <sheetPr>
    <tabColor rgb="FF00B0F0"/>
  </sheetPr>
  <dimension ref="B2:E19"/>
  <sheetViews>
    <sheetView showGridLines="0" zoomScaleNormal="100" workbookViewId="0">
      <selection activeCell="E12" sqref="E12"/>
    </sheetView>
  </sheetViews>
  <sheetFormatPr defaultRowHeight="18" x14ac:dyDescent="0.35"/>
  <cols>
    <col min="2" max="2" width="36.625" customWidth="1"/>
    <col min="3" max="3" width="18.625" customWidth="1"/>
    <col min="4" max="4" width="55.125" customWidth="1"/>
    <col min="5" max="5" width="18.625" customWidth="1"/>
  </cols>
  <sheetData>
    <row r="2" spans="2:5" ht="18.75" x14ac:dyDescent="0.35">
      <c r="E2" s="73" t="s">
        <v>66</v>
      </c>
    </row>
    <row r="3" spans="2:5" ht="21.95" customHeight="1" x14ac:dyDescent="0.35">
      <c r="B3" s="2" t="s">
        <v>382</v>
      </c>
      <c r="C3" s="116" t="s">
        <v>150</v>
      </c>
      <c r="D3" s="116" t="s">
        <v>38</v>
      </c>
      <c r="E3" s="3" t="s">
        <v>383</v>
      </c>
    </row>
    <row r="4" spans="2:5" ht="32.1" customHeight="1" x14ac:dyDescent="0.35">
      <c r="B4" s="75" t="inlineStr">
        <is>
          <t>㈱アインホールディングス（9627）</t>
        </is>
      </c>
      <c r="C4" s="382" t="inlineStr">
        <is>
          <t>北海道札幌市</t>
        </is>
      </c>
      <c r="D4" s="382" t="inlineStr">
        <is>
          <t>調剤薬局「アイン薬局」の運営、化粧品小売</t>
        </is>
      </c>
      <c r="E4" s="387"/>
    </row>
    <row r="5" spans="2:5" ht="32.1" customHeight="1" x14ac:dyDescent="0.35">
      <c r="B5" s="421" t="inlineStr">
        <is>
          <t>日本調剤㈱（3341）</t>
        </is>
      </c>
      <c r="C5" s="383" t="inlineStr">
        <is>
          <t>東京都千代田区</t>
        </is>
      </c>
      <c r="D5" s="383" t="inlineStr">
        <is>
          <t>調剤薬局の運営、後発医薬品の製造販売、医療従事者派遣</t>
        </is>
      </c>
      <c r="E5" s="388"/>
    </row>
    <row r="6" spans="2:5" ht="32.1" customHeight="1" x14ac:dyDescent="0.35">
      <c r="B6" s="421" t="inlineStr">
        <is>
          <t>㈱クオールホールディングス（3034）</t>
        </is>
      </c>
      <c r="C6" s="383" t="inlineStr">
        <is>
          <t>東京都港区</t>
        </is>
      </c>
      <c r="D6" s="383" t="inlineStr">
        <is>
          <t>調剤薬局「クオール薬局」の運営、医薬品製造受託</t>
        </is>
      </c>
      <c r="E6" s="388"/>
    </row>
    <row r="7" spans="2:5" ht="32.1" customHeight="1" x14ac:dyDescent="0.35">
      <c r="B7" s="421" t="inlineStr">
        <is>
          <t>㈱メディカルシステムネットワーク（4350）</t>
        </is>
      </c>
      <c r="C7" s="383" t="inlineStr">
        <is>
          <t>北海道札幌市</t>
        </is>
      </c>
      <c r="D7" s="383" t="inlineStr">
        <is>
          <t>調剤薬局の運営、医薬品ネットワーク事業</t>
        </is>
      </c>
      <c r="E7" s="388"/>
    </row>
    <row r="8" spans="2:5" ht="32.1" customHeight="1" x14ac:dyDescent="0.35">
      <c r="B8" s="421" t="inlineStr">
        <is>
          <t>㈱ファーマライズホールディングス（2796）</t>
        </is>
      </c>
      <c r="C8" s="383" t="inlineStr">
        <is>
          <t>東京都渋谷区</t>
        </is>
      </c>
      <c r="D8" s="383" t="inlineStr">
        <is>
          <t>調剤薬局の運営、ヘルスケア関連事業</t>
        </is>
      </c>
      <c r="E8" s="388"/>
    </row>
    <row r="9" spans="2:5" ht="32.1" customHeight="1" x14ac:dyDescent="0.35">
      <c r="B9" s="421" t="inlineStr">
        <is>
          <t>HYUGA PRIMARY CARE㈱（7133）</t>
        </is>
      </c>
      <c r="C9" s="383" t="inlineStr">
        <is>
          <t>福岡県春日市</t>
        </is>
      </c>
      <c r="D9" s="383" t="inlineStr">
        <is>
          <t>在宅医療特化型調剤薬局「きらり薬局」の運営</t>
        </is>
      </c>
      <c r="E9" s="388"/>
    </row>
    <row r="10" spans="2:5" ht="32.1" customHeight="1" x14ac:dyDescent="0.35">
      <c r="B10" s="421" t="inlineStr">
        <is>
          <t>㈱ミアヘルサ（7129）</t>
        </is>
      </c>
      <c r="C10" s="383" t="inlineStr">
        <is>
          <t>東京都新宿区</t>
        </is>
      </c>
      <c r="D10" s="383" t="inlineStr">
        <is>
          <t>調剤薬局の運営、介護・保育事業</t>
        </is>
      </c>
      <c r="E10" s="388"/>
    </row>
    <row r="11" spans="2:5" ht="32.1" customHeight="1" x14ac:dyDescent="0.35">
      <c r="B11" s="421" t="inlineStr">
        <is>
          <t>㈱メディカル一光グループ（3353）</t>
        </is>
      </c>
      <c r="C11" s="383" t="inlineStr">
        <is>
          <t>三重県四日市市</t>
        </is>
      </c>
      <c r="D11" s="383" t="inlineStr">
        <is>
          <t>調剤薬局の運営、介護事業</t>
        </is>
      </c>
      <c r="E11" s="388"/>
    </row>
    <row r="12" spans="2:5" ht="32.1" customHeight="1" x14ac:dyDescent="0.35">
      <c r="B12" s="421" t="inlineStr">
        <is>
          <t>㈱トーカイ（9729）</t>
        </is>
      </c>
      <c r="C12" s="383" t="inlineStr">
        <is>
          <t>岐阜県岐阜市</t>
        </is>
      </c>
      <c r="D12" s="383" t="inlineStr">
        <is>
          <t>調剤薬局の運営、福祉用具レンタル、病院関連サービス</t>
        </is>
      </c>
      <c r="E12" s="388"/>
    </row>
    <row r="13" spans="2:5" ht="32.1" customHeight="1" thickBot="1" x14ac:dyDescent="0.4">
      <c r="B13" s="422" t="inlineStr">
        <is>
          <t>㈱スギホールディングス（7649）</t>
        </is>
      </c>
      <c r="C13" s="384" t="inlineStr">
        <is>
          <t>愛知県大府市</t>
        </is>
      </c>
      <c r="D13" s="384" t="inlineStr">
        <is>
          <t>調剤併設型ドラッグストアの運営</t>
        </is>
      </c>
      <c r="E13" s="389"/>
    </row>
    <row r="14" spans="2:5" ht="32.1" customHeight="1" x14ac:dyDescent="0.35">
      <c r="B14" s="380"/>
      <c r="C14" s="380"/>
      <c r="D14" s="385" t="s">
        <v>380</v>
      </c>
      <c r="E14" s="390">
        <f>IFERROR(AVERAGE(E4:E13),"-")</f>
      </c>
    </row>
    <row r="15" spans="2:5" ht="32.1" customHeight="1" x14ac:dyDescent="0.35">
      <c r="B15" s="381"/>
      <c r="C15" s="381"/>
      <c r="D15" s="386" t="s">
        <v>381</v>
      </c>
      <c r="E15" s="391">
        <f>IFERROR(MEDIAN(E4:E13),"-")</f>
      </c>
    </row>
    <row r="16" spans="2:5" ht="32.1" customHeight="1" x14ac:dyDescent="0.35"/>
    <row r="17" ht="32.1" customHeight="1" x14ac:dyDescent="0.35">
      <c r="B17" s="381" t="inlineStr">
        <is>
          <t>※ 勘定科目内訳明細書（棚卸資産＝薬品等、買掛金＝医薬品卸大手、未収入金＝社会保険診療報酬支払基金・国保連）により、対象会社の事業は調剤薬局の運営と認められることから、調剤薬局を主業とする上場会社を選定した。EV/EBITDA倍率は算定日時点の株価等に基づき更新のうえ入力する。</t>
        </is>
      </c>
    </row>
    <row r="18" ht="15.6" customHeight="1" x14ac:dyDescent="0.35">
      <c r="B18" s="381" t="inlineStr">
        <is>
          <t>※ 本評価では、国内中小企業M&amp;Aの実務上のボリュームゾーンである3.0～5.0倍を採用している。なお対象会社は3店舗の小規模事業者であり、上場会社との規模格差は倍率選定上の考慮事項となる。</t>
        </is>
      </c>
    </row>
    <row r="19" ht="32.1" customHeight="1" x14ac:dyDescent="0.35"/>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0923-CD5B-4AE8-9A2D-0651A9873FB5}">
  <sheetPr>
    <tabColor theme="7" tint="-0.499984740745262"/>
  </sheetPr>
  <dimension ref="A1"/>
  <sheetViews>
    <sheetView showGridLines="0" topLeftCell="M1" workbookViewId="0">
      <selection activeCell="C22" sqref="C22"/>
    </sheetView>
  </sheetViews>
  <sheetFormatPr defaultRowHeight="18" x14ac:dyDescent="0.35"/>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96509-55C6-4161-B818-C5575A14CAC4}">
  <dimension ref="B2:C15"/>
  <sheetViews>
    <sheetView showGridLines="0" zoomScaleNormal="100" workbookViewId="0">
      <selection activeCell="C15" sqref="C15"/>
    </sheetView>
  </sheetViews>
  <sheetFormatPr defaultColWidth="8.875" defaultRowHeight="18.75" x14ac:dyDescent="0.35"/>
  <cols>
    <col min="1" max="1" width="8.875" style="65"/>
    <col min="2" max="2" width="17.125" style="65" customWidth="1"/>
    <col min="3" max="3" width="58.625" style="65" customWidth="1"/>
    <col min="4" max="16384" width="8.875" style="65"/>
  </cols>
  <sheetData>
    <row r="2" spans="2:3" ht="19.5" x14ac:dyDescent="0.35">
      <c r="B2" s="63" t="s">
        <v>30</v>
      </c>
      <c r="C2" s="64" t="s">
        <v>31</v>
      </c>
    </row>
    <row r="3" spans="2:3" ht="22.5" customHeight="1" x14ac:dyDescent="0.35">
      <c r="B3" s="433" t="s">
        <v>40</v>
      </c>
      <c r="C3" s="60" t="inlineStr">
        <is>
          <t>株式会社ミドリメディカル</t>
        </is>
      </c>
    </row>
    <row r="4" spans="2:3" ht="22.5" customHeight="1" x14ac:dyDescent="0.35">
      <c r="B4" s="77" t="s">
        <v>32</v>
      </c>
      <c r="C4" s="61" t="inlineStr">
        <is>
          <t>要確認（本社所在地の資料未受領）</t>
        </is>
      </c>
    </row>
    <row r="5" spans="2:3" ht="57" customHeight="1" x14ac:dyDescent="0.35">
      <c r="B5" s="77" t="s">
        <v>33</v>
      </c>
      <c r="C5" s="62" t="inlineStr">
        <is>
          <t>調剤薬局3店舗（横浜市緑区中山町、横浜市都筑区仲町台2ヶ所）</t>
        </is>
      </c>
    </row>
    <row r="6" spans="2:3" ht="22.5" customHeight="1" x14ac:dyDescent="0.35">
      <c r="B6" s="77" t="s">
        <v>34</v>
      </c>
      <c r="C6" s="61" t="inlineStr">
        <is>
          <t>第9期（令和7年12月期）／12月決算</t>
        </is>
      </c>
    </row>
    <row r="7" spans="2:3" ht="22.5" customHeight="1" x14ac:dyDescent="0.35">
      <c r="B7" s="77" t="s">
        <v>35</v>
      </c>
      <c r="C7" s="61" t="inlineStr">
        <is>
          <t>9,000千円</t>
        </is>
      </c>
    </row>
    <row r="8" spans="2:3" ht="22.5" customHeight="1" x14ac:dyDescent="0.35">
      <c r="B8" s="77" t="s">
        <v>36</v>
      </c>
      <c r="C8" s="61" t="inlineStr">
        <is>
          <t>三河　太一</t>
        </is>
      </c>
    </row>
    <row r="9" spans="2:3" ht="39" customHeight="1" x14ac:dyDescent="0.35">
      <c r="B9" s="77" t="s">
        <v>37</v>
      </c>
      <c r="C9" s="62" t="inlineStr">
        <is>
          <t>要確認</t>
        </is>
      </c>
    </row>
    <row r="10" spans="2:3" ht="22.5" customHeight="1" x14ac:dyDescent="0.35">
      <c r="B10" s="77" t="s">
        <v>38</v>
      </c>
      <c r="C10" s="61" t="inlineStr">
        <is>
          <t>調剤薬局の運営</t>
        </is>
      </c>
    </row>
    <row r="11" spans="2:3" ht="22.5" customHeight="1" x14ac:dyDescent="0.35">
      <c r="B11" s="77" t="s">
        <v>41</v>
      </c>
      <c r="C11" s="61" t="inlineStr">
        <is>
          <t>要確認</t>
        </is>
      </c>
    </row>
    <row r="12" spans="2:3" ht="22.5" customHeight="1" x14ac:dyDescent="0.35">
      <c r="B12" s="77" t="s">
        <v>102</v>
      </c>
      <c r="C12" s="61" t="inlineStr">
        <is>
          <t>薬局開設許可・保険薬局指定（要確認）</t>
        </is>
      </c>
    </row>
    <row r="13" spans="2:3" ht="22.5" customHeight="1" x14ac:dyDescent="0.35">
      <c r="B13" s="77" t="s">
        <v>39</v>
      </c>
      <c r="C13" s="61" t="inlineStr">
        <is>
          <t>357,541千円（令和7年12月期）</t>
        </is>
      </c>
    </row>
    <row r="14" spans="2:3" ht="22.5" customHeight="1" x14ac:dyDescent="0.35">
      <c r="B14" s="77" t="s">
        <v>49</v>
      </c>
      <c r="C14" s="61" t="inlineStr">
        <is>
          <t>18,551千円（令和7年12月期・修正後EBITDA）</t>
        </is>
      </c>
    </row>
    <row r="15" spans="2:3" ht="22.5" customHeight="1" x14ac:dyDescent="0.35">
      <c r="B15" s="77" t="s">
        <v>42</v>
      </c>
      <c r="C15" s="61" t="inlineStr">
        <is>
          <t>要確認</t>
        </is>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066E-7395-4218-BEAA-BF9E83DAB16A}">
  <dimension ref="B2:I48"/>
  <sheetViews>
    <sheetView showGridLines="0" zoomScale="85" zoomScaleNormal="85" workbookViewId="0"/>
  </sheetViews>
  <sheetFormatPr defaultColWidth="8.875" defaultRowHeight="18.75" x14ac:dyDescent="0.35"/>
  <cols>
    <col min="1" max="1" width="8.875" style="65"/>
    <col min="2" max="2" width="24" style="65" customWidth="1"/>
    <col min="3" max="7" width="19.875" style="65" customWidth="1"/>
    <col min="8" max="16384" width="8.875" style="65"/>
  </cols>
  <sheetData>
    <row r="2" spans="2:9" x14ac:dyDescent="0.35">
      <c r="E2" s="73" t="s">
        <v>66</v>
      </c>
    </row>
    <row r="3" spans="2:9" ht="19.5" x14ac:dyDescent="0.35">
      <c r="B3" s="79"/>
      <c r="C3" s="80" t="s">
        <v>555</v>
      </c>
      <c r="D3" s="80" t="s">
        <v>556</v>
      </c>
      <c r="E3" s="80" t="s">
        <v>554</v>
      </c>
      <c r="F3" s="80" t="s">
        <v>90</v>
      </c>
      <c r="G3" s="229" t="s">
        <v>57</v>
      </c>
    </row>
    <row r="4" spans="2:9" ht="22.5" customHeight="1" x14ac:dyDescent="0.35">
      <c r="B4" s="75" t="s">
        <v>51</v>
      </c>
      <c r="C4" s="296">
        <f>PL!C11</f>
        <v>325866987</v>
      </c>
      <c r="D4" s="296">
        <f>PL!E11</f>
        <v>346561600</v>
      </c>
      <c r="E4" s="296">
        <f>PL!G11</f>
        <v>357540639</v>
      </c>
      <c r="F4" s="296">
        <f>PL!I11</f>
        <v>0</v>
      </c>
      <c r="G4" s="296">
        <f>PL!K11</f>
        <v>0</v>
      </c>
      <c r="I4" s="67" t="s">
        <v>55</v>
      </c>
    </row>
    <row r="5" spans="2:9" s="232" customFormat="1" ht="22.5" customHeight="1" x14ac:dyDescent="0.35">
      <c r="B5" s="230" t="s">
        <v>50</v>
      </c>
      <c r="C5" s="231" t="s">
        <v>56</v>
      </c>
      <c r="D5" s="231">
        <f>D4/C4</f>
        <v>1.0635063195278507</v>
      </c>
      <c r="E5" s="231">
        <f t="shared" ref="E5:F5" si="0">E4/D4</f>
        <v>1.0316799062562039</v>
      </c>
      <c r="F5" s="231">
        <f t="shared" si="0"/>
        <v>0</v>
      </c>
      <c r="G5" s="231" t="s">
        <v>56</v>
      </c>
    </row>
    <row r="6" spans="2:9" ht="22.5" customHeight="1" x14ac:dyDescent="0.35">
      <c r="B6" s="76" t="s">
        <v>52</v>
      </c>
      <c r="C6" s="248">
        <f>PL!C17</f>
        <v>166349856</v>
      </c>
      <c r="D6" s="248">
        <f>PL!E17</f>
        <v>165035715</v>
      </c>
      <c r="E6" s="248">
        <f>PL!G17</f>
        <v>160770049</v>
      </c>
      <c r="F6" s="248">
        <f>PL!I17</f>
        <v>0</v>
      </c>
      <c r="G6" s="248">
        <f>PL!K17</f>
        <v>0</v>
      </c>
    </row>
    <row r="7" spans="2:9" s="232" customFormat="1" ht="22.5" customHeight="1" x14ac:dyDescent="0.35">
      <c r="B7" s="230" t="s">
        <v>53</v>
      </c>
      <c r="C7" s="231">
        <f>C6/C4</f>
        <v>0.51048391716955355</v>
      </c>
      <c r="D7" s="231">
        <f t="shared" ref="D7:G7" si="1">IFERROR(D6/D4,"")</f>
      </c>
      <c r="E7" s="231">
        <f t="shared" si="1"/>
      </c>
      <c r="F7" s="231">
        <f t="shared" si="1"/>
      </c>
      <c r="G7" s="231">
        <f t="shared" si="1"/>
      </c>
    </row>
    <row r="8" spans="2:9" ht="22.5" customHeight="1" x14ac:dyDescent="0.35">
      <c r="B8" s="76" t="s">
        <v>268</v>
      </c>
      <c r="C8" s="248">
        <f>PL!C19</f>
        <v>20885627</v>
      </c>
      <c r="D8" s="248">
        <f>PL!E19</f>
        <v>10774443</v>
      </c>
      <c r="E8" s="248">
        <f>PL!G19</f>
        <v>12924285</v>
      </c>
      <c r="F8" s="248">
        <f>PL!I19</f>
        <v>0</v>
      </c>
      <c r="G8" s="310">
        <f>PL!K19</f>
        <v>0</v>
      </c>
    </row>
    <row r="9" spans="2:9" s="232" customFormat="1" ht="22.5" customHeight="1" x14ac:dyDescent="0.35">
      <c r="B9" s="230" t="s">
        <v>53</v>
      </c>
      <c r="C9" s="231">
        <f>C8/C4</f>
        <v>6.4092491210224992E-2</v>
      </c>
      <c r="D9" s="231">
        <f>D8/D4</f>
        <v>3.1089546562573581E-2</v>
      </c>
      <c r="E9" s="231">
        <f>E8/E4</f>
        <v>3.6147737040879431E-2</v>
      </c>
      <c r="F9" s="231">
        <f>IFERROR(F8/F4,"")</f>
      </c>
      <c r="G9" s="231">
        <f>IFERROR(G8/G4,"")</f>
      </c>
    </row>
    <row r="10" spans="2:9" ht="22.5" customHeight="1" x14ac:dyDescent="0.35">
      <c r="B10" s="76" t="s">
        <v>54</v>
      </c>
      <c r="C10" s="248">
        <f>PL!C36</f>
        <v>21928969</v>
      </c>
      <c r="D10" s="248">
        <f>PL!E36</f>
        <v>10884918</v>
      </c>
      <c r="E10" s="248">
        <f>PL!G36</f>
        <v>13885521</v>
      </c>
      <c r="F10" s="248">
        <f>PL!I36</f>
        <v>0</v>
      </c>
      <c r="G10" s="310">
        <f>PL!K36</f>
        <v>0</v>
      </c>
    </row>
    <row r="11" spans="2:9" s="232" customFormat="1" ht="22.5" customHeight="1" x14ac:dyDescent="0.35">
      <c r="B11" s="230" t="s">
        <v>53</v>
      </c>
      <c r="C11" s="231">
        <f>C10/C4</f>
        <v>6.7294233152866145E-2</v>
      </c>
      <c r="D11" s="231">
        <f t="shared" ref="D11:G11" si="2">IFERROR(D10/D4,"")</f>
      </c>
      <c r="E11" s="231">
        <f t="shared" si="2"/>
      </c>
      <c r="F11" s="231">
        <f t="shared" si="2"/>
      </c>
      <c r="G11" s="231">
        <f t="shared" si="2"/>
      </c>
    </row>
    <row r="12" spans="2:9" ht="22.5" customHeight="1" x14ac:dyDescent="0.35">
      <c r="B12" s="76" t="s">
        <v>269</v>
      </c>
      <c r="C12" s="248">
        <f>PL!C56</f>
        <v>14984010</v>
      </c>
      <c r="D12" s="248">
        <f>PL!E56</f>
        <v>8680221</v>
      </c>
      <c r="E12" s="248">
        <f>PL!G56</f>
        <v>9671212</v>
      </c>
      <c r="F12" s="248">
        <f>PL!I56</f>
        <v>0</v>
      </c>
      <c r="G12" s="310">
        <f>PL!K56</f>
        <v>0</v>
      </c>
    </row>
    <row r="13" spans="2:9" s="232" customFormat="1" ht="22.5" customHeight="1" x14ac:dyDescent="0.35">
      <c r="B13" s="230" t="s">
        <v>53</v>
      </c>
      <c r="C13" s="231">
        <f>C12/C4</f>
        <v>4.5981982212883687E-2</v>
      </c>
      <c r="D13" s="231">
        <f t="shared" ref="D13:G13" si="3">IFERROR(D12/D4,"")</f>
      </c>
      <c r="E13" s="231">
        <f t="shared" si="3"/>
      </c>
      <c r="F13" s="231">
        <f t="shared" si="3"/>
      </c>
      <c r="G13" s="231">
        <f t="shared" si="3"/>
      </c>
    </row>
    <row r="14" spans="2:9" ht="14.45" customHeight="1" x14ac:dyDescent="0.35">
      <c r="C14" s="237"/>
      <c r="D14" s="237"/>
      <c r="E14" s="237"/>
      <c r="F14" s="237"/>
      <c r="G14" s="237"/>
    </row>
    <row r="15" spans="2:9" ht="22.5" customHeight="1" x14ac:dyDescent="0.35">
      <c r="B15" s="77" t="s">
        <v>58</v>
      </c>
      <c r="C15" s="478">
        <f>SGA!C29</f>
        <v>5076378</v>
      </c>
      <c r="D15" s="478">
        <f>SGA!E29</f>
        <v>5742515</v>
      </c>
      <c r="E15" s="478">
        <f>SGA!G29</f>
        <v>4523044</v>
      </c>
      <c r="F15" s="478">
        <v>0</v>
      </c>
      <c r="G15" s="478">
        <v>0</v>
      </c>
    </row>
    <row r="16" spans="2:9" ht="15" customHeight="1" x14ac:dyDescent="0.35">
      <c r="C16" s="234"/>
      <c r="D16" s="234"/>
      <c r="E16" s="234"/>
      <c r="F16" s="234"/>
      <c r="G16" s="234"/>
    </row>
    <row r="17" spans="2:7" ht="19.5" x14ac:dyDescent="0.35">
      <c r="B17" s="457" t="s">
        <v>426</v>
      </c>
      <c r="C17" s="473">
        <f>SUM(C18:C27)</f>
        <v>0</v>
      </c>
      <c r="D17" s="473">
        <f t="shared" ref="D17:G17" si="4">SUM(D18:D27)</f>
        <v>0</v>
      </c>
      <c r="E17" s="473">
        <f t="shared" si="4"/>
        <v>0</v>
      </c>
      <c r="F17" s="473">
        <f t="shared" si="4"/>
        <v>0</v>
      </c>
      <c r="G17" s="473">
        <f t="shared" si="4"/>
        <v>0</v>
      </c>
    </row>
    <row r="18" spans="2:7" ht="22.5" customHeight="1" x14ac:dyDescent="0.35">
      <c r="B18" s="463" t="s">
        <v>417</v>
      </c>
      <c r="C18" s="474"/>
      <c r="D18" s="474"/>
      <c r="E18" s="474"/>
      <c r="F18" s="474"/>
      <c r="G18" s="474"/>
    </row>
    <row r="19" spans="2:7" ht="22.5" customHeight="1" x14ac:dyDescent="0.35">
      <c r="B19" s="464" t="s">
        <v>418</v>
      </c>
      <c r="C19" s="475"/>
      <c r="D19" s="476"/>
      <c r="E19" s="476"/>
      <c r="F19" s="476"/>
      <c r="G19" s="476"/>
    </row>
    <row r="20" spans="2:7" ht="22.5" customHeight="1" x14ac:dyDescent="0.35">
      <c r="B20" s="464" t="s">
        <v>416</v>
      </c>
      <c r="C20" s="476">
        <f>(C18+C19)*0.15</f>
        <v>0</v>
      </c>
      <c r="D20" s="476">
        <f t="shared" ref="D20:G20" si="5">(D18+D19)*0.15</f>
        <v>0</v>
      </c>
      <c r="E20" s="476">
        <f t="shared" si="5"/>
        <v>0</v>
      </c>
      <c r="F20" s="476">
        <f t="shared" si="5"/>
        <v>0</v>
      </c>
      <c r="G20" s="476">
        <f t="shared" si="5"/>
        <v>0</v>
      </c>
    </row>
    <row r="21" spans="2:7" ht="22.5" customHeight="1" x14ac:dyDescent="0.35">
      <c r="B21" s="464" t="s">
        <v>413</v>
      </c>
      <c r="C21" s="476"/>
      <c r="D21" s="476"/>
      <c r="E21" s="476"/>
      <c r="F21" s="476"/>
      <c r="G21" s="476"/>
    </row>
    <row r="22" spans="2:7" ht="22.5" customHeight="1" x14ac:dyDescent="0.35">
      <c r="B22" s="464" t="s">
        <v>414</v>
      </c>
      <c r="C22" s="476"/>
      <c r="D22" s="476"/>
      <c r="E22" s="476"/>
      <c r="F22" s="476"/>
      <c r="G22" s="476"/>
    </row>
    <row r="23" spans="2:7" ht="22.5" customHeight="1" x14ac:dyDescent="0.35">
      <c r="B23" s="464" t="s">
        <v>415</v>
      </c>
      <c r="C23" s="476"/>
      <c r="D23" s="476"/>
      <c r="E23" s="476"/>
      <c r="F23" s="476"/>
      <c r="G23" s="476"/>
    </row>
    <row r="24" spans="2:7" ht="22.5" customHeight="1" x14ac:dyDescent="0.35">
      <c r="B24" s="464" t="s">
        <v>420</v>
      </c>
      <c r="C24" s="476"/>
      <c r="D24" s="476"/>
      <c r="E24" s="476"/>
      <c r="F24" s="476"/>
      <c r="G24" s="476"/>
    </row>
    <row r="25" spans="2:7" ht="22.5" customHeight="1" x14ac:dyDescent="0.35">
      <c r="B25" s="464" t="s">
        <v>419</v>
      </c>
      <c r="C25" s="476"/>
      <c r="D25" s="476"/>
      <c r="E25" s="476"/>
      <c r="F25" s="476"/>
      <c r="G25" s="476"/>
    </row>
    <row r="26" spans="2:7" ht="22.5" customHeight="1" x14ac:dyDescent="0.35">
      <c r="B26" s="464"/>
      <c r="C26" s="476"/>
      <c r="D26" s="476"/>
      <c r="E26" s="476"/>
      <c r="F26" s="476"/>
      <c r="G26" s="476"/>
    </row>
    <row r="27" spans="2:7" ht="22.5" customHeight="1" x14ac:dyDescent="0.35">
      <c r="B27" s="465"/>
      <c r="C27" s="477"/>
      <c r="D27" s="477"/>
      <c r="E27" s="477"/>
      <c r="F27" s="477"/>
      <c r="G27" s="477"/>
    </row>
    <row r="28" spans="2:7" ht="22.5" hidden="1" customHeight="1" x14ac:dyDescent="0.35">
      <c r="B28" s="78" t="s">
        <v>61</v>
      </c>
      <c r="C28" s="248"/>
      <c r="D28" s="248"/>
      <c r="E28" s="248"/>
      <c r="F28" s="248"/>
      <c r="G28" s="248"/>
    </row>
    <row r="29" spans="2:7" ht="22.5" hidden="1" customHeight="1" x14ac:dyDescent="0.35">
      <c r="B29" s="78" t="s">
        <v>60</v>
      </c>
      <c r="C29" s="248"/>
      <c r="D29" s="248"/>
      <c r="E29" s="248"/>
      <c r="F29" s="248"/>
      <c r="G29" s="248"/>
    </row>
    <row r="30" spans="2:7" ht="22.5" hidden="1" customHeight="1" x14ac:dyDescent="0.35">
      <c r="B30" s="78" t="s">
        <v>59</v>
      </c>
      <c r="C30" s="248"/>
      <c r="D30" s="248"/>
      <c r="E30" s="248"/>
      <c r="F30" s="248"/>
      <c r="G30" s="248"/>
    </row>
    <row r="31" spans="2:7" ht="22.5" hidden="1" customHeight="1" x14ac:dyDescent="0.35">
      <c r="B31" s="78"/>
      <c r="C31" s="248"/>
      <c r="D31" s="248"/>
      <c r="E31" s="268"/>
      <c r="F31" s="268"/>
      <c r="G31" s="268"/>
    </row>
    <row r="32" spans="2:7" ht="22.5" hidden="1" customHeight="1" x14ac:dyDescent="0.35">
      <c r="B32" s="78"/>
      <c r="C32" s="248"/>
      <c r="D32" s="248"/>
      <c r="E32" s="268"/>
      <c r="F32" s="268"/>
      <c r="G32" s="268"/>
    </row>
    <row r="33" spans="2:7" ht="22.5" hidden="1" customHeight="1" x14ac:dyDescent="0.35">
      <c r="B33" s="78"/>
      <c r="C33" s="248"/>
      <c r="D33" s="248"/>
      <c r="E33" s="268"/>
      <c r="F33" s="268"/>
      <c r="G33" s="268"/>
    </row>
    <row r="34" spans="2:7" ht="22.5" hidden="1" customHeight="1" x14ac:dyDescent="0.35">
      <c r="B34" s="78"/>
      <c r="C34" s="248"/>
      <c r="D34" s="248"/>
      <c r="E34" s="268"/>
      <c r="F34" s="268"/>
      <c r="G34" s="268"/>
    </row>
    <row r="35" spans="2:7" ht="22.5" hidden="1" customHeight="1" thickBot="1" x14ac:dyDescent="0.4">
      <c r="B35" s="78"/>
      <c r="C35" s="248"/>
      <c r="D35" s="248"/>
      <c r="E35" s="268"/>
      <c r="F35" s="268"/>
      <c r="G35" s="268"/>
    </row>
    <row r="36" spans="2:7" ht="15" customHeight="1" thickBot="1" x14ac:dyDescent="0.4">
      <c r="C36" s="237"/>
      <c r="D36" s="237"/>
      <c r="E36" s="237"/>
      <c r="F36" s="237"/>
      <c r="G36" s="237"/>
    </row>
    <row r="37" spans="2:7" s="74" customFormat="1" ht="21" thickTop="1" thickBot="1" x14ac:dyDescent="0.4">
      <c r="B37" s="72" t="s">
        <v>425</v>
      </c>
      <c r="C37" s="466">
        <f>C8+C15+C17</f>
        <v>25962005</v>
      </c>
      <c r="D37" s="466">
        <f t="shared" ref="D37:G37" si="6">D8+D15+D17</f>
        <v>16516958</v>
      </c>
      <c r="E37" s="466">
        <f t="shared" si="6"/>
        <v>17447329</v>
      </c>
      <c r="F37" s="466">
        <f t="shared" si="6"/>
        <v>0</v>
      </c>
      <c r="G37" s="466">
        <f t="shared" si="6"/>
        <v>0</v>
      </c>
    </row>
    <row r="38" spans="2:7" ht="19.5" thickTop="1" x14ac:dyDescent="0.35">
      <c r="B38" s="69"/>
      <c r="C38" s="467"/>
      <c r="D38" s="467"/>
      <c r="E38" s="467"/>
      <c r="F38" s="467"/>
      <c r="G38" s="467"/>
    </row>
    <row r="39" spans="2:7" x14ac:dyDescent="0.35">
      <c r="C39" s="237"/>
      <c r="D39" s="237"/>
      <c r="E39" s="237"/>
      <c r="F39" s="237"/>
      <c r="G39" s="237"/>
    </row>
    <row r="40" spans="2:7" x14ac:dyDescent="0.35">
      <c r="B40" s="70"/>
      <c r="C40" s="468"/>
      <c r="D40" s="469"/>
      <c r="E40" s="469"/>
      <c r="F40" s="469"/>
      <c r="G40" s="469"/>
    </row>
    <row r="41" spans="2:7" x14ac:dyDescent="0.35">
      <c r="B41" s="70"/>
      <c r="C41" s="468"/>
      <c r="D41" s="469"/>
      <c r="E41" s="469"/>
      <c r="F41" s="469"/>
      <c r="G41" s="469"/>
    </row>
    <row r="42" spans="2:7" x14ac:dyDescent="0.35">
      <c r="B42" s="70"/>
      <c r="C42" s="468"/>
      <c r="D42" s="469"/>
      <c r="E42" s="469"/>
      <c r="F42" s="469"/>
      <c r="G42" s="469"/>
    </row>
    <row r="43" spans="2:7" x14ac:dyDescent="0.35">
      <c r="B43" s="70"/>
      <c r="C43" s="468"/>
      <c r="D43" s="469"/>
      <c r="E43" s="469"/>
      <c r="F43" s="469"/>
      <c r="G43" s="469"/>
    </row>
    <row r="44" spans="2:7" x14ac:dyDescent="0.35">
      <c r="B44" s="70"/>
      <c r="C44" s="468"/>
      <c r="D44" s="469"/>
      <c r="E44" s="469"/>
      <c r="F44" s="469"/>
      <c r="G44" s="469"/>
    </row>
    <row r="45" spans="2:7" x14ac:dyDescent="0.35">
      <c r="B45" s="70"/>
      <c r="C45" s="470"/>
      <c r="D45" s="471"/>
      <c r="E45" s="471"/>
      <c r="F45" s="471"/>
      <c r="G45" s="471"/>
    </row>
    <row r="46" spans="2:7" x14ac:dyDescent="0.35">
      <c r="B46" s="70"/>
      <c r="C46" s="470"/>
      <c r="D46" s="471"/>
      <c r="E46" s="471"/>
      <c r="F46" s="471"/>
      <c r="G46" s="471"/>
    </row>
    <row r="47" spans="2:7" x14ac:dyDescent="0.35">
      <c r="B47" s="70"/>
      <c r="C47" s="81"/>
      <c r="D47" s="70"/>
      <c r="E47" s="70"/>
      <c r="F47" s="70"/>
      <c r="G47" s="70"/>
    </row>
    <row r="48" spans="2:7" x14ac:dyDescent="0.35">
      <c r="B48" s="70"/>
      <c r="C48" s="81"/>
      <c r="D48" s="70"/>
      <c r="E48" s="70"/>
      <c r="F48" s="70"/>
      <c r="G48" s="70"/>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D9C01-845E-49B1-A405-C9DF5DC825AE}">
  <dimension ref="B2:F45"/>
  <sheetViews>
    <sheetView showGridLines="0" zoomScale="85" zoomScaleNormal="85" workbookViewId="0"/>
  </sheetViews>
  <sheetFormatPr defaultColWidth="8.875" defaultRowHeight="18.75" x14ac:dyDescent="0.35"/>
  <cols>
    <col min="1" max="1" width="8.875" style="65"/>
    <col min="2" max="3" width="16.125" style="65" customWidth="1"/>
    <col min="4" max="4" width="1.125" style="65" customWidth="1"/>
    <col min="5" max="6" width="16.125" style="65" customWidth="1"/>
    <col min="7" max="16384" width="8.875" style="65"/>
  </cols>
  <sheetData>
    <row r="2" spans="2:6" x14ac:dyDescent="0.35">
      <c r="F2" s="73" t="s">
        <v>66</v>
      </c>
    </row>
    <row r="3" spans="2:6" ht="19.5" x14ac:dyDescent="0.35">
      <c r="B3" s="82" t="str">
        <f>PLハイライト!E3</f>
        <v>2025年12月期</v>
      </c>
      <c r="C3" s="83"/>
      <c r="D3" s="83"/>
      <c r="E3" s="84"/>
      <c r="F3" s="84"/>
    </row>
    <row r="4" spans="2:6" ht="22.5" customHeight="1" x14ac:dyDescent="0.35">
      <c r="B4" s="85" t="s">
        <v>67</v>
      </c>
      <c r="C4" s="101">
        <f>SUM(C5:C12)</f>
        <v>141385419</v>
      </c>
      <c r="D4" s="86"/>
      <c r="E4" s="87" t="s">
        <v>68</v>
      </c>
      <c r="F4" s="106">
        <f>SUM(F5:F10)</f>
        <v>41577715</v>
      </c>
    </row>
    <row r="5" spans="2:6" ht="22.5" customHeight="1" x14ac:dyDescent="0.35">
      <c r="B5" s="88" t="s">
        <v>75</v>
      </c>
      <c r="C5" s="102">
        <v>61842402</v>
      </c>
      <c r="D5" s="68"/>
      <c r="E5" s="89" t="s">
        <v>199</v>
      </c>
      <c r="F5" s="107">
        <v>26935462</v>
      </c>
    </row>
    <row r="6" spans="2:6" ht="22.5" customHeight="1" x14ac:dyDescent="0.35">
      <c r="B6" s="90" t="s">
        <v>510</v>
      </c>
      <c r="C6" s="103">
        <v>26584168</v>
      </c>
      <c r="D6" s="91"/>
      <c r="E6" s="92" t="s">
        <v>522</v>
      </c>
      <c r="F6" s="108">
        <v>8000000</v>
      </c>
    </row>
    <row r="7" spans="2:6" ht="22.5" customHeight="1" x14ac:dyDescent="0.35">
      <c r="B7" s="90" t="s">
        <v>511</v>
      </c>
      <c r="C7" s="103">
        <v>619688</v>
      </c>
      <c r="D7" s="91"/>
      <c r="E7" s="92" t="s">
        <v>200</v>
      </c>
      <c r="F7" s="108">
        <v>3541353</v>
      </c>
    </row>
    <row r="8" spans="2:6" ht="22.5" customHeight="1" x14ac:dyDescent="0.35">
      <c r="B8" s="90" t="s">
        <v>512</v>
      </c>
      <c r="C8" s="103">
        <v>161700</v>
      </c>
      <c r="D8" s="91"/>
      <c r="E8" s="92" t="s">
        <v>523</v>
      </c>
      <c r="F8" s="108">
        <v>3100900</v>
      </c>
    </row>
    <row r="9" spans="2:6" ht="22.5" customHeight="1" x14ac:dyDescent="0.35">
      <c r="B9" s="90" t="s">
        <v>513</v>
      </c>
      <c r="C9" s="103">
        <v>52401281</v>
      </c>
      <c r="D9" s="91"/>
      <c r="E9" s="92"/>
      <c r="F9" s="108"/>
    </row>
    <row r="10" spans="2:6" ht="22.5" customHeight="1" x14ac:dyDescent="0.35">
      <c r="B10" s="90" t="s">
        <v>514</v>
      </c>
      <c r="C10" s="103">
        <v>-524000</v>
      </c>
      <c r="D10" s="68"/>
      <c r="E10" s="89"/>
      <c r="F10" s="107"/>
    </row>
    <row r="11" spans="2:6" ht="22.5" customHeight="1" x14ac:dyDescent="0.35">
      <c r="B11" s="90" t="s">
        <v>515</v>
      </c>
      <c r="C11" s="103">
        <v>180</v>
      </c>
      <c r="D11" s="68"/>
      <c r="E11" s="87" t="s">
        <v>70</v>
      </c>
      <c r="F11" s="109">
        <f>SUM(F12:F14)</f>
        <v>47200000</v>
      </c>
    </row>
    <row r="12" spans="2:6" ht="22.5" customHeight="1" x14ac:dyDescent="0.35">
      <c r="B12" s="90" t="s">
        <v>516</v>
      </c>
      <c r="C12" s="103">
        <v>300000</v>
      </c>
      <c r="D12" s="91"/>
      <c r="E12" s="92" t="s">
        <v>203</v>
      </c>
      <c r="F12" s="108">
        <v>47200000</v>
      </c>
    </row>
    <row r="13" spans="2:6" ht="22.5" customHeight="1" x14ac:dyDescent="0.35">
      <c r="B13" s="90"/>
      <c r="C13" s="103"/>
      <c r="D13" s="91"/>
      <c r="E13" s="92"/>
      <c r="F13" s="108"/>
    </row>
    <row r="14" spans="2:6" ht="22.5" customHeight="1" x14ac:dyDescent="0.35">
      <c r="B14" s="87" t="s">
        <v>69</v>
      </c>
      <c r="C14" s="104">
        <f>SUM(C15:C19)</f>
        <v>19843083</v>
      </c>
      <c r="D14" s="91"/>
      <c r="E14" s="92"/>
      <c r="F14" s="108"/>
    </row>
    <row r="15" spans="2:6" ht="22.5" customHeight="1" x14ac:dyDescent="0.35">
      <c r="B15" s="90" t="s">
        <v>518</v>
      </c>
      <c r="C15" s="103">
        <v>5361688</v>
      </c>
      <c r="D15" s="91"/>
      <c r="E15" s="458" t="s">
        <v>71</v>
      </c>
      <c r="F15" s="459">
        <f>F4+F11</f>
        <v>88777715</v>
      </c>
    </row>
    <row r="16" spans="2:6" ht="22.5" customHeight="1" x14ac:dyDescent="0.35">
      <c r="B16" s="90" t="s">
        <v>204</v>
      </c>
      <c r="C16" s="103">
        <v>2040707</v>
      </c>
      <c r="D16" s="91"/>
      <c r="E16" s="92"/>
      <c r="F16" s="108"/>
    </row>
    <row r="17" spans="2:6" ht="22.5" customHeight="1" x14ac:dyDescent="0.35">
      <c r="B17" s="90" t="s">
        <v>519</v>
      </c>
      <c r="C17" s="103">
        <v>4816004</v>
      </c>
      <c r="D17" s="91"/>
      <c r="E17" s="92" t="s">
        <v>206</v>
      </c>
      <c r="F17" s="108">
        <v>9000000</v>
      </c>
    </row>
    <row r="18" spans="2:6" ht="22.5" customHeight="1" x14ac:dyDescent="0.35">
      <c r="B18" s="90" t="s">
        <v>520</v>
      </c>
      <c r="C18" s="103">
        <v>6639280</v>
      </c>
      <c r="D18" s="91"/>
      <c r="E18" s="92" t="s">
        <v>524</v>
      </c>
      <c r="F18" s="108">
        <v>1000000</v>
      </c>
    </row>
    <row r="19" spans="2:6" ht="22.5" customHeight="1" x14ac:dyDescent="0.35">
      <c r="B19" s="90" t="s">
        <v>521</v>
      </c>
      <c r="C19" s="103">
        <v>985404</v>
      </c>
      <c r="D19" s="91"/>
      <c r="E19" s="92" t="s">
        <v>525</v>
      </c>
      <c r="F19" s="108">
        <v>62450787</v>
      </c>
    </row>
    <row r="20" spans="2:6" ht="22.5" customHeight="1" x14ac:dyDescent="0.35">
      <c r="D20" s="91"/>
      <c r="E20" s="460" t="s">
        <v>72</v>
      </c>
      <c r="F20" s="461">
        <f>SUM(F16:F19)</f>
        <v>72450787</v>
      </c>
    </row>
    <row r="21" spans="2:6" ht="22.5" customHeight="1" x14ac:dyDescent="0.35">
      <c r="B21" s="460" t="s">
        <v>74</v>
      </c>
      <c r="C21" s="479">
        <f>C4+C14</f>
        <v>161228502</v>
      </c>
      <c r="D21" s="91"/>
      <c r="E21" s="460" t="s">
        <v>73</v>
      </c>
      <c r="F21" s="461">
        <f>F15+F20</f>
        <v>161228502</v>
      </c>
    </row>
    <row r="22" spans="2:6" x14ac:dyDescent="0.35">
      <c r="C22" s="105"/>
      <c r="F22" s="105"/>
    </row>
    <row r="23" spans="2:6" x14ac:dyDescent="0.35">
      <c r="C23" s="105"/>
      <c r="F23" s="105" t="b">
        <f>F21=C21</f>
        <v>1</v>
      </c>
    </row>
    <row r="24" spans="2:6" x14ac:dyDescent="0.35">
      <c r="C24" s="105"/>
      <c r="F24" s="105"/>
    </row>
    <row r="25" spans="2:6" x14ac:dyDescent="0.35">
      <c r="C25" s="105"/>
      <c r="F25" s="105"/>
    </row>
    <row r="26" spans="2:6" x14ac:dyDescent="0.35">
      <c r="C26" s="105"/>
      <c r="F26" s="105"/>
    </row>
    <row r="27" spans="2:6" x14ac:dyDescent="0.35">
      <c r="C27" s="105"/>
      <c r="F27" s="105"/>
    </row>
    <row r="28" spans="2:6" x14ac:dyDescent="0.35">
      <c r="C28" s="105"/>
      <c r="F28" s="105"/>
    </row>
    <row r="29" spans="2:6" x14ac:dyDescent="0.35">
      <c r="C29" s="105"/>
      <c r="F29" s="105"/>
    </row>
    <row r="30" spans="2:6" x14ac:dyDescent="0.35">
      <c r="C30" s="105"/>
      <c r="F30" s="105"/>
    </row>
    <row r="31" spans="2:6" x14ac:dyDescent="0.35">
      <c r="C31" s="105"/>
      <c r="F31" s="105"/>
    </row>
    <row r="32" spans="2:6" x14ac:dyDescent="0.35">
      <c r="C32" s="105"/>
      <c r="F32" s="105"/>
    </row>
    <row r="33" spans="3:6" x14ac:dyDescent="0.35">
      <c r="C33" s="105"/>
      <c r="F33" s="105"/>
    </row>
    <row r="34" spans="3:6" x14ac:dyDescent="0.35">
      <c r="C34" s="105"/>
      <c r="F34" s="105"/>
    </row>
    <row r="35" spans="3:6" x14ac:dyDescent="0.35">
      <c r="C35" s="105"/>
      <c r="F35" s="105"/>
    </row>
    <row r="36" spans="3:6" x14ac:dyDescent="0.35">
      <c r="C36" s="105"/>
      <c r="F36" s="105"/>
    </row>
    <row r="37" spans="3:6" x14ac:dyDescent="0.35">
      <c r="C37" s="105"/>
      <c r="F37" s="105"/>
    </row>
    <row r="38" spans="3:6" x14ac:dyDescent="0.35">
      <c r="C38" s="105"/>
      <c r="F38" s="105"/>
    </row>
    <row r="39" spans="3:6" x14ac:dyDescent="0.35">
      <c r="F39" s="105"/>
    </row>
    <row r="40" spans="3:6" x14ac:dyDescent="0.35">
      <c r="F40" s="105"/>
    </row>
    <row r="41" spans="3:6" x14ac:dyDescent="0.35">
      <c r="F41" s="105"/>
    </row>
    <row r="42" spans="3:6" x14ac:dyDescent="0.35">
      <c r="F42" s="105"/>
    </row>
    <row r="43" spans="3:6" x14ac:dyDescent="0.35">
      <c r="F43" s="105"/>
    </row>
    <row r="44" spans="3:6" x14ac:dyDescent="0.35">
      <c r="F44" s="105"/>
    </row>
    <row r="45" spans="3:6" x14ac:dyDescent="0.35">
      <c r="F45" s="105"/>
    </row>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1919-9814-4319-A332-DF771E09D48A}">
  <dimension ref="B2:M16"/>
  <sheetViews>
    <sheetView showGridLines="0" zoomScaleNormal="100" workbookViewId="0">
      <selection activeCell="B5" sqref="B5:B14"/>
    </sheetView>
  </sheetViews>
  <sheetFormatPr defaultColWidth="8.875" defaultRowHeight="18.75" x14ac:dyDescent="0.35"/>
  <cols>
    <col min="1" max="1" width="3.875" style="65" customWidth="1"/>
    <col min="2" max="2" width="4.375" style="65" customWidth="1"/>
    <col min="3" max="4" width="30.375" style="65" customWidth="1"/>
    <col min="5" max="5" width="16.125" style="65" customWidth="1"/>
    <col min="6" max="6" width="19.125" style="65" customWidth="1"/>
    <col min="7" max="7" width="11.5" style="65" customWidth="1"/>
    <col min="8" max="8" width="8.5" style="65" customWidth="1"/>
    <col min="9" max="9" width="11.5" style="65" customWidth="1"/>
    <col min="10" max="10" width="8.5" style="65" customWidth="1"/>
    <col min="11" max="11" width="11.5" style="65" customWidth="1"/>
    <col min="12" max="12" width="8.5" style="65" customWidth="1"/>
    <col min="13" max="13" width="31.5" style="65" customWidth="1"/>
    <col min="14" max="16384" width="8.875" style="65"/>
  </cols>
  <sheetData>
    <row r="2" spans="2:13" x14ac:dyDescent="0.35">
      <c r="L2" s="73" t="s">
        <v>66</v>
      </c>
    </row>
    <row r="3" spans="2:13" ht="19.350000000000001" customHeight="1" x14ac:dyDescent="0.35">
      <c r="B3" s="570" t="s">
        <v>83</v>
      </c>
      <c r="C3" s="570" t="s">
        <v>86</v>
      </c>
      <c r="D3" s="569" t="s">
        <v>96</v>
      </c>
      <c r="E3" s="570" t="s">
        <v>87</v>
      </c>
      <c r="F3" s="570" t="s">
        <v>88</v>
      </c>
      <c r="G3" s="96" t="s">
        <v>90</v>
      </c>
      <c r="H3" s="96"/>
      <c r="I3" s="96" t="s">
        <v>90</v>
      </c>
      <c r="J3" s="96"/>
      <c r="K3" s="96" t="s">
        <v>90</v>
      </c>
      <c r="L3" s="96"/>
      <c r="M3" s="567" t="s">
        <v>84</v>
      </c>
    </row>
    <row r="4" spans="2:13" ht="19.350000000000001" customHeight="1" x14ac:dyDescent="0.35">
      <c r="B4" s="571"/>
      <c r="C4" s="571"/>
      <c r="D4" s="570"/>
      <c r="E4" s="571"/>
      <c r="F4" s="571"/>
      <c r="G4" s="97" t="s">
        <v>39</v>
      </c>
      <c r="H4" s="97" t="s">
        <v>85</v>
      </c>
      <c r="I4" s="97" t="s">
        <v>39</v>
      </c>
      <c r="J4" s="97" t="s">
        <v>85</v>
      </c>
      <c r="K4" s="97" t="s">
        <v>39</v>
      </c>
      <c r="L4" s="97" t="s">
        <v>85</v>
      </c>
      <c r="M4" s="568"/>
    </row>
    <row r="5" spans="2:13" ht="23.45" customHeight="1" x14ac:dyDescent="0.35">
      <c r="B5" s="434">
        <v>1</v>
      </c>
      <c r="C5" s="61" t="s">
        <v>92</v>
      </c>
      <c r="D5" s="61"/>
      <c r="E5" s="61" t="s">
        <v>91</v>
      </c>
      <c r="F5" s="61" t="s">
        <v>28</v>
      </c>
      <c r="G5" s="100"/>
      <c r="H5" s="59">
        <f>IFERROR(G5/G$16,"")</f>
      </c>
      <c r="I5" s="100"/>
      <c r="J5" s="59">
        <f>IFERROR(I5/I$16,"")</f>
      </c>
      <c r="K5" s="100"/>
      <c r="L5" s="59">
        <f>IFERROR(K5/K$16,"")</f>
      </c>
      <c r="M5" s="98" t="s">
        <v>94</v>
      </c>
    </row>
    <row r="6" spans="2:13" ht="23.45" customHeight="1" x14ac:dyDescent="0.35">
      <c r="B6" s="435">
        <v>2</v>
      </c>
      <c r="C6" s="61"/>
      <c r="D6" s="61"/>
      <c r="E6" s="61"/>
      <c r="F6" s="61"/>
      <c r="G6" s="100"/>
      <c r="H6" s="59">
        <f t="shared" ref="H6:H14" si="0">IFERROR(G6/G$16,"")</f>
      </c>
      <c r="I6" s="100"/>
      <c r="J6" s="59">
        <f t="shared" ref="J6" si="1">IFERROR(I6/I$16,"")</f>
      </c>
      <c r="K6" s="100"/>
      <c r="L6" s="59">
        <f t="shared" ref="L6" si="2">IFERROR(K6/K$16,"")</f>
      </c>
      <c r="M6" s="99"/>
    </row>
    <row r="7" spans="2:13" ht="23.45" customHeight="1" x14ac:dyDescent="0.35">
      <c r="B7" s="436">
        <v>3</v>
      </c>
      <c r="C7" s="61"/>
      <c r="D7" s="61"/>
      <c r="E7" s="61"/>
      <c r="F7" s="61"/>
      <c r="G7" s="100"/>
      <c r="H7" s="59">
        <f t="shared" si="0"/>
      </c>
      <c r="I7" s="100"/>
      <c r="J7" s="59">
        <f t="shared" ref="J7" si="3">IFERROR(I7/I$16,"")</f>
      </c>
      <c r="K7" s="100"/>
      <c r="L7" s="59">
        <f t="shared" ref="L7" si="4">IFERROR(K7/K$16,"")</f>
      </c>
      <c r="M7" s="99"/>
    </row>
    <row r="8" spans="2:13" ht="23.45" customHeight="1" x14ac:dyDescent="0.35">
      <c r="B8" s="435">
        <v>4</v>
      </c>
      <c r="C8" s="61"/>
      <c r="D8" s="61"/>
      <c r="E8" s="61"/>
      <c r="F8" s="61"/>
      <c r="G8" s="100"/>
      <c r="H8" s="59">
        <f t="shared" si="0"/>
      </c>
      <c r="I8" s="100"/>
      <c r="J8" s="59">
        <f t="shared" ref="J8" si="5">IFERROR(I8/I$16,"")</f>
      </c>
      <c r="K8" s="100"/>
      <c r="L8" s="59">
        <f t="shared" ref="L8" si="6">IFERROR(K8/K$16,"")</f>
      </c>
      <c r="M8" s="99"/>
    </row>
    <row r="9" spans="2:13" ht="23.45" customHeight="1" x14ac:dyDescent="0.35">
      <c r="B9" s="436">
        <v>5</v>
      </c>
      <c r="C9" s="61"/>
      <c r="D9" s="61"/>
      <c r="E9" s="61"/>
      <c r="F9" s="61"/>
      <c r="G9" s="100"/>
      <c r="H9" s="59">
        <f t="shared" si="0"/>
      </c>
      <c r="I9" s="100"/>
      <c r="J9" s="59">
        <f t="shared" ref="J9" si="7">IFERROR(I9/I$16,"")</f>
      </c>
      <c r="K9" s="100"/>
      <c r="L9" s="59">
        <f t="shared" ref="L9" si="8">IFERROR(K9/K$16,"")</f>
      </c>
      <c r="M9" s="99"/>
    </row>
    <row r="10" spans="2:13" ht="23.45" customHeight="1" x14ac:dyDescent="0.35">
      <c r="B10" s="435">
        <v>6</v>
      </c>
      <c r="C10" s="61"/>
      <c r="D10" s="61"/>
      <c r="E10" s="61"/>
      <c r="F10" s="61"/>
      <c r="G10" s="100"/>
      <c r="H10" s="59">
        <f t="shared" si="0"/>
      </c>
      <c r="I10" s="100"/>
      <c r="J10" s="59">
        <f t="shared" ref="J10" si="9">IFERROR(I10/I$16,"")</f>
      </c>
      <c r="K10" s="100"/>
      <c r="L10" s="59">
        <f t="shared" ref="L10" si="10">IFERROR(K10/K$16,"")</f>
      </c>
      <c r="M10" s="99"/>
    </row>
    <row r="11" spans="2:13" ht="23.45" customHeight="1" x14ac:dyDescent="0.35">
      <c r="B11" s="436">
        <v>7</v>
      </c>
      <c r="C11" s="61"/>
      <c r="D11" s="61"/>
      <c r="E11" s="61"/>
      <c r="F11" s="61"/>
      <c r="G11" s="100"/>
      <c r="H11" s="59">
        <f t="shared" si="0"/>
      </c>
      <c r="I11" s="100"/>
      <c r="J11" s="59">
        <f t="shared" ref="J11" si="11">IFERROR(I11/I$16,"")</f>
      </c>
      <c r="K11" s="100"/>
      <c r="L11" s="59">
        <f t="shared" ref="L11" si="12">IFERROR(K11/K$16,"")</f>
      </c>
      <c r="M11" s="99"/>
    </row>
    <row r="12" spans="2:13" ht="23.45" customHeight="1" x14ac:dyDescent="0.35">
      <c r="B12" s="435">
        <v>8</v>
      </c>
      <c r="C12" s="61"/>
      <c r="D12" s="61"/>
      <c r="E12" s="61"/>
      <c r="F12" s="61"/>
      <c r="G12" s="100"/>
      <c r="H12" s="59">
        <f t="shared" si="0"/>
      </c>
      <c r="I12" s="100"/>
      <c r="J12" s="59">
        <f t="shared" ref="J12" si="13">IFERROR(I12/I$16,"")</f>
      </c>
      <c r="K12" s="100"/>
      <c r="L12" s="59">
        <f t="shared" ref="L12" si="14">IFERROR(K12/K$16,"")</f>
      </c>
      <c r="M12" s="99"/>
    </row>
    <row r="13" spans="2:13" ht="23.45" customHeight="1" x14ac:dyDescent="0.35">
      <c r="B13" s="436">
        <v>9</v>
      </c>
      <c r="C13" s="61"/>
      <c r="D13" s="61"/>
      <c r="E13" s="61"/>
      <c r="F13" s="61"/>
      <c r="G13" s="100"/>
      <c r="H13" s="59">
        <f t="shared" si="0"/>
      </c>
      <c r="I13" s="100"/>
      <c r="J13" s="59">
        <f t="shared" ref="J13" si="15">IFERROR(I13/I$16,"")</f>
      </c>
      <c r="K13" s="100"/>
      <c r="L13" s="59">
        <f t="shared" ref="L13" si="16">IFERROR(K13/K$16,"")</f>
      </c>
      <c r="M13" s="99"/>
    </row>
    <row r="14" spans="2:13" ht="23.45" customHeight="1" x14ac:dyDescent="0.35">
      <c r="B14" s="435">
        <v>10</v>
      </c>
      <c r="C14" s="61"/>
      <c r="D14" s="61"/>
      <c r="E14" s="61"/>
      <c r="F14" s="61"/>
      <c r="G14" s="100"/>
      <c r="H14" s="59">
        <f t="shared" si="0"/>
      </c>
      <c r="I14" s="100"/>
      <c r="J14" s="59">
        <f t="shared" ref="J14" si="17">IFERROR(I14/I$16,"")</f>
      </c>
      <c r="K14" s="100"/>
      <c r="L14" s="59">
        <f t="shared" ref="L14" si="18">IFERROR(K14/K$16,"")</f>
      </c>
      <c r="M14" s="99"/>
    </row>
    <row r="15" spans="2:13" ht="23.45" customHeight="1" x14ac:dyDescent="0.35">
      <c r="B15" s="66"/>
      <c r="C15" s="93" t="s">
        <v>89</v>
      </c>
      <c r="D15" s="93"/>
      <c r="E15" s="93"/>
      <c r="F15" s="93"/>
      <c r="G15" s="100"/>
      <c r="H15" s="59">
        <f>IFERROR(G15/G$16,"")</f>
      </c>
      <c r="I15" s="100"/>
      <c r="J15" s="59">
        <f>IFERROR(I15/I$16,"")</f>
      </c>
      <c r="K15" s="100"/>
      <c r="L15" s="59">
        <f>IFERROR(K15/K$16,"")</f>
      </c>
      <c r="M15" s="99"/>
    </row>
    <row r="16" spans="2:13" ht="23.45" customHeight="1" x14ac:dyDescent="0.35">
      <c r="B16" s="158"/>
      <c r="C16" s="159" t="s">
        <v>93</v>
      </c>
      <c r="D16" s="159"/>
      <c r="E16" s="159"/>
      <c r="F16" s="159"/>
      <c r="G16" s="160"/>
      <c r="H16" s="161" t="s">
        <v>56</v>
      </c>
      <c r="I16" s="160"/>
      <c r="J16" s="161" t="s">
        <v>56</v>
      </c>
      <c r="K16" s="160"/>
      <c r="L16" s="161" t="s">
        <v>56</v>
      </c>
      <c r="M16" s="155"/>
    </row>
  </sheetData>
  <mergeCells count="6">
    <mergeCell ref="M3:M4"/>
    <mergeCell ref="D3:D4"/>
    <mergeCell ref="B3:B4"/>
    <mergeCell ref="C3:C4"/>
    <mergeCell ref="E3:E4"/>
    <mergeCell ref="F3:F4"/>
  </mergeCells>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D9C4-FD38-47B4-9781-6B4CF825ED53}">
  <dimension ref="B2:L16"/>
  <sheetViews>
    <sheetView showGridLines="0" zoomScaleNormal="100" workbookViewId="0">
      <selection activeCell="B5" sqref="B5:B15"/>
    </sheetView>
  </sheetViews>
  <sheetFormatPr defaultColWidth="8.875" defaultRowHeight="18.75" x14ac:dyDescent="0.35"/>
  <cols>
    <col min="1" max="1" width="3.875" style="65" customWidth="1"/>
    <col min="2" max="2" width="4.375" style="65" customWidth="1"/>
    <col min="3" max="4" width="30.375" style="65" customWidth="1"/>
    <col min="5" max="5" width="16.125" style="65" customWidth="1"/>
    <col min="6" max="6" width="11.5" style="65" customWidth="1"/>
    <col min="7" max="7" width="8.5" style="65" customWidth="1"/>
    <col min="8" max="8" width="11.5" style="65" customWidth="1"/>
    <col min="9" max="9" width="8.5" style="65" customWidth="1"/>
    <col min="10" max="10" width="11.5" style="65" customWidth="1"/>
    <col min="11" max="11" width="8.5" style="65" customWidth="1"/>
    <col min="12" max="12" width="31.5" style="65" customWidth="1"/>
    <col min="13" max="16384" width="8.875" style="65"/>
  </cols>
  <sheetData>
    <row r="2" spans="2:12" x14ac:dyDescent="0.35">
      <c r="K2" s="73" t="s">
        <v>66</v>
      </c>
    </row>
    <row r="3" spans="2:12" ht="19.350000000000001" customHeight="1" x14ac:dyDescent="0.35">
      <c r="B3" s="570" t="s">
        <v>83</v>
      </c>
      <c r="C3" s="570" t="s">
        <v>95</v>
      </c>
      <c r="D3" s="569" t="s">
        <v>97</v>
      </c>
      <c r="E3" s="570" t="s">
        <v>87</v>
      </c>
      <c r="F3" s="96" t="s">
        <v>90</v>
      </c>
      <c r="G3" s="96"/>
      <c r="H3" s="96" t="s">
        <v>90</v>
      </c>
      <c r="I3" s="96"/>
      <c r="J3" s="96" t="s">
        <v>90</v>
      </c>
      <c r="K3" s="96"/>
      <c r="L3" s="567" t="s">
        <v>84</v>
      </c>
    </row>
    <row r="4" spans="2:12" ht="19.350000000000001" customHeight="1" x14ac:dyDescent="0.35">
      <c r="B4" s="571"/>
      <c r="C4" s="571"/>
      <c r="D4" s="570"/>
      <c r="E4" s="571"/>
      <c r="F4" s="97" t="s">
        <v>98</v>
      </c>
      <c r="G4" s="97" t="s">
        <v>85</v>
      </c>
      <c r="H4" s="97" t="s">
        <v>98</v>
      </c>
      <c r="I4" s="97" t="s">
        <v>85</v>
      </c>
      <c r="J4" s="97" t="s">
        <v>98</v>
      </c>
      <c r="K4" s="97" t="s">
        <v>85</v>
      </c>
      <c r="L4" s="568"/>
    </row>
    <row r="5" spans="2:12" ht="23.45" customHeight="1" x14ac:dyDescent="0.35">
      <c r="B5" s="434">
        <v>1</v>
      </c>
      <c r="C5" s="61" t="inlineStr">
        <is>
          <t>㈱ﾒﾃﾞｨｾｵ</t>
        </is>
      </c>
      <c r="D5" s="61" t="inlineStr">
        <is>
          <t>医薬品</t>
        </is>
      </c>
      <c r="E5" s="61" t="inlineStr">
        <is>
          <t>東京都中央区</t>
        </is>
      </c>
      <c r="F5" s="100"/>
      <c r="G5" s="59">
        <f>IFERROR(F5/F$16,"")</f>
      </c>
      <c r="H5" s="100"/>
      <c r="I5" s="59">
        <f>IFERROR(H5/H$16,"")</f>
      </c>
      <c r="J5" s="100"/>
      <c r="K5" s="59">
        <f>IFERROR(J5/J$16,"")</f>
      </c>
      <c r="L5" s="98" t="inlineStr">
        <is>
          <t>買掛金残高 11,139,951円（R7.12末）</t>
        </is>
      </c>
    </row>
    <row r="6" spans="2:12" ht="23.45" customHeight="1" x14ac:dyDescent="0.35">
      <c r="B6" s="435">
        <v>2</v>
      </c>
      <c r="C6" s="61" t="inlineStr">
        <is>
          <t>ｱﾙﾌﾚｯｻ㈱</t>
        </is>
      </c>
      <c r="D6" s="61" t="inlineStr">
        <is>
          <t>医薬品</t>
        </is>
      </c>
      <c r="E6" s="61" t="inlineStr">
        <is>
          <t>東京都千代田区</t>
        </is>
      </c>
      <c r="F6" s="100"/>
      <c r="G6" s="59">
        <f t="shared" ref="G6:G14" si="0">IFERROR(F6/F$16,"")</f>
      </c>
      <c r="H6" s="100"/>
      <c r="I6" s="59">
        <f t="shared" ref="I6:I14" si="1">IFERROR(H6/H$16,"")</f>
      </c>
      <c r="J6" s="100"/>
      <c r="K6" s="59">
        <f t="shared" ref="K6:K14" si="2">IFERROR(J6/J$16,"")</f>
      </c>
      <c r="L6" s="99" t="inlineStr">
        <is>
          <t>買掛金残高 8,606,699円（R7.12末）</t>
        </is>
      </c>
    </row>
    <row r="7" spans="2:12" ht="23.45" customHeight="1" x14ac:dyDescent="0.35">
      <c r="B7" s="436">
        <v>3</v>
      </c>
      <c r="C7" s="61" t="inlineStr">
        <is>
          <t>㈱ｽｽﾞｹﾝ</t>
        </is>
      </c>
      <c r="D7" s="61" t="inlineStr">
        <is>
          <t>医薬品</t>
        </is>
      </c>
      <c r="E7" s="61" t="inlineStr">
        <is>
          <t>横浜市緑区</t>
        </is>
      </c>
      <c r="F7" s="100"/>
      <c r="G7" s="59">
        <f t="shared" si="0"/>
      </c>
      <c r="H7" s="100"/>
      <c r="I7" s="59">
        <f t="shared" si="1"/>
      </c>
      <c r="J7" s="100"/>
      <c r="K7" s="59">
        <f t="shared" si="2"/>
      </c>
      <c r="L7" s="99" t="inlineStr">
        <is>
          <t>買掛金残高 7,011,326円（R7.12末）</t>
        </is>
      </c>
    </row>
    <row r="8" spans="2:12" ht="23.45" customHeight="1" x14ac:dyDescent="0.35">
      <c r="B8" s="435">
        <v>4</v>
      </c>
      <c r="C8" s="61" t="inlineStr">
        <is>
          <t>神奈川東和薬品㈱</t>
        </is>
      </c>
      <c r="D8" s="61" t="inlineStr">
        <is>
          <t>医薬品</t>
        </is>
      </c>
      <c r="E8" s="61" t="inlineStr">
        <is>
          <t>神奈川県高座郡寒川町</t>
        </is>
      </c>
      <c r="F8" s="100"/>
      <c r="G8" s="59">
        <f t="shared" si="0"/>
      </c>
      <c r="H8" s="100"/>
      <c r="I8" s="59">
        <f t="shared" si="1"/>
      </c>
      <c r="J8" s="100"/>
      <c r="K8" s="59">
        <f t="shared" si="2"/>
      </c>
      <c r="L8" s="99" t="inlineStr">
        <is>
          <t>買掛金残高 68,904円（R7.12末）</t>
        </is>
      </c>
    </row>
    <row r="9" spans="2:12" ht="23.45" customHeight="1" x14ac:dyDescent="0.35">
      <c r="B9" s="436">
        <v>5</v>
      </c>
      <c r="C9" s="61" t="inlineStr">
        <is>
          <t>東邦薬品</t>
        </is>
      </c>
      <c r="D9" s="61" t="inlineStr">
        <is>
          <t>医薬品</t>
        </is>
      </c>
      <c r="E9" s="61" t="inlineStr">
        <is>
          <t>東京都世田谷区</t>
        </is>
      </c>
      <c r="F9" s="100"/>
      <c r="G9" s="59">
        <f t="shared" si="0"/>
      </c>
      <c r="H9" s="100"/>
      <c r="I9" s="59">
        <f t="shared" si="1"/>
      </c>
      <c r="J9" s="100"/>
      <c r="K9" s="59">
        <f t="shared" si="2"/>
      </c>
      <c r="L9" s="99" t="inlineStr">
        <is>
          <t>買掛金残高 59,368円（R7.12末）</t>
        </is>
      </c>
    </row>
    <row r="10" spans="2:12" ht="23.45" customHeight="1" x14ac:dyDescent="0.35">
      <c r="B10" s="435">
        <v>6</v>
      </c>
      <c r="C10" s="61" t="inlineStr">
        <is>
          <t>㈱ｼﾝﾘｮｳ</t>
        </is>
      </c>
      <c r="D10" s="61" t="inlineStr">
        <is>
          <t>医薬品</t>
        </is>
      </c>
      <c r="E10" s="61" t="inlineStr">
        <is>
          <t>東京都豊島区</t>
        </is>
      </c>
      <c r="F10" s="100"/>
      <c r="G10" s="59">
        <f t="shared" si="0"/>
      </c>
      <c r="H10" s="100"/>
      <c r="I10" s="59">
        <f t="shared" si="1"/>
      </c>
      <c r="J10" s="100"/>
      <c r="K10" s="59">
        <f t="shared" si="2"/>
      </c>
      <c r="L10" s="99" t="inlineStr">
        <is>
          <t>買掛金残高 49,214円（R7.12末）</t>
        </is>
      </c>
    </row>
    <row r="11" spans="2:12" ht="23.45" customHeight="1" x14ac:dyDescent="0.35">
      <c r="B11" s="436">
        <v>7</v>
      </c>
      <c r="C11" s="61"/>
      <c r="D11" s="61"/>
      <c r="E11" s="61"/>
      <c r="F11" s="100"/>
      <c r="G11" s="59">
        <f t="shared" si="0"/>
      </c>
      <c r="H11" s="100"/>
      <c r="I11" s="59">
        <f t="shared" si="1"/>
      </c>
      <c r="J11" s="100"/>
      <c r="K11" s="59">
        <f t="shared" si="2"/>
      </c>
      <c r="L11" s="99"/>
    </row>
    <row r="12" spans="2:12" ht="23.45" customHeight="1" x14ac:dyDescent="0.35">
      <c r="B12" s="435">
        <v>8</v>
      </c>
      <c r="C12" s="61"/>
      <c r="D12" s="61"/>
      <c r="E12" s="61"/>
      <c r="F12" s="100"/>
      <c r="G12" s="59">
        <f t="shared" si="0"/>
      </c>
      <c r="H12" s="100"/>
      <c r="I12" s="59">
        <f t="shared" si="1"/>
      </c>
      <c r="J12" s="100"/>
      <c r="K12" s="59">
        <f t="shared" si="2"/>
      </c>
      <c r="L12" s="99"/>
    </row>
    <row r="13" spans="2:12" ht="23.45" customHeight="1" x14ac:dyDescent="0.35">
      <c r="B13" s="436">
        <v>9</v>
      </c>
      <c r="C13" s="61"/>
      <c r="D13" s="61"/>
      <c r="E13" s="61"/>
      <c r="F13" s="100"/>
      <c r="G13" s="59">
        <f t="shared" si="0"/>
      </c>
      <c r="H13" s="100"/>
      <c r="I13" s="59">
        <f t="shared" si="1"/>
      </c>
      <c r="J13" s="100"/>
      <c r="K13" s="59">
        <f t="shared" si="2"/>
      </c>
      <c r="L13" s="99"/>
    </row>
    <row r="14" spans="2:12" ht="23.45" customHeight="1" x14ac:dyDescent="0.35">
      <c r="B14" s="435">
        <v>10</v>
      </c>
      <c r="C14" s="61"/>
      <c r="D14" s="61"/>
      <c r="E14" s="61"/>
      <c r="F14" s="100"/>
      <c r="G14" s="59">
        <f t="shared" si="0"/>
      </c>
      <c r="H14" s="100"/>
      <c r="I14" s="59">
        <f t="shared" si="1"/>
      </c>
      <c r="J14" s="100"/>
      <c r="K14" s="59">
        <f t="shared" si="2"/>
      </c>
      <c r="L14" s="99"/>
    </row>
    <row r="15" spans="2:12" ht="23.45" customHeight="1" x14ac:dyDescent="0.35">
      <c r="B15" s="433"/>
      <c r="C15" s="93"/>
      <c r="D15" s="93"/>
      <c r="E15" s="93"/>
      <c r="F15" s="100"/>
      <c r="G15" s="59">
        <f>IFERROR(F15/F$16,"")</f>
      </c>
      <c r="H15" s="100"/>
      <c r="I15" s="59">
        <f>IFERROR(H15/H$16,"")</f>
      </c>
      <c r="J15" s="100"/>
      <c r="K15" s="59">
        <f>IFERROR(J15/J$16,"")</f>
      </c>
      <c r="L15" s="99"/>
    </row>
    <row r="16" spans="2:12" ht="23.45" customHeight="1" x14ac:dyDescent="0.35">
      <c r="B16" s="158"/>
      <c r="C16" s="159" t="s">
        <v>93</v>
      </c>
      <c r="D16" s="159"/>
      <c r="E16" s="159"/>
      <c r="F16" s="160"/>
      <c r="G16" s="161" t="s">
        <v>56</v>
      </c>
      <c r="H16" s="160"/>
      <c r="I16" s="161" t="s">
        <v>56</v>
      </c>
      <c r="J16" s="160"/>
      <c r="K16" s="161" t="s">
        <v>56</v>
      </c>
      <c r="L16" s="155"/>
    </row>
    <row r="18">
      <c r="C18" s="159" t="inlineStr">
        <is>
          <t>※ 仕入先別の仕入高の内訳は未受領。上記は令和7年12月期の買掛金の内訳書に基づく期末残高であり、仕入高そのものではない。医薬品卸大手3社（㈱ﾒﾃﾞｨｾｵ・ｱﾙﾌﾚｯｻ㈱・㈱ｽｽﾞｹﾝ）で買掛金残高の99.3%を占める。</t>
        </is>
      </c>
    </row>
  </sheetData>
  <mergeCells count="5">
    <mergeCell ref="B3:B4"/>
    <mergeCell ref="C3:C4"/>
    <mergeCell ref="E3:E4"/>
    <mergeCell ref="L3:L4"/>
    <mergeCell ref="D3:D4"/>
  </mergeCells>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8532-530A-4330-8F12-FF44DE7BD0D8}">
  <dimension ref="B2:M16"/>
  <sheetViews>
    <sheetView showGridLines="0" zoomScaleNormal="100" workbookViewId="0">
      <selection activeCell="B5" sqref="B5:B14"/>
    </sheetView>
  </sheetViews>
  <sheetFormatPr defaultColWidth="8.875" defaultRowHeight="18.75" x14ac:dyDescent="0.35"/>
  <cols>
    <col min="1" max="1" width="3.875" style="65" customWidth="1"/>
    <col min="2" max="2" width="4.375" style="65" customWidth="1"/>
    <col min="3" max="4" width="30.375" style="65" customWidth="1"/>
    <col min="5" max="5" width="16.125" style="65" customWidth="1"/>
    <col min="6" max="6" width="19.125" style="65" customWidth="1"/>
    <col min="7" max="7" width="11.5" style="65" customWidth="1"/>
    <col min="8" max="8" width="8.5" style="65" customWidth="1"/>
    <col min="9" max="9" width="11.5" style="65" customWidth="1"/>
    <col min="10" max="10" width="8.5" style="65" customWidth="1"/>
    <col min="11" max="11" width="11.5" style="65" customWidth="1"/>
    <col min="12" max="12" width="8.5" style="65" customWidth="1"/>
    <col min="13" max="13" width="31.5" style="65" customWidth="1"/>
    <col min="14" max="16384" width="8.875" style="65"/>
  </cols>
  <sheetData>
    <row r="2" spans="2:13" x14ac:dyDescent="0.35">
      <c r="L2" s="73" t="s">
        <v>66</v>
      </c>
    </row>
    <row r="3" spans="2:13" ht="19.350000000000001" customHeight="1" x14ac:dyDescent="0.35">
      <c r="B3" s="570" t="s">
        <v>83</v>
      </c>
      <c r="C3" s="570" t="s">
        <v>99</v>
      </c>
      <c r="D3" s="569" t="s">
        <v>101</v>
      </c>
      <c r="E3" s="570" t="s">
        <v>87</v>
      </c>
      <c r="F3" s="570" t="s">
        <v>88</v>
      </c>
      <c r="G3" s="96" t="s">
        <v>90</v>
      </c>
      <c r="H3" s="96"/>
      <c r="I3" s="96" t="s">
        <v>90</v>
      </c>
      <c r="J3" s="96"/>
      <c r="K3" s="96" t="s">
        <v>90</v>
      </c>
      <c r="L3" s="96"/>
      <c r="M3" s="567" t="s">
        <v>84</v>
      </c>
    </row>
    <row r="4" spans="2:13" ht="19.350000000000001" customHeight="1" x14ac:dyDescent="0.35">
      <c r="B4" s="571"/>
      <c r="C4" s="571"/>
      <c r="D4" s="570"/>
      <c r="E4" s="571"/>
      <c r="F4" s="571"/>
      <c r="G4" s="97" t="s">
        <v>100</v>
      </c>
      <c r="H4" s="97" t="s">
        <v>85</v>
      </c>
      <c r="I4" s="97" t="s">
        <v>100</v>
      </c>
      <c r="J4" s="97" t="s">
        <v>85</v>
      </c>
      <c r="K4" s="97" t="s">
        <v>100</v>
      </c>
      <c r="L4" s="97" t="s">
        <v>85</v>
      </c>
      <c r="M4" s="568"/>
    </row>
    <row r="5" spans="2:13" ht="23.45" customHeight="1" x14ac:dyDescent="0.35">
      <c r="B5" s="434">
        <v>1</v>
      </c>
      <c r="C5" s="61" t="s">
        <v>92</v>
      </c>
      <c r="D5" s="61"/>
      <c r="E5" s="61" t="s">
        <v>91</v>
      </c>
      <c r="F5" s="61" t="s">
        <v>28</v>
      </c>
      <c r="G5" s="100"/>
      <c r="H5" s="59">
        <f>IFERROR(G5/G$16,"")</f>
      </c>
      <c r="I5" s="100"/>
      <c r="J5" s="59">
        <f>IFERROR(I5/I$16,"")</f>
      </c>
      <c r="K5" s="100"/>
      <c r="L5" s="59">
        <f>IFERROR(K5/K$16,"")</f>
      </c>
      <c r="M5" s="98" t="s">
        <v>94</v>
      </c>
    </row>
    <row r="6" spans="2:13" ht="23.45" customHeight="1" x14ac:dyDescent="0.35">
      <c r="B6" s="435">
        <v>2</v>
      </c>
      <c r="C6" s="61"/>
      <c r="D6" s="61"/>
      <c r="E6" s="61"/>
      <c r="F6" s="61"/>
      <c r="G6" s="100"/>
      <c r="H6" s="59">
        <f t="shared" ref="H6:H14" si="0">IFERROR(G6/G$16,"")</f>
      </c>
      <c r="I6" s="100"/>
      <c r="J6" s="59">
        <f t="shared" ref="J6:J14" si="1">IFERROR(I6/I$16,"")</f>
      </c>
      <c r="K6" s="100"/>
      <c r="L6" s="59">
        <f t="shared" ref="L6:L14" si="2">IFERROR(K6/K$16,"")</f>
      </c>
      <c r="M6" s="99"/>
    </row>
    <row r="7" spans="2:13" ht="23.45" customHeight="1" x14ac:dyDescent="0.35">
      <c r="B7" s="436">
        <v>3</v>
      </c>
      <c r="C7" s="61"/>
      <c r="D7" s="61"/>
      <c r="E7" s="61"/>
      <c r="F7" s="61"/>
      <c r="G7" s="100"/>
      <c r="H7" s="59">
        <f t="shared" si="0"/>
      </c>
      <c r="I7" s="100"/>
      <c r="J7" s="59">
        <f t="shared" si="1"/>
      </c>
      <c r="K7" s="100"/>
      <c r="L7" s="59">
        <f t="shared" si="2"/>
      </c>
      <c r="M7" s="99"/>
    </row>
    <row r="8" spans="2:13" ht="23.45" customHeight="1" x14ac:dyDescent="0.35">
      <c r="B8" s="435">
        <v>4</v>
      </c>
      <c r="C8" s="61"/>
      <c r="D8" s="61"/>
      <c r="E8" s="61"/>
      <c r="F8" s="61"/>
      <c r="G8" s="100"/>
      <c r="H8" s="59">
        <f t="shared" si="0"/>
      </c>
      <c r="I8" s="100"/>
      <c r="J8" s="59">
        <f t="shared" si="1"/>
      </c>
      <c r="K8" s="100"/>
      <c r="L8" s="59">
        <f t="shared" si="2"/>
      </c>
      <c r="M8" s="99"/>
    </row>
    <row r="9" spans="2:13" ht="23.45" customHeight="1" x14ac:dyDescent="0.35">
      <c r="B9" s="436">
        <v>5</v>
      </c>
      <c r="C9" s="61"/>
      <c r="D9" s="61"/>
      <c r="E9" s="61"/>
      <c r="F9" s="61"/>
      <c r="G9" s="100"/>
      <c r="H9" s="59">
        <f t="shared" si="0"/>
      </c>
      <c r="I9" s="100"/>
      <c r="J9" s="59">
        <f t="shared" si="1"/>
      </c>
      <c r="K9" s="100"/>
      <c r="L9" s="59">
        <f t="shared" si="2"/>
      </c>
      <c r="M9" s="99"/>
    </row>
    <row r="10" spans="2:13" ht="23.45" customHeight="1" x14ac:dyDescent="0.35">
      <c r="B10" s="435">
        <v>6</v>
      </c>
      <c r="C10" s="61"/>
      <c r="D10" s="61"/>
      <c r="E10" s="61"/>
      <c r="F10" s="61"/>
      <c r="G10" s="100"/>
      <c r="H10" s="59">
        <f t="shared" si="0"/>
      </c>
      <c r="I10" s="100"/>
      <c r="J10" s="59">
        <f t="shared" si="1"/>
      </c>
      <c r="K10" s="100"/>
      <c r="L10" s="59">
        <f t="shared" si="2"/>
      </c>
      <c r="M10" s="99"/>
    </row>
    <row r="11" spans="2:13" ht="23.45" customHeight="1" x14ac:dyDescent="0.35">
      <c r="B11" s="436">
        <v>7</v>
      </c>
      <c r="C11" s="61"/>
      <c r="D11" s="61"/>
      <c r="E11" s="61"/>
      <c r="F11" s="61"/>
      <c r="G11" s="100"/>
      <c r="H11" s="59">
        <f t="shared" si="0"/>
      </c>
      <c r="I11" s="100"/>
      <c r="J11" s="59">
        <f t="shared" si="1"/>
      </c>
      <c r="K11" s="100"/>
      <c r="L11" s="59">
        <f t="shared" si="2"/>
      </c>
      <c r="M11" s="99"/>
    </row>
    <row r="12" spans="2:13" ht="23.45" customHeight="1" x14ac:dyDescent="0.35">
      <c r="B12" s="435">
        <v>8</v>
      </c>
      <c r="C12" s="61"/>
      <c r="D12" s="61"/>
      <c r="E12" s="61"/>
      <c r="F12" s="61"/>
      <c r="G12" s="100"/>
      <c r="H12" s="59">
        <f t="shared" si="0"/>
      </c>
      <c r="I12" s="100"/>
      <c r="J12" s="59">
        <f t="shared" si="1"/>
      </c>
      <c r="K12" s="100"/>
      <c r="L12" s="59">
        <f t="shared" si="2"/>
      </c>
      <c r="M12" s="99"/>
    </row>
    <row r="13" spans="2:13" ht="23.45" customHeight="1" x14ac:dyDescent="0.35">
      <c r="B13" s="436">
        <v>9</v>
      </c>
      <c r="C13" s="61"/>
      <c r="D13" s="61"/>
      <c r="E13" s="61"/>
      <c r="F13" s="61"/>
      <c r="G13" s="100"/>
      <c r="H13" s="59">
        <f t="shared" si="0"/>
      </c>
      <c r="I13" s="100"/>
      <c r="J13" s="59">
        <f t="shared" si="1"/>
      </c>
      <c r="K13" s="100"/>
      <c r="L13" s="59">
        <f t="shared" si="2"/>
      </c>
      <c r="M13" s="99"/>
    </row>
    <row r="14" spans="2:13" ht="23.45" customHeight="1" x14ac:dyDescent="0.35">
      <c r="B14" s="435">
        <v>10</v>
      </c>
      <c r="C14" s="61"/>
      <c r="D14" s="61"/>
      <c r="E14" s="61"/>
      <c r="F14" s="61"/>
      <c r="G14" s="100"/>
      <c r="H14" s="59">
        <f t="shared" si="0"/>
      </c>
      <c r="I14" s="100"/>
      <c r="J14" s="59">
        <f t="shared" si="1"/>
      </c>
      <c r="K14" s="100"/>
      <c r="L14" s="59">
        <f t="shared" si="2"/>
      </c>
      <c r="M14" s="99"/>
    </row>
    <row r="15" spans="2:13" ht="23.45" customHeight="1" x14ac:dyDescent="0.35">
      <c r="B15" s="66"/>
      <c r="C15" s="93" t="s">
        <v>89</v>
      </c>
      <c r="D15" s="93"/>
      <c r="E15" s="93"/>
      <c r="F15" s="93"/>
      <c r="G15" s="100"/>
      <c r="H15" s="59">
        <f>IFERROR(G15/G$16,"")</f>
      </c>
      <c r="I15" s="100"/>
      <c r="J15" s="59">
        <f>IFERROR(I15/I$16,"")</f>
      </c>
      <c r="K15" s="100"/>
      <c r="L15" s="59">
        <f>IFERROR(K15/K$16,"")</f>
      </c>
      <c r="M15" s="99"/>
    </row>
    <row r="16" spans="2:13" ht="23.45" customHeight="1" x14ac:dyDescent="0.35">
      <c r="B16" s="158"/>
      <c r="C16" s="159" t="s">
        <v>93</v>
      </c>
      <c r="D16" s="159"/>
      <c r="E16" s="159"/>
      <c r="F16" s="159"/>
      <c r="G16" s="160"/>
      <c r="H16" s="161" t="s">
        <v>56</v>
      </c>
      <c r="I16" s="160"/>
      <c r="J16" s="161" t="s">
        <v>56</v>
      </c>
      <c r="K16" s="160"/>
      <c r="L16" s="161" t="s">
        <v>56</v>
      </c>
      <c r="M16" s="155"/>
    </row>
  </sheetData>
  <mergeCells count="6">
    <mergeCell ref="B3:B4"/>
    <mergeCell ref="C3:C4"/>
    <mergeCell ref="E3:E4"/>
    <mergeCell ref="F3:F4"/>
    <mergeCell ref="M3:M4"/>
    <mergeCell ref="D3:D4"/>
  </mergeCells>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FE3A-0F11-441A-8B14-5C6358E8D0A5}">
  <dimension ref="B2:H15"/>
  <sheetViews>
    <sheetView showGridLines="0" zoomScaleNormal="100" workbookViewId="0">
      <selection activeCell="B5" sqref="B5:B14"/>
    </sheetView>
  </sheetViews>
  <sheetFormatPr defaultColWidth="8.875" defaultRowHeight="18.75" x14ac:dyDescent="0.35"/>
  <cols>
    <col min="1" max="1" width="3.875" style="65" customWidth="1"/>
    <col min="2" max="2" width="4.375" style="65" customWidth="1"/>
    <col min="3" max="3" width="21.625" style="65" customWidth="1"/>
    <col min="4" max="7" width="19" style="65" customWidth="1"/>
    <col min="8" max="8" width="31.5" style="65" customWidth="1"/>
    <col min="9" max="16384" width="8.875" style="65"/>
  </cols>
  <sheetData>
    <row r="2" spans="2:8" x14ac:dyDescent="0.35">
      <c r="E2" s="73" t="s">
        <v>66</v>
      </c>
    </row>
    <row r="3" spans="2:8" ht="19.350000000000001" customHeight="1" x14ac:dyDescent="0.35">
      <c r="B3" s="570" t="s">
        <v>83</v>
      </c>
      <c r="C3" s="570" t="s">
        <v>103</v>
      </c>
      <c r="D3" s="569" t="s">
        <v>104</v>
      </c>
      <c r="E3" s="572" t="s">
        <v>105</v>
      </c>
      <c r="F3" s="570" t="s">
        <v>106</v>
      </c>
      <c r="G3" s="569" t="s">
        <v>107</v>
      </c>
      <c r="H3" s="567" t="s">
        <v>84</v>
      </c>
    </row>
    <row r="4" spans="2:8" ht="19.350000000000001" customHeight="1" x14ac:dyDescent="0.35">
      <c r="B4" s="571"/>
      <c r="C4" s="571"/>
      <c r="D4" s="570"/>
      <c r="E4" s="571"/>
      <c r="F4" s="571"/>
      <c r="G4" s="570"/>
      <c r="H4" s="568"/>
    </row>
    <row r="5" spans="2:8" ht="23.45" customHeight="1" x14ac:dyDescent="0.35">
      <c r="B5" s="434">
        <v>1</v>
      </c>
      <c r="C5" s="61" t="inlineStr">
        <is>
          <t>要確認</t>
        </is>
      </c>
      <c r="D5" s="61"/>
      <c r="E5" s="112"/>
      <c r="F5" s="16"/>
      <c r="G5" s="59">
        <f>IFERROR(F5/$F$15,"")</f>
      </c>
      <c r="H5" s="98" t="inlineStr">
        <is>
          <t>株主構成は未受領。短期借入金の相手先が「親会社 一般社団法人スタジオ技術研究会」と記載されており、資本関係の有無を含め要確認。</t>
        </is>
      </c>
    </row>
    <row r="6" spans="2:8" ht="23.45" customHeight="1" x14ac:dyDescent="0.35">
      <c r="B6" s="435">
        <v>2</v>
      </c>
      <c r="C6" s="61"/>
      <c r="D6" s="61"/>
      <c r="E6" s="112"/>
      <c r="F6" s="16"/>
      <c r="G6" s="59">
        <f t="shared" ref="G6:G15" si="0">IFERROR(F6/$F$15,"")</f>
      </c>
      <c r="H6" s="99"/>
    </row>
    <row r="7" spans="2:8" ht="23.45" customHeight="1" x14ac:dyDescent="0.35">
      <c r="B7" s="436">
        <v>3</v>
      </c>
      <c r="C7" s="61"/>
      <c r="D7" s="61"/>
      <c r="E7" s="112"/>
      <c r="F7" s="16"/>
      <c r="G7" s="59">
        <f t="shared" si="0"/>
      </c>
      <c r="H7" s="99"/>
    </row>
    <row r="8" spans="2:8" ht="23.45" customHeight="1" x14ac:dyDescent="0.35">
      <c r="B8" s="435">
        <v>4</v>
      </c>
      <c r="C8" s="61"/>
      <c r="D8" s="61"/>
      <c r="E8" s="112"/>
      <c r="F8" s="16"/>
      <c r="G8" s="59">
        <f t="shared" si="0"/>
      </c>
      <c r="H8" s="99"/>
    </row>
    <row r="9" spans="2:8" ht="23.45" customHeight="1" x14ac:dyDescent="0.35">
      <c r="B9" s="436">
        <v>5</v>
      </c>
      <c r="C9" s="61"/>
      <c r="D9" s="61"/>
      <c r="E9" s="112"/>
      <c r="F9" s="16"/>
      <c r="G9" s="59">
        <f t="shared" si="0"/>
      </c>
      <c r="H9" s="99"/>
    </row>
    <row r="10" spans="2:8" ht="23.45" customHeight="1" x14ac:dyDescent="0.35">
      <c r="B10" s="435">
        <v>6</v>
      </c>
      <c r="C10" s="61"/>
      <c r="D10" s="61"/>
      <c r="E10" s="112"/>
      <c r="F10" s="16"/>
      <c r="G10" s="59">
        <f t="shared" si="0"/>
      </c>
      <c r="H10" s="99"/>
    </row>
    <row r="11" spans="2:8" ht="23.45" customHeight="1" x14ac:dyDescent="0.35">
      <c r="B11" s="436">
        <v>7</v>
      </c>
      <c r="C11" s="61"/>
      <c r="D11" s="61"/>
      <c r="E11" s="112"/>
      <c r="F11" s="16"/>
      <c r="G11" s="59">
        <f t="shared" si="0"/>
      </c>
      <c r="H11" s="99"/>
    </row>
    <row r="12" spans="2:8" ht="23.45" customHeight="1" x14ac:dyDescent="0.35">
      <c r="B12" s="435">
        <v>8</v>
      </c>
      <c r="C12" s="61"/>
      <c r="D12" s="61"/>
      <c r="E12" s="112"/>
      <c r="F12" s="16"/>
      <c r="G12" s="59">
        <f t="shared" si="0"/>
      </c>
      <c r="H12" s="99"/>
    </row>
    <row r="13" spans="2:8" ht="23.45" customHeight="1" x14ac:dyDescent="0.35">
      <c r="B13" s="436">
        <v>9</v>
      </c>
      <c r="C13" s="61"/>
      <c r="D13" s="61"/>
      <c r="E13" s="112"/>
      <c r="F13" s="16"/>
      <c r="G13" s="59">
        <f t="shared" si="0"/>
      </c>
      <c r="H13" s="99"/>
    </row>
    <row r="14" spans="2:8" ht="23.45" customHeight="1" x14ac:dyDescent="0.35">
      <c r="B14" s="435">
        <v>10</v>
      </c>
      <c r="C14" s="61"/>
      <c r="D14" s="61"/>
      <c r="E14" s="112"/>
      <c r="F14" s="16"/>
      <c r="G14" s="59">
        <f t="shared" si="0"/>
      </c>
      <c r="H14" s="99"/>
    </row>
    <row r="15" spans="2:8" ht="23.45" customHeight="1" x14ac:dyDescent="0.35">
      <c r="B15" s="151"/>
      <c r="C15" s="152" t="s">
        <v>93</v>
      </c>
      <c r="D15" s="152"/>
      <c r="E15" s="153">
        <f>SUM(E5:E14)</f>
        <v>22000000</v>
      </c>
      <c r="F15" s="156">
        <f>SUM(F5:F14)</f>
        <v>1000</v>
      </c>
      <c r="G15" s="157">
        <f t="shared" si="0"/>
      </c>
      <c r="H15" s="155"/>
    </row>
  </sheetData>
  <mergeCells count="7">
    <mergeCell ref="H3:H4"/>
    <mergeCell ref="G3:G4"/>
    <mergeCell ref="B3:B4"/>
    <mergeCell ref="C3:C4"/>
    <mergeCell ref="D3:D4"/>
    <mergeCell ref="E3:E4"/>
    <mergeCell ref="F3:F4"/>
  </mergeCells>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C57D-1323-4386-B875-A9787F46142C}">
  <dimension ref="B2:H15"/>
  <sheetViews>
    <sheetView showGridLines="0" zoomScaleNormal="100" workbookViewId="0">
      <selection activeCell="H8" sqref="H8"/>
    </sheetView>
  </sheetViews>
  <sheetFormatPr defaultColWidth="8.875" defaultRowHeight="18.75" x14ac:dyDescent="0.35"/>
  <cols>
    <col min="1" max="1" width="3.875" style="65" customWidth="1"/>
    <col min="2" max="2" width="4.375" style="65" customWidth="1"/>
    <col min="3" max="3" width="21.625" style="65" customWidth="1"/>
    <col min="4" max="6" width="16.375" style="65" customWidth="1"/>
    <col min="7" max="8" width="36.625" style="65" customWidth="1"/>
    <col min="9" max="16384" width="8.875" style="65"/>
  </cols>
  <sheetData>
    <row r="2" spans="2:8" x14ac:dyDescent="0.35">
      <c r="F2" s="73" t="s">
        <v>66</v>
      </c>
      <c r="G2" s="73"/>
    </row>
    <row r="3" spans="2:8" ht="19.350000000000001" customHeight="1" x14ac:dyDescent="0.35">
      <c r="B3" s="570" t="s">
        <v>83</v>
      </c>
      <c r="C3" s="570" t="s">
        <v>103</v>
      </c>
      <c r="D3" s="569" t="s">
        <v>104</v>
      </c>
      <c r="E3" s="569" t="s">
        <v>121</v>
      </c>
      <c r="F3" s="572" t="s">
        <v>105</v>
      </c>
      <c r="G3" s="573" t="s">
        <v>114</v>
      </c>
      <c r="H3" s="567" t="s">
        <v>84</v>
      </c>
    </row>
    <row r="4" spans="2:8" ht="19.350000000000001" customHeight="1" x14ac:dyDescent="0.35">
      <c r="B4" s="571"/>
      <c r="C4" s="571"/>
      <c r="D4" s="570"/>
      <c r="E4" s="570"/>
      <c r="F4" s="571"/>
      <c r="G4" s="572"/>
      <c r="H4" s="568"/>
    </row>
    <row r="5" spans="2:8" ht="23.45" customHeight="1" x14ac:dyDescent="0.35">
      <c r="B5" s="434">
        <v>1</v>
      </c>
      <c r="C5" s="61" t="inlineStr">
        <is>
          <t>三河　太一</t>
        </is>
      </c>
      <c r="D5" s="61" t="inlineStr">
        <is>
          <t>代表取締役</t>
        </is>
      </c>
      <c r="E5" s="61" t="inlineStr">
        <is>
          <t>本人</t>
        </is>
      </c>
      <c r="F5" s="112">
        <v>11870000</v>
      </c>
      <c r="G5" s="114" t="inlineStr">
        <is>
          <t>常勤（役員給与等の内訳書による）</t>
        </is>
      </c>
      <c r="H5" s="98" t="inlineStr">
        <is>
          <t>M&amp;A後の処遇は要確認</t>
        </is>
      </c>
    </row>
    <row r="6" spans="2:8" ht="23.45" customHeight="1" x14ac:dyDescent="0.35">
      <c r="B6" s="435">
        <v>2</v>
      </c>
      <c r="C6" s="61"/>
      <c r="D6" s="61"/>
      <c r="E6" s="61"/>
      <c r="F6" s="112"/>
      <c r="G6" s="115"/>
      <c r="H6" s="99"/>
    </row>
    <row r="7" spans="2:8" ht="23.45" customHeight="1" x14ac:dyDescent="0.35">
      <c r="B7" s="436">
        <v>3</v>
      </c>
      <c r="C7" s="61"/>
      <c r="D7" s="61"/>
      <c r="E7" s="61"/>
      <c r="F7" s="112"/>
      <c r="G7" s="115"/>
      <c r="H7" s="99"/>
    </row>
    <row r="8" spans="2:8" ht="23.45" customHeight="1" x14ac:dyDescent="0.35">
      <c r="B8" s="435">
        <v>4</v>
      </c>
      <c r="C8" s="61"/>
      <c r="D8" s="61"/>
      <c r="E8" s="61"/>
      <c r="F8" s="113"/>
      <c r="G8" s="115"/>
      <c r="H8" s="99"/>
    </row>
    <row r="9" spans="2:8" ht="23.45" hidden="1" customHeight="1" x14ac:dyDescent="0.35">
      <c r="B9" s="94">
        <v>5</v>
      </c>
      <c r="C9" s="61"/>
      <c r="D9" s="61"/>
      <c r="E9" s="61"/>
      <c r="F9" s="112"/>
      <c r="G9" s="115"/>
      <c r="H9" s="99"/>
    </row>
    <row r="10" spans="2:8" ht="23.45" hidden="1" customHeight="1" x14ac:dyDescent="0.35">
      <c r="B10" s="95">
        <v>6</v>
      </c>
      <c r="C10" s="61"/>
      <c r="D10" s="61"/>
      <c r="E10" s="61"/>
      <c r="F10" s="112"/>
      <c r="G10" s="115"/>
      <c r="H10" s="99"/>
    </row>
    <row r="11" spans="2:8" ht="23.45" hidden="1" customHeight="1" x14ac:dyDescent="0.35">
      <c r="B11" s="94">
        <v>7</v>
      </c>
      <c r="C11" s="61"/>
      <c r="D11" s="61"/>
      <c r="E11" s="61"/>
      <c r="F11" s="112"/>
      <c r="G11" s="115"/>
      <c r="H11" s="99"/>
    </row>
    <row r="12" spans="2:8" ht="23.45" hidden="1" customHeight="1" x14ac:dyDescent="0.35">
      <c r="B12" s="95">
        <v>8</v>
      </c>
      <c r="C12" s="61"/>
      <c r="D12" s="61"/>
      <c r="E12" s="61"/>
      <c r="F12" s="112"/>
      <c r="G12" s="115"/>
      <c r="H12" s="99"/>
    </row>
    <row r="13" spans="2:8" ht="23.45" hidden="1" customHeight="1" x14ac:dyDescent="0.35">
      <c r="B13" s="94">
        <v>9</v>
      </c>
      <c r="C13" s="61"/>
      <c r="D13" s="61"/>
      <c r="E13" s="61"/>
      <c r="F13" s="112"/>
      <c r="G13" s="115"/>
      <c r="H13" s="99"/>
    </row>
    <row r="14" spans="2:8" ht="23.45" hidden="1" customHeight="1" x14ac:dyDescent="0.35">
      <c r="B14" s="95">
        <v>10</v>
      </c>
      <c r="C14" s="61"/>
      <c r="D14" s="61"/>
      <c r="E14" s="61"/>
      <c r="F14" s="112"/>
      <c r="G14" s="115"/>
      <c r="H14" s="99"/>
    </row>
    <row r="15" spans="2:8" ht="23.45" customHeight="1" x14ac:dyDescent="0.35">
      <c r="B15" s="151"/>
      <c r="C15" s="152" t="s">
        <v>93</v>
      </c>
      <c r="D15" s="152"/>
      <c r="E15" s="152"/>
      <c r="F15" s="153">
        <f>SUM(F5:F14)</f>
        <v>27000000</v>
      </c>
      <c r="G15" s="154"/>
      <c r="H15" s="155"/>
    </row>
    <row r="16">
      <c r="C16" s="152" t="inlineStr">
        <is>
          <t>※ 令和7年12月期の役員給与等の内訳書による。上記以外に役員の計上はない。人件費の内訳上、従業員給与手当67,951千円のうち代表者及びその家族分が4,140千円ある（要確認）。</t>
        </is>
      </c>
    </row>
  </sheetData>
  <mergeCells count="7">
    <mergeCell ref="H3:H4"/>
    <mergeCell ref="G3:G4"/>
    <mergeCell ref="E3:E4"/>
    <mergeCell ref="B3:B4"/>
    <mergeCell ref="C3:C4"/>
    <mergeCell ref="D3:D4"/>
    <mergeCell ref="F3:F4"/>
  </mergeCells>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A79C-8E00-4799-B3A0-F74B23F046BD}">
  <dimension ref="B1:Q34"/>
  <sheetViews>
    <sheetView showGridLines="0" topLeftCell="G1" zoomScaleNormal="100" workbookViewId="0">
      <selection activeCell="D7" sqref="D7"/>
    </sheetView>
  </sheetViews>
  <sheetFormatPr defaultRowHeight="18" x14ac:dyDescent="0.35"/>
  <cols>
    <col min="2" max="2" width="6" style="118" customWidth="1"/>
    <col min="3" max="5" width="13.5" style="117" customWidth="1"/>
    <col min="6" max="6" width="6.625" style="117" customWidth="1"/>
    <col min="7" max="7" width="13.5" style="120" customWidth="1"/>
    <col min="8" max="8" width="14.375" style="120" customWidth="1"/>
    <col min="9" max="9" width="13.5" style="121" customWidth="1"/>
    <col min="10" max="10" width="14.375" style="121" customWidth="1"/>
    <col min="11" max="12" width="13.5" style="125" customWidth="1"/>
    <col min="13" max="16" width="16.125" customWidth="1"/>
    <col min="17" max="17" width="55.5" customWidth="1"/>
  </cols>
  <sheetData>
    <row r="1" spans="2:17" x14ac:dyDescent="0.35">
      <c r="K1"/>
      <c r="L1"/>
    </row>
    <row r="2" spans="2:17" x14ac:dyDescent="0.35">
      <c r="F2" s="119" t="s">
        <v>143</v>
      </c>
      <c r="G2" s="122">
        <v>46053</v>
      </c>
      <c r="K2"/>
      <c r="L2"/>
    </row>
    <row r="3" spans="2:17" x14ac:dyDescent="0.35">
      <c r="G3" s="120" t="s">
        <v>136</v>
      </c>
      <c r="I3" s="120" t="s">
        <v>136</v>
      </c>
      <c r="K3"/>
      <c r="L3"/>
    </row>
    <row r="4" spans="2:17" ht="39" x14ac:dyDescent="0.35">
      <c r="B4" s="2" t="s">
        <v>83</v>
      </c>
      <c r="C4" s="128" t="s">
        <v>103</v>
      </c>
      <c r="D4" s="116" t="s">
        <v>132</v>
      </c>
      <c r="E4" s="116" t="s">
        <v>133</v>
      </c>
      <c r="F4" s="116" t="s">
        <v>134</v>
      </c>
      <c r="G4" s="128" t="s">
        <v>135</v>
      </c>
      <c r="H4" s="138" t="s">
        <v>159</v>
      </c>
      <c r="I4" s="129" t="s">
        <v>137</v>
      </c>
      <c r="J4" s="139" t="s">
        <v>160</v>
      </c>
      <c r="K4" s="3" t="s">
        <v>138</v>
      </c>
      <c r="L4" s="3" t="s">
        <v>104</v>
      </c>
      <c r="M4" s="3" t="s">
        <v>139</v>
      </c>
      <c r="N4" s="3" t="s">
        <v>140</v>
      </c>
      <c r="O4" s="3" t="s">
        <v>141</v>
      </c>
      <c r="P4" s="3" t="s">
        <v>142</v>
      </c>
      <c r="Q4" s="1" t="s">
        <v>84</v>
      </c>
    </row>
    <row r="5" spans="2:17" ht="22.5" customHeight="1" x14ac:dyDescent="0.35">
      <c r="B5" s="437">
        <v>1</v>
      </c>
      <c r="C5" s="438"/>
      <c r="D5" s="438" t="s">
        <v>147</v>
      </c>
      <c r="E5" s="438" t="s">
        <v>148</v>
      </c>
      <c r="F5" s="438" t="s">
        <v>149</v>
      </c>
      <c r="G5" s="439">
        <v>31968</v>
      </c>
      <c r="H5" s="440">
        <f>ROUNDDOWN(($G$2-G5)/365,0)</f>
        <v>38</v>
      </c>
      <c r="I5" s="439">
        <v>45261</v>
      </c>
      <c r="J5" s="440">
        <f>ROUNDDOWN(($G$2-I5)/365,0)</f>
        <v>2</v>
      </c>
      <c r="K5" s="123" t="s">
        <v>144</v>
      </c>
      <c r="L5" s="123" t="s">
        <v>145</v>
      </c>
      <c r="M5" s="126"/>
      <c r="N5" s="126"/>
      <c r="O5" s="126"/>
      <c r="P5" s="15"/>
      <c r="Q5" s="21" t="s">
        <v>146</v>
      </c>
    </row>
    <row r="6" spans="2:17" ht="22.5" customHeight="1" x14ac:dyDescent="0.35">
      <c r="B6" s="441">
        <v>2</v>
      </c>
      <c r="C6" s="442"/>
      <c r="D6" s="442"/>
      <c r="E6" s="442"/>
      <c r="F6" s="442"/>
      <c r="G6" s="443"/>
      <c r="H6" s="440">
        <f>ROUNDDOWN(($G$2-G6)/365,0)</f>
        <v>126</v>
      </c>
      <c r="I6" s="16"/>
      <c r="J6" s="440">
        <f t="shared" ref="J6:J34" si="0">ROUNDDOWN(($G$2-I6)/365,0)</f>
        <v>126</v>
      </c>
      <c r="K6" s="124"/>
      <c r="L6" s="124"/>
      <c r="M6" s="127"/>
      <c r="N6" s="127"/>
      <c r="O6" s="127"/>
      <c r="P6" s="16"/>
      <c r="Q6" s="20"/>
    </row>
    <row r="7" spans="2:17" ht="22.5" customHeight="1" x14ac:dyDescent="0.35">
      <c r="B7" s="437">
        <v>3</v>
      </c>
      <c r="C7" s="442"/>
      <c r="D7" s="442"/>
      <c r="E7" s="442"/>
      <c r="F7" s="442"/>
      <c r="G7" s="443"/>
      <c r="H7" s="440">
        <f>ROUNDDOWN(($G$2-G7)/365,0)</f>
        <v>126</v>
      </c>
      <c r="I7" s="16"/>
      <c r="J7" s="440">
        <f t="shared" si="0"/>
        <v>126</v>
      </c>
      <c r="K7" s="124"/>
      <c r="L7" s="124"/>
      <c r="M7" s="127"/>
      <c r="N7" s="127"/>
      <c r="O7" s="127"/>
      <c r="P7" s="16"/>
      <c r="Q7" s="20"/>
    </row>
    <row r="8" spans="2:17" ht="22.5" customHeight="1" x14ac:dyDescent="0.35">
      <c r="B8" s="441">
        <v>4</v>
      </c>
      <c r="C8" s="442"/>
      <c r="D8" s="442"/>
      <c r="E8" s="442"/>
      <c r="F8" s="442"/>
      <c r="G8" s="443"/>
      <c r="H8" s="440">
        <f t="shared" ref="H8:H34" si="1">ROUNDDOWN(($G$2-G8)/365,0)</f>
        <v>126</v>
      </c>
      <c r="I8" s="16"/>
      <c r="J8" s="440">
        <f t="shared" si="0"/>
        <v>126</v>
      </c>
      <c r="K8" s="124"/>
      <c r="L8" s="124"/>
      <c r="M8" s="127"/>
      <c r="N8" s="127"/>
      <c r="O8" s="127"/>
      <c r="P8" s="16"/>
      <c r="Q8" s="20"/>
    </row>
    <row r="9" spans="2:17" ht="22.5" customHeight="1" x14ac:dyDescent="0.35">
      <c r="B9" s="437">
        <v>5</v>
      </c>
      <c r="C9" s="442"/>
      <c r="D9" s="442"/>
      <c r="E9" s="442"/>
      <c r="F9" s="442"/>
      <c r="G9" s="443"/>
      <c r="H9" s="440">
        <f t="shared" si="1"/>
        <v>126</v>
      </c>
      <c r="I9" s="16"/>
      <c r="J9" s="440">
        <f t="shared" si="0"/>
        <v>126</v>
      </c>
      <c r="K9" s="124"/>
      <c r="L9" s="124"/>
      <c r="M9" s="127"/>
      <c r="N9" s="127"/>
      <c r="O9" s="127"/>
      <c r="P9" s="16"/>
      <c r="Q9" s="20"/>
    </row>
    <row r="10" spans="2:17" ht="22.5" customHeight="1" x14ac:dyDescent="0.35">
      <c r="B10" s="441">
        <v>6</v>
      </c>
      <c r="C10" s="442"/>
      <c r="D10" s="442"/>
      <c r="E10" s="442"/>
      <c r="F10" s="442"/>
      <c r="G10" s="443"/>
      <c r="H10" s="440">
        <f t="shared" si="1"/>
        <v>126</v>
      </c>
      <c r="I10" s="16"/>
      <c r="J10" s="440">
        <f t="shared" si="0"/>
        <v>126</v>
      </c>
      <c r="K10" s="124"/>
      <c r="L10" s="124"/>
      <c r="M10" s="127"/>
      <c r="N10" s="127"/>
      <c r="O10" s="127"/>
      <c r="P10" s="16"/>
      <c r="Q10" s="20"/>
    </row>
    <row r="11" spans="2:17" ht="22.5" customHeight="1" x14ac:dyDescent="0.35">
      <c r="B11" s="437">
        <v>7</v>
      </c>
      <c r="C11" s="442"/>
      <c r="D11" s="442"/>
      <c r="E11" s="442"/>
      <c r="F11" s="442"/>
      <c r="G11" s="443"/>
      <c r="H11" s="440">
        <f t="shared" si="1"/>
        <v>126</v>
      </c>
      <c r="I11" s="16"/>
      <c r="J11" s="440">
        <f t="shared" si="0"/>
        <v>126</v>
      </c>
      <c r="K11" s="124"/>
      <c r="L11" s="124"/>
      <c r="M11" s="127"/>
      <c r="N11" s="127"/>
      <c r="O11" s="127"/>
      <c r="P11" s="16"/>
      <c r="Q11" s="20"/>
    </row>
    <row r="12" spans="2:17" ht="22.5" customHeight="1" x14ac:dyDescent="0.35">
      <c r="B12" s="441">
        <v>8</v>
      </c>
      <c r="C12" s="442"/>
      <c r="D12" s="442"/>
      <c r="E12" s="442"/>
      <c r="F12" s="442"/>
      <c r="G12" s="443"/>
      <c r="H12" s="440">
        <f t="shared" si="1"/>
        <v>126</v>
      </c>
      <c r="I12" s="16"/>
      <c r="J12" s="440">
        <f t="shared" si="0"/>
        <v>126</v>
      </c>
      <c r="K12" s="124"/>
      <c r="L12" s="124"/>
      <c r="M12" s="127"/>
      <c r="N12" s="127"/>
      <c r="O12" s="127"/>
      <c r="P12" s="16"/>
      <c r="Q12" s="20"/>
    </row>
    <row r="13" spans="2:17" ht="22.5" customHeight="1" x14ac:dyDescent="0.35">
      <c r="B13" s="437">
        <v>9</v>
      </c>
      <c r="C13" s="442"/>
      <c r="D13" s="442"/>
      <c r="E13" s="442"/>
      <c r="F13" s="442"/>
      <c r="G13" s="443"/>
      <c r="H13" s="440">
        <f t="shared" si="1"/>
        <v>126</v>
      </c>
      <c r="I13" s="16"/>
      <c r="J13" s="440">
        <f t="shared" si="0"/>
        <v>126</v>
      </c>
      <c r="K13" s="124"/>
      <c r="L13" s="124"/>
      <c r="M13" s="127"/>
      <c r="N13" s="127"/>
      <c r="O13" s="127"/>
      <c r="P13" s="16"/>
      <c r="Q13" s="20"/>
    </row>
    <row r="14" spans="2:17" ht="22.5" customHeight="1" x14ac:dyDescent="0.35">
      <c r="B14" s="441">
        <v>10</v>
      </c>
      <c r="C14" s="442"/>
      <c r="D14" s="442"/>
      <c r="E14" s="442"/>
      <c r="F14" s="442"/>
      <c r="G14" s="443"/>
      <c r="H14" s="440">
        <f t="shared" si="1"/>
        <v>126</v>
      </c>
      <c r="I14" s="16"/>
      <c r="J14" s="440">
        <f t="shared" si="0"/>
        <v>126</v>
      </c>
      <c r="K14" s="124"/>
      <c r="L14" s="124"/>
      <c r="M14" s="127"/>
      <c r="N14" s="127"/>
      <c r="O14" s="127"/>
      <c r="P14" s="16"/>
      <c r="Q14" s="20"/>
    </row>
    <row r="15" spans="2:17" ht="22.5" customHeight="1" x14ac:dyDescent="0.35">
      <c r="B15" s="437">
        <v>11</v>
      </c>
      <c r="C15" s="442"/>
      <c r="D15" s="442"/>
      <c r="E15" s="442"/>
      <c r="F15" s="442"/>
      <c r="G15" s="443"/>
      <c r="H15" s="440">
        <f t="shared" si="1"/>
        <v>126</v>
      </c>
      <c r="I15" s="16"/>
      <c r="J15" s="440">
        <f t="shared" si="0"/>
        <v>126</v>
      </c>
      <c r="K15" s="124"/>
      <c r="L15" s="124"/>
      <c r="M15" s="127"/>
      <c r="N15" s="127"/>
      <c r="O15" s="127"/>
      <c r="P15" s="16"/>
      <c r="Q15" s="20"/>
    </row>
    <row r="16" spans="2:17" ht="22.5" customHeight="1" x14ac:dyDescent="0.35">
      <c r="B16" s="441">
        <v>12</v>
      </c>
      <c r="C16" s="442"/>
      <c r="D16" s="442"/>
      <c r="E16" s="442"/>
      <c r="F16" s="442"/>
      <c r="G16" s="443"/>
      <c r="H16" s="440">
        <f t="shared" si="1"/>
        <v>126</v>
      </c>
      <c r="I16" s="16"/>
      <c r="J16" s="440">
        <f t="shared" si="0"/>
        <v>126</v>
      </c>
      <c r="K16" s="124"/>
      <c r="L16" s="124"/>
      <c r="M16" s="127"/>
      <c r="N16" s="127"/>
      <c r="O16" s="127"/>
      <c r="P16" s="16"/>
      <c r="Q16" s="20"/>
    </row>
    <row r="17" spans="2:17" ht="22.5" customHeight="1" x14ac:dyDescent="0.35">
      <c r="B17" s="437">
        <v>13</v>
      </c>
      <c r="C17" s="442"/>
      <c r="D17" s="442"/>
      <c r="E17" s="442"/>
      <c r="F17" s="442"/>
      <c r="G17" s="443"/>
      <c r="H17" s="440">
        <f t="shared" si="1"/>
        <v>126</v>
      </c>
      <c r="I17" s="16"/>
      <c r="J17" s="440">
        <f t="shared" si="0"/>
        <v>126</v>
      </c>
      <c r="K17" s="124"/>
      <c r="L17" s="124"/>
      <c r="M17" s="127"/>
      <c r="N17" s="127"/>
      <c r="O17" s="127"/>
      <c r="P17" s="16"/>
      <c r="Q17" s="20"/>
    </row>
    <row r="18" spans="2:17" ht="22.5" customHeight="1" x14ac:dyDescent="0.35">
      <c r="B18" s="441">
        <v>14</v>
      </c>
      <c r="C18" s="442"/>
      <c r="D18" s="442"/>
      <c r="E18" s="442"/>
      <c r="F18" s="442"/>
      <c r="G18" s="443"/>
      <c r="H18" s="440">
        <f t="shared" si="1"/>
        <v>126</v>
      </c>
      <c r="I18" s="16"/>
      <c r="J18" s="440">
        <f t="shared" si="0"/>
        <v>126</v>
      </c>
      <c r="K18" s="124"/>
      <c r="L18" s="124"/>
      <c r="M18" s="127"/>
      <c r="N18" s="127"/>
      <c r="O18" s="127"/>
      <c r="P18" s="16"/>
      <c r="Q18" s="20"/>
    </row>
    <row r="19" spans="2:17" ht="22.5" customHeight="1" x14ac:dyDescent="0.35">
      <c r="B19" s="437">
        <v>15</v>
      </c>
      <c r="C19" s="442"/>
      <c r="D19" s="442"/>
      <c r="E19" s="442"/>
      <c r="F19" s="442"/>
      <c r="G19" s="443"/>
      <c r="H19" s="440">
        <f t="shared" si="1"/>
        <v>126</v>
      </c>
      <c r="I19" s="16"/>
      <c r="J19" s="440">
        <f t="shared" si="0"/>
        <v>126</v>
      </c>
      <c r="K19" s="124"/>
      <c r="L19" s="124"/>
      <c r="M19" s="127"/>
      <c r="N19" s="127"/>
      <c r="O19" s="127"/>
      <c r="P19" s="16"/>
      <c r="Q19" s="20"/>
    </row>
    <row r="20" spans="2:17" ht="22.5" customHeight="1" x14ac:dyDescent="0.35">
      <c r="B20" s="441">
        <v>16</v>
      </c>
      <c r="C20" s="442"/>
      <c r="D20" s="442"/>
      <c r="E20" s="442"/>
      <c r="F20" s="442"/>
      <c r="G20" s="443"/>
      <c r="H20" s="440">
        <f t="shared" si="1"/>
        <v>126</v>
      </c>
      <c r="I20" s="16"/>
      <c r="J20" s="440">
        <f t="shared" si="0"/>
        <v>126</v>
      </c>
      <c r="K20" s="124"/>
      <c r="L20" s="124"/>
      <c r="M20" s="127"/>
      <c r="N20" s="127"/>
      <c r="O20" s="127"/>
      <c r="P20" s="16"/>
      <c r="Q20" s="20"/>
    </row>
    <row r="21" spans="2:17" ht="22.5" customHeight="1" x14ac:dyDescent="0.35">
      <c r="B21" s="437">
        <v>17</v>
      </c>
      <c r="C21" s="442"/>
      <c r="D21" s="442"/>
      <c r="E21" s="442"/>
      <c r="F21" s="442"/>
      <c r="G21" s="443"/>
      <c r="H21" s="440">
        <f t="shared" si="1"/>
        <v>126</v>
      </c>
      <c r="I21" s="16"/>
      <c r="J21" s="440">
        <f t="shared" si="0"/>
        <v>126</v>
      </c>
      <c r="K21" s="124"/>
      <c r="L21" s="124"/>
      <c r="M21" s="127"/>
      <c r="N21" s="127"/>
      <c r="O21" s="127"/>
      <c r="P21" s="16"/>
      <c r="Q21" s="20"/>
    </row>
    <row r="22" spans="2:17" ht="22.5" customHeight="1" x14ac:dyDescent="0.35">
      <c r="B22" s="441">
        <v>18</v>
      </c>
      <c r="C22" s="442"/>
      <c r="D22" s="442"/>
      <c r="E22" s="442"/>
      <c r="F22" s="442"/>
      <c r="G22" s="443"/>
      <c r="H22" s="440">
        <f t="shared" si="1"/>
        <v>126</v>
      </c>
      <c r="I22" s="16"/>
      <c r="J22" s="440">
        <f t="shared" si="0"/>
        <v>126</v>
      </c>
      <c r="K22" s="124"/>
      <c r="L22" s="124"/>
      <c r="M22" s="127"/>
      <c r="N22" s="127"/>
      <c r="O22" s="127"/>
      <c r="P22" s="16"/>
      <c r="Q22" s="20"/>
    </row>
    <row r="23" spans="2:17" ht="22.5" customHeight="1" x14ac:dyDescent="0.35">
      <c r="B23" s="437">
        <v>19</v>
      </c>
      <c r="C23" s="442"/>
      <c r="D23" s="442"/>
      <c r="E23" s="442"/>
      <c r="F23" s="442"/>
      <c r="G23" s="443"/>
      <c r="H23" s="440">
        <f t="shared" si="1"/>
        <v>126</v>
      </c>
      <c r="I23" s="16"/>
      <c r="J23" s="440">
        <f t="shared" si="0"/>
        <v>126</v>
      </c>
      <c r="K23" s="124"/>
      <c r="L23" s="124"/>
      <c r="M23" s="127"/>
      <c r="N23" s="127"/>
      <c r="O23" s="127"/>
      <c r="P23" s="16"/>
      <c r="Q23" s="20"/>
    </row>
    <row r="24" spans="2:17" ht="22.5" customHeight="1" x14ac:dyDescent="0.35">
      <c r="B24" s="441">
        <v>20</v>
      </c>
      <c r="C24" s="442"/>
      <c r="D24" s="442"/>
      <c r="E24" s="442"/>
      <c r="F24" s="442"/>
      <c r="G24" s="443"/>
      <c r="H24" s="440">
        <f t="shared" si="1"/>
        <v>126</v>
      </c>
      <c r="I24" s="16"/>
      <c r="J24" s="440">
        <f t="shared" si="0"/>
        <v>126</v>
      </c>
      <c r="K24" s="124"/>
      <c r="L24" s="124"/>
      <c r="M24" s="127"/>
      <c r="N24" s="127"/>
      <c r="O24" s="127"/>
      <c r="P24" s="16"/>
      <c r="Q24" s="20"/>
    </row>
    <row r="25" spans="2:17" ht="22.5" customHeight="1" x14ac:dyDescent="0.35">
      <c r="B25" s="437">
        <v>21</v>
      </c>
      <c r="C25" s="442"/>
      <c r="D25" s="442"/>
      <c r="E25" s="442"/>
      <c r="F25" s="442"/>
      <c r="G25" s="443"/>
      <c r="H25" s="440">
        <f t="shared" si="1"/>
        <v>126</v>
      </c>
      <c r="I25" s="16"/>
      <c r="J25" s="440">
        <f t="shared" si="0"/>
        <v>126</v>
      </c>
      <c r="K25" s="124"/>
      <c r="L25" s="124"/>
      <c r="M25" s="127"/>
      <c r="N25" s="127"/>
      <c r="O25" s="127"/>
      <c r="P25" s="16"/>
      <c r="Q25" s="20"/>
    </row>
    <row r="26" spans="2:17" ht="22.5" customHeight="1" x14ac:dyDescent="0.35">
      <c r="B26" s="441">
        <v>22</v>
      </c>
      <c r="C26" s="442"/>
      <c r="D26" s="442"/>
      <c r="E26" s="442"/>
      <c r="F26" s="442"/>
      <c r="G26" s="443"/>
      <c r="H26" s="440">
        <f t="shared" si="1"/>
        <v>126</v>
      </c>
      <c r="I26" s="16"/>
      <c r="J26" s="440">
        <f t="shared" si="0"/>
        <v>126</v>
      </c>
      <c r="K26" s="124"/>
      <c r="L26" s="124"/>
      <c r="M26" s="127"/>
      <c r="N26" s="127"/>
      <c r="O26" s="127"/>
      <c r="P26" s="16"/>
      <c r="Q26" s="20"/>
    </row>
    <row r="27" spans="2:17" ht="22.5" customHeight="1" x14ac:dyDescent="0.35">
      <c r="B27" s="437">
        <v>23</v>
      </c>
      <c r="C27" s="442"/>
      <c r="D27" s="442"/>
      <c r="E27" s="442"/>
      <c r="F27" s="442"/>
      <c r="G27" s="443"/>
      <c r="H27" s="440">
        <f t="shared" si="1"/>
        <v>126</v>
      </c>
      <c r="I27" s="16"/>
      <c r="J27" s="440">
        <f t="shared" si="0"/>
        <v>126</v>
      </c>
      <c r="K27" s="124"/>
      <c r="L27" s="124"/>
      <c r="M27" s="127"/>
      <c r="N27" s="127"/>
      <c r="O27" s="127"/>
      <c r="P27" s="16"/>
      <c r="Q27" s="20"/>
    </row>
    <row r="28" spans="2:17" ht="22.5" customHeight="1" x14ac:dyDescent="0.35">
      <c r="B28" s="441">
        <v>24</v>
      </c>
      <c r="C28" s="442"/>
      <c r="D28" s="442"/>
      <c r="E28" s="442"/>
      <c r="F28" s="442"/>
      <c r="G28" s="443"/>
      <c r="H28" s="440">
        <f t="shared" si="1"/>
        <v>126</v>
      </c>
      <c r="I28" s="16"/>
      <c r="J28" s="440">
        <f t="shared" si="0"/>
        <v>126</v>
      </c>
      <c r="K28" s="124"/>
      <c r="L28" s="124"/>
      <c r="M28" s="127"/>
      <c r="N28" s="127"/>
      <c r="O28" s="127"/>
      <c r="P28" s="16"/>
      <c r="Q28" s="20"/>
    </row>
    <row r="29" spans="2:17" ht="22.5" customHeight="1" x14ac:dyDescent="0.35">
      <c r="B29" s="437">
        <v>25</v>
      </c>
      <c r="C29" s="442"/>
      <c r="D29" s="442"/>
      <c r="E29" s="442"/>
      <c r="F29" s="442"/>
      <c r="G29" s="443"/>
      <c r="H29" s="440">
        <f t="shared" si="1"/>
        <v>126</v>
      </c>
      <c r="I29" s="16"/>
      <c r="J29" s="440">
        <f t="shared" si="0"/>
        <v>126</v>
      </c>
      <c r="K29" s="124"/>
      <c r="L29" s="124"/>
      <c r="M29" s="127"/>
      <c r="N29" s="127"/>
      <c r="O29" s="127"/>
      <c r="P29" s="16"/>
      <c r="Q29" s="20"/>
    </row>
    <row r="30" spans="2:17" ht="22.5" customHeight="1" x14ac:dyDescent="0.35">
      <c r="B30" s="441">
        <v>26</v>
      </c>
      <c r="C30" s="442"/>
      <c r="D30" s="442"/>
      <c r="E30" s="442"/>
      <c r="F30" s="442"/>
      <c r="G30" s="443"/>
      <c r="H30" s="440">
        <f t="shared" si="1"/>
        <v>126</v>
      </c>
      <c r="I30" s="16"/>
      <c r="J30" s="440">
        <f t="shared" si="0"/>
        <v>126</v>
      </c>
      <c r="K30" s="124"/>
      <c r="L30" s="124"/>
      <c r="M30" s="127"/>
      <c r="N30" s="127"/>
      <c r="O30" s="127"/>
      <c r="P30" s="16"/>
      <c r="Q30" s="20"/>
    </row>
    <row r="31" spans="2:17" ht="22.5" customHeight="1" x14ac:dyDescent="0.35">
      <c r="B31" s="437">
        <v>27</v>
      </c>
      <c r="C31" s="444"/>
      <c r="D31" s="444"/>
      <c r="E31" s="444"/>
      <c r="F31" s="444"/>
      <c r="G31" s="443"/>
      <c r="H31" s="440">
        <f t="shared" si="1"/>
        <v>126</v>
      </c>
      <c r="I31" s="16"/>
      <c r="J31" s="440">
        <f t="shared" si="0"/>
        <v>126</v>
      </c>
      <c r="K31" s="124"/>
      <c r="L31" s="124"/>
      <c r="M31" s="127"/>
      <c r="N31" s="127"/>
      <c r="O31" s="127"/>
      <c r="P31" s="16"/>
      <c r="Q31" s="19"/>
    </row>
    <row r="32" spans="2:17" ht="22.5" customHeight="1" x14ac:dyDescent="0.35">
      <c r="B32" s="441">
        <v>28</v>
      </c>
      <c r="C32" s="444"/>
      <c r="D32" s="444"/>
      <c r="E32" s="444"/>
      <c r="F32" s="444"/>
      <c r="G32" s="445"/>
      <c r="H32" s="440">
        <f t="shared" si="1"/>
        <v>126</v>
      </c>
      <c r="I32" s="16"/>
      <c r="J32" s="440">
        <f t="shared" si="0"/>
        <v>126</v>
      </c>
      <c r="K32" s="124"/>
      <c r="L32" s="124"/>
      <c r="M32" s="127"/>
      <c r="N32" s="127"/>
      <c r="O32" s="127"/>
      <c r="P32" s="16"/>
      <c r="Q32" s="19"/>
    </row>
    <row r="33" spans="2:17" ht="22.5" customHeight="1" x14ac:dyDescent="0.35">
      <c r="B33" s="437">
        <v>29</v>
      </c>
      <c r="C33" s="444"/>
      <c r="D33" s="444"/>
      <c r="E33" s="444"/>
      <c r="F33" s="444"/>
      <c r="G33" s="445"/>
      <c r="H33" s="440">
        <f t="shared" si="1"/>
        <v>126</v>
      </c>
      <c r="I33" s="16"/>
      <c r="J33" s="440">
        <f t="shared" si="0"/>
        <v>126</v>
      </c>
      <c r="K33" s="124"/>
      <c r="L33" s="124"/>
      <c r="M33" s="127"/>
      <c r="N33" s="127"/>
      <c r="O33" s="127"/>
      <c r="P33" s="16"/>
      <c r="Q33" s="19"/>
    </row>
    <row r="34" spans="2:17" ht="22.5" customHeight="1" x14ac:dyDescent="0.35">
      <c r="B34" s="441">
        <v>30</v>
      </c>
      <c r="C34" s="444"/>
      <c r="D34" s="444"/>
      <c r="E34" s="444"/>
      <c r="F34" s="444"/>
      <c r="G34" s="445"/>
      <c r="H34" s="440">
        <f t="shared" si="1"/>
        <v>126</v>
      </c>
      <c r="I34" s="16"/>
      <c r="J34" s="440">
        <f t="shared" si="0"/>
        <v>126</v>
      </c>
      <c r="K34" s="124"/>
      <c r="L34" s="124"/>
      <c r="M34" s="127"/>
      <c r="N34" s="127"/>
      <c r="O34" s="127"/>
      <c r="P34" s="16"/>
      <c r="Q34" s="19"/>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3893-820A-45F7-A607-34198E7A88D9}">
  <dimension ref="B2:G3"/>
  <sheetViews>
    <sheetView showGridLines="0" zoomScaleNormal="100" workbookViewId="0">
      <selection activeCell="C3" sqref="C3"/>
    </sheetView>
  </sheetViews>
  <sheetFormatPr defaultColWidth="8.875" defaultRowHeight="18.75" x14ac:dyDescent="0.35"/>
  <cols>
    <col min="1" max="1" width="8.875" style="65"/>
    <col min="2" max="2" width="41.875" style="65" customWidth="1"/>
    <col min="3" max="3" width="16.125" style="65" customWidth="1"/>
    <col min="4" max="6" width="13.125" style="65" customWidth="1"/>
    <col min="7" max="7" width="55.5" style="65" customWidth="1"/>
    <col min="8" max="16384" width="8.875" style="65"/>
  </cols>
  <sheetData>
    <row r="2" spans="2:7" ht="39" x14ac:dyDescent="0.35">
      <c r="B2" s="63" t="s">
        <v>150</v>
      </c>
      <c r="C2" s="64" t="s">
        <v>158</v>
      </c>
      <c r="D2" s="134" t="s">
        <v>156</v>
      </c>
      <c r="E2" s="134" t="s">
        <v>153</v>
      </c>
      <c r="F2" s="134" t="s">
        <v>154</v>
      </c>
      <c r="G2" s="130" t="s">
        <v>151</v>
      </c>
    </row>
    <row r="3" spans="2:7" ht="39" customHeight="1" x14ac:dyDescent="0.35">
      <c r="B3" s="135" t="inlineStr">
        <is>
          <t>要確認（本社所在地の資料未受領）</t>
        </is>
      </c>
      <c r="C3" s="137"/>
      <c r="D3" s="131"/>
      <c r="E3" s="133"/>
      <c r="F3" s="133"/>
      <c r="G3" s="136"/>
    </row>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2EF2-1DF7-4450-B34F-5A5C6C273BF9}">
  <dimension ref="B1:K21"/>
  <sheetViews>
    <sheetView showGridLines="0" topLeftCell="D1" zoomScaleNormal="100" workbookViewId="0">
      <selection activeCell="I4" sqref="I4"/>
    </sheetView>
  </sheetViews>
  <sheetFormatPr defaultColWidth="8.875" defaultRowHeight="18.75" x14ac:dyDescent="0.35"/>
  <cols>
    <col min="1" max="1" width="8.875" style="65"/>
    <col min="2" max="2" width="10.125" style="65" customWidth="1"/>
    <col min="3" max="3" width="16.125" style="65" customWidth="1"/>
    <col min="4" max="4" width="21.125" style="65" bestFit="1" customWidth="1"/>
    <col min="5" max="5" width="16.5" style="144" customWidth="1"/>
    <col min="6" max="6" width="11.375" style="65" customWidth="1"/>
    <col min="7" max="7" width="20.375" style="65" bestFit="1" customWidth="1"/>
    <col min="8" max="10" width="13.375" style="140" customWidth="1"/>
    <col min="11" max="11" width="34.125" style="65" bestFit="1" customWidth="1"/>
    <col min="12" max="16384" width="8.875" style="65"/>
  </cols>
  <sheetData>
    <row r="1" spans="2:11" x14ac:dyDescent="0.35">
      <c r="E1" s="71"/>
      <c r="H1" s="65"/>
      <c r="I1" s="65" t="s">
        <v>170</v>
      </c>
      <c r="J1" s="65"/>
    </row>
    <row r="2" spans="2:11" x14ac:dyDescent="0.35">
      <c r="B2" s="74"/>
      <c r="C2" s="74"/>
      <c r="E2" s="71"/>
      <c r="H2" s="65"/>
      <c r="I2" s="65"/>
      <c r="J2" s="65"/>
    </row>
    <row r="3" spans="2:11" ht="39" x14ac:dyDescent="0.35">
      <c r="B3" s="145" t="s">
        <v>195</v>
      </c>
      <c r="C3" s="145" t="s">
        <v>31</v>
      </c>
      <c r="D3" s="134" t="s">
        <v>161</v>
      </c>
      <c r="E3" s="134" t="s">
        <v>162</v>
      </c>
      <c r="F3" s="134" t="s">
        <v>180</v>
      </c>
      <c r="G3" s="134" t="s">
        <v>163</v>
      </c>
      <c r="H3" s="134" t="s">
        <v>164</v>
      </c>
      <c r="I3" s="134" t="s">
        <v>166</v>
      </c>
      <c r="J3" s="134" t="s">
        <v>165</v>
      </c>
      <c r="K3" s="130" t="s">
        <v>84</v>
      </c>
    </row>
    <row r="4" spans="2:11" ht="22.5" customHeight="1" x14ac:dyDescent="0.35">
      <c r="B4" s="574" t="s">
        <v>167</v>
      </c>
      <c r="C4" s="162" t="s">
        <v>173</v>
      </c>
      <c r="D4" s="162" t="s">
        <v>169</v>
      </c>
      <c r="E4" s="163">
        <v>1086.1600000000001</v>
      </c>
      <c r="F4" s="162" t="s">
        <v>168</v>
      </c>
      <c r="G4" s="164" t="s">
        <v>172</v>
      </c>
      <c r="H4" s="165">
        <v>10000000</v>
      </c>
      <c r="I4" s="165">
        <f>J4/0.7</f>
        <v>17142857.142857146</v>
      </c>
      <c r="J4" s="165">
        <v>12000000</v>
      </c>
      <c r="K4" s="166" t="s">
        <v>178</v>
      </c>
    </row>
    <row r="5" spans="2:11" ht="22.5" customHeight="1" x14ac:dyDescent="0.35">
      <c r="B5" s="575"/>
      <c r="C5" s="167" t="s">
        <v>174</v>
      </c>
      <c r="D5" s="167" t="s">
        <v>171</v>
      </c>
      <c r="E5" s="168">
        <v>500.12</v>
      </c>
      <c r="F5" s="167" t="s">
        <v>168</v>
      </c>
      <c r="G5" s="164" t="s">
        <v>172</v>
      </c>
      <c r="H5" s="169">
        <v>5000000</v>
      </c>
      <c r="I5" s="169">
        <f>J5/0.7</f>
        <v>10000000</v>
      </c>
      <c r="J5" s="169">
        <v>7000000</v>
      </c>
      <c r="K5" s="166" t="s">
        <v>178</v>
      </c>
    </row>
    <row r="6" spans="2:11" ht="58.5" x14ac:dyDescent="0.35">
      <c r="B6" s="576"/>
      <c r="C6" s="61" t="s">
        <v>175</v>
      </c>
      <c r="D6" s="61" t="s">
        <v>176</v>
      </c>
      <c r="E6" s="149" t="s">
        <v>190</v>
      </c>
      <c r="F6" s="62" t="s">
        <v>181</v>
      </c>
      <c r="G6" s="111" t="s">
        <v>177</v>
      </c>
      <c r="H6" s="112">
        <v>20000000</v>
      </c>
      <c r="I6" s="112">
        <v>20000000</v>
      </c>
      <c r="J6" s="113" t="s">
        <v>56</v>
      </c>
      <c r="K6" s="141" t="s">
        <v>179</v>
      </c>
    </row>
    <row r="7" spans="2:11" ht="22.5" customHeight="1" x14ac:dyDescent="0.35">
      <c r="B7" s="574" t="s">
        <v>196</v>
      </c>
      <c r="C7" s="162" t="s">
        <v>173</v>
      </c>
      <c r="D7" s="162" t="s">
        <v>169</v>
      </c>
      <c r="E7" s="163">
        <v>1086.1600000000001</v>
      </c>
      <c r="F7" s="162" t="s">
        <v>168</v>
      </c>
      <c r="G7" s="164" t="s">
        <v>172</v>
      </c>
      <c r="H7" s="165">
        <v>10000000</v>
      </c>
      <c r="I7" s="165">
        <f>J7/0.7</f>
        <v>17142857.142857146</v>
      </c>
      <c r="J7" s="165">
        <v>12000000</v>
      </c>
      <c r="K7" s="166" t="s">
        <v>178</v>
      </c>
    </row>
    <row r="8" spans="2:11" ht="48.6" customHeight="1" x14ac:dyDescent="0.35">
      <c r="B8" s="576"/>
      <c r="C8" s="61" t="s">
        <v>183</v>
      </c>
      <c r="D8" s="61" t="s">
        <v>176</v>
      </c>
      <c r="E8" s="149" t="s">
        <v>197</v>
      </c>
      <c r="F8" s="62" t="s">
        <v>184</v>
      </c>
      <c r="G8" s="111" t="s">
        <v>177</v>
      </c>
      <c r="H8" s="112">
        <v>20000000</v>
      </c>
      <c r="I8" s="112">
        <v>20000000</v>
      </c>
      <c r="J8" s="113" t="s">
        <v>56</v>
      </c>
      <c r="K8" s="141" t="s">
        <v>179</v>
      </c>
    </row>
    <row r="9" spans="2:11" ht="22.5" customHeight="1" x14ac:dyDescent="0.35">
      <c r="B9" s="146"/>
      <c r="C9" s="146"/>
      <c r="D9" s="61"/>
      <c r="E9" s="143"/>
      <c r="F9" s="61"/>
      <c r="G9" s="111"/>
      <c r="H9" s="112"/>
      <c r="I9" s="112"/>
      <c r="J9" s="112"/>
      <c r="K9" s="141"/>
    </row>
    <row r="10" spans="2:11" ht="22.5" customHeight="1" x14ac:dyDescent="0.35">
      <c r="B10" s="146"/>
      <c r="C10" s="146"/>
      <c r="D10" s="61"/>
      <c r="E10" s="143"/>
      <c r="F10" s="61"/>
      <c r="G10" s="111"/>
      <c r="H10" s="112"/>
      <c r="I10" s="112"/>
      <c r="J10" s="112"/>
      <c r="K10" s="141"/>
    </row>
    <row r="11" spans="2:11" ht="22.5" customHeight="1" x14ac:dyDescent="0.35">
      <c r="B11" s="146"/>
      <c r="C11" s="146"/>
      <c r="D11" s="61"/>
      <c r="E11" s="143"/>
      <c r="F11" s="61"/>
      <c r="G11" s="111"/>
      <c r="H11" s="112"/>
      <c r="I11" s="112"/>
      <c r="J11" s="112"/>
      <c r="K11" s="141"/>
    </row>
    <row r="14" spans="2:11" x14ac:dyDescent="0.35">
      <c r="B14" s="74" t="s">
        <v>182</v>
      </c>
      <c r="C14" s="74" t="s">
        <v>182</v>
      </c>
      <c r="E14" s="71"/>
      <c r="H14" s="65"/>
      <c r="I14" s="65"/>
      <c r="J14" s="65"/>
    </row>
    <row r="15" spans="2:11" ht="39" x14ac:dyDescent="0.35">
      <c r="B15" s="145" t="s">
        <v>195</v>
      </c>
      <c r="C15" s="145" t="s">
        <v>31</v>
      </c>
      <c r="D15" s="134" t="s">
        <v>161</v>
      </c>
      <c r="E15" s="150" t="s">
        <v>198</v>
      </c>
      <c r="F15" s="134" t="s">
        <v>180</v>
      </c>
      <c r="G15" s="134" t="s">
        <v>163</v>
      </c>
      <c r="H15" s="134" t="s">
        <v>164</v>
      </c>
      <c r="I15" s="134" t="s">
        <v>166</v>
      </c>
      <c r="J15" s="134" t="s">
        <v>165</v>
      </c>
      <c r="K15" s="130" t="s">
        <v>84</v>
      </c>
    </row>
    <row r="16" spans="2:11" ht="22.5" customHeight="1" x14ac:dyDescent="0.35">
      <c r="B16" s="577" t="s">
        <v>173</v>
      </c>
      <c r="C16" s="60" t="s">
        <v>173</v>
      </c>
      <c r="D16" s="60" t="s">
        <v>169</v>
      </c>
      <c r="E16" s="142">
        <v>1086.1600000000001</v>
      </c>
      <c r="F16" s="60" t="s">
        <v>168</v>
      </c>
      <c r="G16" s="131" t="s">
        <v>172</v>
      </c>
      <c r="H16" s="133">
        <v>10000000</v>
      </c>
      <c r="I16" s="133">
        <f>J16/0.7</f>
        <v>17142857.142857146</v>
      </c>
      <c r="J16" s="133">
        <v>12000000</v>
      </c>
      <c r="K16" s="132" t="s">
        <v>178</v>
      </c>
    </row>
    <row r="17" spans="2:11" ht="22.5" customHeight="1" x14ac:dyDescent="0.35">
      <c r="B17" s="578"/>
      <c r="C17" s="61" t="s">
        <v>174</v>
      </c>
      <c r="D17" s="61" t="s">
        <v>171</v>
      </c>
      <c r="E17" s="143">
        <v>500.12</v>
      </c>
      <c r="F17" s="61" t="s">
        <v>168</v>
      </c>
      <c r="G17" s="131" t="s">
        <v>172</v>
      </c>
      <c r="H17" s="112">
        <v>5000000</v>
      </c>
      <c r="I17" s="112">
        <f>J17/0.7</f>
        <v>10000000</v>
      </c>
      <c r="J17" s="112">
        <v>7000000</v>
      </c>
      <c r="K17" s="132" t="s">
        <v>178</v>
      </c>
    </row>
    <row r="18" spans="2:11" ht="45" x14ac:dyDescent="0.35">
      <c r="B18" s="579"/>
      <c r="C18" s="61" t="s">
        <v>183</v>
      </c>
      <c r="D18" s="61" t="s">
        <v>176</v>
      </c>
      <c r="E18" s="149" t="s">
        <v>197</v>
      </c>
      <c r="F18" s="62" t="s">
        <v>184</v>
      </c>
      <c r="G18" s="111" t="s">
        <v>177</v>
      </c>
      <c r="H18" s="112">
        <v>20000000</v>
      </c>
      <c r="I18" s="112">
        <v>20000000</v>
      </c>
      <c r="J18" s="113" t="s">
        <v>56</v>
      </c>
      <c r="K18" s="141" t="s">
        <v>179</v>
      </c>
    </row>
    <row r="19" spans="2:11" ht="22.5" customHeight="1" x14ac:dyDescent="0.35">
      <c r="B19" s="146"/>
      <c r="C19" s="146"/>
      <c r="D19" s="61"/>
      <c r="E19" s="143"/>
      <c r="F19" s="61"/>
      <c r="G19" s="111"/>
      <c r="H19" s="112"/>
      <c r="I19" s="112"/>
      <c r="J19" s="112"/>
      <c r="K19" s="141"/>
    </row>
    <row r="20" spans="2:11" ht="22.5" customHeight="1" x14ac:dyDescent="0.35">
      <c r="B20" s="146"/>
      <c r="C20" s="146"/>
      <c r="D20" s="61"/>
      <c r="E20" s="143"/>
      <c r="F20" s="61"/>
      <c r="G20" s="111"/>
      <c r="H20" s="112"/>
      <c r="I20" s="112"/>
      <c r="J20" s="112"/>
      <c r="K20" s="141"/>
    </row>
    <row r="21" spans="2:11" ht="22.5" customHeight="1" x14ac:dyDescent="0.35">
      <c r="B21" s="146"/>
      <c r="C21" s="146"/>
      <c r="D21" s="61"/>
      <c r="E21" s="143"/>
      <c r="F21" s="61"/>
      <c r="G21" s="111"/>
      <c r="H21" s="112"/>
      <c r="I21" s="112"/>
      <c r="J21" s="112"/>
      <c r="K21" s="141"/>
    </row>
  </sheetData>
  <mergeCells count="3">
    <mergeCell ref="B4:B6"/>
    <mergeCell ref="B16:B18"/>
    <mergeCell ref="B7:B8"/>
  </mergeCells>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A782-E175-4990-937F-0F212946EC8D}">
  <dimension ref="B1:J21"/>
  <sheetViews>
    <sheetView showGridLines="0" topLeftCell="A2" zoomScaleNormal="100" workbookViewId="0">
      <selection activeCell="I4" sqref="I4"/>
    </sheetView>
  </sheetViews>
  <sheetFormatPr defaultColWidth="8.875" defaultRowHeight="18.75" x14ac:dyDescent="0.35"/>
  <cols>
    <col min="1" max="1" width="8.875" style="65"/>
    <col min="2" max="2" width="11.125" style="65" customWidth="1"/>
    <col min="3" max="3" width="17.5" style="65" bestFit="1" customWidth="1"/>
    <col min="4" max="4" width="21.125" style="65" bestFit="1" customWidth="1"/>
    <col min="5" max="5" width="13.375" style="144" customWidth="1"/>
    <col min="6" max="6" width="11.375" style="65" customWidth="1"/>
    <col min="7" max="7" width="20.375" style="65" bestFit="1" customWidth="1"/>
    <col min="8" max="9" width="13.375" style="140" customWidth="1"/>
    <col min="10" max="10" width="34.125" style="65" bestFit="1" customWidth="1"/>
    <col min="11" max="16384" width="8.875" style="65"/>
  </cols>
  <sheetData>
    <row r="1" spans="2:10" x14ac:dyDescent="0.35">
      <c r="E1" s="65"/>
      <c r="H1" s="65"/>
      <c r="I1" s="65"/>
    </row>
    <row r="2" spans="2:10" x14ac:dyDescent="0.35">
      <c r="B2" s="74"/>
      <c r="C2" s="74"/>
      <c r="E2" s="65"/>
      <c r="H2" s="65"/>
      <c r="I2" s="65"/>
    </row>
    <row r="3" spans="2:10" ht="39" x14ac:dyDescent="0.35">
      <c r="B3" s="145" t="s">
        <v>31</v>
      </c>
      <c r="C3" s="145" t="s">
        <v>31</v>
      </c>
      <c r="D3" s="134" t="s">
        <v>161</v>
      </c>
      <c r="E3" s="134" t="s">
        <v>162</v>
      </c>
      <c r="F3" s="134" t="s">
        <v>185</v>
      </c>
      <c r="G3" s="134" t="s">
        <v>186</v>
      </c>
      <c r="H3" s="134" t="s">
        <v>153</v>
      </c>
      <c r="I3" s="134" t="s">
        <v>154</v>
      </c>
      <c r="J3" s="130" t="s">
        <v>84</v>
      </c>
    </row>
    <row r="4" spans="2:10" ht="39" x14ac:dyDescent="0.35">
      <c r="B4" s="446" t="inlineStr">
        <is>
          <t>①店舗</t>
        </is>
      </c>
      <c r="C4" s="61" t="inlineStr">
        <is>
          <t>建物）店舗</t>
        </is>
      </c>
      <c r="D4" s="60" t="inlineStr">
        <is>
          <t>横浜市緑区中山町305-20</t>
        </is>
      </c>
      <c r="E4" s="142"/>
      <c r="F4" s="137" t="inlineStr">
        <is>
          <t>要確認</t>
        </is>
      </c>
      <c r="G4" s="60" t="inlineStr">
        <is>
          <t>㈱ｲｴﾛｰｽﾀｼﾞｵ</t>
        </is>
      </c>
      <c r="H4" s="133">
        <v>337500</v>
      </c>
      <c r="I4" s="133">
        <v>1000000</v>
      </c>
      <c r="J4" s="132" t="inlineStr">
        <is>
          <t>年額 4,050,000円（R7.2〜R8.1）</t>
        </is>
      </c>
    </row>
    <row r="5" spans="2:10" ht="39" x14ac:dyDescent="0.35">
      <c r="B5" s="446" t="inlineStr">
        <is>
          <t>②店舗</t>
        </is>
      </c>
      <c r="C5" s="61" t="inlineStr">
        <is>
          <t>建物）店舗</t>
        </is>
      </c>
      <c r="D5" s="60" t="inlineStr">
        <is>
          <t>横浜市都筑区仲町台1-33-16</t>
        </is>
      </c>
      <c r="E5" s="142"/>
      <c r="F5" s="137" t="inlineStr">
        <is>
          <t>要確認</t>
        </is>
      </c>
      <c r="G5" s="60" t="inlineStr">
        <is>
          <t>片桐　昇</t>
        </is>
      </c>
      <c r="H5" s="133">
        <v>296947</v>
      </c>
      <c r="I5" s="133">
        <v>2000000</v>
      </c>
      <c r="J5" s="132" t="inlineStr">
        <is>
          <t>年額 3,563,364円（R7.2〜R8.1）</t>
        </is>
      </c>
    </row>
    <row r="6" spans="2:10" ht="19.5" x14ac:dyDescent="0.35">
      <c r="B6" s="61" t="inlineStr">
        <is>
          <t>③店舗</t>
        </is>
      </c>
      <c r="C6" s="61" t="inlineStr">
        <is>
          <t>建物）店舗</t>
        </is>
      </c>
      <c r="D6" s="61" t="inlineStr">
        <is>
          <t>横浜市都筑区仲町台1-2-28</t>
        </is>
      </c>
      <c r="E6" s="147"/>
      <c r="F6" s="62" t="inlineStr">
        <is>
          <t>要確認</t>
        </is>
      </c>
      <c r="G6" s="61" t="inlineStr">
        <is>
          <t>㈱ﾚｰﾍﾞﾝﾄﾗｽﾄ</t>
        </is>
      </c>
      <c r="H6" s="112">
        <v>718025</v>
      </c>
      <c r="I6" s="112">
        <v>3480000</v>
      </c>
      <c r="J6" s="141" t="inlineStr">
        <is>
          <t>年額 8,616,300円（R7.2〜R8.1）</t>
        </is>
      </c>
    </row>
    <row r="7" spans="2:10" ht="22.5" customHeight="1" x14ac:dyDescent="0.35">
      <c r="B7" s="146" t="inlineStr">
        <is>
          <t>駐車場</t>
        </is>
      </c>
      <c r="C7" s="146" t="inlineStr">
        <is>
          <t>土地）駐車場</t>
        </is>
      </c>
      <c r="D7" s="61" t="inlineStr">
        <is>
          <t>横浜市都筑区仲町台2-11-1</t>
        </is>
      </c>
      <c r="E7" s="143"/>
      <c r="F7" s="61" t="inlineStr">
        <is>
          <t>要確認</t>
        </is>
      </c>
      <c r="G7" s="61" t="inlineStr">
        <is>
          <t>西川　香代子</t>
        </is>
      </c>
      <c r="H7" s="112">
        <v>17600</v>
      </c>
      <c r="I7" s="112">
        <v>17280</v>
      </c>
      <c r="J7" s="141" t="inlineStr">
        <is>
          <t>年額 211,200円（R7.2〜R8.1）</t>
        </is>
      </c>
    </row>
    <row r="8" spans="2:10" ht="22.5" customHeight="1" x14ac:dyDescent="0.35">
      <c r="B8" s="146" t="inlineStr">
        <is>
          <t>駐車場</t>
        </is>
      </c>
      <c r="C8" s="146" t="inlineStr">
        <is>
          <t>土地）駐車場</t>
        </is>
      </c>
      <c r="D8" s="61" t="inlineStr">
        <is>
          <t>横浜市都筑区仲町台5-6</t>
        </is>
      </c>
      <c r="E8" s="143"/>
      <c r="F8" s="61" t="inlineStr">
        <is>
          <t>要確認</t>
        </is>
      </c>
      <c r="G8" s="61" t="inlineStr">
        <is>
          <t>㈱ﾘﾌﾞｸﾗｯｼｲ</t>
        </is>
      </c>
      <c r="H8" s="112">
        <v>17600</v>
      </c>
      <c r="I8" s="112">
        <v>16000</v>
      </c>
      <c r="J8" s="141" t="inlineStr">
        <is>
          <t>年額 211,200円（R7.2〜R8.1）</t>
        </is>
      </c>
    </row>
    <row r="9" spans="2:10" ht="22.5" customHeight="1" x14ac:dyDescent="0.35">
      <c r="B9" s="146" t="inlineStr">
        <is>
          <t>駐車場</t>
        </is>
      </c>
      <c r="C9" s="146" t="inlineStr">
        <is>
          <t>土地）駐車場</t>
        </is>
      </c>
      <c r="D9" s="61" t="inlineStr">
        <is>
          <t>横浜市都筑区仲町台1-14</t>
        </is>
      </c>
      <c r="E9" s="143"/>
      <c r="F9" s="61" t="inlineStr">
        <is>
          <t>要確認</t>
        </is>
      </c>
      <c r="G9" s="61" t="inlineStr">
        <is>
          <t>㈱ﾘﾌﾞｸﾗｯｼｲ</t>
        </is>
      </c>
      <c r="H9" s="112">
        <v>18700</v>
      </c>
      <c r="I9" s="112"/>
      <c r="J9" s="141" t="inlineStr">
        <is>
          <t>年額 224,400円（R7.2〜R8.1）</t>
        </is>
      </c>
    </row>
    <row r="10" spans="2:10" x14ac:dyDescent="0.35">
      <c r="B10" s="146" t="inlineStr">
        <is>
          <t>駐車場</t>
        </is>
      </c>
      <c r="C10" s="146" t="inlineStr">
        <is>
          <t>土地）駐車場</t>
        </is>
      </c>
      <c r="D10" s="61" t="inlineStr">
        <is>
          <t>横浜市都筑区仲町台</t>
        </is>
      </c>
      <c r="E10" s="143"/>
      <c r="F10" s="61" t="inlineStr">
        <is>
          <t>要確認</t>
        </is>
      </c>
      <c r="G10" s="148" t="inlineStr">
        <is>
          <t>神奈川中央住宅㈱</t>
        </is>
      </c>
      <c r="H10" s="112">
        <v>19067</v>
      </c>
      <c r="I10" s="112"/>
      <c r="J10" s="141" t="inlineStr">
        <is>
          <t>年額 228,800円（R7.2〜R8.1）</t>
        </is>
      </c>
    </row>
    <row r="11" spans="2:10" ht="22.5" customHeight="1" x14ac:dyDescent="0.35">
      <c r="B11" s="146"/>
      <c r="C11" s="146"/>
      <c r="D11" s="61"/>
      <c r="E11" s="143"/>
      <c r="F11" s="61"/>
      <c r="G11" s="61"/>
      <c r="H11" s="112"/>
      <c r="I11" s="112"/>
      <c r="J11" s="141"/>
    </row>
    <row r="12" spans="2:10" x14ac:dyDescent="0.35">
      <c r="B12" s="146" t="inlineStr">
        <is>
          <t>※ 令和7年12月期の地代家賃等の内訳書及び差入保証金の内訳による。差入保証金にはほかにﾄｰｾｲ･ｺﾐｭﾆﾃｨ㈱126,000円があるが、地代家賃の内訳に対応する記載がなく内容は要確認。賃貸借契約書は未受領のため契約期間・更新条件・原状回復義務は要確認。</t>
        </is>
      </c>
      <c r="C12" s="146"/>
      <c r="D12" s="61"/>
      <c r="E12" s="143"/>
      <c r="F12" s="61"/>
      <c r="G12" s="148"/>
      <c r="H12" s="112"/>
      <c r="I12" s="112"/>
      <c r="J12" s="141"/>
    </row>
    <row r="13">
      <c r="B13" s="74"/>
      <c r="C13" s="74"/>
      <c r="D13" s="61"/>
      <c r="E13" s="65"/>
      <c r="F13" s="61"/>
      <c r="G13" s="148"/>
      <c r="H13" s="65"/>
      <c r="I13" s="65"/>
      <c r="J13" s="141"/>
    </row>
    <row r="14" spans="2:10" x14ac:dyDescent="0.35">
      <c r="B14" s="74"/>
      <c r="C14" s="74"/>
      <c r="D14" s="134"/>
      <c r="E14" s="65"/>
      <c r="F14" s="134"/>
      <c r="G14" s="134"/>
      <c r="H14" s="65"/>
      <c r="I14" s="65"/>
      <c r="J14" s="130"/>
    </row>
    <row r="15" spans="2:10" ht="39" x14ac:dyDescent="0.35">
      <c r="B15" s="145"/>
      <c r="C15" s="145"/>
      <c r="D15" s="134"/>
      <c r="E15" s="134"/>
      <c r="F15" s="134"/>
      <c r="G15" s="134"/>
      <c r="H15" s="134"/>
      <c r="I15" s="134"/>
      <c r="J15" s="130"/>
    </row>
    <row r="16" spans="2:10" ht="39" x14ac:dyDescent="0.35">
      <c r="B16" s="446"/>
      <c r="C16" s="61"/>
      <c r="D16" s="60"/>
      <c r="E16" s="142"/>
      <c r="F16" s="137"/>
      <c r="G16" s="60"/>
      <c r="H16" s="133"/>
      <c r="I16" s="133"/>
      <c r="J16" s="132"/>
    </row>
    <row r="17" spans="2:10" ht="22.5" customHeight="1" x14ac:dyDescent="0.35">
      <c r="B17" s="61"/>
      <c r="C17" s="61"/>
      <c r="D17" s="61"/>
      <c r="E17" s="143"/>
      <c r="F17" s="61"/>
      <c r="G17" s="60"/>
      <c r="H17" s="112"/>
      <c r="I17" s="112"/>
      <c r="J17" s="132"/>
    </row>
    <row r="18" spans="2:10" ht="19.5" x14ac:dyDescent="0.35">
      <c r="B18" s="61"/>
      <c r="C18" s="61"/>
      <c r="D18" s="61"/>
      <c r="E18" s="147"/>
      <c r="F18" s="62"/>
      <c r="G18" s="61"/>
      <c r="H18" s="112"/>
      <c r="I18" s="112"/>
      <c r="J18" s="141"/>
    </row>
    <row r="19" spans="2:10" ht="22.5" customHeight="1" x14ac:dyDescent="0.35">
      <c r="B19" s="146"/>
      <c r="C19" s="146"/>
      <c r="D19" s="61"/>
      <c r="E19" s="143"/>
      <c r="F19" s="61"/>
      <c r="G19" s="61"/>
      <c r="H19" s="112"/>
      <c r="I19" s="112"/>
      <c r="J19" s="141"/>
    </row>
    <row r="20" spans="2:10" ht="22.5" customHeight="1" x14ac:dyDescent="0.35">
      <c r="B20" s="146"/>
      <c r="C20" s="146"/>
      <c r="D20" s="61"/>
      <c r="E20" s="143"/>
      <c r="F20" s="61"/>
      <c r="G20" s="61"/>
      <c r="H20" s="112"/>
      <c r="I20" s="112"/>
      <c r="J20" s="141"/>
    </row>
    <row r="21" spans="2:10" ht="22.5" customHeight="1" x14ac:dyDescent="0.35">
      <c r="B21" s="146"/>
      <c r="C21" s="146"/>
      <c r="D21" s="61"/>
      <c r="E21" s="143"/>
      <c r="F21" s="61"/>
      <c r="G21" s="61"/>
      <c r="H21" s="112"/>
      <c r="I21" s="112"/>
      <c r="J21" s="141"/>
    </row>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FFE6-F8D9-4B70-97B9-A627C0A0AAAF}">
  <dimension ref="B2:K22"/>
  <sheetViews>
    <sheetView showGridLines="0" zoomScaleNormal="100" workbookViewId="0">
      <selection activeCell="C2" sqref="C2"/>
    </sheetView>
  </sheetViews>
  <sheetFormatPr defaultRowHeight="18" x14ac:dyDescent="0.35"/>
  <cols>
    <col min="2" max="2" width="5.125" style="118" customWidth="1"/>
    <col min="3" max="10" width="16.125" customWidth="1"/>
    <col min="11" max="11" width="55.5" customWidth="1"/>
  </cols>
  <sheetData>
    <row r="2" spans="2:11" ht="19.5" x14ac:dyDescent="0.35">
      <c r="B2" s="447" t="s">
        <v>83</v>
      </c>
      <c r="C2" s="2" t="s">
        <v>390</v>
      </c>
      <c r="D2" s="3" t="s">
        <v>392</v>
      </c>
      <c r="E2" s="3" t="s">
        <v>391</v>
      </c>
      <c r="F2" s="3" t="s">
        <v>393</v>
      </c>
      <c r="G2" s="3" t="s">
        <v>394</v>
      </c>
      <c r="H2" s="3" t="s">
        <v>395</v>
      </c>
      <c r="I2" s="402" t="s">
        <v>396</v>
      </c>
      <c r="J2" s="402" t="s">
        <v>397</v>
      </c>
      <c r="K2" s="1" t="s">
        <v>384</v>
      </c>
    </row>
    <row r="3" spans="2:11" ht="22.5" customHeight="1" x14ac:dyDescent="0.35">
      <c r="B3" s="437">
        <v>1</v>
      </c>
      <c r="C3" s="403" t="s">
        <v>27</v>
      </c>
      <c r="D3" s="403" t="s">
        <v>27</v>
      </c>
      <c r="E3" s="403" t="s">
        <v>27</v>
      </c>
      <c r="F3" s="15" t="s">
        <v>28</v>
      </c>
      <c r="G3" s="15" t="s">
        <v>28</v>
      </c>
      <c r="H3" s="15" t="s">
        <v>28</v>
      </c>
      <c r="I3" s="15" t="s">
        <v>28</v>
      </c>
      <c r="J3" s="15" t="s">
        <v>28</v>
      </c>
      <c r="K3" s="392" t="s">
        <v>29</v>
      </c>
    </row>
    <row r="4" spans="2:11" ht="22.5" customHeight="1" x14ac:dyDescent="0.35">
      <c r="B4" s="441">
        <v>2</v>
      </c>
      <c r="C4" s="404" t="s">
        <v>27</v>
      </c>
      <c r="D4" s="404" t="s">
        <v>27</v>
      </c>
      <c r="E4" s="404" t="s">
        <v>27</v>
      </c>
      <c r="F4" s="16" t="s">
        <v>28</v>
      </c>
      <c r="G4" s="16" t="s">
        <v>28</v>
      </c>
      <c r="H4" s="16" t="s">
        <v>28</v>
      </c>
      <c r="I4" s="16" t="s">
        <v>28</v>
      </c>
      <c r="J4" s="18" t="s">
        <v>28</v>
      </c>
      <c r="K4" s="393" t="s">
        <v>29</v>
      </c>
    </row>
    <row r="5" spans="2:11" ht="22.5" customHeight="1" x14ac:dyDescent="0.35">
      <c r="B5" s="437">
        <v>3</v>
      </c>
      <c r="C5" s="404" t="s">
        <v>27</v>
      </c>
      <c r="D5" s="404" t="s">
        <v>27</v>
      </c>
      <c r="E5" s="404" t="s">
        <v>27</v>
      </c>
      <c r="F5" s="16" t="s">
        <v>28</v>
      </c>
      <c r="G5" s="16" t="s">
        <v>28</v>
      </c>
      <c r="H5" s="16" t="s">
        <v>28</v>
      </c>
      <c r="I5" s="16" t="s">
        <v>28</v>
      </c>
      <c r="J5" s="18" t="s">
        <v>28</v>
      </c>
      <c r="K5" s="394" t="s">
        <v>29</v>
      </c>
    </row>
    <row r="6" spans="2:11" ht="22.5" customHeight="1" x14ac:dyDescent="0.35">
      <c r="B6" s="441">
        <v>4</v>
      </c>
      <c r="C6" s="404" t="s">
        <v>27</v>
      </c>
      <c r="D6" s="404" t="s">
        <v>27</v>
      </c>
      <c r="E6" s="404" t="s">
        <v>27</v>
      </c>
      <c r="F6" s="16" t="s">
        <v>28</v>
      </c>
      <c r="G6" s="16" t="s">
        <v>28</v>
      </c>
      <c r="H6" s="16" t="s">
        <v>28</v>
      </c>
      <c r="I6" s="16" t="s">
        <v>28</v>
      </c>
      <c r="J6" s="18" t="s">
        <v>28</v>
      </c>
      <c r="K6" s="394" t="s">
        <v>29</v>
      </c>
    </row>
    <row r="7" spans="2:11" ht="22.5" customHeight="1" x14ac:dyDescent="0.35">
      <c r="B7" s="437">
        <v>5</v>
      </c>
      <c r="C7" s="404" t="s">
        <v>27</v>
      </c>
      <c r="D7" s="404" t="s">
        <v>27</v>
      </c>
      <c r="E7" s="404" t="s">
        <v>27</v>
      </c>
      <c r="F7" s="16" t="s">
        <v>28</v>
      </c>
      <c r="G7" s="16" t="s">
        <v>28</v>
      </c>
      <c r="H7" s="16" t="s">
        <v>28</v>
      </c>
      <c r="I7" s="16" t="s">
        <v>28</v>
      </c>
      <c r="J7" s="18" t="s">
        <v>28</v>
      </c>
      <c r="K7" s="394" t="s">
        <v>29</v>
      </c>
    </row>
    <row r="8" spans="2:11" ht="22.5" customHeight="1" x14ac:dyDescent="0.35">
      <c r="B8" s="441">
        <v>6</v>
      </c>
      <c r="C8" s="404" t="s">
        <v>27</v>
      </c>
      <c r="D8" s="404" t="s">
        <v>27</v>
      </c>
      <c r="E8" s="404" t="s">
        <v>27</v>
      </c>
      <c r="F8" s="16" t="s">
        <v>28</v>
      </c>
      <c r="G8" s="16" t="s">
        <v>28</v>
      </c>
      <c r="H8" s="16" t="s">
        <v>28</v>
      </c>
      <c r="I8" s="16" t="s">
        <v>28</v>
      </c>
      <c r="J8" s="18" t="s">
        <v>28</v>
      </c>
      <c r="K8" s="394" t="s">
        <v>29</v>
      </c>
    </row>
    <row r="9" spans="2:11" ht="22.5" customHeight="1" x14ac:dyDescent="0.35">
      <c r="B9" s="437">
        <v>7</v>
      </c>
      <c r="C9" s="403" t="s">
        <v>27</v>
      </c>
      <c r="D9" s="403" t="s">
        <v>27</v>
      </c>
      <c r="E9" s="403" t="s">
        <v>27</v>
      </c>
      <c r="F9" s="15" t="s">
        <v>28</v>
      </c>
      <c r="G9" s="15" t="s">
        <v>28</v>
      </c>
      <c r="H9" s="15" t="s">
        <v>28</v>
      </c>
      <c r="I9" s="15" t="s">
        <v>28</v>
      </c>
      <c r="J9" s="15" t="s">
        <v>28</v>
      </c>
      <c r="K9" s="392" t="s">
        <v>29</v>
      </c>
    </row>
    <row r="10" spans="2:11" ht="22.5" customHeight="1" x14ac:dyDescent="0.35">
      <c r="B10" s="441">
        <v>8</v>
      </c>
      <c r="C10" s="404" t="s">
        <v>27</v>
      </c>
      <c r="D10" s="404" t="s">
        <v>27</v>
      </c>
      <c r="E10" s="404" t="s">
        <v>27</v>
      </c>
      <c r="F10" s="16" t="s">
        <v>28</v>
      </c>
      <c r="G10" s="16" t="s">
        <v>28</v>
      </c>
      <c r="H10" s="16" t="s">
        <v>28</v>
      </c>
      <c r="I10" s="16" t="s">
        <v>28</v>
      </c>
      <c r="J10" s="18" t="s">
        <v>28</v>
      </c>
      <c r="K10" s="393" t="s">
        <v>29</v>
      </c>
    </row>
    <row r="11" spans="2:11" ht="22.5" customHeight="1" x14ac:dyDescent="0.35">
      <c r="B11" s="437">
        <v>9</v>
      </c>
      <c r="C11" s="404" t="s">
        <v>27</v>
      </c>
      <c r="D11" s="404" t="s">
        <v>27</v>
      </c>
      <c r="E11" s="404" t="s">
        <v>27</v>
      </c>
      <c r="F11" s="16" t="s">
        <v>28</v>
      </c>
      <c r="G11" s="16" t="s">
        <v>28</v>
      </c>
      <c r="H11" s="16" t="s">
        <v>28</v>
      </c>
      <c r="I11" s="16" t="s">
        <v>28</v>
      </c>
      <c r="J11" s="18" t="s">
        <v>28</v>
      </c>
      <c r="K11" s="394" t="s">
        <v>29</v>
      </c>
    </row>
    <row r="12" spans="2:11" ht="22.5" customHeight="1" x14ac:dyDescent="0.35">
      <c r="B12" s="441">
        <v>10</v>
      </c>
      <c r="C12" s="404" t="s">
        <v>27</v>
      </c>
      <c r="D12" s="404" t="s">
        <v>27</v>
      </c>
      <c r="E12" s="404" t="s">
        <v>27</v>
      </c>
      <c r="F12" s="16" t="s">
        <v>28</v>
      </c>
      <c r="G12" s="16" t="s">
        <v>28</v>
      </c>
      <c r="H12" s="16" t="s">
        <v>28</v>
      </c>
      <c r="I12" s="16" t="s">
        <v>28</v>
      </c>
      <c r="J12" s="18" t="s">
        <v>28</v>
      </c>
      <c r="K12" s="394" t="s">
        <v>29</v>
      </c>
    </row>
    <row r="13" spans="2:11" s="117" customFormat="1" ht="22.5" customHeight="1" x14ac:dyDescent="0.35">
      <c r="B13" s="448"/>
      <c r="C13" s="405" t="s">
        <v>398</v>
      </c>
      <c r="D13" s="405"/>
      <c r="E13" s="405"/>
      <c r="F13" s="406"/>
      <c r="G13" s="406"/>
      <c r="H13" s="406"/>
      <c r="I13" s="406">
        <f>SUM(I3:I12)</f>
        <v>0</v>
      </c>
      <c r="J13" s="406">
        <f>SUM(J3:J12)</f>
        <v>0</v>
      </c>
      <c r="K13" s="407"/>
    </row>
    <row r="14" spans="2:11" ht="22.5" customHeight="1" x14ac:dyDescent="0.35">
      <c r="B14" s="437">
        <v>11</v>
      </c>
      <c r="C14" s="404" t="s">
        <v>27</v>
      </c>
      <c r="D14" s="404" t="s">
        <v>27</v>
      </c>
      <c r="E14" s="404" t="s">
        <v>27</v>
      </c>
      <c r="F14" s="16" t="s">
        <v>28</v>
      </c>
      <c r="G14" s="16" t="s">
        <v>28</v>
      </c>
      <c r="H14" s="16" t="s">
        <v>28</v>
      </c>
      <c r="I14" s="16" t="s">
        <v>28</v>
      </c>
      <c r="J14" s="18" t="s">
        <v>28</v>
      </c>
      <c r="K14" s="394" t="s">
        <v>29</v>
      </c>
    </row>
    <row r="15" spans="2:11" ht="22.5" customHeight="1" x14ac:dyDescent="0.35">
      <c r="B15" s="441">
        <v>12</v>
      </c>
      <c r="C15" s="404" t="s">
        <v>27</v>
      </c>
      <c r="D15" s="404" t="s">
        <v>27</v>
      </c>
      <c r="E15" s="404" t="s">
        <v>27</v>
      </c>
      <c r="F15" s="16" t="s">
        <v>28</v>
      </c>
      <c r="G15" s="16" t="s">
        <v>28</v>
      </c>
      <c r="H15" s="16" t="s">
        <v>28</v>
      </c>
      <c r="I15" s="16" t="s">
        <v>28</v>
      </c>
      <c r="J15" s="18" t="s">
        <v>28</v>
      </c>
      <c r="K15" s="394" t="s">
        <v>29</v>
      </c>
    </row>
    <row r="16" spans="2:11" ht="22.5" customHeight="1" x14ac:dyDescent="0.35">
      <c r="B16" s="437">
        <v>13</v>
      </c>
      <c r="C16" s="403" t="s">
        <v>27</v>
      </c>
      <c r="D16" s="403" t="s">
        <v>27</v>
      </c>
      <c r="E16" s="403" t="s">
        <v>27</v>
      </c>
      <c r="F16" s="15" t="s">
        <v>28</v>
      </c>
      <c r="G16" s="15" t="s">
        <v>28</v>
      </c>
      <c r="H16" s="15" t="s">
        <v>28</v>
      </c>
      <c r="I16" s="15" t="s">
        <v>28</v>
      </c>
      <c r="J16" s="15" t="s">
        <v>28</v>
      </c>
      <c r="K16" s="392" t="s">
        <v>29</v>
      </c>
    </row>
    <row r="17" spans="2:11" ht="22.5" customHeight="1" x14ac:dyDescent="0.35">
      <c r="B17" s="441">
        <v>14</v>
      </c>
      <c r="C17" s="404" t="s">
        <v>27</v>
      </c>
      <c r="D17" s="404" t="s">
        <v>27</v>
      </c>
      <c r="E17" s="404" t="s">
        <v>27</v>
      </c>
      <c r="F17" s="16" t="s">
        <v>28</v>
      </c>
      <c r="G17" s="16" t="s">
        <v>28</v>
      </c>
      <c r="H17" s="16" t="s">
        <v>28</v>
      </c>
      <c r="I17" s="16" t="s">
        <v>28</v>
      </c>
      <c r="J17" s="18" t="s">
        <v>28</v>
      </c>
      <c r="K17" s="393" t="s">
        <v>29</v>
      </c>
    </row>
    <row r="18" spans="2:11" ht="22.5" customHeight="1" x14ac:dyDescent="0.35">
      <c r="B18" s="437">
        <v>15</v>
      </c>
      <c r="C18" s="404" t="s">
        <v>27</v>
      </c>
      <c r="D18" s="404" t="s">
        <v>27</v>
      </c>
      <c r="E18" s="404" t="s">
        <v>27</v>
      </c>
      <c r="F18" s="16" t="s">
        <v>28</v>
      </c>
      <c r="G18" s="16" t="s">
        <v>28</v>
      </c>
      <c r="H18" s="16" t="s">
        <v>28</v>
      </c>
      <c r="I18" s="16" t="s">
        <v>28</v>
      </c>
      <c r="J18" s="18" t="s">
        <v>28</v>
      </c>
      <c r="K18" s="394" t="s">
        <v>29</v>
      </c>
    </row>
    <row r="19" spans="2:11" ht="22.5" customHeight="1" x14ac:dyDescent="0.35">
      <c r="B19" s="441">
        <v>16</v>
      </c>
      <c r="C19" s="404" t="s">
        <v>27</v>
      </c>
      <c r="D19" s="404" t="s">
        <v>27</v>
      </c>
      <c r="E19" s="404" t="s">
        <v>27</v>
      </c>
      <c r="F19" s="16" t="s">
        <v>28</v>
      </c>
      <c r="G19" s="16" t="s">
        <v>28</v>
      </c>
      <c r="H19" s="16" t="s">
        <v>28</v>
      </c>
      <c r="I19" s="16" t="s">
        <v>28</v>
      </c>
      <c r="J19" s="18" t="s">
        <v>28</v>
      </c>
      <c r="K19" s="394" t="s">
        <v>29</v>
      </c>
    </row>
    <row r="20" spans="2:11" ht="22.5" customHeight="1" x14ac:dyDescent="0.35">
      <c r="B20" s="437">
        <v>17</v>
      </c>
      <c r="C20" s="404" t="s">
        <v>27</v>
      </c>
      <c r="D20" s="404" t="s">
        <v>27</v>
      </c>
      <c r="E20" s="404" t="s">
        <v>27</v>
      </c>
      <c r="F20" s="16" t="s">
        <v>28</v>
      </c>
      <c r="G20" s="16" t="s">
        <v>28</v>
      </c>
      <c r="H20" s="16" t="s">
        <v>28</v>
      </c>
      <c r="I20" s="16" t="s">
        <v>28</v>
      </c>
      <c r="J20" s="18" t="s">
        <v>28</v>
      </c>
      <c r="K20" s="394" t="s">
        <v>29</v>
      </c>
    </row>
    <row r="21" spans="2:11" ht="22.5" customHeight="1" x14ac:dyDescent="0.35">
      <c r="B21" s="441">
        <v>18</v>
      </c>
      <c r="C21" s="404" t="s">
        <v>27</v>
      </c>
      <c r="D21" s="404" t="s">
        <v>27</v>
      </c>
      <c r="E21" s="404" t="s">
        <v>27</v>
      </c>
      <c r="F21" s="16" t="s">
        <v>28</v>
      </c>
      <c r="G21" s="16" t="s">
        <v>28</v>
      </c>
      <c r="H21" s="16" t="s">
        <v>28</v>
      </c>
      <c r="I21" s="16" t="s">
        <v>28</v>
      </c>
      <c r="J21" s="18" t="s">
        <v>28</v>
      </c>
      <c r="K21" s="394" t="s">
        <v>29</v>
      </c>
    </row>
    <row r="22" spans="2:11" s="117" customFormat="1" ht="22.5" customHeight="1" x14ac:dyDescent="0.35">
      <c r="B22" s="448"/>
      <c r="C22" s="405" t="s">
        <v>399</v>
      </c>
      <c r="D22" s="405"/>
      <c r="E22" s="405"/>
      <c r="F22" s="406"/>
      <c r="G22" s="406"/>
      <c r="H22" s="406"/>
      <c r="I22" s="406">
        <f>SUM(I14:I21)</f>
        <v>0</v>
      </c>
      <c r="J22" s="406">
        <f>SUM(J14:J21)</f>
        <v>0</v>
      </c>
      <c r="K22" s="407"/>
    </row>
  </sheetData>
  <phoneticPr fontId="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BE47-B719-4F68-ACDF-79975B533DDC}">
  <dimension ref="B1:F35"/>
  <sheetViews>
    <sheetView showGridLines="0" zoomScaleNormal="100" workbookViewId="0">
      <selection activeCell="B3" sqref="B3"/>
    </sheetView>
  </sheetViews>
  <sheetFormatPr defaultColWidth="8.875" defaultRowHeight="18" x14ac:dyDescent="0.35"/>
  <cols>
    <col min="1" max="1" width="8.875" style="51"/>
    <col min="2" max="5" width="16.125" style="51" customWidth="1"/>
    <col min="6" max="6" width="55.5" style="51" customWidth="1"/>
    <col min="7" max="16384" width="8.875" style="51"/>
  </cols>
  <sheetData>
    <row r="1" spans="2:6" x14ac:dyDescent="0.35">
      <c r="B1" s="57"/>
    </row>
    <row r="2" spans="2:6" ht="19.5" x14ac:dyDescent="0.35">
      <c r="B2" s="58" t="s">
        <v>266</v>
      </c>
      <c r="C2" s="50"/>
      <c r="D2" s="50"/>
      <c r="E2" s="50"/>
      <c r="F2" s="50"/>
    </row>
    <row r="3" spans="2:6" ht="22.5" customHeight="1" x14ac:dyDescent="0.35">
      <c r="B3" s="52"/>
      <c r="C3" s="53"/>
      <c r="D3" s="53"/>
      <c r="E3" s="53"/>
      <c r="F3" s="8"/>
    </row>
    <row r="4" spans="2:6" ht="22.5" customHeight="1" x14ac:dyDescent="0.35">
      <c r="B4" s="54"/>
      <c r="C4" s="53"/>
      <c r="D4" s="53"/>
      <c r="E4" s="53"/>
      <c r="F4" s="8"/>
    </row>
    <row r="5" spans="2:6" ht="22.5" customHeight="1" x14ac:dyDescent="0.35">
      <c r="B5" s="52"/>
      <c r="C5" s="53"/>
      <c r="D5" s="53"/>
      <c r="E5" s="53"/>
      <c r="F5" s="55"/>
    </row>
    <row r="6" spans="2:6" ht="22.5" customHeight="1" x14ac:dyDescent="0.35">
      <c r="B6" s="52"/>
      <c r="C6" s="53"/>
      <c r="D6" s="53"/>
      <c r="E6" s="53"/>
      <c r="F6" s="55"/>
    </row>
    <row r="7" spans="2:6" ht="22.5" customHeight="1" x14ac:dyDescent="0.35">
      <c r="B7" s="52"/>
      <c r="C7" s="53"/>
      <c r="D7" s="53"/>
      <c r="E7" s="53"/>
      <c r="F7" s="55"/>
    </row>
    <row r="8" spans="2:6" ht="22.5" customHeight="1" x14ac:dyDescent="0.35">
      <c r="B8" s="52"/>
      <c r="C8" s="53"/>
      <c r="D8" s="53"/>
      <c r="E8" s="53"/>
      <c r="F8" s="55"/>
    </row>
    <row r="11" spans="2:6" ht="19.5" x14ac:dyDescent="0.35">
      <c r="B11" s="50"/>
      <c r="C11" s="50"/>
      <c r="D11" s="50"/>
      <c r="E11" s="50"/>
      <c r="F11" s="50"/>
    </row>
    <row r="12" spans="2:6" ht="20.100000000000001" customHeight="1" x14ac:dyDescent="0.35">
      <c r="B12" s="580"/>
      <c r="C12" s="53"/>
      <c r="D12" s="53"/>
      <c r="E12" s="53"/>
      <c r="F12" s="8"/>
    </row>
    <row r="13" spans="2:6" ht="20.100000000000001" customHeight="1" x14ac:dyDescent="0.35">
      <c r="B13" s="580"/>
      <c r="C13" s="53"/>
      <c r="D13" s="53"/>
      <c r="E13" s="53"/>
      <c r="F13" s="8"/>
    </row>
    <row r="14" spans="2:6" ht="20.100000000000001" customHeight="1" x14ac:dyDescent="0.35">
      <c r="B14" s="580"/>
      <c r="C14" s="53"/>
      <c r="D14" s="53"/>
      <c r="E14" s="53"/>
      <c r="F14" s="55"/>
    </row>
    <row r="15" spans="2:6" ht="20.100000000000001" customHeight="1" x14ac:dyDescent="0.35">
      <c r="B15" s="580"/>
      <c r="C15" s="53"/>
      <c r="D15" s="53"/>
      <c r="E15" s="53"/>
      <c r="F15" s="55"/>
    </row>
    <row r="16" spans="2:6" ht="20.100000000000001" customHeight="1" x14ac:dyDescent="0.35">
      <c r="B16" s="580"/>
      <c r="C16" s="53"/>
      <c r="D16" s="53"/>
      <c r="E16" s="53"/>
      <c r="F16" s="55"/>
    </row>
    <row r="17" spans="2:6" ht="20.100000000000001" customHeight="1" x14ac:dyDescent="0.35">
      <c r="B17" s="580"/>
      <c r="C17" s="53"/>
      <c r="D17" s="53"/>
      <c r="E17" s="53"/>
      <c r="F17" s="55"/>
    </row>
    <row r="20" spans="2:6" ht="19.5" x14ac:dyDescent="0.35">
      <c r="B20" s="50"/>
      <c r="C20" s="50"/>
      <c r="D20" s="50"/>
      <c r="E20" s="50"/>
    </row>
    <row r="21" spans="2:6" x14ac:dyDescent="0.35">
      <c r="B21" s="580"/>
      <c r="C21" s="53"/>
      <c r="D21" s="56"/>
      <c r="E21" s="53"/>
    </row>
    <row r="22" spans="2:6" x14ac:dyDescent="0.35">
      <c r="B22" s="580"/>
      <c r="C22" s="53"/>
      <c r="D22" s="56"/>
      <c r="E22" s="53"/>
    </row>
    <row r="23" spans="2:6" x14ac:dyDescent="0.35">
      <c r="B23" s="580"/>
      <c r="C23" s="53"/>
      <c r="D23" s="56"/>
      <c r="E23" s="53"/>
    </row>
    <row r="24" spans="2:6" x14ac:dyDescent="0.35">
      <c r="B24" s="580"/>
      <c r="C24" s="53"/>
      <c r="D24" s="56"/>
      <c r="E24" s="53"/>
    </row>
    <row r="25" spans="2:6" x14ac:dyDescent="0.35">
      <c r="B25" s="580"/>
      <c r="C25" s="53"/>
      <c r="D25" s="56"/>
      <c r="E25" s="53"/>
    </row>
    <row r="26" spans="2:6" x14ac:dyDescent="0.35">
      <c r="B26" s="580"/>
      <c r="C26" s="53"/>
      <c r="D26" s="56"/>
      <c r="E26" s="53"/>
    </row>
    <row r="29" spans="2:6" ht="19.5" x14ac:dyDescent="0.35">
      <c r="B29" s="50"/>
      <c r="C29" s="50"/>
      <c r="D29" s="50"/>
      <c r="E29" s="50"/>
    </row>
    <row r="30" spans="2:6" x14ac:dyDescent="0.35">
      <c r="B30" s="580"/>
      <c r="C30" s="53"/>
      <c r="D30" s="53"/>
      <c r="E30" s="53"/>
    </row>
    <row r="31" spans="2:6" x14ac:dyDescent="0.35">
      <c r="B31" s="580"/>
      <c r="C31" s="53"/>
      <c r="D31" s="53"/>
      <c r="E31" s="53"/>
    </row>
    <row r="32" spans="2:6" x14ac:dyDescent="0.35">
      <c r="B32" s="580"/>
      <c r="C32" s="53"/>
      <c r="D32" s="53"/>
      <c r="E32" s="53"/>
    </row>
    <row r="33" spans="2:5" x14ac:dyDescent="0.35">
      <c r="B33" s="580"/>
      <c r="C33" s="53"/>
      <c r="D33" s="53"/>
      <c r="E33" s="53"/>
    </row>
    <row r="34" spans="2:5" x14ac:dyDescent="0.35">
      <c r="B34" s="580"/>
      <c r="C34" s="56"/>
      <c r="D34" s="56"/>
      <c r="E34" s="56"/>
    </row>
    <row r="35" spans="2:5" x14ac:dyDescent="0.35">
      <c r="B35" s="580"/>
      <c r="C35" s="56"/>
      <c r="D35" s="56"/>
      <c r="E35" s="56"/>
    </row>
  </sheetData>
  <mergeCells count="9">
    <mergeCell ref="B30:B31"/>
    <mergeCell ref="B32:B33"/>
    <mergeCell ref="B34:B35"/>
    <mergeCell ref="B12:B13"/>
    <mergeCell ref="B14:B15"/>
    <mergeCell ref="B16:B17"/>
    <mergeCell ref="B21:B22"/>
    <mergeCell ref="B23:B24"/>
    <mergeCell ref="B25:B26"/>
  </mergeCells>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6A6F-27E1-4F30-94C7-20413B935AC1}">
  <sheetPr>
    <tabColor rgb="FF002060"/>
  </sheetPr>
  <dimension ref="A1"/>
  <sheetViews>
    <sheetView showGridLines="0" workbookViewId="0">
      <selection activeCell="K16" sqref="K16"/>
    </sheetView>
  </sheetViews>
  <sheetFormatPr defaultRowHeight="18" x14ac:dyDescent="0.35"/>
  <sheetData/>
  <phoneticPr fontId="1"/>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2C9C-5877-497D-BF90-A9A6CF020A12}">
  <dimension ref="B1:DL29"/>
  <sheetViews>
    <sheetView showGridLines="0" workbookViewId="0">
      <pane xSplit="3" topLeftCell="D1" activePane="topRight" state="frozen"/>
      <selection pane="topRight" activeCell="S25" sqref="S25"/>
    </sheetView>
  </sheetViews>
  <sheetFormatPr defaultColWidth="8.875" defaultRowHeight="18.75" x14ac:dyDescent="0.35"/>
  <cols>
    <col min="1" max="1" width="6.125" style="506" customWidth="1"/>
    <col min="2" max="2" width="5.375" style="504" customWidth="1"/>
    <col min="3" max="3" width="25.125" style="504" bestFit="1" customWidth="1"/>
    <col min="4" max="113" width="3.125" style="507" customWidth="1"/>
    <col min="114" max="114" width="3.125" style="506" customWidth="1"/>
    <col min="115" max="115" width="5.125" style="506" customWidth="1"/>
    <col min="116" max="16384" width="8.875" style="506"/>
  </cols>
  <sheetData>
    <row r="1" spans="2:113" ht="19.5" x14ac:dyDescent="0.3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05"/>
      <c r="AP1" s="505"/>
      <c r="AQ1" s="505"/>
      <c r="AR1" s="505"/>
      <c r="AS1" s="505"/>
      <c r="AT1" s="505"/>
      <c r="AU1" s="505"/>
      <c r="AV1" s="505"/>
      <c r="AW1" s="505"/>
      <c r="AX1" s="505"/>
      <c r="AY1" s="505"/>
      <c r="AZ1" s="505"/>
      <c r="BA1" s="505"/>
      <c r="BB1" s="505"/>
      <c r="BC1" s="505"/>
      <c r="BD1" s="505"/>
      <c r="BE1" s="505"/>
      <c r="BF1" s="505"/>
      <c r="BG1" s="505"/>
      <c r="BH1" s="505"/>
      <c r="BI1" s="505"/>
      <c r="BJ1" s="505"/>
      <c r="BK1" s="505"/>
      <c r="BL1" s="505"/>
      <c r="BM1" s="505"/>
      <c r="BN1" s="505"/>
      <c r="BO1" s="505"/>
      <c r="BP1" s="505"/>
      <c r="BQ1" s="505"/>
      <c r="BR1" s="505"/>
      <c r="BS1" s="505"/>
      <c r="BT1" s="505"/>
      <c r="BU1" s="505"/>
      <c r="BV1" s="505"/>
      <c r="BW1" s="505"/>
      <c r="BX1" s="505"/>
      <c r="BY1" s="505"/>
      <c r="BZ1" s="505"/>
      <c r="CA1" s="505"/>
      <c r="CB1" s="505"/>
      <c r="CC1" s="505"/>
      <c r="CD1" s="505"/>
      <c r="CE1" s="505"/>
      <c r="CF1" s="505"/>
      <c r="CG1" s="505"/>
      <c r="CH1" s="505"/>
      <c r="CI1" s="505"/>
      <c r="CJ1" s="505"/>
      <c r="CK1" s="505"/>
      <c r="CL1" s="505"/>
      <c r="CM1" s="505"/>
      <c r="CN1" s="505"/>
      <c r="CO1" s="505"/>
      <c r="CP1" s="505"/>
      <c r="CQ1" s="505"/>
      <c r="CR1" s="505"/>
      <c r="CS1" s="505"/>
      <c r="CT1" s="505"/>
      <c r="CU1" s="505"/>
      <c r="CV1" s="505"/>
      <c r="CW1" s="505"/>
      <c r="CX1" s="505"/>
      <c r="CY1" s="505"/>
      <c r="CZ1" s="505"/>
      <c r="DA1" s="505"/>
      <c r="DB1" s="505"/>
      <c r="DC1" s="505"/>
      <c r="DD1" s="505"/>
      <c r="DE1" s="505"/>
      <c r="DF1" s="505"/>
      <c r="DG1" s="505"/>
      <c r="DH1" s="505"/>
      <c r="DI1" s="505"/>
    </row>
    <row r="2" spans="2:113" ht="7.35" customHeight="1" x14ac:dyDescent="0.35"/>
    <row r="3" spans="2:113" x14ac:dyDescent="0.35">
      <c r="B3" s="581" t="s">
        <v>427</v>
      </c>
      <c r="C3" s="581"/>
      <c r="D3" s="528" t="s">
        <v>428</v>
      </c>
      <c r="E3" s="528"/>
      <c r="F3" s="528"/>
      <c r="G3" s="528"/>
      <c r="H3" s="528"/>
      <c r="I3" s="528"/>
      <c r="J3" s="528"/>
      <c r="K3" s="528"/>
      <c r="L3" s="528"/>
      <c r="M3" s="528"/>
      <c r="N3" s="528"/>
      <c r="O3" s="528"/>
      <c r="P3" s="528"/>
      <c r="Q3" s="528"/>
      <c r="R3" s="528"/>
      <c r="S3" s="528"/>
      <c r="T3" s="528"/>
      <c r="U3" s="528" t="s">
        <v>429</v>
      </c>
      <c r="V3" s="528"/>
      <c r="W3" s="528"/>
      <c r="X3" s="528"/>
      <c r="Y3" s="528"/>
      <c r="Z3" s="528"/>
      <c r="AA3" s="528"/>
      <c r="AB3" s="528"/>
      <c r="AC3" s="528"/>
      <c r="AD3" s="528"/>
      <c r="AE3" s="528"/>
      <c r="AF3" s="528"/>
      <c r="AG3" s="528"/>
      <c r="AH3" s="528"/>
      <c r="AI3" s="528"/>
      <c r="AJ3" s="528"/>
      <c r="AK3" s="528"/>
      <c r="AL3" s="528"/>
      <c r="AM3" s="528"/>
      <c r="AN3" s="528"/>
      <c r="AO3" s="528"/>
      <c r="AP3" s="528"/>
      <c r="AQ3" s="528"/>
      <c r="AR3" s="528"/>
      <c r="AS3" s="528"/>
      <c r="AT3" s="528"/>
      <c r="AU3" s="528"/>
      <c r="AV3" s="528"/>
      <c r="AW3" s="528"/>
      <c r="AX3" s="528"/>
      <c r="AY3" s="528"/>
      <c r="AZ3" s="528" t="s">
        <v>430</v>
      </c>
      <c r="BA3" s="528"/>
      <c r="BB3" s="528"/>
      <c r="BC3" s="528"/>
      <c r="BD3" s="528"/>
      <c r="BE3" s="528"/>
      <c r="BF3" s="528"/>
      <c r="BG3" s="528"/>
      <c r="BH3" s="528"/>
      <c r="BI3" s="528"/>
      <c r="BJ3" s="528"/>
      <c r="BK3" s="528"/>
      <c r="BL3" s="528"/>
      <c r="BM3" s="528"/>
      <c r="BN3" s="528"/>
      <c r="BO3" s="528"/>
      <c r="BP3" s="528"/>
      <c r="BQ3" s="528"/>
      <c r="BR3" s="528"/>
      <c r="BS3" s="528"/>
      <c r="BT3" s="528"/>
      <c r="BU3" s="528"/>
      <c r="BV3" s="528"/>
      <c r="BW3" s="528"/>
      <c r="BX3" s="528"/>
      <c r="BY3" s="528"/>
      <c r="BZ3" s="528"/>
      <c r="CA3" s="528"/>
      <c r="CB3" s="528"/>
      <c r="CC3" s="528"/>
      <c r="CD3" s="528"/>
      <c r="CE3" s="528" t="s">
        <v>431</v>
      </c>
      <c r="CF3" s="528"/>
      <c r="CG3" s="528"/>
      <c r="CH3" s="528"/>
      <c r="CI3" s="528"/>
      <c r="CJ3" s="528"/>
      <c r="CK3" s="528"/>
      <c r="CL3" s="528"/>
      <c r="CM3" s="528"/>
      <c r="CN3" s="528"/>
      <c r="CO3" s="528"/>
      <c r="CP3" s="528"/>
      <c r="CQ3" s="528"/>
      <c r="CR3" s="528"/>
      <c r="CS3" s="528"/>
      <c r="CT3" s="528"/>
      <c r="CU3" s="528"/>
      <c r="CV3" s="528"/>
      <c r="CW3" s="528"/>
      <c r="CX3" s="528"/>
      <c r="CY3" s="528"/>
      <c r="CZ3" s="528"/>
      <c r="DA3" s="528"/>
      <c r="DB3" s="528"/>
      <c r="DC3" s="528"/>
      <c r="DD3" s="528"/>
      <c r="DE3" s="528"/>
      <c r="DF3" s="528"/>
      <c r="DG3" s="528"/>
      <c r="DH3" s="528"/>
      <c r="DI3" s="528"/>
    </row>
    <row r="4" spans="2:113" x14ac:dyDescent="0.35">
      <c r="B4" s="581"/>
      <c r="C4" s="581"/>
      <c r="D4" s="529">
        <v>12</v>
      </c>
      <c r="E4" s="530">
        <v>13</v>
      </c>
      <c r="F4" s="531">
        <v>14</v>
      </c>
      <c r="G4" s="529">
        <v>15</v>
      </c>
      <c r="H4" s="529">
        <v>16</v>
      </c>
      <c r="I4" s="529">
        <v>17</v>
      </c>
      <c r="J4" s="529">
        <v>18</v>
      </c>
      <c r="K4" s="529">
        <v>19</v>
      </c>
      <c r="L4" s="529">
        <v>20</v>
      </c>
      <c r="M4" s="529">
        <v>21</v>
      </c>
      <c r="N4" s="529">
        <v>22</v>
      </c>
      <c r="O4" s="529">
        <v>23</v>
      </c>
      <c r="P4" s="529">
        <v>24</v>
      </c>
      <c r="Q4" s="529">
        <v>25</v>
      </c>
      <c r="R4" s="529">
        <v>26</v>
      </c>
      <c r="S4" s="529">
        <v>27</v>
      </c>
      <c r="T4" s="529">
        <v>28</v>
      </c>
      <c r="U4" s="529">
        <v>1</v>
      </c>
      <c r="V4" s="529">
        <v>2</v>
      </c>
      <c r="W4" s="529">
        <v>3</v>
      </c>
      <c r="X4" s="529">
        <v>4</v>
      </c>
      <c r="Y4" s="529">
        <v>5</v>
      </c>
      <c r="Z4" s="529">
        <v>6</v>
      </c>
      <c r="AA4" s="529">
        <v>7</v>
      </c>
      <c r="AB4" s="529">
        <v>8</v>
      </c>
      <c r="AC4" s="529">
        <v>9</v>
      </c>
      <c r="AD4" s="529">
        <v>10</v>
      </c>
      <c r="AE4" s="529">
        <v>11</v>
      </c>
      <c r="AF4" s="529">
        <v>12</v>
      </c>
      <c r="AG4" s="529">
        <v>13</v>
      </c>
      <c r="AH4" s="529">
        <v>14</v>
      </c>
      <c r="AI4" s="529">
        <v>15</v>
      </c>
      <c r="AJ4" s="529">
        <v>16</v>
      </c>
      <c r="AK4" s="529">
        <v>17</v>
      </c>
      <c r="AL4" s="529">
        <v>18</v>
      </c>
      <c r="AM4" s="529">
        <v>19</v>
      </c>
      <c r="AN4" s="529">
        <v>20</v>
      </c>
      <c r="AO4" s="529">
        <v>21</v>
      </c>
      <c r="AP4" s="529">
        <v>22</v>
      </c>
      <c r="AQ4" s="529">
        <v>23</v>
      </c>
      <c r="AR4" s="529">
        <v>24</v>
      </c>
      <c r="AS4" s="529">
        <v>25</v>
      </c>
      <c r="AT4" s="529">
        <v>26</v>
      </c>
      <c r="AU4" s="529">
        <v>27</v>
      </c>
      <c r="AV4" s="529">
        <v>28</v>
      </c>
      <c r="AW4" s="529">
        <v>29</v>
      </c>
      <c r="AX4" s="529">
        <v>30</v>
      </c>
      <c r="AY4" s="529">
        <v>31</v>
      </c>
      <c r="AZ4" s="529">
        <v>1</v>
      </c>
      <c r="BA4" s="529">
        <v>2</v>
      </c>
      <c r="BB4" s="529">
        <v>3</v>
      </c>
      <c r="BC4" s="529">
        <v>4</v>
      </c>
      <c r="BD4" s="529">
        <v>5</v>
      </c>
      <c r="BE4" s="529">
        <v>6</v>
      </c>
      <c r="BF4" s="529">
        <v>7</v>
      </c>
      <c r="BG4" s="529">
        <v>8</v>
      </c>
      <c r="BH4" s="529">
        <v>9</v>
      </c>
      <c r="BI4" s="529">
        <v>10</v>
      </c>
      <c r="BJ4" s="529">
        <v>11</v>
      </c>
      <c r="BK4" s="529">
        <v>12</v>
      </c>
      <c r="BL4" s="529">
        <v>13</v>
      </c>
      <c r="BM4" s="529">
        <v>14</v>
      </c>
      <c r="BN4" s="529">
        <v>15</v>
      </c>
      <c r="BO4" s="529">
        <v>16</v>
      </c>
      <c r="BP4" s="529">
        <v>17</v>
      </c>
      <c r="BQ4" s="529">
        <v>18</v>
      </c>
      <c r="BR4" s="529">
        <v>19</v>
      </c>
      <c r="BS4" s="529">
        <v>20</v>
      </c>
      <c r="BT4" s="529">
        <v>21</v>
      </c>
      <c r="BU4" s="529">
        <v>22</v>
      </c>
      <c r="BV4" s="529">
        <v>23</v>
      </c>
      <c r="BW4" s="529">
        <v>24</v>
      </c>
      <c r="BX4" s="529">
        <v>25</v>
      </c>
      <c r="BY4" s="529">
        <v>26</v>
      </c>
      <c r="BZ4" s="529">
        <v>27</v>
      </c>
      <c r="CA4" s="529">
        <v>28</v>
      </c>
      <c r="CB4" s="529">
        <v>29</v>
      </c>
      <c r="CC4" s="529">
        <v>30</v>
      </c>
      <c r="CD4" s="529">
        <v>31</v>
      </c>
      <c r="CE4" s="529">
        <v>1</v>
      </c>
      <c r="CF4" s="529">
        <v>2</v>
      </c>
      <c r="CG4" s="529">
        <v>3</v>
      </c>
      <c r="CH4" s="529">
        <v>4</v>
      </c>
      <c r="CI4" s="529">
        <v>5</v>
      </c>
      <c r="CJ4" s="529">
        <v>6</v>
      </c>
      <c r="CK4" s="529">
        <v>7</v>
      </c>
      <c r="CL4" s="529">
        <v>8</v>
      </c>
      <c r="CM4" s="529">
        <v>9</v>
      </c>
      <c r="CN4" s="529">
        <v>10</v>
      </c>
      <c r="CO4" s="529">
        <v>11</v>
      </c>
      <c r="CP4" s="529">
        <v>12</v>
      </c>
      <c r="CQ4" s="529">
        <v>13</v>
      </c>
      <c r="CR4" s="529">
        <v>14</v>
      </c>
      <c r="CS4" s="529">
        <v>15</v>
      </c>
      <c r="CT4" s="529">
        <v>16</v>
      </c>
      <c r="CU4" s="529">
        <v>17</v>
      </c>
      <c r="CV4" s="529">
        <v>18</v>
      </c>
      <c r="CW4" s="529">
        <v>19</v>
      </c>
      <c r="CX4" s="529">
        <v>20</v>
      </c>
      <c r="CY4" s="529">
        <v>21</v>
      </c>
      <c r="CZ4" s="529">
        <v>22</v>
      </c>
      <c r="DA4" s="529">
        <v>23</v>
      </c>
      <c r="DB4" s="529">
        <v>24</v>
      </c>
      <c r="DC4" s="529">
        <v>25</v>
      </c>
      <c r="DD4" s="529">
        <v>26</v>
      </c>
      <c r="DE4" s="529">
        <v>27</v>
      </c>
      <c r="DF4" s="529">
        <v>28</v>
      </c>
      <c r="DG4" s="529">
        <v>29</v>
      </c>
      <c r="DH4" s="529">
        <v>30</v>
      </c>
      <c r="DI4" s="529">
        <v>31</v>
      </c>
    </row>
    <row r="5" spans="2:113" x14ac:dyDescent="0.35">
      <c r="B5" s="582" t="s">
        <v>432</v>
      </c>
      <c r="C5" s="520" t="s">
        <v>433</v>
      </c>
      <c r="D5" s="532"/>
      <c r="E5" s="533"/>
      <c r="F5" s="533"/>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3"/>
      <c r="AH5" s="533"/>
      <c r="AI5" s="533"/>
      <c r="AJ5" s="533"/>
      <c r="AK5" s="533"/>
      <c r="AL5" s="533"/>
      <c r="AM5" s="533"/>
      <c r="AN5" s="533"/>
      <c r="AO5" s="533"/>
      <c r="AP5" s="533"/>
      <c r="AQ5" s="533"/>
      <c r="AR5" s="533"/>
      <c r="AS5" s="533"/>
      <c r="AT5" s="533"/>
      <c r="AU5" s="533"/>
      <c r="AV5" s="533"/>
      <c r="AW5" s="533"/>
      <c r="AX5" s="533"/>
      <c r="AY5" s="533"/>
      <c r="AZ5" s="533"/>
      <c r="BA5" s="533"/>
      <c r="BB5" s="533"/>
      <c r="BC5" s="533"/>
      <c r="BD5" s="533"/>
      <c r="BE5" s="533"/>
      <c r="BF5" s="533"/>
      <c r="BG5" s="533"/>
      <c r="BH5" s="533"/>
      <c r="BI5" s="533"/>
      <c r="BJ5" s="533"/>
      <c r="BK5" s="533"/>
      <c r="BL5" s="533"/>
      <c r="BM5" s="533"/>
      <c r="BN5" s="533"/>
      <c r="BO5" s="533"/>
      <c r="BP5" s="533"/>
      <c r="BQ5" s="533"/>
      <c r="BR5" s="533"/>
      <c r="BS5" s="533"/>
      <c r="BT5" s="533"/>
      <c r="BU5" s="533"/>
      <c r="BV5" s="533"/>
      <c r="BW5" s="533"/>
      <c r="BX5" s="533"/>
      <c r="BY5" s="533"/>
      <c r="BZ5" s="533"/>
      <c r="CA5" s="533"/>
      <c r="CB5" s="533"/>
      <c r="CC5" s="533"/>
      <c r="CD5" s="533"/>
      <c r="CE5" s="533"/>
      <c r="CF5" s="533"/>
      <c r="CG5" s="533"/>
      <c r="CH5" s="533"/>
      <c r="CI5" s="533"/>
      <c r="CJ5" s="533"/>
      <c r="CK5" s="533"/>
      <c r="CL5" s="533"/>
      <c r="CM5" s="533"/>
      <c r="CN5" s="533"/>
      <c r="CO5" s="533"/>
      <c r="CP5" s="533"/>
      <c r="CQ5" s="533"/>
      <c r="CR5" s="533"/>
      <c r="CS5" s="533"/>
      <c r="CT5" s="533"/>
      <c r="CU5" s="533"/>
      <c r="CV5" s="533"/>
      <c r="CW5" s="533"/>
      <c r="CX5" s="533"/>
      <c r="CY5" s="533"/>
      <c r="CZ5" s="533"/>
      <c r="DA5" s="533"/>
      <c r="DB5" s="533"/>
      <c r="DC5" s="533"/>
      <c r="DD5" s="533"/>
      <c r="DE5" s="533"/>
      <c r="DF5" s="533"/>
      <c r="DG5" s="533"/>
      <c r="DH5" s="533"/>
      <c r="DI5" s="533"/>
    </row>
    <row r="6" spans="2:113" x14ac:dyDescent="0.35">
      <c r="B6" s="582"/>
      <c r="C6" s="520" t="s">
        <v>434</v>
      </c>
      <c r="D6" s="533"/>
      <c r="E6" s="532"/>
      <c r="F6" s="532"/>
      <c r="G6" s="533"/>
      <c r="H6" s="533"/>
      <c r="I6" s="533"/>
      <c r="J6" s="533"/>
      <c r="K6" s="533"/>
      <c r="L6" s="533"/>
      <c r="M6" s="533"/>
      <c r="N6" s="533"/>
      <c r="O6" s="533"/>
      <c r="P6" s="533"/>
      <c r="Q6" s="533"/>
      <c r="R6" s="533"/>
      <c r="S6" s="533"/>
      <c r="T6" s="533"/>
      <c r="U6" s="533"/>
      <c r="V6" s="533"/>
      <c r="W6" s="533"/>
      <c r="X6" s="533"/>
      <c r="Y6" s="533"/>
      <c r="Z6" s="533"/>
      <c r="AA6" s="533"/>
      <c r="AB6" s="533"/>
      <c r="AC6" s="533"/>
      <c r="AD6" s="533"/>
      <c r="AE6" s="533"/>
      <c r="AF6" s="533"/>
      <c r="AG6" s="533"/>
      <c r="AH6" s="533"/>
      <c r="AI6" s="533"/>
      <c r="AJ6" s="533"/>
      <c r="AK6" s="533"/>
      <c r="AL6" s="533"/>
      <c r="AM6" s="533"/>
      <c r="AN6" s="533"/>
      <c r="AO6" s="533"/>
      <c r="AP6" s="533"/>
      <c r="AQ6" s="533"/>
      <c r="AR6" s="533"/>
      <c r="AS6" s="533"/>
      <c r="AT6" s="533"/>
      <c r="AU6" s="533"/>
      <c r="AV6" s="533"/>
      <c r="AW6" s="533"/>
      <c r="AX6" s="533"/>
      <c r="AY6" s="533"/>
      <c r="AZ6" s="533"/>
      <c r="BA6" s="533"/>
      <c r="BB6" s="533"/>
      <c r="BC6" s="533"/>
      <c r="BD6" s="533"/>
      <c r="BE6" s="533"/>
      <c r="BF6" s="533"/>
      <c r="BG6" s="533"/>
      <c r="BH6" s="533"/>
      <c r="BI6" s="533"/>
      <c r="BJ6" s="533"/>
      <c r="BK6" s="533"/>
      <c r="BL6" s="533"/>
      <c r="BM6" s="533"/>
      <c r="BN6" s="533"/>
      <c r="BO6" s="533"/>
      <c r="BP6" s="533"/>
      <c r="BQ6" s="533"/>
      <c r="BR6" s="533"/>
      <c r="BS6" s="533"/>
      <c r="BT6" s="533"/>
      <c r="BU6" s="533"/>
      <c r="BV6" s="533"/>
      <c r="BW6" s="533"/>
      <c r="BX6" s="533"/>
      <c r="BY6" s="533"/>
      <c r="BZ6" s="533"/>
      <c r="CA6" s="533"/>
      <c r="CB6" s="533"/>
      <c r="CC6" s="533"/>
      <c r="CD6" s="533"/>
      <c r="CE6" s="533"/>
      <c r="CF6" s="533"/>
      <c r="CG6" s="533"/>
      <c r="CH6" s="533"/>
      <c r="CI6" s="533"/>
      <c r="CJ6" s="533"/>
      <c r="CK6" s="533"/>
      <c r="CL6" s="533"/>
      <c r="CM6" s="533"/>
      <c r="CN6" s="533"/>
      <c r="CO6" s="533"/>
      <c r="CP6" s="533"/>
      <c r="CQ6" s="533"/>
      <c r="CR6" s="533"/>
      <c r="CS6" s="533"/>
      <c r="CT6" s="533"/>
      <c r="CU6" s="533"/>
      <c r="CV6" s="533"/>
      <c r="CW6" s="533"/>
      <c r="CX6" s="533"/>
      <c r="CY6" s="533"/>
      <c r="CZ6" s="533"/>
      <c r="DA6" s="533"/>
      <c r="DB6" s="533"/>
      <c r="DC6" s="533"/>
      <c r="DD6" s="533"/>
      <c r="DE6" s="533"/>
      <c r="DF6" s="533"/>
      <c r="DG6" s="533"/>
      <c r="DH6" s="533"/>
      <c r="DI6" s="533"/>
    </row>
    <row r="7" spans="2:113" x14ac:dyDescent="0.35">
      <c r="B7" s="582"/>
      <c r="C7" s="520" t="s">
        <v>435</v>
      </c>
      <c r="D7" s="533"/>
      <c r="E7" s="533"/>
      <c r="F7" s="533"/>
      <c r="G7" s="532"/>
      <c r="H7" s="533"/>
      <c r="I7" s="533"/>
      <c r="J7" s="533"/>
      <c r="K7" s="533"/>
      <c r="L7" s="533"/>
      <c r="M7" s="533"/>
      <c r="N7" s="533"/>
      <c r="O7" s="533"/>
      <c r="P7" s="533"/>
      <c r="Q7" s="533"/>
      <c r="R7" s="533"/>
      <c r="S7" s="533"/>
      <c r="T7" s="533"/>
      <c r="U7" s="533"/>
      <c r="V7" s="533"/>
      <c r="W7" s="533"/>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c r="CN7" s="533"/>
      <c r="CO7" s="533"/>
      <c r="CP7" s="533"/>
      <c r="CQ7" s="533"/>
      <c r="CR7" s="533"/>
      <c r="CS7" s="533"/>
      <c r="CT7" s="533"/>
      <c r="CU7" s="533"/>
      <c r="CV7" s="533"/>
      <c r="CW7" s="533"/>
      <c r="CX7" s="533"/>
      <c r="CY7" s="533"/>
      <c r="CZ7" s="533"/>
      <c r="DA7" s="533"/>
      <c r="DB7" s="533"/>
      <c r="DC7" s="533"/>
      <c r="DD7" s="533"/>
      <c r="DE7" s="533"/>
      <c r="DF7" s="533"/>
      <c r="DG7" s="533"/>
      <c r="DH7" s="533"/>
      <c r="DI7" s="533"/>
    </row>
    <row r="8" spans="2:113" x14ac:dyDescent="0.35">
      <c r="B8" s="582"/>
      <c r="C8" s="520" t="s">
        <v>436</v>
      </c>
      <c r="D8" s="533"/>
      <c r="E8" s="533"/>
      <c r="F8" s="533"/>
      <c r="G8" s="532"/>
      <c r="H8" s="533"/>
      <c r="I8" s="533"/>
      <c r="J8" s="533"/>
      <c r="K8" s="533"/>
      <c r="L8" s="533"/>
      <c r="M8" s="533"/>
      <c r="N8" s="533"/>
      <c r="O8" s="533"/>
      <c r="P8" s="533"/>
      <c r="Q8" s="533"/>
      <c r="R8" s="533"/>
      <c r="S8" s="533"/>
      <c r="T8" s="533"/>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3"/>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3"/>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3"/>
    </row>
    <row r="9" spans="2:113" x14ac:dyDescent="0.35">
      <c r="B9" s="582" t="s">
        <v>437</v>
      </c>
      <c r="C9" s="520" t="s">
        <v>438</v>
      </c>
      <c r="D9" s="533"/>
      <c r="E9" s="533"/>
      <c r="F9" s="533"/>
      <c r="G9" s="533"/>
      <c r="H9" s="532"/>
      <c r="I9" s="533"/>
      <c r="J9" s="533"/>
      <c r="K9" s="533"/>
      <c r="L9" s="533"/>
      <c r="M9" s="533"/>
      <c r="N9" s="533"/>
      <c r="O9" s="533"/>
      <c r="P9" s="533"/>
      <c r="Q9" s="533"/>
      <c r="R9" s="533"/>
      <c r="S9" s="533"/>
      <c r="T9" s="533"/>
      <c r="U9" s="533"/>
      <c r="V9" s="533"/>
      <c r="W9" s="533"/>
      <c r="X9" s="533"/>
      <c r="Y9" s="533"/>
      <c r="Z9" s="533"/>
      <c r="AA9" s="533"/>
      <c r="AB9" s="533"/>
      <c r="AC9" s="533"/>
      <c r="AD9" s="533"/>
      <c r="AE9" s="533"/>
      <c r="AF9" s="533"/>
      <c r="AG9" s="533"/>
      <c r="AH9" s="533"/>
      <c r="AI9" s="533"/>
      <c r="AJ9" s="533"/>
      <c r="AK9" s="533"/>
      <c r="AL9" s="533"/>
      <c r="AM9" s="533"/>
      <c r="AN9" s="533"/>
      <c r="AO9" s="533"/>
      <c r="AP9" s="533"/>
      <c r="AQ9" s="533"/>
      <c r="AR9" s="533"/>
      <c r="AS9" s="533"/>
      <c r="AT9" s="533"/>
      <c r="AU9" s="533"/>
      <c r="AV9" s="533"/>
      <c r="AW9" s="533"/>
      <c r="AX9" s="533"/>
      <c r="AY9" s="533"/>
      <c r="AZ9" s="533"/>
      <c r="BA9" s="533"/>
      <c r="BB9" s="533"/>
      <c r="BC9" s="533"/>
      <c r="BD9" s="533"/>
      <c r="BE9" s="533"/>
      <c r="BF9" s="533"/>
      <c r="BG9" s="533"/>
      <c r="BH9" s="533"/>
      <c r="BI9" s="533"/>
      <c r="BJ9" s="533"/>
      <c r="BK9" s="533"/>
      <c r="BL9" s="533"/>
      <c r="BM9" s="533"/>
      <c r="BN9" s="533"/>
      <c r="BO9" s="533"/>
      <c r="BP9" s="533"/>
      <c r="BQ9" s="533"/>
      <c r="BR9" s="533"/>
      <c r="BS9" s="533"/>
      <c r="BT9" s="533"/>
      <c r="BU9" s="533"/>
      <c r="BV9" s="533"/>
      <c r="BW9" s="533"/>
      <c r="BX9" s="533"/>
      <c r="BY9" s="533"/>
      <c r="BZ9" s="533"/>
      <c r="CA9" s="533"/>
      <c r="CB9" s="533"/>
      <c r="CC9" s="533"/>
      <c r="CD9" s="533"/>
      <c r="CE9" s="533"/>
      <c r="CF9" s="533"/>
      <c r="CG9" s="533"/>
      <c r="CH9" s="533"/>
      <c r="CI9" s="533"/>
      <c r="CJ9" s="533"/>
      <c r="CK9" s="533"/>
      <c r="CL9" s="533"/>
      <c r="CM9" s="533"/>
      <c r="CN9" s="533"/>
      <c r="CO9" s="533"/>
      <c r="CP9" s="533"/>
      <c r="CQ9" s="533"/>
      <c r="CR9" s="533"/>
      <c r="CS9" s="533"/>
      <c r="CT9" s="533"/>
      <c r="CU9" s="533"/>
      <c r="CV9" s="533"/>
      <c r="CW9" s="533"/>
      <c r="CX9" s="533"/>
      <c r="CY9" s="533"/>
      <c r="CZ9" s="533"/>
      <c r="DA9" s="533"/>
      <c r="DB9" s="533"/>
      <c r="DC9" s="533"/>
      <c r="DD9" s="533"/>
      <c r="DE9" s="533"/>
      <c r="DF9" s="533"/>
      <c r="DG9" s="533"/>
      <c r="DH9" s="533"/>
      <c r="DI9" s="533"/>
    </row>
    <row r="10" spans="2:113" x14ac:dyDescent="0.35">
      <c r="B10" s="582"/>
      <c r="C10" s="520" t="s">
        <v>439</v>
      </c>
      <c r="D10" s="533"/>
      <c r="E10" s="533"/>
      <c r="F10" s="533"/>
      <c r="G10" s="533"/>
      <c r="H10" s="533"/>
      <c r="I10" s="532"/>
      <c r="J10" s="533"/>
      <c r="K10" s="533"/>
      <c r="L10" s="533"/>
      <c r="M10" s="533"/>
      <c r="N10" s="533"/>
      <c r="O10" s="533"/>
      <c r="P10" s="533"/>
      <c r="Q10" s="533"/>
      <c r="R10" s="533"/>
      <c r="S10" s="533"/>
      <c r="T10" s="533"/>
      <c r="U10" s="533"/>
      <c r="V10" s="533"/>
      <c r="W10" s="533"/>
      <c r="X10" s="533"/>
      <c r="Y10" s="533"/>
      <c r="Z10" s="533"/>
      <c r="AA10" s="533"/>
      <c r="AB10" s="533"/>
      <c r="AC10" s="533"/>
      <c r="AD10" s="533"/>
      <c r="AE10" s="533"/>
      <c r="AF10" s="533"/>
      <c r="AG10" s="533"/>
      <c r="AH10" s="533"/>
      <c r="AI10" s="533"/>
      <c r="AJ10" s="533"/>
      <c r="AK10" s="533"/>
      <c r="AL10" s="533"/>
      <c r="AM10" s="533"/>
      <c r="AN10" s="533"/>
      <c r="AO10" s="533"/>
      <c r="AP10" s="533"/>
      <c r="AQ10" s="533"/>
      <c r="AR10" s="533"/>
      <c r="AS10" s="533"/>
      <c r="AT10" s="533"/>
      <c r="AU10" s="533"/>
      <c r="AV10" s="533"/>
      <c r="AW10" s="533"/>
      <c r="AX10" s="533"/>
      <c r="AY10" s="533"/>
      <c r="AZ10" s="533"/>
      <c r="BA10" s="533"/>
      <c r="BB10" s="533"/>
      <c r="BC10" s="533"/>
      <c r="BD10" s="533"/>
      <c r="BE10" s="533"/>
      <c r="BF10" s="533"/>
      <c r="BG10" s="533"/>
      <c r="BH10" s="533"/>
      <c r="BI10" s="533"/>
      <c r="BJ10" s="533"/>
      <c r="BK10" s="533"/>
      <c r="BL10" s="533"/>
      <c r="BM10" s="533"/>
      <c r="BN10" s="533"/>
      <c r="BO10" s="533"/>
      <c r="BP10" s="533"/>
      <c r="BQ10" s="533"/>
      <c r="BR10" s="533"/>
      <c r="BS10" s="533"/>
      <c r="BT10" s="533"/>
      <c r="BU10" s="533"/>
      <c r="BV10" s="533"/>
      <c r="BW10" s="533"/>
      <c r="BX10" s="533"/>
      <c r="BY10" s="533"/>
      <c r="BZ10" s="533"/>
      <c r="CA10" s="533"/>
      <c r="CB10" s="533"/>
      <c r="CC10" s="533"/>
      <c r="CD10" s="533"/>
      <c r="CE10" s="533"/>
      <c r="CF10" s="533"/>
      <c r="CG10" s="533"/>
      <c r="CH10" s="533"/>
      <c r="CI10" s="533"/>
      <c r="CJ10" s="533"/>
      <c r="CK10" s="533"/>
      <c r="CL10" s="533"/>
      <c r="CM10" s="533"/>
      <c r="CN10" s="533"/>
      <c r="CO10" s="533"/>
      <c r="CP10" s="533"/>
      <c r="CQ10" s="533"/>
      <c r="CR10" s="533"/>
      <c r="CS10" s="533"/>
      <c r="CT10" s="533"/>
      <c r="CU10" s="533"/>
      <c r="CV10" s="533"/>
      <c r="CW10" s="533"/>
      <c r="CX10" s="533"/>
      <c r="CY10" s="533"/>
      <c r="CZ10" s="533"/>
      <c r="DA10" s="533"/>
      <c r="DB10" s="533"/>
      <c r="DC10" s="533"/>
      <c r="DD10" s="533"/>
      <c r="DE10" s="533"/>
      <c r="DF10" s="533"/>
      <c r="DG10" s="533"/>
      <c r="DH10" s="533"/>
      <c r="DI10" s="533"/>
    </row>
    <row r="11" spans="2:113" x14ac:dyDescent="0.35">
      <c r="B11" s="582"/>
      <c r="C11" s="520" t="s">
        <v>440</v>
      </c>
      <c r="D11" s="533"/>
      <c r="E11" s="533"/>
      <c r="F11" s="533"/>
      <c r="G11" s="533"/>
      <c r="H11" s="533"/>
      <c r="I11" s="533"/>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3"/>
      <c r="AR11" s="533"/>
      <c r="AS11" s="533"/>
      <c r="AT11" s="533"/>
      <c r="AU11" s="533"/>
      <c r="AV11" s="533"/>
      <c r="AW11" s="533"/>
      <c r="AX11" s="533"/>
      <c r="AY11" s="533"/>
      <c r="AZ11" s="533"/>
      <c r="BA11" s="533"/>
      <c r="BB11" s="533"/>
      <c r="BC11" s="533"/>
      <c r="BD11" s="533"/>
      <c r="BE11" s="533"/>
      <c r="BF11" s="533"/>
      <c r="BG11" s="533"/>
      <c r="BH11" s="533"/>
      <c r="BI11" s="533"/>
      <c r="BJ11" s="533"/>
      <c r="BK11" s="533"/>
      <c r="BL11" s="533"/>
      <c r="BM11" s="533"/>
      <c r="BN11" s="533"/>
      <c r="BO11" s="533"/>
      <c r="BP11" s="533"/>
      <c r="BQ11" s="533"/>
      <c r="BR11" s="533"/>
      <c r="BS11" s="533"/>
      <c r="BT11" s="533"/>
      <c r="BU11" s="533"/>
      <c r="BV11" s="533"/>
      <c r="BW11" s="533"/>
      <c r="BX11" s="533"/>
      <c r="BY11" s="533"/>
      <c r="BZ11" s="533"/>
      <c r="CA11" s="533"/>
      <c r="CB11" s="533"/>
      <c r="CC11" s="533"/>
      <c r="CD11" s="533"/>
      <c r="CE11" s="533"/>
      <c r="CF11" s="533"/>
      <c r="CG11" s="533"/>
      <c r="CH11" s="533"/>
      <c r="CI11" s="533"/>
      <c r="CJ11" s="533"/>
      <c r="CK11" s="533"/>
      <c r="CL11" s="533"/>
      <c r="CM11" s="533"/>
      <c r="CN11" s="533"/>
      <c r="CO11" s="533"/>
      <c r="CP11" s="533"/>
      <c r="CQ11" s="533"/>
      <c r="CR11" s="533"/>
      <c r="CS11" s="533"/>
      <c r="CT11" s="533"/>
      <c r="CU11" s="533"/>
      <c r="CV11" s="533"/>
      <c r="CW11" s="533"/>
      <c r="CX11" s="533"/>
      <c r="CY11" s="533"/>
      <c r="CZ11" s="533"/>
      <c r="DA11" s="533"/>
      <c r="DB11" s="533"/>
      <c r="DC11" s="533"/>
      <c r="DD11" s="533"/>
      <c r="DE11" s="533"/>
      <c r="DF11" s="533"/>
      <c r="DG11" s="533"/>
      <c r="DH11" s="533"/>
      <c r="DI11" s="533"/>
    </row>
    <row r="12" spans="2:113" x14ac:dyDescent="0.35">
      <c r="B12" s="582"/>
      <c r="C12" s="520" t="s">
        <v>441</v>
      </c>
      <c r="D12" s="533"/>
      <c r="E12" s="533"/>
      <c r="F12" s="533"/>
      <c r="G12" s="533"/>
      <c r="H12" s="533"/>
      <c r="I12" s="533"/>
      <c r="J12" s="533"/>
      <c r="K12" s="533"/>
      <c r="L12" s="536" t="s">
        <v>489</v>
      </c>
      <c r="M12" s="533"/>
      <c r="N12" s="533"/>
      <c r="O12" s="533"/>
      <c r="P12" s="533"/>
      <c r="Q12" s="533"/>
      <c r="R12" s="533"/>
      <c r="S12" s="533"/>
      <c r="T12" s="533"/>
      <c r="U12" s="533"/>
      <c r="V12" s="533"/>
      <c r="W12" s="533"/>
      <c r="X12" s="533"/>
      <c r="Y12" s="533"/>
      <c r="Z12" s="533"/>
      <c r="AA12" s="536" t="s">
        <v>487</v>
      </c>
      <c r="AB12" s="536" t="s">
        <v>488</v>
      </c>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3"/>
      <c r="BB12" s="533"/>
      <c r="BC12" s="533"/>
      <c r="BD12" s="533"/>
      <c r="BE12" s="533"/>
      <c r="BF12" s="533"/>
      <c r="BG12" s="533"/>
      <c r="BH12" s="533"/>
      <c r="BI12" s="533"/>
      <c r="BJ12" s="533"/>
      <c r="BK12" s="533"/>
      <c r="BL12" s="533"/>
      <c r="BM12" s="533"/>
      <c r="BN12" s="533"/>
      <c r="BO12" s="533"/>
      <c r="BP12" s="533"/>
      <c r="BQ12" s="533"/>
      <c r="BR12" s="533"/>
      <c r="BS12" s="533"/>
      <c r="BT12" s="533"/>
      <c r="BU12" s="533"/>
      <c r="BV12" s="533"/>
      <c r="BW12" s="533"/>
      <c r="BX12" s="533"/>
      <c r="BY12" s="533"/>
      <c r="BZ12" s="533"/>
      <c r="CA12" s="533"/>
      <c r="CB12" s="533"/>
      <c r="CC12" s="533"/>
      <c r="CD12" s="533"/>
      <c r="CE12" s="533"/>
      <c r="CF12" s="533"/>
      <c r="CG12" s="533"/>
      <c r="CH12" s="533"/>
      <c r="CI12" s="533"/>
      <c r="CJ12" s="533"/>
      <c r="CK12" s="533"/>
      <c r="CL12" s="533"/>
      <c r="CM12" s="533"/>
      <c r="CN12" s="533"/>
      <c r="CO12" s="533"/>
      <c r="CP12" s="533"/>
      <c r="CQ12" s="533"/>
      <c r="CR12" s="533"/>
      <c r="CS12" s="533"/>
      <c r="CT12" s="533"/>
      <c r="CU12" s="533"/>
      <c r="CV12" s="533"/>
      <c r="CW12" s="533"/>
      <c r="CX12" s="533"/>
      <c r="CY12" s="533"/>
      <c r="CZ12" s="533"/>
      <c r="DA12" s="533"/>
      <c r="DB12" s="533"/>
      <c r="DC12" s="533"/>
      <c r="DD12" s="533"/>
      <c r="DE12" s="533"/>
      <c r="DF12" s="533"/>
      <c r="DG12" s="533"/>
      <c r="DH12" s="533"/>
      <c r="DI12" s="533"/>
    </row>
    <row r="13" spans="2:113" x14ac:dyDescent="0.35">
      <c r="B13" s="582"/>
      <c r="C13" s="520" t="s">
        <v>442</v>
      </c>
      <c r="D13" s="533"/>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6" t="s">
        <v>487</v>
      </c>
      <c r="AY13" s="536" t="s">
        <v>488</v>
      </c>
      <c r="AZ13" s="533"/>
      <c r="BA13" s="533"/>
      <c r="BB13" s="533"/>
      <c r="BC13" s="533"/>
      <c r="BD13" s="533"/>
      <c r="BE13" s="533"/>
      <c r="BF13" s="533"/>
      <c r="BG13" s="533"/>
      <c r="BH13" s="533"/>
      <c r="BI13" s="533"/>
      <c r="BJ13" s="533"/>
      <c r="BK13" s="533"/>
      <c r="BL13" s="533"/>
      <c r="BM13" s="533"/>
      <c r="BN13" s="533"/>
      <c r="BO13" s="533"/>
      <c r="BP13" s="533"/>
      <c r="BQ13" s="533"/>
      <c r="BR13" s="533"/>
      <c r="BS13" s="533"/>
      <c r="BT13" s="533"/>
      <c r="BU13" s="533"/>
      <c r="BV13" s="533"/>
      <c r="BW13" s="533"/>
      <c r="BX13" s="533"/>
      <c r="BY13" s="533"/>
      <c r="BZ13" s="533"/>
      <c r="CA13" s="533"/>
      <c r="CB13" s="533"/>
      <c r="CC13" s="533"/>
      <c r="CD13" s="533"/>
      <c r="CE13" s="533"/>
      <c r="CF13" s="533"/>
      <c r="CG13" s="533"/>
      <c r="CH13" s="533"/>
      <c r="CI13" s="533"/>
      <c r="CJ13" s="533"/>
      <c r="CK13" s="533"/>
      <c r="CL13" s="533"/>
      <c r="CM13" s="533"/>
      <c r="CN13" s="533"/>
      <c r="CO13" s="533"/>
      <c r="CP13" s="533"/>
      <c r="CQ13" s="533"/>
      <c r="CR13" s="533"/>
      <c r="CS13" s="533"/>
      <c r="CT13" s="533"/>
      <c r="CU13" s="533"/>
      <c r="CV13" s="533"/>
      <c r="CW13" s="533"/>
      <c r="CX13" s="533"/>
      <c r="CY13" s="533"/>
      <c r="CZ13" s="533"/>
      <c r="DA13" s="533"/>
      <c r="DB13" s="533"/>
      <c r="DC13" s="533"/>
      <c r="DD13" s="533"/>
      <c r="DE13" s="533"/>
      <c r="DF13" s="533"/>
      <c r="DG13" s="533"/>
      <c r="DH13" s="533"/>
      <c r="DI13" s="533"/>
    </row>
    <row r="14" spans="2:113" ht="18" customHeight="1" x14ac:dyDescent="0.35">
      <c r="B14" s="582" t="s">
        <v>443</v>
      </c>
      <c r="C14" s="520" t="s">
        <v>444</v>
      </c>
      <c r="D14" s="533"/>
      <c r="E14" s="533"/>
      <c r="F14" s="533"/>
      <c r="G14" s="533"/>
      <c r="H14" s="533"/>
      <c r="I14" s="533"/>
      <c r="J14" s="533"/>
      <c r="K14" s="533"/>
      <c r="L14" s="533"/>
      <c r="M14" s="533"/>
      <c r="N14" s="533"/>
      <c r="O14" s="533"/>
      <c r="P14" s="533"/>
      <c r="Q14" s="533"/>
      <c r="R14" s="533"/>
      <c r="S14" s="533"/>
      <c r="T14" s="533"/>
      <c r="U14" s="533"/>
      <c r="V14" s="533"/>
      <c r="W14" s="533"/>
      <c r="X14" s="533"/>
      <c r="Y14" s="533"/>
      <c r="Z14" s="533"/>
      <c r="AA14" s="533"/>
      <c r="AB14" s="533"/>
      <c r="AC14" s="533"/>
      <c r="AD14" s="533"/>
      <c r="AE14" s="533"/>
      <c r="AF14" s="533"/>
      <c r="AG14" s="533"/>
      <c r="AH14" s="533"/>
      <c r="AI14" s="533"/>
      <c r="AJ14" s="533"/>
      <c r="AK14" s="533"/>
      <c r="AL14" s="533"/>
      <c r="AM14" s="533"/>
      <c r="AN14" s="533"/>
      <c r="AO14" s="533"/>
      <c r="AP14" s="532"/>
      <c r="AQ14" s="532"/>
      <c r="AR14" s="532"/>
      <c r="AS14" s="532"/>
      <c r="AT14" s="532"/>
      <c r="AU14" s="532"/>
      <c r="AV14" s="532"/>
      <c r="AW14" s="532"/>
      <c r="AX14" s="532"/>
      <c r="AY14" s="532"/>
      <c r="AZ14" s="532"/>
      <c r="BA14" s="532"/>
      <c r="BB14" s="532"/>
      <c r="BC14" s="532"/>
      <c r="BD14" s="532"/>
      <c r="BE14" s="532"/>
      <c r="BF14" s="532"/>
      <c r="BG14" s="532"/>
      <c r="BH14" s="532"/>
      <c r="BI14" s="532"/>
      <c r="BJ14" s="532"/>
      <c r="BK14" s="532"/>
      <c r="BL14" s="532"/>
      <c r="BM14" s="532"/>
      <c r="BN14" s="532"/>
      <c r="BO14" s="532"/>
      <c r="BP14" s="532"/>
      <c r="BQ14" s="532"/>
      <c r="BR14" s="532"/>
      <c r="BS14" s="532"/>
      <c r="BT14" s="532"/>
      <c r="BU14" s="532"/>
      <c r="BV14" s="532"/>
      <c r="BW14" s="532"/>
      <c r="BX14" s="532"/>
      <c r="BY14" s="532"/>
      <c r="BZ14" s="533"/>
      <c r="CA14" s="533"/>
      <c r="CB14" s="533"/>
      <c r="CC14" s="533"/>
      <c r="CD14" s="533"/>
      <c r="CE14" s="533"/>
      <c r="CF14" s="533"/>
      <c r="CG14" s="533"/>
      <c r="CH14" s="533"/>
      <c r="CI14" s="533"/>
      <c r="CJ14" s="533"/>
      <c r="CK14" s="533"/>
      <c r="CL14" s="533"/>
      <c r="CM14" s="533"/>
      <c r="CN14" s="533"/>
      <c r="CO14" s="533"/>
      <c r="CP14" s="533"/>
      <c r="CQ14" s="533"/>
      <c r="CR14" s="533"/>
      <c r="CS14" s="533"/>
      <c r="CT14" s="533"/>
      <c r="CU14" s="533"/>
      <c r="CV14" s="533"/>
      <c r="CW14" s="533"/>
      <c r="CX14" s="533"/>
      <c r="CY14" s="533"/>
      <c r="CZ14" s="533"/>
      <c r="DA14" s="533"/>
      <c r="DB14" s="533"/>
      <c r="DC14" s="533"/>
      <c r="DD14" s="533"/>
      <c r="DE14" s="533"/>
      <c r="DF14" s="533"/>
      <c r="DG14" s="533"/>
      <c r="DH14" s="533"/>
      <c r="DI14" s="533"/>
    </row>
    <row r="15" spans="2:113" x14ac:dyDescent="0.35">
      <c r="B15" s="582"/>
      <c r="C15" s="520" t="s">
        <v>445</v>
      </c>
      <c r="D15" s="533"/>
      <c r="E15" s="533"/>
      <c r="F15" s="533"/>
      <c r="G15" s="533"/>
      <c r="H15" s="533"/>
      <c r="I15" s="533"/>
      <c r="J15" s="533"/>
      <c r="K15" s="533"/>
      <c r="L15" s="533"/>
      <c r="M15" s="533"/>
      <c r="N15" s="533"/>
      <c r="O15" s="533"/>
      <c r="P15" s="533"/>
      <c r="Q15" s="533"/>
      <c r="R15" s="533"/>
      <c r="S15" s="533"/>
      <c r="T15" s="533"/>
      <c r="U15" s="533"/>
      <c r="V15" s="533"/>
      <c r="W15" s="533"/>
      <c r="X15" s="533"/>
      <c r="Y15" s="533"/>
      <c r="Z15" s="533"/>
      <c r="AA15" s="533"/>
      <c r="AB15" s="533"/>
      <c r="AC15" s="533"/>
      <c r="AD15" s="533"/>
      <c r="AE15" s="533"/>
      <c r="AF15" s="533"/>
      <c r="AG15" s="533"/>
      <c r="AH15" s="533"/>
      <c r="AI15" s="533"/>
      <c r="AJ15" s="533"/>
      <c r="AK15" s="533"/>
      <c r="AL15" s="533"/>
      <c r="AM15" s="533"/>
      <c r="AN15" s="533"/>
      <c r="AO15" s="533"/>
      <c r="AP15" s="533"/>
      <c r="AQ15" s="533"/>
      <c r="AR15" s="533"/>
      <c r="AS15" s="533"/>
      <c r="AT15" s="533"/>
      <c r="AU15" s="533"/>
      <c r="AV15" s="533"/>
      <c r="AW15" s="533"/>
      <c r="AX15" s="533"/>
      <c r="AY15" s="533"/>
      <c r="AZ15" s="533"/>
      <c r="BA15" s="533"/>
      <c r="BB15" s="533"/>
      <c r="BC15" s="533"/>
      <c r="BD15" s="533"/>
      <c r="BE15" s="533"/>
      <c r="BF15" s="533"/>
      <c r="BG15" s="533"/>
      <c r="BH15" s="533"/>
      <c r="BI15" s="533"/>
      <c r="BJ15" s="533"/>
      <c r="BK15" s="533"/>
      <c r="BL15" s="533"/>
      <c r="BM15" s="533"/>
      <c r="BN15" s="533"/>
      <c r="BO15" s="533"/>
      <c r="BP15" s="533"/>
      <c r="BQ15" s="533"/>
      <c r="BR15" s="533"/>
      <c r="BS15" s="533"/>
      <c r="BT15" s="533"/>
      <c r="BU15" s="533"/>
      <c r="BV15" s="533"/>
      <c r="BW15" s="533"/>
      <c r="BX15" s="533"/>
      <c r="BY15" s="533"/>
      <c r="BZ15" s="533"/>
      <c r="CA15" s="533"/>
      <c r="CB15" s="533"/>
      <c r="CC15" s="533"/>
      <c r="CD15" s="532"/>
      <c r="CE15" s="533"/>
      <c r="CF15" s="533"/>
      <c r="CG15" s="533"/>
      <c r="CH15" s="533"/>
      <c r="CI15" s="533"/>
      <c r="CJ15" s="533"/>
      <c r="CK15" s="533"/>
      <c r="CL15" s="533"/>
      <c r="CM15" s="533"/>
      <c r="CN15" s="533"/>
      <c r="CO15" s="533"/>
      <c r="CP15" s="533"/>
      <c r="CQ15" s="533"/>
      <c r="CR15" s="533"/>
      <c r="CS15" s="533"/>
      <c r="CT15" s="533"/>
      <c r="CU15" s="533"/>
      <c r="CV15" s="533"/>
      <c r="CW15" s="533"/>
      <c r="CX15" s="533"/>
      <c r="CY15" s="533"/>
      <c r="CZ15" s="533"/>
      <c r="DA15" s="533"/>
      <c r="DB15" s="533"/>
      <c r="DC15" s="533"/>
      <c r="DD15" s="533"/>
      <c r="DE15" s="533"/>
      <c r="DF15" s="533"/>
      <c r="DG15" s="533"/>
      <c r="DH15" s="533"/>
      <c r="DI15" s="533"/>
    </row>
    <row r="16" spans="2:113" x14ac:dyDescent="0.35">
      <c r="B16" s="582"/>
      <c r="C16" s="520" t="s">
        <v>446</v>
      </c>
      <c r="D16" s="533"/>
      <c r="E16" s="533"/>
      <c r="F16" s="533"/>
      <c r="G16" s="533"/>
      <c r="H16" s="533"/>
      <c r="I16" s="533"/>
      <c r="J16" s="533"/>
      <c r="K16" s="533"/>
      <c r="L16" s="533"/>
      <c r="M16" s="533"/>
      <c r="N16" s="533"/>
      <c r="O16" s="533"/>
      <c r="P16" s="533"/>
      <c r="Q16" s="533"/>
      <c r="R16" s="533"/>
      <c r="S16" s="533"/>
      <c r="T16" s="533"/>
      <c r="U16" s="533"/>
      <c r="V16" s="533"/>
      <c r="W16" s="533"/>
      <c r="X16" s="533"/>
      <c r="Y16" s="533"/>
      <c r="Z16" s="533"/>
      <c r="AA16" s="533"/>
      <c r="AB16" s="533"/>
      <c r="AC16" s="533"/>
      <c r="AD16" s="533"/>
      <c r="AE16" s="533"/>
      <c r="AF16" s="533"/>
      <c r="AG16" s="533"/>
      <c r="AH16" s="533"/>
      <c r="AI16" s="533"/>
      <c r="AJ16" s="533"/>
      <c r="AK16" s="533"/>
      <c r="AL16" s="533"/>
      <c r="AM16" s="533"/>
      <c r="AN16" s="533"/>
      <c r="AO16" s="533"/>
      <c r="AP16" s="533"/>
      <c r="AQ16" s="533"/>
      <c r="AR16" s="533"/>
      <c r="AS16" s="533"/>
      <c r="AT16" s="533"/>
      <c r="AU16" s="533"/>
      <c r="AV16" s="533"/>
      <c r="AW16" s="533"/>
      <c r="AX16" s="533"/>
      <c r="AY16" s="533"/>
      <c r="AZ16" s="533"/>
      <c r="BA16" s="533"/>
      <c r="BB16" s="533"/>
      <c r="BC16" s="533"/>
      <c r="BD16" s="533"/>
      <c r="BE16" s="533"/>
      <c r="BF16" s="533"/>
      <c r="BG16" s="533"/>
      <c r="BH16" s="533"/>
      <c r="BI16" s="533"/>
      <c r="BJ16" s="533"/>
      <c r="BK16" s="533"/>
      <c r="BL16" s="533"/>
      <c r="BM16" s="533"/>
      <c r="BN16" s="533"/>
      <c r="BO16" s="533"/>
      <c r="BP16" s="533"/>
      <c r="BQ16" s="533"/>
      <c r="BR16" s="533"/>
      <c r="BS16" s="533"/>
      <c r="BT16" s="533"/>
      <c r="BU16" s="533"/>
      <c r="BV16" s="533"/>
      <c r="BW16" s="533"/>
      <c r="BX16" s="533"/>
      <c r="BY16" s="533"/>
      <c r="BZ16" s="533"/>
      <c r="CA16" s="533"/>
      <c r="CB16" s="533"/>
      <c r="CC16" s="533"/>
      <c r="CD16" s="533"/>
      <c r="CE16" s="532"/>
      <c r="CF16" s="532"/>
      <c r="CG16" s="532"/>
      <c r="CH16" s="532"/>
      <c r="CI16" s="532"/>
      <c r="CJ16" s="532"/>
      <c r="CK16" s="532"/>
      <c r="CL16" s="532"/>
      <c r="CM16" s="532"/>
      <c r="CN16" s="532"/>
      <c r="CO16" s="532"/>
      <c r="CP16" s="532"/>
      <c r="CQ16" s="532"/>
      <c r="CR16" s="532"/>
      <c r="CS16" s="532"/>
      <c r="CT16" s="532"/>
      <c r="CU16" s="532"/>
      <c r="CV16" s="532"/>
      <c r="CW16" s="532"/>
      <c r="CX16" s="532"/>
      <c r="CY16" s="532"/>
      <c r="CZ16" s="532"/>
      <c r="DA16" s="533"/>
      <c r="DB16" s="533"/>
      <c r="DC16" s="533"/>
      <c r="DD16" s="533"/>
      <c r="DE16" s="533"/>
      <c r="DF16" s="533"/>
      <c r="DG16" s="533"/>
      <c r="DH16" s="533"/>
      <c r="DI16" s="533"/>
    </row>
    <row r="17" spans="2:116" x14ac:dyDescent="0.35">
      <c r="B17" s="582"/>
      <c r="C17" s="520" t="s">
        <v>447</v>
      </c>
      <c r="D17" s="533"/>
      <c r="E17" s="533"/>
      <c r="F17" s="533"/>
      <c r="G17" s="533"/>
      <c r="H17" s="533"/>
      <c r="I17" s="533"/>
      <c r="J17" s="533"/>
      <c r="K17" s="533"/>
      <c r="L17" s="533"/>
      <c r="M17" s="533"/>
      <c r="N17" s="533"/>
      <c r="O17" s="533"/>
      <c r="P17" s="533"/>
      <c r="Q17" s="533"/>
      <c r="R17" s="533"/>
      <c r="S17" s="533"/>
      <c r="T17" s="533"/>
      <c r="U17" s="533"/>
      <c r="V17" s="533"/>
      <c r="W17" s="533"/>
      <c r="X17" s="533"/>
      <c r="Y17" s="533"/>
      <c r="Z17" s="533"/>
      <c r="AA17" s="533"/>
      <c r="AB17" s="533"/>
      <c r="AC17" s="533"/>
      <c r="AD17" s="533"/>
      <c r="AE17" s="533"/>
      <c r="AF17" s="533"/>
      <c r="AG17" s="533"/>
      <c r="AH17" s="533"/>
      <c r="AI17" s="533"/>
      <c r="AJ17" s="533"/>
      <c r="AK17" s="533"/>
      <c r="AL17" s="533"/>
      <c r="AM17" s="533"/>
      <c r="AN17" s="533"/>
      <c r="AO17" s="533"/>
      <c r="AP17" s="533"/>
      <c r="AQ17" s="533"/>
      <c r="AR17" s="533"/>
      <c r="AS17" s="533"/>
      <c r="AT17" s="533"/>
      <c r="AU17" s="533"/>
      <c r="AV17" s="533"/>
      <c r="AW17" s="533"/>
      <c r="AX17" s="533"/>
      <c r="AY17" s="533"/>
      <c r="AZ17" s="533"/>
      <c r="BA17" s="533"/>
      <c r="BB17" s="533"/>
      <c r="BC17" s="533"/>
      <c r="BD17" s="533"/>
      <c r="BE17" s="533"/>
      <c r="BF17" s="533"/>
      <c r="BG17" s="533"/>
      <c r="BH17" s="533"/>
      <c r="BI17" s="533"/>
      <c r="BJ17" s="533"/>
      <c r="BK17" s="533"/>
      <c r="BL17" s="533"/>
      <c r="BM17" s="533"/>
      <c r="BN17" s="533"/>
      <c r="BO17" s="533"/>
      <c r="BP17" s="533"/>
      <c r="BQ17" s="533"/>
      <c r="BR17" s="533"/>
      <c r="BS17" s="533"/>
      <c r="BT17" s="533"/>
      <c r="BU17" s="533"/>
      <c r="BV17" s="533"/>
      <c r="BW17" s="533"/>
      <c r="BX17" s="533"/>
      <c r="BY17" s="533"/>
      <c r="BZ17" s="533"/>
      <c r="CA17" s="533"/>
      <c r="CB17" s="533"/>
      <c r="CC17" s="533"/>
      <c r="CD17" s="533"/>
      <c r="CE17" s="533"/>
      <c r="CF17" s="533"/>
      <c r="CG17" s="533"/>
      <c r="CH17" s="533"/>
      <c r="CI17" s="533"/>
      <c r="CJ17" s="533"/>
      <c r="CK17" s="533"/>
      <c r="CL17" s="533"/>
      <c r="CM17" s="533"/>
      <c r="CN17" s="533"/>
      <c r="CO17" s="533"/>
      <c r="CP17" s="533"/>
      <c r="CQ17" s="533"/>
      <c r="CR17" s="533"/>
      <c r="CS17" s="533"/>
      <c r="CT17" s="533"/>
      <c r="CU17" s="533"/>
      <c r="CV17" s="533"/>
      <c r="CW17" s="533"/>
      <c r="CX17" s="533"/>
      <c r="CY17" s="533"/>
      <c r="CZ17" s="533"/>
      <c r="DA17" s="532"/>
      <c r="DB17" s="533"/>
      <c r="DC17" s="533"/>
      <c r="DD17" s="533"/>
      <c r="DE17" s="533"/>
      <c r="DF17" s="533"/>
      <c r="DG17" s="533"/>
      <c r="DH17" s="533"/>
      <c r="DI17" s="533"/>
    </row>
    <row r="18" spans="2:116" ht="18" customHeight="1" x14ac:dyDescent="0.35">
      <c r="B18" s="582"/>
      <c r="C18" s="520" t="s">
        <v>448</v>
      </c>
      <c r="D18" s="533"/>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533"/>
      <c r="AI18" s="533"/>
      <c r="AJ18" s="533"/>
      <c r="AK18" s="533"/>
      <c r="AL18" s="533"/>
      <c r="AM18" s="533"/>
      <c r="AN18" s="533"/>
      <c r="AO18" s="533"/>
      <c r="AP18" s="533"/>
      <c r="AQ18" s="533"/>
      <c r="AR18" s="533"/>
      <c r="AS18" s="533"/>
      <c r="AT18" s="533"/>
      <c r="AU18" s="533"/>
      <c r="AV18" s="533"/>
      <c r="AW18" s="533"/>
      <c r="AX18" s="533"/>
      <c r="AY18" s="533"/>
      <c r="AZ18" s="533"/>
      <c r="BA18" s="533"/>
      <c r="BB18" s="533"/>
      <c r="BC18" s="533"/>
      <c r="BD18" s="533"/>
      <c r="BE18" s="533"/>
      <c r="BF18" s="533"/>
      <c r="BG18" s="533"/>
      <c r="BH18" s="533"/>
      <c r="BI18" s="533"/>
      <c r="BJ18" s="533"/>
      <c r="BK18" s="533"/>
      <c r="BL18" s="533"/>
      <c r="BM18" s="533"/>
      <c r="BN18" s="533"/>
      <c r="BO18" s="533"/>
      <c r="BP18" s="533"/>
      <c r="BQ18" s="533"/>
      <c r="BR18" s="533"/>
      <c r="BS18" s="533"/>
      <c r="BT18" s="533"/>
      <c r="BU18" s="533"/>
      <c r="BV18" s="533"/>
      <c r="BW18" s="533"/>
      <c r="BX18" s="533"/>
      <c r="BY18" s="533"/>
      <c r="BZ18" s="533"/>
      <c r="CA18" s="533"/>
      <c r="CB18" s="533"/>
      <c r="CC18" s="533"/>
      <c r="CD18" s="533"/>
      <c r="CE18" s="533"/>
      <c r="CF18" s="533"/>
      <c r="CG18" s="533"/>
      <c r="CH18" s="533"/>
      <c r="CI18" s="533"/>
      <c r="CJ18" s="533"/>
      <c r="CK18" s="533"/>
      <c r="CL18" s="533"/>
      <c r="CM18" s="533"/>
      <c r="CN18" s="533"/>
      <c r="CO18" s="533"/>
      <c r="CP18" s="533"/>
      <c r="CQ18" s="533"/>
      <c r="CR18" s="533"/>
      <c r="CS18" s="533"/>
      <c r="CT18" s="533"/>
      <c r="CU18" s="533"/>
      <c r="CV18" s="533"/>
      <c r="CW18" s="533"/>
      <c r="CX18" s="533"/>
      <c r="CY18" s="533"/>
      <c r="CZ18" s="533"/>
      <c r="DA18" s="532"/>
      <c r="DB18" s="533"/>
      <c r="DC18" s="533"/>
      <c r="DD18" s="533"/>
      <c r="DE18" s="533"/>
      <c r="DF18" s="533"/>
      <c r="DG18" s="533"/>
      <c r="DH18" s="533"/>
      <c r="DI18" s="533"/>
    </row>
    <row r="19" spans="2:116" x14ac:dyDescent="0.35">
      <c r="B19" s="582" t="s">
        <v>449</v>
      </c>
      <c r="C19" s="520" t="s">
        <v>450</v>
      </c>
      <c r="D19" s="533"/>
      <c r="E19" s="533"/>
      <c r="F19" s="533"/>
      <c r="G19" s="533"/>
      <c r="H19" s="533"/>
      <c r="I19" s="533"/>
      <c r="J19" s="533"/>
      <c r="K19" s="533"/>
      <c r="L19" s="533"/>
      <c r="M19" s="533"/>
      <c r="N19" s="533"/>
      <c r="O19" s="533"/>
      <c r="P19" s="533"/>
      <c r="Q19" s="533"/>
      <c r="R19" s="533"/>
      <c r="S19" s="533"/>
      <c r="T19" s="533"/>
      <c r="U19" s="533"/>
      <c r="V19" s="533"/>
      <c r="W19" s="533"/>
      <c r="X19" s="533"/>
      <c r="Y19" s="533"/>
      <c r="Z19" s="533"/>
      <c r="AA19" s="533"/>
      <c r="AB19" s="533"/>
      <c r="AC19" s="533"/>
      <c r="AD19" s="533"/>
      <c r="AE19" s="533"/>
      <c r="AF19" s="533"/>
      <c r="AG19" s="533"/>
      <c r="AH19" s="533"/>
      <c r="AI19" s="533"/>
      <c r="AJ19" s="533"/>
      <c r="AK19" s="533"/>
      <c r="AL19" s="533"/>
      <c r="AM19" s="533"/>
      <c r="AN19" s="533"/>
      <c r="AO19" s="533"/>
      <c r="AP19" s="533"/>
      <c r="AQ19" s="533"/>
      <c r="AR19" s="533"/>
      <c r="AS19" s="533"/>
      <c r="AT19" s="533"/>
      <c r="AU19" s="533"/>
      <c r="AV19" s="533"/>
      <c r="AW19" s="533"/>
      <c r="AX19" s="533"/>
      <c r="AY19" s="533"/>
      <c r="AZ19" s="533"/>
      <c r="BA19" s="533"/>
      <c r="BB19" s="533"/>
      <c r="BC19" s="533"/>
      <c r="BD19" s="533"/>
      <c r="BE19" s="533"/>
      <c r="BF19" s="533"/>
      <c r="BG19" s="533"/>
      <c r="BH19" s="533"/>
      <c r="BI19" s="533"/>
      <c r="BJ19" s="533"/>
      <c r="BK19" s="533"/>
      <c r="BL19" s="533"/>
      <c r="BM19" s="533"/>
      <c r="BN19" s="533"/>
      <c r="BO19" s="533"/>
      <c r="BP19" s="533"/>
      <c r="BQ19" s="533"/>
      <c r="BR19" s="533"/>
      <c r="BS19" s="533"/>
      <c r="BT19" s="533"/>
      <c r="BU19" s="533"/>
      <c r="BV19" s="533"/>
      <c r="BW19" s="533"/>
      <c r="BX19" s="533"/>
      <c r="BY19" s="533"/>
      <c r="BZ19" s="533"/>
      <c r="CA19" s="533"/>
      <c r="CB19" s="533"/>
      <c r="CC19" s="533"/>
      <c r="CD19" s="533"/>
      <c r="CE19" s="533"/>
      <c r="CF19" s="533"/>
      <c r="CG19" s="533"/>
      <c r="CH19" s="533"/>
      <c r="CI19" s="533"/>
      <c r="CJ19" s="533"/>
      <c r="CK19" s="533"/>
      <c r="CL19" s="533"/>
      <c r="CM19" s="533"/>
      <c r="CN19" s="533"/>
      <c r="CO19" s="533"/>
      <c r="CP19" s="533"/>
      <c r="CQ19" s="533"/>
      <c r="CR19" s="533"/>
      <c r="CS19" s="533"/>
      <c r="CT19" s="533"/>
      <c r="CU19" s="533"/>
      <c r="CV19" s="533"/>
      <c r="CW19" s="533"/>
      <c r="CX19" s="533"/>
      <c r="CY19" s="533"/>
      <c r="CZ19" s="533"/>
      <c r="DA19" s="532"/>
      <c r="DB19" s="532"/>
      <c r="DC19" s="532"/>
      <c r="DD19" s="532"/>
      <c r="DE19" s="532"/>
      <c r="DF19" s="532"/>
      <c r="DG19" s="532"/>
      <c r="DH19" s="532"/>
      <c r="DI19" s="532"/>
    </row>
    <row r="20" spans="2:116" x14ac:dyDescent="0.35">
      <c r="B20" s="582"/>
      <c r="C20" s="520" t="s">
        <v>451</v>
      </c>
      <c r="D20" s="533"/>
      <c r="E20" s="533"/>
      <c r="F20" s="533"/>
      <c r="G20" s="533"/>
      <c r="H20" s="533"/>
      <c r="I20" s="533"/>
      <c r="J20" s="533"/>
      <c r="K20" s="533"/>
      <c r="L20" s="533"/>
      <c r="M20" s="533"/>
      <c r="N20" s="533"/>
      <c r="O20" s="533"/>
      <c r="P20" s="533"/>
      <c r="Q20" s="533"/>
      <c r="R20" s="533"/>
      <c r="S20" s="533"/>
      <c r="T20" s="533"/>
      <c r="U20" s="533"/>
      <c r="V20" s="533"/>
      <c r="W20" s="533"/>
      <c r="X20" s="533"/>
      <c r="Y20" s="533"/>
      <c r="Z20" s="533"/>
      <c r="AA20" s="533"/>
      <c r="AB20" s="533"/>
      <c r="AC20" s="533"/>
      <c r="AD20" s="533"/>
      <c r="AE20" s="533"/>
      <c r="AF20" s="533"/>
      <c r="AG20" s="533"/>
      <c r="AH20" s="533"/>
      <c r="AI20" s="533"/>
      <c r="AJ20" s="533"/>
      <c r="AK20" s="533"/>
      <c r="AL20" s="533"/>
      <c r="AM20" s="533"/>
      <c r="AN20" s="533"/>
      <c r="AO20" s="533"/>
      <c r="AP20" s="533"/>
      <c r="AQ20" s="533"/>
      <c r="AR20" s="533"/>
      <c r="AS20" s="533"/>
      <c r="AT20" s="533"/>
      <c r="AU20" s="533"/>
      <c r="AV20" s="533"/>
      <c r="AW20" s="533"/>
      <c r="AX20" s="533"/>
      <c r="AY20" s="533"/>
      <c r="AZ20" s="533"/>
      <c r="BA20" s="533"/>
      <c r="BB20" s="533"/>
      <c r="BC20" s="533"/>
      <c r="BD20" s="533"/>
      <c r="BE20" s="533"/>
      <c r="BF20" s="533"/>
      <c r="BG20" s="533"/>
      <c r="BH20" s="533"/>
      <c r="BI20" s="533"/>
      <c r="BJ20" s="533"/>
      <c r="BK20" s="533"/>
      <c r="BL20" s="533"/>
      <c r="BM20" s="533"/>
      <c r="BN20" s="533"/>
      <c r="BO20" s="533"/>
      <c r="BP20" s="533"/>
      <c r="BQ20" s="533"/>
      <c r="BR20" s="533"/>
      <c r="BS20" s="533"/>
      <c r="BT20" s="533"/>
      <c r="BU20" s="533"/>
      <c r="BV20" s="533"/>
      <c r="BW20" s="533"/>
      <c r="BX20" s="533"/>
      <c r="BY20" s="533"/>
      <c r="BZ20" s="533"/>
      <c r="CA20" s="533"/>
      <c r="CB20" s="533"/>
      <c r="CC20" s="533"/>
      <c r="CD20" s="533"/>
      <c r="CE20" s="533"/>
      <c r="CF20" s="533"/>
      <c r="CG20" s="533"/>
      <c r="CH20" s="533"/>
      <c r="CI20" s="533"/>
      <c r="CJ20" s="533"/>
      <c r="CK20" s="533"/>
      <c r="CL20" s="533"/>
      <c r="CM20" s="533"/>
      <c r="CN20" s="533"/>
      <c r="CO20" s="533"/>
      <c r="CP20" s="533"/>
      <c r="CQ20" s="533"/>
      <c r="CR20" s="533"/>
      <c r="CS20" s="533"/>
      <c r="CT20" s="533"/>
      <c r="CU20" s="533"/>
      <c r="CV20" s="533"/>
      <c r="CW20" s="533"/>
      <c r="CX20" s="533"/>
      <c r="CY20" s="533"/>
      <c r="CZ20" s="533"/>
      <c r="DA20" s="532"/>
      <c r="DB20" s="532"/>
      <c r="DC20" s="532"/>
      <c r="DD20" s="532"/>
      <c r="DE20" s="532"/>
      <c r="DF20" s="532"/>
      <c r="DG20" s="532"/>
      <c r="DH20" s="532"/>
      <c r="DI20" s="532"/>
    </row>
    <row r="21" spans="2:116" x14ac:dyDescent="0.35">
      <c r="B21" s="582"/>
      <c r="C21" s="535" t="s">
        <v>452</v>
      </c>
      <c r="D21" s="533"/>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533"/>
      <c r="AI21" s="533"/>
      <c r="AJ21" s="533"/>
      <c r="AK21" s="533"/>
      <c r="AL21" s="533"/>
      <c r="AM21" s="533"/>
      <c r="AN21" s="533"/>
      <c r="AO21" s="533"/>
      <c r="AP21" s="533"/>
      <c r="AQ21" s="533"/>
      <c r="AR21" s="533"/>
      <c r="AS21" s="533"/>
      <c r="AT21" s="533"/>
      <c r="AU21" s="533"/>
      <c r="AV21" s="533"/>
      <c r="AW21" s="533"/>
      <c r="AX21" s="533"/>
      <c r="AY21" s="533"/>
      <c r="AZ21" s="533"/>
      <c r="BA21" s="533"/>
      <c r="BB21" s="533"/>
      <c r="BC21" s="533"/>
      <c r="BD21" s="533"/>
      <c r="BE21" s="533"/>
      <c r="BF21" s="533"/>
      <c r="BG21" s="533"/>
      <c r="BH21" s="533"/>
      <c r="BI21" s="533"/>
      <c r="BJ21" s="533"/>
      <c r="BK21" s="533"/>
      <c r="BL21" s="533"/>
      <c r="BM21" s="533"/>
      <c r="BN21" s="533"/>
      <c r="BO21" s="533"/>
      <c r="BP21" s="533"/>
      <c r="BQ21" s="533"/>
      <c r="BR21" s="533"/>
      <c r="BS21" s="533"/>
      <c r="BT21" s="533"/>
      <c r="BU21" s="533"/>
      <c r="BV21" s="533"/>
      <c r="BW21" s="533"/>
      <c r="BX21" s="533"/>
      <c r="BY21" s="533"/>
      <c r="BZ21" s="533"/>
      <c r="CA21" s="533"/>
      <c r="CB21" s="533"/>
      <c r="CC21" s="533"/>
      <c r="CD21" s="533"/>
      <c r="CE21" s="533"/>
      <c r="CF21" s="533"/>
      <c r="CG21" s="533"/>
      <c r="CH21" s="533"/>
      <c r="CI21" s="533"/>
      <c r="CJ21" s="533"/>
      <c r="CK21" s="533"/>
      <c r="CL21" s="533"/>
      <c r="CM21" s="533"/>
      <c r="CN21" s="533"/>
      <c r="CO21" s="533"/>
      <c r="CP21" s="533"/>
      <c r="CQ21" s="533"/>
      <c r="CR21" s="533"/>
      <c r="CS21" s="533"/>
      <c r="CT21" s="533"/>
      <c r="CU21" s="533"/>
      <c r="CV21" s="533"/>
      <c r="CW21" s="533"/>
      <c r="CX21" s="533"/>
      <c r="CY21" s="533"/>
      <c r="CZ21" s="533"/>
      <c r="DA21" s="532"/>
      <c r="DB21" s="532"/>
      <c r="DC21" s="532"/>
      <c r="DD21" s="532"/>
      <c r="DE21" s="532"/>
      <c r="DF21" s="532"/>
      <c r="DG21" s="532"/>
      <c r="DH21" s="532"/>
      <c r="DI21" s="532"/>
      <c r="DK21" s="508" t="s">
        <v>453</v>
      </c>
      <c r="DL21" s="506" t="s">
        <v>454</v>
      </c>
    </row>
    <row r="22" spans="2:116" x14ac:dyDescent="0.35">
      <c r="B22" s="535"/>
      <c r="C22" s="535"/>
      <c r="D22" s="533"/>
      <c r="E22" s="533"/>
      <c r="F22" s="533"/>
      <c r="G22" s="533"/>
      <c r="H22" s="533"/>
      <c r="I22" s="533"/>
      <c r="J22" s="533"/>
      <c r="K22" s="533"/>
      <c r="L22" s="533"/>
      <c r="M22" s="533"/>
      <c r="N22" s="533"/>
      <c r="O22" s="533"/>
      <c r="P22" s="533"/>
      <c r="Q22" s="533"/>
      <c r="R22" s="533"/>
      <c r="S22" s="533"/>
      <c r="T22" s="533"/>
      <c r="U22" s="533"/>
      <c r="V22" s="533"/>
      <c r="W22" s="533"/>
      <c r="X22" s="533"/>
      <c r="Y22" s="533"/>
      <c r="Z22" s="533"/>
      <c r="AA22" s="533"/>
      <c r="AB22" s="533"/>
      <c r="AC22" s="533"/>
      <c r="AD22" s="533"/>
      <c r="AE22" s="533"/>
      <c r="AF22" s="533"/>
      <c r="AG22" s="533"/>
      <c r="AH22" s="533"/>
      <c r="AI22" s="533"/>
      <c r="AJ22" s="533"/>
      <c r="AK22" s="533"/>
      <c r="AL22" s="533"/>
      <c r="AM22" s="533"/>
      <c r="AN22" s="533"/>
      <c r="AO22" s="533"/>
      <c r="AP22" s="533"/>
      <c r="AQ22" s="533"/>
      <c r="AR22" s="533"/>
      <c r="AS22" s="533"/>
      <c r="AT22" s="533"/>
      <c r="AU22" s="533"/>
      <c r="AV22" s="533"/>
      <c r="AW22" s="533"/>
      <c r="AX22" s="533"/>
      <c r="AY22" s="533"/>
      <c r="AZ22" s="533"/>
      <c r="BA22" s="533"/>
      <c r="BB22" s="533"/>
      <c r="BC22" s="533"/>
      <c r="BD22" s="533"/>
      <c r="BE22" s="533"/>
      <c r="BF22" s="533"/>
      <c r="BG22" s="533"/>
      <c r="BH22" s="533"/>
      <c r="BI22" s="533"/>
      <c r="BJ22" s="533"/>
      <c r="BK22" s="533"/>
      <c r="BL22" s="533"/>
      <c r="BM22" s="533"/>
      <c r="BN22" s="533"/>
      <c r="BO22" s="533"/>
      <c r="BP22" s="533"/>
      <c r="BQ22" s="533"/>
      <c r="BR22" s="533"/>
      <c r="BS22" s="533"/>
      <c r="BT22" s="533"/>
      <c r="BU22" s="533"/>
      <c r="BV22" s="533"/>
      <c r="BW22" s="533"/>
      <c r="BX22" s="533"/>
      <c r="BY22" s="533"/>
      <c r="BZ22" s="533"/>
      <c r="CA22" s="533"/>
      <c r="CB22" s="533"/>
      <c r="CC22" s="533"/>
      <c r="CD22" s="533"/>
      <c r="CE22" s="533"/>
      <c r="CF22" s="533"/>
      <c r="CG22" s="533"/>
      <c r="CH22" s="533"/>
      <c r="CI22" s="533"/>
      <c r="CJ22" s="533"/>
      <c r="CK22" s="533"/>
      <c r="CL22" s="533"/>
      <c r="CM22" s="533"/>
      <c r="CN22" s="533"/>
      <c r="CO22" s="533"/>
      <c r="CP22" s="533"/>
      <c r="CQ22" s="533"/>
      <c r="CR22" s="533"/>
      <c r="CS22" s="533"/>
      <c r="CT22" s="533"/>
      <c r="CU22" s="533"/>
      <c r="CV22" s="533"/>
      <c r="CW22" s="533"/>
      <c r="CX22" s="533"/>
      <c r="CY22" s="533"/>
      <c r="CZ22" s="533"/>
      <c r="DA22" s="533"/>
      <c r="DB22" s="533"/>
      <c r="DC22" s="533"/>
      <c r="DD22" s="533"/>
      <c r="DE22" s="533"/>
      <c r="DF22" s="533"/>
      <c r="DG22" s="533"/>
      <c r="DH22" s="533"/>
      <c r="DI22" s="533"/>
    </row>
    <row r="23" spans="2:116" x14ac:dyDescent="0.35">
      <c r="B23" s="535"/>
      <c r="C23" s="535"/>
      <c r="D23" s="533"/>
      <c r="E23" s="533"/>
      <c r="F23" s="533"/>
      <c r="G23" s="533"/>
      <c r="H23" s="533"/>
      <c r="I23" s="533"/>
      <c r="J23" s="533"/>
      <c r="K23" s="533"/>
      <c r="L23" s="533"/>
      <c r="M23" s="533"/>
      <c r="N23" s="533"/>
      <c r="O23" s="533"/>
      <c r="P23" s="533"/>
      <c r="Q23" s="533"/>
      <c r="R23" s="533"/>
      <c r="S23" s="533"/>
      <c r="T23" s="533"/>
      <c r="U23" s="533"/>
      <c r="V23" s="533"/>
      <c r="W23" s="533"/>
      <c r="X23" s="533"/>
      <c r="Y23" s="533"/>
      <c r="Z23" s="533"/>
      <c r="AA23" s="533"/>
      <c r="AB23" s="533"/>
      <c r="AC23" s="533"/>
      <c r="AD23" s="533"/>
      <c r="AE23" s="533"/>
      <c r="AF23" s="533"/>
      <c r="AG23" s="533"/>
      <c r="AH23" s="533"/>
      <c r="AI23" s="533"/>
      <c r="AJ23" s="533"/>
      <c r="AK23" s="533"/>
      <c r="AL23" s="533"/>
      <c r="AM23" s="533"/>
      <c r="AN23" s="533"/>
      <c r="AO23" s="533"/>
      <c r="AP23" s="533"/>
      <c r="AQ23" s="533"/>
      <c r="AR23" s="533"/>
      <c r="AS23" s="533"/>
      <c r="AT23" s="533"/>
      <c r="AU23" s="533"/>
      <c r="AV23" s="533"/>
      <c r="AW23" s="533"/>
      <c r="AX23" s="533"/>
      <c r="AY23" s="533"/>
      <c r="AZ23" s="533"/>
      <c r="BA23" s="533"/>
      <c r="BB23" s="533"/>
      <c r="BC23" s="533"/>
      <c r="BD23" s="533"/>
      <c r="BE23" s="533"/>
      <c r="BF23" s="533"/>
      <c r="BG23" s="533"/>
      <c r="BH23" s="533"/>
      <c r="BI23" s="533"/>
      <c r="BJ23" s="533"/>
      <c r="BK23" s="533"/>
      <c r="BL23" s="533"/>
      <c r="BM23" s="533"/>
      <c r="BN23" s="533"/>
      <c r="BO23" s="533"/>
      <c r="BP23" s="533"/>
      <c r="BQ23" s="533"/>
      <c r="BR23" s="533"/>
      <c r="BS23" s="533"/>
      <c r="BT23" s="533"/>
      <c r="BU23" s="533"/>
      <c r="BV23" s="533"/>
      <c r="BW23" s="533"/>
      <c r="BX23" s="533"/>
      <c r="BY23" s="533"/>
      <c r="BZ23" s="533"/>
      <c r="CA23" s="533"/>
      <c r="CB23" s="533"/>
      <c r="CC23" s="533"/>
      <c r="CD23" s="533"/>
      <c r="CE23" s="533"/>
      <c r="CF23" s="533"/>
      <c r="CG23" s="533"/>
      <c r="CH23" s="533"/>
      <c r="CI23" s="533"/>
      <c r="CJ23" s="533"/>
      <c r="CK23" s="533"/>
      <c r="CL23" s="533"/>
      <c r="CM23" s="533"/>
      <c r="CN23" s="533"/>
      <c r="CO23" s="533"/>
      <c r="CP23" s="533"/>
      <c r="CQ23" s="533"/>
      <c r="CR23" s="533"/>
      <c r="CS23" s="533"/>
      <c r="CT23" s="533"/>
      <c r="CU23" s="533"/>
      <c r="CV23" s="533"/>
      <c r="CW23" s="533"/>
      <c r="CX23" s="533"/>
      <c r="CY23" s="533"/>
      <c r="CZ23" s="533"/>
      <c r="DA23" s="533"/>
      <c r="DB23" s="533"/>
      <c r="DC23" s="533"/>
      <c r="DD23" s="533"/>
      <c r="DE23" s="533"/>
      <c r="DF23" s="533"/>
      <c r="DG23" s="533"/>
      <c r="DH23" s="533"/>
      <c r="DI23" s="533"/>
    </row>
    <row r="24" spans="2:116" x14ac:dyDescent="0.35">
      <c r="B24" s="535"/>
      <c r="C24" s="535"/>
      <c r="D24" s="533"/>
      <c r="E24" s="533"/>
      <c r="F24" s="533"/>
      <c r="G24" s="533"/>
      <c r="H24" s="533"/>
      <c r="I24" s="533"/>
      <c r="J24" s="533"/>
      <c r="K24" s="533"/>
      <c r="L24" s="533"/>
      <c r="M24" s="533"/>
      <c r="N24" s="533"/>
      <c r="O24" s="533"/>
      <c r="P24" s="533"/>
      <c r="Q24" s="533"/>
      <c r="R24" s="533"/>
      <c r="S24" s="533"/>
      <c r="T24" s="533"/>
      <c r="U24" s="533"/>
      <c r="V24" s="533"/>
      <c r="W24" s="533"/>
      <c r="X24" s="533"/>
      <c r="Y24" s="533"/>
      <c r="Z24" s="533"/>
      <c r="AA24" s="533"/>
      <c r="AB24" s="533"/>
      <c r="AC24" s="533"/>
      <c r="AD24" s="533"/>
      <c r="AE24" s="533"/>
      <c r="AF24" s="533"/>
      <c r="AG24" s="533"/>
      <c r="AH24" s="533"/>
      <c r="AI24" s="533"/>
      <c r="AJ24" s="533"/>
      <c r="AK24" s="533"/>
      <c r="AL24" s="533"/>
      <c r="AM24" s="533"/>
      <c r="AN24" s="533"/>
      <c r="AO24" s="533"/>
      <c r="AP24" s="533"/>
      <c r="AQ24" s="533"/>
      <c r="AR24" s="533"/>
      <c r="AS24" s="533"/>
      <c r="AT24" s="533"/>
      <c r="AU24" s="533"/>
      <c r="AV24" s="533"/>
      <c r="AW24" s="533"/>
      <c r="AX24" s="533"/>
      <c r="AY24" s="533"/>
      <c r="AZ24" s="533"/>
      <c r="BA24" s="533"/>
      <c r="BB24" s="533"/>
      <c r="BC24" s="533"/>
      <c r="BD24" s="533"/>
      <c r="BE24" s="533"/>
      <c r="BF24" s="533"/>
      <c r="BG24" s="533"/>
      <c r="BH24" s="533"/>
      <c r="BI24" s="533"/>
      <c r="BJ24" s="533"/>
      <c r="BK24" s="533"/>
      <c r="BL24" s="533"/>
      <c r="BM24" s="533"/>
      <c r="BN24" s="533"/>
      <c r="BO24" s="533"/>
      <c r="BP24" s="533"/>
      <c r="BQ24" s="533"/>
      <c r="BR24" s="533"/>
      <c r="BS24" s="533"/>
      <c r="BT24" s="533"/>
      <c r="BU24" s="533"/>
      <c r="BV24" s="533"/>
      <c r="BW24" s="533"/>
      <c r="BX24" s="533"/>
      <c r="BY24" s="533"/>
      <c r="BZ24" s="533"/>
      <c r="CA24" s="533"/>
      <c r="CB24" s="533"/>
      <c r="CC24" s="533"/>
      <c r="CD24" s="533"/>
      <c r="CE24" s="533"/>
      <c r="CF24" s="533"/>
      <c r="CG24" s="533"/>
      <c r="CH24" s="533"/>
      <c r="CI24" s="533"/>
      <c r="CJ24" s="533"/>
      <c r="CK24" s="533"/>
      <c r="CL24" s="533"/>
      <c r="CM24" s="533"/>
      <c r="CN24" s="533"/>
      <c r="CO24" s="533"/>
      <c r="CP24" s="533"/>
      <c r="CQ24" s="533"/>
      <c r="CR24" s="533"/>
      <c r="CS24" s="533"/>
      <c r="CT24" s="533"/>
      <c r="CU24" s="533"/>
      <c r="CV24" s="533"/>
      <c r="CW24" s="533"/>
      <c r="CX24" s="533"/>
      <c r="CY24" s="533"/>
      <c r="CZ24" s="533"/>
      <c r="DA24" s="533"/>
      <c r="DB24" s="533"/>
      <c r="DC24" s="533"/>
      <c r="DD24" s="533"/>
      <c r="DE24" s="533"/>
      <c r="DF24" s="533"/>
      <c r="DG24" s="533"/>
      <c r="DH24" s="533"/>
      <c r="DI24" s="533"/>
    </row>
    <row r="25" spans="2:116" x14ac:dyDescent="0.35">
      <c r="B25" s="535"/>
      <c r="C25" s="535"/>
      <c r="D25" s="533"/>
      <c r="E25" s="533"/>
      <c r="F25" s="533"/>
      <c r="G25" s="533"/>
      <c r="H25" s="533"/>
      <c r="I25" s="533"/>
      <c r="J25" s="533"/>
      <c r="K25" s="533"/>
      <c r="L25" s="533"/>
      <c r="M25" s="533"/>
      <c r="N25" s="533"/>
      <c r="O25" s="533"/>
      <c r="P25" s="533"/>
      <c r="Q25" s="533"/>
      <c r="R25" s="533"/>
      <c r="S25" s="533"/>
      <c r="T25" s="533"/>
      <c r="U25" s="533"/>
      <c r="V25" s="533"/>
      <c r="W25" s="533"/>
      <c r="X25" s="533"/>
      <c r="Y25" s="533"/>
      <c r="Z25" s="533"/>
      <c r="AA25" s="533"/>
      <c r="AB25" s="533"/>
      <c r="AC25" s="533"/>
      <c r="AD25" s="533"/>
      <c r="AE25" s="533"/>
      <c r="AF25" s="533"/>
      <c r="AG25" s="533"/>
      <c r="AH25" s="533"/>
      <c r="AI25" s="533"/>
      <c r="AJ25" s="533"/>
      <c r="AK25" s="533"/>
      <c r="AL25" s="533"/>
      <c r="AM25" s="533"/>
      <c r="AN25" s="533"/>
      <c r="AO25" s="533"/>
      <c r="AP25" s="533"/>
      <c r="AQ25" s="533"/>
      <c r="AR25" s="533"/>
      <c r="AS25" s="533"/>
      <c r="AT25" s="533"/>
      <c r="AU25" s="533"/>
      <c r="AV25" s="533"/>
      <c r="AW25" s="533"/>
      <c r="AX25" s="533"/>
      <c r="AY25" s="533"/>
      <c r="AZ25" s="533"/>
      <c r="BA25" s="533"/>
      <c r="BB25" s="533"/>
      <c r="BC25" s="533"/>
      <c r="BD25" s="533"/>
      <c r="BE25" s="533"/>
      <c r="BF25" s="533"/>
      <c r="BG25" s="533"/>
      <c r="BH25" s="533"/>
      <c r="BI25" s="533"/>
      <c r="BJ25" s="533"/>
      <c r="BK25" s="533"/>
      <c r="BL25" s="533"/>
      <c r="BM25" s="533"/>
      <c r="BN25" s="533"/>
      <c r="BO25" s="533"/>
      <c r="BP25" s="533"/>
      <c r="BQ25" s="533"/>
      <c r="BR25" s="533"/>
      <c r="BS25" s="533"/>
      <c r="BT25" s="533"/>
      <c r="BU25" s="533"/>
      <c r="BV25" s="533"/>
      <c r="BW25" s="533"/>
      <c r="BX25" s="533"/>
      <c r="BY25" s="533"/>
      <c r="BZ25" s="533"/>
      <c r="CA25" s="533"/>
      <c r="CB25" s="533"/>
      <c r="CC25" s="533"/>
      <c r="CD25" s="533"/>
      <c r="CE25" s="533"/>
      <c r="CF25" s="533"/>
      <c r="CG25" s="533"/>
      <c r="CH25" s="533"/>
      <c r="CI25" s="533"/>
      <c r="CJ25" s="533"/>
      <c r="CK25" s="533"/>
      <c r="CL25" s="533"/>
      <c r="CM25" s="533"/>
      <c r="CN25" s="533"/>
      <c r="CO25" s="533"/>
      <c r="CP25" s="533"/>
      <c r="CQ25" s="533"/>
      <c r="CR25" s="533"/>
      <c r="CS25" s="533"/>
      <c r="CT25" s="533"/>
      <c r="CU25" s="533"/>
      <c r="CV25" s="533"/>
      <c r="CW25" s="533"/>
      <c r="CX25" s="533"/>
      <c r="CY25" s="533"/>
      <c r="CZ25" s="533"/>
      <c r="DA25" s="533"/>
      <c r="DB25" s="533"/>
      <c r="DC25" s="533"/>
      <c r="DD25" s="533"/>
      <c r="DE25" s="533"/>
      <c r="DF25" s="533"/>
      <c r="DG25" s="533"/>
      <c r="DH25" s="533"/>
      <c r="DI25" s="533"/>
    </row>
    <row r="28" spans="2:116" x14ac:dyDescent="0.35">
      <c r="C28" s="513"/>
    </row>
    <row r="29" spans="2:116" x14ac:dyDescent="0.35">
      <c r="C29" s="514"/>
    </row>
  </sheetData>
  <mergeCells count="5">
    <mergeCell ref="B3:C4"/>
    <mergeCell ref="B5:B8"/>
    <mergeCell ref="B9:B13"/>
    <mergeCell ref="B14:B18"/>
    <mergeCell ref="B19:B21"/>
  </mergeCells>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8CA5-5880-46BB-A905-DB24DA1C23A3}">
  <dimension ref="A1:F337"/>
  <sheetViews>
    <sheetView showGridLines="0" workbookViewId="0">
      <pane ySplit="3" topLeftCell="A215" activePane="bottomLeft" state="frozen"/>
      <selection pane="bottomLeft" activeCell="E354" sqref="E354"/>
    </sheetView>
  </sheetViews>
  <sheetFormatPr defaultColWidth="8.875" defaultRowHeight="18.75" x14ac:dyDescent="0.35"/>
  <cols>
    <col min="1" max="1" width="8.375" style="65" customWidth="1"/>
    <col min="2" max="2" width="10.125" style="509" bestFit="1" customWidth="1"/>
    <col min="3" max="3" width="7.375" style="515" customWidth="1"/>
    <col min="4" max="6" width="30.625" style="65" customWidth="1"/>
    <col min="7" max="16384" width="8.875" style="65"/>
  </cols>
  <sheetData>
    <row r="1" spans="1:6" ht="9.6" customHeight="1" x14ac:dyDescent="0.35">
      <c r="C1" s="510"/>
      <c r="D1" s="510"/>
      <c r="E1" s="510"/>
      <c r="F1" s="510"/>
    </row>
    <row r="2" spans="1:6" ht="18" customHeight="1" x14ac:dyDescent="0.35">
      <c r="A2" s="510"/>
      <c r="B2" s="511" t="s">
        <v>455</v>
      </c>
      <c r="C2" s="510"/>
      <c r="D2" s="510"/>
      <c r="E2" s="510"/>
      <c r="F2" s="510"/>
    </row>
    <row r="3" spans="1:6" ht="23.45" customHeight="1" x14ac:dyDescent="0.35">
      <c r="B3" s="516" t="s">
        <v>456</v>
      </c>
      <c r="C3" s="516" t="s">
        <v>457</v>
      </c>
      <c r="D3" s="517" t="s">
        <v>458</v>
      </c>
      <c r="E3" s="517" t="s">
        <v>459</v>
      </c>
      <c r="F3" s="517" t="s">
        <v>460</v>
      </c>
    </row>
    <row r="4" spans="1:6" x14ac:dyDescent="0.35">
      <c r="A4" s="512" t="s">
        <v>461</v>
      </c>
      <c r="B4" s="518">
        <v>45931</v>
      </c>
      <c r="C4" s="518" t="str">
        <f>TEXT(B4,"aaa")</f>
        <v>水</v>
      </c>
      <c r="D4" s="519" t="s">
        <v>462</v>
      </c>
      <c r="E4" s="519"/>
      <c r="F4" s="519"/>
    </row>
    <row r="5" spans="1:6" x14ac:dyDescent="0.35">
      <c r="B5" s="520">
        <f t="shared" ref="B5:B68" si="0">B4+1</f>
        <v>45932</v>
      </c>
      <c r="C5" s="520" t="str">
        <f t="shared" ref="C5:C68" si="1">TEXT(B5,"aaa")</f>
        <v>木</v>
      </c>
      <c r="D5" s="521"/>
      <c r="E5" s="522" t="s">
        <v>463</v>
      </c>
      <c r="F5" s="521"/>
    </row>
    <row r="6" spans="1:6" x14ac:dyDescent="0.35">
      <c r="B6" s="520">
        <f t="shared" si="0"/>
        <v>45933</v>
      </c>
      <c r="C6" s="520" t="str">
        <f t="shared" si="1"/>
        <v>金</v>
      </c>
      <c r="D6" s="521"/>
      <c r="E6" s="522" t="s">
        <v>464</v>
      </c>
      <c r="F6" s="523" t="s">
        <v>465</v>
      </c>
    </row>
    <row r="7" spans="1:6" ht="18" customHeight="1" x14ac:dyDescent="0.35">
      <c r="B7" s="524">
        <f t="shared" si="0"/>
        <v>45934</v>
      </c>
      <c r="C7" s="524" t="str">
        <f t="shared" si="1"/>
        <v>土</v>
      </c>
      <c r="D7" s="521"/>
      <c r="E7" s="521"/>
      <c r="F7" s="521"/>
    </row>
    <row r="8" spans="1:6" x14ac:dyDescent="0.35">
      <c r="B8" s="525">
        <f t="shared" si="0"/>
        <v>45935</v>
      </c>
      <c r="C8" s="525" t="str">
        <f t="shared" si="1"/>
        <v>日</v>
      </c>
      <c r="D8" s="521"/>
      <c r="E8" s="521"/>
      <c r="F8" s="521"/>
    </row>
    <row r="9" spans="1:6" x14ac:dyDescent="0.35">
      <c r="B9" s="520">
        <f t="shared" si="0"/>
        <v>45936</v>
      </c>
      <c r="C9" s="520" t="str">
        <f t="shared" si="1"/>
        <v>月</v>
      </c>
      <c r="D9" s="521"/>
      <c r="E9" s="521"/>
      <c r="F9" s="521"/>
    </row>
    <row r="10" spans="1:6" x14ac:dyDescent="0.35">
      <c r="B10" s="520">
        <f t="shared" si="0"/>
        <v>45937</v>
      </c>
      <c r="C10" s="520" t="str">
        <f t="shared" si="1"/>
        <v>火</v>
      </c>
      <c r="D10" s="521"/>
      <c r="E10" s="521"/>
      <c r="F10" s="521"/>
    </row>
    <row r="11" spans="1:6" x14ac:dyDescent="0.35">
      <c r="B11" s="520">
        <f t="shared" si="0"/>
        <v>45938</v>
      </c>
      <c r="C11" s="520" t="str">
        <f t="shared" si="1"/>
        <v>水</v>
      </c>
      <c r="D11" s="584" t="s">
        <v>433</v>
      </c>
      <c r="E11" s="584"/>
      <c r="F11" s="584"/>
    </row>
    <row r="12" spans="1:6" x14ac:dyDescent="0.35">
      <c r="B12" s="520">
        <f>B11+1</f>
        <v>45939</v>
      </c>
      <c r="C12" s="520" t="str">
        <f t="shared" si="1"/>
        <v>木</v>
      </c>
      <c r="D12" s="521"/>
      <c r="E12" s="521"/>
      <c r="F12" s="521"/>
    </row>
    <row r="13" spans="1:6" x14ac:dyDescent="0.35">
      <c r="B13" s="520">
        <f t="shared" si="0"/>
        <v>45940</v>
      </c>
      <c r="C13" s="520" t="str">
        <f t="shared" si="1"/>
        <v>金</v>
      </c>
      <c r="D13" s="521"/>
      <c r="E13" s="521"/>
      <c r="F13" s="521"/>
    </row>
    <row r="14" spans="1:6" ht="18" customHeight="1" x14ac:dyDescent="0.35">
      <c r="B14" s="524">
        <f t="shared" si="0"/>
        <v>45941</v>
      </c>
      <c r="C14" s="524" t="str">
        <f t="shared" si="1"/>
        <v>土</v>
      </c>
      <c r="D14" s="521"/>
      <c r="E14" s="521"/>
      <c r="F14" s="521"/>
    </row>
    <row r="15" spans="1:6" x14ac:dyDescent="0.35">
      <c r="B15" s="525">
        <f t="shared" si="0"/>
        <v>45942</v>
      </c>
      <c r="C15" s="525" t="str">
        <f t="shared" si="1"/>
        <v>日</v>
      </c>
      <c r="D15" s="521"/>
      <c r="E15" s="521"/>
      <c r="F15" s="521"/>
    </row>
    <row r="16" spans="1:6" x14ac:dyDescent="0.35">
      <c r="B16" s="526">
        <f t="shared" si="0"/>
        <v>45943</v>
      </c>
      <c r="C16" s="526" t="str">
        <f t="shared" si="1"/>
        <v>月</v>
      </c>
      <c r="D16" s="521"/>
      <c r="E16" s="521"/>
      <c r="F16" s="521"/>
    </row>
    <row r="17" spans="2:6" x14ac:dyDescent="0.35">
      <c r="B17" s="520">
        <f t="shared" si="0"/>
        <v>45944</v>
      </c>
      <c r="C17" s="520" t="str">
        <f t="shared" si="1"/>
        <v>火</v>
      </c>
      <c r="D17" s="521"/>
      <c r="E17" s="522" t="s">
        <v>435</v>
      </c>
      <c r="F17" s="521"/>
    </row>
    <row r="18" spans="2:6" x14ac:dyDescent="0.35">
      <c r="B18" s="520">
        <f t="shared" si="0"/>
        <v>45945</v>
      </c>
      <c r="C18" s="520" t="str">
        <f t="shared" si="1"/>
        <v>水</v>
      </c>
      <c r="D18" s="521"/>
      <c r="E18" s="522" t="s">
        <v>466</v>
      </c>
      <c r="F18" s="521"/>
    </row>
    <row r="19" spans="2:6" x14ac:dyDescent="0.35">
      <c r="B19" s="520">
        <f t="shared" si="0"/>
        <v>45946</v>
      </c>
      <c r="C19" s="520" t="str">
        <f t="shared" si="1"/>
        <v>木</v>
      </c>
      <c r="D19" s="521"/>
      <c r="E19" s="521"/>
      <c r="F19" s="521"/>
    </row>
    <row r="20" spans="2:6" x14ac:dyDescent="0.35">
      <c r="B20" s="520">
        <f t="shared" si="0"/>
        <v>45947</v>
      </c>
      <c r="C20" s="520" t="str">
        <f t="shared" si="1"/>
        <v>金</v>
      </c>
      <c r="D20" s="522" t="s">
        <v>467</v>
      </c>
      <c r="E20" s="527" t="s">
        <v>468</v>
      </c>
      <c r="F20" s="522" t="s">
        <v>469</v>
      </c>
    </row>
    <row r="21" spans="2:6" ht="18" customHeight="1" x14ac:dyDescent="0.35">
      <c r="B21" s="524">
        <f t="shared" si="0"/>
        <v>45948</v>
      </c>
      <c r="C21" s="524" t="str">
        <f t="shared" si="1"/>
        <v>土</v>
      </c>
      <c r="D21" s="521"/>
      <c r="E21" s="521"/>
      <c r="F21" s="521"/>
    </row>
    <row r="22" spans="2:6" ht="18.75" customHeight="1" x14ac:dyDescent="0.35">
      <c r="B22" s="525">
        <f t="shared" si="0"/>
        <v>45949</v>
      </c>
      <c r="C22" s="525" t="str">
        <f t="shared" si="1"/>
        <v>日</v>
      </c>
      <c r="D22" s="521"/>
      <c r="E22" s="521"/>
      <c r="F22" s="521"/>
    </row>
    <row r="23" spans="2:6" x14ac:dyDescent="0.35">
      <c r="B23" s="520">
        <f t="shared" si="0"/>
        <v>45950</v>
      </c>
      <c r="C23" s="520" t="str">
        <f t="shared" si="1"/>
        <v>月</v>
      </c>
      <c r="D23" s="521"/>
      <c r="E23" s="521"/>
      <c r="F23" s="521"/>
    </row>
    <row r="24" spans="2:6" x14ac:dyDescent="0.35">
      <c r="B24" s="520">
        <f t="shared" si="0"/>
        <v>45951</v>
      </c>
      <c r="C24" s="520" t="str">
        <f t="shared" si="1"/>
        <v>火</v>
      </c>
      <c r="D24" s="521"/>
      <c r="E24" s="521"/>
      <c r="F24" s="521"/>
    </row>
    <row r="25" spans="2:6" x14ac:dyDescent="0.35">
      <c r="B25" s="520">
        <f t="shared" si="0"/>
        <v>45952</v>
      </c>
      <c r="C25" s="520" t="str">
        <f t="shared" si="1"/>
        <v>水</v>
      </c>
      <c r="D25" s="521"/>
      <c r="E25" s="522" t="s">
        <v>470</v>
      </c>
      <c r="F25" s="521"/>
    </row>
    <row r="26" spans="2:6" ht="18" customHeight="1" x14ac:dyDescent="0.35">
      <c r="B26" s="520">
        <f t="shared" si="0"/>
        <v>45953</v>
      </c>
      <c r="C26" s="520" t="str">
        <f t="shared" si="1"/>
        <v>木</v>
      </c>
      <c r="D26" s="521"/>
      <c r="E26" s="521"/>
      <c r="F26" s="521"/>
    </row>
    <row r="27" spans="2:6" x14ac:dyDescent="0.35">
      <c r="B27" s="520">
        <f t="shared" si="0"/>
        <v>45954</v>
      </c>
      <c r="C27" s="520" t="str">
        <f t="shared" si="1"/>
        <v>金</v>
      </c>
      <c r="D27" s="521"/>
      <c r="E27" s="521"/>
      <c r="F27" s="521"/>
    </row>
    <row r="28" spans="2:6" x14ac:dyDescent="0.35">
      <c r="B28" s="524">
        <f t="shared" si="0"/>
        <v>45955</v>
      </c>
      <c r="C28" s="524" t="str">
        <f t="shared" si="1"/>
        <v>土</v>
      </c>
      <c r="D28" s="521"/>
      <c r="E28" s="521"/>
      <c r="F28" s="521"/>
    </row>
    <row r="29" spans="2:6" x14ac:dyDescent="0.35">
      <c r="B29" s="525">
        <f t="shared" si="0"/>
        <v>45956</v>
      </c>
      <c r="C29" s="525" t="str">
        <f t="shared" si="1"/>
        <v>日</v>
      </c>
      <c r="D29" s="521"/>
      <c r="E29" s="521"/>
      <c r="F29" s="521"/>
    </row>
    <row r="30" spans="2:6" x14ac:dyDescent="0.35">
      <c r="B30" s="520">
        <f t="shared" si="0"/>
        <v>45957</v>
      </c>
      <c r="C30" s="520" t="str">
        <f t="shared" si="1"/>
        <v>月</v>
      </c>
      <c r="D30" s="521"/>
      <c r="E30" s="583" t="s">
        <v>471</v>
      </c>
      <c r="F30" s="583"/>
    </row>
    <row r="31" spans="2:6" ht="18.75" customHeight="1" x14ac:dyDescent="0.35">
      <c r="B31" s="520">
        <f t="shared" si="0"/>
        <v>45958</v>
      </c>
      <c r="C31" s="520" t="str">
        <f t="shared" si="1"/>
        <v>火</v>
      </c>
      <c r="D31" s="583" t="s">
        <v>472</v>
      </c>
      <c r="E31" s="522" t="s">
        <v>473</v>
      </c>
      <c r="F31" s="583" t="s">
        <v>472</v>
      </c>
    </row>
    <row r="32" spans="2:6" x14ac:dyDescent="0.35">
      <c r="B32" s="520">
        <f t="shared" si="0"/>
        <v>45959</v>
      </c>
      <c r="C32" s="520" t="str">
        <f t="shared" si="1"/>
        <v>水</v>
      </c>
      <c r="D32" s="583"/>
      <c r="E32" s="583" t="s">
        <v>474</v>
      </c>
      <c r="F32" s="583"/>
    </row>
    <row r="33" spans="2:6" x14ac:dyDescent="0.35">
      <c r="B33" s="520">
        <f t="shared" si="0"/>
        <v>45960</v>
      </c>
      <c r="C33" s="520" t="str">
        <f t="shared" si="1"/>
        <v>木</v>
      </c>
      <c r="D33" s="583"/>
      <c r="E33" s="583"/>
      <c r="F33" s="583"/>
    </row>
    <row r="34" spans="2:6" x14ac:dyDescent="0.35">
      <c r="B34" s="520">
        <f t="shared" si="0"/>
        <v>45961</v>
      </c>
      <c r="C34" s="520" t="str">
        <f t="shared" si="1"/>
        <v>金</v>
      </c>
      <c r="D34" s="583"/>
      <c r="E34" s="583"/>
      <c r="F34" s="583"/>
    </row>
    <row r="35" spans="2:6" ht="18.75" customHeight="1" x14ac:dyDescent="0.35">
      <c r="B35" s="524">
        <f t="shared" si="0"/>
        <v>45962</v>
      </c>
      <c r="C35" s="524" t="str">
        <f t="shared" si="1"/>
        <v>土</v>
      </c>
      <c r="D35" s="521"/>
      <c r="E35" s="521"/>
      <c r="F35" s="521"/>
    </row>
    <row r="36" spans="2:6" x14ac:dyDescent="0.35">
      <c r="B36" s="525">
        <f t="shared" si="0"/>
        <v>45963</v>
      </c>
      <c r="C36" s="525" t="str">
        <f t="shared" si="1"/>
        <v>日</v>
      </c>
      <c r="D36" s="521"/>
      <c r="E36" s="521"/>
      <c r="F36" s="521"/>
    </row>
    <row r="37" spans="2:6" x14ac:dyDescent="0.35">
      <c r="B37" s="526">
        <f t="shared" si="0"/>
        <v>45964</v>
      </c>
      <c r="C37" s="526" t="str">
        <f t="shared" si="1"/>
        <v>月</v>
      </c>
      <c r="D37" s="521"/>
      <c r="E37" s="521"/>
      <c r="F37" s="521"/>
    </row>
    <row r="38" spans="2:6" ht="18.75" customHeight="1" x14ac:dyDescent="0.35">
      <c r="B38" s="520">
        <f t="shared" si="0"/>
        <v>45965</v>
      </c>
      <c r="C38" s="520" t="str">
        <f t="shared" si="1"/>
        <v>火</v>
      </c>
      <c r="D38" s="583" t="s">
        <v>475</v>
      </c>
      <c r="E38" s="583" t="s">
        <v>474</v>
      </c>
      <c r="F38" s="583" t="s">
        <v>472</v>
      </c>
    </row>
    <row r="39" spans="2:6" x14ac:dyDescent="0.35">
      <c r="B39" s="520">
        <f t="shared" si="0"/>
        <v>45966</v>
      </c>
      <c r="C39" s="520" t="str">
        <f t="shared" si="1"/>
        <v>水</v>
      </c>
      <c r="D39" s="583"/>
      <c r="E39" s="583"/>
      <c r="F39" s="583"/>
    </row>
    <row r="40" spans="2:6" x14ac:dyDescent="0.35">
      <c r="B40" s="520">
        <f t="shared" si="0"/>
        <v>45967</v>
      </c>
      <c r="C40" s="520" t="str">
        <f t="shared" si="1"/>
        <v>木</v>
      </c>
      <c r="D40" s="583"/>
      <c r="E40" s="583"/>
      <c r="F40" s="583"/>
    </row>
    <row r="41" spans="2:6" x14ac:dyDescent="0.35">
      <c r="B41" s="520">
        <f t="shared" si="0"/>
        <v>45968</v>
      </c>
      <c r="C41" s="520" t="str">
        <f t="shared" si="1"/>
        <v>金</v>
      </c>
      <c r="D41" s="583"/>
      <c r="E41" s="583"/>
      <c r="F41" s="583"/>
    </row>
    <row r="42" spans="2:6" ht="18" customHeight="1" x14ac:dyDescent="0.35">
      <c r="B42" s="524">
        <f t="shared" si="0"/>
        <v>45969</v>
      </c>
      <c r="C42" s="524" t="str">
        <f t="shared" si="1"/>
        <v>土</v>
      </c>
      <c r="D42" s="521"/>
      <c r="E42" s="521"/>
      <c r="F42" s="521"/>
    </row>
    <row r="43" spans="2:6" x14ac:dyDescent="0.35">
      <c r="B43" s="525">
        <f t="shared" si="0"/>
        <v>45970</v>
      </c>
      <c r="C43" s="525" t="str">
        <f t="shared" si="1"/>
        <v>日</v>
      </c>
      <c r="D43" s="521"/>
      <c r="E43" s="521"/>
      <c r="F43" s="521"/>
    </row>
    <row r="44" spans="2:6" x14ac:dyDescent="0.35">
      <c r="B44" s="520">
        <f t="shared" si="0"/>
        <v>45971</v>
      </c>
      <c r="C44" s="520" t="str">
        <f t="shared" si="1"/>
        <v>月</v>
      </c>
      <c r="D44" s="583" t="s">
        <v>472</v>
      </c>
      <c r="E44" s="583" t="s">
        <v>474</v>
      </c>
      <c r="F44" s="583" t="s">
        <v>472</v>
      </c>
    </row>
    <row r="45" spans="2:6" x14ac:dyDescent="0.35">
      <c r="B45" s="520">
        <f t="shared" si="0"/>
        <v>45972</v>
      </c>
      <c r="C45" s="520" t="str">
        <f t="shared" si="1"/>
        <v>火</v>
      </c>
      <c r="D45" s="583"/>
      <c r="E45" s="583"/>
      <c r="F45" s="583"/>
    </row>
    <row r="46" spans="2:6" x14ac:dyDescent="0.35">
      <c r="B46" s="520">
        <f t="shared" si="0"/>
        <v>45973</v>
      </c>
      <c r="C46" s="520" t="str">
        <f t="shared" si="1"/>
        <v>水</v>
      </c>
      <c r="D46" s="583" t="s">
        <v>476</v>
      </c>
      <c r="E46" s="583"/>
      <c r="F46" s="583"/>
    </row>
    <row r="47" spans="2:6" x14ac:dyDescent="0.35">
      <c r="B47" s="520">
        <f t="shared" si="0"/>
        <v>45974</v>
      </c>
      <c r="C47" s="520" t="str">
        <f t="shared" si="1"/>
        <v>木</v>
      </c>
      <c r="D47" s="521"/>
      <c r="E47" s="521"/>
      <c r="F47" s="521"/>
    </row>
    <row r="48" spans="2:6" x14ac:dyDescent="0.35">
      <c r="B48" s="520">
        <f t="shared" si="0"/>
        <v>45975</v>
      </c>
      <c r="C48" s="520" t="str">
        <f t="shared" si="1"/>
        <v>金</v>
      </c>
      <c r="D48" s="521"/>
      <c r="E48" s="521"/>
      <c r="F48" s="521"/>
    </row>
    <row r="49" spans="2:6" x14ac:dyDescent="0.35">
      <c r="B49" s="524">
        <f t="shared" si="0"/>
        <v>45976</v>
      </c>
      <c r="C49" s="524" t="str">
        <f t="shared" si="1"/>
        <v>土</v>
      </c>
      <c r="D49" s="521"/>
      <c r="E49" s="521"/>
      <c r="F49" s="521"/>
    </row>
    <row r="50" spans="2:6" x14ac:dyDescent="0.35">
      <c r="B50" s="525">
        <f t="shared" si="0"/>
        <v>45977</v>
      </c>
      <c r="C50" s="525" t="str">
        <f t="shared" si="1"/>
        <v>日</v>
      </c>
      <c r="D50" s="521"/>
      <c r="E50" s="521"/>
      <c r="F50" s="521"/>
    </row>
    <row r="51" spans="2:6" x14ac:dyDescent="0.35">
      <c r="B51" s="520">
        <f t="shared" si="0"/>
        <v>45978</v>
      </c>
      <c r="C51" s="520" t="str">
        <f t="shared" si="1"/>
        <v>月</v>
      </c>
      <c r="D51" s="521"/>
      <c r="E51" s="522" t="s">
        <v>477</v>
      </c>
      <c r="F51" s="522" t="s">
        <v>478</v>
      </c>
    </row>
    <row r="52" spans="2:6" x14ac:dyDescent="0.35">
      <c r="B52" s="520">
        <f t="shared" si="0"/>
        <v>45979</v>
      </c>
      <c r="C52" s="520" t="str">
        <f t="shared" si="1"/>
        <v>火</v>
      </c>
      <c r="D52" s="521"/>
      <c r="E52" s="521"/>
      <c r="F52" s="521"/>
    </row>
    <row r="53" spans="2:6" ht="18.75" customHeight="1" x14ac:dyDescent="0.35">
      <c r="B53" s="520">
        <f t="shared" si="0"/>
        <v>45980</v>
      </c>
      <c r="C53" s="520" t="str">
        <f t="shared" si="1"/>
        <v>水</v>
      </c>
      <c r="D53" s="521"/>
      <c r="E53" s="521"/>
      <c r="F53" s="521"/>
    </row>
    <row r="54" spans="2:6" x14ac:dyDescent="0.35">
      <c r="B54" s="520">
        <f t="shared" si="0"/>
        <v>45981</v>
      </c>
      <c r="C54" s="520" t="str">
        <f t="shared" si="1"/>
        <v>木</v>
      </c>
      <c r="D54" s="521"/>
      <c r="E54" s="521"/>
      <c r="F54" s="521"/>
    </row>
    <row r="55" spans="2:6" x14ac:dyDescent="0.35">
      <c r="B55" s="520">
        <f t="shared" si="0"/>
        <v>45982</v>
      </c>
      <c r="C55" s="520" t="str">
        <f t="shared" si="1"/>
        <v>金</v>
      </c>
      <c r="D55" s="521"/>
      <c r="E55" s="522" t="s">
        <v>479</v>
      </c>
      <c r="F55" s="521"/>
    </row>
    <row r="56" spans="2:6" x14ac:dyDescent="0.35">
      <c r="B56" s="524">
        <f t="shared" si="0"/>
        <v>45983</v>
      </c>
      <c r="C56" s="524" t="str">
        <f t="shared" si="1"/>
        <v>土</v>
      </c>
      <c r="D56" s="521"/>
      <c r="E56" s="521"/>
      <c r="F56" s="521"/>
    </row>
    <row r="57" spans="2:6" x14ac:dyDescent="0.35">
      <c r="B57" s="526">
        <f t="shared" si="0"/>
        <v>45984</v>
      </c>
      <c r="C57" s="526" t="str">
        <f t="shared" si="1"/>
        <v>日</v>
      </c>
      <c r="D57" s="521"/>
      <c r="E57" s="521"/>
      <c r="F57" s="521"/>
    </row>
    <row r="58" spans="2:6" x14ac:dyDescent="0.35">
      <c r="B58" s="526">
        <f t="shared" si="0"/>
        <v>45985</v>
      </c>
      <c r="C58" s="526" t="str">
        <f t="shared" si="1"/>
        <v>月</v>
      </c>
      <c r="D58" s="521"/>
      <c r="E58" s="521"/>
      <c r="F58" s="521"/>
    </row>
    <row r="59" spans="2:6" x14ac:dyDescent="0.35">
      <c r="B59" s="520">
        <f t="shared" si="0"/>
        <v>45986</v>
      </c>
      <c r="C59" s="520" t="str">
        <f t="shared" si="1"/>
        <v>火</v>
      </c>
      <c r="D59" s="521"/>
      <c r="E59" s="522" t="s">
        <v>480</v>
      </c>
      <c r="F59" s="521"/>
    </row>
    <row r="60" spans="2:6" x14ac:dyDescent="0.35">
      <c r="B60" s="520">
        <f t="shared" si="0"/>
        <v>45987</v>
      </c>
      <c r="C60" s="520" t="str">
        <f t="shared" si="1"/>
        <v>水</v>
      </c>
      <c r="D60" s="583" t="s">
        <v>481</v>
      </c>
      <c r="E60" s="583"/>
      <c r="F60" s="583"/>
    </row>
    <row r="61" spans="2:6" x14ac:dyDescent="0.35">
      <c r="B61" s="520">
        <f t="shared" si="0"/>
        <v>45988</v>
      </c>
      <c r="C61" s="520" t="str">
        <f t="shared" si="1"/>
        <v>木</v>
      </c>
      <c r="D61" s="583"/>
      <c r="E61" s="583"/>
      <c r="F61" s="583"/>
    </row>
    <row r="62" spans="2:6" x14ac:dyDescent="0.35">
      <c r="B62" s="520">
        <f t="shared" si="0"/>
        <v>45989</v>
      </c>
      <c r="C62" s="520" t="str">
        <f t="shared" si="1"/>
        <v>金</v>
      </c>
      <c r="D62" s="583"/>
      <c r="E62" s="583"/>
      <c r="F62" s="583"/>
    </row>
    <row r="63" spans="2:6" x14ac:dyDescent="0.35">
      <c r="B63" s="524">
        <f t="shared" si="0"/>
        <v>45990</v>
      </c>
      <c r="C63" s="524" t="str">
        <f t="shared" si="1"/>
        <v>土</v>
      </c>
      <c r="D63" s="521"/>
      <c r="E63" s="521"/>
      <c r="F63" s="521"/>
    </row>
    <row r="64" spans="2:6" x14ac:dyDescent="0.35">
      <c r="B64" s="525">
        <f t="shared" si="0"/>
        <v>45991</v>
      </c>
      <c r="C64" s="525" t="str">
        <f t="shared" si="1"/>
        <v>日</v>
      </c>
      <c r="D64" s="521"/>
      <c r="E64" s="521"/>
      <c r="F64" s="521"/>
    </row>
    <row r="65" spans="2:6" x14ac:dyDescent="0.35">
      <c r="B65" s="520">
        <f t="shared" si="0"/>
        <v>45992</v>
      </c>
      <c r="C65" s="520" t="str">
        <f t="shared" si="1"/>
        <v>月</v>
      </c>
      <c r="D65" s="583" t="s">
        <v>481</v>
      </c>
      <c r="E65" s="583"/>
      <c r="F65" s="583"/>
    </row>
    <row r="66" spans="2:6" x14ac:dyDescent="0.35">
      <c r="B66" s="520">
        <f t="shared" si="0"/>
        <v>45993</v>
      </c>
      <c r="C66" s="520" t="str">
        <f t="shared" si="1"/>
        <v>火</v>
      </c>
      <c r="D66" s="583"/>
      <c r="E66" s="583"/>
      <c r="F66" s="583"/>
    </row>
    <row r="67" spans="2:6" x14ac:dyDescent="0.35">
      <c r="B67" s="520">
        <f t="shared" si="0"/>
        <v>45994</v>
      </c>
      <c r="C67" s="520" t="str">
        <f t="shared" si="1"/>
        <v>水</v>
      </c>
      <c r="D67" s="583"/>
      <c r="E67" s="583"/>
      <c r="F67" s="583"/>
    </row>
    <row r="68" spans="2:6" x14ac:dyDescent="0.35">
      <c r="B68" s="520">
        <f t="shared" si="0"/>
        <v>45995</v>
      </c>
      <c r="C68" s="520" t="str">
        <f t="shared" si="1"/>
        <v>木</v>
      </c>
      <c r="D68" s="583"/>
      <c r="E68" s="583"/>
      <c r="F68" s="583"/>
    </row>
    <row r="69" spans="2:6" x14ac:dyDescent="0.35">
      <c r="B69" s="520">
        <f t="shared" ref="B69:B132" si="2">B68+1</f>
        <v>45996</v>
      </c>
      <c r="C69" s="520" t="str">
        <f t="shared" ref="C69:C132" si="3">TEXT(B69,"aaa")</f>
        <v>金</v>
      </c>
      <c r="D69" s="583"/>
      <c r="E69" s="583"/>
      <c r="F69" s="583"/>
    </row>
    <row r="70" spans="2:6" x14ac:dyDescent="0.35">
      <c r="B70" s="524">
        <f t="shared" si="2"/>
        <v>45997</v>
      </c>
      <c r="C70" s="524" t="str">
        <f t="shared" si="3"/>
        <v>土</v>
      </c>
      <c r="D70" s="521"/>
      <c r="E70" s="521"/>
      <c r="F70" s="521"/>
    </row>
    <row r="71" spans="2:6" x14ac:dyDescent="0.35">
      <c r="B71" s="525">
        <f t="shared" si="2"/>
        <v>45998</v>
      </c>
      <c r="C71" s="525" t="str">
        <f t="shared" si="3"/>
        <v>日</v>
      </c>
      <c r="D71" s="521"/>
      <c r="E71" s="521"/>
      <c r="F71" s="521"/>
    </row>
    <row r="72" spans="2:6" x14ac:dyDescent="0.35">
      <c r="B72" s="520">
        <f t="shared" si="2"/>
        <v>45999</v>
      </c>
      <c r="C72" s="520" t="str">
        <f t="shared" si="3"/>
        <v>月</v>
      </c>
      <c r="D72" s="583" t="s">
        <v>481</v>
      </c>
      <c r="E72" s="583"/>
      <c r="F72" s="583"/>
    </row>
    <row r="73" spans="2:6" x14ac:dyDescent="0.35">
      <c r="B73" s="520">
        <f t="shared" si="2"/>
        <v>46000</v>
      </c>
      <c r="C73" s="520" t="str">
        <f t="shared" si="3"/>
        <v>火</v>
      </c>
      <c r="D73" s="583"/>
      <c r="E73" s="583"/>
      <c r="F73" s="583"/>
    </row>
    <row r="74" spans="2:6" x14ac:dyDescent="0.35">
      <c r="B74" s="520">
        <f t="shared" si="2"/>
        <v>46001</v>
      </c>
      <c r="C74" s="520" t="str">
        <f t="shared" si="3"/>
        <v>水</v>
      </c>
      <c r="D74" s="583"/>
      <c r="E74" s="583"/>
      <c r="F74" s="583"/>
    </row>
    <row r="75" spans="2:6" x14ac:dyDescent="0.35">
      <c r="B75" s="520">
        <f t="shared" si="2"/>
        <v>46002</v>
      </c>
      <c r="C75" s="520" t="str">
        <f t="shared" si="3"/>
        <v>木</v>
      </c>
      <c r="D75" s="521"/>
      <c r="E75" s="521"/>
      <c r="F75" s="521"/>
    </row>
    <row r="76" spans="2:6" x14ac:dyDescent="0.35">
      <c r="B76" s="520">
        <f t="shared" si="2"/>
        <v>46003</v>
      </c>
      <c r="C76" s="520" t="str">
        <f t="shared" si="3"/>
        <v>金</v>
      </c>
      <c r="D76" s="585" t="s">
        <v>482</v>
      </c>
      <c r="E76" s="585"/>
      <c r="F76" s="585"/>
    </row>
    <row r="77" spans="2:6" x14ac:dyDescent="0.35">
      <c r="B77" s="524">
        <f t="shared" si="2"/>
        <v>46004</v>
      </c>
      <c r="C77" s="524" t="str">
        <f t="shared" si="3"/>
        <v>土</v>
      </c>
      <c r="D77" s="521"/>
      <c r="E77" s="521"/>
      <c r="F77" s="521"/>
    </row>
    <row r="78" spans="2:6" x14ac:dyDescent="0.35">
      <c r="B78" s="525">
        <f t="shared" si="2"/>
        <v>46005</v>
      </c>
      <c r="C78" s="525" t="str">
        <f t="shared" si="3"/>
        <v>日</v>
      </c>
      <c r="D78" s="521"/>
      <c r="E78" s="521"/>
      <c r="F78" s="521"/>
    </row>
    <row r="79" spans="2:6" x14ac:dyDescent="0.35">
      <c r="B79" s="520">
        <f t="shared" si="2"/>
        <v>46006</v>
      </c>
      <c r="C79" s="520" t="str">
        <f t="shared" si="3"/>
        <v>月</v>
      </c>
      <c r="D79" s="583" t="s">
        <v>483</v>
      </c>
      <c r="E79" s="521"/>
      <c r="F79" s="583" t="s">
        <v>483</v>
      </c>
    </row>
    <row r="80" spans="2:6" x14ac:dyDescent="0.35">
      <c r="B80" s="520">
        <f t="shared" si="2"/>
        <v>46007</v>
      </c>
      <c r="C80" s="520" t="str">
        <f t="shared" si="3"/>
        <v>火</v>
      </c>
      <c r="D80" s="583"/>
      <c r="E80" s="521"/>
      <c r="F80" s="583"/>
    </row>
    <row r="81" spans="1:6" x14ac:dyDescent="0.35">
      <c r="B81" s="520">
        <f t="shared" si="2"/>
        <v>46008</v>
      </c>
      <c r="C81" s="520" t="str">
        <f t="shared" si="3"/>
        <v>水</v>
      </c>
      <c r="D81" s="583"/>
      <c r="E81" s="521"/>
      <c r="F81" s="583"/>
    </row>
    <row r="82" spans="1:6" x14ac:dyDescent="0.35">
      <c r="B82" s="520">
        <f t="shared" si="2"/>
        <v>46009</v>
      </c>
      <c r="C82" s="520" t="str">
        <f t="shared" si="3"/>
        <v>木</v>
      </c>
      <c r="D82" s="583"/>
      <c r="E82" s="521"/>
      <c r="F82" s="583"/>
    </row>
    <row r="83" spans="1:6" x14ac:dyDescent="0.35">
      <c r="B83" s="520">
        <f t="shared" si="2"/>
        <v>46010</v>
      </c>
      <c r="C83" s="520" t="str">
        <f t="shared" si="3"/>
        <v>金</v>
      </c>
      <c r="D83" s="585" t="s">
        <v>484</v>
      </c>
      <c r="E83" s="585"/>
      <c r="F83" s="585"/>
    </row>
    <row r="84" spans="1:6" x14ac:dyDescent="0.35">
      <c r="B84" s="524">
        <f t="shared" si="2"/>
        <v>46011</v>
      </c>
      <c r="C84" s="524" t="str">
        <f t="shared" si="3"/>
        <v>土</v>
      </c>
      <c r="D84" s="521"/>
      <c r="E84" s="521"/>
      <c r="F84" s="521"/>
    </row>
    <row r="85" spans="1:6" x14ac:dyDescent="0.35">
      <c r="B85" s="525">
        <f t="shared" si="2"/>
        <v>46012</v>
      </c>
      <c r="C85" s="525" t="str">
        <f t="shared" si="3"/>
        <v>日</v>
      </c>
      <c r="D85" s="521"/>
      <c r="E85" s="521"/>
      <c r="F85" s="521"/>
    </row>
    <row r="86" spans="1:6" x14ac:dyDescent="0.35">
      <c r="B86" s="520">
        <f t="shared" si="2"/>
        <v>46013</v>
      </c>
      <c r="C86" s="520" t="str">
        <f t="shared" si="3"/>
        <v>月</v>
      </c>
      <c r="D86" s="583" t="s">
        <v>485</v>
      </c>
      <c r="E86" s="583"/>
      <c r="F86" s="521"/>
    </row>
    <row r="87" spans="1:6" x14ac:dyDescent="0.35">
      <c r="B87" s="520">
        <f t="shared" si="2"/>
        <v>46014</v>
      </c>
      <c r="C87" s="520" t="str">
        <f t="shared" si="3"/>
        <v>火</v>
      </c>
      <c r="D87" s="521"/>
      <c r="E87" s="521"/>
      <c r="F87" s="521"/>
    </row>
    <row r="88" spans="1:6" x14ac:dyDescent="0.35">
      <c r="B88" s="520">
        <f t="shared" si="2"/>
        <v>46015</v>
      </c>
      <c r="C88" s="520" t="str">
        <f t="shared" si="3"/>
        <v>水</v>
      </c>
      <c r="D88" s="521"/>
      <c r="E88" s="521"/>
      <c r="F88" s="521"/>
    </row>
    <row r="89" spans="1:6" x14ac:dyDescent="0.35">
      <c r="B89" s="520">
        <f t="shared" si="2"/>
        <v>46016</v>
      </c>
      <c r="C89" s="520" t="str">
        <f t="shared" si="3"/>
        <v>木</v>
      </c>
      <c r="D89" s="521"/>
      <c r="E89" s="521"/>
      <c r="F89" s="521"/>
    </row>
    <row r="90" spans="1:6" x14ac:dyDescent="0.35">
      <c r="B90" s="520">
        <f t="shared" si="2"/>
        <v>46017</v>
      </c>
      <c r="C90" s="520" t="str">
        <f t="shared" si="3"/>
        <v>金</v>
      </c>
      <c r="D90" s="521"/>
      <c r="E90" s="521"/>
      <c r="F90" s="521"/>
    </row>
    <row r="91" spans="1:6" x14ac:dyDescent="0.35">
      <c r="B91" s="524">
        <f t="shared" si="2"/>
        <v>46018</v>
      </c>
      <c r="C91" s="524" t="str">
        <f t="shared" si="3"/>
        <v>土</v>
      </c>
      <c r="D91" s="521"/>
      <c r="E91" s="521"/>
      <c r="F91" s="521"/>
    </row>
    <row r="92" spans="1:6" x14ac:dyDescent="0.35">
      <c r="B92" s="525">
        <f t="shared" si="2"/>
        <v>46019</v>
      </c>
      <c r="C92" s="525" t="str">
        <f t="shared" si="3"/>
        <v>日</v>
      </c>
      <c r="D92" s="521"/>
      <c r="E92" s="521"/>
      <c r="F92" s="521"/>
    </row>
    <row r="93" spans="1:6" x14ac:dyDescent="0.35">
      <c r="B93" s="520">
        <f t="shared" si="2"/>
        <v>46020</v>
      </c>
      <c r="C93" s="520" t="str">
        <f t="shared" si="3"/>
        <v>月</v>
      </c>
      <c r="D93" s="521"/>
      <c r="E93" s="521"/>
      <c r="F93" s="521"/>
    </row>
    <row r="94" spans="1:6" x14ac:dyDescent="0.35">
      <c r="B94" s="520">
        <f t="shared" si="2"/>
        <v>46021</v>
      </c>
      <c r="C94" s="520" t="str">
        <f t="shared" si="3"/>
        <v>火</v>
      </c>
      <c r="D94" s="521"/>
      <c r="E94" s="521"/>
      <c r="F94" s="521"/>
    </row>
    <row r="95" spans="1:6" x14ac:dyDescent="0.35">
      <c r="B95" s="526">
        <f t="shared" si="2"/>
        <v>46022</v>
      </c>
      <c r="C95" s="526" t="str">
        <f t="shared" si="3"/>
        <v>水</v>
      </c>
      <c r="D95" s="521"/>
      <c r="E95" s="521"/>
      <c r="F95" s="521"/>
    </row>
    <row r="96" spans="1:6" x14ac:dyDescent="0.35">
      <c r="A96" s="512" t="s">
        <v>486</v>
      </c>
      <c r="B96" s="526">
        <f t="shared" si="2"/>
        <v>46023</v>
      </c>
      <c r="C96" s="526" t="str">
        <f t="shared" si="3"/>
        <v>木</v>
      </c>
      <c r="D96" s="521"/>
      <c r="E96" s="521"/>
      <c r="F96" s="521"/>
    </row>
    <row r="97" spans="2:6" x14ac:dyDescent="0.35">
      <c r="B97" s="526">
        <f t="shared" si="2"/>
        <v>46024</v>
      </c>
      <c r="C97" s="526" t="str">
        <f t="shared" si="3"/>
        <v>金</v>
      </c>
      <c r="D97" s="521"/>
      <c r="E97" s="521"/>
      <c r="F97" s="521"/>
    </row>
    <row r="98" spans="2:6" x14ac:dyDescent="0.35">
      <c r="B98" s="524">
        <f t="shared" si="2"/>
        <v>46025</v>
      </c>
      <c r="C98" s="524" t="str">
        <f t="shared" si="3"/>
        <v>土</v>
      </c>
      <c r="D98" s="521"/>
      <c r="E98" s="521"/>
      <c r="F98" s="521"/>
    </row>
    <row r="99" spans="2:6" x14ac:dyDescent="0.35">
      <c r="B99" s="525">
        <f t="shared" si="2"/>
        <v>46026</v>
      </c>
      <c r="C99" s="525" t="str">
        <f t="shared" si="3"/>
        <v>日</v>
      </c>
      <c r="D99" s="521"/>
      <c r="E99" s="521"/>
      <c r="F99" s="521"/>
    </row>
    <row r="100" spans="2:6" x14ac:dyDescent="0.35">
      <c r="B100" s="520">
        <f t="shared" si="2"/>
        <v>46027</v>
      </c>
      <c r="C100" s="520" t="str">
        <f t="shared" si="3"/>
        <v>月</v>
      </c>
      <c r="D100" s="521"/>
      <c r="E100" s="521"/>
      <c r="F100" s="521"/>
    </row>
    <row r="101" spans="2:6" x14ac:dyDescent="0.35">
      <c r="B101" s="520">
        <f t="shared" si="2"/>
        <v>46028</v>
      </c>
      <c r="C101" s="520" t="str">
        <f t="shared" si="3"/>
        <v>火</v>
      </c>
      <c r="D101" s="521"/>
      <c r="E101" s="521"/>
      <c r="F101" s="521"/>
    </row>
    <row r="102" spans="2:6" x14ac:dyDescent="0.35">
      <c r="B102" s="520">
        <f t="shared" si="2"/>
        <v>46029</v>
      </c>
      <c r="C102" s="520" t="str">
        <f t="shared" si="3"/>
        <v>水</v>
      </c>
      <c r="D102" s="521"/>
      <c r="E102" s="521"/>
      <c r="F102" s="521"/>
    </row>
    <row r="103" spans="2:6" x14ac:dyDescent="0.35">
      <c r="B103" s="520">
        <f t="shared" si="2"/>
        <v>46030</v>
      </c>
      <c r="C103" s="520" t="str">
        <f t="shared" si="3"/>
        <v>木</v>
      </c>
      <c r="D103" s="521"/>
      <c r="E103" s="521"/>
      <c r="F103" s="521"/>
    </row>
    <row r="104" spans="2:6" x14ac:dyDescent="0.35">
      <c r="B104" s="520">
        <f t="shared" si="2"/>
        <v>46031</v>
      </c>
      <c r="C104" s="520" t="str">
        <f t="shared" si="3"/>
        <v>金</v>
      </c>
      <c r="D104" s="521"/>
      <c r="E104" s="521"/>
      <c r="F104" s="521"/>
    </row>
    <row r="105" spans="2:6" x14ac:dyDescent="0.35">
      <c r="B105" s="524">
        <f t="shared" si="2"/>
        <v>46032</v>
      </c>
      <c r="C105" s="524" t="str">
        <f t="shared" si="3"/>
        <v>土</v>
      </c>
      <c r="D105" s="521"/>
      <c r="E105" s="521"/>
      <c r="F105" s="521"/>
    </row>
    <row r="106" spans="2:6" x14ac:dyDescent="0.35">
      <c r="B106" s="525">
        <f t="shared" si="2"/>
        <v>46033</v>
      </c>
      <c r="C106" s="525" t="str">
        <f t="shared" si="3"/>
        <v>日</v>
      </c>
      <c r="D106" s="521"/>
      <c r="E106" s="521"/>
      <c r="F106" s="521"/>
    </row>
    <row r="107" spans="2:6" x14ac:dyDescent="0.35">
      <c r="B107" s="520">
        <f t="shared" si="2"/>
        <v>46034</v>
      </c>
      <c r="C107" s="520" t="str">
        <f t="shared" si="3"/>
        <v>月</v>
      </c>
      <c r="D107" s="521"/>
      <c r="E107" s="521"/>
      <c r="F107" s="521"/>
    </row>
    <row r="108" spans="2:6" x14ac:dyDescent="0.35">
      <c r="B108" s="520">
        <f t="shared" si="2"/>
        <v>46035</v>
      </c>
      <c r="C108" s="520" t="str">
        <f t="shared" si="3"/>
        <v>火</v>
      </c>
      <c r="D108" s="521"/>
      <c r="E108" s="521"/>
      <c r="F108" s="521"/>
    </row>
    <row r="109" spans="2:6" x14ac:dyDescent="0.35">
      <c r="B109" s="520">
        <f t="shared" si="2"/>
        <v>46036</v>
      </c>
      <c r="C109" s="520" t="str">
        <f t="shared" si="3"/>
        <v>水</v>
      </c>
      <c r="D109" s="521"/>
      <c r="E109" s="521"/>
      <c r="F109" s="521"/>
    </row>
    <row r="110" spans="2:6" x14ac:dyDescent="0.35">
      <c r="B110" s="520">
        <f t="shared" si="2"/>
        <v>46037</v>
      </c>
      <c r="C110" s="520" t="str">
        <f t="shared" si="3"/>
        <v>木</v>
      </c>
      <c r="D110" s="521"/>
      <c r="E110" s="521"/>
      <c r="F110" s="521"/>
    </row>
    <row r="111" spans="2:6" x14ac:dyDescent="0.35">
      <c r="B111" s="520">
        <f t="shared" si="2"/>
        <v>46038</v>
      </c>
      <c r="C111" s="520" t="str">
        <f t="shared" si="3"/>
        <v>金</v>
      </c>
      <c r="D111" s="521"/>
      <c r="E111" s="521"/>
      <c r="F111" s="521"/>
    </row>
    <row r="112" spans="2:6" x14ac:dyDescent="0.35">
      <c r="B112" s="524">
        <f t="shared" si="2"/>
        <v>46039</v>
      </c>
      <c r="C112" s="524" t="str">
        <f t="shared" si="3"/>
        <v>土</v>
      </c>
      <c r="D112" s="521"/>
      <c r="E112" s="521"/>
      <c r="F112" s="521"/>
    </row>
    <row r="113" spans="2:6" x14ac:dyDescent="0.35">
      <c r="B113" s="525">
        <f t="shared" si="2"/>
        <v>46040</v>
      </c>
      <c r="C113" s="525" t="str">
        <f t="shared" si="3"/>
        <v>日</v>
      </c>
      <c r="D113" s="521"/>
      <c r="E113" s="521"/>
      <c r="F113" s="521"/>
    </row>
    <row r="114" spans="2:6" x14ac:dyDescent="0.35">
      <c r="B114" s="520">
        <f t="shared" si="2"/>
        <v>46041</v>
      </c>
      <c r="C114" s="520" t="str">
        <f t="shared" si="3"/>
        <v>月</v>
      </c>
      <c r="D114" s="521"/>
      <c r="E114" s="521"/>
      <c r="F114" s="521"/>
    </row>
    <row r="115" spans="2:6" x14ac:dyDescent="0.35">
      <c r="B115" s="520">
        <f t="shared" si="2"/>
        <v>46042</v>
      </c>
      <c r="C115" s="520" t="str">
        <f t="shared" si="3"/>
        <v>火</v>
      </c>
      <c r="D115" s="521"/>
      <c r="E115" s="521"/>
      <c r="F115" s="521"/>
    </row>
    <row r="116" spans="2:6" x14ac:dyDescent="0.35">
      <c r="B116" s="520">
        <f t="shared" si="2"/>
        <v>46043</v>
      </c>
      <c r="C116" s="520" t="str">
        <f t="shared" si="3"/>
        <v>水</v>
      </c>
      <c r="D116" s="521"/>
      <c r="E116" s="521"/>
      <c r="F116" s="521"/>
    </row>
    <row r="117" spans="2:6" x14ac:dyDescent="0.35">
      <c r="B117" s="520">
        <f t="shared" si="2"/>
        <v>46044</v>
      </c>
      <c r="C117" s="520" t="str">
        <f t="shared" si="3"/>
        <v>木</v>
      </c>
      <c r="D117" s="521"/>
      <c r="E117" s="521"/>
      <c r="F117" s="521"/>
    </row>
    <row r="118" spans="2:6" x14ac:dyDescent="0.35">
      <c r="B118" s="520">
        <f t="shared" si="2"/>
        <v>46045</v>
      </c>
      <c r="C118" s="520" t="str">
        <f t="shared" si="3"/>
        <v>金</v>
      </c>
      <c r="D118" s="521"/>
      <c r="E118" s="521"/>
      <c r="F118" s="521"/>
    </row>
    <row r="119" spans="2:6" x14ac:dyDescent="0.35">
      <c r="B119" s="524">
        <f t="shared" si="2"/>
        <v>46046</v>
      </c>
      <c r="C119" s="524" t="str">
        <f t="shared" si="3"/>
        <v>土</v>
      </c>
      <c r="D119" s="521"/>
      <c r="E119" s="521"/>
      <c r="F119" s="521"/>
    </row>
    <row r="120" spans="2:6" x14ac:dyDescent="0.35">
      <c r="B120" s="525">
        <f t="shared" si="2"/>
        <v>46047</v>
      </c>
      <c r="C120" s="525" t="str">
        <f t="shared" si="3"/>
        <v>日</v>
      </c>
      <c r="D120" s="521"/>
      <c r="E120" s="521"/>
      <c r="F120" s="521"/>
    </row>
    <row r="121" spans="2:6" x14ac:dyDescent="0.35">
      <c r="B121" s="520">
        <f t="shared" si="2"/>
        <v>46048</v>
      </c>
      <c r="C121" s="520" t="str">
        <f t="shared" si="3"/>
        <v>月</v>
      </c>
      <c r="D121" s="521"/>
      <c r="E121" s="521"/>
      <c r="F121" s="521"/>
    </row>
    <row r="122" spans="2:6" x14ac:dyDescent="0.35">
      <c r="B122" s="520">
        <f t="shared" si="2"/>
        <v>46049</v>
      </c>
      <c r="C122" s="520" t="str">
        <f t="shared" si="3"/>
        <v>火</v>
      </c>
      <c r="D122" s="521"/>
      <c r="E122" s="521"/>
      <c r="F122" s="521"/>
    </row>
    <row r="123" spans="2:6" x14ac:dyDescent="0.35">
      <c r="B123" s="520">
        <f t="shared" si="2"/>
        <v>46050</v>
      </c>
      <c r="C123" s="520" t="str">
        <f t="shared" si="3"/>
        <v>水</v>
      </c>
      <c r="D123" s="521"/>
      <c r="E123" s="521"/>
      <c r="F123" s="521"/>
    </row>
    <row r="124" spans="2:6" x14ac:dyDescent="0.35">
      <c r="B124" s="520">
        <f t="shared" si="2"/>
        <v>46051</v>
      </c>
      <c r="C124" s="520" t="str">
        <f t="shared" si="3"/>
        <v>木</v>
      </c>
      <c r="D124" s="521"/>
      <c r="E124" s="521"/>
      <c r="F124" s="521"/>
    </row>
    <row r="125" spans="2:6" x14ac:dyDescent="0.35">
      <c r="B125" s="520">
        <f t="shared" si="2"/>
        <v>46052</v>
      </c>
      <c r="C125" s="520" t="str">
        <f t="shared" si="3"/>
        <v>金</v>
      </c>
      <c r="D125" s="521"/>
      <c r="E125" s="521"/>
      <c r="F125" s="521"/>
    </row>
    <row r="126" spans="2:6" x14ac:dyDescent="0.35">
      <c r="B126" s="524">
        <f t="shared" si="2"/>
        <v>46053</v>
      </c>
      <c r="C126" s="524" t="str">
        <f t="shared" si="3"/>
        <v>土</v>
      </c>
      <c r="D126" s="521"/>
      <c r="E126" s="521"/>
      <c r="F126" s="521"/>
    </row>
    <row r="127" spans="2:6" x14ac:dyDescent="0.35">
      <c r="B127" s="525">
        <f t="shared" si="2"/>
        <v>46054</v>
      </c>
      <c r="C127" s="525" t="str">
        <f t="shared" si="3"/>
        <v>日</v>
      </c>
      <c r="D127" s="521"/>
      <c r="E127" s="521"/>
      <c r="F127" s="521"/>
    </row>
    <row r="128" spans="2:6" x14ac:dyDescent="0.35">
      <c r="B128" s="520">
        <f t="shared" si="2"/>
        <v>46055</v>
      </c>
      <c r="C128" s="520" t="str">
        <f t="shared" si="3"/>
        <v>月</v>
      </c>
      <c r="D128" s="521"/>
      <c r="E128" s="521"/>
      <c r="F128" s="521"/>
    </row>
    <row r="129" spans="2:6" x14ac:dyDescent="0.35">
      <c r="B129" s="520">
        <f t="shared" si="2"/>
        <v>46056</v>
      </c>
      <c r="C129" s="520" t="str">
        <f t="shared" si="3"/>
        <v>火</v>
      </c>
      <c r="D129" s="521"/>
      <c r="E129" s="521"/>
      <c r="F129" s="521"/>
    </row>
    <row r="130" spans="2:6" x14ac:dyDescent="0.35">
      <c r="B130" s="520">
        <f t="shared" si="2"/>
        <v>46057</v>
      </c>
      <c r="C130" s="520" t="str">
        <f t="shared" si="3"/>
        <v>水</v>
      </c>
      <c r="D130" s="521"/>
      <c r="E130" s="521"/>
      <c r="F130" s="521"/>
    </row>
    <row r="131" spans="2:6" x14ac:dyDescent="0.35">
      <c r="B131" s="520">
        <f t="shared" si="2"/>
        <v>46058</v>
      </c>
      <c r="C131" s="520" t="str">
        <f t="shared" si="3"/>
        <v>木</v>
      </c>
      <c r="D131" s="521"/>
      <c r="E131" s="521"/>
      <c r="F131" s="521"/>
    </row>
    <row r="132" spans="2:6" x14ac:dyDescent="0.35">
      <c r="B132" s="520">
        <f t="shared" si="2"/>
        <v>46059</v>
      </c>
      <c r="C132" s="520" t="str">
        <f t="shared" si="3"/>
        <v>金</v>
      </c>
      <c r="D132" s="521"/>
      <c r="E132" s="521"/>
      <c r="F132" s="521"/>
    </row>
    <row r="133" spans="2:6" x14ac:dyDescent="0.35">
      <c r="B133" s="524">
        <f t="shared" ref="B133:B196" si="4">B132+1</f>
        <v>46060</v>
      </c>
      <c r="C133" s="524" t="str">
        <f t="shared" ref="C133:C337" si="5">TEXT(B133,"aaa")</f>
        <v>土</v>
      </c>
      <c r="D133" s="521"/>
      <c r="E133" s="521"/>
      <c r="F133" s="521"/>
    </row>
    <row r="134" spans="2:6" x14ac:dyDescent="0.35">
      <c r="B134" s="525">
        <f t="shared" si="4"/>
        <v>46061</v>
      </c>
      <c r="C134" s="525" t="str">
        <f t="shared" si="5"/>
        <v>日</v>
      </c>
      <c r="D134" s="521"/>
      <c r="E134" s="521"/>
      <c r="F134" s="521"/>
    </row>
    <row r="135" spans="2:6" x14ac:dyDescent="0.35">
      <c r="B135" s="520">
        <f t="shared" si="4"/>
        <v>46062</v>
      </c>
      <c r="C135" s="520" t="str">
        <f t="shared" si="5"/>
        <v>月</v>
      </c>
      <c r="D135" s="521"/>
      <c r="E135" s="521"/>
      <c r="F135" s="521"/>
    </row>
    <row r="136" spans="2:6" x14ac:dyDescent="0.35">
      <c r="B136" s="520">
        <f t="shared" si="4"/>
        <v>46063</v>
      </c>
      <c r="C136" s="520" t="str">
        <f t="shared" si="5"/>
        <v>火</v>
      </c>
      <c r="D136" s="521"/>
      <c r="E136" s="521"/>
      <c r="F136" s="521"/>
    </row>
    <row r="137" spans="2:6" x14ac:dyDescent="0.35">
      <c r="B137" s="526">
        <f t="shared" si="4"/>
        <v>46064</v>
      </c>
      <c r="C137" s="526" t="str">
        <f t="shared" si="5"/>
        <v>水</v>
      </c>
      <c r="D137" s="521"/>
      <c r="E137" s="521"/>
      <c r="F137" s="521"/>
    </row>
    <row r="138" spans="2:6" x14ac:dyDescent="0.35">
      <c r="B138" s="520">
        <f t="shared" si="4"/>
        <v>46065</v>
      </c>
      <c r="C138" s="520" t="str">
        <f t="shared" si="5"/>
        <v>木</v>
      </c>
      <c r="D138" s="521"/>
      <c r="E138" s="521"/>
      <c r="F138" s="521"/>
    </row>
    <row r="139" spans="2:6" x14ac:dyDescent="0.35">
      <c r="B139" s="520">
        <f t="shared" si="4"/>
        <v>46066</v>
      </c>
      <c r="C139" s="520" t="str">
        <f t="shared" si="5"/>
        <v>金</v>
      </c>
      <c r="D139" s="521"/>
      <c r="E139" s="521"/>
      <c r="F139" s="521"/>
    </row>
    <row r="140" spans="2:6" x14ac:dyDescent="0.35">
      <c r="B140" s="524">
        <f t="shared" si="4"/>
        <v>46067</v>
      </c>
      <c r="C140" s="524" t="str">
        <f t="shared" si="5"/>
        <v>土</v>
      </c>
      <c r="D140" s="521"/>
      <c r="E140" s="521"/>
      <c r="F140" s="521"/>
    </row>
    <row r="141" spans="2:6" x14ac:dyDescent="0.35">
      <c r="B141" s="525">
        <f t="shared" si="4"/>
        <v>46068</v>
      </c>
      <c r="C141" s="525" t="str">
        <f t="shared" si="5"/>
        <v>日</v>
      </c>
      <c r="D141" s="521"/>
      <c r="E141" s="521"/>
      <c r="F141" s="521"/>
    </row>
    <row r="142" spans="2:6" x14ac:dyDescent="0.35">
      <c r="B142" s="520">
        <f t="shared" si="4"/>
        <v>46069</v>
      </c>
      <c r="C142" s="520" t="str">
        <f t="shared" si="5"/>
        <v>月</v>
      </c>
      <c r="D142" s="521"/>
      <c r="E142" s="521"/>
      <c r="F142" s="521"/>
    </row>
    <row r="143" spans="2:6" x14ac:dyDescent="0.35">
      <c r="B143" s="520">
        <f t="shared" si="4"/>
        <v>46070</v>
      </c>
      <c r="C143" s="520" t="str">
        <f t="shared" si="5"/>
        <v>火</v>
      </c>
      <c r="D143" s="521"/>
      <c r="E143" s="521"/>
      <c r="F143" s="521"/>
    </row>
    <row r="144" spans="2:6" x14ac:dyDescent="0.35">
      <c r="B144" s="520">
        <f t="shared" si="4"/>
        <v>46071</v>
      </c>
      <c r="C144" s="520" t="str">
        <f t="shared" si="5"/>
        <v>水</v>
      </c>
      <c r="D144" s="521"/>
      <c r="E144" s="521"/>
      <c r="F144" s="521"/>
    </row>
    <row r="145" spans="2:6" x14ac:dyDescent="0.35">
      <c r="B145" s="520">
        <f t="shared" si="4"/>
        <v>46072</v>
      </c>
      <c r="C145" s="520" t="str">
        <f t="shared" si="5"/>
        <v>木</v>
      </c>
      <c r="D145" s="521"/>
      <c r="E145" s="521"/>
      <c r="F145" s="521"/>
    </row>
    <row r="146" spans="2:6" x14ac:dyDescent="0.35">
      <c r="B146" s="520">
        <f t="shared" si="4"/>
        <v>46073</v>
      </c>
      <c r="C146" s="520" t="str">
        <f t="shared" si="5"/>
        <v>金</v>
      </c>
      <c r="D146" s="521"/>
      <c r="E146" s="521"/>
      <c r="F146" s="521"/>
    </row>
    <row r="147" spans="2:6" x14ac:dyDescent="0.35">
      <c r="B147" s="524">
        <f t="shared" si="4"/>
        <v>46074</v>
      </c>
      <c r="C147" s="524" t="str">
        <f t="shared" si="5"/>
        <v>土</v>
      </c>
      <c r="D147" s="521"/>
      <c r="E147" s="521"/>
      <c r="F147" s="521"/>
    </row>
    <row r="148" spans="2:6" x14ac:dyDescent="0.35">
      <c r="B148" s="525">
        <f t="shared" si="4"/>
        <v>46075</v>
      </c>
      <c r="C148" s="525" t="str">
        <f t="shared" si="5"/>
        <v>日</v>
      </c>
      <c r="D148" s="521"/>
      <c r="E148" s="521"/>
      <c r="F148" s="521"/>
    </row>
    <row r="149" spans="2:6" x14ac:dyDescent="0.35">
      <c r="B149" s="526">
        <f t="shared" si="4"/>
        <v>46076</v>
      </c>
      <c r="C149" s="526" t="str">
        <f t="shared" si="5"/>
        <v>月</v>
      </c>
      <c r="D149" s="521"/>
      <c r="E149" s="521"/>
      <c r="F149" s="521"/>
    </row>
    <row r="150" spans="2:6" x14ac:dyDescent="0.35">
      <c r="B150" s="520">
        <f t="shared" si="4"/>
        <v>46077</v>
      </c>
      <c r="C150" s="520" t="str">
        <f t="shared" si="5"/>
        <v>火</v>
      </c>
      <c r="D150" s="521"/>
      <c r="E150" s="521"/>
      <c r="F150" s="521"/>
    </row>
    <row r="151" spans="2:6" x14ac:dyDescent="0.35">
      <c r="B151" s="520">
        <f t="shared" si="4"/>
        <v>46078</v>
      </c>
      <c r="C151" s="520" t="str">
        <f t="shared" si="5"/>
        <v>水</v>
      </c>
      <c r="D151" s="521"/>
      <c r="E151" s="521"/>
      <c r="F151" s="521"/>
    </row>
    <row r="152" spans="2:6" x14ac:dyDescent="0.35">
      <c r="B152" s="520">
        <f t="shared" si="4"/>
        <v>46079</v>
      </c>
      <c r="C152" s="520" t="str">
        <f t="shared" si="5"/>
        <v>木</v>
      </c>
      <c r="D152" s="521"/>
      <c r="E152" s="521"/>
      <c r="F152" s="521"/>
    </row>
    <row r="153" spans="2:6" x14ac:dyDescent="0.35">
      <c r="B153" s="520">
        <f t="shared" si="4"/>
        <v>46080</v>
      </c>
      <c r="C153" s="520" t="str">
        <f t="shared" si="5"/>
        <v>金</v>
      </c>
      <c r="D153" s="521"/>
      <c r="E153" s="521"/>
      <c r="F153" s="521"/>
    </row>
    <row r="154" spans="2:6" x14ac:dyDescent="0.35">
      <c r="B154" s="524">
        <f t="shared" si="4"/>
        <v>46081</v>
      </c>
      <c r="C154" s="524" t="str">
        <f t="shared" si="5"/>
        <v>土</v>
      </c>
      <c r="D154" s="521"/>
      <c r="E154" s="521"/>
      <c r="F154" s="521"/>
    </row>
    <row r="155" spans="2:6" x14ac:dyDescent="0.35">
      <c r="B155" s="525">
        <f t="shared" si="4"/>
        <v>46082</v>
      </c>
      <c r="C155" s="525" t="str">
        <f t="shared" si="5"/>
        <v>日</v>
      </c>
      <c r="D155" s="521"/>
      <c r="E155" s="521"/>
      <c r="F155" s="521"/>
    </row>
    <row r="156" spans="2:6" x14ac:dyDescent="0.35">
      <c r="B156" s="520">
        <f t="shared" si="4"/>
        <v>46083</v>
      </c>
      <c r="C156" s="520" t="str">
        <f t="shared" si="5"/>
        <v>月</v>
      </c>
      <c r="D156" s="521"/>
      <c r="E156" s="521"/>
      <c r="F156" s="521"/>
    </row>
    <row r="157" spans="2:6" x14ac:dyDescent="0.35">
      <c r="B157" s="520">
        <f t="shared" si="4"/>
        <v>46084</v>
      </c>
      <c r="C157" s="520" t="str">
        <f t="shared" si="5"/>
        <v>火</v>
      </c>
      <c r="D157" s="521"/>
      <c r="E157" s="521"/>
      <c r="F157" s="521"/>
    </row>
    <row r="158" spans="2:6" x14ac:dyDescent="0.35">
      <c r="B158" s="520">
        <f t="shared" si="4"/>
        <v>46085</v>
      </c>
      <c r="C158" s="520" t="str">
        <f t="shared" si="5"/>
        <v>水</v>
      </c>
      <c r="D158" s="521"/>
      <c r="E158" s="521"/>
      <c r="F158" s="521"/>
    </row>
    <row r="159" spans="2:6" x14ac:dyDescent="0.35">
      <c r="B159" s="520">
        <f t="shared" si="4"/>
        <v>46086</v>
      </c>
      <c r="C159" s="520" t="str">
        <f t="shared" si="5"/>
        <v>木</v>
      </c>
      <c r="D159" s="521"/>
      <c r="E159" s="521"/>
      <c r="F159" s="521"/>
    </row>
    <row r="160" spans="2:6" x14ac:dyDescent="0.35">
      <c r="B160" s="520">
        <f t="shared" si="4"/>
        <v>46087</v>
      </c>
      <c r="C160" s="520" t="str">
        <f t="shared" si="5"/>
        <v>金</v>
      </c>
      <c r="D160" s="521"/>
      <c r="E160" s="521"/>
      <c r="F160" s="521"/>
    </row>
    <row r="161" spans="2:6" x14ac:dyDescent="0.35">
      <c r="B161" s="524">
        <f t="shared" si="4"/>
        <v>46088</v>
      </c>
      <c r="C161" s="524" t="str">
        <f t="shared" si="5"/>
        <v>土</v>
      </c>
      <c r="D161" s="521"/>
      <c r="E161" s="521"/>
      <c r="F161" s="521"/>
    </row>
    <row r="162" spans="2:6" x14ac:dyDescent="0.35">
      <c r="B162" s="525">
        <f t="shared" si="4"/>
        <v>46089</v>
      </c>
      <c r="C162" s="525" t="str">
        <f t="shared" si="5"/>
        <v>日</v>
      </c>
      <c r="D162" s="521"/>
      <c r="E162" s="521"/>
      <c r="F162" s="521"/>
    </row>
    <row r="163" spans="2:6" x14ac:dyDescent="0.35">
      <c r="B163" s="520">
        <f t="shared" si="4"/>
        <v>46090</v>
      </c>
      <c r="C163" s="520" t="str">
        <f t="shared" si="5"/>
        <v>月</v>
      </c>
      <c r="D163" s="521"/>
      <c r="E163" s="521"/>
      <c r="F163" s="521"/>
    </row>
    <row r="164" spans="2:6" x14ac:dyDescent="0.35">
      <c r="B164" s="520">
        <f t="shared" si="4"/>
        <v>46091</v>
      </c>
      <c r="C164" s="520" t="str">
        <f t="shared" si="5"/>
        <v>火</v>
      </c>
      <c r="D164" s="521"/>
      <c r="E164" s="521"/>
      <c r="F164" s="521"/>
    </row>
    <row r="165" spans="2:6" x14ac:dyDescent="0.35">
      <c r="B165" s="520">
        <f t="shared" si="4"/>
        <v>46092</v>
      </c>
      <c r="C165" s="520" t="str">
        <f t="shared" si="5"/>
        <v>水</v>
      </c>
      <c r="D165" s="521"/>
      <c r="E165" s="521"/>
      <c r="F165" s="521"/>
    </row>
    <row r="166" spans="2:6" x14ac:dyDescent="0.35">
      <c r="B166" s="520">
        <f t="shared" si="4"/>
        <v>46093</v>
      </c>
      <c r="C166" s="520" t="str">
        <f t="shared" si="5"/>
        <v>木</v>
      </c>
      <c r="D166" s="521"/>
      <c r="E166" s="521"/>
      <c r="F166" s="521"/>
    </row>
    <row r="167" spans="2:6" x14ac:dyDescent="0.35">
      <c r="B167" s="520">
        <f t="shared" si="4"/>
        <v>46094</v>
      </c>
      <c r="C167" s="520" t="str">
        <f t="shared" si="5"/>
        <v>金</v>
      </c>
      <c r="D167" s="521"/>
      <c r="E167" s="521"/>
      <c r="F167" s="521"/>
    </row>
    <row r="168" spans="2:6" x14ac:dyDescent="0.35">
      <c r="B168" s="524">
        <f t="shared" si="4"/>
        <v>46095</v>
      </c>
      <c r="C168" s="524" t="str">
        <f t="shared" si="5"/>
        <v>土</v>
      </c>
      <c r="D168" s="521"/>
      <c r="E168" s="521"/>
      <c r="F168" s="521"/>
    </row>
    <row r="169" spans="2:6" x14ac:dyDescent="0.35">
      <c r="B169" s="525">
        <f t="shared" si="4"/>
        <v>46096</v>
      </c>
      <c r="C169" s="525" t="str">
        <f t="shared" si="5"/>
        <v>日</v>
      </c>
      <c r="D169" s="521"/>
      <c r="E169" s="521"/>
      <c r="F169" s="521"/>
    </row>
    <row r="170" spans="2:6" x14ac:dyDescent="0.35">
      <c r="B170" s="520">
        <f t="shared" si="4"/>
        <v>46097</v>
      </c>
      <c r="C170" s="520" t="str">
        <f t="shared" si="5"/>
        <v>月</v>
      </c>
      <c r="D170" s="521"/>
      <c r="E170" s="521"/>
      <c r="F170" s="521"/>
    </row>
    <row r="171" spans="2:6" x14ac:dyDescent="0.35">
      <c r="B171" s="520">
        <f t="shared" si="4"/>
        <v>46098</v>
      </c>
      <c r="C171" s="520" t="str">
        <f t="shared" si="5"/>
        <v>火</v>
      </c>
      <c r="D171" s="521"/>
      <c r="E171" s="521"/>
      <c r="F171" s="521"/>
    </row>
    <row r="172" spans="2:6" x14ac:dyDescent="0.35">
      <c r="B172" s="520">
        <f t="shared" si="4"/>
        <v>46099</v>
      </c>
      <c r="C172" s="520" t="str">
        <f t="shared" si="5"/>
        <v>水</v>
      </c>
      <c r="D172" s="521"/>
      <c r="E172" s="521"/>
      <c r="F172" s="521"/>
    </row>
    <row r="173" spans="2:6" x14ac:dyDescent="0.35">
      <c r="B173" s="520">
        <f t="shared" si="4"/>
        <v>46100</v>
      </c>
      <c r="C173" s="520" t="str">
        <f t="shared" si="5"/>
        <v>木</v>
      </c>
      <c r="D173" s="521"/>
      <c r="E173" s="521"/>
      <c r="F173" s="521"/>
    </row>
    <row r="174" spans="2:6" x14ac:dyDescent="0.35">
      <c r="B174" s="526">
        <f t="shared" si="4"/>
        <v>46101</v>
      </c>
      <c r="C174" s="526" t="str">
        <f t="shared" si="5"/>
        <v>金</v>
      </c>
      <c r="D174" s="521"/>
      <c r="E174" s="521"/>
      <c r="F174" s="521"/>
    </row>
    <row r="175" spans="2:6" x14ac:dyDescent="0.35">
      <c r="B175" s="524">
        <f t="shared" si="4"/>
        <v>46102</v>
      </c>
      <c r="C175" s="524" t="str">
        <f t="shared" si="5"/>
        <v>土</v>
      </c>
      <c r="D175" s="521"/>
      <c r="E175" s="521"/>
      <c r="F175" s="521"/>
    </row>
    <row r="176" spans="2:6" x14ac:dyDescent="0.35">
      <c r="B176" s="525">
        <f t="shared" si="4"/>
        <v>46103</v>
      </c>
      <c r="C176" s="525" t="str">
        <f t="shared" si="5"/>
        <v>日</v>
      </c>
      <c r="D176" s="521"/>
      <c r="E176" s="521"/>
      <c r="F176" s="521"/>
    </row>
    <row r="177" spans="2:6" x14ac:dyDescent="0.35">
      <c r="B177" s="520">
        <f t="shared" si="4"/>
        <v>46104</v>
      </c>
      <c r="C177" s="520" t="str">
        <f t="shared" si="5"/>
        <v>月</v>
      </c>
      <c r="D177" s="521"/>
      <c r="E177" s="521"/>
      <c r="F177" s="521"/>
    </row>
    <row r="178" spans="2:6" x14ac:dyDescent="0.35">
      <c r="B178" s="520">
        <f t="shared" si="4"/>
        <v>46105</v>
      </c>
      <c r="C178" s="520" t="str">
        <f t="shared" si="5"/>
        <v>火</v>
      </c>
      <c r="D178" s="521"/>
      <c r="E178" s="521"/>
      <c r="F178" s="521"/>
    </row>
    <row r="179" spans="2:6" x14ac:dyDescent="0.35">
      <c r="B179" s="520">
        <f t="shared" si="4"/>
        <v>46106</v>
      </c>
      <c r="C179" s="520" t="str">
        <f t="shared" si="5"/>
        <v>水</v>
      </c>
      <c r="D179" s="521"/>
      <c r="E179" s="521"/>
      <c r="F179" s="521"/>
    </row>
    <row r="180" spans="2:6" x14ac:dyDescent="0.35">
      <c r="B180" s="520">
        <f t="shared" si="4"/>
        <v>46107</v>
      </c>
      <c r="C180" s="520" t="str">
        <f t="shared" si="5"/>
        <v>木</v>
      </c>
      <c r="D180" s="521"/>
      <c r="E180" s="521"/>
      <c r="F180" s="521"/>
    </row>
    <row r="181" spans="2:6" x14ac:dyDescent="0.35">
      <c r="B181" s="520">
        <f t="shared" si="4"/>
        <v>46108</v>
      </c>
      <c r="C181" s="520" t="str">
        <f t="shared" si="5"/>
        <v>金</v>
      </c>
      <c r="D181" s="521"/>
      <c r="E181" s="521"/>
      <c r="F181" s="521"/>
    </row>
    <row r="182" spans="2:6" x14ac:dyDescent="0.35">
      <c r="B182" s="524">
        <f t="shared" si="4"/>
        <v>46109</v>
      </c>
      <c r="C182" s="524" t="str">
        <f t="shared" si="5"/>
        <v>土</v>
      </c>
      <c r="D182" s="521"/>
      <c r="E182" s="521"/>
      <c r="F182" s="521"/>
    </row>
    <row r="183" spans="2:6" x14ac:dyDescent="0.35">
      <c r="B183" s="525">
        <f t="shared" si="4"/>
        <v>46110</v>
      </c>
      <c r="C183" s="525" t="str">
        <f t="shared" si="5"/>
        <v>日</v>
      </c>
      <c r="D183" s="521"/>
      <c r="E183" s="521"/>
      <c r="F183" s="521"/>
    </row>
    <row r="184" spans="2:6" x14ac:dyDescent="0.35">
      <c r="B184" s="520">
        <f t="shared" si="4"/>
        <v>46111</v>
      </c>
      <c r="C184" s="520" t="str">
        <f t="shared" si="5"/>
        <v>月</v>
      </c>
      <c r="D184" s="521"/>
      <c r="E184" s="521"/>
      <c r="F184" s="521"/>
    </row>
    <row r="185" spans="2:6" x14ac:dyDescent="0.35">
      <c r="B185" s="520">
        <f t="shared" si="4"/>
        <v>46112</v>
      </c>
      <c r="C185" s="520" t="str">
        <f t="shared" si="5"/>
        <v>火</v>
      </c>
      <c r="D185" s="521"/>
      <c r="E185" s="521"/>
      <c r="F185" s="521"/>
    </row>
    <row r="186" spans="2:6" x14ac:dyDescent="0.35">
      <c r="B186" s="520">
        <f t="shared" si="4"/>
        <v>46113</v>
      </c>
      <c r="C186" s="520" t="str">
        <f t="shared" si="5"/>
        <v>水</v>
      </c>
      <c r="D186" s="521"/>
      <c r="E186" s="521"/>
      <c r="F186" s="521"/>
    </row>
    <row r="187" spans="2:6" x14ac:dyDescent="0.35">
      <c r="B187" s="520">
        <f t="shared" si="4"/>
        <v>46114</v>
      </c>
      <c r="C187" s="520" t="str">
        <f t="shared" si="5"/>
        <v>木</v>
      </c>
      <c r="D187" s="521"/>
      <c r="E187" s="521"/>
      <c r="F187" s="521"/>
    </row>
    <row r="188" spans="2:6" x14ac:dyDescent="0.35">
      <c r="B188" s="520">
        <f t="shared" si="4"/>
        <v>46115</v>
      </c>
      <c r="C188" s="520" t="str">
        <f t="shared" si="5"/>
        <v>金</v>
      </c>
      <c r="D188" s="521"/>
      <c r="E188" s="521"/>
      <c r="F188" s="521"/>
    </row>
    <row r="189" spans="2:6" x14ac:dyDescent="0.35">
      <c r="B189" s="524">
        <f t="shared" si="4"/>
        <v>46116</v>
      </c>
      <c r="C189" s="524" t="str">
        <f t="shared" si="5"/>
        <v>土</v>
      </c>
      <c r="D189" s="521"/>
      <c r="E189" s="521"/>
      <c r="F189" s="521"/>
    </row>
    <row r="190" spans="2:6" x14ac:dyDescent="0.35">
      <c r="B190" s="525">
        <f t="shared" si="4"/>
        <v>46117</v>
      </c>
      <c r="C190" s="525" t="str">
        <f t="shared" si="5"/>
        <v>日</v>
      </c>
      <c r="D190" s="521"/>
      <c r="E190" s="521"/>
      <c r="F190" s="521"/>
    </row>
    <row r="191" spans="2:6" x14ac:dyDescent="0.35">
      <c r="B191" s="520">
        <f t="shared" si="4"/>
        <v>46118</v>
      </c>
      <c r="C191" s="520" t="str">
        <f t="shared" si="5"/>
        <v>月</v>
      </c>
      <c r="D191" s="521"/>
      <c r="E191" s="521"/>
      <c r="F191" s="521"/>
    </row>
    <row r="192" spans="2:6" x14ac:dyDescent="0.35">
      <c r="B192" s="520">
        <f t="shared" si="4"/>
        <v>46119</v>
      </c>
      <c r="C192" s="520" t="str">
        <f t="shared" si="5"/>
        <v>火</v>
      </c>
      <c r="D192" s="521"/>
      <c r="E192" s="521"/>
      <c r="F192" s="521"/>
    </row>
    <row r="193" spans="2:6" x14ac:dyDescent="0.35">
      <c r="B193" s="520">
        <f t="shared" si="4"/>
        <v>46120</v>
      </c>
      <c r="C193" s="520" t="str">
        <f t="shared" si="5"/>
        <v>水</v>
      </c>
      <c r="D193" s="521"/>
      <c r="E193" s="521"/>
      <c r="F193" s="521"/>
    </row>
    <row r="194" spans="2:6" x14ac:dyDescent="0.35">
      <c r="B194" s="520">
        <f t="shared" si="4"/>
        <v>46121</v>
      </c>
      <c r="C194" s="520" t="str">
        <f t="shared" si="5"/>
        <v>木</v>
      </c>
      <c r="D194" s="521"/>
      <c r="E194" s="521"/>
      <c r="F194" s="521"/>
    </row>
    <row r="195" spans="2:6" x14ac:dyDescent="0.35">
      <c r="B195" s="520">
        <f t="shared" si="4"/>
        <v>46122</v>
      </c>
      <c r="C195" s="520" t="str">
        <f t="shared" si="5"/>
        <v>金</v>
      </c>
      <c r="D195" s="521"/>
      <c r="E195" s="521"/>
      <c r="F195" s="521"/>
    </row>
    <row r="196" spans="2:6" x14ac:dyDescent="0.35">
      <c r="B196" s="524">
        <f t="shared" si="4"/>
        <v>46123</v>
      </c>
      <c r="C196" s="524" t="str">
        <f t="shared" si="5"/>
        <v>土</v>
      </c>
      <c r="D196" s="521"/>
      <c r="E196" s="521"/>
      <c r="F196" s="521"/>
    </row>
    <row r="197" spans="2:6" x14ac:dyDescent="0.35">
      <c r="B197" s="525">
        <f t="shared" ref="B197:B260" si="6">B196+1</f>
        <v>46124</v>
      </c>
      <c r="C197" s="525" t="str">
        <f t="shared" si="5"/>
        <v>日</v>
      </c>
      <c r="D197" s="521"/>
      <c r="E197" s="521"/>
      <c r="F197" s="521"/>
    </row>
    <row r="198" spans="2:6" x14ac:dyDescent="0.35">
      <c r="B198" s="520">
        <f t="shared" si="6"/>
        <v>46125</v>
      </c>
      <c r="C198" s="520" t="str">
        <f t="shared" si="5"/>
        <v>月</v>
      </c>
      <c r="D198" s="521"/>
      <c r="E198" s="521"/>
      <c r="F198" s="521"/>
    </row>
    <row r="199" spans="2:6" x14ac:dyDescent="0.35">
      <c r="B199" s="520">
        <f t="shared" si="6"/>
        <v>46126</v>
      </c>
      <c r="C199" s="520" t="str">
        <f t="shared" si="5"/>
        <v>火</v>
      </c>
      <c r="D199" s="521"/>
      <c r="E199" s="521"/>
      <c r="F199" s="521"/>
    </row>
    <row r="200" spans="2:6" x14ac:dyDescent="0.35">
      <c r="B200" s="520">
        <f t="shared" si="6"/>
        <v>46127</v>
      </c>
      <c r="C200" s="520" t="str">
        <f t="shared" si="5"/>
        <v>水</v>
      </c>
      <c r="D200" s="521"/>
      <c r="E200" s="521"/>
      <c r="F200" s="521"/>
    </row>
    <row r="201" spans="2:6" x14ac:dyDescent="0.35">
      <c r="B201" s="520">
        <f t="shared" si="6"/>
        <v>46128</v>
      </c>
      <c r="C201" s="520" t="str">
        <f t="shared" si="5"/>
        <v>木</v>
      </c>
      <c r="D201" s="521"/>
      <c r="E201" s="521"/>
      <c r="F201" s="521"/>
    </row>
    <row r="202" spans="2:6" x14ac:dyDescent="0.35">
      <c r="B202" s="520">
        <f t="shared" si="6"/>
        <v>46129</v>
      </c>
      <c r="C202" s="520" t="str">
        <f t="shared" si="5"/>
        <v>金</v>
      </c>
      <c r="D202" s="521"/>
      <c r="E202" s="521"/>
      <c r="F202" s="521"/>
    </row>
    <row r="203" spans="2:6" x14ac:dyDescent="0.35">
      <c r="B203" s="524">
        <f t="shared" si="6"/>
        <v>46130</v>
      </c>
      <c r="C203" s="524" t="str">
        <f t="shared" si="5"/>
        <v>土</v>
      </c>
      <c r="D203" s="521"/>
      <c r="E203" s="521"/>
      <c r="F203" s="521"/>
    </row>
    <row r="204" spans="2:6" x14ac:dyDescent="0.35">
      <c r="B204" s="525">
        <f t="shared" si="6"/>
        <v>46131</v>
      </c>
      <c r="C204" s="525" t="str">
        <f t="shared" si="5"/>
        <v>日</v>
      </c>
      <c r="D204" s="521"/>
      <c r="E204" s="521"/>
      <c r="F204" s="521"/>
    </row>
    <row r="205" spans="2:6" x14ac:dyDescent="0.35">
      <c r="B205" s="520">
        <f t="shared" si="6"/>
        <v>46132</v>
      </c>
      <c r="C205" s="520" t="str">
        <f t="shared" si="5"/>
        <v>月</v>
      </c>
      <c r="D205" s="521"/>
      <c r="E205" s="521"/>
      <c r="F205" s="521"/>
    </row>
    <row r="206" spans="2:6" x14ac:dyDescent="0.35">
      <c r="B206" s="520">
        <f t="shared" si="6"/>
        <v>46133</v>
      </c>
      <c r="C206" s="520" t="str">
        <f t="shared" si="5"/>
        <v>火</v>
      </c>
      <c r="D206" s="521"/>
      <c r="E206" s="521"/>
      <c r="F206" s="521"/>
    </row>
    <row r="207" spans="2:6" x14ac:dyDescent="0.35">
      <c r="B207" s="520">
        <f t="shared" si="6"/>
        <v>46134</v>
      </c>
      <c r="C207" s="520" t="str">
        <f t="shared" si="5"/>
        <v>水</v>
      </c>
      <c r="D207" s="521"/>
      <c r="E207" s="521"/>
      <c r="F207" s="521"/>
    </row>
    <row r="208" spans="2:6" x14ac:dyDescent="0.35">
      <c r="B208" s="520">
        <f t="shared" si="6"/>
        <v>46135</v>
      </c>
      <c r="C208" s="520" t="str">
        <f t="shared" si="5"/>
        <v>木</v>
      </c>
      <c r="D208" s="521"/>
      <c r="E208" s="521"/>
      <c r="F208" s="521"/>
    </row>
    <row r="209" spans="2:6" x14ac:dyDescent="0.35">
      <c r="B209" s="520">
        <f t="shared" si="6"/>
        <v>46136</v>
      </c>
      <c r="C209" s="520" t="str">
        <f t="shared" si="5"/>
        <v>金</v>
      </c>
      <c r="D209" s="521"/>
      <c r="E209" s="521"/>
      <c r="F209" s="521"/>
    </row>
    <row r="210" spans="2:6" x14ac:dyDescent="0.35">
      <c r="B210" s="524">
        <f t="shared" si="6"/>
        <v>46137</v>
      </c>
      <c r="C210" s="524" t="str">
        <f t="shared" si="5"/>
        <v>土</v>
      </c>
      <c r="D210" s="521"/>
      <c r="E210" s="521"/>
      <c r="F210" s="521"/>
    </row>
    <row r="211" spans="2:6" x14ac:dyDescent="0.35">
      <c r="B211" s="525">
        <f t="shared" si="6"/>
        <v>46138</v>
      </c>
      <c r="C211" s="525" t="str">
        <f t="shared" si="5"/>
        <v>日</v>
      </c>
      <c r="D211" s="521"/>
      <c r="E211" s="521"/>
      <c r="F211" s="521"/>
    </row>
    <row r="212" spans="2:6" x14ac:dyDescent="0.35">
      <c r="B212" s="520">
        <f t="shared" si="6"/>
        <v>46139</v>
      </c>
      <c r="C212" s="520" t="str">
        <f t="shared" si="5"/>
        <v>月</v>
      </c>
      <c r="D212" s="521"/>
      <c r="E212" s="521"/>
      <c r="F212" s="521"/>
    </row>
    <row r="213" spans="2:6" x14ac:dyDescent="0.35">
      <c r="B213" s="520">
        <f t="shared" si="6"/>
        <v>46140</v>
      </c>
      <c r="C213" s="520" t="str">
        <f t="shared" si="5"/>
        <v>火</v>
      </c>
      <c r="D213" s="521"/>
      <c r="E213" s="521"/>
      <c r="F213" s="521"/>
    </row>
    <row r="214" spans="2:6" x14ac:dyDescent="0.35">
      <c r="B214" s="526">
        <f t="shared" si="6"/>
        <v>46141</v>
      </c>
      <c r="C214" s="526" t="str">
        <f t="shared" si="5"/>
        <v>水</v>
      </c>
      <c r="D214" s="521"/>
      <c r="E214" s="521"/>
      <c r="F214" s="521"/>
    </row>
    <row r="215" spans="2:6" x14ac:dyDescent="0.35">
      <c r="B215" s="520">
        <f t="shared" si="6"/>
        <v>46142</v>
      </c>
      <c r="C215" s="520" t="str">
        <f t="shared" si="5"/>
        <v>木</v>
      </c>
      <c r="D215" s="521"/>
      <c r="E215" s="521"/>
      <c r="F215" s="521"/>
    </row>
    <row r="216" spans="2:6" x14ac:dyDescent="0.35">
      <c r="B216" s="520">
        <f t="shared" si="6"/>
        <v>46143</v>
      </c>
      <c r="C216" s="520" t="str">
        <f t="shared" si="5"/>
        <v>金</v>
      </c>
      <c r="D216" s="521"/>
      <c r="E216" s="521"/>
      <c r="F216" s="521"/>
    </row>
    <row r="217" spans="2:6" x14ac:dyDescent="0.35">
      <c r="B217" s="524">
        <f t="shared" si="6"/>
        <v>46144</v>
      </c>
      <c r="C217" s="524" t="str">
        <f t="shared" si="5"/>
        <v>土</v>
      </c>
      <c r="D217" s="521"/>
      <c r="E217" s="521"/>
      <c r="F217" s="521"/>
    </row>
    <row r="218" spans="2:6" x14ac:dyDescent="0.35">
      <c r="B218" s="526">
        <f t="shared" si="6"/>
        <v>46145</v>
      </c>
      <c r="C218" s="526" t="str">
        <f t="shared" si="5"/>
        <v>日</v>
      </c>
      <c r="D218" s="521"/>
      <c r="E218" s="521"/>
      <c r="F218" s="521"/>
    </row>
    <row r="219" spans="2:6" x14ac:dyDescent="0.35">
      <c r="B219" s="526">
        <f t="shared" si="6"/>
        <v>46146</v>
      </c>
      <c r="C219" s="526" t="str">
        <f t="shared" si="5"/>
        <v>月</v>
      </c>
      <c r="D219" s="521"/>
      <c r="E219" s="521"/>
      <c r="F219" s="521"/>
    </row>
    <row r="220" spans="2:6" x14ac:dyDescent="0.35">
      <c r="B220" s="526">
        <f t="shared" si="6"/>
        <v>46147</v>
      </c>
      <c r="C220" s="526" t="str">
        <f t="shared" si="5"/>
        <v>火</v>
      </c>
      <c r="D220" s="521"/>
      <c r="E220" s="521"/>
      <c r="F220" s="521"/>
    </row>
    <row r="221" spans="2:6" x14ac:dyDescent="0.35">
      <c r="B221" s="526">
        <f t="shared" si="6"/>
        <v>46148</v>
      </c>
      <c r="C221" s="526" t="str">
        <f t="shared" si="5"/>
        <v>水</v>
      </c>
      <c r="D221" s="521"/>
      <c r="E221" s="521"/>
      <c r="F221" s="521"/>
    </row>
    <row r="222" spans="2:6" x14ac:dyDescent="0.35">
      <c r="B222" s="520">
        <f t="shared" si="6"/>
        <v>46149</v>
      </c>
      <c r="C222" s="520" t="str">
        <f t="shared" si="5"/>
        <v>木</v>
      </c>
      <c r="D222" s="521"/>
      <c r="E222" s="521"/>
      <c r="F222" s="521"/>
    </row>
    <row r="223" spans="2:6" x14ac:dyDescent="0.35">
      <c r="B223" s="520">
        <f t="shared" si="6"/>
        <v>46150</v>
      </c>
      <c r="C223" s="520" t="str">
        <f t="shared" si="5"/>
        <v>金</v>
      </c>
      <c r="D223" s="521"/>
      <c r="E223" s="521"/>
      <c r="F223" s="521"/>
    </row>
    <row r="224" spans="2:6" x14ac:dyDescent="0.35">
      <c r="B224" s="524">
        <f t="shared" si="6"/>
        <v>46151</v>
      </c>
      <c r="C224" s="524" t="str">
        <f t="shared" si="5"/>
        <v>土</v>
      </c>
      <c r="D224" s="521"/>
      <c r="E224" s="521"/>
      <c r="F224" s="521"/>
    </row>
    <row r="225" spans="2:6" x14ac:dyDescent="0.35">
      <c r="B225" s="525">
        <f t="shared" si="6"/>
        <v>46152</v>
      </c>
      <c r="C225" s="525" t="str">
        <f t="shared" si="5"/>
        <v>日</v>
      </c>
      <c r="D225" s="521"/>
      <c r="E225" s="521"/>
      <c r="F225" s="521"/>
    </row>
    <row r="226" spans="2:6" x14ac:dyDescent="0.35">
      <c r="B226" s="520">
        <f t="shared" si="6"/>
        <v>46153</v>
      </c>
      <c r="C226" s="520" t="str">
        <f t="shared" si="5"/>
        <v>月</v>
      </c>
      <c r="D226" s="521"/>
      <c r="E226" s="521"/>
      <c r="F226" s="521"/>
    </row>
    <row r="227" spans="2:6" x14ac:dyDescent="0.35">
      <c r="B227" s="520">
        <f t="shared" si="6"/>
        <v>46154</v>
      </c>
      <c r="C227" s="520" t="str">
        <f t="shared" si="5"/>
        <v>火</v>
      </c>
      <c r="D227" s="521"/>
      <c r="E227" s="521"/>
      <c r="F227" s="521"/>
    </row>
    <row r="228" spans="2:6" x14ac:dyDescent="0.35">
      <c r="B228" s="520">
        <f t="shared" si="6"/>
        <v>46155</v>
      </c>
      <c r="C228" s="520" t="str">
        <f t="shared" si="5"/>
        <v>水</v>
      </c>
      <c r="D228" s="521"/>
      <c r="E228" s="521"/>
      <c r="F228" s="521"/>
    </row>
    <row r="229" spans="2:6" x14ac:dyDescent="0.35">
      <c r="B229" s="520">
        <f t="shared" si="6"/>
        <v>46156</v>
      </c>
      <c r="C229" s="520" t="str">
        <f t="shared" si="5"/>
        <v>木</v>
      </c>
      <c r="D229" s="521"/>
      <c r="E229" s="521"/>
      <c r="F229" s="521"/>
    </row>
    <row r="230" spans="2:6" x14ac:dyDescent="0.35">
      <c r="B230" s="520">
        <f t="shared" si="6"/>
        <v>46157</v>
      </c>
      <c r="C230" s="520" t="str">
        <f t="shared" si="5"/>
        <v>金</v>
      </c>
      <c r="D230" s="521"/>
      <c r="E230" s="521"/>
      <c r="F230" s="521"/>
    </row>
    <row r="231" spans="2:6" x14ac:dyDescent="0.35">
      <c r="B231" s="524">
        <f t="shared" si="6"/>
        <v>46158</v>
      </c>
      <c r="C231" s="524" t="str">
        <f t="shared" si="5"/>
        <v>土</v>
      </c>
      <c r="D231" s="521"/>
      <c r="E231" s="521"/>
      <c r="F231" s="521"/>
    </row>
    <row r="232" spans="2:6" x14ac:dyDescent="0.35">
      <c r="B232" s="525">
        <f t="shared" si="6"/>
        <v>46159</v>
      </c>
      <c r="C232" s="525" t="str">
        <f t="shared" si="5"/>
        <v>日</v>
      </c>
      <c r="D232" s="521"/>
      <c r="E232" s="521"/>
      <c r="F232" s="521"/>
    </row>
    <row r="233" spans="2:6" x14ac:dyDescent="0.35">
      <c r="B233" s="520">
        <f t="shared" si="6"/>
        <v>46160</v>
      </c>
      <c r="C233" s="520" t="str">
        <f t="shared" si="5"/>
        <v>月</v>
      </c>
      <c r="D233" s="521"/>
      <c r="E233" s="521"/>
      <c r="F233" s="521"/>
    </row>
    <row r="234" spans="2:6" x14ac:dyDescent="0.35">
      <c r="B234" s="520">
        <f t="shared" si="6"/>
        <v>46161</v>
      </c>
      <c r="C234" s="520" t="str">
        <f t="shared" si="5"/>
        <v>火</v>
      </c>
      <c r="D234" s="521"/>
      <c r="E234" s="521"/>
      <c r="F234" s="521"/>
    </row>
    <row r="235" spans="2:6" x14ac:dyDescent="0.35">
      <c r="B235" s="520">
        <f t="shared" si="6"/>
        <v>46162</v>
      </c>
      <c r="C235" s="520" t="str">
        <f t="shared" si="5"/>
        <v>水</v>
      </c>
      <c r="D235" s="521"/>
      <c r="E235" s="521"/>
      <c r="F235" s="521"/>
    </row>
    <row r="236" spans="2:6" x14ac:dyDescent="0.35">
      <c r="B236" s="520">
        <f t="shared" si="6"/>
        <v>46163</v>
      </c>
      <c r="C236" s="520" t="str">
        <f t="shared" si="5"/>
        <v>木</v>
      </c>
      <c r="D236" s="521"/>
      <c r="E236" s="521"/>
      <c r="F236" s="521"/>
    </row>
    <row r="237" spans="2:6" x14ac:dyDescent="0.35">
      <c r="B237" s="520">
        <f t="shared" si="6"/>
        <v>46164</v>
      </c>
      <c r="C237" s="520" t="str">
        <f t="shared" si="5"/>
        <v>金</v>
      </c>
      <c r="D237" s="521"/>
      <c r="E237" s="521"/>
      <c r="F237" s="521"/>
    </row>
    <row r="238" spans="2:6" x14ac:dyDescent="0.35">
      <c r="B238" s="524">
        <f t="shared" si="6"/>
        <v>46165</v>
      </c>
      <c r="C238" s="524" t="str">
        <f t="shared" si="5"/>
        <v>土</v>
      </c>
      <c r="D238" s="521"/>
      <c r="E238" s="521"/>
      <c r="F238" s="521"/>
    </row>
    <row r="239" spans="2:6" x14ac:dyDescent="0.35">
      <c r="B239" s="525">
        <f t="shared" si="6"/>
        <v>46166</v>
      </c>
      <c r="C239" s="525" t="str">
        <f t="shared" si="5"/>
        <v>日</v>
      </c>
      <c r="D239" s="521"/>
      <c r="E239" s="521"/>
      <c r="F239" s="521"/>
    </row>
    <row r="240" spans="2:6" x14ac:dyDescent="0.35">
      <c r="B240" s="520">
        <f t="shared" si="6"/>
        <v>46167</v>
      </c>
      <c r="C240" s="520" t="str">
        <f t="shared" si="5"/>
        <v>月</v>
      </c>
      <c r="D240" s="521"/>
      <c r="E240" s="521"/>
      <c r="F240" s="521"/>
    </row>
    <row r="241" spans="2:6" x14ac:dyDescent="0.35">
      <c r="B241" s="520">
        <f t="shared" si="6"/>
        <v>46168</v>
      </c>
      <c r="C241" s="520" t="str">
        <f t="shared" si="5"/>
        <v>火</v>
      </c>
      <c r="D241" s="521"/>
      <c r="E241" s="521"/>
      <c r="F241" s="521"/>
    </row>
    <row r="242" spans="2:6" x14ac:dyDescent="0.35">
      <c r="B242" s="520">
        <f t="shared" si="6"/>
        <v>46169</v>
      </c>
      <c r="C242" s="520" t="str">
        <f t="shared" si="5"/>
        <v>水</v>
      </c>
      <c r="D242" s="521"/>
      <c r="E242" s="521"/>
      <c r="F242" s="521"/>
    </row>
    <row r="243" spans="2:6" x14ac:dyDescent="0.35">
      <c r="B243" s="520">
        <f t="shared" si="6"/>
        <v>46170</v>
      </c>
      <c r="C243" s="520" t="str">
        <f t="shared" si="5"/>
        <v>木</v>
      </c>
      <c r="D243" s="521"/>
      <c r="E243" s="521"/>
      <c r="F243" s="521"/>
    </row>
    <row r="244" spans="2:6" x14ac:dyDescent="0.35">
      <c r="B244" s="520">
        <f t="shared" si="6"/>
        <v>46171</v>
      </c>
      <c r="C244" s="520" t="str">
        <f t="shared" si="5"/>
        <v>金</v>
      </c>
      <c r="D244" s="521"/>
      <c r="E244" s="521"/>
      <c r="F244" s="521"/>
    </row>
    <row r="245" spans="2:6" x14ac:dyDescent="0.35">
      <c r="B245" s="524">
        <f t="shared" si="6"/>
        <v>46172</v>
      </c>
      <c r="C245" s="524" t="str">
        <f t="shared" si="5"/>
        <v>土</v>
      </c>
      <c r="D245" s="521"/>
      <c r="E245" s="521"/>
      <c r="F245" s="521"/>
    </row>
    <row r="246" spans="2:6" x14ac:dyDescent="0.35">
      <c r="B246" s="525">
        <f t="shared" si="6"/>
        <v>46173</v>
      </c>
      <c r="C246" s="525" t="str">
        <f t="shared" si="5"/>
        <v>日</v>
      </c>
      <c r="D246" s="521"/>
      <c r="E246" s="521"/>
      <c r="F246" s="521"/>
    </row>
    <row r="247" spans="2:6" x14ac:dyDescent="0.35">
      <c r="B247" s="520">
        <f t="shared" si="6"/>
        <v>46174</v>
      </c>
      <c r="C247" s="520" t="str">
        <f t="shared" si="5"/>
        <v>月</v>
      </c>
      <c r="D247" s="521"/>
      <c r="E247" s="521"/>
      <c r="F247" s="521"/>
    </row>
    <row r="248" spans="2:6" x14ac:dyDescent="0.35">
      <c r="B248" s="520">
        <f t="shared" si="6"/>
        <v>46175</v>
      </c>
      <c r="C248" s="520" t="str">
        <f t="shared" si="5"/>
        <v>火</v>
      </c>
      <c r="D248" s="521"/>
      <c r="E248" s="521"/>
      <c r="F248" s="521"/>
    </row>
    <row r="249" spans="2:6" x14ac:dyDescent="0.35">
      <c r="B249" s="520">
        <f t="shared" si="6"/>
        <v>46176</v>
      </c>
      <c r="C249" s="520" t="str">
        <f t="shared" si="5"/>
        <v>水</v>
      </c>
      <c r="D249" s="521"/>
      <c r="E249" s="521"/>
      <c r="F249" s="521"/>
    </row>
    <row r="250" spans="2:6" x14ac:dyDescent="0.35">
      <c r="B250" s="520">
        <f t="shared" si="6"/>
        <v>46177</v>
      </c>
      <c r="C250" s="520" t="str">
        <f t="shared" si="5"/>
        <v>木</v>
      </c>
      <c r="D250" s="521"/>
      <c r="E250" s="521"/>
      <c r="F250" s="521"/>
    </row>
    <row r="251" spans="2:6" x14ac:dyDescent="0.35">
      <c r="B251" s="520">
        <f t="shared" si="6"/>
        <v>46178</v>
      </c>
      <c r="C251" s="520" t="str">
        <f t="shared" si="5"/>
        <v>金</v>
      </c>
      <c r="D251" s="521"/>
      <c r="E251" s="521"/>
      <c r="F251" s="521"/>
    </row>
    <row r="252" spans="2:6" x14ac:dyDescent="0.35">
      <c r="B252" s="524">
        <f t="shared" si="6"/>
        <v>46179</v>
      </c>
      <c r="C252" s="524" t="str">
        <f t="shared" si="5"/>
        <v>土</v>
      </c>
      <c r="D252" s="521"/>
      <c r="E252" s="521"/>
      <c r="F252" s="521"/>
    </row>
    <row r="253" spans="2:6" x14ac:dyDescent="0.35">
      <c r="B253" s="525">
        <f t="shared" si="6"/>
        <v>46180</v>
      </c>
      <c r="C253" s="525" t="str">
        <f t="shared" si="5"/>
        <v>日</v>
      </c>
      <c r="D253" s="521"/>
      <c r="E253" s="521"/>
      <c r="F253" s="521"/>
    </row>
    <row r="254" spans="2:6" x14ac:dyDescent="0.35">
      <c r="B254" s="520">
        <f t="shared" si="6"/>
        <v>46181</v>
      </c>
      <c r="C254" s="520" t="str">
        <f t="shared" si="5"/>
        <v>月</v>
      </c>
      <c r="D254" s="521"/>
      <c r="E254" s="521"/>
      <c r="F254" s="521"/>
    </row>
    <row r="255" spans="2:6" x14ac:dyDescent="0.35">
      <c r="B255" s="520">
        <f t="shared" si="6"/>
        <v>46182</v>
      </c>
      <c r="C255" s="520" t="str">
        <f t="shared" si="5"/>
        <v>火</v>
      </c>
      <c r="D255" s="521"/>
      <c r="E255" s="521"/>
      <c r="F255" s="521"/>
    </row>
    <row r="256" spans="2:6" x14ac:dyDescent="0.35">
      <c r="B256" s="520">
        <f t="shared" si="6"/>
        <v>46183</v>
      </c>
      <c r="C256" s="520" t="str">
        <f t="shared" si="5"/>
        <v>水</v>
      </c>
      <c r="D256" s="521"/>
      <c r="E256" s="521"/>
      <c r="F256" s="521"/>
    </row>
    <row r="257" spans="2:6" x14ac:dyDescent="0.35">
      <c r="B257" s="520">
        <f t="shared" si="6"/>
        <v>46184</v>
      </c>
      <c r="C257" s="520" t="str">
        <f t="shared" si="5"/>
        <v>木</v>
      </c>
      <c r="D257" s="521"/>
      <c r="E257" s="521"/>
      <c r="F257" s="521"/>
    </row>
    <row r="258" spans="2:6" x14ac:dyDescent="0.35">
      <c r="B258" s="520">
        <f t="shared" si="6"/>
        <v>46185</v>
      </c>
      <c r="C258" s="520" t="str">
        <f t="shared" si="5"/>
        <v>金</v>
      </c>
      <c r="D258" s="521"/>
      <c r="E258" s="521"/>
      <c r="F258" s="521"/>
    </row>
    <row r="259" spans="2:6" x14ac:dyDescent="0.35">
      <c r="B259" s="524">
        <f t="shared" si="6"/>
        <v>46186</v>
      </c>
      <c r="C259" s="524" t="str">
        <f t="shared" si="5"/>
        <v>土</v>
      </c>
      <c r="D259" s="521"/>
      <c r="E259" s="521"/>
      <c r="F259" s="521"/>
    </row>
    <row r="260" spans="2:6" x14ac:dyDescent="0.35">
      <c r="B260" s="525">
        <f t="shared" si="6"/>
        <v>46187</v>
      </c>
      <c r="C260" s="525" t="str">
        <f t="shared" si="5"/>
        <v>日</v>
      </c>
      <c r="D260" s="521"/>
      <c r="E260" s="521"/>
      <c r="F260" s="521"/>
    </row>
    <row r="261" spans="2:6" x14ac:dyDescent="0.35">
      <c r="B261" s="520">
        <f t="shared" ref="B261:B324" si="7">B260+1</f>
        <v>46188</v>
      </c>
      <c r="C261" s="520" t="str">
        <f t="shared" si="5"/>
        <v>月</v>
      </c>
      <c r="D261" s="521"/>
      <c r="E261" s="521"/>
      <c r="F261" s="521"/>
    </row>
    <row r="262" spans="2:6" x14ac:dyDescent="0.35">
      <c r="B262" s="520">
        <f t="shared" si="7"/>
        <v>46189</v>
      </c>
      <c r="C262" s="520" t="str">
        <f t="shared" si="5"/>
        <v>火</v>
      </c>
      <c r="D262" s="521"/>
      <c r="E262" s="521"/>
      <c r="F262" s="521"/>
    </row>
    <row r="263" spans="2:6" x14ac:dyDescent="0.35">
      <c r="B263" s="520">
        <f t="shared" si="7"/>
        <v>46190</v>
      </c>
      <c r="C263" s="520" t="str">
        <f t="shared" si="5"/>
        <v>水</v>
      </c>
      <c r="D263" s="521"/>
      <c r="E263" s="521"/>
      <c r="F263" s="521"/>
    </row>
    <row r="264" spans="2:6" x14ac:dyDescent="0.35">
      <c r="B264" s="520">
        <f t="shared" si="7"/>
        <v>46191</v>
      </c>
      <c r="C264" s="520" t="str">
        <f t="shared" si="5"/>
        <v>木</v>
      </c>
      <c r="D264" s="521"/>
      <c r="E264" s="521"/>
      <c r="F264" s="521"/>
    </row>
    <row r="265" spans="2:6" x14ac:dyDescent="0.35">
      <c r="B265" s="520">
        <f t="shared" si="7"/>
        <v>46192</v>
      </c>
      <c r="C265" s="520" t="str">
        <f t="shared" si="5"/>
        <v>金</v>
      </c>
      <c r="D265" s="521"/>
      <c r="E265" s="521"/>
      <c r="F265" s="521"/>
    </row>
    <row r="266" spans="2:6" x14ac:dyDescent="0.35">
      <c r="B266" s="524">
        <f t="shared" si="7"/>
        <v>46193</v>
      </c>
      <c r="C266" s="524" t="str">
        <f t="shared" si="5"/>
        <v>土</v>
      </c>
      <c r="D266" s="521"/>
      <c r="E266" s="521"/>
      <c r="F266" s="521"/>
    </row>
    <row r="267" spans="2:6" x14ac:dyDescent="0.35">
      <c r="B267" s="525">
        <f t="shared" si="7"/>
        <v>46194</v>
      </c>
      <c r="C267" s="525" t="str">
        <f t="shared" si="5"/>
        <v>日</v>
      </c>
      <c r="D267" s="521"/>
      <c r="E267" s="521"/>
      <c r="F267" s="521"/>
    </row>
    <row r="268" spans="2:6" x14ac:dyDescent="0.35">
      <c r="B268" s="520">
        <f t="shared" si="7"/>
        <v>46195</v>
      </c>
      <c r="C268" s="520" t="str">
        <f t="shared" si="5"/>
        <v>月</v>
      </c>
      <c r="D268" s="521"/>
      <c r="E268" s="521"/>
      <c r="F268" s="521"/>
    </row>
    <row r="269" spans="2:6" x14ac:dyDescent="0.35">
      <c r="B269" s="520">
        <f t="shared" si="7"/>
        <v>46196</v>
      </c>
      <c r="C269" s="520" t="str">
        <f t="shared" si="5"/>
        <v>火</v>
      </c>
      <c r="D269" s="521"/>
      <c r="E269" s="521"/>
      <c r="F269" s="521"/>
    </row>
    <row r="270" spans="2:6" x14ac:dyDescent="0.35">
      <c r="B270" s="520">
        <f t="shared" si="7"/>
        <v>46197</v>
      </c>
      <c r="C270" s="520" t="str">
        <f t="shared" si="5"/>
        <v>水</v>
      </c>
      <c r="D270" s="521"/>
      <c r="E270" s="521"/>
      <c r="F270" s="521"/>
    </row>
    <row r="271" spans="2:6" x14ac:dyDescent="0.35">
      <c r="B271" s="520">
        <f t="shared" si="7"/>
        <v>46198</v>
      </c>
      <c r="C271" s="520" t="str">
        <f t="shared" si="5"/>
        <v>木</v>
      </c>
      <c r="D271" s="521"/>
      <c r="E271" s="521"/>
      <c r="F271" s="521"/>
    </row>
    <row r="272" spans="2:6" x14ac:dyDescent="0.35">
      <c r="B272" s="520">
        <f t="shared" si="7"/>
        <v>46199</v>
      </c>
      <c r="C272" s="520" t="str">
        <f t="shared" si="5"/>
        <v>金</v>
      </c>
      <c r="D272" s="521"/>
      <c r="E272" s="521"/>
      <c r="F272" s="521"/>
    </row>
    <row r="273" spans="2:6" x14ac:dyDescent="0.35">
      <c r="B273" s="524">
        <f t="shared" si="7"/>
        <v>46200</v>
      </c>
      <c r="C273" s="524" t="str">
        <f t="shared" si="5"/>
        <v>土</v>
      </c>
      <c r="D273" s="521"/>
      <c r="E273" s="521"/>
      <c r="F273" s="521"/>
    </row>
    <row r="274" spans="2:6" x14ac:dyDescent="0.35">
      <c r="B274" s="525">
        <f t="shared" si="7"/>
        <v>46201</v>
      </c>
      <c r="C274" s="525" t="str">
        <f t="shared" si="5"/>
        <v>日</v>
      </c>
      <c r="D274" s="521"/>
      <c r="E274" s="521"/>
      <c r="F274" s="521"/>
    </row>
    <row r="275" spans="2:6" x14ac:dyDescent="0.35">
      <c r="B275" s="520">
        <f t="shared" si="7"/>
        <v>46202</v>
      </c>
      <c r="C275" s="520" t="str">
        <f t="shared" si="5"/>
        <v>月</v>
      </c>
      <c r="D275" s="521"/>
      <c r="E275" s="521"/>
      <c r="F275" s="521"/>
    </row>
    <row r="276" spans="2:6" x14ac:dyDescent="0.35">
      <c r="B276" s="520">
        <f t="shared" si="7"/>
        <v>46203</v>
      </c>
      <c r="C276" s="520" t="str">
        <f t="shared" si="5"/>
        <v>火</v>
      </c>
      <c r="D276" s="521"/>
      <c r="E276" s="521"/>
      <c r="F276" s="521"/>
    </row>
    <row r="277" spans="2:6" x14ac:dyDescent="0.35">
      <c r="B277" s="520">
        <f t="shared" si="7"/>
        <v>46204</v>
      </c>
      <c r="C277" s="520" t="str">
        <f t="shared" si="5"/>
        <v>水</v>
      </c>
      <c r="D277" s="521"/>
      <c r="E277" s="521"/>
      <c r="F277" s="521"/>
    </row>
    <row r="278" spans="2:6" x14ac:dyDescent="0.35">
      <c r="B278" s="520">
        <f t="shared" si="7"/>
        <v>46205</v>
      </c>
      <c r="C278" s="520" t="str">
        <f t="shared" si="5"/>
        <v>木</v>
      </c>
      <c r="D278" s="521"/>
      <c r="E278" s="521"/>
      <c r="F278" s="521"/>
    </row>
    <row r="279" spans="2:6" x14ac:dyDescent="0.35">
      <c r="B279" s="520">
        <f t="shared" si="7"/>
        <v>46206</v>
      </c>
      <c r="C279" s="520" t="str">
        <f t="shared" si="5"/>
        <v>金</v>
      </c>
      <c r="D279" s="521"/>
      <c r="E279" s="521"/>
      <c r="F279" s="521"/>
    </row>
    <row r="280" spans="2:6" x14ac:dyDescent="0.35">
      <c r="B280" s="524">
        <f t="shared" si="7"/>
        <v>46207</v>
      </c>
      <c r="C280" s="524" t="str">
        <f t="shared" si="5"/>
        <v>土</v>
      </c>
      <c r="D280" s="521"/>
      <c r="E280" s="521"/>
      <c r="F280" s="521"/>
    </row>
    <row r="281" spans="2:6" x14ac:dyDescent="0.35">
      <c r="B281" s="525">
        <f t="shared" si="7"/>
        <v>46208</v>
      </c>
      <c r="C281" s="525" t="str">
        <f t="shared" si="5"/>
        <v>日</v>
      </c>
      <c r="D281" s="521"/>
      <c r="E281" s="521"/>
      <c r="F281" s="521"/>
    </row>
    <row r="282" spans="2:6" x14ac:dyDescent="0.35">
      <c r="B282" s="520">
        <f t="shared" si="7"/>
        <v>46209</v>
      </c>
      <c r="C282" s="520" t="str">
        <f t="shared" si="5"/>
        <v>月</v>
      </c>
      <c r="D282" s="521"/>
      <c r="E282" s="521"/>
      <c r="F282" s="521"/>
    </row>
    <row r="283" spans="2:6" x14ac:dyDescent="0.35">
      <c r="B283" s="520">
        <f t="shared" si="7"/>
        <v>46210</v>
      </c>
      <c r="C283" s="520" t="str">
        <f t="shared" si="5"/>
        <v>火</v>
      </c>
      <c r="D283" s="521"/>
      <c r="E283" s="521"/>
      <c r="F283" s="521"/>
    </row>
    <row r="284" spans="2:6" x14ac:dyDescent="0.35">
      <c r="B284" s="520">
        <f t="shared" si="7"/>
        <v>46211</v>
      </c>
      <c r="C284" s="520" t="str">
        <f t="shared" si="5"/>
        <v>水</v>
      </c>
      <c r="D284" s="521"/>
      <c r="E284" s="521"/>
      <c r="F284" s="521"/>
    </row>
    <row r="285" spans="2:6" x14ac:dyDescent="0.35">
      <c r="B285" s="520">
        <f t="shared" si="7"/>
        <v>46212</v>
      </c>
      <c r="C285" s="520" t="str">
        <f t="shared" si="5"/>
        <v>木</v>
      </c>
      <c r="D285" s="521"/>
      <c r="E285" s="521"/>
      <c r="F285" s="521"/>
    </row>
    <row r="286" spans="2:6" x14ac:dyDescent="0.35">
      <c r="B286" s="520">
        <f t="shared" si="7"/>
        <v>46213</v>
      </c>
      <c r="C286" s="520" t="str">
        <f t="shared" si="5"/>
        <v>金</v>
      </c>
      <c r="D286" s="521"/>
      <c r="E286" s="521"/>
      <c r="F286" s="521"/>
    </row>
    <row r="287" spans="2:6" x14ac:dyDescent="0.35">
      <c r="B287" s="524">
        <f t="shared" si="7"/>
        <v>46214</v>
      </c>
      <c r="C287" s="524" t="str">
        <f t="shared" si="5"/>
        <v>土</v>
      </c>
      <c r="D287" s="521"/>
      <c r="E287" s="521"/>
      <c r="F287" s="521"/>
    </row>
    <row r="288" spans="2:6" x14ac:dyDescent="0.35">
      <c r="B288" s="525">
        <f t="shared" si="7"/>
        <v>46215</v>
      </c>
      <c r="C288" s="525" t="str">
        <f t="shared" si="5"/>
        <v>日</v>
      </c>
      <c r="D288" s="521"/>
      <c r="E288" s="521"/>
      <c r="F288" s="521"/>
    </row>
    <row r="289" spans="2:6" x14ac:dyDescent="0.35">
      <c r="B289" s="520">
        <f t="shared" si="7"/>
        <v>46216</v>
      </c>
      <c r="C289" s="520" t="str">
        <f t="shared" si="5"/>
        <v>月</v>
      </c>
      <c r="D289" s="521"/>
      <c r="E289" s="521"/>
      <c r="F289" s="521"/>
    </row>
    <row r="290" spans="2:6" x14ac:dyDescent="0.35">
      <c r="B290" s="520">
        <f t="shared" si="7"/>
        <v>46217</v>
      </c>
      <c r="C290" s="520" t="str">
        <f t="shared" si="5"/>
        <v>火</v>
      </c>
      <c r="D290" s="521"/>
      <c r="E290" s="521"/>
      <c r="F290" s="521"/>
    </row>
    <row r="291" spans="2:6" x14ac:dyDescent="0.35">
      <c r="B291" s="520">
        <f t="shared" si="7"/>
        <v>46218</v>
      </c>
      <c r="C291" s="520" t="str">
        <f t="shared" si="5"/>
        <v>水</v>
      </c>
      <c r="D291" s="521"/>
      <c r="E291" s="521"/>
      <c r="F291" s="521"/>
    </row>
    <row r="292" spans="2:6" x14ac:dyDescent="0.35">
      <c r="B292" s="520">
        <f t="shared" si="7"/>
        <v>46219</v>
      </c>
      <c r="C292" s="520" t="str">
        <f t="shared" si="5"/>
        <v>木</v>
      </c>
      <c r="D292" s="521"/>
      <c r="E292" s="521"/>
      <c r="F292" s="521"/>
    </row>
    <row r="293" spans="2:6" x14ac:dyDescent="0.35">
      <c r="B293" s="520">
        <f t="shared" si="7"/>
        <v>46220</v>
      </c>
      <c r="C293" s="520" t="str">
        <f t="shared" si="5"/>
        <v>金</v>
      </c>
      <c r="D293" s="521"/>
      <c r="E293" s="521"/>
      <c r="F293" s="521"/>
    </row>
    <row r="294" spans="2:6" x14ac:dyDescent="0.35">
      <c r="B294" s="524">
        <f t="shared" si="7"/>
        <v>46221</v>
      </c>
      <c r="C294" s="524" t="str">
        <f t="shared" si="5"/>
        <v>土</v>
      </c>
      <c r="D294" s="521"/>
      <c r="E294" s="521"/>
      <c r="F294" s="521"/>
    </row>
    <row r="295" spans="2:6" x14ac:dyDescent="0.35">
      <c r="B295" s="525">
        <f t="shared" si="7"/>
        <v>46222</v>
      </c>
      <c r="C295" s="525" t="str">
        <f t="shared" si="5"/>
        <v>日</v>
      </c>
      <c r="D295" s="521"/>
      <c r="E295" s="521"/>
      <c r="F295" s="521"/>
    </row>
    <row r="296" spans="2:6" x14ac:dyDescent="0.35">
      <c r="B296" s="526">
        <f t="shared" si="7"/>
        <v>46223</v>
      </c>
      <c r="C296" s="526" t="str">
        <f t="shared" si="5"/>
        <v>月</v>
      </c>
      <c r="D296" s="521"/>
      <c r="E296" s="521"/>
      <c r="F296" s="521"/>
    </row>
    <row r="297" spans="2:6" x14ac:dyDescent="0.35">
      <c r="B297" s="520">
        <f t="shared" si="7"/>
        <v>46224</v>
      </c>
      <c r="C297" s="520" t="str">
        <f t="shared" si="5"/>
        <v>火</v>
      </c>
      <c r="D297" s="521"/>
      <c r="E297" s="521"/>
      <c r="F297" s="521"/>
    </row>
    <row r="298" spans="2:6" x14ac:dyDescent="0.35">
      <c r="B298" s="520">
        <f t="shared" si="7"/>
        <v>46225</v>
      </c>
      <c r="C298" s="520" t="str">
        <f t="shared" si="5"/>
        <v>水</v>
      </c>
      <c r="D298" s="521"/>
      <c r="E298" s="521"/>
      <c r="F298" s="521"/>
    </row>
    <row r="299" spans="2:6" x14ac:dyDescent="0.35">
      <c r="B299" s="520">
        <f t="shared" si="7"/>
        <v>46226</v>
      </c>
      <c r="C299" s="520" t="str">
        <f t="shared" si="5"/>
        <v>木</v>
      </c>
      <c r="D299" s="521"/>
      <c r="E299" s="521"/>
      <c r="F299" s="521"/>
    </row>
    <row r="300" spans="2:6" x14ac:dyDescent="0.35">
      <c r="B300" s="520">
        <f t="shared" si="7"/>
        <v>46227</v>
      </c>
      <c r="C300" s="520" t="str">
        <f t="shared" si="5"/>
        <v>金</v>
      </c>
      <c r="D300" s="521"/>
      <c r="E300" s="521"/>
      <c r="F300" s="521"/>
    </row>
    <row r="301" spans="2:6" x14ac:dyDescent="0.35">
      <c r="B301" s="524">
        <f t="shared" si="7"/>
        <v>46228</v>
      </c>
      <c r="C301" s="524" t="str">
        <f t="shared" si="5"/>
        <v>土</v>
      </c>
      <c r="D301" s="521"/>
      <c r="E301" s="521"/>
      <c r="F301" s="521"/>
    </row>
    <row r="302" spans="2:6" x14ac:dyDescent="0.35">
      <c r="B302" s="525">
        <f t="shared" si="7"/>
        <v>46229</v>
      </c>
      <c r="C302" s="525" t="str">
        <f t="shared" si="5"/>
        <v>日</v>
      </c>
      <c r="D302" s="521"/>
      <c r="E302" s="521"/>
      <c r="F302" s="521"/>
    </row>
    <row r="303" spans="2:6" x14ac:dyDescent="0.35">
      <c r="B303" s="520">
        <f t="shared" si="7"/>
        <v>46230</v>
      </c>
      <c r="C303" s="520" t="str">
        <f t="shared" si="5"/>
        <v>月</v>
      </c>
      <c r="D303" s="521"/>
      <c r="E303" s="521"/>
      <c r="F303" s="521"/>
    </row>
    <row r="304" spans="2:6" x14ac:dyDescent="0.35">
      <c r="B304" s="520">
        <f t="shared" si="7"/>
        <v>46231</v>
      </c>
      <c r="C304" s="520" t="str">
        <f t="shared" si="5"/>
        <v>火</v>
      </c>
      <c r="D304" s="521"/>
      <c r="E304" s="521"/>
      <c r="F304" s="521"/>
    </row>
    <row r="305" spans="2:6" x14ac:dyDescent="0.35">
      <c r="B305" s="520">
        <f t="shared" si="7"/>
        <v>46232</v>
      </c>
      <c r="C305" s="520" t="str">
        <f t="shared" si="5"/>
        <v>水</v>
      </c>
      <c r="D305" s="521"/>
      <c r="E305" s="521"/>
      <c r="F305" s="521"/>
    </row>
    <row r="306" spans="2:6" x14ac:dyDescent="0.35">
      <c r="B306" s="520">
        <f t="shared" si="7"/>
        <v>46233</v>
      </c>
      <c r="C306" s="520" t="str">
        <f t="shared" si="5"/>
        <v>木</v>
      </c>
      <c r="D306" s="521"/>
      <c r="E306" s="521"/>
      <c r="F306" s="521"/>
    </row>
    <row r="307" spans="2:6" x14ac:dyDescent="0.35">
      <c r="B307" s="520">
        <f t="shared" si="7"/>
        <v>46234</v>
      </c>
      <c r="C307" s="520" t="str">
        <f t="shared" si="5"/>
        <v>金</v>
      </c>
      <c r="D307" s="521"/>
      <c r="E307" s="521"/>
      <c r="F307" s="521"/>
    </row>
    <row r="308" spans="2:6" x14ac:dyDescent="0.35">
      <c r="B308" s="524">
        <f t="shared" si="7"/>
        <v>46235</v>
      </c>
      <c r="C308" s="524" t="str">
        <f t="shared" si="5"/>
        <v>土</v>
      </c>
      <c r="D308" s="521"/>
      <c r="E308" s="521"/>
      <c r="F308" s="521"/>
    </row>
    <row r="309" spans="2:6" x14ac:dyDescent="0.35">
      <c r="B309" s="525">
        <f t="shared" si="7"/>
        <v>46236</v>
      </c>
      <c r="C309" s="525" t="str">
        <f t="shared" si="5"/>
        <v>日</v>
      </c>
      <c r="D309" s="521"/>
      <c r="E309" s="521"/>
      <c r="F309" s="521"/>
    </row>
    <row r="310" spans="2:6" x14ac:dyDescent="0.35">
      <c r="B310" s="520">
        <f t="shared" si="7"/>
        <v>46237</v>
      </c>
      <c r="C310" s="520" t="str">
        <f t="shared" si="5"/>
        <v>月</v>
      </c>
      <c r="D310" s="521"/>
      <c r="E310" s="521"/>
      <c r="F310" s="521"/>
    </row>
    <row r="311" spans="2:6" x14ac:dyDescent="0.35">
      <c r="B311" s="520">
        <f t="shared" si="7"/>
        <v>46238</v>
      </c>
      <c r="C311" s="520" t="str">
        <f t="shared" si="5"/>
        <v>火</v>
      </c>
      <c r="D311" s="521"/>
      <c r="E311" s="521"/>
      <c r="F311" s="521"/>
    </row>
    <row r="312" spans="2:6" x14ac:dyDescent="0.35">
      <c r="B312" s="520">
        <f t="shared" si="7"/>
        <v>46239</v>
      </c>
      <c r="C312" s="520" t="str">
        <f t="shared" si="5"/>
        <v>水</v>
      </c>
      <c r="D312" s="521"/>
      <c r="E312" s="521"/>
      <c r="F312" s="521"/>
    </row>
    <row r="313" spans="2:6" x14ac:dyDescent="0.35">
      <c r="B313" s="520">
        <f t="shared" si="7"/>
        <v>46240</v>
      </c>
      <c r="C313" s="520" t="str">
        <f t="shared" si="5"/>
        <v>木</v>
      </c>
      <c r="D313" s="521"/>
      <c r="E313" s="521"/>
      <c r="F313" s="521"/>
    </row>
    <row r="314" spans="2:6" x14ac:dyDescent="0.35">
      <c r="B314" s="520">
        <f t="shared" si="7"/>
        <v>46241</v>
      </c>
      <c r="C314" s="520" t="str">
        <f t="shared" si="5"/>
        <v>金</v>
      </c>
      <c r="D314" s="521"/>
      <c r="E314" s="521"/>
      <c r="F314" s="521"/>
    </row>
    <row r="315" spans="2:6" x14ac:dyDescent="0.35">
      <c r="B315" s="524">
        <f t="shared" si="7"/>
        <v>46242</v>
      </c>
      <c r="C315" s="524" t="str">
        <f t="shared" si="5"/>
        <v>土</v>
      </c>
      <c r="D315" s="521"/>
      <c r="E315" s="521"/>
      <c r="F315" s="521"/>
    </row>
    <row r="316" spans="2:6" x14ac:dyDescent="0.35">
      <c r="B316" s="525">
        <f t="shared" si="7"/>
        <v>46243</v>
      </c>
      <c r="C316" s="525" t="str">
        <f t="shared" si="5"/>
        <v>日</v>
      </c>
      <c r="D316" s="521"/>
      <c r="E316" s="521"/>
      <c r="F316" s="521"/>
    </row>
    <row r="317" spans="2:6" x14ac:dyDescent="0.35">
      <c r="B317" s="520">
        <f t="shared" si="7"/>
        <v>46244</v>
      </c>
      <c r="C317" s="520" t="str">
        <f t="shared" si="5"/>
        <v>月</v>
      </c>
      <c r="D317" s="521"/>
      <c r="E317" s="521"/>
      <c r="F317" s="521"/>
    </row>
    <row r="318" spans="2:6" x14ac:dyDescent="0.35">
      <c r="B318" s="526">
        <f t="shared" si="7"/>
        <v>46245</v>
      </c>
      <c r="C318" s="526" t="str">
        <f t="shared" si="5"/>
        <v>火</v>
      </c>
      <c r="D318" s="521"/>
      <c r="E318" s="521"/>
      <c r="F318" s="521"/>
    </row>
    <row r="319" spans="2:6" x14ac:dyDescent="0.35">
      <c r="B319" s="520">
        <f t="shared" si="7"/>
        <v>46246</v>
      </c>
      <c r="C319" s="520" t="str">
        <f t="shared" si="5"/>
        <v>水</v>
      </c>
      <c r="D319" s="521"/>
      <c r="E319" s="521"/>
      <c r="F319" s="521"/>
    </row>
    <row r="320" spans="2:6" x14ac:dyDescent="0.35">
      <c r="B320" s="520">
        <f t="shared" si="7"/>
        <v>46247</v>
      </c>
      <c r="C320" s="520" t="str">
        <f t="shared" si="5"/>
        <v>木</v>
      </c>
      <c r="D320" s="521"/>
      <c r="E320" s="521"/>
      <c r="F320" s="521"/>
    </row>
    <row r="321" spans="2:6" x14ac:dyDescent="0.35">
      <c r="B321" s="520">
        <f t="shared" si="7"/>
        <v>46248</v>
      </c>
      <c r="C321" s="520" t="str">
        <f t="shared" si="5"/>
        <v>金</v>
      </c>
      <c r="D321" s="521"/>
      <c r="E321" s="521"/>
      <c r="F321" s="521"/>
    </row>
    <row r="322" spans="2:6" x14ac:dyDescent="0.35">
      <c r="B322" s="524">
        <f t="shared" si="7"/>
        <v>46249</v>
      </c>
      <c r="C322" s="524" t="str">
        <f t="shared" si="5"/>
        <v>土</v>
      </c>
      <c r="D322" s="521"/>
      <c r="E322" s="521"/>
      <c r="F322" s="521"/>
    </row>
    <row r="323" spans="2:6" x14ac:dyDescent="0.35">
      <c r="B323" s="525">
        <f t="shared" si="7"/>
        <v>46250</v>
      </c>
      <c r="C323" s="525" t="str">
        <f t="shared" si="5"/>
        <v>日</v>
      </c>
      <c r="D323" s="521"/>
      <c r="E323" s="521"/>
      <c r="F323" s="521"/>
    </row>
    <row r="324" spans="2:6" x14ac:dyDescent="0.35">
      <c r="B324" s="520">
        <f t="shared" si="7"/>
        <v>46251</v>
      </c>
      <c r="C324" s="520" t="str">
        <f t="shared" si="5"/>
        <v>月</v>
      </c>
      <c r="D324" s="521"/>
      <c r="E324" s="521"/>
      <c r="F324" s="521"/>
    </row>
    <row r="325" spans="2:6" x14ac:dyDescent="0.35">
      <c r="B325" s="520">
        <f t="shared" ref="B325:B337" si="8">B324+1</f>
        <v>46252</v>
      </c>
      <c r="C325" s="520" t="str">
        <f t="shared" si="5"/>
        <v>火</v>
      </c>
      <c r="D325" s="521"/>
      <c r="E325" s="521"/>
      <c r="F325" s="521"/>
    </row>
    <row r="326" spans="2:6" x14ac:dyDescent="0.35">
      <c r="B326" s="520">
        <f t="shared" si="8"/>
        <v>46253</v>
      </c>
      <c r="C326" s="520" t="str">
        <f t="shared" si="5"/>
        <v>水</v>
      </c>
      <c r="D326" s="521"/>
      <c r="E326" s="521"/>
      <c r="F326" s="521"/>
    </row>
    <row r="327" spans="2:6" x14ac:dyDescent="0.35">
      <c r="B327" s="520">
        <f t="shared" si="8"/>
        <v>46254</v>
      </c>
      <c r="C327" s="520" t="str">
        <f t="shared" si="5"/>
        <v>木</v>
      </c>
      <c r="D327" s="521"/>
      <c r="E327" s="521"/>
      <c r="F327" s="521"/>
    </row>
    <row r="328" spans="2:6" x14ac:dyDescent="0.35">
      <c r="B328" s="520">
        <f t="shared" si="8"/>
        <v>46255</v>
      </c>
      <c r="C328" s="520" t="str">
        <f t="shared" si="5"/>
        <v>金</v>
      </c>
      <c r="D328" s="521"/>
      <c r="E328" s="521"/>
      <c r="F328" s="521"/>
    </row>
    <row r="329" spans="2:6" x14ac:dyDescent="0.35">
      <c r="B329" s="524">
        <f t="shared" si="8"/>
        <v>46256</v>
      </c>
      <c r="C329" s="524" t="str">
        <f t="shared" si="5"/>
        <v>土</v>
      </c>
      <c r="D329" s="521"/>
      <c r="E329" s="521"/>
      <c r="F329" s="521"/>
    </row>
    <row r="330" spans="2:6" x14ac:dyDescent="0.35">
      <c r="B330" s="525">
        <f t="shared" si="8"/>
        <v>46257</v>
      </c>
      <c r="C330" s="525" t="str">
        <f t="shared" si="5"/>
        <v>日</v>
      </c>
      <c r="D330" s="521"/>
      <c r="E330" s="521"/>
      <c r="F330" s="521"/>
    </row>
    <row r="331" spans="2:6" x14ac:dyDescent="0.35">
      <c r="B331" s="520">
        <f t="shared" si="8"/>
        <v>46258</v>
      </c>
      <c r="C331" s="520" t="str">
        <f t="shared" si="5"/>
        <v>月</v>
      </c>
      <c r="D331" s="521"/>
      <c r="E331" s="521"/>
      <c r="F331" s="521"/>
    </row>
    <row r="332" spans="2:6" x14ac:dyDescent="0.35">
      <c r="B332" s="520">
        <f t="shared" si="8"/>
        <v>46259</v>
      </c>
      <c r="C332" s="520" t="str">
        <f t="shared" si="5"/>
        <v>火</v>
      </c>
      <c r="D332" s="521"/>
      <c r="E332" s="521"/>
      <c r="F332" s="521"/>
    </row>
    <row r="333" spans="2:6" x14ac:dyDescent="0.35">
      <c r="B333" s="520">
        <f t="shared" si="8"/>
        <v>46260</v>
      </c>
      <c r="C333" s="520" t="str">
        <f t="shared" si="5"/>
        <v>水</v>
      </c>
      <c r="D333" s="521"/>
      <c r="E333" s="521"/>
      <c r="F333" s="521"/>
    </row>
    <row r="334" spans="2:6" x14ac:dyDescent="0.35">
      <c r="B334" s="520">
        <f t="shared" si="8"/>
        <v>46261</v>
      </c>
      <c r="C334" s="520" t="str">
        <f t="shared" si="5"/>
        <v>木</v>
      </c>
      <c r="D334" s="521"/>
      <c r="E334" s="521"/>
      <c r="F334" s="521"/>
    </row>
    <row r="335" spans="2:6" x14ac:dyDescent="0.35">
      <c r="B335" s="520">
        <f t="shared" si="8"/>
        <v>46262</v>
      </c>
      <c r="C335" s="520" t="str">
        <f t="shared" si="5"/>
        <v>金</v>
      </c>
      <c r="D335" s="521"/>
      <c r="E335" s="521"/>
      <c r="F335" s="521"/>
    </row>
    <row r="336" spans="2:6" x14ac:dyDescent="0.35">
      <c r="B336" s="524">
        <f t="shared" si="8"/>
        <v>46263</v>
      </c>
      <c r="C336" s="524" t="str">
        <f t="shared" si="5"/>
        <v>土</v>
      </c>
      <c r="D336" s="521"/>
      <c r="E336" s="521"/>
      <c r="F336" s="521"/>
    </row>
    <row r="337" spans="2:6" x14ac:dyDescent="0.35">
      <c r="B337" s="525">
        <f t="shared" si="8"/>
        <v>46264</v>
      </c>
      <c r="C337" s="525" t="str">
        <f t="shared" si="5"/>
        <v>日</v>
      </c>
      <c r="D337" s="521"/>
      <c r="E337" s="521"/>
      <c r="F337" s="521"/>
    </row>
  </sheetData>
  <mergeCells count="20">
    <mergeCell ref="D86:E86"/>
    <mergeCell ref="D44:D45"/>
    <mergeCell ref="E44:E45"/>
    <mergeCell ref="F44:F45"/>
    <mergeCell ref="D46:F46"/>
    <mergeCell ref="D60:F62"/>
    <mergeCell ref="D65:F69"/>
    <mergeCell ref="D72:F74"/>
    <mergeCell ref="D76:F76"/>
    <mergeCell ref="D79:D82"/>
    <mergeCell ref="F79:F82"/>
    <mergeCell ref="D83:F83"/>
    <mergeCell ref="D38:D41"/>
    <mergeCell ref="E38:E41"/>
    <mergeCell ref="F38:F41"/>
    <mergeCell ref="D11:F11"/>
    <mergeCell ref="E30:F30"/>
    <mergeCell ref="D31:D34"/>
    <mergeCell ref="F31:F34"/>
    <mergeCell ref="E32:E34"/>
  </mergeCells>
  <phoneticPr fontId="1"/>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49305-6054-45BA-B783-A036839A7AA9}">
  <dimension ref="B2:AF55"/>
  <sheetViews>
    <sheetView showGridLines="0" zoomScale="50" zoomScaleNormal="50" workbookViewId="0">
      <selection activeCell="AB47" sqref="AB47"/>
    </sheetView>
  </sheetViews>
  <sheetFormatPr defaultRowHeight="18" x14ac:dyDescent="0.35"/>
  <sheetData>
    <row r="2" spans="2:32" x14ac:dyDescent="0.35">
      <c r="B2" t="s">
        <v>7</v>
      </c>
      <c r="C2" t="s">
        <v>8</v>
      </c>
      <c r="D2" t="s">
        <v>9</v>
      </c>
      <c r="E2" t="s">
        <v>10</v>
      </c>
      <c r="S2" t="s">
        <v>7</v>
      </c>
      <c r="T2" t="s">
        <v>8</v>
      </c>
    </row>
    <row r="3" spans="2:32" x14ac:dyDescent="0.35">
      <c r="B3" t="s">
        <v>11</v>
      </c>
      <c r="C3">
        <v>50</v>
      </c>
      <c r="D3">
        <v>10</v>
      </c>
      <c r="E3">
        <v>20</v>
      </c>
      <c r="S3" t="s">
        <v>11</v>
      </c>
      <c r="T3">
        <v>50</v>
      </c>
    </row>
    <row r="4" spans="2:32" x14ac:dyDescent="0.35">
      <c r="B4" t="s">
        <v>12</v>
      </c>
      <c r="C4">
        <v>55</v>
      </c>
      <c r="D4">
        <v>25</v>
      </c>
      <c r="E4">
        <v>22</v>
      </c>
      <c r="S4" t="s">
        <v>12</v>
      </c>
      <c r="T4">
        <v>55</v>
      </c>
    </row>
    <row r="5" spans="2:32" x14ac:dyDescent="0.35">
      <c r="B5" t="s">
        <v>13</v>
      </c>
      <c r="C5">
        <v>52</v>
      </c>
      <c r="D5">
        <v>45</v>
      </c>
      <c r="E5">
        <v>25</v>
      </c>
      <c r="S5" t="s">
        <v>13</v>
      </c>
      <c r="T5">
        <v>52</v>
      </c>
    </row>
    <row r="6" spans="2:32" x14ac:dyDescent="0.35">
      <c r="B6" t="s">
        <v>14</v>
      </c>
      <c r="C6">
        <v>50</v>
      </c>
      <c r="D6">
        <v>70</v>
      </c>
      <c r="E6">
        <v>25</v>
      </c>
      <c r="S6" t="s">
        <v>14</v>
      </c>
      <c r="T6">
        <v>80</v>
      </c>
    </row>
    <row r="16" spans="2:32" x14ac:dyDescent="0.35">
      <c r="AF16" t="s">
        <v>25</v>
      </c>
    </row>
    <row r="18" spans="2:20" x14ac:dyDescent="0.35">
      <c r="B18" t="s">
        <v>7</v>
      </c>
      <c r="C18" t="s">
        <v>8</v>
      </c>
      <c r="D18" t="s">
        <v>9</v>
      </c>
      <c r="E18" t="s">
        <v>10</v>
      </c>
    </row>
    <row r="19" spans="2:20" x14ac:dyDescent="0.35">
      <c r="B19" t="s">
        <v>15</v>
      </c>
      <c r="C19">
        <v>100</v>
      </c>
      <c r="D19">
        <v>100</v>
      </c>
      <c r="E19">
        <v>100</v>
      </c>
      <c r="S19" t="s">
        <v>7</v>
      </c>
      <c r="T19" t="s">
        <v>8</v>
      </c>
    </row>
    <row r="20" spans="2:20" x14ac:dyDescent="0.35">
      <c r="B20" t="s">
        <v>16</v>
      </c>
      <c r="C20">
        <v>105</v>
      </c>
      <c r="D20">
        <v>90</v>
      </c>
      <c r="E20">
        <v>110</v>
      </c>
      <c r="S20" t="s">
        <v>11</v>
      </c>
      <c r="T20">
        <v>50</v>
      </c>
    </row>
    <row r="21" spans="2:20" x14ac:dyDescent="0.35">
      <c r="B21" t="s">
        <v>17</v>
      </c>
      <c r="C21">
        <v>110</v>
      </c>
      <c r="D21">
        <v>75</v>
      </c>
      <c r="E21">
        <v>90</v>
      </c>
      <c r="S21" t="s">
        <v>12</v>
      </c>
      <c r="T21">
        <v>55</v>
      </c>
    </row>
    <row r="22" spans="2:20" x14ac:dyDescent="0.35">
      <c r="B22" t="s">
        <v>18</v>
      </c>
      <c r="C22">
        <v>115</v>
      </c>
      <c r="D22">
        <v>60</v>
      </c>
      <c r="E22">
        <v>80</v>
      </c>
      <c r="S22" t="s">
        <v>13</v>
      </c>
      <c r="T22">
        <v>52</v>
      </c>
    </row>
    <row r="23" spans="2:20" x14ac:dyDescent="0.35">
      <c r="B23" t="s">
        <v>19</v>
      </c>
      <c r="C23">
        <v>120</v>
      </c>
      <c r="D23">
        <v>55</v>
      </c>
      <c r="E23">
        <v>45</v>
      </c>
      <c r="S23" t="s">
        <v>14</v>
      </c>
      <c r="T23">
        <v>80</v>
      </c>
    </row>
    <row r="33" spans="2:3" x14ac:dyDescent="0.35">
      <c r="B33" t="s">
        <v>7</v>
      </c>
      <c r="C33" t="s">
        <v>20</v>
      </c>
    </row>
    <row r="34" spans="2:3" x14ac:dyDescent="0.35">
      <c r="B34" t="s">
        <v>8</v>
      </c>
      <c r="C34">
        <v>60</v>
      </c>
    </row>
    <row r="35" spans="2:3" x14ac:dyDescent="0.35">
      <c r="B35" t="s">
        <v>9</v>
      </c>
      <c r="C35">
        <v>20</v>
      </c>
    </row>
    <row r="36" spans="2:3" x14ac:dyDescent="0.35">
      <c r="B36" t="s">
        <v>10</v>
      </c>
      <c r="C36">
        <v>15</v>
      </c>
    </row>
    <row r="37" spans="2:3" x14ac:dyDescent="0.35">
      <c r="B37" t="s">
        <v>21</v>
      </c>
      <c r="C37">
        <v>5</v>
      </c>
    </row>
    <row r="51" spans="2:5" x14ac:dyDescent="0.35">
      <c r="B51" t="s">
        <v>7</v>
      </c>
      <c r="C51" t="s">
        <v>22</v>
      </c>
      <c r="D51" t="s">
        <v>23</v>
      </c>
      <c r="E51" t="s">
        <v>24</v>
      </c>
    </row>
    <row r="52" spans="2:5" x14ac:dyDescent="0.35">
      <c r="B52" t="s">
        <v>21</v>
      </c>
      <c r="C52">
        <v>4.3</v>
      </c>
      <c r="D52">
        <v>2.4</v>
      </c>
      <c r="E52">
        <v>2</v>
      </c>
    </row>
    <row r="53" spans="2:5" x14ac:dyDescent="0.35">
      <c r="B53" t="s">
        <v>10</v>
      </c>
      <c r="C53">
        <v>2.5</v>
      </c>
      <c r="D53">
        <v>4.4000000000000004</v>
      </c>
      <c r="E53">
        <v>2</v>
      </c>
    </row>
    <row r="54" spans="2:5" x14ac:dyDescent="0.35">
      <c r="B54" t="s">
        <v>9</v>
      </c>
      <c r="C54">
        <v>3.5</v>
      </c>
      <c r="D54">
        <v>1.8</v>
      </c>
      <c r="E54">
        <v>3</v>
      </c>
    </row>
    <row r="55" spans="2:5" x14ac:dyDescent="0.35">
      <c r="B55" t="s">
        <v>8</v>
      </c>
      <c r="C55">
        <v>4.5</v>
      </c>
      <c r="D55">
        <v>2.8</v>
      </c>
      <c r="E55">
        <v>5</v>
      </c>
    </row>
  </sheetData>
  <phoneticPr fontId="1"/>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97A3-32D8-4D62-8C5F-25125DCA65B2}">
  <dimension ref="B2:F36"/>
  <sheetViews>
    <sheetView showGridLines="0" zoomScale="115" zoomScaleNormal="115" workbookViewId="0">
      <selection activeCell="B2" sqref="B2"/>
    </sheetView>
  </sheetViews>
  <sheetFormatPr defaultRowHeight="18" x14ac:dyDescent="0.35"/>
  <cols>
    <col min="2" max="5" width="16.125" customWidth="1"/>
    <col min="6" max="6" width="55.5" customWidth="1"/>
  </cols>
  <sheetData>
    <row r="2" spans="2:6" ht="19.5" x14ac:dyDescent="0.35">
      <c r="B2" s="2" t="s">
        <v>26</v>
      </c>
      <c r="C2" s="3" t="s">
        <v>26</v>
      </c>
      <c r="D2" s="3" t="s">
        <v>26</v>
      </c>
      <c r="E2" s="3" t="s">
        <v>26</v>
      </c>
      <c r="F2" s="1" t="s">
        <v>26</v>
      </c>
    </row>
    <row r="3" spans="2:6" ht="22.5" customHeight="1" x14ac:dyDescent="0.35">
      <c r="B3" s="449" t="s">
        <v>27</v>
      </c>
      <c r="C3" s="15" t="s">
        <v>28</v>
      </c>
      <c r="D3" s="15" t="s">
        <v>28</v>
      </c>
      <c r="E3" s="15" t="s">
        <v>28</v>
      </c>
      <c r="F3" s="21" t="s">
        <v>29</v>
      </c>
    </row>
    <row r="4" spans="2:6" ht="22.5" customHeight="1" x14ac:dyDescent="0.35">
      <c r="B4" s="450" t="s">
        <v>27</v>
      </c>
      <c r="C4" s="16" t="s">
        <v>28</v>
      </c>
      <c r="D4" s="16" t="s">
        <v>28</v>
      </c>
      <c r="E4" s="18" t="s">
        <v>28</v>
      </c>
      <c r="F4" s="20" t="s">
        <v>29</v>
      </c>
    </row>
    <row r="5" spans="2:6" ht="22.5" customHeight="1" x14ac:dyDescent="0.35">
      <c r="B5" s="450" t="s">
        <v>27</v>
      </c>
      <c r="C5" s="16" t="s">
        <v>28</v>
      </c>
      <c r="D5" s="16" t="s">
        <v>28</v>
      </c>
      <c r="E5" s="18" t="s">
        <v>28</v>
      </c>
      <c r="F5" s="19" t="s">
        <v>29</v>
      </c>
    </row>
    <row r="6" spans="2:6" ht="22.5" customHeight="1" x14ac:dyDescent="0.35">
      <c r="B6" s="450" t="s">
        <v>27</v>
      </c>
      <c r="C6" s="16" t="s">
        <v>28</v>
      </c>
      <c r="D6" s="16" t="s">
        <v>28</v>
      </c>
      <c r="E6" s="18" t="s">
        <v>28</v>
      </c>
      <c r="F6" s="19" t="s">
        <v>29</v>
      </c>
    </row>
    <row r="7" spans="2:6" ht="22.5" customHeight="1" x14ac:dyDescent="0.35">
      <c r="B7" s="450" t="s">
        <v>27</v>
      </c>
      <c r="C7" s="16" t="s">
        <v>28</v>
      </c>
      <c r="D7" s="16" t="s">
        <v>28</v>
      </c>
      <c r="E7" s="18" t="s">
        <v>28</v>
      </c>
      <c r="F7" s="19" t="s">
        <v>29</v>
      </c>
    </row>
    <row r="8" spans="2:6" ht="22.5" customHeight="1" x14ac:dyDescent="0.35">
      <c r="B8" s="450" t="s">
        <v>27</v>
      </c>
      <c r="C8" s="16" t="s">
        <v>28</v>
      </c>
      <c r="D8" s="16" t="s">
        <v>28</v>
      </c>
      <c r="E8" s="18" t="s">
        <v>28</v>
      </c>
      <c r="F8" s="19" t="s">
        <v>29</v>
      </c>
    </row>
    <row r="11" spans="2:6" ht="19.5" x14ac:dyDescent="0.35">
      <c r="B11" s="2" t="s">
        <v>26</v>
      </c>
      <c r="C11" s="3" t="s">
        <v>26</v>
      </c>
      <c r="D11" s="3" t="s">
        <v>26</v>
      </c>
      <c r="E11" s="3" t="s">
        <v>26</v>
      </c>
      <c r="F11" s="1" t="s">
        <v>26</v>
      </c>
    </row>
    <row r="12" spans="2:6" ht="20.100000000000001" customHeight="1" x14ac:dyDescent="0.35">
      <c r="B12" s="586" t="s">
        <v>27</v>
      </c>
      <c r="C12" s="22" t="s">
        <v>28</v>
      </c>
      <c r="D12" s="22" t="s">
        <v>28</v>
      </c>
      <c r="E12" s="14" t="s">
        <v>28</v>
      </c>
      <c r="F12" s="24" t="s">
        <v>29</v>
      </c>
    </row>
    <row r="13" spans="2:6" ht="20.100000000000001" customHeight="1" x14ac:dyDescent="0.35">
      <c r="B13" s="587"/>
      <c r="C13" s="16" t="s">
        <v>28</v>
      </c>
      <c r="D13" s="16" t="s">
        <v>28</v>
      </c>
      <c r="E13" s="23" t="s">
        <v>28</v>
      </c>
      <c r="F13" s="20" t="s">
        <v>29</v>
      </c>
    </row>
    <row r="14" spans="2:6" ht="20.100000000000001" customHeight="1" x14ac:dyDescent="0.35">
      <c r="B14" s="588" t="s">
        <v>27</v>
      </c>
      <c r="C14" s="25" t="s">
        <v>28</v>
      </c>
      <c r="D14" s="25" t="s">
        <v>28</v>
      </c>
      <c r="E14" s="25" t="s">
        <v>28</v>
      </c>
      <c r="F14" s="26" t="s">
        <v>29</v>
      </c>
    </row>
    <row r="15" spans="2:6" ht="20.100000000000001" customHeight="1" x14ac:dyDescent="0.35">
      <c r="B15" s="587"/>
      <c r="C15" s="16" t="s">
        <v>28</v>
      </c>
      <c r="D15" s="16" t="s">
        <v>28</v>
      </c>
      <c r="E15" s="16" t="s">
        <v>28</v>
      </c>
      <c r="F15" s="19" t="s">
        <v>29</v>
      </c>
    </row>
    <row r="16" spans="2:6" ht="20.100000000000001" customHeight="1" x14ac:dyDescent="0.35">
      <c r="B16" s="588" t="s">
        <v>27</v>
      </c>
      <c r="C16" s="25" t="s">
        <v>28</v>
      </c>
      <c r="D16" s="25" t="s">
        <v>28</v>
      </c>
      <c r="E16" s="25" t="s">
        <v>28</v>
      </c>
      <c r="F16" s="26" t="s">
        <v>29</v>
      </c>
    </row>
    <row r="17" spans="2:6" ht="20.100000000000001" customHeight="1" x14ac:dyDescent="0.35">
      <c r="B17" s="587"/>
      <c r="C17" s="16" t="s">
        <v>28</v>
      </c>
      <c r="D17" s="16" t="s">
        <v>28</v>
      </c>
      <c r="E17" s="16" t="s">
        <v>28</v>
      </c>
      <c r="F17" s="19" t="s">
        <v>29</v>
      </c>
    </row>
    <row r="20" spans="2:6" ht="19.5" x14ac:dyDescent="0.35">
      <c r="B20" s="2" t="s">
        <v>26</v>
      </c>
      <c r="C20" s="3" t="s">
        <v>26</v>
      </c>
      <c r="D20" s="27" t="s">
        <v>26</v>
      </c>
      <c r="E20" s="3" t="s">
        <v>26</v>
      </c>
    </row>
    <row r="21" spans="2:6" x14ac:dyDescent="0.35">
      <c r="B21" s="586" t="s">
        <v>27</v>
      </c>
      <c r="C21" s="28" t="s">
        <v>28</v>
      </c>
      <c r="D21" s="40" t="s">
        <v>28</v>
      </c>
      <c r="E21" s="32" t="s">
        <v>28</v>
      </c>
    </row>
    <row r="22" spans="2:6" x14ac:dyDescent="0.35">
      <c r="B22" s="587"/>
      <c r="C22" s="33" t="s">
        <v>28</v>
      </c>
      <c r="D22" s="41" t="s">
        <v>28</v>
      </c>
      <c r="E22" s="38" t="s">
        <v>28</v>
      </c>
    </row>
    <row r="23" spans="2:6" x14ac:dyDescent="0.35">
      <c r="B23" s="588" t="s">
        <v>27</v>
      </c>
      <c r="C23" s="30" t="s">
        <v>28</v>
      </c>
      <c r="D23" s="42" t="s">
        <v>28</v>
      </c>
      <c r="E23" s="31" t="s">
        <v>28</v>
      </c>
    </row>
    <row r="24" spans="2:6" x14ac:dyDescent="0.35">
      <c r="B24" s="587"/>
      <c r="C24" s="29" t="s">
        <v>28</v>
      </c>
      <c r="D24" s="43" t="s">
        <v>28</v>
      </c>
      <c r="E24" s="36" t="s">
        <v>28</v>
      </c>
    </row>
    <row r="25" spans="2:6" x14ac:dyDescent="0.35">
      <c r="B25" s="588" t="s">
        <v>27</v>
      </c>
      <c r="C25" s="34" t="s">
        <v>28</v>
      </c>
      <c r="D25" s="44" t="s">
        <v>28</v>
      </c>
      <c r="E25" s="37" t="s">
        <v>28</v>
      </c>
    </row>
    <row r="26" spans="2:6" ht="18.75" thickBot="1" x14ac:dyDescent="0.4">
      <c r="B26" s="587"/>
      <c r="C26" s="33" t="s">
        <v>28</v>
      </c>
      <c r="D26" s="45" t="s">
        <v>28</v>
      </c>
      <c r="E26" s="36" t="s">
        <v>28</v>
      </c>
    </row>
    <row r="27" spans="2:6" ht="18.75" thickTop="1" x14ac:dyDescent="0.35">
      <c r="D27" s="35"/>
    </row>
    <row r="29" spans="2:6" ht="19.5" x14ac:dyDescent="0.35">
      <c r="B29" s="2" t="s">
        <v>26</v>
      </c>
      <c r="C29" s="3" t="s">
        <v>26</v>
      </c>
      <c r="D29" s="3" t="s">
        <v>26</v>
      </c>
      <c r="E29" s="3" t="s">
        <v>26</v>
      </c>
    </row>
    <row r="30" spans="2:6" x14ac:dyDescent="0.35">
      <c r="B30" s="586" t="s">
        <v>27</v>
      </c>
      <c r="C30" s="22" t="s">
        <v>28</v>
      </c>
      <c r="D30" s="22" t="s">
        <v>28</v>
      </c>
      <c r="E30" s="14" t="s">
        <v>28</v>
      </c>
    </row>
    <row r="31" spans="2:6" x14ac:dyDescent="0.35">
      <c r="B31" s="587"/>
      <c r="C31" s="16" t="s">
        <v>28</v>
      </c>
      <c r="D31" s="16" t="s">
        <v>28</v>
      </c>
      <c r="E31" s="23" t="s">
        <v>28</v>
      </c>
    </row>
    <row r="32" spans="2:6" x14ac:dyDescent="0.35">
      <c r="B32" s="588" t="s">
        <v>27</v>
      </c>
      <c r="C32" s="25" t="s">
        <v>28</v>
      </c>
      <c r="D32" s="25" t="s">
        <v>28</v>
      </c>
      <c r="E32" s="25" t="s">
        <v>28</v>
      </c>
    </row>
    <row r="33" spans="2:6" ht="18.75" thickBot="1" x14ac:dyDescent="0.4">
      <c r="B33" s="589"/>
      <c r="C33" s="17" t="s">
        <v>28</v>
      </c>
      <c r="D33" s="17" t="s">
        <v>28</v>
      </c>
      <c r="E33" s="17" t="s">
        <v>28</v>
      </c>
    </row>
    <row r="34" spans="2:6" ht="18.75" thickTop="1" x14ac:dyDescent="0.35">
      <c r="B34" s="590" t="s">
        <v>27</v>
      </c>
      <c r="C34" s="46" t="s">
        <v>28</v>
      </c>
      <c r="D34" s="46" t="s">
        <v>28</v>
      </c>
      <c r="E34" s="47" t="s">
        <v>28</v>
      </c>
      <c r="F34" s="39"/>
    </row>
    <row r="35" spans="2:6" ht="18.75" thickBot="1" x14ac:dyDescent="0.4">
      <c r="B35" s="590"/>
      <c r="C35" s="48" t="s">
        <v>28</v>
      </c>
      <c r="D35" s="48" t="s">
        <v>28</v>
      </c>
      <c r="E35" s="49" t="s">
        <v>28</v>
      </c>
      <c r="F35" s="39"/>
    </row>
    <row r="36" spans="2:6" ht="18.75" thickTop="1" x14ac:dyDescent="0.35">
      <c r="B36" s="35"/>
      <c r="C36" s="35"/>
      <c r="D36" s="35"/>
      <c r="E36" s="35"/>
    </row>
  </sheetData>
  <mergeCells count="9">
    <mergeCell ref="B30:B31"/>
    <mergeCell ref="B32:B33"/>
    <mergeCell ref="B34:B35"/>
    <mergeCell ref="B12:B13"/>
    <mergeCell ref="B14:B15"/>
    <mergeCell ref="B16:B17"/>
    <mergeCell ref="B21:B22"/>
    <mergeCell ref="B23:B24"/>
    <mergeCell ref="B25:B2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46</vt:i4>
      </vt:variant>
    </vt:vector>
  </HeadingPairs>
  <TitlesOfParts>
    <vt:vector size="46" baseType="lpstr">
      <vt:lpstr>ルール</vt:lpstr>
      <vt:lpstr>財務入力→</vt:lpstr>
      <vt:lpstr>BS(借方)</vt:lpstr>
      <vt:lpstr>BS (貸方)</vt:lpstr>
      <vt:lpstr>PL</vt:lpstr>
      <vt:lpstr>CR</vt:lpstr>
      <vt:lpstr>SGA</vt:lpstr>
      <vt:lpstr>VR→ </vt:lpstr>
      <vt:lpstr>株式価値 </vt:lpstr>
      <vt:lpstr>修正BS(借方)</vt:lpstr>
      <vt:lpstr>売掛・棚卸</vt:lpstr>
      <vt:lpstr>減価償却</vt:lpstr>
      <vt:lpstr>土地</vt:lpstr>
      <vt:lpstr>保険</vt:lpstr>
      <vt:lpstr>有価証券</vt:lpstr>
      <vt:lpstr>修正BS(貸方) </vt:lpstr>
      <vt:lpstr>未払人件費・賞与</vt:lpstr>
      <vt:lpstr>退職金</vt:lpstr>
      <vt:lpstr>税効果</vt:lpstr>
      <vt:lpstr>ネットキャッシュ</vt:lpstr>
      <vt:lpstr>修正PL</vt:lpstr>
      <vt:lpstr>修正SGA</vt:lpstr>
      <vt:lpstr>修正CR</vt:lpstr>
      <vt:lpstr>年買法</vt:lpstr>
      <vt:lpstr>EV EBITDAマルチプル</vt:lpstr>
      <vt:lpstr>参照企業</vt:lpstr>
      <vt:lpstr>IM→</vt:lpstr>
      <vt:lpstr>会社概要</vt:lpstr>
      <vt:lpstr>PLハイライト</vt:lpstr>
      <vt:lpstr>BSハイライト</vt:lpstr>
      <vt:lpstr>取引先</vt:lpstr>
      <vt:lpstr>仕入先</vt:lpstr>
      <vt:lpstr>外注先</vt:lpstr>
      <vt:lpstr>株主</vt:lpstr>
      <vt:lpstr>取締役</vt:lpstr>
      <vt:lpstr>従業員</vt:lpstr>
      <vt:lpstr>拠点(本社等)</vt:lpstr>
      <vt:lpstr>不動産(所有)</vt:lpstr>
      <vt:lpstr>不動産(賃借) </vt:lpstr>
      <vt:lpstr>設備</vt:lpstr>
      <vt:lpstr>財務</vt:lpstr>
      <vt:lpstr>その他</vt:lpstr>
      <vt:lpstr>スケジュール(横)</vt:lpstr>
      <vt:lpstr>スケジュール(縦)</vt:lpstr>
      <vt:lpstr>グラフ</vt:lpstr>
      <vt:lpstr>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直子 渡辺</dc:creator>
  <cp:lastModifiedBy>D07</cp:lastModifiedBy>
  <dcterms:created xsi:type="dcterms:W3CDTF">2026-01-09T01:04:21Z</dcterms:created>
  <dcterms:modified xsi:type="dcterms:W3CDTF">2026-07-29T06:14:01Z</dcterms:modified>
</cp:coreProperties>
</file>