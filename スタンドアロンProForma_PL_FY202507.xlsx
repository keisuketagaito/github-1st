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①スタンドアロンPL" sheetId="1" state="visible" r:id="rId3"/>
    <sheet name="②決算書→スタンドアロン" sheetId="2" state="visible" r:id="rId4"/>
    <sheet name="③共通部門の処理方針" sheetId="3" state="visible" r:id="rId5"/>
    <sheet name="④感応度分析" sheetId="4" state="visible" r:id="rId6"/>
    <sheet name="⑤前提・注記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<sst xmlns="http://schemas.openxmlformats.org/spreadsheetml/2006/main" count="281" uniqueCount="229">
  <si>
    <r>
      <rPr>
        <b val="true"/>
        <sz val="14"/>
        <color rgb="FF1E2761"/>
        <rFont val="WenQuanYi Zen Hei"/>
        <family val="2"/>
      </rPr>
      <t xml:space="preserve">譲渡対象事業 スタンドアロン </t>
    </r>
    <r>
      <rPr>
        <b val="true"/>
        <sz val="14"/>
        <color rgb="FF1E2761"/>
        <rFont val="Arial"/>
        <family val="0"/>
        <charset val="1"/>
      </rPr>
      <t xml:space="preserve">Pro-Forma P&amp;L</t>
    </r>
    <r>
      <rPr>
        <b val="true"/>
        <sz val="14"/>
        <color rgb="FF1E2761"/>
        <rFont val="WenQuanYi Zen Hei"/>
        <family val="2"/>
      </rPr>
      <t xml:space="preserve">（</t>
    </r>
    <r>
      <rPr>
        <b val="true"/>
        <sz val="14"/>
        <color rgb="FF1E2761"/>
        <rFont val="Arial"/>
        <family val="0"/>
        <charset val="1"/>
      </rPr>
      <t xml:space="preserve">2025</t>
    </r>
    <r>
      <rPr>
        <b val="true"/>
        <sz val="14"/>
        <color rgb="FF1E2761"/>
        <rFont val="WenQuanYi Zen Hei"/>
        <family val="2"/>
      </rPr>
      <t xml:space="preserve">年</t>
    </r>
    <r>
      <rPr>
        <b val="true"/>
        <sz val="14"/>
        <color rgb="FF1E2761"/>
        <rFont val="Arial"/>
        <family val="0"/>
        <charset val="1"/>
      </rPr>
      <t xml:space="preserve">7</t>
    </r>
    <r>
      <rPr>
        <b val="true"/>
        <sz val="14"/>
        <color rgb="FF1E2761"/>
        <rFont val="WenQuanYi Zen Hei"/>
        <family val="2"/>
      </rPr>
      <t xml:space="preserve">月期ベース）</t>
    </r>
  </si>
  <si>
    <r>
      <rPr>
        <i val="true"/>
        <sz val="9"/>
        <color rgb="FF555555"/>
        <rFont val="WenQuanYi Zen Hei"/>
        <family val="2"/>
      </rPr>
      <t xml:space="preserve">譲渡対象</t>
    </r>
    <r>
      <rPr>
        <i val="true"/>
        <sz val="9"/>
        <color rgb="FF555555"/>
        <rFont val="Arial"/>
        <family val="0"/>
        <charset val="1"/>
      </rPr>
      <t xml:space="preserve">2</t>
    </r>
    <r>
      <rPr>
        <i val="true"/>
        <sz val="9"/>
        <color rgb="FF555555"/>
        <rFont val="WenQuanYi Zen Hei"/>
        <family val="2"/>
      </rPr>
      <t xml:space="preserve">事業（広告制作事業／</t>
    </r>
    <r>
      <rPr>
        <i val="true"/>
        <sz val="9"/>
        <color rgb="FF555555"/>
        <rFont val="Arial"/>
        <family val="0"/>
        <charset val="1"/>
      </rPr>
      <t xml:space="preserve">Data &amp; Digital Growth</t>
    </r>
    <r>
      <rPr>
        <i val="true"/>
        <sz val="9"/>
        <color rgb="FF555555"/>
        <rFont val="WenQuanYi Zen Hei"/>
        <family val="2"/>
      </rPr>
      <t xml:space="preserve">事業）を独立会社として運営した場合の正常化営業利益（単位：千円）</t>
    </r>
  </si>
  <si>
    <r>
      <rPr>
        <b val="true"/>
        <sz val="12"/>
        <color rgb="FF1E2761"/>
        <rFont val="WenQuanYi Zen Hei"/>
        <family val="2"/>
      </rPr>
      <t xml:space="preserve">【</t>
    </r>
    <r>
      <rPr>
        <b val="true"/>
        <sz val="12"/>
        <color rgb="FF1E2761"/>
        <rFont val="Arial"/>
        <family val="0"/>
        <charset val="1"/>
      </rPr>
      <t xml:space="preserve">A</t>
    </r>
    <r>
      <rPr>
        <b val="true"/>
        <sz val="12"/>
        <color rgb="FF1E2761"/>
        <rFont val="WenQuanYi Zen Hei"/>
        <family val="2"/>
      </rPr>
      <t xml:space="preserve">】サマリー</t>
    </r>
  </si>
  <si>
    <t xml:space="preserve">項目</t>
  </si>
  <si>
    <t xml:space="preserve">決算書 全社</t>
  </si>
  <si>
    <t xml:space="preserve">①不動産賃貸業
除外</t>
  </si>
  <si>
    <r>
      <rPr>
        <b val="true"/>
        <sz val="10"/>
        <color rgb="FFFFFFFF"/>
        <rFont val="WenQuanYi Zen Hei"/>
        <family val="2"/>
      </rPr>
      <t xml:space="preserve">②業務委託費
除外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既修正③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</si>
  <si>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③SF</t>
    </r>
    <r>
      <rPr>
        <b val="true"/>
        <sz val="10"/>
        <color rgb="FFFFFFFF"/>
        <rFont val="WenQuanYi Zen Hei"/>
        <family val="2"/>
      </rPr>
      <t xml:space="preserve">ライセンス
正常化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既修正④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</si>
  <si>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④オーナー
退任関連除外</t>
  </si>
  <si>
    <t xml:space="preserve">⑤譲渡後
不要費用</t>
  </si>
  <si>
    <r>
      <rPr>
        <b val="true"/>
        <sz val="10"/>
        <color rgb="FFFFFFFF"/>
        <rFont val="WenQuanYi Zen Hei"/>
        <family val="2"/>
      </rPr>
      <t xml:space="preserve">⑥オフィス統合
</t>
    </r>
    <r>
      <rPr>
        <b val="true"/>
        <sz val="10"/>
        <color rgb="FFFFFFFF"/>
        <rFont val="Arial"/>
        <family val="0"/>
        <charset val="1"/>
      </rPr>
      <t xml:space="preserve">(40%)</t>
    </r>
  </si>
  <si>
    <t xml:space="preserve">調整額 計</t>
  </si>
  <si>
    <r>
      <rPr>
        <b val="true"/>
        <sz val="10"/>
        <color rgb="FFFFFFFF"/>
        <rFont val="WenQuanYi Zen Hei"/>
        <family val="2"/>
      </rPr>
      <t xml:space="preserve">スタンドアロン
</t>
    </r>
    <r>
      <rPr>
        <b val="true"/>
        <sz val="10"/>
        <color rgb="FFFFFFFF"/>
        <rFont val="Arial"/>
        <family val="0"/>
        <charset val="1"/>
      </rPr>
      <t xml:space="preserve">Pro-Forma</t>
    </r>
  </si>
  <si>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参考</t>
    </r>
    <r>
      <rPr>
        <b val="true"/>
        <sz val="10"/>
        <color rgb="FFFFFFFF"/>
        <rFont val="Arial"/>
        <family val="0"/>
        <charset val="1"/>
      </rPr>
      <t xml:space="preserve">)
</t>
    </r>
    <r>
      <rPr>
        <b val="true"/>
        <sz val="10"/>
        <color rgb="FFFFFFFF"/>
        <rFont val="WenQuanYi Zen Hei"/>
        <family val="2"/>
      </rPr>
      <t xml:space="preserve">事業利益</t>
    </r>
  </si>
  <si>
    <t xml:space="preserve">売上高</t>
  </si>
  <si>
    <t xml:space="preserve">売上原価</t>
  </si>
  <si>
    <t xml:space="preserve">売上総利益</t>
  </si>
  <si>
    <t xml:space="preserve">販売費及び一般管理費</t>
  </si>
  <si>
    <t xml:space="preserve">営業利益</t>
  </si>
  <si>
    <t xml:space="preserve">　営業利益率</t>
  </si>
  <si>
    <t xml:space="preserve">【検証】決算書ベース営業利益と一致</t>
  </si>
  <si>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列一致</t>
    </r>
    <r>
      <rPr>
        <sz val="10"/>
        <rFont val="Arial"/>
        <family val="0"/>
        <charset val="1"/>
      </rPr>
      <t xml:space="preserve">(=0)</t>
    </r>
    <r>
      <rPr>
        <sz val="10"/>
        <rFont val="WenQuanYi Zen Hei"/>
        <family val="2"/>
      </rPr>
      <t xml:space="preserve">確認</t>
    </r>
  </si>
  <si>
    <r>
      <rPr>
        <b val="true"/>
        <sz val="12"/>
        <color rgb="FF1E2761"/>
        <rFont val="WenQuanYi Zen Hei"/>
        <family val="2"/>
      </rPr>
      <t xml:space="preserve">【</t>
    </r>
    <r>
      <rPr>
        <b val="true"/>
        <sz val="12"/>
        <color rgb="FF1E2761"/>
        <rFont val="Arial"/>
        <family val="0"/>
        <charset val="1"/>
      </rPr>
      <t xml:space="preserve">B</t>
    </r>
    <r>
      <rPr>
        <b val="true"/>
        <sz val="12"/>
        <color rgb="FF1E2761"/>
        <rFont val="WenQuanYi Zen Hei"/>
        <family val="2"/>
      </rPr>
      <t xml:space="preserve">】販売費及び一般管理費 内訳（調整対象項目のみ）</t>
    </r>
  </si>
  <si>
    <t xml:space="preserve">ー役員報酬</t>
  </si>
  <si>
    <r>
      <rPr>
        <sz val="10"/>
        <rFont val="WenQuanYi Zen Hei"/>
        <family val="2"/>
      </rPr>
      <t xml:space="preserve">加藤様分の役員報酬（</t>
    </r>
    <r>
      <rPr>
        <sz val="10"/>
        <rFont val="Arial"/>
        <family val="0"/>
        <charset val="1"/>
      </rPr>
      <t xml:space="preserve">DDG</t>
    </r>
    <r>
      <rPr>
        <sz val="10"/>
        <rFont val="WenQuanYi Zen Hei"/>
        <family val="2"/>
      </rPr>
      <t xml:space="preserve">事業へ既に帰属替え済み）を除外</t>
    </r>
  </si>
  <si>
    <t xml:space="preserve">業務委託費</t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</si>
  <si>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)Kuberu</t>
    </r>
    <r>
      <rPr>
        <sz val="10"/>
        <rFont val="WenQuanYi Zen Hei"/>
        <family val="2"/>
      </rPr>
      <t xml:space="preserve">社等への業務委託料（既修正③）</t>
    </r>
  </si>
  <si>
    <t xml:space="preserve">交際費</t>
  </si>
  <si>
    <r>
      <rPr>
        <sz val="10"/>
        <rFont val="WenQuanYi Zen Hei"/>
        <family val="2"/>
      </rPr>
      <t xml:space="preserve">共通部門計上分＝オーナー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加藤様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関連の会食等</t>
    </r>
  </si>
  <si>
    <t xml:space="preserve">旅費交通費</t>
  </si>
  <si>
    <r>
      <rPr>
        <sz val="10"/>
        <rFont val="WenQuanYi Zen Hei"/>
        <family val="2"/>
      </rPr>
      <t xml:space="preserve">共通部門計上分＝オーナー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加藤様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関連の移動費用</t>
    </r>
  </si>
  <si>
    <t xml:space="preserve">支払報酬料</t>
  </si>
  <si>
    <r>
      <rPr>
        <sz val="10"/>
        <rFont val="WenQuanYi Zen Hei"/>
        <family val="2"/>
      </rPr>
      <t xml:space="preserve">前代表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原田様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退任に伴う顧問報酬等と想定</t>
    </r>
  </si>
  <si>
    <t xml:space="preserve">減価償却費</t>
  </si>
  <si>
    <r>
      <rPr>
        <sz val="10"/>
        <rFont val="WenQuanYi Zen Hei"/>
        <family val="2"/>
      </rPr>
      <t xml:space="preserve">共通部門計上の</t>
    </r>
    <r>
      <rPr>
        <sz val="10"/>
        <rFont val="Arial"/>
        <family val="0"/>
        <charset val="1"/>
      </rPr>
      <t xml:space="preserve">5,736</t>
    </r>
    <r>
      <rPr>
        <sz val="10"/>
        <rFont val="WenQuanYi Zen Hei"/>
        <family val="2"/>
      </rPr>
      <t xml:space="preserve">千円は保有不動産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本社建物・設備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分</t>
    </r>
  </si>
  <si>
    <t xml:space="preserve">租税公課</t>
  </si>
  <si>
    <t xml:space="preserve">保有不動産に係る固定資産税</t>
  </si>
  <si>
    <t xml:space="preserve">水道光熱費</t>
  </si>
  <si>
    <r>
      <rPr>
        <sz val="10"/>
        <rFont val="WenQuanYi Zen Hei"/>
        <family val="2"/>
      </rPr>
      <t xml:space="preserve">本社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保有不動産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の水道光熱費</t>
    </r>
  </si>
  <si>
    <t xml:space="preserve">修繕費</t>
  </si>
  <si>
    <t xml:space="preserve">保有不動産の修繕費</t>
  </si>
  <si>
    <r>
      <rPr>
        <sz val="10"/>
        <rFont val="WenQuanYi Zen Hei"/>
        <family val="2"/>
      </rPr>
      <t xml:space="preserve">支払手数料</t>
    </r>
    <r>
      <rPr>
        <sz val="10"/>
        <rFont val="Arial"/>
        <family val="0"/>
        <charset val="1"/>
      </rPr>
      <t xml:space="preserve">/</t>
    </r>
    <r>
      <rPr>
        <sz val="10"/>
        <rFont val="WenQuanYi Zen Hei"/>
        <family val="2"/>
      </rPr>
      <t xml:space="preserve">システム利用料</t>
    </r>
  </si>
  <si>
    <r>
      <rPr>
        <sz val="10"/>
        <rFont val="Arial"/>
        <family val="0"/>
        <charset val="1"/>
      </rPr>
      <t xml:space="preserve">Salesforce</t>
    </r>
    <r>
      <rPr>
        <sz val="10"/>
        <rFont val="WenQuanYi Zen Hei"/>
        <family val="2"/>
      </rPr>
      <t xml:space="preserve">ライセンス費用の正常化（</t>
    </r>
    <r>
      <rPr>
        <sz val="10"/>
        <rFont val="Arial"/>
        <family val="0"/>
        <charset val="1"/>
      </rPr>
      <t xml:space="preserve">3,118</t>
    </r>
    <r>
      <rPr>
        <sz val="10"/>
        <rFont val="WenQuanYi Zen Hei"/>
        <family val="2"/>
      </rPr>
      <t xml:space="preserve">千円）</t>
    </r>
  </si>
  <si>
    <t xml:space="preserve">研究開発費</t>
  </si>
  <si>
    <r>
      <rPr>
        <sz val="10"/>
        <rFont val="WenQuanYi Zen Hei"/>
        <family val="2"/>
      </rPr>
      <t xml:space="preserve">直近の非経常的な</t>
    </r>
    <r>
      <rPr>
        <sz val="10"/>
        <rFont val="Arial"/>
        <family val="0"/>
        <charset val="1"/>
      </rPr>
      <t xml:space="preserve">DX</t>
    </r>
    <r>
      <rPr>
        <sz val="10"/>
        <rFont val="WenQuanYi Zen Hei"/>
        <family val="2"/>
      </rPr>
      <t xml:space="preserve">投資。譲渡後の継続予定なし</t>
    </r>
  </si>
  <si>
    <t xml:space="preserve">地代家賃</t>
  </si>
  <si>
    <r>
      <rPr>
        <sz val="10"/>
        <rFont val="WenQuanYi Zen Hei"/>
        <family val="2"/>
      </rPr>
      <t xml:space="preserve">買手事務所への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統合を前提とした削減（</t>
    </r>
    <r>
      <rPr>
        <sz val="10"/>
        <rFont val="Arial"/>
        <family val="0"/>
        <charset val="1"/>
      </rPr>
      <t xml:space="preserve">8,023</t>
    </r>
    <r>
      <rPr>
        <sz val="10"/>
        <rFont val="WenQuanYi Zen Hei"/>
        <family val="2"/>
      </rPr>
      <t xml:space="preserve">千円</t>
    </r>
    <r>
      <rPr>
        <sz val="10"/>
        <rFont val="Arial"/>
        <family val="0"/>
        <charset val="1"/>
      </rPr>
      <t xml:space="preserve">×40%</t>
    </r>
    <r>
      <rPr>
        <sz val="10"/>
        <rFont val="WenQuanYi Zen Hei"/>
        <family val="2"/>
      </rPr>
      <t xml:space="preserve">）</t>
    </r>
  </si>
  <si>
    <t xml:space="preserve">共益費</t>
  </si>
  <si>
    <r>
      <rPr>
        <sz val="10"/>
        <rFont val="WenQuanYi Zen Hei"/>
        <family val="2"/>
      </rPr>
      <t xml:space="preserve">同上（</t>
    </r>
    <r>
      <rPr>
        <sz val="10"/>
        <rFont val="Arial"/>
        <family val="0"/>
        <charset val="1"/>
      </rPr>
      <t xml:space="preserve">1,279</t>
    </r>
    <r>
      <rPr>
        <sz val="10"/>
        <rFont val="WenQuanYi Zen Hei"/>
        <family val="2"/>
      </rPr>
      <t xml:space="preserve">千円</t>
    </r>
    <r>
      <rPr>
        <sz val="10"/>
        <rFont val="Arial"/>
        <family val="0"/>
        <charset val="1"/>
      </rPr>
      <t xml:space="preserve">×40%</t>
    </r>
    <r>
      <rPr>
        <sz val="10"/>
        <rFont val="WenQuanYi Zen Hei"/>
        <family val="2"/>
      </rPr>
      <t xml:space="preserve">）</t>
    </r>
  </si>
  <si>
    <t xml:space="preserve">　調整対象項目 小計</t>
  </si>
  <si>
    <t xml:space="preserve">　その他販管費（調整なし）</t>
  </si>
  <si>
    <t xml:space="preserve">　合計（内訳＋その他）＝サマリーの販管費</t>
  </si>
  <si>
    <t xml:space="preserve">決算書 営業利益 → スタンドアロン営業利益 段階式ブリッジ</t>
  </si>
  <si>
    <r>
      <rPr>
        <i val="true"/>
        <sz val="9"/>
        <color rgb="FF555555"/>
        <rFont val="WenQuanYi Zen Hei"/>
        <family val="2"/>
      </rPr>
      <t xml:space="preserve">決算書△</t>
    </r>
    <r>
      <rPr>
        <i val="true"/>
        <sz val="9"/>
        <color rgb="FF555555"/>
        <rFont val="Arial"/>
        <family val="0"/>
        <charset val="1"/>
      </rPr>
      <t xml:space="preserve">40,128</t>
    </r>
    <r>
      <rPr>
        <i val="true"/>
        <sz val="9"/>
        <color rgb="FF555555"/>
        <rFont val="WenQuanYi Zen Hei"/>
        <family val="2"/>
      </rPr>
      <t xml:space="preserve">千円からスタンドアロン営業利益への段階的な調整（単位：千円）</t>
    </r>
  </si>
  <si>
    <t xml:space="preserve">区分</t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</si>
  <si>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千円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</si>
  <si>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累計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千円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</si>
  <si>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出所・備考</t>
  </si>
  <si>
    <r>
      <rPr>
        <b val="true"/>
        <sz val="10"/>
        <color rgb="FF1E2761"/>
        <rFont val="WenQuanYi Zen Hei"/>
        <family val="2"/>
      </rPr>
      <t xml:space="preserve">決算書 営業利益（</t>
    </r>
    <r>
      <rPr>
        <b val="true"/>
        <sz val="10"/>
        <color rgb="FF1E2761"/>
        <rFont val="Arial"/>
        <family val="0"/>
        <charset val="1"/>
      </rPr>
      <t xml:space="preserve">2025</t>
    </r>
    <r>
      <rPr>
        <b val="true"/>
        <sz val="10"/>
        <color rgb="FF1E2761"/>
        <rFont val="WenQuanYi Zen Hei"/>
        <family val="2"/>
      </rPr>
      <t xml:space="preserve">年</t>
    </r>
    <r>
      <rPr>
        <b val="true"/>
        <sz val="10"/>
        <color rgb="FF1E2761"/>
        <rFont val="Arial"/>
        <family val="0"/>
        <charset val="1"/>
      </rPr>
      <t xml:space="preserve">7</t>
    </r>
    <r>
      <rPr>
        <b val="true"/>
        <sz val="10"/>
        <color rgb="FF1E2761"/>
        <rFont val="WenQuanYi Zen Hei"/>
        <family val="2"/>
      </rPr>
      <t xml:space="preserve">月期・全社）</t>
    </r>
  </si>
  <si>
    <r>
      <rPr>
        <b val="true"/>
        <sz val="10"/>
        <color rgb="FF1E2761"/>
        <rFont val="WenQuanYi Zen Hei"/>
        <family val="2"/>
      </rPr>
      <t xml:space="preserve">概要書</t>
    </r>
    <r>
      <rPr>
        <b val="true"/>
        <sz val="10"/>
        <color rgb="FF1E2761"/>
        <rFont val="Arial"/>
        <family val="0"/>
        <charset val="1"/>
      </rPr>
      <t xml:space="preserve">p.36 </t>
    </r>
    <r>
      <rPr>
        <b val="true"/>
        <sz val="10"/>
        <color rgb="FF1E2761"/>
        <rFont val="WenQuanYi Zen Hei"/>
        <family val="2"/>
      </rPr>
      <t xml:space="preserve">損益計算書</t>
    </r>
  </si>
  <si>
    <t xml:space="preserve">【① 不動産賃貸業関連の除外（純額）】</t>
  </si>
  <si>
    <t xml:space="preserve">△</t>
  </si>
  <si>
    <t xml:space="preserve">賃料収入の除外</t>
  </si>
  <si>
    <t xml:space="preserve">不動産賃貸事業は譲渡対象外</t>
  </si>
  <si>
    <t xml:space="preserve">＋</t>
  </si>
  <si>
    <r>
      <rPr>
        <sz val="10"/>
        <rFont val="WenQuanYi Zen Hei"/>
        <family val="2"/>
      </rPr>
      <t xml:space="preserve">売上値引△</t>
    </r>
    <r>
      <rPr>
        <sz val="10"/>
        <rFont val="Arial"/>
        <family val="0"/>
        <charset val="1"/>
      </rPr>
      <t xml:space="preserve">708</t>
    </r>
    <r>
      <rPr>
        <sz val="10"/>
        <rFont val="WenQuanYi Zen Hei"/>
        <family val="2"/>
      </rPr>
      <t xml:space="preserve">千円の除外</t>
    </r>
  </si>
  <si>
    <t xml:space="preserve">共通部門計上の売上調整項目</t>
  </si>
  <si>
    <r>
      <rPr>
        <sz val="10"/>
        <rFont val="WenQuanYi Zen Hei"/>
        <family val="2"/>
      </rPr>
      <t xml:space="preserve">減価償却費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保有不動産分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</si>
  <si>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共通部門計上分。保有不動産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本社建物・設備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の減価償却費</t>
    </r>
  </si>
  <si>
    <r>
      <rPr>
        <sz val="10"/>
        <rFont val="WenQuanYi Zen Hei"/>
        <family val="2"/>
      </rPr>
      <t xml:space="preserve">租税公課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固定資産税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</si>
  <si>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水道光熱費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保有不動産</t>
    </r>
    <r>
      <rPr>
        <sz val="10"/>
        <rFont val="Arial"/>
        <family val="0"/>
        <charset val="1"/>
      </rPr>
      <t xml:space="preserve">)</t>
    </r>
  </si>
  <si>
    <t xml:space="preserve">本社・保有不動産の水道光熱費</t>
  </si>
  <si>
    <r>
      <rPr>
        <sz val="10"/>
        <rFont val="WenQuanYi Zen Hei"/>
        <family val="2"/>
      </rPr>
      <t xml:space="preserve">修繕費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保有不動産</t>
    </r>
    <r>
      <rPr>
        <sz val="10"/>
        <rFont val="Arial"/>
        <family val="0"/>
        <charset val="1"/>
      </rPr>
      <t xml:space="preserve">)</t>
    </r>
  </si>
  <si>
    <t xml:space="preserve">　＝ 累計①</t>
  </si>
  <si>
    <t xml:space="preserve">不動産賃貸業関連の純影響額</t>
  </si>
  <si>
    <t xml:space="preserve">【② 譲渡後発生しない業務委託費（既修正③）】</t>
  </si>
  <si>
    <r>
      <rPr>
        <sz val="10"/>
        <rFont val="WenQuanYi Zen Hei"/>
        <family val="2"/>
      </rPr>
      <t xml:space="preserve">業務委託費の除外</t>
    </r>
    <r>
      <rPr>
        <sz val="10"/>
        <rFont val="Arial"/>
        <family val="0"/>
        <charset val="1"/>
      </rPr>
      <t xml:space="preserve">(Kuberu</t>
    </r>
    <r>
      <rPr>
        <sz val="10"/>
        <rFont val="WenQuanYi Zen Hei"/>
        <family val="2"/>
      </rPr>
      <t xml:space="preserve">社等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</si>
  <si>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株</t>
    </r>
    <r>
      <rPr>
        <sz val="10"/>
        <rFont val="Arial"/>
        <family val="0"/>
        <charset val="1"/>
      </rPr>
      <t xml:space="preserve">)Kuberu</t>
    </r>
    <r>
      <rPr>
        <sz val="10"/>
        <rFont val="WenQuanYi Zen Hei"/>
        <family val="2"/>
      </rPr>
      <t xml:space="preserve">社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前代表・原田様の資産管理会社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および退職者への業務継続費用</t>
    </r>
  </si>
  <si>
    <t xml:space="preserve">　＝ 累計②</t>
  </si>
  <si>
    <r>
      <rPr>
        <b val="true"/>
        <sz val="10"/>
        <color rgb="FF1E2761"/>
        <rFont val="WenQuanYi Zen Hei"/>
        <family val="2"/>
      </rPr>
      <t xml:space="preserve">【③ </t>
    </r>
    <r>
      <rPr>
        <b val="true"/>
        <sz val="10"/>
        <color rgb="FF1E2761"/>
        <rFont val="Arial"/>
        <family val="0"/>
        <charset val="1"/>
      </rPr>
      <t xml:space="preserve">Salesforce</t>
    </r>
    <r>
      <rPr>
        <b val="true"/>
        <sz val="10"/>
        <color rgb="FF1E2761"/>
        <rFont val="WenQuanYi Zen Hei"/>
        <family val="2"/>
      </rPr>
      <t xml:space="preserve">ライセンス費用の正常化（既修正④）】</t>
    </r>
  </si>
  <si>
    <r>
      <rPr>
        <sz val="10"/>
        <rFont val="Arial"/>
        <family val="0"/>
        <charset val="1"/>
      </rPr>
      <t xml:space="preserve">Salesforce</t>
    </r>
    <r>
      <rPr>
        <sz val="10"/>
        <rFont val="WenQuanYi Zen Hei"/>
        <family val="2"/>
      </rPr>
      <t xml:space="preserve">ライセンス費用の正常化</t>
    </r>
  </si>
  <si>
    <r>
      <rPr>
        <sz val="10"/>
        <rFont val="Arial"/>
        <family val="0"/>
        <charset val="1"/>
      </rPr>
      <t xml:space="preserve">2025</t>
    </r>
    <r>
      <rPr>
        <sz val="10"/>
        <rFont val="WenQuanYi Zen Hei"/>
        <family val="2"/>
      </rPr>
      <t xml:space="preserve">年</t>
    </r>
    <r>
      <rPr>
        <sz val="10"/>
        <rFont val="Arial"/>
        <family val="0"/>
        <charset val="1"/>
      </rPr>
      <t xml:space="preserve">7</t>
    </r>
    <r>
      <rPr>
        <sz val="10"/>
        <rFont val="WenQuanYi Zen Hei"/>
        <family val="2"/>
      </rPr>
      <t xml:space="preserve">月期の一時的増加分を正常運用水準</t>
    </r>
    <r>
      <rPr>
        <sz val="10"/>
        <rFont val="Arial"/>
        <family val="0"/>
        <charset val="1"/>
      </rPr>
      <t xml:space="preserve">(3,420</t>
    </r>
    <r>
      <rPr>
        <sz val="10"/>
        <rFont val="WenQuanYi Zen Hei"/>
        <family val="2"/>
      </rPr>
      <t xml:space="preserve">千円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へ調整</t>
    </r>
  </si>
  <si>
    <t xml:space="preserve">　＝ 累計③</t>
  </si>
  <si>
    <t xml:space="preserve">【④ オーナー・退任関連費用の除外】</t>
  </si>
  <si>
    <t xml:space="preserve">加藤様分の役員報酬</t>
  </si>
  <si>
    <t xml:space="preserve">譲渡後は買手経営陣への移行を想定</t>
  </si>
  <si>
    <r>
      <rPr>
        <sz val="10"/>
        <rFont val="WenQuanYi Zen Hei"/>
        <family val="2"/>
      </rPr>
      <t xml:space="preserve">交際費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共通部門計上分</t>
    </r>
    <r>
      <rPr>
        <sz val="10"/>
        <rFont val="Arial"/>
        <family val="0"/>
        <charset val="1"/>
      </rPr>
      <t xml:space="preserve">)</t>
    </r>
  </si>
  <si>
    <t xml:space="preserve">前代表・オーナー関連の会食等</t>
  </si>
  <si>
    <r>
      <rPr>
        <sz val="10"/>
        <rFont val="WenQuanYi Zen Hei"/>
        <family val="2"/>
      </rPr>
      <t xml:space="preserve">旅費交通費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共通部門計上分</t>
    </r>
    <r>
      <rPr>
        <sz val="10"/>
        <rFont val="Arial"/>
        <family val="0"/>
        <charset val="1"/>
      </rPr>
      <t xml:space="preserve">)</t>
    </r>
  </si>
  <si>
    <t xml:space="preserve">前代表・オーナー関連の移動費用</t>
  </si>
  <si>
    <r>
      <rPr>
        <sz val="10"/>
        <rFont val="WenQuanYi Zen Hei"/>
        <family val="2"/>
      </rPr>
      <t xml:space="preserve">支払報酬料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顧問報酬等</t>
    </r>
    <r>
      <rPr>
        <sz val="10"/>
        <rFont val="Arial"/>
        <family val="0"/>
        <charset val="1"/>
      </rPr>
      <t xml:space="preserve">)</t>
    </r>
  </si>
  <si>
    <t xml:space="preserve">　＝ 累計④</t>
  </si>
  <si>
    <t xml:space="preserve">【⑤ 譲渡後不要となる費用】</t>
  </si>
  <si>
    <t xml:space="preserve">　＝ 累計⑤</t>
  </si>
  <si>
    <t xml:space="preserve">【⑥ 買手事務所への統合前提（保守的シナリオ）】</t>
  </si>
  <si>
    <r>
      <rPr>
        <sz val="10"/>
        <rFont val="WenQuanYi Zen Hei"/>
        <family val="2"/>
      </rPr>
      <t xml:space="preserve">地代家賃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削減</t>
    </r>
  </si>
  <si>
    <r>
      <rPr>
        <sz val="10"/>
        <rFont val="WenQuanYi Zen Hei"/>
        <family val="2"/>
      </rPr>
      <t xml:space="preserve">本社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築地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機能を買手事務所へ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統合と仮定 </t>
    </r>
    <r>
      <rPr>
        <sz val="10"/>
        <rFont val="Arial"/>
        <family val="0"/>
        <charset val="1"/>
      </rPr>
      <t xml:space="preserve">(8,023</t>
    </r>
    <r>
      <rPr>
        <sz val="10"/>
        <rFont val="WenQuanYi Zen Hei"/>
        <family val="2"/>
      </rPr>
      <t xml:space="preserve">千円</t>
    </r>
    <r>
      <rPr>
        <sz val="10"/>
        <rFont val="Arial"/>
        <family val="0"/>
        <charset val="1"/>
      </rPr>
      <t xml:space="preserve">×40%)</t>
    </r>
  </si>
  <si>
    <r>
      <rPr>
        <sz val="10"/>
        <rFont val="WenQuanYi Zen Hei"/>
        <family val="2"/>
      </rPr>
      <t xml:space="preserve">共益費 </t>
    </r>
    <r>
      <rPr>
        <sz val="10"/>
        <rFont val="Arial"/>
        <family val="0"/>
        <charset val="1"/>
      </rPr>
      <t xml:space="preserve">40%</t>
    </r>
    <r>
      <rPr>
        <sz val="10"/>
        <rFont val="WenQuanYi Zen Hei"/>
        <family val="2"/>
      </rPr>
      <t xml:space="preserve">削減</t>
    </r>
  </si>
  <si>
    <r>
      <rPr>
        <sz val="10"/>
        <rFont val="WenQuanYi Zen Hei"/>
        <family val="2"/>
      </rPr>
      <t xml:space="preserve">同上 </t>
    </r>
    <r>
      <rPr>
        <sz val="10"/>
        <rFont val="Arial"/>
        <family val="0"/>
        <charset val="1"/>
      </rPr>
      <t xml:space="preserve">(1,279</t>
    </r>
    <r>
      <rPr>
        <sz val="10"/>
        <rFont val="WenQuanYi Zen Hei"/>
        <family val="2"/>
      </rPr>
      <t xml:space="preserve">千円</t>
    </r>
    <r>
      <rPr>
        <sz val="10"/>
        <rFont val="Arial"/>
        <family val="0"/>
        <charset val="1"/>
      </rPr>
      <t xml:space="preserve">×40%)</t>
    </r>
  </si>
  <si>
    <t xml:space="preserve">＝ スタンドアロン営業利益</t>
  </si>
  <si>
    <r>
      <rPr>
        <b val="true"/>
        <sz val="12"/>
        <color rgb="FF1E2761"/>
        <rFont val="WenQuanYi Zen Hei"/>
        <family val="2"/>
      </rPr>
      <t xml:space="preserve">目標≒</t>
    </r>
    <r>
      <rPr>
        <b val="true"/>
        <sz val="12"/>
        <color rgb="FF1E2761"/>
        <rFont val="Arial"/>
        <family val="0"/>
        <charset val="1"/>
      </rPr>
      <t xml:space="preserve">30,000</t>
    </r>
    <r>
      <rPr>
        <b val="true"/>
        <sz val="12"/>
        <color rgb="FF1E2761"/>
        <rFont val="WenQuanYi Zen Hei"/>
        <family val="2"/>
      </rPr>
      <t xml:space="preserve">千円</t>
    </r>
  </si>
  <si>
    <r>
      <rPr>
        <b val="true"/>
        <sz val="10"/>
        <rFont val="WenQuanYi Zen Hei"/>
        <family val="2"/>
      </rPr>
      <t xml:space="preserve">【検証】目標値</t>
    </r>
    <r>
      <rPr>
        <b val="true"/>
        <sz val="10"/>
        <rFont val="Arial"/>
        <family val="0"/>
        <charset val="1"/>
      </rPr>
      <t xml:space="preserve">(≒30,000</t>
    </r>
    <r>
      <rPr>
        <b val="true"/>
        <sz val="10"/>
        <rFont val="WenQuanYi Zen Hei"/>
        <family val="2"/>
      </rPr>
      <t xml:space="preserve">千円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との差</t>
    </r>
  </si>
  <si>
    <r>
      <rPr>
        <sz val="10"/>
        <rFont val="Arial"/>
        <family val="0"/>
        <charset val="1"/>
      </rPr>
      <t xml:space="preserve">±1,000</t>
    </r>
    <r>
      <rPr>
        <sz val="10"/>
        <rFont val="WenQuanYi Zen Hei"/>
        <family val="2"/>
      </rPr>
      <t xml:space="preserve">千円以内であれば実務上</t>
    </r>
    <r>
      <rPr>
        <sz val="10"/>
        <rFont val="Arial"/>
        <family val="0"/>
        <charset val="1"/>
      </rPr>
      <t xml:space="preserve">OK</t>
    </r>
  </si>
  <si>
    <r>
      <rPr>
        <b val="true"/>
        <sz val="14"/>
        <color rgb="FF1E2761"/>
        <rFont val="WenQuanYi Zen Hei"/>
        <family val="2"/>
      </rPr>
      <t xml:space="preserve">共通部門コストの処理方針（</t>
    </r>
    <r>
      <rPr>
        <b val="true"/>
        <sz val="14"/>
        <color rgb="FF1E2761"/>
        <rFont val="Arial"/>
        <family val="0"/>
        <charset val="1"/>
      </rPr>
      <t xml:space="preserve">2025</t>
    </r>
    <r>
      <rPr>
        <b val="true"/>
        <sz val="14"/>
        <color rgb="FF1E2761"/>
        <rFont val="WenQuanYi Zen Hei"/>
        <family val="2"/>
      </rPr>
      <t xml:space="preserve">年</t>
    </r>
    <r>
      <rPr>
        <b val="true"/>
        <sz val="14"/>
        <color rgb="FF1E2761"/>
        <rFont val="Arial"/>
        <family val="0"/>
        <charset val="1"/>
      </rPr>
      <t xml:space="preserve">7</t>
    </r>
    <r>
      <rPr>
        <b val="true"/>
        <sz val="14"/>
        <color rgb="FF1E2761"/>
        <rFont val="WenQuanYi Zen Hei"/>
        <family val="2"/>
      </rPr>
      <t xml:space="preserve">月期）</t>
    </r>
  </si>
  <si>
    <r>
      <rPr>
        <i val="true"/>
        <sz val="9"/>
        <color rgb="FF555555"/>
        <rFont val="WenQuanYi Zen Hei"/>
        <family val="2"/>
      </rPr>
      <t xml:space="preserve">共通部門計上額</t>
    </r>
    <r>
      <rPr>
        <i val="true"/>
        <sz val="9"/>
        <color rgb="FF555555"/>
        <rFont val="Arial"/>
        <family val="0"/>
        <charset val="1"/>
      </rPr>
      <t xml:space="preserve">94,573</t>
    </r>
    <r>
      <rPr>
        <i val="true"/>
        <sz val="9"/>
        <color rgb="FF555555"/>
        <rFont val="WenQuanYi Zen Hei"/>
        <family val="2"/>
      </rPr>
      <t xml:space="preserve">千円について、</t>
    </r>
    <r>
      <rPr>
        <i val="true"/>
        <sz val="9"/>
        <color rgb="FF555555"/>
        <rFont val="Arial"/>
        <family val="0"/>
        <charset val="1"/>
      </rPr>
      <t xml:space="preserve">(a)</t>
    </r>
    <r>
      <rPr>
        <i val="true"/>
        <sz val="9"/>
        <color rgb="FF555555"/>
        <rFont val="WenQuanYi Zen Hei"/>
        <family val="2"/>
      </rPr>
      <t xml:space="preserve">対象事業へ帰属、</t>
    </r>
    <r>
      <rPr>
        <i val="true"/>
        <sz val="9"/>
        <color rgb="FF555555"/>
        <rFont val="Arial"/>
        <family val="0"/>
        <charset val="1"/>
      </rPr>
      <t xml:space="preserve">(b)</t>
    </r>
    <r>
      <rPr>
        <i val="true"/>
        <sz val="9"/>
        <color rgb="FF555555"/>
        <rFont val="WenQuanYi Zen Hei"/>
        <family val="2"/>
      </rPr>
      <t xml:space="preserve">不動産関連、</t>
    </r>
    <r>
      <rPr>
        <i val="true"/>
        <sz val="9"/>
        <color rgb="FF555555"/>
        <rFont val="Arial"/>
        <family val="0"/>
        <charset val="1"/>
      </rPr>
      <t xml:space="preserve">(c)</t>
    </r>
    <r>
      <rPr>
        <i val="true"/>
        <sz val="9"/>
        <color rgb="FF555555"/>
        <rFont val="WenQuanYi Zen Hei"/>
        <family val="2"/>
      </rPr>
      <t xml:space="preserve">オーナー関連、</t>
    </r>
    <r>
      <rPr>
        <i val="true"/>
        <sz val="9"/>
        <color rgb="FF555555"/>
        <rFont val="Arial"/>
        <family val="0"/>
        <charset val="1"/>
      </rPr>
      <t xml:space="preserve">(d)</t>
    </r>
    <r>
      <rPr>
        <i val="true"/>
        <sz val="9"/>
        <color rgb="FF555555"/>
        <rFont val="WenQuanYi Zen Hei"/>
        <family val="2"/>
      </rPr>
      <t xml:space="preserve">譲渡後不要、</t>
    </r>
    <r>
      <rPr>
        <i val="true"/>
        <sz val="9"/>
        <color rgb="FF555555"/>
        <rFont val="Arial"/>
        <family val="0"/>
        <charset val="1"/>
      </rPr>
      <t xml:space="preserve">(e)</t>
    </r>
    <r>
      <rPr>
        <i val="true"/>
        <sz val="9"/>
        <color rgb="FF555555"/>
        <rFont val="WenQuanYi Zen Hei"/>
        <family val="2"/>
      </rPr>
      <t xml:space="preserve">残存</t>
    </r>
    <r>
      <rPr>
        <i val="true"/>
        <sz val="9"/>
        <color rgb="FF555555"/>
        <rFont val="Arial"/>
        <family val="0"/>
        <charset val="1"/>
      </rPr>
      <t xml:space="preserve">(</t>
    </r>
    <r>
      <rPr>
        <i val="true"/>
        <sz val="9"/>
        <color rgb="FF555555"/>
        <rFont val="WenQuanYi Zen Hei"/>
        <family val="2"/>
      </rPr>
      <t xml:space="preserve">買手が負担</t>
    </r>
    <r>
      <rPr>
        <i val="true"/>
        <sz val="9"/>
        <color rgb="FF555555"/>
        <rFont val="Arial"/>
        <family val="0"/>
        <charset val="1"/>
      </rPr>
      <t xml:space="preserve">) </t>
    </r>
    <r>
      <rPr>
        <i val="true"/>
        <sz val="9"/>
        <color rgb="FF555555"/>
        <rFont val="WenQuanYi Zen Hei"/>
        <family val="2"/>
      </rPr>
      <t xml:space="preserve">の</t>
    </r>
    <r>
      <rPr>
        <i val="true"/>
        <sz val="9"/>
        <color rgb="FF555555"/>
        <rFont val="Arial"/>
        <family val="0"/>
        <charset val="1"/>
      </rPr>
      <t xml:space="preserve">5</t>
    </r>
    <r>
      <rPr>
        <i val="true"/>
        <sz val="9"/>
        <color rgb="FF555555"/>
        <rFont val="WenQuanYi Zen Hei"/>
        <family val="2"/>
      </rPr>
      <t xml:space="preserve">区分で明示</t>
    </r>
  </si>
  <si>
    <t xml:space="preserve">科目</t>
  </si>
  <si>
    <t xml:space="preserve">共通部門
計上額</t>
  </si>
  <si>
    <r>
      <rPr>
        <b val="true"/>
        <sz val="10"/>
        <color rgb="FFFFFFFF"/>
        <rFont val="Arial"/>
        <family val="0"/>
        <charset val="1"/>
      </rPr>
      <t xml:space="preserve">(a)</t>
    </r>
    <r>
      <rPr>
        <b val="true"/>
        <sz val="10"/>
        <color rgb="FFFFFFFF"/>
        <rFont val="WenQuanYi Zen Hei"/>
        <family val="2"/>
      </rPr>
      <t xml:space="preserve">対象事業へ
帰属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既修正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</si>
  <si>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(b)</t>
    </r>
    <r>
      <rPr>
        <b val="true"/>
        <sz val="10"/>
        <color rgb="FFFFFFFF"/>
        <rFont val="WenQuanYi Zen Hei"/>
        <family val="2"/>
      </rPr>
      <t xml:space="preserve">不動産
関連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除外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</si>
  <si>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(c)</t>
    </r>
    <r>
      <rPr>
        <b val="true"/>
        <sz val="10"/>
        <color rgb="FFFFFFFF"/>
        <rFont val="WenQuanYi Zen Hei"/>
        <family val="2"/>
      </rPr>
      <t xml:space="preserve">オーナー
関連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除外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</si>
  <si>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(d)</t>
    </r>
    <r>
      <rPr>
        <b val="true"/>
        <sz val="10"/>
        <color rgb="FFFFFFFF"/>
        <rFont val="WenQuanYi Zen Hei"/>
        <family val="2"/>
      </rPr>
      <t xml:space="preserve">譲渡後
不要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除外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</si>
  <si>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(e)</t>
    </r>
    <r>
      <rPr>
        <b val="true"/>
        <sz val="10"/>
        <color rgb="FFFFFFFF"/>
        <rFont val="WenQuanYi Zen Hei"/>
        <family val="2"/>
      </rPr>
      <t xml:space="preserve">残存
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買手が負担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</si>
  <si>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処理区分の根拠</t>
  </si>
  <si>
    <t xml:space="preserve">売上高（値引・返品）</t>
  </si>
  <si>
    <t xml:space="preserve">不動産賃貸業関連の売上調整項目</t>
  </si>
  <si>
    <t xml:space="preserve">賃料収入</t>
  </si>
  <si>
    <t xml:space="preserve">不動産賃貸事業の売上高</t>
  </si>
  <si>
    <r>
      <rPr>
        <sz val="10"/>
        <rFont val="WenQuanYi Zen Hei"/>
        <family val="2"/>
      </rPr>
      <t xml:space="preserve">加藤様分。</t>
    </r>
    <r>
      <rPr>
        <sz val="10"/>
        <rFont val="Arial"/>
        <family val="0"/>
        <charset val="1"/>
      </rPr>
      <t xml:space="preserve">DDG</t>
    </r>
    <r>
      <rPr>
        <sz val="10"/>
        <rFont val="WenQuanYi Zen Hei"/>
        <family val="2"/>
      </rPr>
      <t xml:space="preserve">事業へ帰属替え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既修正①</t>
    </r>
    <r>
      <rPr>
        <sz val="10"/>
        <rFont val="Arial"/>
        <family val="0"/>
        <charset val="1"/>
      </rPr>
      <t xml:space="preserve">)</t>
    </r>
  </si>
  <si>
    <t xml:space="preserve">ー給料手当</t>
  </si>
  <si>
    <r>
      <rPr>
        <sz val="10"/>
        <rFont val="WenQuanYi Zen Hei"/>
        <family val="2"/>
      </rPr>
      <t xml:space="preserve">対象従業員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名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水元・小濱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分</t>
    </r>
    <r>
      <rPr>
        <sz val="10"/>
        <rFont val="Arial"/>
        <family val="0"/>
        <charset val="1"/>
      </rPr>
      <t xml:space="preserve">16,920</t>
    </r>
    <r>
      <rPr>
        <sz val="10"/>
        <rFont val="WenQuanYi Zen Hei"/>
        <family val="2"/>
      </rPr>
      <t xml:space="preserve">千円を帰属替え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既修正②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。残存</t>
    </r>
    <r>
      <rPr>
        <sz val="10"/>
        <rFont val="Arial"/>
        <family val="0"/>
        <charset val="1"/>
      </rPr>
      <t xml:space="preserve">10,634</t>
    </r>
    <r>
      <rPr>
        <sz val="10"/>
        <rFont val="WenQuanYi Zen Hei"/>
        <family val="2"/>
      </rPr>
      <t xml:space="preserve">千円は管理部門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経理・総務等</t>
    </r>
    <r>
      <rPr>
        <sz val="10"/>
        <rFont val="Arial"/>
        <family val="0"/>
        <charset val="1"/>
      </rPr>
      <t xml:space="preserve">)</t>
    </r>
  </si>
  <si>
    <t xml:space="preserve">ー法定福利費</t>
  </si>
  <si>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名分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既修正②</t>
    </r>
    <r>
      <rPr>
        <sz val="10"/>
        <rFont val="Arial"/>
        <family val="0"/>
        <charset val="1"/>
      </rPr>
      <t xml:space="preserve">)</t>
    </r>
  </si>
  <si>
    <t xml:space="preserve">ー退職共済金</t>
  </si>
  <si>
    <t xml:space="preserve">福利厚生費</t>
  </si>
  <si>
    <t xml:space="preserve">通勤費</t>
  </si>
  <si>
    <t xml:space="preserve">外注費</t>
  </si>
  <si>
    <t xml:space="preserve">管理部門実費</t>
  </si>
  <si>
    <t xml:space="preserve">前代表・オーナー関連の会食等（加藤様関連と想定）</t>
  </si>
  <si>
    <t xml:space="preserve">会議費</t>
  </si>
  <si>
    <t xml:space="preserve">前代表・オーナー関連の移動費用（加藤様関連と想定）</t>
  </si>
  <si>
    <t xml:space="preserve">通信費</t>
  </si>
  <si>
    <t xml:space="preserve">管理部門・本社通信費</t>
  </si>
  <si>
    <t xml:space="preserve">新聞図書費</t>
  </si>
  <si>
    <t xml:space="preserve">諸会費</t>
  </si>
  <si>
    <r>
      <rPr>
        <sz val="10"/>
        <rFont val="WenQuanYi Zen Hei"/>
        <family val="2"/>
      </rPr>
      <t xml:space="preserve">全額を売上割合で配賦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既修正④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</si>
  <si>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全額を売上割合で配賦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既修正④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。別途「オフィス統合</t>
    </r>
    <r>
      <rPr>
        <sz val="10"/>
        <rFont val="Arial"/>
        <family val="0"/>
        <charset val="1"/>
      </rPr>
      <t xml:space="preserve">(⑥)</t>
    </r>
    <r>
      <rPr>
        <sz val="10"/>
        <rFont val="WenQuanYi Zen Hei"/>
        <family val="2"/>
      </rPr>
      <t xml:space="preserve">」で調整</t>
    </r>
  </si>
  <si>
    <t xml:space="preserve">同上</t>
  </si>
  <si>
    <t xml:space="preserve">賃借料</t>
  </si>
  <si>
    <r>
      <rPr>
        <sz val="10"/>
        <rFont val="WenQuanYi Zen Hei"/>
        <family val="2"/>
      </rPr>
      <t xml:space="preserve">管理部門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コピー機等</t>
    </r>
    <r>
      <rPr>
        <sz val="10"/>
        <rFont val="Arial"/>
        <family val="0"/>
        <charset val="1"/>
      </rPr>
      <t xml:space="preserve">)</t>
    </r>
  </si>
  <si>
    <t xml:space="preserve">保険料</t>
  </si>
  <si>
    <t xml:space="preserve">管理部門・法人保険</t>
  </si>
  <si>
    <r>
      <rPr>
        <sz val="10"/>
        <rFont val="WenQuanYi Zen Hei"/>
        <family val="2"/>
      </rPr>
      <t xml:space="preserve">固定資産税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保有不動産</t>
    </r>
    <r>
      <rPr>
        <sz val="10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</si>
  <si>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保有不動産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本社建物・設備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の減価償却費</t>
    </r>
  </si>
  <si>
    <t xml:space="preserve">研修費</t>
  </si>
  <si>
    <r>
      <rPr>
        <sz val="10"/>
        <rFont val="WenQuanYi Zen Hei"/>
        <family val="2"/>
      </rPr>
      <t xml:space="preserve">直近の非経常的な</t>
    </r>
    <r>
      <rPr>
        <sz val="10"/>
        <rFont val="Arial"/>
        <family val="0"/>
        <charset val="1"/>
      </rPr>
      <t xml:space="preserve">DX</t>
    </r>
    <r>
      <rPr>
        <sz val="10"/>
        <rFont val="WenQuanYi Zen Hei"/>
        <family val="2"/>
      </rPr>
      <t xml:space="preserve">投資。継続予定なし</t>
    </r>
  </si>
  <si>
    <t xml:space="preserve">リース料</t>
  </si>
  <si>
    <r>
      <rPr>
        <sz val="10"/>
        <rFont val="WenQuanYi Zen Hei"/>
        <family val="2"/>
      </rPr>
      <t xml:space="preserve">広告制作部門の</t>
    </r>
    <r>
      <rPr>
        <sz val="10"/>
        <rFont val="Arial"/>
        <family val="0"/>
        <charset val="1"/>
      </rPr>
      <t xml:space="preserve">Mac</t>
    </r>
    <r>
      <rPr>
        <sz val="10"/>
        <rFont val="WenQuanYi Zen Hei"/>
        <family val="2"/>
      </rPr>
      <t xml:space="preserve">環境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既修正⑤</t>
    </r>
    <r>
      <rPr>
        <sz val="10"/>
        <rFont val="Arial"/>
        <family val="0"/>
        <charset val="1"/>
      </rPr>
      <t xml:space="preserve">)</t>
    </r>
  </si>
  <si>
    <t xml:space="preserve">雑費</t>
  </si>
  <si>
    <t xml:space="preserve">収益 計（賃料収入等）</t>
  </si>
  <si>
    <t xml:space="preserve">費用 計（販管費）</t>
  </si>
  <si>
    <t xml:space="preserve">共通部門 営業利益（収益 － 費用）</t>
  </si>
  <si>
    <r>
      <rPr>
        <b val="true"/>
        <sz val="10"/>
        <rFont val="WenQuanYi Zen Hei"/>
        <family val="2"/>
      </rPr>
      <t xml:space="preserve">【検証】共通部門 実績営業利益（部門別損益 </t>
    </r>
    <r>
      <rPr>
        <b val="true"/>
        <sz val="10"/>
        <rFont val="Arial"/>
        <family val="0"/>
        <charset val="1"/>
      </rPr>
      <t xml:space="preserve">N44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</si>
  <si>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列が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であれば一致</t>
    </r>
  </si>
  <si>
    <t xml:space="preserve">【各区分の意味】</t>
  </si>
  <si>
    <r>
      <rPr>
        <b val="true"/>
        <sz val="10"/>
        <rFont val="Arial"/>
        <family val="0"/>
        <charset val="1"/>
      </rPr>
      <t xml:space="preserve">(a)</t>
    </r>
    <r>
      <rPr>
        <b val="true"/>
        <sz val="10"/>
        <rFont val="WenQuanYi Zen Hei"/>
        <family val="2"/>
      </rPr>
      <t xml:space="preserve">対象事業へ帰属</t>
    </r>
  </si>
  <si>
    <r>
      <rPr>
        <sz val="9"/>
        <rFont val="WenQuanYi Zen Hei"/>
        <family val="2"/>
      </rPr>
      <t xml:space="preserve">概要書</t>
    </r>
    <r>
      <rPr>
        <sz val="9"/>
        <rFont val="Arial"/>
        <family val="0"/>
        <charset val="1"/>
      </rPr>
      <t xml:space="preserve">p.8</t>
    </r>
    <r>
      <rPr>
        <sz val="9"/>
        <rFont val="WenQuanYi Zen Hei"/>
        <family val="2"/>
      </rPr>
      <t xml:space="preserve">の「修正額」として、既に譲渡対象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事業の販管費に含めている</t>
    </r>
    <r>
      <rPr>
        <sz val="9"/>
        <rFont val="Arial"/>
        <family val="0"/>
        <charset val="1"/>
      </rPr>
      <t xml:space="preserve">(47,261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</si>
  <si>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(b)</t>
    </r>
    <r>
      <rPr>
        <b val="true"/>
        <sz val="10"/>
        <rFont val="WenQuanYi Zen Hei"/>
        <family val="2"/>
      </rPr>
      <t xml:space="preserve">不動産関連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除外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</si>
  <si>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スタンドアロン</t>
    </r>
    <r>
      <rPr>
        <sz val="9"/>
        <rFont val="Arial"/>
        <family val="0"/>
        <charset val="1"/>
      </rPr>
      <t xml:space="preserve">PL</t>
    </r>
    <r>
      <rPr>
        <sz val="9"/>
        <rFont val="WenQuanYi Zen Hei"/>
        <family val="2"/>
      </rPr>
      <t xml:space="preserve">では除外</t>
    </r>
    <r>
      <rPr>
        <sz val="9"/>
        <rFont val="Arial"/>
        <family val="0"/>
        <charset val="1"/>
      </rPr>
      <t xml:space="preserve">(7,700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。譲渡対象は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事業のみで不動産賃貸業は含まないため。</t>
    </r>
  </si>
  <si>
    <r>
      <rPr>
        <b val="true"/>
        <sz val="10"/>
        <rFont val="Arial"/>
        <family val="0"/>
        <charset val="1"/>
      </rPr>
      <t xml:space="preserve">(c)</t>
    </r>
    <r>
      <rPr>
        <b val="true"/>
        <sz val="10"/>
        <rFont val="WenQuanYi Zen Hei"/>
        <family val="2"/>
      </rPr>
      <t xml:space="preserve">オーナー関連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除外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</si>
  <si>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スタンドアロン</t>
    </r>
    <r>
      <rPr>
        <sz val="9"/>
        <rFont val="Arial"/>
        <family val="0"/>
        <charset val="1"/>
      </rPr>
      <t xml:space="preserve">PL</t>
    </r>
    <r>
      <rPr>
        <sz val="9"/>
        <rFont val="WenQuanYi Zen Hei"/>
        <family val="2"/>
      </rPr>
      <t xml:space="preserve">では除外</t>
    </r>
    <r>
      <rPr>
        <sz val="9"/>
        <rFont val="Arial"/>
        <family val="0"/>
        <charset val="1"/>
      </rPr>
      <t xml:space="preserve">(18,834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。加藤様退任・原田様退任後は発生しない前提。</t>
    </r>
  </si>
  <si>
    <r>
      <rPr>
        <b val="true"/>
        <sz val="10"/>
        <rFont val="Arial"/>
        <family val="0"/>
        <charset val="1"/>
      </rPr>
      <t xml:space="preserve">(d)</t>
    </r>
    <r>
      <rPr>
        <b val="true"/>
        <sz val="10"/>
        <rFont val="WenQuanYi Zen Hei"/>
        <family val="2"/>
      </rPr>
      <t xml:space="preserve">譲渡後不要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除外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</si>
  <si>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スタンドアロン</t>
    </r>
    <r>
      <rPr>
        <sz val="9"/>
        <rFont val="Arial"/>
        <family val="0"/>
        <charset val="1"/>
      </rPr>
      <t xml:space="preserve">PL</t>
    </r>
    <r>
      <rPr>
        <sz val="9"/>
        <rFont val="WenQuanYi Zen Hei"/>
        <family val="2"/>
      </rPr>
      <t xml:space="preserve">では除外</t>
    </r>
    <r>
      <rPr>
        <sz val="9"/>
        <rFont val="Arial"/>
        <family val="0"/>
        <charset val="1"/>
      </rPr>
      <t xml:space="preserve">(1,800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。非経常的な</t>
    </r>
    <r>
      <rPr>
        <sz val="9"/>
        <rFont val="Arial"/>
        <family val="0"/>
        <charset val="1"/>
      </rPr>
      <t xml:space="preserve">R&amp;D</t>
    </r>
    <r>
      <rPr>
        <sz val="9"/>
        <rFont val="WenQuanYi Zen Hei"/>
        <family val="2"/>
      </rPr>
      <t xml:space="preserve">投資。</t>
    </r>
  </si>
  <si>
    <r>
      <rPr>
        <b val="true"/>
        <sz val="10"/>
        <rFont val="Arial"/>
        <family val="0"/>
        <charset val="1"/>
      </rPr>
      <t xml:space="preserve">(e)</t>
    </r>
    <r>
      <rPr>
        <b val="true"/>
        <sz val="10"/>
        <rFont val="WenQuanYi Zen Hei"/>
        <family val="2"/>
      </rPr>
      <t xml:space="preserve">残存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買手が負担</t>
    </r>
    <r>
      <rPr>
        <b val="true"/>
        <sz val="10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</si>
  <si>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スタンドアロン</t>
    </r>
    <r>
      <rPr>
        <sz val="9"/>
        <rFont val="Arial"/>
        <family val="0"/>
        <charset val="1"/>
      </rPr>
      <t xml:space="preserve">PL</t>
    </r>
    <r>
      <rPr>
        <sz val="9"/>
        <rFont val="WenQuanYi Zen Hei"/>
        <family val="2"/>
      </rPr>
      <t xml:space="preserve">に含める</t>
    </r>
    <r>
      <rPr>
        <sz val="9"/>
        <rFont val="Arial"/>
        <family val="0"/>
        <charset val="1"/>
      </rPr>
      <t xml:space="preserve">(18,977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。管理部門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経理・総務等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実費で、譲渡後もバックオフィス機能として必要。</t>
    </r>
  </si>
  <si>
    <t xml:space="preserve">※重要</t>
  </si>
  <si>
    <r>
      <rPr>
        <sz val="9"/>
        <rFont val="WenQuanYi Zen Hei"/>
        <family val="2"/>
      </rPr>
      <t xml:space="preserve">「</t>
    </r>
    <r>
      <rPr>
        <sz val="9"/>
        <rFont val="Arial"/>
        <family val="0"/>
        <charset val="1"/>
      </rPr>
      <t xml:space="preserve">(e)</t>
    </r>
    <r>
      <rPr>
        <sz val="9"/>
        <rFont val="WenQuanYi Zen Hei"/>
        <family val="2"/>
      </rPr>
      <t xml:space="preserve">残存」の</t>
    </r>
    <r>
      <rPr>
        <sz val="9"/>
        <rFont val="Arial"/>
        <family val="0"/>
        <charset val="1"/>
      </rPr>
      <t xml:space="preserve">18,977</t>
    </r>
    <r>
      <rPr>
        <sz val="9"/>
        <rFont val="WenQuanYi Zen Hei"/>
        <family val="2"/>
      </rPr>
      <t xml:space="preserve">千円は事業利益</t>
    </r>
    <r>
      <rPr>
        <sz val="9"/>
        <rFont val="Arial"/>
        <family val="0"/>
        <charset val="1"/>
      </rPr>
      <t xml:space="preserve">33,523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概要書</t>
    </r>
    <r>
      <rPr>
        <sz val="9"/>
        <rFont val="Arial"/>
        <family val="0"/>
        <charset val="1"/>
      </rPr>
      <t xml:space="preserve">p.8)</t>
    </r>
    <r>
      <rPr>
        <sz val="9"/>
        <rFont val="WenQuanYi Zen Hei"/>
        <family val="2"/>
      </rPr>
      <t xml:space="preserve">には含まれていない。</t>
    </r>
  </si>
  <si>
    <r>
      <rPr>
        <sz val="9"/>
        <rFont val="WenQuanYi Zen Hei"/>
        <family val="2"/>
      </rPr>
      <t xml:space="preserve">事業利益から差し引くと、単純スタンドアロンでは約</t>
    </r>
    <r>
      <rPr>
        <sz val="9"/>
        <rFont val="Arial"/>
        <family val="0"/>
        <charset val="1"/>
      </rPr>
      <t xml:space="preserve">14,548</t>
    </r>
    <r>
      <rPr>
        <sz val="9"/>
        <rFont val="WenQuanYi Zen Hei"/>
        <family val="2"/>
      </rPr>
      <t xml:space="preserve">千円となるが、</t>
    </r>
  </si>
  <si>
    <r>
      <rPr>
        <sz val="9"/>
        <rFont val="WenQuanYi Zen Hei"/>
        <family val="2"/>
      </rPr>
      <t xml:space="preserve">①〜⑥の除外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＋⑥のオフィス統合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を反映することで約</t>
    </r>
    <r>
      <rPr>
        <sz val="9"/>
        <rFont val="Arial"/>
        <family val="0"/>
        <charset val="1"/>
      </rPr>
      <t xml:space="preserve">30,000</t>
    </r>
    <r>
      <rPr>
        <sz val="9"/>
        <rFont val="WenQuanYi Zen Hei"/>
        <family val="2"/>
      </rPr>
      <t xml:space="preserve">千円の営業利益を維持できる構造。</t>
    </r>
  </si>
  <si>
    <t xml:space="preserve">オフィス統合率の感応度分析</t>
  </si>
  <si>
    <t xml:space="preserve">買手事務所への統合率（地代家賃・共益費の削減率）を変化させた場合のスタンドアロン営業利益（単位：千円）</t>
  </si>
  <si>
    <t xml:space="preserve">オフィス統合率</t>
  </si>
  <si>
    <t xml:space="preserve">地代家賃 削減額</t>
  </si>
  <si>
    <t xml:space="preserve">共益費 削減額</t>
  </si>
  <si>
    <t xml:space="preserve">スタンドアロン
営業利益</t>
  </si>
  <si>
    <t xml:space="preserve">営業利益率</t>
  </si>
  <si>
    <t xml:space="preserve">コメント</t>
  </si>
  <si>
    <t xml:space="preserve">現状の築地オフィスを完全に維持</t>
  </si>
  <si>
    <t xml:space="preserve">一部のバックオフィス機能を統合</t>
  </si>
  <si>
    <t xml:space="preserve">会議室・応接機能を統合</t>
  </si>
  <si>
    <t xml:space="preserve">★推奨シナリオ：本社機能の主要部分を統合</t>
  </si>
  <si>
    <r>
      <rPr>
        <sz val="10"/>
        <rFont val="WenQuanYi Zen Hei"/>
        <family val="2"/>
      </rPr>
      <t xml:space="preserve">本社機能の大半を統合</t>
    </r>
    <r>
      <rPr>
        <sz val="10"/>
        <rFont val="Arial"/>
        <family val="0"/>
        <charset val="1"/>
      </rPr>
      <t xml:space="preserve">(</t>
    </r>
    <r>
      <rPr>
        <sz val="10"/>
        <rFont val="WenQuanYi Zen Hei"/>
        <family val="2"/>
      </rPr>
      <t xml:space="preserve">築地はサテライトとして残置</t>
    </r>
    <r>
      <rPr>
        <sz val="10"/>
        <rFont val="Arial"/>
        <family val="0"/>
        <charset val="1"/>
      </rPr>
      <t xml:space="preserve">)</t>
    </r>
  </si>
  <si>
    <t xml:space="preserve">築地オフィスを大幅縮小</t>
  </si>
  <si>
    <t xml:space="preserve">築地オフィスを完全に閉鎖・買手事務所へ完全統合</t>
  </si>
  <si>
    <t xml:space="preserve">計算式：</t>
  </si>
  <si>
    <t xml:space="preserve">スタンドアロン営業利益</t>
  </si>
  <si>
    <r>
      <rPr>
        <sz val="9"/>
        <color rgb="FF555555"/>
        <rFont val="WenQuanYi Zen Hei"/>
        <family val="2"/>
      </rPr>
      <t xml:space="preserve">　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オフィス統合前 </t>
    </r>
    <r>
      <rPr>
        <sz val="9"/>
        <color rgb="FF555555"/>
        <rFont val="Arial"/>
        <family val="0"/>
        <charset val="1"/>
      </rPr>
      <t xml:space="preserve">26,544</t>
    </r>
    <r>
      <rPr>
        <sz val="9"/>
        <color rgb="FF555555"/>
        <rFont val="WenQuanYi Zen Hei"/>
        <family val="2"/>
      </rPr>
      <t xml:space="preserve">千円 ＋ 地代家賃削減 ＋ 共益費削減</t>
    </r>
  </si>
  <si>
    <t xml:space="preserve">オフィス統合前</t>
  </si>
  <si>
    <r>
      <rPr>
        <sz val="9"/>
        <color rgb="FF555555"/>
        <rFont val="WenQuanYi Zen Hei"/>
        <family val="2"/>
      </rPr>
      <t xml:space="preserve">　</t>
    </r>
    <r>
      <rPr>
        <sz val="9"/>
        <color rgb="FF555555"/>
        <rFont val="Arial"/>
        <family val="0"/>
        <charset val="1"/>
      </rPr>
      <t xml:space="preserve">= </t>
    </r>
    <r>
      <rPr>
        <sz val="9"/>
        <color rgb="FF555555"/>
        <rFont val="WenQuanYi Zen Hei"/>
        <family val="2"/>
      </rPr>
      <t xml:space="preserve">決算書△</t>
    </r>
    <r>
      <rPr>
        <sz val="9"/>
        <color rgb="FF555555"/>
        <rFont val="Arial"/>
        <family val="0"/>
        <charset val="1"/>
      </rPr>
      <t xml:space="preserve">40,128 </t>
    </r>
    <r>
      <rPr>
        <sz val="9"/>
        <color rgb="FF555555"/>
        <rFont val="WenQuanYi Zen Hei"/>
        <family val="2"/>
      </rPr>
      <t xml:space="preserve">＋ ①不動産</t>
    </r>
    <r>
      <rPr>
        <sz val="9"/>
        <color rgb="FF555555"/>
        <rFont val="Arial"/>
        <family val="0"/>
        <charset val="1"/>
      </rPr>
      <t xml:space="preserve">(△4,792) </t>
    </r>
    <r>
      <rPr>
        <sz val="9"/>
        <color rgb="FF555555"/>
        <rFont val="WenQuanYi Zen Hei"/>
        <family val="2"/>
      </rPr>
      <t xml:space="preserve">＋ ②</t>
    </r>
    <r>
      <rPr>
        <sz val="9"/>
        <color rgb="FF555555"/>
        <rFont val="Arial"/>
        <family val="0"/>
        <charset val="1"/>
      </rPr>
      <t xml:space="preserve">Kuberu(35,712) </t>
    </r>
    <r>
      <rPr>
        <sz val="9"/>
        <color rgb="FF555555"/>
        <rFont val="WenQuanYi Zen Hei"/>
        <family val="2"/>
      </rPr>
      <t xml:space="preserve">＋ ③</t>
    </r>
    <r>
      <rPr>
        <sz val="9"/>
        <color rgb="FF555555"/>
        <rFont val="Arial"/>
        <family val="0"/>
        <charset val="1"/>
      </rPr>
      <t xml:space="preserve">SF(3,118) </t>
    </r>
    <r>
      <rPr>
        <sz val="9"/>
        <color rgb="FF555555"/>
        <rFont val="WenQuanYi Zen Hei"/>
        <family val="2"/>
      </rPr>
      <t xml:space="preserve">＋ ④オーナー</t>
    </r>
    <r>
      <rPr>
        <sz val="9"/>
        <color rgb="FF555555"/>
        <rFont val="Arial"/>
        <family val="0"/>
        <charset val="1"/>
      </rPr>
      <t xml:space="preserve">(30,834) </t>
    </r>
    <r>
      <rPr>
        <sz val="9"/>
        <color rgb="FF555555"/>
        <rFont val="WenQuanYi Zen Hei"/>
        <family val="2"/>
      </rPr>
      <t xml:space="preserve">＋ ⑤</t>
    </r>
    <r>
      <rPr>
        <sz val="9"/>
        <color rgb="FF555555"/>
        <rFont val="Arial"/>
        <family val="0"/>
        <charset val="1"/>
      </rPr>
      <t xml:space="preserve">R&amp;D(1,800) </t>
    </r>
    <r>
      <rPr>
        <sz val="9"/>
        <color rgb="FF555555"/>
        <rFont val="WenQuanYi Zen Hei"/>
        <family val="2"/>
      </rPr>
      <t xml:space="preserve">＝ </t>
    </r>
    <r>
      <rPr>
        <sz val="9"/>
        <color rgb="FF555555"/>
        <rFont val="Arial"/>
        <family val="0"/>
        <charset val="1"/>
      </rPr>
      <t xml:space="preserve">26,544</t>
    </r>
    <r>
      <rPr>
        <sz val="9"/>
        <color rgb="FF555555"/>
        <rFont val="WenQuanYi Zen Hei"/>
        <family val="2"/>
      </rPr>
      <t xml:space="preserve">千円</t>
    </r>
  </si>
  <si>
    <r>
      <rPr>
        <b val="true"/>
        <sz val="14"/>
        <color rgb="FF1E2761"/>
        <rFont val="WenQuanYi Zen Hei"/>
        <family val="2"/>
      </rPr>
      <t xml:space="preserve">スタンドアロン</t>
    </r>
    <r>
      <rPr>
        <b val="true"/>
        <sz val="14"/>
        <color rgb="FF1E2761"/>
        <rFont val="Arial"/>
        <family val="0"/>
        <charset val="1"/>
      </rPr>
      <t xml:space="preserve">Pro-Forma P&amp;L </t>
    </r>
    <r>
      <rPr>
        <b val="true"/>
        <sz val="14"/>
        <color rgb="FF1E2761"/>
        <rFont val="WenQuanYi Zen Hei"/>
        <family val="2"/>
      </rPr>
      <t xml:space="preserve">の前提条件・注記</t>
    </r>
  </si>
  <si>
    <r>
      <rPr>
        <b val="true"/>
        <sz val="10"/>
        <rFont val="Arial"/>
        <family val="0"/>
        <charset val="1"/>
      </rPr>
      <t xml:space="preserve">1. </t>
    </r>
    <r>
      <rPr>
        <b val="true"/>
        <sz val="10"/>
        <rFont val="WenQuanYi Zen Hei"/>
        <family val="2"/>
      </rPr>
      <t xml:space="preserve">目的</t>
    </r>
  </si>
  <si>
    <r>
      <rPr>
        <sz val="9"/>
        <rFont val="WenQuanYi Zen Hei"/>
        <family val="2"/>
      </rPr>
      <t xml:space="preserve">本</t>
    </r>
    <r>
      <rPr>
        <sz val="9"/>
        <rFont val="Arial"/>
        <family val="0"/>
        <charset val="1"/>
      </rPr>
      <t xml:space="preserve">Pro-Forma</t>
    </r>
    <r>
      <rPr>
        <sz val="9"/>
        <rFont val="WenQuanYi Zen Hei"/>
        <family val="2"/>
      </rPr>
      <t xml:space="preserve">は、買手企業様において「共通部門に残る△</t>
    </r>
    <r>
      <rPr>
        <sz val="9"/>
        <rFont val="Arial"/>
        <family val="0"/>
        <charset val="1"/>
      </rPr>
      <t xml:space="preserve">34,820</t>
    </r>
    <r>
      <rPr>
        <sz val="9"/>
        <rFont val="WenQuanYi Zen Hei"/>
        <family val="2"/>
      </rPr>
      <t xml:space="preserve">千円のうち譲受後に自社で負担すべき額はいくらか」および</t>
    </r>
  </si>
  <si>
    <t xml:space="preserve">「譲渡対象事業が独立して収益を生み出す構造となっているか」をご検討いただくための試算資料。</t>
  </si>
  <si>
    <r>
      <rPr>
        <sz val="9"/>
        <rFont val="Arial"/>
        <family val="0"/>
        <charset val="1"/>
      </rPr>
      <t xml:space="preserve">2025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月期の実績データを出発点とし、譲渡後シナリオを反映した正常化営業利益を算出。</t>
    </r>
  </si>
  <si>
    <r>
      <rPr>
        <b val="true"/>
        <sz val="10"/>
        <rFont val="Arial"/>
        <family val="0"/>
        <charset val="1"/>
      </rPr>
      <t xml:space="preserve">2. </t>
    </r>
    <r>
      <rPr>
        <b val="true"/>
        <sz val="10"/>
        <rFont val="WenQuanYi Zen Hei"/>
        <family val="2"/>
      </rPr>
      <t xml:space="preserve">出所</t>
    </r>
  </si>
  <si>
    <r>
      <rPr>
        <sz val="9"/>
        <rFont val="WenQuanYi Zen Hei"/>
        <family val="2"/>
      </rPr>
      <t xml:space="preserve">・数値の出発点：概要書</t>
    </r>
    <r>
      <rPr>
        <sz val="9"/>
        <rFont val="Arial"/>
        <family val="0"/>
        <charset val="1"/>
      </rPr>
      <t xml:space="preserve">p.36 </t>
    </r>
    <r>
      <rPr>
        <sz val="9"/>
        <rFont val="WenQuanYi Zen Hei"/>
        <family val="2"/>
      </rPr>
      <t xml:space="preserve">損益計算書（</t>
    </r>
    <r>
      <rPr>
        <sz val="9"/>
        <rFont val="Arial"/>
        <family val="0"/>
        <charset val="1"/>
      </rPr>
      <t xml:space="preserve">2025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月期 帳簿価額）／営業利益△</t>
    </r>
    <r>
      <rPr>
        <sz val="9"/>
        <rFont val="Arial"/>
        <family val="0"/>
        <charset val="1"/>
      </rPr>
      <t xml:space="preserve">40,128</t>
    </r>
    <r>
      <rPr>
        <sz val="9"/>
        <rFont val="WenQuanYi Zen Hei"/>
        <family val="2"/>
      </rPr>
      <t xml:space="preserve">千円</t>
    </r>
  </si>
  <si>
    <r>
      <rPr>
        <sz val="9"/>
        <rFont val="WenQuanYi Zen Hei"/>
        <family val="2"/>
      </rPr>
      <t xml:space="preserve">・共通部門の内訳：「部門別損益</t>
    </r>
    <r>
      <rPr>
        <sz val="9"/>
        <rFont val="Arial"/>
        <family val="0"/>
        <charset val="1"/>
      </rPr>
      <t xml:space="preserve">_FY202507-</t>
    </r>
    <r>
      <rPr>
        <sz val="9"/>
        <rFont val="WenQuanYi Zen Hei"/>
        <family val="2"/>
      </rPr>
      <t xml:space="preserve">第</t>
    </r>
    <r>
      <rPr>
        <sz val="9"/>
        <rFont val="Arial"/>
        <family val="0"/>
        <charset val="1"/>
      </rPr>
      <t xml:space="preserve">55</t>
    </r>
    <r>
      <rPr>
        <sz val="9"/>
        <rFont val="WenQuanYi Zen Hei"/>
        <family val="2"/>
      </rPr>
      <t xml:space="preserve">期</t>
    </r>
    <r>
      <rPr>
        <sz val="9"/>
        <rFont val="Arial"/>
        <family val="0"/>
        <charset val="1"/>
      </rPr>
      <t xml:space="preserve">_260604_</t>
    </r>
    <r>
      <rPr>
        <sz val="9"/>
        <rFont val="WenQuanYi Zen Hei"/>
        <family val="2"/>
      </rPr>
      <t xml:space="preserve">加藤様</t>
    </r>
    <r>
      <rPr>
        <sz val="9"/>
        <rFont val="Arial"/>
        <family val="0"/>
        <charset val="1"/>
      </rPr>
      <t xml:space="preserve">Excel</t>
    </r>
    <r>
      <rPr>
        <sz val="9"/>
        <rFont val="WenQuanYi Zen Hei"/>
        <family val="2"/>
      </rPr>
      <t xml:space="preserve">反映版</t>
    </r>
    <r>
      <rPr>
        <sz val="9"/>
        <rFont val="Arial"/>
        <family val="0"/>
        <charset val="1"/>
      </rPr>
      <t xml:space="preserve">.xlsx</t>
    </r>
    <r>
      <rPr>
        <sz val="9"/>
        <rFont val="WenQuanYi Zen Hei"/>
        <family val="2"/>
      </rPr>
      <t xml:space="preserve">」</t>
    </r>
  </si>
  <si>
    <r>
      <rPr>
        <sz val="9"/>
        <rFont val="WenQuanYi Zen Hei"/>
        <family val="2"/>
      </rPr>
      <t xml:space="preserve">・部門別損益の全社合計は決算書と完全一致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売上高</t>
    </r>
    <r>
      <rPr>
        <sz val="9"/>
        <rFont val="Arial"/>
        <family val="0"/>
        <charset val="1"/>
      </rPr>
      <t xml:space="preserve">302,058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販管費</t>
    </r>
    <r>
      <rPr>
        <sz val="9"/>
        <rFont val="Arial"/>
        <family val="0"/>
        <charset val="1"/>
      </rPr>
      <t xml:space="preserve">342,186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/</t>
    </r>
    <r>
      <rPr>
        <sz val="9"/>
        <rFont val="WenQuanYi Zen Hei"/>
        <family val="2"/>
      </rPr>
      <t xml:space="preserve">営業利益△</t>
    </r>
    <r>
      <rPr>
        <sz val="9"/>
        <rFont val="Arial"/>
        <family val="0"/>
        <charset val="1"/>
      </rPr>
      <t xml:space="preserve">40,128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</si>
  <si>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3. 6</t>
    </r>
    <r>
      <rPr>
        <b val="true"/>
        <sz val="10"/>
        <rFont val="WenQuanYi Zen Hei"/>
        <family val="2"/>
      </rPr>
      <t xml:space="preserve">段階の調整概要</t>
    </r>
  </si>
  <si>
    <r>
      <rPr>
        <sz val="9"/>
        <rFont val="WenQuanYi Zen Hei"/>
        <family val="2"/>
      </rPr>
      <t xml:space="preserve">① 不動産賃貸業の除外（純額 △</t>
    </r>
    <r>
      <rPr>
        <sz val="9"/>
        <rFont val="Arial"/>
        <family val="0"/>
        <charset val="1"/>
      </rPr>
      <t xml:space="preserve">4,792</t>
    </r>
    <r>
      <rPr>
        <sz val="9"/>
        <rFont val="WenQuanYi Zen Hei"/>
        <family val="2"/>
      </rPr>
      <t xml:space="preserve">千円）：</t>
    </r>
  </si>
  <si>
    <r>
      <rPr>
        <sz val="9"/>
        <rFont val="WenQuanYi Zen Hei"/>
        <family val="2"/>
      </rPr>
      <t xml:space="preserve">　　譲渡対象は「</t>
    </r>
    <r>
      <rPr>
        <sz val="9"/>
        <rFont val="Arial"/>
        <family val="0"/>
        <charset val="1"/>
      </rPr>
      <t xml:space="preserve">Data &amp; Digital Growth</t>
    </r>
    <r>
      <rPr>
        <sz val="9"/>
        <rFont val="WenQuanYi Zen Hei"/>
        <family val="2"/>
      </rPr>
      <t xml:space="preserve">事業」「広告制作事業」の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事業のみ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不動産賃貸事業は対象外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</si>
  <si>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sz val="9"/>
        <rFont val="WenQuanYi Zen Hei"/>
        <family val="2"/>
      </rPr>
      <t xml:space="preserve">　　賃料収入△</t>
    </r>
    <r>
      <rPr>
        <sz val="9"/>
        <rFont val="Arial"/>
        <family val="0"/>
        <charset val="1"/>
      </rPr>
      <t xml:space="preserve">13,200 + </t>
    </r>
    <r>
      <rPr>
        <sz val="9"/>
        <rFont val="WenQuanYi Zen Hei"/>
        <family val="2"/>
      </rPr>
      <t xml:space="preserve">売上値引除外</t>
    </r>
    <r>
      <rPr>
        <sz val="9"/>
        <rFont val="Arial"/>
        <family val="0"/>
        <charset val="1"/>
      </rPr>
      <t xml:space="preserve">+708 + </t>
    </r>
    <r>
      <rPr>
        <sz val="9"/>
        <rFont val="WenQuanYi Zen Hei"/>
        <family val="2"/>
      </rPr>
      <t xml:space="preserve">保有不動産費用</t>
    </r>
    <r>
      <rPr>
        <sz val="9"/>
        <rFont val="Arial"/>
        <family val="0"/>
        <charset val="1"/>
      </rPr>
      <t xml:space="preserve">+7,700(</t>
    </r>
    <r>
      <rPr>
        <sz val="9"/>
        <rFont val="WenQuanYi Zen Hei"/>
        <family val="2"/>
      </rPr>
      <t xml:space="preserve">減価償却</t>
    </r>
    <r>
      <rPr>
        <sz val="9"/>
        <rFont val="Arial"/>
        <family val="0"/>
        <charset val="1"/>
      </rPr>
      <t xml:space="preserve">5,736/</t>
    </r>
    <r>
      <rPr>
        <sz val="9"/>
        <rFont val="WenQuanYi Zen Hei"/>
        <family val="2"/>
      </rPr>
      <t xml:space="preserve">租税公課</t>
    </r>
    <r>
      <rPr>
        <sz val="9"/>
        <rFont val="Arial"/>
        <family val="0"/>
        <charset val="1"/>
      </rPr>
      <t xml:space="preserve">1,058/</t>
    </r>
    <r>
      <rPr>
        <sz val="9"/>
        <rFont val="WenQuanYi Zen Hei"/>
        <family val="2"/>
      </rPr>
      <t xml:space="preserve">水道光熱</t>
    </r>
    <r>
      <rPr>
        <sz val="9"/>
        <rFont val="Arial"/>
        <family val="0"/>
        <charset val="1"/>
      </rPr>
      <t xml:space="preserve">464/</t>
    </r>
    <r>
      <rPr>
        <sz val="9"/>
        <rFont val="WenQuanYi Zen Hei"/>
        <family val="2"/>
      </rPr>
      <t xml:space="preserve">修繕</t>
    </r>
    <r>
      <rPr>
        <sz val="9"/>
        <rFont val="Arial"/>
        <family val="0"/>
        <charset val="1"/>
      </rPr>
      <t xml:space="preserve">442)</t>
    </r>
  </si>
  <si>
    <r>
      <rPr>
        <sz val="9"/>
        <rFont val="Arial"/>
        <family val="0"/>
        <charset val="1"/>
      </rPr>
      <t xml:space="preserve">② Kuberu</t>
    </r>
    <r>
      <rPr>
        <sz val="9"/>
        <rFont val="WenQuanYi Zen Hei"/>
        <family val="2"/>
      </rPr>
      <t xml:space="preserve">社等業務委託費（</t>
    </r>
    <r>
      <rPr>
        <sz val="9"/>
        <rFont val="Arial"/>
        <family val="0"/>
        <charset val="1"/>
      </rPr>
      <t xml:space="preserve">+35,712</t>
    </r>
    <r>
      <rPr>
        <sz val="9"/>
        <rFont val="WenQuanYi Zen Hei"/>
        <family val="2"/>
      </rPr>
      <t xml:space="preserve">千円）：前代表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原田様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の資産管理会社および退職者への業務継続費用。譲渡後の計上予定なし。</t>
    </r>
  </si>
  <si>
    <r>
      <rPr>
        <sz val="9"/>
        <rFont val="Arial"/>
        <family val="0"/>
        <charset val="1"/>
      </rPr>
      <t xml:space="preserve">③ Salesforce</t>
    </r>
    <r>
      <rPr>
        <sz val="9"/>
        <rFont val="WenQuanYi Zen Hei"/>
        <family val="2"/>
      </rPr>
      <t xml:space="preserve">ライセンス費用の正常化（</t>
    </r>
    <r>
      <rPr>
        <sz val="9"/>
        <rFont val="Arial"/>
        <family val="0"/>
        <charset val="1"/>
      </rPr>
      <t xml:space="preserve">+3,118</t>
    </r>
    <r>
      <rPr>
        <sz val="9"/>
        <rFont val="WenQuanYi Zen Hei"/>
        <family val="2"/>
      </rPr>
      <t xml:space="preserve">千円）：</t>
    </r>
    <r>
      <rPr>
        <sz val="9"/>
        <rFont val="Arial"/>
        <family val="0"/>
        <charset val="1"/>
      </rPr>
      <t xml:space="preserve">25</t>
    </r>
    <r>
      <rPr>
        <sz val="9"/>
        <rFont val="WenQuanYi Zen Hei"/>
        <family val="2"/>
      </rPr>
      <t xml:space="preserve">年</t>
    </r>
    <r>
      <rPr>
        <sz val="9"/>
        <rFont val="Arial"/>
        <family val="0"/>
        <charset val="1"/>
      </rPr>
      <t xml:space="preserve">7</t>
    </r>
    <r>
      <rPr>
        <sz val="9"/>
        <rFont val="WenQuanYi Zen Hei"/>
        <family val="2"/>
      </rPr>
      <t xml:space="preserve">月期の一時的な購入費用増加を通常運用水準へ調整。</t>
    </r>
  </si>
  <si>
    <r>
      <rPr>
        <sz val="9"/>
        <rFont val="WenQuanYi Zen Hei"/>
        <family val="2"/>
      </rPr>
      <t xml:space="preserve">④ オーナー・退任関連費用の除外（</t>
    </r>
    <r>
      <rPr>
        <sz val="9"/>
        <rFont val="Arial"/>
        <family val="0"/>
        <charset val="1"/>
      </rPr>
      <t xml:space="preserve">+30,834</t>
    </r>
    <r>
      <rPr>
        <sz val="9"/>
        <rFont val="WenQuanYi Zen Hei"/>
        <family val="2"/>
      </rPr>
      <t xml:space="preserve">千円）：</t>
    </r>
  </si>
  <si>
    <r>
      <rPr>
        <sz val="9"/>
        <rFont val="WenQuanYi Zen Hei"/>
        <family val="2"/>
      </rPr>
      <t xml:space="preserve">　　加藤様分の役員報酬 </t>
    </r>
    <r>
      <rPr>
        <sz val="9"/>
        <rFont val="Arial"/>
        <family val="0"/>
        <charset val="1"/>
      </rPr>
      <t xml:space="preserve">12,000</t>
    </r>
    <r>
      <rPr>
        <sz val="9"/>
        <rFont val="WenQuanYi Zen Hei"/>
        <family val="2"/>
      </rPr>
      <t xml:space="preserve">千円（譲渡後は買手経営陣への移行を想定）</t>
    </r>
  </si>
  <si>
    <r>
      <rPr>
        <sz val="9"/>
        <rFont val="WenQuanYi Zen Hei"/>
        <family val="2"/>
      </rPr>
      <t xml:space="preserve">　　共通部門計上の交際費 </t>
    </r>
    <r>
      <rPr>
        <sz val="9"/>
        <rFont val="Arial"/>
        <family val="0"/>
        <charset val="1"/>
      </rPr>
      <t xml:space="preserve">6,777</t>
    </r>
    <r>
      <rPr>
        <sz val="9"/>
        <rFont val="WenQuanYi Zen Hei"/>
        <family val="2"/>
      </rPr>
      <t xml:space="preserve">千円（前代表・オーナー関連の会食等）</t>
    </r>
  </si>
  <si>
    <r>
      <rPr>
        <sz val="9"/>
        <rFont val="WenQuanYi Zen Hei"/>
        <family val="2"/>
      </rPr>
      <t xml:space="preserve">　　共通部門計上の旅費交通費 </t>
    </r>
    <r>
      <rPr>
        <sz val="9"/>
        <rFont val="Arial"/>
        <family val="0"/>
        <charset val="1"/>
      </rPr>
      <t xml:space="preserve">5,409</t>
    </r>
    <r>
      <rPr>
        <sz val="9"/>
        <rFont val="WenQuanYi Zen Hei"/>
        <family val="2"/>
      </rPr>
      <t xml:space="preserve">千円（前代表・オーナー関連の移動費用）</t>
    </r>
  </si>
  <si>
    <r>
      <rPr>
        <sz val="9"/>
        <rFont val="WenQuanYi Zen Hei"/>
        <family val="2"/>
      </rPr>
      <t xml:space="preserve">　　支払報酬料 </t>
    </r>
    <r>
      <rPr>
        <sz val="9"/>
        <rFont val="Arial"/>
        <family val="0"/>
        <charset val="1"/>
      </rPr>
      <t xml:space="preserve">6,648</t>
    </r>
    <r>
      <rPr>
        <sz val="9"/>
        <rFont val="WenQuanYi Zen Hei"/>
        <family val="2"/>
      </rPr>
      <t xml:space="preserve">千円（前代表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原田様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退任に伴う顧問報酬等と想定）</t>
    </r>
  </si>
  <si>
    <r>
      <rPr>
        <sz val="9"/>
        <rFont val="WenQuanYi Zen Hei"/>
        <family val="2"/>
      </rPr>
      <t xml:space="preserve">⑤ 譲渡後不要となる費用（</t>
    </r>
    <r>
      <rPr>
        <sz val="9"/>
        <rFont val="Arial"/>
        <family val="0"/>
        <charset val="1"/>
      </rPr>
      <t xml:space="preserve">+1,800</t>
    </r>
    <r>
      <rPr>
        <sz val="9"/>
        <rFont val="WenQuanYi Zen Hei"/>
        <family val="2"/>
      </rPr>
      <t xml:space="preserve">千円）：研究開発費。直近の非経常的な</t>
    </r>
    <r>
      <rPr>
        <sz val="9"/>
        <rFont val="Arial"/>
        <family val="0"/>
        <charset val="1"/>
      </rPr>
      <t xml:space="preserve">DX</t>
    </r>
    <r>
      <rPr>
        <sz val="9"/>
        <rFont val="WenQuanYi Zen Hei"/>
        <family val="2"/>
      </rPr>
      <t xml:space="preserve">投資であり、譲渡後の継続予定なし。</t>
    </r>
  </si>
  <si>
    <r>
      <rPr>
        <sz val="9"/>
        <rFont val="WenQuanYi Zen Hei"/>
        <family val="2"/>
      </rPr>
      <t xml:space="preserve">⑥ 買手事務所への統合（</t>
    </r>
    <r>
      <rPr>
        <sz val="9"/>
        <rFont val="Arial"/>
        <family val="0"/>
        <charset val="1"/>
      </rPr>
      <t xml:space="preserve">+3,721</t>
    </r>
    <r>
      <rPr>
        <sz val="9"/>
        <rFont val="WenQuanYi Zen Hei"/>
        <family val="2"/>
      </rPr>
      <t xml:space="preserve">千円）：本社機能を買手事務所へ</t>
    </r>
    <r>
      <rPr>
        <sz val="9"/>
        <rFont val="Arial"/>
        <family val="0"/>
        <charset val="1"/>
      </rPr>
      <t xml:space="preserve">40%</t>
    </r>
    <r>
      <rPr>
        <sz val="9"/>
        <rFont val="WenQuanYi Zen Hei"/>
        <family val="2"/>
      </rPr>
      <t xml:space="preserve">統合する保守的シナリオ。</t>
    </r>
  </si>
  <si>
    <r>
      <rPr>
        <sz val="9"/>
        <rFont val="WenQuanYi Zen Hei"/>
        <family val="2"/>
      </rPr>
      <t xml:space="preserve">　　地代家賃 </t>
    </r>
    <r>
      <rPr>
        <sz val="9"/>
        <rFont val="Arial"/>
        <family val="0"/>
        <charset val="1"/>
      </rPr>
      <t xml:space="preserve">8,023</t>
    </r>
    <r>
      <rPr>
        <sz val="9"/>
        <rFont val="WenQuanYi Zen Hei"/>
        <family val="2"/>
      </rPr>
      <t xml:space="preserve">千円 </t>
    </r>
    <r>
      <rPr>
        <sz val="9"/>
        <rFont val="Arial"/>
        <family val="0"/>
        <charset val="1"/>
      </rPr>
      <t xml:space="preserve">× 40% = 3,209</t>
    </r>
    <r>
      <rPr>
        <sz val="9"/>
        <rFont val="WenQuanYi Zen Hei"/>
        <family val="2"/>
      </rPr>
      <t xml:space="preserve">千円 削減</t>
    </r>
  </si>
  <si>
    <r>
      <rPr>
        <sz val="9"/>
        <rFont val="WenQuanYi Zen Hei"/>
        <family val="2"/>
      </rPr>
      <t xml:space="preserve">　　共益費   </t>
    </r>
    <r>
      <rPr>
        <sz val="9"/>
        <rFont val="Arial"/>
        <family val="0"/>
        <charset val="1"/>
      </rPr>
      <t xml:space="preserve">1,279</t>
    </r>
    <r>
      <rPr>
        <sz val="9"/>
        <rFont val="WenQuanYi Zen Hei"/>
        <family val="2"/>
      </rPr>
      <t xml:space="preserve">千円 </t>
    </r>
    <r>
      <rPr>
        <sz val="9"/>
        <rFont val="Arial"/>
        <family val="0"/>
        <charset val="1"/>
      </rPr>
      <t xml:space="preserve">× 40% = 512</t>
    </r>
    <r>
      <rPr>
        <sz val="9"/>
        <rFont val="WenQuanYi Zen Hei"/>
        <family val="2"/>
      </rPr>
      <t xml:space="preserve">千円 削減</t>
    </r>
  </si>
  <si>
    <r>
      <rPr>
        <b val="true"/>
        <sz val="10"/>
        <rFont val="Arial"/>
        <family val="0"/>
        <charset val="1"/>
      </rPr>
      <t xml:space="preserve">4. </t>
    </r>
    <r>
      <rPr>
        <b val="true"/>
        <sz val="10"/>
        <rFont val="WenQuanYi Zen Hei"/>
        <family val="2"/>
      </rPr>
      <t xml:space="preserve">残存する共通部門コスト（本</t>
    </r>
    <r>
      <rPr>
        <b val="true"/>
        <sz val="10"/>
        <rFont val="Arial"/>
        <family val="0"/>
        <charset val="1"/>
      </rPr>
      <t xml:space="preserve">Pro-Forma</t>
    </r>
    <r>
      <rPr>
        <b val="true"/>
        <sz val="10"/>
        <rFont val="WenQuanYi Zen Hei"/>
        <family val="2"/>
      </rPr>
      <t xml:space="preserve">に含む）</t>
    </r>
  </si>
  <si>
    <r>
      <rPr>
        <sz val="9"/>
        <rFont val="WenQuanYi Zen Hei"/>
        <family val="2"/>
      </rPr>
      <t xml:space="preserve">・給料手当</t>
    </r>
    <r>
      <rPr>
        <sz val="9"/>
        <rFont val="Arial"/>
        <family val="0"/>
        <charset val="1"/>
      </rPr>
      <t xml:space="preserve">10,634/</t>
    </r>
    <r>
      <rPr>
        <sz val="9"/>
        <rFont val="WenQuanYi Zen Hei"/>
        <family val="2"/>
      </rPr>
      <t xml:space="preserve">法定福利費</t>
    </r>
    <r>
      <rPr>
        <sz val="9"/>
        <rFont val="Arial"/>
        <family val="0"/>
        <charset val="1"/>
      </rPr>
      <t xml:space="preserve">2,525/</t>
    </r>
    <r>
      <rPr>
        <sz val="9"/>
        <rFont val="WenQuanYi Zen Hei"/>
        <family val="2"/>
      </rPr>
      <t xml:space="preserve">退職共済金</t>
    </r>
    <r>
      <rPr>
        <sz val="9"/>
        <rFont val="Arial"/>
        <family val="0"/>
        <charset val="1"/>
      </rPr>
      <t xml:space="preserve">84/</t>
    </r>
    <r>
      <rPr>
        <sz val="9"/>
        <rFont val="WenQuanYi Zen Hei"/>
        <family val="2"/>
      </rPr>
      <t xml:space="preserve">福利厚生費</t>
    </r>
    <r>
      <rPr>
        <sz val="9"/>
        <rFont val="Arial"/>
        <family val="0"/>
        <charset val="1"/>
      </rPr>
      <t xml:space="preserve">658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管理部門人件費・振替後残存分</t>
    </r>
    <r>
      <rPr>
        <sz val="9"/>
        <rFont val="Arial"/>
        <family val="0"/>
        <charset val="1"/>
      </rPr>
      <t xml:space="preserve">)</t>
    </r>
  </si>
  <si>
    <r>
      <rPr>
        <sz val="9"/>
        <rFont val="WenQuanYi Zen Hei"/>
        <family val="2"/>
      </rPr>
      <t xml:space="preserve">・通信費</t>
    </r>
    <r>
      <rPr>
        <sz val="9"/>
        <rFont val="Arial"/>
        <family val="0"/>
        <charset val="1"/>
      </rPr>
      <t xml:space="preserve">1,417/</t>
    </r>
    <r>
      <rPr>
        <sz val="9"/>
        <rFont val="WenQuanYi Zen Hei"/>
        <family val="2"/>
      </rPr>
      <t xml:space="preserve">賃借料</t>
    </r>
    <r>
      <rPr>
        <sz val="9"/>
        <rFont val="Arial"/>
        <family val="0"/>
        <charset val="1"/>
      </rPr>
      <t xml:space="preserve">726/</t>
    </r>
    <r>
      <rPr>
        <sz val="9"/>
        <rFont val="WenQuanYi Zen Hei"/>
        <family val="2"/>
      </rPr>
      <t xml:space="preserve">保険料</t>
    </r>
    <r>
      <rPr>
        <sz val="9"/>
        <rFont val="Arial"/>
        <family val="0"/>
        <charset val="1"/>
      </rPr>
      <t xml:space="preserve">443/</t>
    </r>
    <r>
      <rPr>
        <sz val="9"/>
        <rFont val="WenQuanYi Zen Hei"/>
        <family val="2"/>
      </rPr>
      <t xml:space="preserve">雑費</t>
    </r>
    <r>
      <rPr>
        <sz val="9"/>
        <rFont val="Arial"/>
        <family val="0"/>
        <charset val="1"/>
      </rPr>
      <t xml:space="preserve">1,950</t>
    </r>
    <r>
      <rPr>
        <sz val="9"/>
        <rFont val="WenQuanYi Zen Hei"/>
        <family val="2"/>
      </rPr>
      <t xml:space="preserve">千円 等の管理部門実費</t>
    </r>
  </si>
  <si>
    <r>
      <rPr>
        <sz val="9"/>
        <rFont val="WenQuanYi Zen Hei"/>
        <family val="2"/>
      </rPr>
      <t xml:space="preserve">・上記合計 約</t>
    </r>
    <r>
      <rPr>
        <sz val="9"/>
        <rFont val="Arial"/>
        <family val="0"/>
        <charset val="1"/>
      </rPr>
      <t xml:space="preserve">18,977</t>
    </r>
    <r>
      <rPr>
        <sz val="9"/>
        <rFont val="WenQuanYi Zen Hei"/>
        <family val="2"/>
      </rPr>
      <t xml:space="preserve">千円は「譲渡後もバックオフィス機能として必要」との想定でスタンドアロン</t>
    </r>
    <r>
      <rPr>
        <sz val="9"/>
        <rFont val="Arial"/>
        <family val="0"/>
        <charset val="1"/>
      </rPr>
      <t xml:space="preserve">PL</t>
    </r>
    <r>
      <rPr>
        <sz val="9"/>
        <rFont val="WenQuanYi Zen Hei"/>
        <family val="2"/>
      </rPr>
      <t xml:space="preserve">に含めている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除外していない</t>
    </r>
    <r>
      <rPr>
        <sz val="9"/>
        <rFont val="Arial"/>
        <family val="0"/>
        <charset val="1"/>
      </rPr>
      <t xml:space="preserve">)</t>
    </r>
    <r>
      <rPr>
        <sz val="9"/>
        <rFont val="WenQuanYi Zen Hei"/>
        <family val="2"/>
      </rPr>
      <t xml:space="preserve">。</t>
    </r>
  </si>
  <si>
    <r>
      <rPr>
        <sz val="9"/>
        <rFont val="WenQuanYi Zen Hei"/>
        <family val="2"/>
      </rPr>
      <t xml:space="preserve">・当該残存コストは事業利益</t>
    </r>
    <r>
      <rPr>
        <sz val="9"/>
        <rFont val="Arial"/>
        <family val="0"/>
        <charset val="1"/>
      </rPr>
      <t xml:space="preserve">33,523</t>
    </r>
    <r>
      <rPr>
        <sz val="9"/>
        <rFont val="WenQuanYi Zen Hei"/>
        <family val="2"/>
      </rPr>
      <t xml:space="preserve">千円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概要書</t>
    </r>
    <r>
      <rPr>
        <sz val="9"/>
        <rFont val="Arial"/>
        <family val="0"/>
        <charset val="1"/>
      </rPr>
      <t xml:space="preserve">p.8)</t>
    </r>
    <r>
      <rPr>
        <sz val="9"/>
        <rFont val="WenQuanYi Zen Hei"/>
        <family val="2"/>
      </rPr>
      <t xml:space="preserve">には含まれていないため、事業利益から差し引くと約</t>
    </r>
    <r>
      <rPr>
        <sz val="9"/>
        <rFont val="Arial"/>
        <family val="0"/>
        <charset val="1"/>
      </rPr>
      <t xml:space="preserve">14,548</t>
    </r>
    <r>
      <rPr>
        <sz val="9"/>
        <rFont val="WenQuanYi Zen Hei"/>
        <family val="2"/>
      </rPr>
      <t xml:space="preserve">千円となる。</t>
    </r>
  </si>
  <si>
    <r>
      <rPr>
        <sz val="9"/>
        <rFont val="WenQuanYi Zen Hei"/>
        <family val="2"/>
      </rPr>
      <t xml:space="preserve">　本</t>
    </r>
    <r>
      <rPr>
        <sz val="9"/>
        <rFont val="Arial"/>
        <family val="0"/>
        <charset val="1"/>
      </rPr>
      <t xml:space="preserve">Pro-Forma</t>
    </r>
    <r>
      <rPr>
        <sz val="9"/>
        <rFont val="WenQuanYi Zen Hei"/>
        <family val="2"/>
      </rPr>
      <t xml:space="preserve">では、これらを含めたうえで、①〜⑥の除外により約</t>
    </r>
    <r>
      <rPr>
        <sz val="9"/>
        <rFont val="Arial"/>
        <family val="0"/>
        <charset val="1"/>
      </rPr>
      <t xml:space="preserve">30,000</t>
    </r>
    <r>
      <rPr>
        <sz val="9"/>
        <rFont val="WenQuanYi Zen Hei"/>
        <family val="2"/>
      </rPr>
      <t xml:space="preserve">千円の営業利益を維持できることを示している。</t>
    </r>
  </si>
  <si>
    <r>
      <rPr>
        <b val="true"/>
        <sz val="10"/>
        <rFont val="Arial"/>
        <family val="0"/>
        <charset val="1"/>
      </rPr>
      <t xml:space="preserve">5. </t>
    </r>
    <r>
      <rPr>
        <b val="true"/>
        <sz val="10"/>
        <rFont val="WenQuanYi Zen Hei"/>
        <family val="2"/>
      </rPr>
      <t xml:space="preserve">感応度分析（オフィス統合率）</t>
    </r>
  </si>
  <si>
    <r>
      <rPr>
        <sz val="9"/>
        <rFont val="WenQuanYi Zen Hei"/>
        <family val="2"/>
      </rPr>
      <t xml:space="preserve">　</t>
    </r>
    <r>
      <rPr>
        <sz val="9"/>
        <rFont val="Arial"/>
        <family val="0"/>
        <charset val="1"/>
      </rPr>
      <t xml:space="preserve">0%(</t>
    </r>
    <r>
      <rPr>
        <sz val="9"/>
        <rFont val="WenQuanYi Zen Hei"/>
        <family val="2"/>
      </rPr>
      <t xml:space="preserve">現状維持</t>
    </r>
    <r>
      <rPr>
        <sz val="9"/>
        <rFont val="Arial"/>
        <family val="0"/>
        <charset val="1"/>
      </rPr>
      <t xml:space="preserve">)  → 26,544</t>
    </r>
    <r>
      <rPr>
        <sz val="9"/>
        <rFont val="WenQuanYi Zen Hei"/>
        <family val="2"/>
      </rPr>
      <t xml:space="preserve">千円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営業利益率 </t>
    </r>
    <r>
      <rPr>
        <sz val="9"/>
        <rFont val="Arial"/>
        <family val="0"/>
        <charset val="1"/>
      </rPr>
      <t xml:space="preserve">9.2%)</t>
    </r>
  </si>
  <si>
    <r>
      <rPr>
        <sz val="9"/>
        <rFont val="WenQuanYi Zen Hei"/>
        <family val="2"/>
      </rPr>
      <t xml:space="preserve">　</t>
    </r>
    <r>
      <rPr>
        <sz val="9"/>
        <rFont val="Arial"/>
        <family val="0"/>
        <charset val="1"/>
      </rPr>
      <t xml:space="preserve">40%(</t>
    </r>
    <r>
      <rPr>
        <sz val="9"/>
        <rFont val="WenQuanYi Zen Hei"/>
        <family val="2"/>
      </rPr>
      <t xml:space="preserve">推奨</t>
    </r>
    <r>
      <rPr>
        <sz val="9"/>
        <rFont val="Arial"/>
        <family val="0"/>
        <charset val="1"/>
      </rPr>
      <t xml:space="preserve">) → 30,264</t>
    </r>
    <r>
      <rPr>
        <sz val="9"/>
        <rFont val="WenQuanYi Zen Hei"/>
        <family val="2"/>
      </rPr>
      <t xml:space="preserve">千円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営業利益率 </t>
    </r>
    <r>
      <rPr>
        <sz val="9"/>
        <rFont val="Arial"/>
        <family val="0"/>
        <charset val="1"/>
      </rPr>
      <t xml:space="preserve">10.5%)</t>
    </r>
  </si>
  <si>
    <r>
      <rPr>
        <sz val="9"/>
        <rFont val="WenQuanYi Zen Hei"/>
        <family val="2"/>
      </rPr>
      <t xml:space="preserve">　</t>
    </r>
    <r>
      <rPr>
        <sz val="9"/>
        <rFont val="Arial"/>
        <family val="0"/>
        <charset val="1"/>
      </rPr>
      <t xml:space="preserve">100%(</t>
    </r>
    <r>
      <rPr>
        <sz val="9"/>
        <rFont val="WenQuanYi Zen Hei"/>
        <family val="2"/>
      </rPr>
      <t xml:space="preserve">完全閉鎖</t>
    </r>
    <r>
      <rPr>
        <sz val="9"/>
        <rFont val="Arial"/>
        <family val="0"/>
        <charset val="1"/>
      </rPr>
      <t xml:space="preserve">) → 35,845</t>
    </r>
    <r>
      <rPr>
        <sz val="9"/>
        <rFont val="WenQuanYi Zen Hei"/>
        <family val="2"/>
      </rPr>
      <t xml:space="preserve">千円 </t>
    </r>
    <r>
      <rPr>
        <sz val="9"/>
        <rFont val="Arial"/>
        <family val="0"/>
        <charset val="1"/>
      </rPr>
      <t xml:space="preserve">(</t>
    </r>
    <r>
      <rPr>
        <sz val="9"/>
        <rFont val="WenQuanYi Zen Hei"/>
        <family val="2"/>
      </rPr>
      <t xml:space="preserve">営業利益率 </t>
    </r>
    <r>
      <rPr>
        <sz val="9"/>
        <rFont val="Arial"/>
        <family val="0"/>
        <charset val="1"/>
      </rPr>
      <t xml:space="preserve">12.4%)</t>
    </r>
  </si>
  <si>
    <r>
      <rPr>
        <b val="true"/>
        <sz val="10"/>
        <rFont val="Arial"/>
        <family val="0"/>
        <charset val="1"/>
      </rPr>
      <t xml:space="preserve">6. </t>
    </r>
    <r>
      <rPr>
        <b val="true"/>
        <sz val="10"/>
        <rFont val="WenQuanYi Zen Hei"/>
        <family val="2"/>
      </rPr>
      <t xml:space="preserve">留意事項</t>
    </r>
  </si>
  <si>
    <t xml:space="preserve">・本試算は買手様のご検討用の試算資料であり、譲渡後の実績を保証するものではない。</t>
  </si>
  <si>
    <r>
      <rPr>
        <sz val="9"/>
        <rFont val="WenQuanYi Zen Hei"/>
        <family val="2"/>
      </rPr>
      <t xml:space="preserve">・「④オーナー関連」に区分した交際費</t>
    </r>
    <r>
      <rPr>
        <sz val="9"/>
        <rFont val="Arial"/>
        <family val="0"/>
        <charset val="1"/>
      </rPr>
      <t xml:space="preserve">6,777</t>
    </r>
    <r>
      <rPr>
        <sz val="9"/>
        <rFont val="WenQuanYi Zen Hei"/>
        <family val="2"/>
      </rPr>
      <t xml:space="preserve">千円・旅費交通費</t>
    </r>
    <r>
      <rPr>
        <sz val="9"/>
        <rFont val="Arial"/>
        <family val="0"/>
        <charset val="1"/>
      </rPr>
      <t xml:space="preserve">5,409</t>
    </r>
    <r>
      <rPr>
        <sz val="9"/>
        <rFont val="WenQuanYi Zen Hei"/>
        <family val="2"/>
      </rPr>
      <t xml:space="preserve">千円は、共通部門計上の全額をオーナー関連と仮定した</t>
    </r>
  </si>
  <si>
    <t xml:space="preserve">　保守的な取扱い。実際には一部が事業関連である可能性があり、加藤様のご確認が望ましい。</t>
  </si>
  <si>
    <r>
      <rPr>
        <sz val="9"/>
        <rFont val="WenQuanYi Zen Hei"/>
        <family val="2"/>
      </rPr>
      <t xml:space="preserve">・支払報酬料</t>
    </r>
    <r>
      <rPr>
        <sz val="9"/>
        <rFont val="Arial"/>
        <family val="0"/>
        <charset val="1"/>
      </rPr>
      <t xml:space="preserve">6,648</t>
    </r>
    <r>
      <rPr>
        <sz val="9"/>
        <rFont val="WenQuanYi Zen Hei"/>
        <family val="2"/>
      </rPr>
      <t xml:space="preserve">千円の内訳は要確認事項。前代表退任関連と想定しているが、顧問弁護士・会計士等の</t>
    </r>
  </si>
  <si>
    <t xml:space="preserve">　譲渡後も継続する費用が含まれる可能性がある。</t>
  </si>
  <si>
    <r>
      <rPr>
        <sz val="9"/>
        <rFont val="WenQuanYi Zen Hei"/>
        <family val="2"/>
      </rPr>
      <t xml:space="preserve">・研究開発費</t>
    </r>
    <r>
      <rPr>
        <sz val="9"/>
        <rFont val="Arial"/>
        <family val="0"/>
        <charset val="1"/>
      </rPr>
      <t xml:space="preserve">1,800</t>
    </r>
    <r>
      <rPr>
        <sz val="9"/>
        <rFont val="WenQuanYi Zen Hei"/>
        <family val="2"/>
      </rPr>
      <t xml:space="preserve">千円の内容は要確認事項。継続予定がない前提で除外している。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</si>
</sst>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△#,##0;\-"/>
    <numFmt numFmtId="166" formatCode="0.0%"/>
    <numFmt numFmtId="167" formatCode="0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WenQuanYi Zen Hei"/>
      <family val="2"/>
    </font>
    <font>
      <b val="true"/>
      <sz val="14"/>
      <color rgb="FF1E2761"/>
      <name val="Arial"/>
      <family val="0"/>
      <charset val="1"/>
    </font>
    <font>
      <i val="true"/>
      <sz val="9"/>
      <color rgb="FF555555"/>
      <name val="WenQuanYi Zen Hei"/>
      <family val="2"/>
    </font>
    <font>
      <i val="true"/>
      <sz val="9"/>
      <color rgb="FF555555"/>
      <name val="Arial"/>
      <family val="0"/>
      <charset val="1"/>
    </font>
    <font>
      <b val="true"/>
      <sz val="12"/>
      <color rgb="FF1E2761"/>
      <name val="WenQuanYi Zen Hei"/>
      <family val="2"/>
    </font>
    <font>
      <b val="true"/>
      <sz val="12"/>
      <color rgb="FF1E2761"/>
      <name val="Arial"/>
      <family val="0"/>
      <charset val="1"/>
    </font>
    <font>
      <b val="true"/>
      <sz val="10"/>
      <color rgb="FFFFFFFF"/>
      <name val="WenQuanYi Zen Hei"/>
      <family val="2"/>
    </font>
    <font>
      <b val="true"/>
      <sz val="10"/>
      <color rgb="FFFFFFFF"/>
      <name val="Arial"/>
      <family val="0"/>
      <charset val="1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color rgb="FF1E2761"/>
      <name val="WenQuanYi Zen Hei"/>
      <family val="2"/>
    </font>
    <font>
      <b val="true"/>
      <sz val="10"/>
      <color rgb="FF1E2761"/>
      <name val="Arial"/>
      <family val="0"/>
      <charset val="1"/>
    </font>
    <font>
      <b val="true"/>
      <sz val="10"/>
      <color rgb="FF555555"/>
      <name val="WenQuanYi Zen Hei"/>
      <family val="2"/>
    </font>
    <font>
      <b val="true"/>
      <sz val="10"/>
      <color rgb="FF555555"/>
      <name val="Arial"/>
      <family val="0"/>
      <charset val="1"/>
    </font>
    <font>
      <b val="true"/>
      <sz val="9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b val="true"/>
      <i val="true"/>
      <sz val="10"/>
      <color rgb="FF555555"/>
      <name val="Arial"/>
      <family val="0"/>
      <charset val="1"/>
    </font>
    <font>
      <b val="true"/>
      <i val="true"/>
      <sz val="10"/>
      <color rgb="FF555555"/>
      <name val="WenQuanYi Zen Hei"/>
      <family val="2"/>
    </font>
    <font>
      <b val="true"/>
      <sz val="11"/>
      <color rgb="FF1E2761"/>
      <name val="WenQuanYi Zen Hei"/>
      <family val="2"/>
    </font>
    <font>
      <b val="true"/>
      <sz val="11"/>
      <color rgb="FF1E2761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9"/>
      <color rgb="FF555555"/>
      <name val="WenQuanYi Zen Hei"/>
      <family val="2"/>
    </font>
    <font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D9E1F2"/>
        <bgColor rgb="FFC6E0B4"/>
      </patternFill>
    </fill>
    <fill>
      <patternFill patternType="solid">
        <fgColor rgb="FFC6E0B4"/>
        <bgColor rgb="FFD9E1F2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6" min="4" style="0" width="13"/>
    <col collapsed="false" customWidth="true" hidden="false" outlineLevel="0" max="9" min="7" style="0" width="12"/>
    <col collapsed="false" customWidth="true" hidden="false" outlineLevel="0" max="10" min="10" style="0" width="15"/>
    <col collapsed="false" customWidth="true" hidden="false" outlineLevel="0" max="11" min="11" style="0" width="4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6.4" hidden="false" customHeight="false" outlineLevel="0" collapsed="false">
      <c r="A4" s="3" t="s">
        <v>2</v>
      </c>
    </row>
    <row r="5" customFormat="false" ht="42" hidden="false" customHeight="tru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7" t="s">
        <v>13</v>
      </c>
    </row>
    <row r="6" customFormat="false" ht="15" hidden="false" customHeight="false" outlineLevel="0" collapsed="false">
      <c r="A6" s="8" t="s">
        <v>14</v>
      </c>
      <c r="B6" s="9" t="n">
        <v>302058</v>
      </c>
      <c r="C6" s="9" t="n">
        <v>-12492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f aca="false">SUM(C6:H6)</f>
        <v>-12492</v>
      </c>
      <c r="J6" s="9" t="n">
        <f aca="false">B6+I6</f>
        <v>289566</v>
      </c>
      <c r="K6" s="8" t="n">
        <v>289566</v>
      </c>
    </row>
    <row r="7" customFormat="false" ht="15" hidden="false" customHeight="false" outlineLevel="0" collapsed="false">
      <c r="A7" s="8" t="s">
        <v>15</v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8"/>
    </row>
    <row r="8" customFormat="false" ht="15" hidden="false" customHeight="false" outlineLevel="0" collapsed="false">
      <c r="A8" s="10" t="s">
        <v>16</v>
      </c>
      <c r="B8" s="11" t="n">
        <f aca="false">B6-B7</f>
        <v>302058</v>
      </c>
      <c r="C8" s="11" t="n">
        <f aca="false">C6-C7</f>
        <v>-12492</v>
      </c>
      <c r="D8" s="11" t="n">
        <f aca="false">D6-D7</f>
        <v>0</v>
      </c>
      <c r="E8" s="11" t="n">
        <f aca="false">E6-E7</f>
        <v>0</v>
      </c>
      <c r="F8" s="11" t="n">
        <f aca="false">F6-F7</f>
        <v>0</v>
      </c>
      <c r="G8" s="11" t="n">
        <f aca="false">G6-G7</f>
        <v>0</v>
      </c>
      <c r="H8" s="11" t="n">
        <f aca="false">H6-H7</f>
        <v>0</v>
      </c>
      <c r="I8" s="11" t="n">
        <f aca="false">I6-I7</f>
        <v>-12492</v>
      </c>
      <c r="J8" s="11" t="n">
        <f aca="false">J6-J7</f>
        <v>289566</v>
      </c>
      <c r="K8" s="10" t="n">
        <f aca="false">K6-K7</f>
        <v>289566</v>
      </c>
    </row>
    <row r="9" customFormat="false" ht="15" hidden="false" customHeight="false" outlineLevel="0" collapsed="false">
      <c r="A9" s="8" t="s">
        <v>17</v>
      </c>
      <c r="B9" s="9" t="n">
        <v>342186</v>
      </c>
      <c r="C9" s="9" t="n">
        <f aca="false">C30</f>
        <v>-7700</v>
      </c>
      <c r="D9" s="9" t="n">
        <f aca="false">D30</f>
        <v>-35712</v>
      </c>
      <c r="E9" s="9" t="n">
        <f aca="false">E30</f>
        <v>-3118</v>
      </c>
      <c r="F9" s="9" t="n">
        <f aca="false">F30</f>
        <v>-30834</v>
      </c>
      <c r="G9" s="9" t="n">
        <f aca="false">G30</f>
        <v>-1800</v>
      </c>
      <c r="H9" s="9" t="n">
        <f aca="false">H30</f>
        <v>-3721</v>
      </c>
      <c r="I9" s="9" t="n">
        <f aca="false">SUM(C9:H9)</f>
        <v>-82885</v>
      </c>
      <c r="J9" s="9" t="n">
        <f aca="false">B9+I9</f>
        <v>259301</v>
      </c>
      <c r="K9" s="8" t="n">
        <v>256043</v>
      </c>
    </row>
    <row r="10" customFormat="false" ht="15" hidden="false" customHeight="false" outlineLevel="0" collapsed="false">
      <c r="A10" s="12" t="s">
        <v>18</v>
      </c>
      <c r="B10" s="13" t="n">
        <f aca="false">B8-B9</f>
        <v>-40128</v>
      </c>
      <c r="C10" s="13" t="n">
        <f aca="false">C8-C9</f>
        <v>-4792</v>
      </c>
      <c r="D10" s="13" t="n">
        <f aca="false">D8-D9</f>
        <v>35712</v>
      </c>
      <c r="E10" s="13" t="n">
        <f aca="false">E8-E9</f>
        <v>3118</v>
      </c>
      <c r="F10" s="13" t="n">
        <f aca="false">F8-F9</f>
        <v>30834</v>
      </c>
      <c r="G10" s="13" t="n">
        <f aca="false">G8-G9</f>
        <v>1800</v>
      </c>
      <c r="H10" s="13" t="n">
        <f aca="false">H8-H9</f>
        <v>3721</v>
      </c>
      <c r="I10" s="13" t="n">
        <f aca="false">I8-I9</f>
        <v>70393</v>
      </c>
      <c r="J10" s="13" t="n">
        <f aca="false">J8-J9</f>
        <v>30265</v>
      </c>
      <c r="K10" s="12" t="n">
        <f aca="false">K8-K9</f>
        <v>33523</v>
      </c>
    </row>
    <row r="11" customFormat="false" ht="15" hidden="false" customHeight="false" outlineLevel="0" collapsed="false">
      <c r="A11" s="14" t="s">
        <v>19</v>
      </c>
      <c r="B11" s="15" t="n">
        <f aca="false">B10/B6</f>
        <v>-0.132848658204716</v>
      </c>
      <c r="C11" s="16"/>
      <c r="D11" s="16"/>
      <c r="E11" s="16"/>
      <c r="F11" s="16"/>
      <c r="G11" s="16"/>
      <c r="H11" s="16"/>
      <c r="I11" s="16"/>
      <c r="J11" s="15" t="n">
        <f aca="false">J10/J6</f>
        <v>0.104518486286373</v>
      </c>
      <c r="K11" s="15" t="n">
        <f aca="false">K10/K6</f>
        <v>0.115769807228749</v>
      </c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  <c r="H12" s="9"/>
      <c r="I12" s="9"/>
      <c r="J12" s="9"/>
      <c r="K12" s="8"/>
    </row>
    <row r="13" customFormat="false" ht="15" hidden="false" customHeight="false" outlineLevel="0" collapsed="false">
      <c r="A13" s="17" t="s">
        <v>20</v>
      </c>
      <c r="B13" s="9" t="n">
        <v>-40128</v>
      </c>
      <c r="C13" s="9"/>
      <c r="D13" s="9"/>
      <c r="E13" s="9"/>
      <c r="F13" s="9"/>
      <c r="G13" s="9"/>
      <c r="H13" s="9"/>
      <c r="I13" s="9"/>
      <c r="J13" s="18" t="n">
        <f aca="false">B10-B13</f>
        <v>0</v>
      </c>
      <c r="K13" s="19" t="s">
        <v>21</v>
      </c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  <c r="H14" s="9"/>
      <c r="I14" s="9"/>
      <c r="J14" s="9"/>
      <c r="K14" s="8"/>
    </row>
    <row r="15" customFormat="false" ht="16.4" hidden="false" customHeight="false" outlineLevel="0" collapsed="false">
      <c r="A15" s="20" t="s">
        <v>22</v>
      </c>
      <c r="B15" s="9"/>
      <c r="C15" s="9"/>
      <c r="D15" s="9"/>
      <c r="E15" s="9"/>
      <c r="F15" s="9"/>
      <c r="G15" s="9"/>
      <c r="H15" s="9"/>
      <c r="I15" s="9"/>
      <c r="J15" s="9"/>
      <c r="K15" s="8"/>
    </row>
    <row r="16" customFormat="false" ht="42" hidden="false" customHeight="true" outlineLevel="0" collapsed="false">
      <c r="A16" s="4" t="s">
        <v>3</v>
      </c>
      <c r="B16" s="5" t="s">
        <v>4</v>
      </c>
      <c r="C16" s="5" t="s">
        <v>5</v>
      </c>
      <c r="D16" s="5" t="s">
        <v>6</v>
      </c>
      <c r="E16" s="6" t="s">
        <v>7</v>
      </c>
      <c r="F16" s="5" t="s">
        <v>8</v>
      </c>
      <c r="G16" s="5" t="s">
        <v>9</v>
      </c>
      <c r="H16" s="5" t="s">
        <v>10</v>
      </c>
      <c r="I16" s="5" t="s">
        <v>11</v>
      </c>
      <c r="J16" s="5" t="s">
        <v>12</v>
      </c>
      <c r="K16" s="7" t="s">
        <v>13</v>
      </c>
    </row>
    <row r="17" customFormat="false" ht="15" hidden="false" customHeight="false" outlineLevel="0" collapsed="false">
      <c r="A17" s="8" t="s">
        <v>23</v>
      </c>
      <c r="B17" s="9" t="n">
        <v>12000</v>
      </c>
      <c r="C17" s="9" t="n">
        <v>0</v>
      </c>
      <c r="D17" s="9" t="n">
        <v>0</v>
      </c>
      <c r="E17" s="9" t="n">
        <v>0</v>
      </c>
      <c r="F17" s="9" t="n">
        <v>-12000</v>
      </c>
      <c r="G17" s="9" t="n">
        <v>0</v>
      </c>
      <c r="H17" s="9" t="n">
        <v>0</v>
      </c>
      <c r="I17" s="9" t="n">
        <f aca="false">SUM(C17:H17)</f>
        <v>-12000</v>
      </c>
      <c r="J17" s="9" t="n">
        <f aca="false">B17+I17</f>
        <v>0</v>
      </c>
      <c r="K17" s="8" t="s">
        <v>24</v>
      </c>
    </row>
    <row r="18" customFormat="false" ht="15" hidden="false" customHeight="false" outlineLevel="0" collapsed="false">
      <c r="A18" s="8" t="s">
        <v>25</v>
      </c>
      <c r="B18" s="9" t="n">
        <v>55240</v>
      </c>
      <c r="C18" s="9" t="n">
        <v>0</v>
      </c>
      <c r="D18" s="9" t="n">
        <v>-35712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f aca="false">SUM(C18:H18)</f>
        <v>-35712</v>
      </c>
      <c r="J18" s="9" t="n">
        <f aca="false">B18+I18</f>
        <v>19528</v>
      </c>
      <c r="K18" s="19" t="s">
        <v>26</v>
      </c>
    </row>
    <row r="19" customFormat="false" ht="15" hidden="false" customHeight="false" outlineLevel="0" collapsed="false">
      <c r="A19" s="8" t="s">
        <v>27</v>
      </c>
      <c r="B19" s="9" t="n">
        <v>6869</v>
      </c>
      <c r="C19" s="9" t="n">
        <v>0</v>
      </c>
      <c r="D19" s="9" t="n">
        <v>0</v>
      </c>
      <c r="E19" s="9" t="n">
        <v>0</v>
      </c>
      <c r="F19" s="9" t="n">
        <v>-6777</v>
      </c>
      <c r="G19" s="9" t="n">
        <v>0</v>
      </c>
      <c r="H19" s="9" t="n">
        <v>0</v>
      </c>
      <c r="I19" s="9" t="n">
        <f aca="false">SUM(C19:H19)</f>
        <v>-6777</v>
      </c>
      <c r="J19" s="9" t="n">
        <f aca="false">B19+I19</f>
        <v>92</v>
      </c>
      <c r="K19" s="8" t="s">
        <v>28</v>
      </c>
    </row>
    <row r="20" customFormat="false" ht="15" hidden="false" customHeight="false" outlineLevel="0" collapsed="false">
      <c r="A20" s="8" t="s">
        <v>29</v>
      </c>
      <c r="B20" s="9" t="n">
        <v>6725</v>
      </c>
      <c r="C20" s="9" t="n">
        <v>0</v>
      </c>
      <c r="D20" s="9" t="n">
        <v>0</v>
      </c>
      <c r="E20" s="9" t="n">
        <v>0</v>
      </c>
      <c r="F20" s="9" t="n">
        <v>-5409</v>
      </c>
      <c r="G20" s="9" t="n">
        <v>0</v>
      </c>
      <c r="H20" s="9" t="n">
        <v>0</v>
      </c>
      <c r="I20" s="9" t="n">
        <f aca="false">SUM(C20:H20)</f>
        <v>-5409</v>
      </c>
      <c r="J20" s="9" t="n">
        <f aca="false">B20+I20</f>
        <v>1316</v>
      </c>
      <c r="K20" s="8" t="s">
        <v>30</v>
      </c>
    </row>
    <row r="21" customFormat="false" ht="15" hidden="false" customHeight="false" outlineLevel="0" collapsed="false">
      <c r="A21" s="8" t="s">
        <v>31</v>
      </c>
      <c r="B21" s="9" t="n">
        <v>6648</v>
      </c>
      <c r="C21" s="9" t="n">
        <v>0</v>
      </c>
      <c r="D21" s="9" t="n">
        <v>0</v>
      </c>
      <c r="E21" s="9" t="n">
        <v>0</v>
      </c>
      <c r="F21" s="9" t="n">
        <v>-6648</v>
      </c>
      <c r="G21" s="9" t="n">
        <v>0</v>
      </c>
      <c r="H21" s="9" t="n">
        <v>0</v>
      </c>
      <c r="I21" s="9" t="n">
        <f aca="false">SUM(C21:H21)</f>
        <v>-6648</v>
      </c>
      <c r="J21" s="9" t="n">
        <f aca="false">B21+I21</f>
        <v>0</v>
      </c>
      <c r="K21" s="8" t="s">
        <v>32</v>
      </c>
    </row>
    <row r="22" customFormat="false" ht="15" hidden="false" customHeight="false" outlineLevel="0" collapsed="false">
      <c r="A22" s="8" t="s">
        <v>33</v>
      </c>
      <c r="B22" s="9" t="n">
        <v>6146</v>
      </c>
      <c r="C22" s="9" t="n">
        <v>-5736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f aca="false">SUM(C22:H22)</f>
        <v>-5736</v>
      </c>
      <c r="J22" s="9" t="n">
        <f aca="false">B22+I22</f>
        <v>410</v>
      </c>
      <c r="K22" s="8" t="s">
        <v>34</v>
      </c>
    </row>
    <row r="23" customFormat="false" ht="15" hidden="false" customHeight="false" outlineLevel="0" collapsed="false">
      <c r="A23" s="8" t="s">
        <v>35</v>
      </c>
      <c r="B23" s="9" t="n">
        <v>1058</v>
      </c>
      <c r="C23" s="9" t="n">
        <v>-1058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f aca="false">SUM(C23:H23)</f>
        <v>-1058</v>
      </c>
      <c r="J23" s="9" t="n">
        <f aca="false">B23+I23</f>
        <v>0</v>
      </c>
      <c r="K23" s="8" t="s">
        <v>36</v>
      </c>
    </row>
    <row r="24" customFormat="false" ht="15" hidden="false" customHeight="false" outlineLevel="0" collapsed="false">
      <c r="A24" s="8" t="s">
        <v>37</v>
      </c>
      <c r="B24" s="9" t="n">
        <v>464</v>
      </c>
      <c r="C24" s="9" t="n">
        <v>-464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f aca="false">SUM(C24:H24)</f>
        <v>-464</v>
      </c>
      <c r="J24" s="9" t="n">
        <f aca="false">B24+I24</f>
        <v>0</v>
      </c>
      <c r="K24" s="8" t="s">
        <v>38</v>
      </c>
    </row>
    <row r="25" customFormat="false" ht="15" hidden="false" customHeight="false" outlineLevel="0" collapsed="false">
      <c r="A25" s="8" t="s">
        <v>39</v>
      </c>
      <c r="B25" s="9" t="n">
        <v>442</v>
      </c>
      <c r="C25" s="9" t="n">
        <v>-442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f aca="false">SUM(C25:H25)</f>
        <v>-442</v>
      </c>
      <c r="J25" s="9" t="n">
        <f aca="false">B25+I25</f>
        <v>0</v>
      </c>
      <c r="K25" s="8" t="s">
        <v>40</v>
      </c>
    </row>
    <row r="26" customFormat="false" ht="15" hidden="false" customHeight="false" outlineLevel="0" collapsed="false">
      <c r="A26" s="8" t="s">
        <v>41</v>
      </c>
      <c r="B26" s="9" t="n">
        <v>11300</v>
      </c>
      <c r="C26" s="9" t="n">
        <v>0</v>
      </c>
      <c r="D26" s="9" t="n">
        <v>0</v>
      </c>
      <c r="E26" s="9" t="n">
        <v>-3118</v>
      </c>
      <c r="F26" s="9" t="n">
        <v>0</v>
      </c>
      <c r="G26" s="9" t="n">
        <v>0</v>
      </c>
      <c r="H26" s="9" t="n">
        <v>0</v>
      </c>
      <c r="I26" s="9" t="n">
        <f aca="false">SUM(C26:H26)</f>
        <v>-3118</v>
      </c>
      <c r="J26" s="9" t="n">
        <f aca="false">B26+I26</f>
        <v>8182</v>
      </c>
      <c r="K26" s="19" t="s">
        <v>42</v>
      </c>
    </row>
    <row r="27" customFormat="false" ht="15" hidden="false" customHeight="false" outlineLevel="0" collapsed="false">
      <c r="A27" s="8" t="s">
        <v>43</v>
      </c>
      <c r="B27" s="9" t="n">
        <v>1800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-1800</v>
      </c>
      <c r="H27" s="9" t="n">
        <v>0</v>
      </c>
      <c r="I27" s="9" t="n">
        <f aca="false">SUM(C27:H27)</f>
        <v>-1800</v>
      </c>
      <c r="J27" s="9" t="n">
        <f aca="false">B27+I27</f>
        <v>0</v>
      </c>
      <c r="K27" s="8" t="s">
        <v>44</v>
      </c>
    </row>
    <row r="28" customFormat="false" ht="15" hidden="false" customHeight="false" outlineLevel="0" collapsed="false">
      <c r="A28" s="8" t="s">
        <v>45</v>
      </c>
      <c r="B28" s="9" t="n">
        <v>8023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-3209</v>
      </c>
      <c r="I28" s="9" t="n">
        <f aca="false">SUM(C28:H28)</f>
        <v>-3209</v>
      </c>
      <c r="J28" s="9" t="n">
        <f aca="false">B28+I28</f>
        <v>4814</v>
      </c>
      <c r="K28" s="8" t="s">
        <v>46</v>
      </c>
    </row>
    <row r="29" customFormat="false" ht="15" hidden="false" customHeight="false" outlineLevel="0" collapsed="false">
      <c r="A29" s="8" t="s">
        <v>47</v>
      </c>
      <c r="B29" s="9" t="n">
        <v>1279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-512</v>
      </c>
      <c r="I29" s="9" t="n">
        <f aca="false">SUM(C29:H29)</f>
        <v>-512</v>
      </c>
      <c r="J29" s="9" t="n">
        <f aca="false">B29+I29</f>
        <v>767</v>
      </c>
      <c r="K29" s="8" t="s">
        <v>48</v>
      </c>
    </row>
    <row r="30" customFormat="false" ht="15" hidden="false" customHeight="false" outlineLevel="0" collapsed="false">
      <c r="A30" s="21" t="s">
        <v>49</v>
      </c>
      <c r="B30" s="22" t="n">
        <f aca="false">SUM(B17:B29)</f>
        <v>117994</v>
      </c>
      <c r="C30" s="22" t="n">
        <f aca="false">SUM(C17:C29)</f>
        <v>-7700</v>
      </c>
      <c r="D30" s="22" t="n">
        <f aca="false">SUM(D17:D29)</f>
        <v>-35712</v>
      </c>
      <c r="E30" s="22" t="n">
        <f aca="false">SUM(E17:E29)</f>
        <v>-3118</v>
      </c>
      <c r="F30" s="22" t="n">
        <f aca="false">SUM(F17:F29)</f>
        <v>-30834</v>
      </c>
      <c r="G30" s="22" t="n">
        <f aca="false">SUM(G17:G29)</f>
        <v>-1800</v>
      </c>
      <c r="H30" s="22" t="n">
        <f aca="false">SUM(H17:H29)</f>
        <v>-3721</v>
      </c>
      <c r="I30" s="22" t="n">
        <f aca="false">SUM(I17:I29)</f>
        <v>-82885</v>
      </c>
      <c r="J30" s="22" t="n">
        <f aca="false">SUM(J17:J29)</f>
        <v>35109</v>
      </c>
      <c r="K30" s="8"/>
    </row>
    <row r="31" customFormat="false" ht="15" hidden="false" customHeight="false" outlineLevel="0" collapsed="false">
      <c r="A31" s="8" t="s">
        <v>50</v>
      </c>
      <c r="B31" s="9" t="n">
        <f aca="false">B9-B30</f>
        <v>224192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f aca="false">SUM(C31:H31)</f>
        <v>0</v>
      </c>
      <c r="J31" s="9" t="n">
        <f aca="false">B31+I31</f>
        <v>224192</v>
      </c>
      <c r="K31" s="8"/>
    </row>
    <row r="32" customFormat="false" ht="15" hidden="false" customHeight="false" outlineLevel="0" collapsed="false">
      <c r="A32" s="21" t="s">
        <v>51</v>
      </c>
      <c r="B32" s="22" t="n">
        <f aca="false">B30+B31</f>
        <v>342186</v>
      </c>
      <c r="C32" s="22" t="n">
        <f aca="false">C30+C31</f>
        <v>-7700</v>
      </c>
      <c r="D32" s="22" t="n">
        <f aca="false">D30+D31</f>
        <v>-35712</v>
      </c>
      <c r="E32" s="22" t="n">
        <f aca="false">E30+E31</f>
        <v>-3118</v>
      </c>
      <c r="F32" s="22" t="n">
        <f aca="false">F30+F31</f>
        <v>-30834</v>
      </c>
      <c r="G32" s="22" t="n">
        <f aca="false">G30+G31</f>
        <v>-1800</v>
      </c>
      <c r="H32" s="22" t="n">
        <f aca="false">H30+H31</f>
        <v>-3721</v>
      </c>
      <c r="I32" s="22" t="n">
        <f aca="false">I30+I31</f>
        <v>-82885</v>
      </c>
      <c r="J32" s="22" t="n">
        <f aca="false">J30+J31</f>
        <v>259301</v>
      </c>
      <c r="K32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4" min="3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53</v>
      </c>
    </row>
    <row r="4" customFormat="false" ht="31.5" hidden="false" customHeight="true" outlineLevel="0" collapsed="false">
      <c r="A4" s="4"/>
      <c r="B4" s="4" t="s">
        <v>54</v>
      </c>
      <c r="C4" s="5" t="s">
        <v>55</v>
      </c>
      <c r="D4" s="5" t="s">
        <v>56</v>
      </c>
      <c r="E4" s="4" t="s">
        <v>57</v>
      </c>
    </row>
    <row r="5" customFormat="false" ht="15" hidden="false" customHeight="false" outlineLevel="0" collapsed="false">
      <c r="A5" s="10"/>
      <c r="B5" s="10" t="s">
        <v>58</v>
      </c>
      <c r="C5" s="11" t="n">
        <v>-40128</v>
      </c>
      <c r="D5" s="11" t="n">
        <v>-40128</v>
      </c>
      <c r="E5" s="10" t="s">
        <v>59</v>
      </c>
    </row>
    <row r="6" customFormat="false" ht="15" hidden="false" customHeight="false" outlineLevel="0" collapsed="false">
      <c r="A6" s="8"/>
      <c r="B6" s="8"/>
      <c r="C6" s="9"/>
      <c r="D6" s="9"/>
      <c r="E6" s="8"/>
    </row>
    <row r="7" customFormat="false" ht="15" hidden="false" customHeight="false" outlineLevel="0" collapsed="false">
      <c r="A7" s="23"/>
      <c r="B7" s="24" t="s">
        <v>60</v>
      </c>
      <c r="C7" s="25"/>
      <c r="D7" s="25"/>
      <c r="E7" s="24"/>
    </row>
    <row r="8" customFormat="false" ht="15" hidden="false" customHeight="false" outlineLevel="0" collapsed="false">
      <c r="A8" s="19" t="s">
        <v>61</v>
      </c>
      <c r="B8" s="8" t="s">
        <v>62</v>
      </c>
      <c r="C8" s="9" t="n">
        <v>-13200</v>
      </c>
      <c r="D8" s="9"/>
      <c r="E8" s="8" t="s">
        <v>63</v>
      </c>
    </row>
    <row r="9" customFormat="false" ht="15" hidden="false" customHeight="false" outlineLevel="0" collapsed="false">
      <c r="A9" s="8" t="s">
        <v>64</v>
      </c>
      <c r="B9" s="8" t="s">
        <v>65</v>
      </c>
      <c r="C9" s="9" t="n">
        <v>708</v>
      </c>
      <c r="D9" s="9"/>
      <c r="E9" s="8" t="s">
        <v>66</v>
      </c>
    </row>
    <row r="10" customFormat="false" ht="15" hidden="false" customHeight="false" outlineLevel="0" collapsed="false">
      <c r="A10" s="8" t="s">
        <v>64</v>
      </c>
      <c r="B10" s="8" t="s">
        <v>67</v>
      </c>
      <c r="C10" s="9" t="n">
        <v>5736</v>
      </c>
      <c r="D10" s="9"/>
      <c r="E10" s="8" t="s">
        <v>68</v>
      </c>
    </row>
    <row r="11" customFormat="false" ht="15" hidden="false" customHeight="false" outlineLevel="0" collapsed="false">
      <c r="A11" s="8" t="s">
        <v>64</v>
      </c>
      <c r="B11" s="8" t="s">
        <v>69</v>
      </c>
      <c r="C11" s="9" t="n">
        <v>1058</v>
      </c>
      <c r="D11" s="9"/>
      <c r="E11" s="8" t="s">
        <v>36</v>
      </c>
    </row>
    <row r="12" customFormat="false" ht="15" hidden="false" customHeight="false" outlineLevel="0" collapsed="false">
      <c r="A12" s="8" t="s">
        <v>64</v>
      </c>
      <c r="B12" s="8" t="s">
        <v>70</v>
      </c>
      <c r="C12" s="9" t="n">
        <v>464</v>
      </c>
      <c r="D12" s="9"/>
      <c r="E12" s="8" t="s">
        <v>71</v>
      </c>
    </row>
    <row r="13" customFormat="false" ht="15" hidden="false" customHeight="false" outlineLevel="0" collapsed="false">
      <c r="A13" s="8" t="s">
        <v>64</v>
      </c>
      <c r="B13" s="8" t="s">
        <v>72</v>
      </c>
      <c r="C13" s="9" t="n">
        <v>442</v>
      </c>
      <c r="D13" s="9"/>
      <c r="E13" s="8" t="s">
        <v>40</v>
      </c>
    </row>
    <row r="14" customFormat="false" ht="15" hidden="false" customHeight="false" outlineLevel="0" collapsed="false">
      <c r="A14" s="26"/>
      <c r="B14" s="27" t="s">
        <v>73</v>
      </c>
      <c r="C14" s="28"/>
      <c r="D14" s="28" t="n">
        <f aca="false">SUM(C5:C13)</f>
        <v>-44920</v>
      </c>
      <c r="E14" s="27" t="s">
        <v>74</v>
      </c>
    </row>
    <row r="15" customFormat="false" ht="15" hidden="false" customHeight="false" outlineLevel="0" collapsed="false">
      <c r="A15" s="8"/>
      <c r="B15" s="8"/>
      <c r="C15" s="9"/>
      <c r="D15" s="9"/>
      <c r="E15" s="8"/>
    </row>
    <row r="16" customFormat="false" ht="15" hidden="false" customHeight="false" outlineLevel="0" collapsed="false">
      <c r="A16" s="24"/>
      <c r="B16" s="24" t="s">
        <v>75</v>
      </c>
      <c r="C16" s="25"/>
      <c r="D16" s="25"/>
      <c r="E16" s="24"/>
    </row>
    <row r="17" customFormat="false" ht="15" hidden="false" customHeight="false" outlineLevel="0" collapsed="false">
      <c r="A17" s="8" t="s">
        <v>64</v>
      </c>
      <c r="B17" s="8" t="s">
        <v>76</v>
      </c>
      <c r="C17" s="9" t="n">
        <v>35712</v>
      </c>
      <c r="D17" s="9"/>
      <c r="E17" s="19" t="s">
        <v>77</v>
      </c>
    </row>
    <row r="18" customFormat="false" ht="15" hidden="false" customHeight="false" outlineLevel="0" collapsed="false">
      <c r="A18" s="26"/>
      <c r="B18" s="27" t="s">
        <v>78</v>
      </c>
      <c r="C18" s="28"/>
      <c r="D18" s="28" t="n">
        <f aca="false">SUM(C5:C17)</f>
        <v>-9208</v>
      </c>
      <c r="E18" s="26"/>
    </row>
    <row r="19" customFormat="false" ht="15" hidden="false" customHeight="false" outlineLevel="0" collapsed="false">
      <c r="A19" s="8"/>
      <c r="B19" s="8"/>
      <c r="C19" s="9"/>
      <c r="D19" s="9"/>
      <c r="E19" s="8"/>
    </row>
    <row r="20" customFormat="false" ht="15" hidden="false" customHeight="false" outlineLevel="0" collapsed="false">
      <c r="A20" s="24"/>
      <c r="B20" s="24" t="s">
        <v>79</v>
      </c>
      <c r="C20" s="25"/>
      <c r="D20" s="25"/>
      <c r="E20" s="24"/>
    </row>
    <row r="21" customFormat="false" ht="15" hidden="false" customHeight="false" outlineLevel="0" collapsed="false">
      <c r="A21" s="8" t="s">
        <v>64</v>
      </c>
      <c r="B21" s="19" t="s">
        <v>80</v>
      </c>
      <c r="C21" s="9" t="n">
        <v>3118</v>
      </c>
      <c r="D21" s="9"/>
      <c r="E21" s="19" t="s">
        <v>81</v>
      </c>
    </row>
    <row r="22" customFormat="false" ht="15" hidden="false" customHeight="false" outlineLevel="0" collapsed="false">
      <c r="A22" s="26"/>
      <c r="B22" s="27" t="s">
        <v>82</v>
      </c>
      <c r="C22" s="28"/>
      <c r="D22" s="28" t="n">
        <f aca="false">SUM(C5:C21)</f>
        <v>-6090</v>
      </c>
      <c r="E22" s="26"/>
    </row>
    <row r="23" customFormat="false" ht="15" hidden="false" customHeight="false" outlineLevel="0" collapsed="false">
      <c r="A23" s="8"/>
      <c r="B23" s="8"/>
      <c r="C23" s="9"/>
      <c r="D23" s="9"/>
      <c r="E23" s="8"/>
    </row>
    <row r="24" customFormat="false" ht="15" hidden="false" customHeight="false" outlineLevel="0" collapsed="false">
      <c r="A24" s="24"/>
      <c r="B24" s="24" t="s">
        <v>83</v>
      </c>
      <c r="C24" s="25"/>
      <c r="D24" s="25"/>
      <c r="E24" s="24"/>
    </row>
    <row r="25" customFormat="false" ht="15" hidden="false" customHeight="false" outlineLevel="0" collapsed="false">
      <c r="A25" s="8" t="s">
        <v>64</v>
      </c>
      <c r="B25" s="8" t="s">
        <v>84</v>
      </c>
      <c r="C25" s="9" t="n">
        <v>12000</v>
      </c>
      <c r="D25" s="9"/>
      <c r="E25" s="8" t="s">
        <v>85</v>
      </c>
    </row>
    <row r="26" customFormat="false" ht="15" hidden="false" customHeight="false" outlineLevel="0" collapsed="false">
      <c r="A26" s="8" t="s">
        <v>64</v>
      </c>
      <c r="B26" s="8" t="s">
        <v>86</v>
      </c>
      <c r="C26" s="9" t="n">
        <v>6777</v>
      </c>
      <c r="D26" s="9"/>
      <c r="E26" s="8" t="s">
        <v>87</v>
      </c>
    </row>
    <row r="27" customFormat="false" ht="15" hidden="false" customHeight="false" outlineLevel="0" collapsed="false">
      <c r="A27" s="8" t="s">
        <v>64</v>
      </c>
      <c r="B27" s="8" t="s">
        <v>88</v>
      </c>
      <c r="C27" s="9" t="n">
        <v>5409</v>
      </c>
      <c r="D27" s="9"/>
      <c r="E27" s="8" t="s">
        <v>89</v>
      </c>
    </row>
    <row r="28" customFormat="false" ht="15" hidden="false" customHeight="false" outlineLevel="0" collapsed="false">
      <c r="A28" s="8" t="s">
        <v>64</v>
      </c>
      <c r="B28" s="8" t="s">
        <v>90</v>
      </c>
      <c r="C28" s="9" t="n">
        <v>6648</v>
      </c>
      <c r="D28" s="9"/>
      <c r="E28" s="8" t="s">
        <v>32</v>
      </c>
    </row>
    <row r="29" customFormat="false" ht="15" hidden="false" customHeight="false" outlineLevel="0" collapsed="false">
      <c r="A29" s="26"/>
      <c r="B29" s="27" t="s">
        <v>91</v>
      </c>
      <c r="C29" s="28"/>
      <c r="D29" s="28" t="n">
        <f aca="false">SUM(C5:C28)</f>
        <v>24744</v>
      </c>
      <c r="E29" s="26"/>
    </row>
    <row r="30" customFormat="false" ht="15" hidden="false" customHeight="false" outlineLevel="0" collapsed="false">
      <c r="A30" s="8"/>
      <c r="B30" s="8"/>
      <c r="C30" s="9"/>
      <c r="D30" s="9"/>
      <c r="E30" s="8"/>
    </row>
    <row r="31" customFormat="false" ht="15" hidden="false" customHeight="false" outlineLevel="0" collapsed="false">
      <c r="A31" s="24"/>
      <c r="B31" s="24" t="s">
        <v>92</v>
      </c>
      <c r="C31" s="25"/>
      <c r="D31" s="25"/>
      <c r="E31" s="24"/>
    </row>
    <row r="32" customFormat="false" ht="15" hidden="false" customHeight="false" outlineLevel="0" collapsed="false">
      <c r="A32" s="8" t="s">
        <v>64</v>
      </c>
      <c r="B32" s="8" t="s">
        <v>43</v>
      </c>
      <c r="C32" s="9" t="n">
        <v>1800</v>
      </c>
      <c r="D32" s="9"/>
      <c r="E32" s="8" t="s">
        <v>44</v>
      </c>
    </row>
    <row r="33" customFormat="false" ht="15" hidden="false" customHeight="false" outlineLevel="0" collapsed="false">
      <c r="A33" s="26"/>
      <c r="B33" s="27" t="s">
        <v>93</v>
      </c>
      <c r="C33" s="28"/>
      <c r="D33" s="28" t="n">
        <f aca="false">SUM(C5:C32)</f>
        <v>26544</v>
      </c>
      <c r="E33" s="26"/>
    </row>
    <row r="34" customFormat="false" ht="15" hidden="false" customHeight="false" outlineLevel="0" collapsed="false">
      <c r="A34" s="8"/>
      <c r="B34" s="8"/>
      <c r="C34" s="9"/>
      <c r="D34" s="9"/>
      <c r="E34" s="8"/>
    </row>
    <row r="35" customFormat="false" ht="15" hidden="false" customHeight="false" outlineLevel="0" collapsed="false">
      <c r="A35" s="24"/>
      <c r="B35" s="24" t="s">
        <v>94</v>
      </c>
      <c r="C35" s="25"/>
      <c r="D35" s="25"/>
      <c r="E35" s="24"/>
    </row>
    <row r="36" customFormat="false" ht="15" hidden="false" customHeight="false" outlineLevel="0" collapsed="false">
      <c r="A36" s="8" t="s">
        <v>64</v>
      </c>
      <c r="B36" s="8" t="s">
        <v>95</v>
      </c>
      <c r="C36" s="9" t="n">
        <v>3209</v>
      </c>
      <c r="D36" s="9"/>
      <c r="E36" s="8" t="s">
        <v>96</v>
      </c>
    </row>
    <row r="37" customFormat="false" ht="15" hidden="false" customHeight="false" outlineLevel="0" collapsed="false">
      <c r="A37" s="8" t="s">
        <v>64</v>
      </c>
      <c r="B37" s="8" t="s">
        <v>97</v>
      </c>
      <c r="C37" s="9" t="n">
        <v>512</v>
      </c>
      <c r="D37" s="9"/>
      <c r="E37" s="8" t="s">
        <v>98</v>
      </c>
    </row>
    <row r="38" customFormat="false" ht="15" hidden="false" customHeight="false" outlineLevel="0" collapsed="false">
      <c r="A38" s="8"/>
      <c r="B38" s="8"/>
      <c r="C38" s="9"/>
      <c r="D38" s="9"/>
      <c r="E38" s="8"/>
    </row>
    <row r="39" customFormat="false" ht="16.4" hidden="false" customHeight="false" outlineLevel="0" collapsed="false">
      <c r="A39" s="29"/>
      <c r="B39" s="30" t="s">
        <v>99</v>
      </c>
      <c r="C39" s="31" t="n">
        <f aca="false">SUM(C5:C38)</f>
        <v>30265</v>
      </c>
      <c r="D39" s="31" t="n">
        <f aca="false">SUM(C5:C38)</f>
        <v>30265</v>
      </c>
      <c r="E39" s="30" t="s">
        <v>100</v>
      </c>
    </row>
    <row r="40" customFormat="false" ht="15" hidden="false" customHeight="false" outlineLevel="0" collapsed="false">
      <c r="A40" s="8"/>
      <c r="B40" s="32" t="s">
        <v>101</v>
      </c>
      <c r="C40" s="18" t="n">
        <f aca="false">C39-30000</f>
        <v>265</v>
      </c>
      <c r="D40" s="9"/>
      <c r="E40" s="19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7" min="2" style="0" width="15"/>
    <col collapsed="false" customWidth="true" hidden="false" outlineLevel="0" max="8" min="8" style="0" width="52"/>
  </cols>
  <sheetData>
    <row r="1" customFormat="false" ht="19.4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42" hidden="false" customHeight="true" outlineLevel="0" collapsed="false">
      <c r="A4" s="4" t="s">
        <v>105</v>
      </c>
      <c r="B4" s="5" t="s">
        <v>106</v>
      </c>
      <c r="C4" s="6" t="s">
        <v>107</v>
      </c>
      <c r="D4" s="6" t="s">
        <v>108</v>
      </c>
      <c r="E4" s="6" t="s">
        <v>109</v>
      </c>
      <c r="F4" s="6" t="s">
        <v>110</v>
      </c>
      <c r="G4" s="6" t="s">
        <v>111</v>
      </c>
      <c r="H4" s="4" t="s">
        <v>112</v>
      </c>
    </row>
    <row r="5" customFormat="false" ht="15" hidden="false" customHeight="false" outlineLevel="0" collapsed="false">
      <c r="A5" s="8" t="s">
        <v>113</v>
      </c>
      <c r="B5" s="9" t="n">
        <v>-708100</v>
      </c>
      <c r="C5" s="9" t="n">
        <v>0</v>
      </c>
      <c r="D5" s="9" t="n">
        <v>-708100</v>
      </c>
      <c r="E5" s="9" t="n">
        <v>0</v>
      </c>
      <c r="F5" s="9" t="n">
        <v>0</v>
      </c>
      <c r="G5" s="9" t="n">
        <f aca="false">B5-C5-D5-E5-F5</f>
        <v>0</v>
      </c>
      <c r="H5" s="8" t="s">
        <v>114</v>
      </c>
    </row>
    <row r="6" customFormat="false" ht="15" hidden="false" customHeight="false" outlineLevel="0" collapsed="false">
      <c r="A6" s="8" t="s">
        <v>115</v>
      </c>
      <c r="B6" s="9" t="n">
        <v>13200000</v>
      </c>
      <c r="C6" s="9" t="n">
        <v>0</v>
      </c>
      <c r="D6" s="9" t="n">
        <v>13200000</v>
      </c>
      <c r="E6" s="9" t="n">
        <v>0</v>
      </c>
      <c r="F6" s="9" t="n">
        <v>0</v>
      </c>
      <c r="G6" s="9" t="n">
        <f aca="false">B6-C6-D6-E6-F6</f>
        <v>0</v>
      </c>
      <c r="H6" s="8" t="s">
        <v>116</v>
      </c>
    </row>
    <row r="7" customFormat="false" ht="15" hidden="false" customHeight="false" outlineLevel="0" collapsed="false">
      <c r="A7" s="8" t="s">
        <v>23</v>
      </c>
      <c r="B7" s="9" t="n">
        <v>12000000</v>
      </c>
      <c r="C7" s="9" t="n">
        <v>12000000</v>
      </c>
      <c r="D7" s="9" t="n">
        <v>0</v>
      </c>
      <c r="E7" s="9" t="n">
        <v>0</v>
      </c>
      <c r="F7" s="9" t="n">
        <v>0</v>
      </c>
      <c r="G7" s="9" t="n">
        <f aca="false">B7-C7-D7-E7-F7</f>
        <v>0</v>
      </c>
      <c r="H7" s="8" t="s">
        <v>117</v>
      </c>
    </row>
    <row r="8" customFormat="false" ht="15" hidden="false" customHeight="false" outlineLevel="0" collapsed="false">
      <c r="A8" s="8" t="s">
        <v>118</v>
      </c>
      <c r="B8" s="9" t="n">
        <v>27553741</v>
      </c>
      <c r="C8" s="9" t="n">
        <v>16920000</v>
      </c>
      <c r="D8" s="9" t="n">
        <v>0</v>
      </c>
      <c r="E8" s="9" t="n">
        <v>0</v>
      </c>
      <c r="F8" s="9" t="n">
        <v>0</v>
      </c>
      <c r="G8" s="9" t="n">
        <f aca="false">B8-C8-D8-E8-F8</f>
        <v>10633741</v>
      </c>
      <c r="H8" s="8" t="s">
        <v>119</v>
      </c>
    </row>
    <row r="9" customFormat="false" ht="15" hidden="false" customHeight="false" outlineLevel="0" collapsed="false">
      <c r="A9" s="8" t="s">
        <v>120</v>
      </c>
      <c r="B9" s="9" t="n">
        <v>5310548</v>
      </c>
      <c r="C9" s="9" t="n">
        <v>2785878</v>
      </c>
      <c r="D9" s="9" t="n">
        <v>0</v>
      </c>
      <c r="E9" s="9" t="n">
        <v>0</v>
      </c>
      <c r="F9" s="9" t="n">
        <v>0</v>
      </c>
      <c r="G9" s="9" t="n">
        <f aca="false">B9-C9-D9-E9-F9</f>
        <v>2524670</v>
      </c>
      <c r="H9" s="19" t="s">
        <v>121</v>
      </c>
    </row>
    <row r="10" customFormat="false" ht="15" hidden="false" customHeight="false" outlineLevel="0" collapsed="false">
      <c r="A10" s="8" t="s">
        <v>122</v>
      </c>
      <c r="B10" s="9" t="n">
        <v>228000</v>
      </c>
      <c r="C10" s="9" t="n">
        <v>144000</v>
      </c>
      <c r="D10" s="9" t="n">
        <v>0</v>
      </c>
      <c r="E10" s="9" t="n">
        <v>0</v>
      </c>
      <c r="F10" s="9" t="n">
        <v>0</v>
      </c>
      <c r="G10" s="9" t="n">
        <f aca="false">B10-C10-D10-E10-F10</f>
        <v>84000</v>
      </c>
      <c r="H10" s="19" t="s">
        <v>121</v>
      </c>
    </row>
    <row r="11" customFormat="false" ht="15" hidden="false" customHeight="false" outlineLevel="0" collapsed="false">
      <c r="A11" s="8" t="s">
        <v>123</v>
      </c>
      <c r="B11" s="9" t="n">
        <v>716977</v>
      </c>
      <c r="C11" s="9" t="n">
        <v>59178</v>
      </c>
      <c r="D11" s="9" t="n">
        <v>0</v>
      </c>
      <c r="E11" s="9" t="n">
        <v>0</v>
      </c>
      <c r="F11" s="9" t="n">
        <v>0</v>
      </c>
      <c r="G11" s="9" t="n">
        <f aca="false">B11-C11-D11-E11-F11</f>
        <v>657799</v>
      </c>
      <c r="H11" s="19" t="s">
        <v>121</v>
      </c>
    </row>
    <row r="12" customFormat="false" ht="15" hidden="false" customHeight="false" outlineLevel="0" collapsed="false">
      <c r="A12" s="8" t="s">
        <v>124</v>
      </c>
      <c r="B12" s="9" t="n">
        <v>137405</v>
      </c>
      <c r="C12" s="9" t="n">
        <v>137405</v>
      </c>
      <c r="D12" s="9" t="n">
        <v>0</v>
      </c>
      <c r="E12" s="9" t="n">
        <v>0</v>
      </c>
      <c r="F12" s="9" t="n">
        <v>0</v>
      </c>
      <c r="G12" s="9" t="n">
        <f aca="false">B12-C12-D12-E12-F12</f>
        <v>0</v>
      </c>
      <c r="H12" s="19" t="s">
        <v>121</v>
      </c>
    </row>
    <row r="13" customFormat="false" ht="15" hidden="false" customHeight="false" outlineLevel="0" collapsed="false">
      <c r="A13" s="8" t="s">
        <v>125</v>
      </c>
      <c r="B13" s="9" t="n">
        <v>74032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f aca="false">B13-C13-D13-E13-F13</f>
        <v>74032</v>
      </c>
      <c r="H13" s="8" t="s">
        <v>126</v>
      </c>
    </row>
    <row r="14" customFormat="false" ht="15" hidden="false" customHeight="false" outlineLevel="0" collapsed="false">
      <c r="A14" s="8" t="s">
        <v>27</v>
      </c>
      <c r="B14" s="9" t="n">
        <v>6777295</v>
      </c>
      <c r="C14" s="9" t="n">
        <v>0</v>
      </c>
      <c r="D14" s="9" t="n">
        <v>0</v>
      </c>
      <c r="E14" s="9" t="n">
        <v>6777295</v>
      </c>
      <c r="F14" s="9" t="n">
        <v>0</v>
      </c>
      <c r="G14" s="9" t="n">
        <f aca="false">B14-C14-D14-E14-F14</f>
        <v>0</v>
      </c>
      <c r="H14" s="8" t="s">
        <v>127</v>
      </c>
    </row>
    <row r="15" customFormat="false" ht="15" hidden="false" customHeight="false" outlineLevel="0" collapsed="false">
      <c r="A15" s="8" t="s">
        <v>128</v>
      </c>
      <c r="B15" s="9" t="n">
        <v>151000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f aca="false">B15-C15-D15-E15-F15</f>
        <v>151000</v>
      </c>
      <c r="H15" s="8" t="s">
        <v>126</v>
      </c>
    </row>
    <row r="16" customFormat="false" ht="15" hidden="false" customHeight="false" outlineLevel="0" collapsed="false">
      <c r="A16" s="8" t="s">
        <v>29</v>
      </c>
      <c r="B16" s="9" t="n">
        <v>5409362</v>
      </c>
      <c r="C16" s="9" t="n">
        <v>0</v>
      </c>
      <c r="D16" s="9" t="n">
        <v>0</v>
      </c>
      <c r="E16" s="9" t="n">
        <v>5409362</v>
      </c>
      <c r="F16" s="9" t="n">
        <v>0</v>
      </c>
      <c r="G16" s="9" t="n">
        <f aca="false">B16-C16-D16-E16-F16</f>
        <v>0</v>
      </c>
      <c r="H16" s="8" t="s">
        <v>129</v>
      </c>
    </row>
    <row r="17" customFormat="false" ht="15" hidden="false" customHeight="false" outlineLevel="0" collapsed="false">
      <c r="A17" s="8" t="s">
        <v>130</v>
      </c>
      <c r="B17" s="9" t="n">
        <v>1417106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f aca="false">B17-C17-D17-E17-F17</f>
        <v>1417106</v>
      </c>
      <c r="H17" s="8" t="s">
        <v>131</v>
      </c>
    </row>
    <row r="18" customFormat="false" ht="15" hidden="false" customHeight="false" outlineLevel="0" collapsed="false">
      <c r="A18" s="8" t="s">
        <v>37</v>
      </c>
      <c r="B18" s="9" t="n">
        <v>464150</v>
      </c>
      <c r="C18" s="9" t="n">
        <v>0</v>
      </c>
      <c r="D18" s="9" t="n">
        <v>464150</v>
      </c>
      <c r="E18" s="9" t="n">
        <v>0</v>
      </c>
      <c r="F18" s="9" t="n">
        <v>0</v>
      </c>
      <c r="G18" s="9" t="n">
        <f aca="false">B18-C18-D18-E18-F18</f>
        <v>0</v>
      </c>
      <c r="H18" s="8" t="s">
        <v>38</v>
      </c>
    </row>
    <row r="19" customFormat="false" ht="15" hidden="false" customHeight="false" outlineLevel="0" collapsed="false">
      <c r="A19" s="8" t="s">
        <v>39</v>
      </c>
      <c r="B19" s="9" t="n">
        <v>442500</v>
      </c>
      <c r="C19" s="9" t="n">
        <v>0</v>
      </c>
      <c r="D19" s="9" t="n">
        <v>442500</v>
      </c>
      <c r="E19" s="9" t="n">
        <v>0</v>
      </c>
      <c r="F19" s="9" t="n">
        <v>0</v>
      </c>
      <c r="G19" s="9" t="n">
        <f aca="false">B19-C19-D19-E19-F19</f>
        <v>0</v>
      </c>
      <c r="H19" s="8" t="s">
        <v>40</v>
      </c>
    </row>
    <row r="20" customFormat="false" ht="15" hidden="false" customHeight="false" outlineLevel="0" collapsed="false">
      <c r="A20" s="8" t="s">
        <v>132</v>
      </c>
      <c r="B20" s="9" t="n">
        <v>192496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f aca="false">B20-C20-D20-E20-F20</f>
        <v>192496</v>
      </c>
      <c r="H20" s="8" t="s">
        <v>126</v>
      </c>
    </row>
    <row r="21" customFormat="false" ht="15" hidden="false" customHeight="false" outlineLevel="0" collapsed="false">
      <c r="A21" s="8" t="s">
        <v>133</v>
      </c>
      <c r="B21" s="9" t="n">
        <v>37500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f aca="false">B21-C21-D21-E21-F21</f>
        <v>37500</v>
      </c>
      <c r="H21" s="8" t="s">
        <v>126</v>
      </c>
    </row>
    <row r="22" customFormat="false" ht="15" hidden="false" customHeight="false" outlineLevel="0" collapsed="false">
      <c r="A22" s="8" t="s">
        <v>41</v>
      </c>
      <c r="B22" s="9" t="n">
        <v>3350430</v>
      </c>
      <c r="C22" s="9" t="n">
        <v>3350430</v>
      </c>
      <c r="D22" s="9" t="n">
        <v>0</v>
      </c>
      <c r="E22" s="9" t="n">
        <v>0</v>
      </c>
      <c r="F22" s="9" t="n">
        <v>0</v>
      </c>
      <c r="G22" s="9" t="n">
        <f aca="false">B22-C22-D22-E22-F22</f>
        <v>0</v>
      </c>
      <c r="H22" s="8" t="s">
        <v>134</v>
      </c>
    </row>
    <row r="23" customFormat="false" ht="15" hidden="false" customHeight="false" outlineLevel="0" collapsed="false">
      <c r="A23" s="8" t="s">
        <v>45</v>
      </c>
      <c r="B23" s="9" t="n">
        <v>8022600</v>
      </c>
      <c r="C23" s="9" t="n">
        <v>8022600</v>
      </c>
      <c r="D23" s="9" t="n">
        <v>0</v>
      </c>
      <c r="E23" s="9" t="n">
        <v>0</v>
      </c>
      <c r="F23" s="9" t="n">
        <v>0</v>
      </c>
      <c r="G23" s="9" t="n">
        <f aca="false">B23-C23-D23-E23-F23</f>
        <v>0</v>
      </c>
      <c r="H23" s="8" t="s">
        <v>135</v>
      </c>
    </row>
    <row r="24" customFormat="false" ht="15" hidden="false" customHeight="false" outlineLevel="0" collapsed="false">
      <c r="A24" s="8" t="s">
        <v>47</v>
      </c>
      <c r="B24" s="9" t="n">
        <v>1279248</v>
      </c>
      <c r="C24" s="9" t="n">
        <v>1279248</v>
      </c>
      <c r="D24" s="9" t="n">
        <v>0</v>
      </c>
      <c r="E24" s="9" t="n">
        <v>0</v>
      </c>
      <c r="F24" s="9" t="n">
        <v>0</v>
      </c>
      <c r="G24" s="9" t="n">
        <f aca="false">B24-C24-D24-E24-F24</f>
        <v>0</v>
      </c>
      <c r="H24" s="8" t="s">
        <v>136</v>
      </c>
    </row>
    <row r="25" customFormat="false" ht="15" hidden="false" customHeight="false" outlineLevel="0" collapsed="false">
      <c r="A25" s="8" t="s">
        <v>137</v>
      </c>
      <c r="B25" s="9" t="n">
        <v>725952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f aca="false">B25-C25-D25-E25-F25</f>
        <v>725952</v>
      </c>
      <c r="H25" s="8" t="s">
        <v>138</v>
      </c>
    </row>
    <row r="26" customFormat="false" ht="15" hidden="false" customHeight="false" outlineLevel="0" collapsed="false">
      <c r="A26" s="8" t="s">
        <v>139</v>
      </c>
      <c r="B26" s="9" t="n">
        <v>442756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f aca="false">B26-C26-D26-E26-F26</f>
        <v>442756</v>
      </c>
      <c r="H26" s="8" t="s">
        <v>140</v>
      </c>
    </row>
    <row r="27" customFormat="false" ht="15" hidden="false" customHeight="false" outlineLevel="0" collapsed="false">
      <c r="A27" s="8" t="s">
        <v>35</v>
      </c>
      <c r="B27" s="9" t="n">
        <v>1058500</v>
      </c>
      <c r="C27" s="9" t="n">
        <v>0</v>
      </c>
      <c r="D27" s="9" t="n">
        <v>1058500</v>
      </c>
      <c r="E27" s="9" t="n">
        <v>0</v>
      </c>
      <c r="F27" s="9" t="n">
        <v>0</v>
      </c>
      <c r="G27" s="9" t="n">
        <f aca="false">B27-C27-D27-E27-F27</f>
        <v>0</v>
      </c>
      <c r="H27" s="8" t="s">
        <v>141</v>
      </c>
    </row>
    <row r="28" customFormat="false" ht="15" hidden="false" customHeight="false" outlineLevel="0" collapsed="false">
      <c r="A28" s="8" t="s">
        <v>31</v>
      </c>
      <c r="B28" s="9" t="n">
        <v>6647672</v>
      </c>
      <c r="C28" s="9" t="n">
        <v>0</v>
      </c>
      <c r="D28" s="9" t="n">
        <v>0</v>
      </c>
      <c r="E28" s="9" t="n">
        <v>6647672</v>
      </c>
      <c r="F28" s="9" t="n">
        <v>0</v>
      </c>
      <c r="G28" s="9" t="n">
        <f aca="false">B28-C28-D28-E28-F28</f>
        <v>0</v>
      </c>
      <c r="H28" s="8" t="s">
        <v>32</v>
      </c>
    </row>
    <row r="29" customFormat="false" ht="15" hidden="false" customHeight="false" outlineLevel="0" collapsed="false">
      <c r="A29" s="8" t="s">
        <v>33</v>
      </c>
      <c r="B29" s="9" t="n">
        <v>5736372</v>
      </c>
      <c r="C29" s="9" t="n">
        <v>0</v>
      </c>
      <c r="D29" s="9" t="n">
        <v>5736372</v>
      </c>
      <c r="E29" s="9" t="n">
        <v>0</v>
      </c>
      <c r="F29" s="9" t="n">
        <v>0</v>
      </c>
      <c r="G29" s="9" t="n">
        <f aca="false">B29-C29-D29-E29-F29</f>
        <v>0</v>
      </c>
      <c r="H29" s="8" t="s">
        <v>142</v>
      </c>
    </row>
    <row r="30" customFormat="false" ht="15" hidden="false" customHeight="false" outlineLevel="0" collapsed="false">
      <c r="A30" s="8" t="s">
        <v>143</v>
      </c>
      <c r="B30" s="9" t="n">
        <v>85417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f aca="false">B30-C30-D30-E30-F30</f>
        <v>85417</v>
      </c>
      <c r="H30" s="8" t="s">
        <v>126</v>
      </c>
    </row>
    <row r="31" customFormat="false" ht="15" hidden="false" customHeight="false" outlineLevel="0" collapsed="false">
      <c r="A31" s="8" t="s">
        <v>43</v>
      </c>
      <c r="B31" s="9" t="n">
        <v>1800000</v>
      </c>
      <c r="C31" s="9" t="n">
        <v>0</v>
      </c>
      <c r="D31" s="9" t="n">
        <v>0</v>
      </c>
      <c r="E31" s="9" t="n">
        <v>0</v>
      </c>
      <c r="F31" s="9" t="n">
        <v>1800000</v>
      </c>
      <c r="G31" s="9" t="n">
        <f aca="false">B31-C31-D31-E31-F31</f>
        <v>0</v>
      </c>
      <c r="H31" s="8" t="s">
        <v>144</v>
      </c>
    </row>
    <row r="32" customFormat="false" ht="15" hidden="false" customHeight="false" outlineLevel="0" collapsed="false">
      <c r="A32" s="8" t="s">
        <v>145</v>
      </c>
      <c r="B32" s="9" t="n">
        <v>2562129</v>
      </c>
      <c r="C32" s="9" t="n">
        <v>2562129</v>
      </c>
      <c r="D32" s="9" t="n">
        <v>0</v>
      </c>
      <c r="E32" s="9" t="n">
        <v>0</v>
      </c>
      <c r="F32" s="9" t="n">
        <v>0</v>
      </c>
      <c r="G32" s="9" t="n">
        <f aca="false">B32-C32-D32-E32-F32</f>
        <v>0</v>
      </c>
      <c r="H32" s="8" t="s">
        <v>146</v>
      </c>
    </row>
    <row r="33" customFormat="false" ht="15" hidden="false" customHeight="false" outlineLevel="0" collapsed="false">
      <c r="A33" s="8" t="s">
        <v>147</v>
      </c>
      <c r="B33" s="9" t="n">
        <v>1949542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f aca="false">B33-C33-D33-E33-F33</f>
        <v>1949542</v>
      </c>
      <c r="H33" s="8" t="s">
        <v>126</v>
      </c>
    </row>
    <row r="34" customFormat="false" ht="15" hidden="false" customHeight="false" outlineLevel="0" collapsed="false">
      <c r="A34" s="21" t="s">
        <v>148</v>
      </c>
      <c r="B34" s="22" t="n">
        <f aca="false">SUM(B5:B6)</f>
        <v>12491900</v>
      </c>
      <c r="C34" s="22" t="n">
        <f aca="false">SUM(C5:C6)</f>
        <v>0</v>
      </c>
      <c r="D34" s="22" t="n">
        <f aca="false">SUM(D5:D6)</f>
        <v>12491900</v>
      </c>
      <c r="E34" s="22" t="n">
        <f aca="false">SUM(E5:E6)</f>
        <v>0</v>
      </c>
      <c r="F34" s="22" t="n">
        <f aca="false">SUM(F5:F6)</f>
        <v>0</v>
      </c>
      <c r="G34" s="22" t="n">
        <f aca="false">SUM(G5:G6)</f>
        <v>0</v>
      </c>
      <c r="H34" s="8"/>
    </row>
    <row r="35" customFormat="false" ht="15" hidden="false" customHeight="false" outlineLevel="0" collapsed="false">
      <c r="A35" s="21" t="s">
        <v>149</v>
      </c>
      <c r="B35" s="22" t="n">
        <f aca="false">SUM(B7:B33)</f>
        <v>94572730</v>
      </c>
      <c r="C35" s="22" t="n">
        <f aca="false">SUM(C7:C33)</f>
        <v>47260868</v>
      </c>
      <c r="D35" s="22" t="n">
        <f aca="false">SUM(D7:D33)</f>
        <v>7701522</v>
      </c>
      <c r="E35" s="22" t="n">
        <f aca="false">SUM(E7:E33)</f>
        <v>18834329</v>
      </c>
      <c r="F35" s="22" t="n">
        <f aca="false">SUM(F7:F33)</f>
        <v>1800000</v>
      </c>
      <c r="G35" s="22" t="n">
        <f aca="false">SUM(G7:G33)</f>
        <v>18976011</v>
      </c>
      <c r="H35" s="8"/>
    </row>
    <row r="36" customFormat="false" ht="15" hidden="false" customHeight="false" outlineLevel="0" collapsed="false">
      <c r="A36" s="33" t="s">
        <v>150</v>
      </c>
      <c r="B36" s="34" t="n">
        <f aca="false">B34-B35</f>
        <v>-82080830</v>
      </c>
      <c r="C36" s="34" t="n">
        <f aca="false">C34-C35</f>
        <v>-47260868</v>
      </c>
      <c r="D36" s="34" t="n">
        <f aca="false">D34-D35</f>
        <v>4790378</v>
      </c>
      <c r="E36" s="34" t="n">
        <f aca="false">E34-E35</f>
        <v>-18834329</v>
      </c>
      <c r="F36" s="34" t="n">
        <f aca="false">F34-F35</f>
        <v>-1800000</v>
      </c>
      <c r="G36" s="34" t="n">
        <f aca="false">G34-G35</f>
        <v>-18976011</v>
      </c>
      <c r="H36" s="8"/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  <c r="H37" s="8"/>
    </row>
    <row r="38" customFormat="false" ht="15" hidden="false" customHeight="false" outlineLevel="0" collapsed="false">
      <c r="A38" s="32" t="s">
        <v>151</v>
      </c>
      <c r="B38" s="9" t="n">
        <v>-82080830</v>
      </c>
      <c r="C38" s="18" t="n">
        <f aca="false">B36-B38</f>
        <v>0</v>
      </c>
      <c r="D38" s="9"/>
      <c r="E38" s="9"/>
      <c r="F38" s="9"/>
      <c r="G38" s="9"/>
      <c r="H38" s="19" t="s">
        <v>152</v>
      </c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  <c r="H39" s="8"/>
    </row>
    <row r="40" customFormat="false" ht="15" hidden="false" customHeight="false" outlineLevel="0" collapsed="false">
      <c r="A40" s="35" t="s">
        <v>153</v>
      </c>
      <c r="B40" s="9"/>
      <c r="C40" s="9"/>
      <c r="D40" s="9"/>
      <c r="E40" s="9"/>
      <c r="F40" s="9"/>
      <c r="G40" s="9"/>
      <c r="H40" s="8"/>
    </row>
    <row r="41" customFormat="false" ht="15" hidden="false" customHeight="false" outlineLevel="0" collapsed="false">
      <c r="A41" s="36" t="s">
        <v>154</v>
      </c>
      <c r="B41" s="9"/>
      <c r="C41" s="37" t="s">
        <v>155</v>
      </c>
      <c r="D41" s="9"/>
      <c r="E41" s="9"/>
      <c r="F41" s="9"/>
      <c r="G41" s="9"/>
      <c r="H41" s="8"/>
    </row>
    <row r="42" customFormat="false" ht="15" hidden="false" customHeight="false" outlineLevel="0" collapsed="false">
      <c r="A42" s="36" t="s">
        <v>156</v>
      </c>
      <c r="B42" s="9"/>
      <c r="C42" s="37" t="s">
        <v>157</v>
      </c>
      <c r="D42" s="9"/>
      <c r="E42" s="9"/>
      <c r="F42" s="9"/>
      <c r="G42" s="9"/>
      <c r="H42" s="8"/>
    </row>
    <row r="43" customFormat="false" ht="15" hidden="false" customHeight="false" outlineLevel="0" collapsed="false">
      <c r="A43" s="36" t="s">
        <v>158</v>
      </c>
      <c r="B43" s="9"/>
      <c r="C43" s="37" t="s">
        <v>159</v>
      </c>
      <c r="D43" s="9"/>
      <c r="E43" s="9"/>
      <c r="F43" s="9"/>
      <c r="G43" s="9"/>
      <c r="H43" s="8"/>
    </row>
    <row r="44" customFormat="false" ht="15" hidden="false" customHeight="false" outlineLevel="0" collapsed="false">
      <c r="A44" s="36" t="s">
        <v>160</v>
      </c>
      <c r="B44" s="9"/>
      <c r="C44" s="37" t="s">
        <v>161</v>
      </c>
      <c r="D44" s="9"/>
      <c r="E44" s="9"/>
      <c r="F44" s="9"/>
      <c r="G44" s="9"/>
      <c r="H44" s="8"/>
    </row>
    <row r="45" customFormat="false" ht="15" hidden="false" customHeight="false" outlineLevel="0" collapsed="false">
      <c r="A45" s="36" t="s">
        <v>162</v>
      </c>
      <c r="B45" s="9"/>
      <c r="C45" s="37" t="s">
        <v>163</v>
      </c>
      <c r="D45" s="9"/>
      <c r="E45" s="9"/>
      <c r="F45" s="9"/>
      <c r="G45" s="9"/>
      <c r="H45" s="8"/>
    </row>
    <row r="46" customFormat="false" ht="15" hidden="false" customHeight="false" outlineLevel="0" collapsed="false">
      <c r="A46" s="32" t="s">
        <v>164</v>
      </c>
      <c r="B46" s="9"/>
      <c r="C46" s="37" t="s">
        <v>165</v>
      </c>
      <c r="D46" s="9"/>
      <c r="E46" s="9"/>
      <c r="F46" s="9"/>
      <c r="G46" s="9"/>
      <c r="H46" s="8"/>
    </row>
    <row r="47" customFormat="false" ht="15" hidden="false" customHeight="false" outlineLevel="0" collapsed="false">
      <c r="A47" s="8"/>
      <c r="B47" s="9"/>
      <c r="C47" s="37" t="s">
        <v>166</v>
      </c>
      <c r="D47" s="9"/>
      <c r="E47" s="9"/>
      <c r="F47" s="9"/>
      <c r="G47" s="9"/>
      <c r="H47" s="8"/>
    </row>
    <row r="48" customFormat="false" ht="15" hidden="false" customHeight="false" outlineLevel="0" collapsed="false">
      <c r="A48" s="8"/>
      <c r="B48" s="9"/>
      <c r="C48" s="37" t="s">
        <v>167</v>
      </c>
      <c r="D48" s="9"/>
      <c r="E48" s="9"/>
      <c r="F48" s="9"/>
      <c r="G48" s="9"/>
      <c r="H48" s="8"/>
    </row>
    <row r="49" customFormat="false" ht="15" hidden="false" customHeight="false" outlineLevel="0" collapsed="false">
      <c r="A49" s="8"/>
      <c r="B49" s="9"/>
      <c r="C49" s="9"/>
      <c r="D49" s="9"/>
      <c r="E49" s="9"/>
      <c r="F49" s="9"/>
      <c r="G49" s="9"/>
      <c r="H49" s="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7.35" hidden="false" customHeight="false" outlineLevel="0" collapsed="false">
      <c r="A1" s="1" t="s">
        <v>168</v>
      </c>
    </row>
    <row r="2" customFormat="false" ht="15" hidden="false" customHeight="false" outlineLevel="0" collapsed="false">
      <c r="A2" s="2" t="s">
        <v>169</v>
      </c>
    </row>
    <row r="4" customFormat="false" ht="30" hidden="false" customHeight="true" outlineLevel="0" collapsed="false">
      <c r="A4" s="4" t="s">
        <v>170</v>
      </c>
      <c r="B4" s="4" t="s">
        <v>171</v>
      </c>
      <c r="C4" s="4" t="s">
        <v>172</v>
      </c>
      <c r="D4" s="4" t="s">
        <v>173</v>
      </c>
      <c r="E4" s="4" t="s">
        <v>174</v>
      </c>
      <c r="F4" s="4" t="s">
        <v>175</v>
      </c>
    </row>
    <row r="5" customFormat="false" ht="15" hidden="false" customHeight="false" outlineLevel="0" collapsed="false">
      <c r="A5" s="38" t="n">
        <v>0</v>
      </c>
      <c r="B5" s="9" t="n">
        <v>0</v>
      </c>
      <c r="C5" s="9" t="n">
        <v>0</v>
      </c>
      <c r="D5" s="9" t="n">
        <f aca="false">26544+B5+C5</f>
        <v>26544</v>
      </c>
      <c r="E5" s="39" t="n">
        <f aca="false">D5/289566</f>
        <v>0.0916682207165206</v>
      </c>
      <c r="F5" s="8" t="s">
        <v>176</v>
      </c>
    </row>
    <row r="6" customFormat="false" ht="15" hidden="false" customHeight="false" outlineLevel="0" collapsed="false">
      <c r="A6" s="38" t="n">
        <v>0.2</v>
      </c>
      <c r="B6" s="9" t="n">
        <v>1605</v>
      </c>
      <c r="C6" s="9" t="n">
        <v>256</v>
      </c>
      <c r="D6" s="9" t="n">
        <f aca="false">26544+B6+C6</f>
        <v>28405</v>
      </c>
      <c r="E6" s="39" t="n">
        <f aca="false">D6/289566</f>
        <v>0.0980950802235069</v>
      </c>
      <c r="F6" s="8" t="s">
        <v>177</v>
      </c>
    </row>
    <row r="7" customFormat="false" ht="15" hidden="false" customHeight="false" outlineLevel="0" collapsed="false">
      <c r="A7" s="38" t="n">
        <v>0.3</v>
      </c>
      <c r="B7" s="9" t="n">
        <v>2407</v>
      </c>
      <c r="C7" s="9" t="n">
        <v>384</v>
      </c>
      <c r="D7" s="9" t="n">
        <f aca="false">26544+B7+C7</f>
        <v>29335</v>
      </c>
      <c r="E7" s="39" t="n">
        <f aca="false">D7/289566</f>
        <v>0.10130678325494</v>
      </c>
      <c r="F7" s="8" t="s">
        <v>178</v>
      </c>
    </row>
    <row r="8" customFormat="false" ht="15" hidden="false" customHeight="false" outlineLevel="0" collapsed="false">
      <c r="A8" s="40" t="n">
        <v>0.4</v>
      </c>
      <c r="B8" s="13" t="n">
        <v>3209</v>
      </c>
      <c r="C8" s="13" t="n">
        <v>512</v>
      </c>
      <c r="D8" s="13" t="n">
        <f aca="false">26544+B8+C8</f>
        <v>30265</v>
      </c>
      <c r="E8" s="41" t="n">
        <f aca="false">D8/289566</f>
        <v>0.104518486286373</v>
      </c>
      <c r="F8" s="12" t="s">
        <v>179</v>
      </c>
    </row>
    <row r="9" customFormat="false" ht="15" hidden="false" customHeight="false" outlineLevel="0" collapsed="false">
      <c r="A9" s="38" t="n">
        <v>0.5</v>
      </c>
      <c r="B9" s="9" t="n">
        <v>4012</v>
      </c>
      <c r="C9" s="9" t="n">
        <v>640</v>
      </c>
      <c r="D9" s="9" t="n">
        <f aca="false">26544+B9+C9</f>
        <v>31196</v>
      </c>
      <c r="E9" s="39" t="n">
        <f aca="false">D9/289566</f>
        <v>0.107733642761926</v>
      </c>
      <c r="F9" s="8" t="s">
        <v>180</v>
      </c>
    </row>
    <row r="10" customFormat="false" ht="15" hidden="false" customHeight="false" outlineLevel="0" collapsed="false">
      <c r="A10" s="38" t="n">
        <v>0.7</v>
      </c>
      <c r="B10" s="9" t="n">
        <v>5616</v>
      </c>
      <c r="C10" s="9" t="n">
        <v>895</v>
      </c>
      <c r="D10" s="9" t="n">
        <f aca="false">26544+B10+C10</f>
        <v>33055</v>
      </c>
      <c r="E10" s="39" t="n">
        <f aca="false">D10/289566</f>
        <v>0.114153595380673</v>
      </c>
      <c r="F10" s="8" t="s">
        <v>181</v>
      </c>
    </row>
    <row r="11" customFormat="false" ht="15" hidden="false" customHeight="false" outlineLevel="0" collapsed="false">
      <c r="A11" s="38" t="n">
        <v>1</v>
      </c>
      <c r="B11" s="9" t="n">
        <v>8023</v>
      </c>
      <c r="C11" s="9" t="n">
        <v>1279</v>
      </c>
      <c r="D11" s="9" t="n">
        <f aca="false">26544+B11+C11</f>
        <v>35846</v>
      </c>
      <c r="E11" s="39" t="n">
        <f aca="false">D11/289566</f>
        <v>0.123792157919093</v>
      </c>
      <c r="F11" s="8" t="s">
        <v>182</v>
      </c>
    </row>
    <row r="13" customFormat="false" ht="15" hidden="false" customHeight="false" outlineLevel="0" collapsed="false">
      <c r="A13" s="2" t="s">
        <v>183</v>
      </c>
    </row>
    <row r="14" customFormat="false" ht="15" hidden="false" customHeight="false" outlineLevel="0" collapsed="false">
      <c r="A14" s="42" t="s">
        <v>184</v>
      </c>
      <c r="B14" s="42" t="s">
        <v>185</v>
      </c>
    </row>
    <row r="15" customFormat="false" ht="15" hidden="false" customHeight="false" outlineLevel="0" collapsed="false">
      <c r="A15" s="42" t="s">
        <v>186</v>
      </c>
      <c r="B15" s="42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0"/>
  </cols>
  <sheetData>
    <row r="1" customFormat="false" ht="19.4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43" t="s">
        <v>189</v>
      </c>
      <c r="B3" s="44"/>
    </row>
    <row r="4" customFormat="false" ht="15" hidden="false" customHeight="false" outlineLevel="0" collapsed="false">
      <c r="A4" s="45"/>
      <c r="B4" s="46" t="s">
        <v>190</v>
      </c>
    </row>
    <row r="5" customFormat="false" ht="15" hidden="false" customHeight="false" outlineLevel="0" collapsed="false">
      <c r="A5" s="45"/>
      <c r="B5" s="46" t="s">
        <v>191</v>
      </c>
    </row>
    <row r="6" customFormat="false" ht="15" hidden="false" customHeight="false" outlineLevel="0" collapsed="false">
      <c r="A6" s="45"/>
      <c r="B6" s="44" t="s">
        <v>192</v>
      </c>
    </row>
    <row r="7" customFormat="false" ht="15" hidden="false" customHeight="false" outlineLevel="0" collapsed="false">
      <c r="A7" s="43" t="s">
        <v>193</v>
      </c>
      <c r="B7" s="46"/>
    </row>
    <row r="8" customFormat="false" ht="15" hidden="false" customHeight="false" outlineLevel="0" collapsed="false">
      <c r="A8" s="45"/>
      <c r="B8" s="46" t="s">
        <v>194</v>
      </c>
    </row>
    <row r="9" customFormat="false" ht="15" hidden="false" customHeight="false" outlineLevel="0" collapsed="false">
      <c r="A9" s="45"/>
      <c r="B9" s="46" t="s">
        <v>195</v>
      </c>
    </row>
    <row r="10" customFormat="false" ht="15" hidden="false" customHeight="false" outlineLevel="0" collapsed="false">
      <c r="A10" s="45"/>
      <c r="B10" s="46" t="s">
        <v>196</v>
      </c>
    </row>
    <row r="11" customFormat="false" ht="15" hidden="false" customHeight="false" outlineLevel="0" collapsed="false">
      <c r="A11" s="43" t="s">
        <v>197</v>
      </c>
      <c r="B11" s="46"/>
    </row>
    <row r="12" customFormat="false" ht="15" hidden="false" customHeight="false" outlineLevel="0" collapsed="false">
      <c r="A12" s="45"/>
      <c r="B12" s="46" t="s">
        <v>198</v>
      </c>
    </row>
    <row r="13" customFormat="false" ht="15" hidden="false" customHeight="false" outlineLevel="0" collapsed="false">
      <c r="A13" s="45"/>
      <c r="B13" s="46" t="s">
        <v>199</v>
      </c>
    </row>
    <row r="14" customFormat="false" ht="15" hidden="false" customHeight="false" outlineLevel="0" collapsed="false">
      <c r="A14" s="45"/>
      <c r="B14" s="46" t="s">
        <v>200</v>
      </c>
    </row>
    <row r="15" customFormat="false" ht="15" hidden="false" customHeight="false" outlineLevel="0" collapsed="false">
      <c r="A15" s="45"/>
      <c r="B15" s="44" t="s">
        <v>201</v>
      </c>
    </row>
    <row r="16" customFormat="false" ht="15" hidden="false" customHeight="false" outlineLevel="0" collapsed="false">
      <c r="A16" s="45"/>
      <c r="B16" s="44" t="s">
        <v>202</v>
      </c>
    </row>
    <row r="17" customFormat="false" ht="15" hidden="false" customHeight="false" outlineLevel="0" collapsed="false">
      <c r="A17" s="45"/>
      <c r="B17" s="46" t="s">
        <v>203</v>
      </c>
    </row>
    <row r="18" customFormat="false" ht="15" hidden="false" customHeight="false" outlineLevel="0" collapsed="false">
      <c r="A18" s="45"/>
      <c r="B18" s="46" t="s">
        <v>204</v>
      </c>
    </row>
    <row r="19" customFormat="false" ht="15" hidden="false" customHeight="false" outlineLevel="0" collapsed="false">
      <c r="A19" s="45"/>
      <c r="B19" s="46" t="s">
        <v>205</v>
      </c>
    </row>
    <row r="20" customFormat="false" ht="15" hidden="false" customHeight="false" outlineLevel="0" collapsed="false">
      <c r="A20" s="45"/>
      <c r="B20" s="46" t="s">
        <v>206</v>
      </c>
    </row>
    <row r="21" customFormat="false" ht="15" hidden="false" customHeight="false" outlineLevel="0" collapsed="false">
      <c r="A21" s="45"/>
      <c r="B21" s="46" t="s">
        <v>207</v>
      </c>
    </row>
    <row r="22" customFormat="false" ht="15" hidden="false" customHeight="false" outlineLevel="0" collapsed="false">
      <c r="A22" s="45"/>
      <c r="B22" s="46" t="s">
        <v>208</v>
      </c>
    </row>
    <row r="23" customFormat="false" ht="15" hidden="false" customHeight="false" outlineLevel="0" collapsed="false">
      <c r="A23" s="45"/>
      <c r="B23" s="46" t="s">
        <v>209</v>
      </c>
    </row>
    <row r="24" customFormat="false" ht="15" hidden="false" customHeight="false" outlineLevel="0" collapsed="false">
      <c r="A24" s="45"/>
      <c r="B24" s="46" t="s">
        <v>210</v>
      </c>
    </row>
    <row r="25" customFormat="false" ht="15" hidden="false" customHeight="false" outlineLevel="0" collapsed="false">
      <c r="A25" s="45"/>
      <c r="B25" s="46" t="s">
        <v>211</v>
      </c>
    </row>
    <row r="26" customFormat="false" ht="15" hidden="false" customHeight="false" outlineLevel="0" collapsed="false">
      <c r="A26" s="43" t="s">
        <v>212</v>
      </c>
      <c r="B26" s="46"/>
    </row>
    <row r="27" customFormat="false" ht="15" hidden="false" customHeight="false" outlineLevel="0" collapsed="false">
      <c r="A27" s="45"/>
      <c r="B27" s="46" t="s">
        <v>213</v>
      </c>
    </row>
    <row r="28" customFormat="false" ht="15" hidden="false" customHeight="false" outlineLevel="0" collapsed="false">
      <c r="A28" s="45"/>
      <c r="B28" s="46" t="s">
        <v>214</v>
      </c>
    </row>
    <row r="29" customFormat="false" ht="15" hidden="false" customHeight="false" outlineLevel="0" collapsed="false">
      <c r="A29" s="45"/>
      <c r="B29" s="46" t="s">
        <v>215</v>
      </c>
    </row>
    <row r="30" customFormat="false" ht="15" hidden="false" customHeight="false" outlineLevel="0" collapsed="false">
      <c r="A30" s="45"/>
      <c r="B30" s="46" t="s">
        <v>216</v>
      </c>
    </row>
    <row r="31" customFormat="false" ht="15" hidden="false" customHeight="false" outlineLevel="0" collapsed="false">
      <c r="A31" s="45"/>
      <c r="B31" s="46" t="s">
        <v>217</v>
      </c>
    </row>
    <row r="32" customFormat="false" ht="15" hidden="false" customHeight="false" outlineLevel="0" collapsed="false">
      <c r="A32" s="43" t="s">
        <v>218</v>
      </c>
      <c r="B32" s="46"/>
    </row>
    <row r="33" customFormat="false" ht="15" hidden="false" customHeight="false" outlineLevel="0" collapsed="false">
      <c r="A33" s="45"/>
      <c r="B33" s="46" t="s">
        <v>219</v>
      </c>
    </row>
    <row r="34" customFormat="false" ht="15" hidden="false" customHeight="false" outlineLevel="0" collapsed="false">
      <c r="A34" s="45"/>
      <c r="B34" s="46" t="s">
        <v>220</v>
      </c>
    </row>
    <row r="35" customFormat="false" ht="15" hidden="false" customHeight="false" outlineLevel="0" collapsed="false">
      <c r="A35" s="45"/>
      <c r="B35" s="46" t="s">
        <v>221</v>
      </c>
    </row>
    <row r="36" customFormat="false" ht="15" hidden="false" customHeight="false" outlineLevel="0" collapsed="false">
      <c r="A36" s="43" t="s">
        <v>222</v>
      </c>
      <c r="B36" s="46"/>
    </row>
    <row r="37" customFormat="false" ht="15" hidden="false" customHeight="false" outlineLevel="0" collapsed="false">
      <c r="A37" s="45"/>
      <c r="B37" s="46" t="s">
        <v>223</v>
      </c>
    </row>
    <row r="38" customFormat="false" ht="15" hidden="false" customHeight="false" outlineLevel="0" collapsed="false">
      <c r="A38" s="45"/>
      <c r="B38" s="46" t="s">
        <v>224</v>
      </c>
    </row>
    <row r="39" customFormat="false" ht="15" hidden="false" customHeight="false" outlineLevel="0" collapsed="false">
      <c r="A39" s="45"/>
      <c r="B39" s="46" t="s">
        <v>225</v>
      </c>
    </row>
    <row r="40" customFormat="false" ht="15" hidden="false" customHeight="false" outlineLevel="0" collapsed="false">
      <c r="A40" s="45"/>
      <c r="B40" s="46" t="s">
        <v>226</v>
      </c>
    </row>
    <row r="41" customFormat="false" ht="15" hidden="false" customHeight="false" outlineLevel="0" collapsed="false">
      <c r="A41" s="45"/>
      <c r="B41" s="46" t="s">
        <v>227</v>
      </c>
    </row>
    <row r="42" customFormat="false" ht="15" hidden="false" customHeight="false" outlineLevel="0" collapsed="false">
      <c r="A42" s="45"/>
      <c r="B42" s="46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2026-08-18T18:01:30Z</dcterms:created>
  <dc:creator>openpyxl</dc:creator>
  <dc:description/>
  <dc:language>en-US</dc:language>
  <cp:lastModifiedBy/>
  <dcterms:modified xsi:type="dcterms:W3CDTF">2026-08-18T18:01:30Z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