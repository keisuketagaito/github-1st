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割後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<sst xmlns="http://schemas.openxmlformats.org/spreadsheetml/2006/main" count="158" uniqueCount="113">
  <si>
    <r>
      <rPr>
        <b val="true"/>
        <sz val="12"/>
        <color rgb="FF000000"/>
        <rFont val="WenQuanYi Zen Hei"/>
        <family val="2"/>
      </rPr>
      <t xml:space="preserve">分割後</t>
    </r>
    <r>
      <rPr>
        <b val="true"/>
        <sz val="12"/>
        <color rgb="FF000000"/>
        <rFont val="游ゴシック"/>
        <family val="0"/>
        <charset val="1"/>
      </rPr>
      <t xml:space="preserve">BS</t>
    </r>
    <r>
      <rPr>
        <b val="true"/>
        <sz val="12"/>
        <color rgb="FF000000"/>
        <rFont val="WenQuanYi Zen Hei"/>
        <family val="2"/>
      </rPr>
      <t xml:space="preserve">｜譲渡対象会社（株式会社アドレイ／</t>
    </r>
    <r>
      <rPr>
        <b val="true"/>
        <sz val="12"/>
        <color rgb="FF000000"/>
        <rFont val="游ゴシック"/>
        <family val="0"/>
        <charset val="1"/>
      </rPr>
      <t xml:space="preserve">2026</t>
    </r>
    <r>
      <rPr>
        <b val="true"/>
        <sz val="12"/>
        <color rgb="FF000000"/>
        <rFont val="WenQuanYi Zen Hei"/>
        <family val="2"/>
      </rPr>
      <t xml:space="preserve">年</t>
    </r>
    <r>
      <rPr>
        <b val="true"/>
        <sz val="12"/>
        <color rgb="FF000000"/>
        <rFont val="游ゴシック"/>
        <family val="0"/>
        <charset val="1"/>
      </rPr>
      <t xml:space="preserve">10</t>
    </r>
    <r>
      <rPr>
        <b val="true"/>
        <sz val="12"/>
        <color rgb="FF000000"/>
        <rFont val="WenQuanYi Zen Hei"/>
        <family val="2"/>
      </rPr>
      <t xml:space="preserve">月</t>
    </r>
    <r>
      <rPr>
        <b val="true"/>
        <sz val="12"/>
        <color rgb="FF000000"/>
        <rFont val="游ゴシック"/>
        <family val="0"/>
        <charset val="1"/>
      </rPr>
      <t xml:space="preserve">1</t>
    </r>
    <r>
      <rPr>
        <b val="true"/>
        <sz val="12"/>
        <color rgb="FF000000"/>
        <rFont val="WenQuanYi Zen Hei"/>
        <family val="2"/>
      </rPr>
      <t xml:space="preserve">日新設分割により設立）</t>
    </r>
  </si>
  <si>
    <r>
      <rPr>
        <sz val="9"/>
        <color rgb="FF000000"/>
        <rFont val="WenQuanYi Zen Hei"/>
        <family val="2"/>
      </rPr>
      <t xml:space="preserve">出所：株式会社アドレイ 残高試算表（</t>
    </r>
    <r>
      <rPr>
        <sz val="9"/>
        <color rgb="FF000000"/>
        <rFont val="游ゴシック Medium"/>
        <family val="0"/>
        <charset val="1"/>
      </rPr>
      <t xml:space="preserve">2026</t>
    </r>
    <r>
      <rPr>
        <sz val="9"/>
        <color rgb="FF000000"/>
        <rFont val="WenQuanYi Zen Hei"/>
        <family val="2"/>
      </rPr>
      <t xml:space="preserve">年</t>
    </r>
    <r>
      <rPr>
        <sz val="9"/>
        <color rgb="FF000000"/>
        <rFont val="游ゴシック Medium"/>
        <family val="0"/>
        <charset val="1"/>
      </rPr>
      <t xml:space="preserve">8</t>
    </r>
    <r>
      <rPr>
        <sz val="9"/>
        <color rgb="FF000000"/>
        <rFont val="WenQuanYi Zen Hei"/>
        <family val="2"/>
      </rPr>
      <t xml:space="preserve">月</t>
    </r>
    <r>
      <rPr>
        <sz val="9"/>
        <color rgb="FF000000"/>
        <rFont val="游ゴシック Medium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日〜</t>
    </r>
    <r>
      <rPr>
        <sz val="9"/>
        <color rgb="FF000000"/>
        <rFont val="游ゴシック Medium"/>
        <family val="0"/>
        <charset val="1"/>
      </rPr>
      <t xml:space="preserve">2026</t>
    </r>
    <r>
      <rPr>
        <sz val="9"/>
        <color rgb="FF000000"/>
        <rFont val="WenQuanYi Zen Hei"/>
        <family val="2"/>
      </rPr>
      <t xml:space="preserve">年</t>
    </r>
    <r>
      <rPr>
        <sz val="9"/>
        <color rgb="FF000000"/>
        <rFont val="游ゴシック Medium"/>
        <family val="0"/>
        <charset val="1"/>
      </rPr>
      <t xml:space="preserve">9</t>
    </r>
    <r>
      <rPr>
        <sz val="9"/>
        <color rgb="FF000000"/>
        <rFont val="WenQuanYi Zen Hei"/>
        <family val="2"/>
      </rPr>
      <t xml:space="preserve">月</t>
    </r>
    <r>
      <rPr>
        <sz val="9"/>
        <color rgb="FF000000"/>
        <rFont val="游ゴシック Medium"/>
        <family val="0"/>
        <charset val="1"/>
      </rPr>
      <t xml:space="preserve">30</t>
    </r>
    <r>
      <rPr>
        <sz val="9"/>
        <color rgb="FF000000"/>
        <rFont val="WenQuanYi Zen Hei"/>
        <family val="2"/>
      </rPr>
      <t xml:space="preserve">日・税抜）。円単位で入力し千円表示。</t>
    </r>
    <r>
      <rPr>
        <sz val="9"/>
        <color rgb="FF000000"/>
        <rFont val="游ゴシック Medium"/>
        <family val="0"/>
        <charset val="1"/>
      </rPr>
      <t xml:space="preserve">7</t>
    </r>
    <r>
      <rPr>
        <sz val="9"/>
        <color rgb="FF000000"/>
        <rFont val="WenQuanYi Zen Hei"/>
        <family val="2"/>
      </rPr>
      <t xml:space="preserve">月末＝期首残高（分割前）、</t>
    </r>
    <r>
      <rPr>
        <sz val="9"/>
        <color rgb="FF000000"/>
        <rFont val="游ゴシック Medium"/>
        <family val="0"/>
        <charset val="1"/>
      </rPr>
      <t xml:space="preserve">9</t>
    </r>
    <r>
      <rPr>
        <sz val="9"/>
        <color rgb="FF000000"/>
        <rFont val="WenQuanYi Zen Hei"/>
        <family val="2"/>
      </rPr>
      <t xml:space="preserve">月末＝期間残高（分割反映後）。</t>
    </r>
  </si>
  <si>
    <t xml:space="preserve">勘定科目</t>
  </si>
  <si>
    <r>
      <rPr>
        <b val="true"/>
        <sz val="10"/>
        <color rgb="FFFFFFFF"/>
        <rFont val="游ゴシック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游ゴシック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月末
（分割前・期首残高）</t>
    </r>
  </si>
  <si>
    <r>
      <rPr>
        <b val="true"/>
        <sz val="10"/>
        <color rgb="FFFFFFFF"/>
        <rFont val="游ゴシック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月末
（分割反映後）</t>
    </r>
  </si>
  <si>
    <t xml:space="preserve">増減</t>
  </si>
  <si>
    <t xml:space="preserve">備考</t>
  </si>
  <si>
    <t xml:space="preserve">集約区分</t>
  </si>
  <si>
    <t xml:space="preserve">【資産の部】</t>
  </si>
  <si>
    <t xml:space="preserve">　現金</t>
  </si>
  <si>
    <t xml:space="preserve">cash</t>
  </si>
  <si>
    <r>
      <rPr>
        <sz val="10"/>
        <color rgb="FF000000"/>
        <rFont val="WenQuanYi Zen Hei"/>
        <family val="2"/>
      </rPr>
      <t xml:space="preserve">　三菱</t>
    </r>
    <r>
      <rPr>
        <sz val="10"/>
        <color rgb="FF000000"/>
        <rFont val="游ゴシック"/>
        <family val="0"/>
        <charset val="1"/>
      </rPr>
      <t xml:space="preserve">UFJ_</t>
    </r>
    <r>
      <rPr>
        <sz val="10"/>
        <color rgb="FF000000"/>
        <rFont val="WenQuanYi Zen Hei"/>
        <family val="2"/>
      </rPr>
      <t xml:space="preserve">築地</t>
    </r>
    <r>
      <rPr>
        <sz val="10"/>
        <color rgb="FF000000"/>
        <rFont val="游ゴシック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当座</t>
    </r>
    <r>
      <rPr>
        <sz val="10"/>
        <color rgb="FF000000"/>
        <rFont val="游ゴシック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</si>
  <si>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　みずほ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築地</t>
    </r>
    <r>
      <rPr>
        <sz val="10"/>
        <color rgb="FF000000"/>
        <rFont val="游ゴシック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当座</t>
    </r>
    <r>
      <rPr>
        <sz val="10"/>
        <color rgb="FF000000"/>
        <rFont val="游ゴシック"/>
        <family val="0"/>
        <charset val="1"/>
      </rPr>
      <t xml:space="preserve">011</t>
    </r>
  </si>
  <si>
    <r>
      <rPr>
        <sz val="10"/>
        <color rgb="FF000000"/>
        <rFont val="WenQuanYi Zen Hei"/>
        <family val="2"/>
      </rPr>
      <t xml:space="preserve">　東日本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本店</t>
    </r>
    <r>
      <rPr>
        <sz val="10"/>
        <color rgb="FF000000"/>
        <rFont val="游ゴシック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当座</t>
    </r>
    <r>
      <rPr>
        <sz val="10"/>
        <color rgb="FF000000"/>
        <rFont val="游ゴシック"/>
        <family val="0"/>
        <charset val="1"/>
      </rPr>
      <t xml:space="preserve">143</t>
    </r>
  </si>
  <si>
    <r>
      <rPr>
        <sz val="10"/>
        <color rgb="FF000000"/>
        <rFont val="WenQuanYi Zen Hei"/>
        <family val="2"/>
      </rPr>
      <t xml:space="preserve">　三菱</t>
    </r>
    <r>
      <rPr>
        <sz val="10"/>
        <color rgb="FF000000"/>
        <rFont val="游ゴシック"/>
        <family val="0"/>
        <charset val="1"/>
      </rPr>
      <t xml:space="preserve">UFJ</t>
    </r>
    <r>
      <rPr>
        <sz val="10"/>
        <color rgb="FF000000"/>
        <rFont val="WenQuanYi Zen Hei"/>
        <family val="2"/>
      </rPr>
      <t xml:space="preserve">外貨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築地</t>
    </r>
    <r>
      <rPr>
        <sz val="10"/>
        <color rgb="FF000000"/>
        <rFont val="游ゴシック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普</t>
    </r>
  </si>
  <si>
    <t xml:space="preserve">　みずほ（法人）定期</t>
  </si>
  <si>
    <r>
      <rPr>
        <sz val="10"/>
        <color rgb="FF000000"/>
        <rFont val="WenQuanYi Zen Hei"/>
        <family val="2"/>
      </rPr>
      <t xml:space="preserve">　りそな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虎ノ門</t>
    </r>
    <r>
      <rPr>
        <sz val="10"/>
        <color rgb="FF000000"/>
        <rFont val="游ゴシック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普通</t>
    </r>
    <r>
      <rPr>
        <sz val="10"/>
        <color rgb="FF000000"/>
        <rFont val="游ゴシック"/>
        <family val="0"/>
        <charset val="1"/>
      </rPr>
      <t xml:space="preserve">01</t>
    </r>
  </si>
  <si>
    <r>
      <rPr>
        <sz val="10"/>
        <color rgb="FF000000"/>
        <rFont val="WenQuanYi Zen Hei"/>
        <family val="2"/>
      </rPr>
      <t xml:space="preserve">　山梨中央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東京</t>
    </r>
    <r>
      <rPr>
        <sz val="10"/>
        <color rgb="FF000000"/>
        <rFont val="游ゴシック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普通</t>
    </r>
    <r>
      <rPr>
        <sz val="10"/>
        <color rgb="FF000000"/>
        <rFont val="游ゴシック"/>
        <family val="0"/>
        <charset val="1"/>
      </rPr>
      <t xml:space="preserve">46</t>
    </r>
  </si>
  <si>
    <t xml:space="preserve">　売掛金</t>
  </si>
  <si>
    <t xml:space="preserve">ar</t>
  </si>
  <si>
    <t xml:space="preserve">　貸倒引当金（売）</t>
  </si>
  <si>
    <t xml:space="preserve">　貯蔵品</t>
  </si>
  <si>
    <t xml:space="preserve">oca</t>
  </si>
  <si>
    <t xml:space="preserve">　前払費用</t>
  </si>
  <si>
    <t xml:space="preserve">　未収入金</t>
  </si>
  <si>
    <t xml:space="preserve">　未収還付法人税等</t>
  </si>
  <si>
    <t xml:space="preserve">　短期貸付金</t>
  </si>
  <si>
    <t xml:space="preserve">貸付先・クロージングまでの回収／取扱いは要確認</t>
  </si>
  <si>
    <t xml:space="preserve">loan</t>
  </si>
  <si>
    <t xml:space="preserve">　仮払金</t>
  </si>
  <si>
    <t xml:space="preserve">　仮払消費税</t>
  </si>
  <si>
    <t xml:space="preserve">流動資産合計</t>
  </si>
  <si>
    <t xml:space="preserve">　建物</t>
  </si>
  <si>
    <r>
      <rPr>
        <sz val="9"/>
        <color rgb="FF000000"/>
        <rFont val="WenQuanYi Zen Hei"/>
        <family val="2"/>
      </rPr>
      <t xml:space="preserve">築地スクエアビル分は分割会社へ残置。分割後残高</t>
    </r>
    <r>
      <rPr>
        <sz val="9"/>
        <color rgb="FF000000"/>
        <rFont val="游ゴシック Medium"/>
        <family val="0"/>
        <charset val="1"/>
      </rPr>
      <t xml:space="preserve">1,305</t>
    </r>
    <r>
      <rPr>
        <sz val="9"/>
        <color rgb="FF000000"/>
        <rFont val="WenQuanYi Zen Hei"/>
        <family val="2"/>
      </rPr>
      <t xml:space="preserve">千円の内容（保養所等の有無）は要確認</t>
    </r>
  </si>
  <si>
    <t xml:space="preserve">ppe</t>
  </si>
  <si>
    <t xml:space="preserve">　附属設備</t>
  </si>
  <si>
    <t xml:space="preserve">　リース資産</t>
  </si>
  <si>
    <t xml:space="preserve">　工具器具備品</t>
  </si>
  <si>
    <t xml:space="preserve">　土地</t>
  </si>
  <si>
    <r>
      <rPr>
        <sz val="9"/>
        <color rgb="FF000000"/>
        <rFont val="WenQuanYi Zen Hei"/>
        <family val="2"/>
      </rPr>
      <t xml:space="preserve">築地スクエアビル（宅地）を分割会社（株式会社</t>
    </r>
    <r>
      <rPr>
        <sz val="9"/>
        <color rgb="FF000000"/>
        <rFont val="游ゴシック Medium"/>
        <family val="0"/>
        <charset val="1"/>
      </rPr>
      <t xml:space="preserve">StorehouseField</t>
    </r>
    <r>
      <rPr>
        <sz val="9"/>
        <color rgb="FF000000"/>
        <rFont val="WenQuanYi Zen Hei"/>
        <family val="2"/>
      </rPr>
      <t xml:space="preserve">）へ残置</t>
    </r>
  </si>
  <si>
    <t xml:space="preserve">有形固定資産合計</t>
  </si>
  <si>
    <t xml:space="preserve">　電話加入権</t>
  </si>
  <si>
    <t xml:space="preserve">intg</t>
  </si>
  <si>
    <t xml:space="preserve">　ソフトウェア</t>
  </si>
  <si>
    <t xml:space="preserve">無形固定資産合計</t>
  </si>
  <si>
    <t xml:space="preserve">　敷金</t>
  </si>
  <si>
    <t xml:space="preserve">inv</t>
  </si>
  <si>
    <t xml:space="preserve">　差入保証金</t>
  </si>
  <si>
    <t xml:space="preserve">　長期前払費用</t>
  </si>
  <si>
    <t xml:space="preserve">　保険積立金</t>
  </si>
  <si>
    <t xml:space="preserve">投資その他の資産合計</t>
  </si>
  <si>
    <t xml:space="preserve">固定資産合計</t>
  </si>
  <si>
    <t xml:space="preserve">資産合計</t>
  </si>
  <si>
    <t xml:space="preserve">【負債の部】</t>
  </si>
  <si>
    <t xml:space="preserve">　未払金</t>
  </si>
  <si>
    <t xml:space="preserve">ocl</t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</si>
  <si>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游ゴシック"/>
        <family val="0"/>
        <charset val="1"/>
      </rPr>
      <t xml:space="preserve">MUFG</t>
    </r>
    <r>
      <rPr>
        <sz val="10"/>
        <color rgb="FF000000"/>
        <rFont val="WenQuanYi Zen Hei"/>
        <family val="2"/>
      </rPr>
      <t xml:space="preserve">カード</t>
    </r>
  </si>
  <si>
    <t xml:space="preserve">　未払費用</t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</si>
  <si>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游ゴシック"/>
        <family val="0"/>
        <charset val="1"/>
      </rPr>
      <t xml:space="preserve">JCB</t>
    </r>
    <r>
      <rPr>
        <sz val="10"/>
        <color rgb="FF000000"/>
        <rFont val="WenQuanYi Zen Hei"/>
        <family val="2"/>
      </rPr>
      <t xml:space="preserve">カード（</t>
    </r>
    <r>
      <rPr>
        <sz val="10"/>
        <color rgb="FF000000"/>
        <rFont val="游ゴシック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</si>
  <si>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　未払法人税等</t>
  </si>
  <si>
    <t xml:space="preserve">　未払消費税等</t>
  </si>
  <si>
    <t xml:space="preserve">　預り金</t>
  </si>
  <si>
    <t xml:space="preserve">　前受収益</t>
  </si>
  <si>
    <t xml:space="preserve">不動産賃料の前受分と推察（要確認）</t>
  </si>
  <si>
    <t xml:space="preserve">　仮受消費税</t>
  </si>
  <si>
    <t xml:space="preserve">流動負債合計</t>
  </si>
  <si>
    <t xml:space="preserve">　預り保証金</t>
  </si>
  <si>
    <t xml:space="preserve">賃貸不動産に係る預り金。分割会社への承継と推察（要確認）</t>
  </si>
  <si>
    <t xml:space="preserve">ofl</t>
  </si>
  <si>
    <t xml:space="preserve">　疾病給付引当金</t>
  </si>
  <si>
    <t xml:space="preserve">　長期借入金</t>
  </si>
  <si>
    <r>
      <rPr>
        <sz val="9"/>
        <color rgb="FF000000"/>
        <rFont val="游ゴシック Medium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年内返済予定額を含む（内訳は要確認）</t>
    </r>
  </si>
  <si>
    <t xml:space="preserve">debt</t>
  </si>
  <si>
    <t xml:space="preserve">　リース債務</t>
  </si>
  <si>
    <t xml:space="preserve">固定負債合計</t>
  </si>
  <si>
    <t xml:space="preserve">負債合計</t>
  </si>
  <si>
    <t xml:space="preserve">【純資産の部】</t>
  </si>
  <si>
    <t xml:space="preserve">　資本金</t>
  </si>
  <si>
    <r>
      <rPr>
        <sz val="9"/>
        <color rgb="FF000000"/>
        <rFont val="WenQuanYi Zen Hei"/>
        <family val="2"/>
      </rPr>
      <t xml:space="preserve">新設分割計画書 第</t>
    </r>
    <r>
      <rPr>
        <sz val="9"/>
        <color rgb="FF000000"/>
        <rFont val="游ゴシック Medium"/>
        <family val="0"/>
        <charset val="1"/>
      </rPr>
      <t xml:space="preserve">5</t>
    </r>
    <r>
      <rPr>
        <sz val="9"/>
        <color rgb="FF000000"/>
        <rFont val="WenQuanYi Zen Hei"/>
        <family val="2"/>
      </rPr>
      <t xml:space="preserve">条：設立時資本金 </t>
    </r>
    <r>
      <rPr>
        <sz val="9"/>
        <color rgb="FF000000"/>
        <rFont val="游ゴシック Medium"/>
        <family val="0"/>
        <charset val="1"/>
      </rPr>
      <t xml:space="preserve">9,000</t>
    </r>
    <r>
      <rPr>
        <sz val="9"/>
        <color rgb="FF000000"/>
        <rFont val="WenQuanYi Zen Hei"/>
        <family val="2"/>
      </rPr>
      <t xml:space="preserve">千円</t>
    </r>
  </si>
  <si>
    <t xml:space="preserve">eq</t>
  </si>
  <si>
    <t xml:space="preserve">　利益準備金</t>
  </si>
  <si>
    <t xml:space="preserve">　別途積立金</t>
  </si>
  <si>
    <t xml:space="preserve">　繰越利益剰余金</t>
  </si>
  <si>
    <t xml:space="preserve">　当期純損益金額</t>
  </si>
  <si>
    <r>
      <rPr>
        <sz val="9"/>
        <color rgb="FF000000"/>
        <rFont val="WenQuanYi Zen Hei"/>
        <family val="2"/>
      </rPr>
      <t xml:space="preserve">進行期（</t>
    </r>
    <r>
      <rPr>
        <sz val="9"/>
        <color rgb="FF000000"/>
        <rFont val="游ゴシック Medium"/>
        <family val="0"/>
        <charset val="1"/>
      </rPr>
      <t xml:space="preserve">2026</t>
    </r>
    <r>
      <rPr>
        <sz val="9"/>
        <color rgb="FF000000"/>
        <rFont val="WenQuanYi Zen Hei"/>
        <family val="2"/>
      </rPr>
      <t xml:space="preserve">年</t>
    </r>
    <r>
      <rPr>
        <sz val="9"/>
        <color rgb="FF000000"/>
        <rFont val="游ゴシック Medium"/>
        <family val="0"/>
        <charset val="1"/>
      </rPr>
      <t xml:space="preserve">8</t>
    </r>
    <r>
      <rPr>
        <sz val="9"/>
        <color rgb="FF000000"/>
        <rFont val="WenQuanYi Zen Hei"/>
        <family val="2"/>
      </rPr>
      <t xml:space="preserve">月〜</t>
    </r>
    <r>
      <rPr>
        <sz val="9"/>
        <color rgb="FF000000"/>
        <rFont val="游ゴシック Medium"/>
        <family val="0"/>
        <charset val="1"/>
      </rPr>
      <t xml:space="preserve">9</t>
    </r>
    <r>
      <rPr>
        <sz val="9"/>
        <color rgb="FF000000"/>
        <rFont val="WenQuanYi Zen Hei"/>
        <family val="2"/>
      </rPr>
      <t xml:space="preserve">月）の損益</t>
    </r>
  </si>
  <si>
    <t xml:space="preserve">純資産合計</t>
  </si>
  <si>
    <t xml:space="preserve">負債・純資産合計</t>
  </si>
  <si>
    <t xml:space="preserve">【チェック】</t>
  </si>
  <si>
    <t xml:space="preserve">借貸一致</t>
  </si>
  <si>
    <t xml:space="preserve">試算表合計との一致（資産合計）</t>
  </si>
  <si>
    <t xml:space="preserve">試算表合計との一致（流動資産）</t>
  </si>
  <si>
    <t xml:space="preserve">試算表合計との一致（固定資産）</t>
  </si>
  <si>
    <t xml:space="preserve">試算表合計との一致（負債合計）</t>
  </si>
  <si>
    <t xml:space="preserve">試算表合計との一致（純資産）</t>
  </si>
  <si>
    <r>
      <rPr>
        <b val="true"/>
        <sz val="10"/>
        <color rgb="FF000000"/>
        <rFont val="WenQuanYi Zen Hei"/>
        <family val="2"/>
      </rPr>
      <t xml:space="preserve">【概要書 </t>
    </r>
    <r>
      <rPr>
        <b val="true"/>
        <sz val="10"/>
        <color rgb="FF000000"/>
        <rFont val="游ゴシック"/>
        <family val="0"/>
        <charset val="1"/>
      </rPr>
      <t xml:space="preserve">P.11</t>
    </r>
    <r>
      <rPr>
        <b val="true"/>
        <sz val="10"/>
        <color rgb="FF000000"/>
        <rFont val="WenQuanYi Zen Hei"/>
        <family val="2"/>
      </rPr>
      <t xml:space="preserve">「分割後</t>
    </r>
    <r>
      <rPr>
        <b val="true"/>
        <sz val="10"/>
        <color rgb="FF000000"/>
        <rFont val="游ゴシック"/>
        <family val="0"/>
        <charset val="1"/>
      </rPr>
      <t xml:space="preserve">BS</t>
    </r>
    <r>
      <rPr>
        <b val="true"/>
        <sz val="10"/>
        <color rgb="FF000000"/>
        <rFont val="WenQuanYi Zen Hei"/>
        <family val="2"/>
      </rPr>
      <t xml:space="preserve">」転記用集約】</t>
    </r>
  </si>
  <si>
    <t xml:space="preserve">表示科目</t>
  </si>
  <si>
    <r>
      <rPr>
        <b val="true"/>
        <sz val="10"/>
        <color rgb="FFFFFFFF"/>
        <rFont val="游ゴシック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游ゴシック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月末（分割前）</t>
    </r>
  </si>
  <si>
    <r>
      <rPr>
        <b val="true"/>
        <sz val="10"/>
        <color rgb="FFFFFFFF"/>
        <rFont val="游ゴシック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月末（譲渡対象会社）</t>
    </r>
  </si>
  <si>
    <t xml:space="preserve">現金及び預金</t>
  </si>
  <si>
    <t xml:space="preserve">売掛金（純額）</t>
  </si>
  <si>
    <t xml:space="preserve">短期貸付金</t>
  </si>
  <si>
    <t xml:space="preserve">その他流動資産</t>
  </si>
  <si>
    <t xml:space="preserve">有形固定資産</t>
  </si>
  <si>
    <t xml:space="preserve">無形固定資産・投資等</t>
  </si>
  <si>
    <t xml:space="preserve">intg,inv</t>
  </si>
  <si>
    <t xml:space="preserve">借入金</t>
  </si>
  <si>
    <t xml:space="preserve">その他負債</t>
  </si>
  <si>
    <t xml:space="preserve">ocl,ofl</t>
  </si>
  <si>
    <t xml:space="preserve">純資産</t>
  </si>
  <si>
    <t xml:space="preserve">ネットキャッシュ（現預金－借入金）</t>
  </si>
  <si>
    <t xml:space="preserve">短期貸付金は含めていない</t>
  </si>
  <si>
    <t xml:space="preserve">集約表 借貸一致</t>
  </si>
  <si>
    <t xml:space="preserve">集約表 資産内訳合計一致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</si>
</sst>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,;\△#,##0,;\－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WenQuanYi Zen Hei"/>
      <family val="2"/>
    </font>
    <font>
      <b val="true"/>
      <sz val="12"/>
      <color rgb="FF000000"/>
      <name val="游ゴシック"/>
      <family val="0"/>
      <charset val="1"/>
    </font>
    <font>
      <sz val="9"/>
      <color rgb="FF000000"/>
      <name val="WenQuanYi Zen Hei"/>
      <family val="2"/>
    </font>
    <font>
      <sz val="9"/>
      <color rgb="FF000000"/>
      <name val="游ゴシック Medium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游ゴシック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游ゴシック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游ゴシック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041"/>
        <bgColor rgb="FF003300"/>
      </patternFill>
    </fill>
    <fill>
      <patternFill patternType="solid">
        <fgColor rgb="FFE1F3F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B3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58"/>
    <col collapsed="false" customWidth="true" hidden="false" outlineLevel="0" max="7" min="7" style="0" width="9"/>
  </cols>
  <sheetData>
    <row r="1" customFormat="false" ht="17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0" hidden="false" customHeight="true" outlineLevel="0" collapsed="false">
      <c r="B4" s="3" t="s">
        <v>2</v>
      </c>
      <c r="C4" s="4" t="s">
        <v>3</v>
      </c>
      <c r="D4" s="4" t="s">
        <v>4</v>
      </c>
      <c r="E4" s="3" t="s">
        <v>5</v>
      </c>
      <c r="F4" s="3" t="s">
        <v>6</v>
      </c>
      <c r="G4" s="3" t="s">
        <v>7</v>
      </c>
    </row>
    <row r="5" customFormat="false" ht="15" hidden="false" customHeight="false" outlineLevel="0" collapsed="false">
      <c r="B5" s="5" t="s">
        <v>8</v>
      </c>
    </row>
    <row r="6" customFormat="false" ht="15" hidden="false" customHeight="false" outlineLevel="0" collapsed="false">
      <c r="B6" s="6" t="s">
        <v>9</v>
      </c>
      <c r="C6" s="7" t="n">
        <v>172464</v>
      </c>
      <c r="D6" s="7" t="n">
        <v>177754</v>
      </c>
      <c r="E6" s="7" t="n">
        <f aca="false">D6-C6</f>
        <v>5290</v>
      </c>
      <c r="F6" s="8"/>
      <c r="G6" s="9" t="s">
        <v>10</v>
      </c>
    </row>
    <row r="7" customFormat="false" ht="15" hidden="false" customHeight="false" outlineLevel="0" collapsed="false">
      <c r="B7" s="6" t="s">
        <v>11</v>
      </c>
      <c r="C7" s="7" t="n">
        <v>37734943</v>
      </c>
      <c r="D7" s="7" t="n">
        <v>13209418</v>
      </c>
      <c r="E7" s="7" t="n">
        <f aca="false">D7-C7</f>
        <v>-24525525</v>
      </c>
      <c r="F7" s="8"/>
      <c r="G7" s="9" t="s">
        <v>10</v>
      </c>
    </row>
    <row r="8" customFormat="false" ht="15" hidden="false" customHeight="false" outlineLevel="0" collapsed="false">
      <c r="B8" s="6" t="s">
        <v>12</v>
      </c>
      <c r="C8" s="7" t="n">
        <v>12011520</v>
      </c>
      <c r="D8" s="7" t="n">
        <v>8650575</v>
      </c>
      <c r="E8" s="7" t="n">
        <f aca="false">D8-C8</f>
        <v>-3360945</v>
      </c>
      <c r="F8" s="8"/>
      <c r="G8" s="9" t="s">
        <v>10</v>
      </c>
    </row>
    <row r="9" customFormat="false" ht="15" hidden="false" customHeight="false" outlineLevel="0" collapsed="false">
      <c r="B9" s="6" t="s">
        <v>13</v>
      </c>
      <c r="C9" s="7" t="n">
        <v>9258424</v>
      </c>
      <c r="D9" s="7" t="n">
        <v>7954297</v>
      </c>
      <c r="E9" s="7" t="n">
        <f aca="false">D9-C9</f>
        <v>-1304127</v>
      </c>
      <c r="F9" s="8"/>
      <c r="G9" s="9" t="s">
        <v>10</v>
      </c>
    </row>
    <row r="10" customFormat="false" ht="15" hidden="false" customHeight="false" outlineLevel="0" collapsed="false">
      <c r="B10" s="6" t="s">
        <v>14</v>
      </c>
      <c r="C10" s="7" t="n">
        <v>16123737</v>
      </c>
      <c r="D10" s="7" t="n">
        <v>16123737</v>
      </c>
      <c r="E10" s="7" t="n">
        <f aca="false">D10-C10</f>
        <v>0</v>
      </c>
      <c r="F10" s="8"/>
      <c r="G10" s="9" t="s">
        <v>10</v>
      </c>
    </row>
    <row r="11" customFormat="false" ht="15" hidden="false" customHeight="false" outlineLevel="0" collapsed="false">
      <c r="B11" s="6" t="s">
        <v>15</v>
      </c>
      <c r="C11" s="7" t="n">
        <v>30080606</v>
      </c>
      <c r="D11" s="7" t="n">
        <v>30080606</v>
      </c>
      <c r="E11" s="7" t="n">
        <f aca="false">D11-C11</f>
        <v>0</v>
      </c>
      <c r="F11" s="8"/>
      <c r="G11" s="9" t="s">
        <v>10</v>
      </c>
    </row>
    <row r="12" customFormat="false" ht="15" hidden="false" customHeight="false" outlineLevel="0" collapsed="false">
      <c r="B12" s="6" t="s">
        <v>16</v>
      </c>
      <c r="C12" s="7" t="n">
        <v>3400</v>
      </c>
      <c r="D12" s="7" t="n">
        <v>3400</v>
      </c>
      <c r="E12" s="7" t="n">
        <f aca="false">D12-C12</f>
        <v>0</v>
      </c>
      <c r="F12" s="8"/>
      <c r="G12" s="9" t="s">
        <v>10</v>
      </c>
    </row>
    <row r="13" customFormat="false" ht="15" hidden="false" customHeight="false" outlineLevel="0" collapsed="false">
      <c r="B13" s="6" t="s">
        <v>17</v>
      </c>
      <c r="C13" s="7" t="n">
        <v>1209890</v>
      </c>
      <c r="D13" s="7" t="n">
        <v>3800213</v>
      </c>
      <c r="E13" s="7" t="n">
        <f aca="false">D13-C13</f>
        <v>2590323</v>
      </c>
      <c r="F13" s="8"/>
      <c r="G13" s="9" t="s">
        <v>10</v>
      </c>
    </row>
    <row r="14" customFormat="false" ht="15" hidden="false" customHeight="false" outlineLevel="0" collapsed="false">
      <c r="B14" s="6" t="s">
        <v>18</v>
      </c>
      <c r="C14" s="7" t="n">
        <v>52287863</v>
      </c>
      <c r="D14" s="7" t="n">
        <v>41940436</v>
      </c>
      <c r="E14" s="7" t="n">
        <f aca="false">D14-C14</f>
        <v>-10347427</v>
      </c>
      <c r="F14" s="8"/>
      <c r="G14" s="9" t="s">
        <v>19</v>
      </c>
    </row>
    <row r="15" customFormat="false" ht="15" hidden="false" customHeight="false" outlineLevel="0" collapsed="false">
      <c r="B15" s="6" t="s">
        <v>20</v>
      </c>
      <c r="C15" s="7" t="n">
        <v>-286000</v>
      </c>
      <c r="D15" s="7" t="n">
        <v>-286000</v>
      </c>
      <c r="E15" s="7" t="n">
        <f aca="false">D15-C15</f>
        <v>0</v>
      </c>
      <c r="F15" s="8"/>
      <c r="G15" s="9" t="s">
        <v>19</v>
      </c>
    </row>
    <row r="16" customFormat="false" ht="15" hidden="false" customHeight="false" outlineLevel="0" collapsed="false">
      <c r="B16" s="6" t="s">
        <v>21</v>
      </c>
      <c r="C16" s="7" t="n">
        <v>41598</v>
      </c>
      <c r="D16" s="7" t="n">
        <v>41598</v>
      </c>
      <c r="E16" s="7" t="n">
        <f aca="false">D16-C16</f>
        <v>0</v>
      </c>
      <c r="F16" s="8"/>
      <c r="G16" s="9" t="s">
        <v>22</v>
      </c>
    </row>
    <row r="17" customFormat="false" ht="15" hidden="false" customHeight="false" outlineLevel="0" collapsed="false">
      <c r="B17" s="6" t="s">
        <v>23</v>
      </c>
      <c r="C17" s="7" t="n">
        <v>13052196</v>
      </c>
      <c r="D17" s="7" t="n">
        <v>10469022</v>
      </c>
      <c r="E17" s="7" t="n">
        <f aca="false">D17-C17</f>
        <v>-2583174</v>
      </c>
      <c r="F17" s="8"/>
      <c r="G17" s="9" t="s">
        <v>22</v>
      </c>
    </row>
    <row r="18" customFormat="false" ht="15" hidden="false" customHeight="false" outlineLevel="0" collapsed="false">
      <c r="B18" s="6" t="s">
        <v>24</v>
      </c>
      <c r="C18" s="7" t="n">
        <v>3010875</v>
      </c>
      <c r="D18" s="7" t="n">
        <v>2939020</v>
      </c>
      <c r="E18" s="7" t="n">
        <f aca="false">D18-C18</f>
        <v>-71855</v>
      </c>
      <c r="F18" s="8"/>
      <c r="G18" s="9" t="s">
        <v>22</v>
      </c>
    </row>
    <row r="19" customFormat="false" ht="15" hidden="false" customHeight="false" outlineLevel="0" collapsed="false">
      <c r="B19" s="6" t="s">
        <v>25</v>
      </c>
      <c r="C19" s="7" t="n">
        <v>24198</v>
      </c>
      <c r="D19" s="7" t="n">
        <v>0</v>
      </c>
      <c r="E19" s="7" t="n">
        <f aca="false">D19-C19</f>
        <v>-24198</v>
      </c>
      <c r="F19" s="8"/>
      <c r="G19" s="9" t="s">
        <v>22</v>
      </c>
    </row>
    <row r="20" customFormat="false" ht="15" hidden="false" customHeight="false" outlineLevel="0" collapsed="false">
      <c r="B20" s="6" t="s">
        <v>26</v>
      </c>
      <c r="C20" s="7" t="n">
        <v>74809230</v>
      </c>
      <c r="D20" s="7" t="n">
        <v>78439450</v>
      </c>
      <c r="E20" s="7" t="n">
        <f aca="false">D20-C20</f>
        <v>3630220</v>
      </c>
      <c r="F20" s="10" t="s">
        <v>27</v>
      </c>
      <c r="G20" s="9" t="s">
        <v>28</v>
      </c>
    </row>
    <row r="21" customFormat="false" ht="15" hidden="false" customHeight="false" outlineLevel="0" collapsed="false">
      <c r="B21" s="6" t="s">
        <v>29</v>
      </c>
      <c r="C21" s="7" t="n">
        <v>40000</v>
      </c>
      <c r="D21" s="7" t="n">
        <v>0</v>
      </c>
      <c r="E21" s="7" t="n">
        <f aca="false">D21-C21</f>
        <v>-40000</v>
      </c>
      <c r="F21" s="10"/>
      <c r="G21" s="9" t="s">
        <v>22</v>
      </c>
    </row>
    <row r="22" customFormat="false" ht="15" hidden="false" customHeight="false" outlineLevel="0" collapsed="false">
      <c r="B22" s="6" t="s">
        <v>30</v>
      </c>
      <c r="C22" s="7" t="n">
        <v>0</v>
      </c>
      <c r="D22" s="7" t="n">
        <v>0</v>
      </c>
      <c r="E22" s="7" t="n">
        <f aca="false">D22-C22</f>
        <v>0</v>
      </c>
      <c r="F22" s="10"/>
      <c r="G22" s="9" t="s">
        <v>22</v>
      </c>
    </row>
    <row r="23" customFormat="false" ht="15" hidden="false" customHeight="false" outlineLevel="0" collapsed="false">
      <c r="B23" s="11" t="s">
        <v>31</v>
      </c>
      <c r="C23" s="12" t="n">
        <f aca="false">SUM(C6:C22)</f>
        <v>249574944</v>
      </c>
      <c r="D23" s="12" t="n">
        <f aca="false">SUM(D6:D22)</f>
        <v>213543526</v>
      </c>
      <c r="E23" s="12" t="n">
        <f aca="false">SUM(E6:E22)</f>
        <v>-36031418</v>
      </c>
      <c r="F23" s="13"/>
      <c r="G23" s="13"/>
    </row>
    <row r="24" customFormat="false" ht="15" hidden="false" customHeight="false" outlineLevel="0" collapsed="false">
      <c r="B24" s="6" t="s">
        <v>32</v>
      </c>
      <c r="C24" s="7" t="n">
        <v>20417706</v>
      </c>
      <c r="D24" s="7" t="n">
        <v>1305397</v>
      </c>
      <c r="E24" s="7" t="n">
        <f aca="false">D24-C24</f>
        <v>-19112309</v>
      </c>
      <c r="F24" s="10" t="s">
        <v>33</v>
      </c>
      <c r="G24" s="9" t="s">
        <v>34</v>
      </c>
    </row>
    <row r="25" customFormat="false" ht="15" hidden="false" customHeight="false" outlineLevel="0" collapsed="false">
      <c r="B25" s="6" t="s">
        <v>35</v>
      </c>
      <c r="C25" s="7" t="n">
        <v>9664341</v>
      </c>
      <c r="D25" s="7" t="n">
        <v>9494143</v>
      </c>
      <c r="E25" s="7" t="n">
        <f aca="false">D25-C25</f>
        <v>-170198</v>
      </c>
      <c r="F25" s="10"/>
      <c r="G25" s="9" t="s">
        <v>34</v>
      </c>
    </row>
    <row r="26" customFormat="false" ht="15" hidden="false" customHeight="false" outlineLevel="0" collapsed="false">
      <c r="B26" s="6" t="s">
        <v>36</v>
      </c>
      <c r="C26" s="7" t="n">
        <v>93000</v>
      </c>
      <c r="D26" s="7" t="n">
        <v>62000</v>
      </c>
      <c r="E26" s="7" t="n">
        <f aca="false">D26-C26</f>
        <v>-31000</v>
      </c>
      <c r="F26" s="10"/>
      <c r="G26" s="9" t="s">
        <v>34</v>
      </c>
    </row>
    <row r="27" customFormat="false" ht="15" hidden="false" customHeight="false" outlineLevel="0" collapsed="false">
      <c r="B27" s="6" t="s">
        <v>37</v>
      </c>
      <c r="C27" s="7" t="n">
        <v>529857</v>
      </c>
      <c r="D27" s="7" t="n">
        <v>505931</v>
      </c>
      <c r="E27" s="7" t="n">
        <f aca="false">D27-C27</f>
        <v>-23926</v>
      </c>
      <c r="F27" s="10"/>
      <c r="G27" s="9" t="s">
        <v>34</v>
      </c>
    </row>
    <row r="28" customFormat="false" ht="15" hidden="false" customHeight="false" outlineLevel="0" collapsed="false">
      <c r="B28" s="6" t="s">
        <v>38</v>
      </c>
      <c r="C28" s="7" t="n">
        <v>163031192</v>
      </c>
      <c r="D28" s="7" t="n">
        <v>0</v>
      </c>
      <c r="E28" s="7" t="n">
        <f aca="false">D28-C28</f>
        <v>-163031192</v>
      </c>
      <c r="F28" s="10" t="s">
        <v>39</v>
      </c>
      <c r="G28" s="9" t="s">
        <v>34</v>
      </c>
    </row>
    <row r="29" customFormat="false" ht="15" hidden="false" customHeight="false" outlineLevel="0" collapsed="false">
      <c r="B29" s="14" t="s">
        <v>40</v>
      </c>
      <c r="C29" s="15" t="n">
        <f aca="false">SUM(C24:C28)</f>
        <v>193736096</v>
      </c>
      <c r="D29" s="15" t="n">
        <f aca="false">SUM(D24:D28)</f>
        <v>11367471</v>
      </c>
      <c r="E29" s="15" t="n">
        <f aca="false">SUM(E24:E28)</f>
        <v>-182368625</v>
      </c>
      <c r="F29" s="14"/>
      <c r="G29" s="14"/>
    </row>
    <row r="30" customFormat="false" ht="15" hidden="false" customHeight="false" outlineLevel="0" collapsed="false">
      <c r="B30" s="6" t="s">
        <v>41</v>
      </c>
      <c r="C30" s="7" t="n">
        <v>1574481</v>
      </c>
      <c r="D30" s="7" t="n">
        <v>1574481</v>
      </c>
      <c r="E30" s="7" t="n">
        <f aca="false">D30-C30</f>
        <v>0</v>
      </c>
      <c r="F30" s="10"/>
      <c r="G30" s="9" t="s">
        <v>42</v>
      </c>
    </row>
    <row r="31" customFormat="false" ht="15" hidden="false" customHeight="false" outlineLevel="0" collapsed="false">
      <c r="B31" s="6" t="s">
        <v>43</v>
      </c>
      <c r="C31" s="7" t="n">
        <v>4774334</v>
      </c>
      <c r="D31" s="7" t="n">
        <v>4216670</v>
      </c>
      <c r="E31" s="7" t="n">
        <f aca="false">D31-C31</f>
        <v>-557664</v>
      </c>
      <c r="F31" s="10"/>
      <c r="G31" s="9" t="s">
        <v>42</v>
      </c>
    </row>
    <row r="32" customFormat="false" ht="15" hidden="false" customHeight="false" outlineLevel="0" collapsed="false">
      <c r="B32" s="14" t="s">
        <v>44</v>
      </c>
      <c r="C32" s="15" t="n">
        <f aca="false">SUM(C30:C31)</f>
        <v>6348815</v>
      </c>
      <c r="D32" s="15" t="n">
        <f aca="false">SUM(D30:D31)</f>
        <v>5791151</v>
      </c>
      <c r="E32" s="15" t="n">
        <f aca="false">SUM(E30:E31)</f>
        <v>-557664</v>
      </c>
      <c r="F32" s="14"/>
      <c r="G32" s="14"/>
    </row>
    <row r="33" customFormat="false" ht="15" hidden="false" customHeight="false" outlineLevel="0" collapsed="false">
      <c r="B33" s="6" t="s">
        <v>45</v>
      </c>
      <c r="C33" s="7" t="n">
        <v>100000</v>
      </c>
      <c r="D33" s="7" t="n">
        <v>100000</v>
      </c>
      <c r="E33" s="7" t="n">
        <f aca="false">D33-C33</f>
        <v>0</v>
      </c>
      <c r="F33" s="10"/>
      <c r="G33" s="9" t="s">
        <v>46</v>
      </c>
    </row>
    <row r="34" customFormat="false" ht="15" hidden="false" customHeight="false" outlineLevel="0" collapsed="false">
      <c r="B34" s="6" t="s">
        <v>47</v>
      </c>
      <c r="C34" s="7" t="n">
        <v>6885500</v>
      </c>
      <c r="D34" s="7" t="n">
        <v>6885500</v>
      </c>
      <c r="E34" s="7" t="n">
        <f aca="false">D34-C34</f>
        <v>0</v>
      </c>
      <c r="F34" s="10"/>
      <c r="G34" s="9" t="s">
        <v>46</v>
      </c>
    </row>
    <row r="35" customFormat="false" ht="15" hidden="false" customHeight="false" outlineLevel="0" collapsed="false">
      <c r="B35" s="6" t="s">
        <v>48</v>
      </c>
      <c r="C35" s="7" t="n">
        <v>1558000</v>
      </c>
      <c r="D35" s="7" t="n">
        <v>1476000</v>
      </c>
      <c r="E35" s="7" t="n">
        <f aca="false">D35-C35</f>
        <v>-82000</v>
      </c>
      <c r="F35" s="10"/>
      <c r="G35" s="9" t="s">
        <v>46</v>
      </c>
    </row>
    <row r="36" customFormat="false" ht="15" hidden="false" customHeight="false" outlineLevel="0" collapsed="false">
      <c r="B36" s="6" t="s">
        <v>49</v>
      </c>
      <c r="C36" s="7" t="n">
        <v>2470000</v>
      </c>
      <c r="D36" s="7" t="n">
        <v>2480000</v>
      </c>
      <c r="E36" s="7" t="n">
        <f aca="false">D36-C36</f>
        <v>10000</v>
      </c>
      <c r="F36" s="10"/>
      <c r="G36" s="9" t="s">
        <v>46</v>
      </c>
    </row>
    <row r="37" customFormat="false" ht="15" hidden="false" customHeight="false" outlineLevel="0" collapsed="false">
      <c r="B37" s="14" t="s">
        <v>50</v>
      </c>
      <c r="C37" s="15" t="n">
        <f aca="false">SUM(C33:C36)</f>
        <v>11013500</v>
      </c>
      <c r="D37" s="15" t="n">
        <f aca="false">SUM(D33:D36)</f>
        <v>10941500</v>
      </c>
      <c r="E37" s="15" t="n">
        <f aca="false">SUM(E33:E36)</f>
        <v>-72000</v>
      </c>
      <c r="F37" s="14"/>
      <c r="G37" s="14"/>
    </row>
    <row r="38" customFormat="false" ht="15" hidden="false" customHeight="false" outlineLevel="0" collapsed="false">
      <c r="B38" s="11" t="s">
        <v>51</v>
      </c>
      <c r="C38" s="12" t="n">
        <f aca="false">C29+C32+C37</f>
        <v>211098411</v>
      </c>
      <c r="D38" s="12" t="n">
        <f aca="false">D29+D32+D37</f>
        <v>28100122</v>
      </c>
      <c r="E38" s="12" t="n">
        <f aca="false">E29+E32+E37</f>
        <v>-182998289</v>
      </c>
      <c r="F38" s="14"/>
      <c r="G38" s="14"/>
    </row>
    <row r="39" customFormat="false" ht="15" hidden="false" customHeight="false" outlineLevel="0" collapsed="false">
      <c r="B39" s="11" t="s">
        <v>52</v>
      </c>
      <c r="C39" s="12" t="n">
        <f aca="false">C23+C38</f>
        <v>460673355</v>
      </c>
      <c r="D39" s="12" t="n">
        <f aca="false">D23+D38</f>
        <v>241643648</v>
      </c>
      <c r="E39" s="12" t="n">
        <f aca="false">E23+E38</f>
        <v>-219029707</v>
      </c>
      <c r="F39" s="14"/>
      <c r="G39" s="14"/>
    </row>
    <row r="41" customFormat="false" ht="15" hidden="false" customHeight="false" outlineLevel="0" collapsed="false">
      <c r="B41" s="5" t="s">
        <v>53</v>
      </c>
    </row>
    <row r="42" customFormat="false" ht="15" hidden="false" customHeight="false" outlineLevel="0" collapsed="false">
      <c r="B42" s="6" t="s">
        <v>54</v>
      </c>
      <c r="C42" s="7" t="n">
        <v>35628016</v>
      </c>
      <c r="D42" s="7" t="n">
        <v>28058254</v>
      </c>
      <c r="E42" s="7" t="n">
        <f aca="false">D42-C42</f>
        <v>-7569762</v>
      </c>
      <c r="F42" s="10"/>
      <c r="G42" s="9" t="s">
        <v>55</v>
      </c>
    </row>
    <row r="43" customFormat="false" ht="15" hidden="false" customHeight="false" outlineLevel="0" collapsed="false">
      <c r="B43" s="6" t="s">
        <v>56</v>
      </c>
      <c r="C43" s="7" t="n">
        <v>6742</v>
      </c>
      <c r="D43" s="7" t="n">
        <v>6587</v>
      </c>
      <c r="E43" s="7" t="n">
        <f aca="false">D43-C43</f>
        <v>-155</v>
      </c>
      <c r="F43" s="10"/>
      <c r="G43" s="9" t="s">
        <v>55</v>
      </c>
    </row>
    <row r="44" customFormat="false" ht="15" hidden="false" customHeight="false" outlineLevel="0" collapsed="false">
      <c r="B44" s="6" t="s">
        <v>57</v>
      </c>
      <c r="C44" s="7" t="n">
        <v>0</v>
      </c>
      <c r="D44" s="7" t="n">
        <v>0</v>
      </c>
      <c r="E44" s="7" t="n">
        <f aca="false">D44-C44</f>
        <v>0</v>
      </c>
      <c r="F44" s="10"/>
      <c r="G44" s="9" t="s">
        <v>55</v>
      </c>
    </row>
    <row r="45" customFormat="false" ht="15" hidden="false" customHeight="false" outlineLevel="0" collapsed="false">
      <c r="B45" s="6" t="s">
        <v>58</v>
      </c>
      <c r="C45" s="7" t="n">
        <v>464604</v>
      </c>
      <c r="D45" s="7" t="n">
        <v>392417</v>
      </c>
      <c r="E45" s="7" t="n">
        <f aca="false">D45-C45</f>
        <v>-72187</v>
      </c>
      <c r="F45" s="10"/>
      <c r="G45" s="9" t="s">
        <v>55</v>
      </c>
    </row>
    <row r="46" customFormat="false" ht="15" hidden="false" customHeight="false" outlineLevel="0" collapsed="false">
      <c r="B46" s="6" t="s">
        <v>59</v>
      </c>
      <c r="C46" s="7" t="n">
        <v>180000</v>
      </c>
      <c r="D46" s="7" t="n">
        <v>0</v>
      </c>
      <c r="E46" s="7" t="n">
        <f aca="false">D46-C46</f>
        <v>-180000</v>
      </c>
      <c r="F46" s="10"/>
      <c r="G46" s="9" t="s">
        <v>55</v>
      </c>
    </row>
    <row r="47" customFormat="false" ht="15" hidden="false" customHeight="false" outlineLevel="0" collapsed="false">
      <c r="B47" s="6" t="s">
        <v>60</v>
      </c>
      <c r="C47" s="7" t="n">
        <v>5143800</v>
      </c>
      <c r="D47" s="7" t="n">
        <v>0</v>
      </c>
      <c r="E47" s="7" t="n">
        <f aca="false">D47-C47</f>
        <v>-5143800</v>
      </c>
      <c r="F47" s="10"/>
      <c r="G47" s="9" t="s">
        <v>55</v>
      </c>
    </row>
    <row r="48" customFormat="false" ht="15" hidden="false" customHeight="false" outlineLevel="0" collapsed="false">
      <c r="B48" s="6" t="s">
        <v>61</v>
      </c>
      <c r="C48" s="7" t="n">
        <v>994678</v>
      </c>
      <c r="D48" s="7" t="n">
        <v>984778</v>
      </c>
      <c r="E48" s="7" t="n">
        <f aca="false">D48-C48</f>
        <v>-9900</v>
      </c>
      <c r="F48" s="10"/>
      <c r="G48" s="9" t="s">
        <v>55</v>
      </c>
    </row>
    <row r="49" customFormat="false" ht="15" hidden="false" customHeight="false" outlineLevel="0" collapsed="false">
      <c r="B49" s="6" t="s">
        <v>62</v>
      </c>
      <c r="C49" s="7" t="n">
        <v>1210000</v>
      </c>
      <c r="D49" s="7" t="n">
        <v>0</v>
      </c>
      <c r="E49" s="7" t="n">
        <f aca="false">D49-C49</f>
        <v>-1210000</v>
      </c>
      <c r="F49" s="10" t="s">
        <v>63</v>
      </c>
      <c r="G49" s="9" t="s">
        <v>55</v>
      </c>
    </row>
    <row r="50" customFormat="false" ht="15" hidden="false" customHeight="false" outlineLevel="0" collapsed="false">
      <c r="B50" s="6" t="s">
        <v>64</v>
      </c>
      <c r="C50" s="7" t="n">
        <v>0</v>
      </c>
      <c r="D50" s="7" t="n">
        <v>0</v>
      </c>
      <c r="E50" s="7" t="n">
        <f aca="false">D50-C50</f>
        <v>0</v>
      </c>
      <c r="F50" s="10"/>
      <c r="G50" s="9" t="s">
        <v>55</v>
      </c>
    </row>
    <row r="51" customFormat="false" ht="15" hidden="false" customHeight="false" outlineLevel="0" collapsed="false">
      <c r="B51" s="11" t="s">
        <v>65</v>
      </c>
      <c r="C51" s="12" t="n">
        <f aca="false">SUM(C42:C50)</f>
        <v>43627840</v>
      </c>
      <c r="D51" s="12" t="n">
        <f aca="false">SUM(D42:D50)</f>
        <v>29442036</v>
      </c>
      <c r="E51" s="12" t="n">
        <f aca="false">SUM(E42:E50)</f>
        <v>-14185804</v>
      </c>
      <c r="F51" s="14"/>
      <c r="G51" s="14"/>
    </row>
    <row r="52" customFormat="false" ht="15" hidden="false" customHeight="false" outlineLevel="0" collapsed="false">
      <c r="B52" s="6" t="s">
        <v>66</v>
      </c>
      <c r="C52" s="7" t="n">
        <v>6480000</v>
      </c>
      <c r="D52" s="7" t="n">
        <v>0</v>
      </c>
      <c r="E52" s="7" t="n">
        <f aca="false">D52-C52</f>
        <v>-6480000</v>
      </c>
      <c r="F52" s="10" t="s">
        <v>67</v>
      </c>
      <c r="G52" s="9" t="s">
        <v>68</v>
      </c>
    </row>
    <row r="53" customFormat="false" ht="15" hidden="false" customHeight="false" outlineLevel="0" collapsed="false">
      <c r="B53" s="6" t="s">
        <v>69</v>
      </c>
      <c r="C53" s="7" t="n">
        <v>3000000</v>
      </c>
      <c r="D53" s="7" t="n">
        <v>3000000</v>
      </c>
      <c r="E53" s="7" t="n">
        <f aca="false">D53-C53</f>
        <v>0</v>
      </c>
      <c r="F53" s="10"/>
      <c r="G53" s="9" t="s">
        <v>68</v>
      </c>
    </row>
    <row r="54" customFormat="false" ht="15" hidden="false" customHeight="false" outlineLevel="0" collapsed="false">
      <c r="B54" s="6" t="s">
        <v>70</v>
      </c>
      <c r="C54" s="7" t="n">
        <v>20251000</v>
      </c>
      <c r="D54" s="7" t="n">
        <v>16361000</v>
      </c>
      <c r="E54" s="7" t="n">
        <f aca="false">D54-C54</f>
        <v>-3890000</v>
      </c>
      <c r="F54" s="8" t="s">
        <v>71</v>
      </c>
      <c r="G54" s="9" t="s">
        <v>72</v>
      </c>
    </row>
    <row r="55" customFormat="false" ht="15" hidden="false" customHeight="false" outlineLevel="0" collapsed="false">
      <c r="B55" s="6" t="s">
        <v>73</v>
      </c>
      <c r="C55" s="7" t="n">
        <v>119350</v>
      </c>
      <c r="D55" s="7" t="n">
        <v>85250</v>
      </c>
      <c r="E55" s="7" t="n">
        <f aca="false">D55-C55</f>
        <v>-34100</v>
      </c>
      <c r="F55" s="10"/>
      <c r="G55" s="9" t="s">
        <v>68</v>
      </c>
    </row>
    <row r="56" customFormat="false" ht="15" hidden="false" customHeight="false" outlineLevel="0" collapsed="false">
      <c r="B56" s="11" t="s">
        <v>74</v>
      </c>
      <c r="C56" s="12" t="n">
        <f aca="false">SUM(C52:C55)</f>
        <v>29850350</v>
      </c>
      <c r="D56" s="12" t="n">
        <f aca="false">SUM(D52:D55)</f>
        <v>19446250</v>
      </c>
      <c r="E56" s="12" t="n">
        <f aca="false">SUM(E52:E55)</f>
        <v>-10404100</v>
      </c>
      <c r="F56" s="14"/>
      <c r="G56" s="14"/>
    </row>
    <row r="57" customFormat="false" ht="15" hidden="false" customHeight="false" outlineLevel="0" collapsed="false">
      <c r="B57" s="11" t="s">
        <v>75</v>
      </c>
      <c r="C57" s="12" t="n">
        <f aca="false">C51+C56</f>
        <v>73478190</v>
      </c>
      <c r="D57" s="12" t="n">
        <f aca="false">D51+D56</f>
        <v>48888286</v>
      </c>
      <c r="E57" s="12" t="n">
        <f aca="false">E51+E56</f>
        <v>-24589904</v>
      </c>
      <c r="F57" s="14"/>
      <c r="G57" s="14"/>
    </row>
    <row r="59" customFormat="false" ht="15" hidden="false" customHeight="false" outlineLevel="0" collapsed="false">
      <c r="B59" s="5" t="s">
        <v>76</v>
      </c>
    </row>
    <row r="60" customFormat="false" ht="15" hidden="false" customHeight="false" outlineLevel="0" collapsed="false">
      <c r="B60" s="6" t="s">
        <v>77</v>
      </c>
      <c r="C60" s="7" t="n">
        <v>30037600</v>
      </c>
      <c r="D60" s="7" t="n">
        <v>9000000</v>
      </c>
      <c r="E60" s="7" t="n">
        <f aca="false">D60-C60</f>
        <v>-21037600</v>
      </c>
      <c r="F60" s="10" t="s">
        <v>78</v>
      </c>
      <c r="G60" s="9" t="s">
        <v>79</v>
      </c>
    </row>
    <row r="61" customFormat="false" ht="15" hidden="false" customHeight="false" outlineLevel="0" collapsed="false">
      <c r="B61" s="6" t="s">
        <v>80</v>
      </c>
      <c r="C61" s="7" t="n">
        <v>2000000</v>
      </c>
      <c r="D61" s="7" t="n">
        <v>0</v>
      </c>
      <c r="E61" s="7" t="n">
        <f aca="false">D61-C61</f>
        <v>-2000000</v>
      </c>
      <c r="F61" s="10"/>
      <c r="G61" s="9" t="s">
        <v>79</v>
      </c>
    </row>
    <row r="62" customFormat="false" ht="15" hidden="false" customHeight="false" outlineLevel="0" collapsed="false">
      <c r="B62" s="6" t="s">
        <v>81</v>
      </c>
      <c r="C62" s="7" t="n">
        <v>6000000</v>
      </c>
      <c r="D62" s="7" t="n">
        <v>0</v>
      </c>
      <c r="E62" s="7" t="n">
        <f aca="false">D62-C62</f>
        <v>-6000000</v>
      </c>
      <c r="F62" s="10"/>
      <c r="G62" s="9" t="s">
        <v>79</v>
      </c>
    </row>
    <row r="63" customFormat="false" ht="15" hidden="false" customHeight="false" outlineLevel="0" collapsed="false">
      <c r="B63" s="6" t="s">
        <v>82</v>
      </c>
      <c r="C63" s="7" t="n">
        <v>349157565</v>
      </c>
      <c r="D63" s="7" t="n">
        <v>186588036</v>
      </c>
      <c r="E63" s="7" t="n">
        <f aca="false">D63-C63</f>
        <v>-162569529</v>
      </c>
      <c r="F63" s="10"/>
      <c r="G63" s="9" t="s">
        <v>79</v>
      </c>
    </row>
    <row r="64" customFormat="false" ht="15" hidden="false" customHeight="false" outlineLevel="0" collapsed="false">
      <c r="B64" s="6" t="s">
        <v>83</v>
      </c>
      <c r="C64" s="7" t="n">
        <v>0</v>
      </c>
      <c r="D64" s="7" t="n">
        <v>-2832674</v>
      </c>
      <c r="E64" s="7" t="n">
        <f aca="false">D64-C64</f>
        <v>-2832674</v>
      </c>
      <c r="F64" s="10" t="s">
        <v>84</v>
      </c>
      <c r="G64" s="9" t="s">
        <v>79</v>
      </c>
    </row>
    <row r="65" customFormat="false" ht="15" hidden="false" customHeight="false" outlineLevel="0" collapsed="false">
      <c r="B65" s="11" t="s">
        <v>85</v>
      </c>
      <c r="C65" s="12" t="n">
        <f aca="false">SUM(C60:C64)</f>
        <v>387195165</v>
      </c>
      <c r="D65" s="12" t="n">
        <f aca="false">SUM(D60:D64)</f>
        <v>192755362</v>
      </c>
      <c r="E65" s="12" t="n">
        <f aca="false">SUM(E60:E64)</f>
        <v>-194439803</v>
      </c>
      <c r="F65" s="14"/>
      <c r="G65" s="14"/>
    </row>
    <row r="66" customFormat="false" ht="15" hidden="false" customHeight="false" outlineLevel="0" collapsed="false">
      <c r="B66" s="11" t="s">
        <v>86</v>
      </c>
      <c r="C66" s="12" t="n">
        <f aca="false">C57+C65</f>
        <v>460673355</v>
      </c>
      <c r="D66" s="12" t="n">
        <f aca="false">D57+D65</f>
        <v>241643648</v>
      </c>
      <c r="E66" s="12" t="n">
        <f aca="false">E57+E65</f>
        <v>-219029707</v>
      </c>
      <c r="F66" s="14"/>
      <c r="G66" s="14"/>
    </row>
    <row r="68" customFormat="false" ht="15" hidden="false" customHeight="false" outlineLevel="0" collapsed="false">
      <c r="B68" s="5" t="s">
        <v>87</v>
      </c>
    </row>
    <row r="69" customFormat="false" ht="15" hidden="false" customHeight="false" outlineLevel="0" collapsed="false">
      <c r="B69" s="6" t="s">
        <v>88</v>
      </c>
      <c r="C69" s="16" t="b">
        <f aca="false">EXACT(C39,C66)</f>
        <v>1</v>
      </c>
      <c r="D69" s="16" t="b">
        <f aca="false">EXACT(D39,D66)</f>
        <v>1</v>
      </c>
    </row>
    <row r="70" customFormat="false" ht="15" hidden="false" customHeight="false" outlineLevel="0" collapsed="false">
      <c r="B70" s="6" t="s">
        <v>89</v>
      </c>
      <c r="C70" s="16" t="b">
        <f aca="false">EXACT(C39,460673355)</f>
        <v>1</v>
      </c>
      <c r="D70" s="16" t="b">
        <f aca="false">EXACT(D39,241643648)</f>
        <v>1</v>
      </c>
    </row>
    <row r="71" customFormat="false" ht="15" hidden="false" customHeight="false" outlineLevel="0" collapsed="false">
      <c r="B71" s="6" t="s">
        <v>90</v>
      </c>
      <c r="C71" s="16" t="b">
        <f aca="false">EXACT(C23,249574944)</f>
        <v>1</v>
      </c>
      <c r="D71" s="16" t="b">
        <f aca="false">EXACT(D23,213543526)</f>
        <v>1</v>
      </c>
    </row>
    <row r="72" customFormat="false" ht="15" hidden="false" customHeight="false" outlineLevel="0" collapsed="false">
      <c r="B72" s="6" t="s">
        <v>91</v>
      </c>
      <c r="C72" s="16" t="b">
        <f aca="false">EXACT(C38,211098411)</f>
        <v>1</v>
      </c>
      <c r="D72" s="16" t="b">
        <f aca="false">EXACT(D38,28100122)</f>
        <v>1</v>
      </c>
    </row>
    <row r="73" customFormat="false" ht="15" hidden="false" customHeight="false" outlineLevel="0" collapsed="false">
      <c r="B73" s="6" t="s">
        <v>92</v>
      </c>
      <c r="C73" s="16" t="b">
        <f aca="false">EXACT(C57,73478190)</f>
        <v>1</v>
      </c>
      <c r="D73" s="16" t="b">
        <f aca="false">EXACT(D57,48888286)</f>
        <v>1</v>
      </c>
    </row>
    <row r="74" customFormat="false" ht="15" hidden="false" customHeight="false" outlineLevel="0" collapsed="false">
      <c r="B74" s="6" t="s">
        <v>93</v>
      </c>
      <c r="C74" s="16" t="b">
        <f aca="false">EXACT(C65,387195165)</f>
        <v>1</v>
      </c>
      <c r="D74" s="16" t="b">
        <f aca="false">EXACT(D65,192755362)</f>
        <v>1</v>
      </c>
    </row>
    <row r="76" customFormat="false" ht="15" hidden="false" customHeight="false" outlineLevel="0" collapsed="false">
      <c r="B76" s="5" t="s">
        <v>94</v>
      </c>
    </row>
    <row r="77" customFormat="false" ht="26.85" hidden="false" customHeight="false" outlineLevel="0" collapsed="false">
      <c r="B77" s="3" t="s">
        <v>95</v>
      </c>
      <c r="C77" s="4" t="s">
        <v>96</v>
      </c>
      <c r="D77" s="4" t="s">
        <v>97</v>
      </c>
      <c r="E77" s="3" t="s">
        <v>5</v>
      </c>
      <c r="F77" s="3" t="s">
        <v>7</v>
      </c>
    </row>
    <row r="78" customFormat="false" ht="15" hidden="false" customHeight="false" outlineLevel="0" collapsed="false">
      <c r="B78" s="6" t="s">
        <v>98</v>
      </c>
      <c r="C78" s="7" t="n">
        <f aca="false">SUMIF($G$6:$G$39,"cash",C$6:C$39)</f>
        <v>106594984</v>
      </c>
      <c r="D78" s="7" t="n">
        <f aca="false">SUMIF($G$6:$G$39,"cash",D$6:D$39)</f>
        <v>80000000</v>
      </c>
      <c r="E78" s="7" t="n">
        <f aca="false">D78-C78</f>
        <v>-26594984</v>
      </c>
      <c r="F78" s="9" t="s">
        <v>10</v>
      </c>
    </row>
    <row r="79" customFormat="false" ht="15" hidden="false" customHeight="false" outlineLevel="0" collapsed="false">
      <c r="B79" s="6" t="s">
        <v>99</v>
      </c>
      <c r="C79" s="7" t="n">
        <f aca="false">SUMIF($G$6:$G$39,"ar",C$6:C$39)</f>
        <v>52001863</v>
      </c>
      <c r="D79" s="7" t="n">
        <f aca="false">SUMIF($G$6:$G$39,"ar",D$6:D$39)</f>
        <v>41654436</v>
      </c>
      <c r="E79" s="7" t="n">
        <f aca="false">D79-C79</f>
        <v>-10347427</v>
      </c>
      <c r="F79" s="9" t="s">
        <v>19</v>
      </c>
    </row>
    <row r="80" customFormat="false" ht="15" hidden="false" customHeight="false" outlineLevel="0" collapsed="false">
      <c r="B80" s="6" t="s">
        <v>100</v>
      </c>
      <c r="C80" s="7" t="n">
        <f aca="false">SUMIF($G$6:$G$39,"loan",C$6:C$39)</f>
        <v>74809230</v>
      </c>
      <c r="D80" s="7" t="n">
        <f aca="false">SUMIF($G$6:$G$39,"loan",D$6:D$39)</f>
        <v>78439450</v>
      </c>
      <c r="E80" s="7" t="n">
        <f aca="false">D80-C80</f>
        <v>3630220</v>
      </c>
      <c r="F80" s="9" t="s">
        <v>28</v>
      </c>
    </row>
    <row r="81" customFormat="false" ht="15" hidden="false" customHeight="false" outlineLevel="0" collapsed="false">
      <c r="B81" s="6" t="s">
        <v>101</v>
      </c>
      <c r="C81" s="7" t="n">
        <f aca="false">SUMIF($G$6:$G$39,"oca",C$6:C$39)</f>
        <v>16168867</v>
      </c>
      <c r="D81" s="7" t="n">
        <f aca="false">SUMIF($G$6:$G$39,"oca",D$6:D$39)</f>
        <v>13449640</v>
      </c>
      <c r="E81" s="7" t="n">
        <f aca="false">D81-C81</f>
        <v>-2719227</v>
      </c>
      <c r="F81" s="9" t="s">
        <v>22</v>
      </c>
    </row>
    <row r="82" customFormat="false" ht="15" hidden="false" customHeight="false" outlineLevel="0" collapsed="false">
      <c r="B82" s="6" t="s">
        <v>102</v>
      </c>
      <c r="C82" s="7" t="n">
        <f aca="false">SUMIF($G$6:$G$39,"ppe",C$6:C$39)</f>
        <v>193736096</v>
      </c>
      <c r="D82" s="7" t="n">
        <f aca="false">SUMIF($G$6:$G$39,"ppe",D$6:D$39)</f>
        <v>11367471</v>
      </c>
      <c r="E82" s="7" t="n">
        <f aca="false">D82-C82</f>
        <v>-182368625</v>
      </c>
      <c r="F82" s="9" t="s">
        <v>34</v>
      </c>
    </row>
    <row r="83" customFormat="false" ht="15" hidden="false" customHeight="false" outlineLevel="0" collapsed="false">
      <c r="B83" s="6" t="s">
        <v>103</v>
      </c>
      <c r="C83" s="7" t="n">
        <f aca="false">SUMIF($G$6:$G$39,"intg",C$6:C$39)+SUMIF($G$6:$G$39,"inv",C$6:C$39)</f>
        <v>17362315</v>
      </c>
      <c r="D83" s="7" t="n">
        <f aca="false">SUMIF($G$6:$G$39,"intg",D$6:D$39)+SUMIF($G$6:$G$39,"inv",D$6:D$39)</f>
        <v>16732651</v>
      </c>
      <c r="E83" s="7" t="n">
        <f aca="false">D83-C83</f>
        <v>-629664</v>
      </c>
      <c r="F83" s="9" t="s">
        <v>104</v>
      </c>
    </row>
    <row r="84" customFormat="false" ht="15" hidden="false" customHeight="false" outlineLevel="0" collapsed="false">
      <c r="B84" s="11" t="s">
        <v>52</v>
      </c>
      <c r="C84" s="12" t="n">
        <f aca="false">C39</f>
        <v>460673355</v>
      </c>
      <c r="D84" s="12" t="n">
        <f aca="false">D39</f>
        <v>241643648</v>
      </c>
      <c r="E84" s="12" t="n">
        <f aca="false">D84-C84</f>
        <v>-219029707</v>
      </c>
      <c r="F84" s="9"/>
    </row>
    <row r="85" customFormat="false" ht="15" hidden="false" customHeight="false" outlineLevel="0" collapsed="false">
      <c r="B85" s="6" t="s">
        <v>105</v>
      </c>
      <c r="C85" s="7" t="n">
        <f aca="false">SUMIF($G$42:$G$57,"debt",C$42:C$57)</f>
        <v>20251000</v>
      </c>
      <c r="D85" s="7" t="n">
        <f aca="false">SUMIF($G$42:$G$57,"debt",D$42:D$57)</f>
        <v>16361000</v>
      </c>
      <c r="E85" s="7" t="n">
        <f aca="false">D85-C85</f>
        <v>-3890000</v>
      </c>
      <c r="F85" s="9" t="s">
        <v>72</v>
      </c>
    </row>
    <row r="86" customFormat="false" ht="15" hidden="false" customHeight="false" outlineLevel="0" collapsed="false">
      <c r="B86" s="6" t="s">
        <v>106</v>
      </c>
      <c r="C86" s="7" t="n">
        <f aca="false">SUMIF($G$42:$G$57,"ocl",C$42:C$57)+SUMIF($G$42:$G$57,"ofl",C$42:C$57)</f>
        <v>53227190</v>
      </c>
      <c r="D86" s="7" t="n">
        <f aca="false">SUMIF($G$42:$G$57,"ocl",D$42:D$57)+SUMIF($G$42:$G$57,"ofl",D$42:D$57)</f>
        <v>32527286</v>
      </c>
      <c r="E86" s="7" t="n">
        <f aca="false">D86-C86</f>
        <v>-20699904</v>
      </c>
      <c r="F86" s="9" t="s">
        <v>107</v>
      </c>
    </row>
    <row r="87" customFormat="false" ht="15" hidden="false" customHeight="false" outlineLevel="0" collapsed="false">
      <c r="B87" s="11" t="s">
        <v>108</v>
      </c>
      <c r="C87" s="12" t="n">
        <f aca="false">C65</f>
        <v>387195165</v>
      </c>
      <c r="D87" s="12" t="n">
        <f aca="false">D65</f>
        <v>192755362</v>
      </c>
      <c r="E87" s="12" t="n">
        <f aca="false">D87-C87</f>
        <v>-194439803</v>
      </c>
      <c r="F87" s="9"/>
    </row>
    <row r="88" customFormat="false" ht="15" hidden="false" customHeight="false" outlineLevel="0" collapsed="false">
      <c r="B88" s="11" t="s">
        <v>86</v>
      </c>
      <c r="C88" s="12" t="n">
        <f aca="false">C66</f>
        <v>460673355</v>
      </c>
      <c r="D88" s="12" t="n">
        <f aca="false">D66</f>
        <v>241643648</v>
      </c>
      <c r="E88" s="12" t="n">
        <f aca="false">D88-C88</f>
        <v>-219029707</v>
      </c>
      <c r="F88" s="9"/>
    </row>
    <row r="89" customFormat="false" ht="15" hidden="false" customHeight="false" outlineLevel="0" collapsed="false">
      <c r="B89" s="5" t="s">
        <v>109</v>
      </c>
      <c r="C89" s="17" t="n">
        <f aca="false">C78-C85</f>
        <v>86343984</v>
      </c>
      <c r="D89" s="17" t="n">
        <f aca="false">D78-D85</f>
        <v>63639000</v>
      </c>
      <c r="E89" s="17" t="n">
        <f aca="false">D89-C89</f>
        <v>-22704984</v>
      </c>
      <c r="F89" s="10" t="s">
        <v>110</v>
      </c>
    </row>
    <row r="90" customFormat="false" ht="15" hidden="false" customHeight="false" outlineLevel="0" collapsed="false">
      <c r="B90" s="6" t="s">
        <v>111</v>
      </c>
      <c r="C90" s="16" t="b">
        <f aca="false">EXACT(C84,C85+C86+C87)</f>
        <v>1</v>
      </c>
      <c r="D90" s="16" t="b">
        <f aca="false">EXACT(D84,D85+D86+D87)</f>
        <v>1</v>
      </c>
    </row>
    <row r="91" customFormat="false" ht="15" hidden="false" customHeight="false" outlineLevel="0" collapsed="false">
      <c r="B91" s="6" t="s">
        <v>112</v>
      </c>
      <c r="C91" s="16" t="b">
        <f aca="false">EXACT(C84,C78+C79+C80+C81+C82+C83)</f>
        <v>1</v>
      </c>
      <c r="D91" s="16" t="b">
        <f aca="false">EXACT(D84,D78+D79+D80+D81+D82+D83)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2026-10-29T06:29:51Z</dcterms:created>
  <dc:creator>openpyxl</dc:creator>
  <dc:description/>
  <dc:language>en-US</dc:language>
  <cp:lastModifiedBy/>
  <dcterms:modified xsi:type="dcterms:W3CDTF">2026-10-29T06:29:51Z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