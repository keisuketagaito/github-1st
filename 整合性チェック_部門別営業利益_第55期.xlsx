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差異サマリー" sheetId="1" state="visible" r:id="rId3"/>
    <sheet name="②全科目突合" sheetId="2" state="visible" r:id="rId4"/>
    <sheet name="③新旧比較_p8" sheetId="3" state="visible" r:id="rId5"/>
    <sheet name="④前提・注記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<sst xmlns="http://schemas.openxmlformats.org/spreadsheetml/2006/main" count="184" uniqueCount="148">
  <si>
    <r>
      <rPr>
        <b val="true"/>
        <sz val="14"/>
        <color rgb="FF1E2761"/>
        <rFont val="WenQuanYi Zen Hei"/>
        <family val="2"/>
      </rPr>
      <t xml:space="preserve">アドレイ社 部門別営業利益（</t>
    </r>
    <r>
      <rPr>
        <b val="true"/>
        <sz val="14"/>
        <color rgb="FF1E2761"/>
        <rFont val="Arial"/>
        <family val="0"/>
        <charset val="1"/>
      </rPr>
      <t xml:space="preserve">2025</t>
    </r>
    <r>
      <rPr>
        <b val="true"/>
        <sz val="14"/>
        <color rgb="FF1E2761"/>
        <rFont val="WenQuanYi Zen Hei"/>
        <family val="2"/>
      </rPr>
      <t xml:space="preserve">年</t>
    </r>
    <r>
      <rPr>
        <b val="true"/>
        <sz val="14"/>
        <color rgb="FF1E2761"/>
        <rFont val="Arial"/>
        <family val="0"/>
        <charset val="1"/>
      </rPr>
      <t xml:space="preserve">7</t>
    </r>
    <r>
      <rPr>
        <b val="true"/>
        <sz val="14"/>
        <color rgb="FF1E2761"/>
        <rFont val="WenQuanYi Zen Hei"/>
        <family val="2"/>
      </rPr>
      <t xml:space="preserve">月期・第</t>
    </r>
    <r>
      <rPr>
        <b val="true"/>
        <sz val="14"/>
        <color rgb="FF1E2761"/>
        <rFont val="Arial"/>
        <family val="0"/>
        <charset val="1"/>
      </rPr>
      <t xml:space="preserve">55</t>
    </r>
    <r>
      <rPr>
        <b val="true"/>
        <sz val="14"/>
        <color rgb="FF1E2761"/>
        <rFont val="WenQuanYi Zen Hei"/>
        <family val="2"/>
      </rPr>
      <t xml:space="preserve">期）　整合性チェック</t>
    </r>
  </si>
  <si>
    <r>
      <rPr>
        <i val="true"/>
        <sz val="9"/>
        <color rgb="FF555555"/>
        <rFont val="WenQuanYi Zen Hei"/>
        <family val="2"/>
      </rPr>
      <t xml:space="preserve">資料</t>
    </r>
    <r>
      <rPr>
        <i val="true"/>
        <sz val="9"/>
        <color rgb="FF555555"/>
        <rFont val="Arial"/>
        <family val="0"/>
        <charset val="1"/>
      </rPr>
      <t xml:space="preserve">p.8</t>
    </r>
    <r>
      <rPr>
        <i val="true"/>
        <sz val="9"/>
        <color rgb="FF555555"/>
        <rFont val="WenQuanYi Zen Hei"/>
        <family val="2"/>
      </rPr>
      <t xml:space="preserve">「財務ハイライト（事業利益）」記載値（＝部門別損益</t>
    </r>
    <r>
      <rPr>
        <i val="true"/>
        <sz val="9"/>
        <color rgb="FF555555"/>
        <rFont val="Arial"/>
        <family val="0"/>
        <charset val="1"/>
      </rPr>
      <t xml:space="preserve">_FY202507-</t>
    </r>
    <r>
      <rPr>
        <i val="true"/>
        <sz val="9"/>
        <color rgb="FF555555"/>
        <rFont val="WenQuanYi Zen Hei"/>
        <family val="2"/>
      </rPr>
      <t xml:space="preserve">第</t>
    </r>
    <r>
      <rPr>
        <i val="true"/>
        <sz val="9"/>
        <color rgb="FF555555"/>
        <rFont val="Arial"/>
        <family val="0"/>
        <charset val="1"/>
      </rPr>
      <t xml:space="preserve">55</t>
    </r>
    <r>
      <rPr>
        <i val="true"/>
        <sz val="9"/>
        <color rgb="FF555555"/>
        <rFont val="WenQuanYi Zen Hei"/>
        <family val="2"/>
      </rPr>
      <t xml:space="preserve">期</t>
    </r>
    <r>
      <rPr>
        <i val="true"/>
        <sz val="9"/>
        <color rgb="FF555555"/>
        <rFont val="Arial"/>
        <family val="0"/>
        <charset val="1"/>
      </rPr>
      <t xml:space="preserve">_260604</t>
    </r>
    <r>
      <rPr>
        <i val="true"/>
        <sz val="9"/>
        <color rgb="FF555555"/>
        <rFont val="WenQuanYi Zen Hei"/>
        <family val="2"/>
      </rPr>
      <t xml:space="preserve">）と、加藤様ご提供</t>
    </r>
    <r>
      <rPr>
        <i val="true"/>
        <sz val="9"/>
        <color rgb="FF555555"/>
        <rFont val="Arial"/>
        <family val="0"/>
        <charset val="1"/>
      </rPr>
      <t xml:space="preserve">Excel</t>
    </r>
    <r>
      <rPr>
        <i val="true"/>
        <sz val="9"/>
        <color rgb="FF555555"/>
        <rFont val="WenQuanYi Zen Hei"/>
        <family val="2"/>
      </rPr>
      <t xml:space="preserve">「</t>
    </r>
    <r>
      <rPr>
        <i val="true"/>
        <sz val="9"/>
        <color rgb="FF555555"/>
        <rFont val="Arial"/>
        <family val="0"/>
        <charset val="1"/>
      </rPr>
      <t xml:space="preserve">55</t>
    </r>
    <r>
      <rPr>
        <i val="true"/>
        <sz val="9"/>
        <color rgb="FF555555"/>
        <rFont val="WenQuanYi Zen Hei"/>
        <family val="2"/>
      </rPr>
      <t xml:space="preserve">期部門別・営業利益 </t>
    </r>
    <r>
      <rPr>
        <i val="true"/>
        <sz val="9"/>
        <color rgb="FF555555"/>
        <rFont val="Arial"/>
        <family val="0"/>
        <charset val="1"/>
      </rPr>
      <t xml:space="preserve">(1)</t>
    </r>
    <r>
      <rPr>
        <i val="true"/>
        <sz val="9"/>
        <color rgb="FF555555"/>
        <rFont val="WenQuanYi Zen Hei"/>
        <family val="2"/>
      </rPr>
      <t xml:space="preserve">」の突合結果</t>
    </r>
  </si>
  <si>
    <r>
      <rPr>
        <b val="true"/>
        <sz val="11"/>
        <rFont val="WenQuanYi Zen Hei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】営業利益（実績）の差異</t>
    </r>
  </si>
  <si>
    <t xml:space="preserve">区分</t>
  </si>
  <si>
    <t xml:space="preserve">資料記載（実績）</t>
  </si>
  <si>
    <r>
      <rPr>
        <b val="true"/>
        <sz val="10"/>
        <color rgb="FFFFFFFF"/>
        <rFont val="WenQuanYi Zen Hei"/>
        <family val="2"/>
      </rPr>
      <t xml:space="preserve">加藤様</t>
    </r>
    <r>
      <rPr>
        <b val="true"/>
        <sz val="10"/>
        <color rgb="FFFFFFFF"/>
        <rFont val="Arial"/>
        <family val="0"/>
        <charset val="1"/>
      </rPr>
      <t xml:space="preserve">Excel</t>
    </r>
    <r>
      <rPr>
        <b val="true"/>
        <sz val="10"/>
        <color rgb="FFFFFFFF"/>
        <rFont val="WenQuanYi Zen Hei"/>
        <family val="2"/>
      </rPr>
      <t xml:space="preserve">（実績）</t>
    </r>
  </si>
  <si>
    <t xml:space="preserve">差異</t>
  </si>
  <si>
    <t xml:space="preserve">差異率</t>
  </si>
  <si>
    <t xml:space="preserve">広告制作</t>
  </si>
  <si>
    <r>
      <rPr>
        <sz val="10"/>
        <rFont val="Arial"/>
        <family val="0"/>
        <charset val="1"/>
      </rPr>
      <t xml:space="preserve">DDG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Data</t>
    </r>
    <r>
      <rPr>
        <sz val="10"/>
        <rFont val="WenQuanYi Zen Hei"/>
        <family val="2"/>
      </rPr>
      <t xml:space="preserve">＆</t>
    </r>
    <r>
      <rPr>
        <sz val="10"/>
        <rFont val="Arial"/>
        <family val="0"/>
        <charset val="1"/>
      </rPr>
      <t xml:space="preserve">Digital Growth</t>
    </r>
    <r>
      <rPr>
        <sz val="10"/>
        <rFont val="WenQuanYi Zen Hei"/>
        <family val="2"/>
      </rPr>
      <t xml:space="preserve">）</t>
    </r>
  </si>
  <si>
    <t xml:space="preserve">対象事業合計</t>
  </si>
  <si>
    <r>
      <rPr>
        <b val="true"/>
        <sz val="11"/>
        <rFont val="WenQuanYi Zen Hei"/>
        <family val="2"/>
      </rPr>
      <t xml:space="preserve">【</t>
    </r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】営業利益（実績）差異の要因分解（ブリッジ）</t>
    </r>
  </si>
  <si>
    <t xml:space="preserve">DDG</t>
  </si>
  <si>
    <t xml:space="preserve">摘要</t>
  </si>
  <si>
    <t xml:space="preserve">資料記載の営業利益（実績）</t>
  </si>
  <si>
    <t xml:space="preserve">＋ 売上高</t>
  </si>
  <si>
    <r>
      <rPr>
        <sz val="10"/>
        <rFont val="WenQuanYi Zen Hei"/>
        <family val="2"/>
      </rPr>
      <t xml:space="preserve">収益増（加藤様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が多い）</t>
    </r>
  </si>
  <si>
    <t xml:space="preserve">△ 外注費</t>
  </si>
  <si>
    <r>
      <rPr>
        <sz val="10"/>
        <rFont val="WenQuanYi Zen Hei"/>
        <family val="2"/>
      </rPr>
      <t xml:space="preserve">費用増（加藤様</t>
    </r>
    <r>
      <rPr>
        <sz val="10"/>
        <rFont val="Arial"/>
        <family val="0"/>
        <charset val="1"/>
      </rPr>
      <t xml:space="preserve">Excel</t>
    </r>
    <r>
      <rPr>
        <sz val="10"/>
        <rFont val="WenQuanYi Zen Hei"/>
        <family val="2"/>
      </rPr>
      <t xml:space="preserve">が多い）</t>
    </r>
  </si>
  <si>
    <t xml:space="preserve">△ 朝日請求</t>
  </si>
  <si>
    <t xml:space="preserve">△ 交際費</t>
  </si>
  <si>
    <t xml:space="preserve">△ 旅費交通費</t>
  </si>
  <si>
    <r>
      <rPr>
        <sz val="10"/>
        <rFont val="WenQuanYi Zen Hei"/>
        <family val="2"/>
      </rPr>
      <t xml:space="preserve">△ 支払手数料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システム利用料</t>
    </r>
  </si>
  <si>
    <t xml:space="preserve">△ 研修費</t>
  </si>
  <si>
    <t xml:space="preserve">差異 小計</t>
  </si>
  <si>
    <r>
      <rPr>
        <b val="true"/>
        <sz val="10"/>
        <color rgb="FF1E2761"/>
        <rFont val="WenQuanYi Zen Hei"/>
        <family val="2"/>
      </rPr>
      <t xml:space="preserve">加藤様</t>
    </r>
    <r>
      <rPr>
        <b val="true"/>
        <sz val="10"/>
        <color rgb="FF1E2761"/>
        <rFont val="Arial"/>
        <family val="0"/>
        <charset val="1"/>
      </rPr>
      <t xml:space="preserve">Excel</t>
    </r>
    <r>
      <rPr>
        <b val="true"/>
        <sz val="10"/>
        <color rgb="FF1E2761"/>
        <rFont val="WenQuanYi Zen Hei"/>
        <family val="2"/>
      </rPr>
      <t xml:space="preserve">の営業利益（実績）</t>
    </r>
  </si>
  <si>
    <r>
      <rPr>
        <b val="true"/>
        <sz val="10"/>
        <color rgb="FF1E2761"/>
        <rFont val="WenQuanYi Zen Hei"/>
        <family val="2"/>
      </rPr>
      <t xml:space="preserve">加藤様</t>
    </r>
    <r>
      <rPr>
        <b val="true"/>
        <sz val="10"/>
        <color rgb="FF1E2761"/>
        <rFont val="Arial"/>
        <family val="0"/>
        <charset val="1"/>
      </rPr>
      <t xml:space="preserve">Excel</t>
    </r>
    <r>
      <rPr>
        <b val="true"/>
        <sz val="10"/>
        <color rgb="FF1E2761"/>
        <rFont val="WenQuanYi Zen Hei"/>
        <family val="2"/>
      </rPr>
      <t xml:space="preserve">「</t>
    </r>
    <r>
      <rPr>
        <b val="true"/>
        <sz val="10"/>
        <color rgb="FF1E2761"/>
        <rFont val="Arial"/>
        <family val="0"/>
        <charset val="1"/>
      </rPr>
      <t xml:space="preserve">55</t>
    </r>
    <r>
      <rPr>
        <b val="true"/>
        <sz val="10"/>
        <color rgb="FF1E2761"/>
        <rFont val="WenQuanYi Zen Hei"/>
        <family val="2"/>
      </rPr>
      <t xml:space="preserve">期部門別・営業利益」</t>
    </r>
    <r>
      <rPr>
        <b val="true"/>
        <sz val="10"/>
        <color rgb="FF1E2761"/>
        <rFont val="Arial"/>
        <family val="0"/>
        <charset val="1"/>
      </rPr>
      <t xml:space="preserve">C33/D33</t>
    </r>
    <r>
      <rPr>
        <b val="true"/>
        <sz val="10"/>
        <color rgb="FF1E2761"/>
        <rFont val="WenQuanYi Zen Hei"/>
        <family val="2"/>
      </rPr>
      <t xml:space="preserve">と一致すべき</t>
    </r>
  </si>
  <si>
    <r>
      <rPr>
        <b val="true"/>
        <sz val="10"/>
        <rFont val="WenQuanYi Zen Hei"/>
        <family val="2"/>
      </rPr>
      <t xml:space="preserve">【検証】加藤様</t>
    </r>
    <r>
      <rPr>
        <b val="true"/>
        <sz val="10"/>
        <rFont val="Arial"/>
        <family val="0"/>
        <charset val="1"/>
      </rPr>
      <t xml:space="preserve">Excel</t>
    </r>
    <r>
      <rPr>
        <b val="true"/>
        <sz val="10"/>
        <rFont val="WenQuanYi Zen Hei"/>
        <family val="2"/>
      </rPr>
      <t xml:space="preserve">実績との差</t>
    </r>
  </si>
  <si>
    <r>
      <rPr>
        <i val="true"/>
        <sz val="9"/>
        <rFont val="WenQuanYi Zen Hei"/>
        <family val="2"/>
      </rPr>
      <t xml:space="preserve">全て</t>
    </r>
    <r>
      <rPr>
        <i val="true"/>
        <sz val="9"/>
        <rFont val="Arial"/>
        <family val="0"/>
        <charset val="1"/>
      </rPr>
      <t xml:space="preserve">0</t>
    </r>
    <r>
      <rPr>
        <i val="true"/>
        <sz val="9"/>
        <rFont val="WenQuanYi Zen Hei"/>
        <family val="2"/>
      </rPr>
      <t xml:space="preserve">であれば差異は完全に説明済み</t>
    </r>
  </si>
  <si>
    <t xml:space="preserve">【結論】</t>
  </si>
  <si>
    <r>
      <rPr>
        <sz val="9"/>
        <rFont val="WenQuanYi Zen Hei"/>
        <family val="2"/>
      </rPr>
      <t xml:space="preserve">・差異は上記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勘定科目のみに限定され、営業利益差異（広告制作 △</t>
    </r>
    <r>
      <rPr>
        <sz val="9"/>
        <rFont val="Arial"/>
        <family val="0"/>
        <charset val="1"/>
      </rPr>
      <t xml:space="preserve">187,297</t>
    </r>
    <r>
      <rPr>
        <sz val="9"/>
        <rFont val="WenQuanYi Zen Hei"/>
        <family val="2"/>
      </rPr>
      <t xml:space="preserve">円／</t>
    </r>
    <r>
      <rPr>
        <sz val="9"/>
        <rFont val="Arial"/>
        <family val="0"/>
        <charset val="1"/>
      </rPr>
      <t xml:space="preserve">DDG △313,339</t>
    </r>
    <r>
      <rPr>
        <sz val="9"/>
        <rFont val="WenQuanYi Zen Hei"/>
        <family val="2"/>
      </rPr>
      <t xml:space="preserve">円／合計 △</t>
    </r>
    <r>
      <rPr>
        <sz val="9"/>
        <rFont val="Arial"/>
        <family val="0"/>
        <charset val="1"/>
      </rPr>
      <t xml:space="preserve">500,636</t>
    </r>
    <r>
      <rPr>
        <sz val="9"/>
        <rFont val="WenQuanYi Zen Hei"/>
        <family val="2"/>
      </rPr>
      <t xml:space="preserve">円）を完全に説明可能。</t>
    </r>
  </si>
  <si>
    <r>
      <rPr>
        <sz val="9"/>
        <rFont val="WenQuanYi Zen Hei"/>
        <family val="2"/>
      </rPr>
      <t xml:space="preserve">・いずれも加藤様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の金額が資料記載値を上回っており（売上高のみ収益側）、加藤様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は会計データからの再集計版と考えられる。</t>
    </r>
  </si>
  <si>
    <r>
      <rPr>
        <sz val="9"/>
        <rFont val="WenQuanYi Zen Hei"/>
        <family val="2"/>
      </rPr>
      <t xml:space="preserve">・部門間の振替（配分替え）ではなく全社合計自体が増加しているため、資料側（</t>
    </r>
    <r>
      <rPr>
        <sz val="9"/>
        <rFont val="Arial"/>
        <family val="0"/>
        <charset val="1"/>
      </rPr>
      <t xml:space="preserve">260604</t>
    </r>
    <r>
      <rPr>
        <sz val="9"/>
        <rFont val="WenQuanYi Zen Hei"/>
        <family val="2"/>
      </rPr>
      <t xml:space="preserve">版）が集計時点の未確定データに基づいていた可能性が高い。</t>
    </r>
  </si>
  <si>
    <r>
      <rPr>
        <sz val="9"/>
        <rFont val="WenQuanYi Zen Hei"/>
        <family val="2"/>
      </rPr>
      <t xml:space="preserve">・加藤様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を正として資料</t>
    </r>
    <r>
      <rPr>
        <sz val="9"/>
        <rFont val="Arial"/>
        <family val="0"/>
        <charset val="1"/>
      </rPr>
      <t xml:space="preserve">p.8</t>
    </r>
    <r>
      <rPr>
        <sz val="9"/>
        <rFont val="WenQuanYi Zen Hei"/>
        <family val="2"/>
      </rPr>
      <t xml:space="preserve">を更新した（更新後の数値は「③新旧比較」タブ参照）。</t>
    </r>
  </si>
  <si>
    <r>
      <rPr>
        <b val="true"/>
        <sz val="13"/>
        <color rgb="FF1E2761"/>
        <rFont val="WenQuanYi Zen Hei"/>
        <family val="2"/>
      </rPr>
      <t xml:space="preserve">勘定科目別 突合表（</t>
    </r>
    <r>
      <rPr>
        <b val="true"/>
        <sz val="13"/>
        <color rgb="FF1E2761"/>
        <rFont val="Arial"/>
        <family val="0"/>
        <charset val="1"/>
      </rPr>
      <t xml:space="preserve">2025</t>
    </r>
    <r>
      <rPr>
        <b val="true"/>
        <sz val="13"/>
        <color rgb="FF1E2761"/>
        <rFont val="WenQuanYi Zen Hei"/>
        <family val="2"/>
      </rPr>
      <t xml:space="preserve">年</t>
    </r>
    <r>
      <rPr>
        <b val="true"/>
        <sz val="13"/>
        <color rgb="FF1E2761"/>
        <rFont val="Arial"/>
        <family val="0"/>
        <charset val="1"/>
      </rPr>
      <t xml:space="preserve">7</t>
    </r>
    <r>
      <rPr>
        <b val="true"/>
        <sz val="13"/>
        <color rgb="FF1E2761"/>
        <rFont val="WenQuanYi Zen Hei"/>
        <family val="2"/>
      </rPr>
      <t xml:space="preserve">月期・実績ベース）</t>
    </r>
  </si>
  <si>
    <r>
      <rPr>
        <i val="true"/>
        <sz val="9"/>
        <color rgb="FF555555"/>
        <rFont val="WenQuanYi Zen Hei"/>
        <family val="2"/>
      </rPr>
      <t xml:space="preserve">左：部門別損益</t>
    </r>
    <r>
      <rPr>
        <i val="true"/>
        <sz val="9"/>
        <color rgb="FF555555"/>
        <rFont val="Arial"/>
        <family val="0"/>
        <charset val="1"/>
      </rPr>
      <t xml:space="preserve">_FY202507-</t>
    </r>
    <r>
      <rPr>
        <i val="true"/>
        <sz val="9"/>
        <color rgb="FF555555"/>
        <rFont val="WenQuanYi Zen Hei"/>
        <family val="2"/>
      </rPr>
      <t xml:space="preserve">第</t>
    </r>
    <r>
      <rPr>
        <i val="true"/>
        <sz val="9"/>
        <color rgb="FF555555"/>
        <rFont val="Arial"/>
        <family val="0"/>
        <charset val="1"/>
      </rPr>
      <t xml:space="preserve">55</t>
    </r>
    <r>
      <rPr>
        <i val="true"/>
        <sz val="9"/>
        <color rgb="FF555555"/>
        <rFont val="WenQuanYi Zen Hei"/>
        <family val="2"/>
      </rPr>
      <t xml:space="preserve">期</t>
    </r>
    <r>
      <rPr>
        <i val="true"/>
        <sz val="9"/>
        <color rgb="FF555555"/>
        <rFont val="Arial"/>
        <family val="0"/>
        <charset val="1"/>
      </rPr>
      <t xml:space="preserve">_260604</t>
    </r>
    <r>
      <rPr>
        <i val="true"/>
        <sz val="9"/>
        <color rgb="FF555555"/>
        <rFont val="WenQuanYi Zen Hei"/>
        <family val="2"/>
      </rPr>
      <t xml:space="preserve">（広告制作＝企画制作＋デジタル制作／</t>
    </r>
    <r>
      <rPr>
        <i val="true"/>
        <sz val="9"/>
        <color rgb="FF555555"/>
        <rFont val="Arial"/>
        <family val="0"/>
        <charset val="1"/>
      </rPr>
      <t xml:space="preserve">DDG</t>
    </r>
    <r>
      <rPr>
        <i val="true"/>
        <sz val="9"/>
        <color rgb="FF555555"/>
        <rFont val="WenQuanYi Zen Hei"/>
        <family val="2"/>
      </rPr>
      <t xml:space="preserve">＝ソリューション開発＋データベースマーケティング）　右：加藤様</t>
    </r>
    <r>
      <rPr>
        <i val="true"/>
        <sz val="9"/>
        <color rgb="FF555555"/>
        <rFont val="Arial"/>
        <family val="0"/>
        <charset val="1"/>
      </rPr>
      <t xml:space="preserve">Excel</t>
    </r>
  </si>
  <si>
    <t xml:space="preserve">勘定科目</t>
  </si>
  <si>
    <t xml:space="preserve">広告制作
資料</t>
  </si>
  <si>
    <t xml:space="preserve">広告制作
加藤様</t>
  </si>
  <si>
    <t xml:space="preserve">広告制作
差異</t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</si>
  <si>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資料</t>
    </r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</si>
  <si>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加藤様</t>
    </r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</si>
  <si>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差異</t>
    </r>
  </si>
  <si>
    <t xml:space="preserve">共通部門
資料</t>
  </si>
  <si>
    <t xml:space="preserve">共通部門
加藤様</t>
  </si>
  <si>
    <t xml:space="preserve">共通部門
差異</t>
  </si>
  <si>
    <t xml:space="preserve">売上高</t>
  </si>
  <si>
    <t xml:space="preserve">役員報酬</t>
  </si>
  <si>
    <t xml:space="preserve">給料手当</t>
  </si>
  <si>
    <t xml:space="preserve">法定福利費</t>
  </si>
  <si>
    <t xml:space="preserve">退職共済金</t>
  </si>
  <si>
    <t xml:space="preserve">福利厚生費</t>
  </si>
  <si>
    <t xml:space="preserve">通勤費</t>
  </si>
  <si>
    <t xml:space="preserve">採用教育費</t>
  </si>
  <si>
    <t xml:space="preserve">外注費</t>
  </si>
  <si>
    <t xml:space="preserve">朝日請求</t>
  </si>
  <si>
    <t xml:space="preserve">業務委託費</t>
  </si>
  <si>
    <t xml:space="preserve">交際費</t>
  </si>
  <si>
    <t xml:space="preserve">会議費</t>
  </si>
  <si>
    <t xml:space="preserve">旅費交通費</t>
  </si>
  <si>
    <t xml:space="preserve">通信費</t>
  </si>
  <si>
    <t xml:space="preserve">水道光熱費</t>
  </si>
  <si>
    <t xml:space="preserve">修繕費</t>
  </si>
  <si>
    <t xml:space="preserve">新聞図書費</t>
  </si>
  <si>
    <t xml:space="preserve">諸会費</t>
  </si>
  <si>
    <r>
      <rPr>
        <sz val="10"/>
        <rFont val="WenQuanYi Zen Hei"/>
        <family val="2"/>
      </rPr>
      <t xml:space="preserve">支払手数料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システム利用料</t>
    </r>
  </si>
  <si>
    <t xml:space="preserve">地代家賃</t>
  </si>
  <si>
    <t xml:space="preserve">共益費</t>
  </si>
  <si>
    <t xml:space="preserve">賃借料</t>
  </si>
  <si>
    <t xml:space="preserve">保険料</t>
  </si>
  <si>
    <t xml:space="preserve">租税公課</t>
  </si>
  <si>
    <t xml:space="preserve">支払報酬料</t>
  </si>
  <si>
    <t xml:space="preserve">減価償却費</t>
  </si>
  <si>
    <t xml:space="preserve">研修費</t>
  </si>
  <si>
    <t xml:space="preserve">研究開発費</t>
  </si>
  <si>
    <t xml:space="preserve">リース料</t>
  </si>
  <si>
    <t xml:space="preserve">雑費</t>
  </si>
  <si>
    <t xml:space="preserve">販管費計（売上高除く）</t>
  </si>
  <si>
    <t xml:space="preserve">営業利益</t>
  </si>
  <si>
    <r>
      <rPr>
        <i val="true"/>
        <sz val="9"/>
        <rFont val="WenQuanYi Zen Hei"/>
        <family val="2"/>
      </rPr>
      <t xml:space="preserve">※共通部門の売上高差異は、資料側が賃料収入</t>
    </r>
    <r>
      <rPr>
        <i val="true"/>
        <sz val="9"/>
        <rFont val="Arial"/>
        <family val="0"/>
        <charset val="1"/>
      </rPr>
      <t xml:space="preserve">13,200</t>
    </r>
    <r>
      <rPr>
        <i val="true"/>
        <sz val="9"/>
        <rFont val="WenQuanYi Zen Hei"/>
        <family val="2"/>
      </rPr>
      <t xml:space="preserve">千円（不動産賃貸事業／譲渡対象外）を含む一方、加藤様</t>
    </r>
    <r>
      <rPr>
        <i val="true"/>
        <sz val="9"/>
        <rFont val="Arial"/>
        <family val="0"/>
        <charset val="1"/>
      </rPr>
      <t xml:space="preserve">Excel</t>
    </r>
    <r>
      <rPr>
        <i val="true"/>
        <sz val="9"/>
        <rFont val="WenQuanYi Zen Hei"/>
        <family val="2"/>
      </rPr>
      <t xml:space="preserve">は同事業を対象外としているため。譲渡対象</t>
    </r>
    <r>
      <rPr>
        <i val="true"/>
        <sz val="9"/>
        <rFont val="Arial"/>
        <family val="0"/>
        <charset val="1"/>
      </rPr>
      <t xml:space="preserve">2</t>
    </r>
    <r>
      <rPr>
        <i val="true"/>
        <sz val="9"/>
        <rFont val="WenQuanYi Zen Hei"/>
        <family val="2"/>
      </rPr>
      <t xml:space="preserve">事業の数値には影響しない。</t>
    </r>
  </si>
  <si>
    <r>
      <rPr>
        <b val="true"/>
        <sz val="13"/>
        <color rgb="FF1E2761"/>
        <rFont val="WenQuanYi Zen Hei"/>
        <family val="2"/>
      </rPr>
      <t xml:space="preserve">資料</t>
    </r>
    <r>
      <rPr>
        <b val="true"/>
        <sz val="13"/>
        <color rgb="FF1E2761"/>
        <rFont val="Arial"/>
        <family val="0"/>
        <charset val="1"/>
      </rPr>
      <t xml:space="preserve">p.8</t>
    </r>
    <r>
      <rPr>
        <b val="true"/>
        <sz val="13"/>
        <color rgb="FF1E2761"/>
        <rFont val="WenQuanYi Zen Hei"/>
        <family val="2"/>
      </rPr>
      <t xml:space="preserve">「財務ハイライト（事業利益）」新旧比較</t>
    </r>
  </si>
  <si>
    <r>
      <rPr>
        <i val="true"/>
        <sz val="9"/>
        <color rgb="FF555555"/>
        <rFont val="WenQuanYi Zen Hei"/>
        <family val="2"/>
      </rPr>
      <t xml:space="preserve">加藤様</t>
    </r>
    <r>
      <rPr>
        <i val="true"/>
        <sz val="9"/>
        <color rgb="FF555555"/>
        <rFont val="Arial"/>
        <family val="0"/>
        <charset val="1"/>
      </rPr>
      <t xml:space="preserve">Excel</t>
    </r>
    <r>
      <rPr>
        <i val="true"/>
        <sz val="9"/>
        <color rgb="FF555555"/>
        <rFont val="WenQuanYi Zen Hei"/>
        <family val="2"/>
      </rPr>
      <t xml:space="preserve">反映後（新）と反映前（旧）の対比。修正額①〜⑤の算定ロジックは従前どおり据置。</t>
    </r>
  </si>
  <si>
    <t xml:space="preserve">項目</t>
  </si>
  <si>
    <r>
      <rPr>
        <b val="true"/>
        <sz val="10"/>
        <color rgb="FFFFFFFF"/>
        <rFont val="WenQuanYi Zen Hei"/>
        <family val="2"/>
      </rPr>
      <t xml:space="preserve">広告制作
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</si>
  <si>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広告制作
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</si>
  <si>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広告制作
修正後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</si>
  <si>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広告制作
修正後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</si>
  <si>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</si>
  <si>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</si>
  <si>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修正後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</si>
  <si>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DDG
</t>
    </r>
    <r>
      <rPr>
        <b val="true"/>
        <sz val="10"/>
        <color rgb="FFFFFFFF"/>
        <rFont val="WenQuanYi Zen Hei"/>
        <family val="2"/>
      </rPr>
      <t xml:space="preserve">修正後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</si>
  <si>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合計
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</si>
  <si>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合計
実績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</si>
  <si>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合計
修正後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旧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</si>
  <si>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合計
修正後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</si>
  <si>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売上原価</t>
  </si>
  <si>
    <t xml:space="preserve">売上総利益</t>
  </si>
  <si>
    <t xml:space="preserve">販売費及び一般管理費</t>
  </si>
  <si>
    <t xml:space="preserve">人件費</t>
  </si>
  <si>
    <t xml:space="preserve">ー役員報酬</t>
  </si>
  <si>
    <t xml:space="preserve">ー給料手当</t>
  </si>
  <si>
    <t xml:space="preserve">ー賞与</t>
  </si>
  <si>
    <t xml:space="preserve">ー法定福利費</t>
  </si>
  <si>
    <t xml:space="preserve">ー退職共済金</t>
  </si>
  <si>
    <t xml:space="preserve">広告宣伝費</t>
  </si>
  <si>
    <t xml:space="preserve">荷造運賃</t>
  </si>
  <si>
    <t xml:space="preserve">前提条件・注記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</si>
  <si>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出所</t>
    </r>
  </si>
  <si>
    <r>
      <rPr>
        <sz val="9"/>
        <rFont val="WenQuanYi Zen Hei"/>
        <family val="2"/>
      </rPr>
      <t xml:space="preserve">・資料記載値：「部門別損益</t>
    </r>
    <r>
      <rPr>
        <sz val="9"/>
        <rFont val="Arial"/>
        <family val="0"/>
        <charset val="1"/>
      </rPr>
      <t xml:space="preserve">_FY202507-</t>
    </r>
    <r>
      <rPr>
        <sz val="9"/>
        <rFont val="WenQuanYi Zen Hei"/>
        <family val="2"/>
      </rPr>
      <t xml:space="preserve">第</t>
    </r>
    <r>
      <rPr>
        <sz val="9"/>
        <rFont val="Arial"/>
        <family val="0"/>
        <charset val="1"/>
      </rPr>
      <t xml:space="preserve">55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_260604.xlsx</t>
    </r>
    <r>
      <rPr>
        <sz val="9"/>
        <rFont val="WenQuanYi Zen Hei"/>
        <family val="2"/>
      </rPr>
      <t xml:space="preserve">」タブ「</t>
    </r>
    <r>
      <rPr>
        <sz val="9"/>
        <rFont val="Arial"/>
        <family val="0"/>
        <charset val="1"/>
      </rPr>
      <t xml:space="preserve">202408-202507</t>
    </r>
    <r>
      <rPr>
        <sz val="9"/>
        <rFont val="WenQuanYi Zen Hei"/>
        <family val="2"/>
      </rPr>
      <t xml:space="preserve">」（広告制作＝</t>
    </r>
    <r>
      <rPr>
        <sz val="9"/>
        <rFont val="Arial"/>
        <family val="0"/>
        <charset val="1"/>
      </rPr>
      <t xml:space="preserve">Q</t>
    </r>
    <r>
      <rPr>
        <sz val="9"/>
        <rFont val="WenQuanYi Zen Hei"/>
        <family val="2"/>
      </rPr>
      <t xml:space="preserve">列／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＝</t>
    </r>
    <r>
      <rPr>
        <sz val="9"/>
        <rFont val="Arial"/>
        <family val="0"/>
        <charset val="1"/>
      </rPr>
      <t xml:space="preserve">T</t>
    </r>
    <r>
      <rPr>
        <sz val="9"/>
        <rFont val="WenQuanYi Zen Hei"/>
        <family val="2"/>
      </rPr>
      <t xml:space="preserve">列／共通部門＝</t>
    </r>
    <r>
      <rPr>
        <sz val="9"/>
        <rFont val="Arial"/>
        <family val="0"/>
        <charset val="1"/>
      </rPr>
      <t xml:space="preserve">N</t>
    </r>
    <r>
      <rPr>
        <sz val="9"/>
        <rFont val="WenQuanYi Zen Hei"/>
        <family val="2"/>
      </rPr>
      <t xml:space="preserve">列）</t>
    </r>
  </si>
  <si>
    <r>
      <rPr>
        <sz val="9"/>
        <rFont val="WenQuanYi Zen Hei"/>
        <family val="2"/>
      </rPr>
      <t xml:space="preserve">・加藤様再集計値：「</t>
    </r>
    <r>
      <rPr>
        <sz val="9"/>
        <rFont val="Arial"/>
        <family val="0"/>
        <charset val="1"/>
      </rPr>
      <t xml:space="preserve">55</t>
    </r>
    <r>
      <rPr>
        <sz val="9"/>
        <rFont val="WenQuanYi Zen Hei"/>
        <family val="2"/>
      </rPr>
      <t xml:space="preserve">期部門別・営業利益 </t>
    </r>
    <r>
      <rPr>
        <sz val="9"/>
        <rFont val="Arial"/>
        <family val="0"/>
        <charset val="1"/>
      </rPr>
      <t xml:space="preserve">(1).xlsx</t>
    </r>
    <r>
      <rPr>
        <sz val="9"/>
        <rFont val="WenQuanYi Zen Hei"/>
        <family val="2"/>
      </rPr>
      <t xml:space="preserve">」タブ「</t>
    </r>
    <r>
      <rPr>
        <sz val="9"/>
        <rFont val="Arial"/>
        <family val="0"/>
        <charset val="1"/>
      </rPr>
      <t xml:space="preserve">55</t>
    </r>
    <r>
      <rPr>
        <sz val="9"/>
        <rFont val="WenQuanYi Zen Hei"/>
        <family val="2"/>
      </rPr>
      <t xml:space="preserve">期部門別・営業利益」（広告制作＝</t>
    </r>
    <r>
      <rPr>
        <sz val="9"/>
        <rFont val="Arial"/>
        <family val="0"/>
        <charset val="1"/>
      </rPr>
      <t xml:space="preserve">C</t>
    </r>
    <r>
      <rPr>
        <sz val="9"/>
        <rFont val="WenQuanYi Zen Hei"/>
        <family val="2"/>
      </rPr>
      <t xml:space="preserve">列／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＝</t>
    </r>
    <r>
      <rPr>
        <sz val="9"/>
        <rFont val="Arial"/>
        <family val="0"/>
        <charset val="1"/>
      </rPr>
      <t xml:space="preserve">D</t>
    </r>
    <r>
      <rPr>
        <sz val="9"/>
        <rFont val="WenQuanYi Zen Hei"/>
        <family val="2"/>
      </rPr>
      <t xml:space="preserve">列／共通＝</t>
    </r>
    <r>
      <rPr>
        <sz val="9"/>
        <rFont val="Arial"/>
        <family val="0"/>
        <charset val="1"/>
      </rPr>
      <t xml:space="preserve">E</t>
    </r>
    <r>
      <rPr>
        <sz val="9"/>
        <rFont val="WenQuanYi Zen Hei"/>
        <family val="2"/>
      </rPr>
      <t xml:space="preserve">列）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</si>
  <si>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修正額（①〜⑤）の算定ロジック</t>
    </r>
  </si>
  <si>
    <t xml:space="preserve">いずれも従前の資料と同一の考え方を踏襲。</t>
  </si>
  <si>
    <r>
      <rPr>
        <sz val="9"/>
        <rFont val="WenQuanYi Zen Hei"/>
        <family val="2"/>
      </rPr>
      <t xml:space="preserve">①役員報酬：加藤様分</t>
    </r>
    <r>
      <rPr>
        <sz val="9"/>
        <rFont val="Arial"/>
        <family val="0"/>
        <charset val="1"/>
      </rPr>
      <t xml:space="preserve">12,000,000</t>
    </r>
    <r>
      <rPr>
        <sz val="9"/>
        <rFont val="WenQuanYi Zen Hei"/>
        <family val="2"/>
      </rPr>
      <t xml:space="preserve">円を共通部門から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へ振替（共通部門計上額に変更なし）</t>
    </r>
  </si>
  <si>
    <r>
      <rPr>
        <sz val="9"/>
        <rFont val="WenQuanYi Zen Hei"/>
        <family val="2"/>
      </rPr>
      <t xml:space="preserve">②人件費関連：譲渡対象従業員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名（水元様・小濱様）の実額。「内訳</t>
    </r>
    <r>
      <rPr>
        <sz val="9"/>
        <rFont val="Arial"/>
        <family val="0"/>
        <charset val="1"/>
      </rPr>
      <t xml:space="preserve">_</t>
    </r>
    <r>
      <rPr>
        <sz val="9"/>
        <rFont val="WenQuanYi Zen Hei"/>
        <family val="2"/>
      </rPr>
      <t xml:space="preserve">共通部門」タブの個人別実額を使用のため再集計の影響を受けない。</t>
    </r>
  </si>
  <si>
    <r>
      <rPr>
        <sz val="9"/>
        <rFont val="WenQuanYi Zen Hei"/>
        <family val="2"/>
      </rPr>
      <t xml:space="preserve">　　給料手当</t>
    </r>
    <r>
      <rPr>
        <sz val="9"/>
        <rFont val="Arial"/>
        <family val="0"/>
        <charset val="1"/>
      </rPr>
      <t xml:space="preserve">16,920,000</t>
    </r>
    <r>
      <rPr>
        <sz val="9"/>
        <rFont val="WenQuanYi Zen Hei"/>
        <family val="2"/>
      </rPr>
      <t xml:space="preserve">円／法定福利費</t>
    </r>
    <r>
      <rPr>
        <sz val="9"/>
        <rFont val="Arial"/>
        <family val="0"/>
        <charset val="1"/>
      </rPr>
      <t xml:space="preserve">2,785,878</t>
    </r>
    <r>
      <rPr>
        <sz val="9"/>
        <rFont val="WenQuanYi Zen Hei"/>
        <family val="2"/>
      </rPr>
      <t xml:space="preserve">円／退職共済金</t>
    </r>
    <r>
      <rPr>
        <sz val="9"/>
        <rFont val="Arial"/>
        <family val="0"/>
        <charset val="1"/>
      </rPr>
      <t xml:space="preserve">144,000</t>
    </r>
    <r>
      <rPr>
        <sz val="9"/>
        <rFont val="WenQuanYi Zen Hei"/>
        <family val="2"/>
      </rPr>
      <t xml:space="preserve">円／福利厚生費</t>
    </r>
    <r>
      <rPr>
        <sz val="9"/>
        <rFont val="Arial"/>
        <family val="0"/>
        <charset val="1"/>
      </rPr>
      <t xml:space="preserve">59,178</t>
    </r>
    <r>
      <rPr>
        <sz val="9"/>
        <rFont val="WenQuanYi Zen Hei"/>
        <family val="2"/>
      </rPr>
      <t xml:space="preserve">円／通勤費</t>
    </r>
    <r>
      <rPr>
        <sz val="9"/>
        <rFont val="Arial"/>
        <family val="0"/>
        <charset val="1"/>
      </rPr>
      <t xml:space="preserve">137,405</t>
    </r>
    <r>
      <rPr>
        <sz val="9"/>
        <rFont val="WenQuanYi Zen Hei"/>
        <family val="2"/>
      </rPr>
      <t xml:space="preserve">円</t>
    </r>
  </si>
  <si>
    <r>
      <rPr>
        <sz val="9"/>
        <rFont val="WenQuanYi Zen Hei"/>
        <family val="2"/>
      </rPr>
      <t xml:space="preserve">③業務委託費：修正後を広告制作</t>
    </r>
    <r>
      <rPr>
        <sz val="9"/>
        <rFont val="Arial"/>
        <family val="0"/>
        <charset val="1"/>
      </rPr>
      <t xml:space="preserve">8,400,000</t>
    </r>
    <r>
      <rPr>
        <sz val="9"/>
        <rFont val="WenQuanYi Zen Hei"/>
        <family val="2"/>
      </rPr>
      <t xml:space="preserve">円・</t>
    </r>
    <r>
      <rPr>
        <sz val="9"/>
        <rFont val="Arial"/>
        <family val="0"/>
        <charset val="1"/>
      </rPr>
      <t xml:space="preserve">DDG11,127,276</t>
    </r>
    <r>
      <rPr>
        <sz val="9"/>
        <rFont val="WenQuanYi Zen Hei"/>
        <family val="2"/>
      </rPr>
      <t xml:space="preserve">円（</t>
    </r>
    <r>
      <rPr>
        <sz val="9"/>
        <rFont val="Arial"/>
        <family val="0"/>
        <charset val="1"/>
      </rPr>
      <t xml:space="preserve">Rimito</t>
    </r>
    <r>
      <rPr>
        <sz val="9"/>
        <rFont val="WenQuanYi Zen Hei"/>
        <family val="2"/>
      </rPr>
      <t xml:space="preserve">社分）に据置。実績に差異がないため修正額も不変。</t>
    </r>
  </si>
  <si>
    <r>
      <rPr>
        <sz val="9"/>
        <rFont val="WenQuanYi Zen Hei"/>
        <family val="2"/>
      </rPr>
      <t xml:space="preserve">④システム利用料：共通部門計上額を売上割合で配賦（ソリューション開発部門を除く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部門を配賦先とする従前ロジックを踏襲）。</t>
    </r>
  </si>
  <si>
    <r>
      <rPr>
        <sz val="9"/>
        <rFont val="WenQuanYi Zen Hei"/>
        <family val="2"/>
      </rPr>
      <t xml:space="preserve">　　共通部門計上額が</t>
    </r>
    <r>
      <rPr>
        <sz val="9"/>
        <rFont val="Arial"/>
        <family val="0"/>
        <charset val="1"/>
      </rPr>
      <t xml:space="preserve">3,300,644</t>
    </r>
    <r>
      <rPr>
        <sz val="9"/>
        <rFont val="WenQuanYi Zen Hei"/>
        <family val="2"/>
      </rPr>
      <t xml:space="preserve">円→</t>
    </r>
    <r>
      <rPr>
        <sz val="9"/>
        <rFont val="Arial"/>
        <family val="0"/>
        <charset val="1"/>
      </rPr>
      <t xml:space="preserve">3,350,430</t>
    </r>
    <r>
      <rPr>
        <sz val="9"/>
        <rFont val="WenQuanYi Zen Hei"/>
        <family val="2"/>
      </rPr>
      <t xml:space="preserve">円（＋</t>
    </r>
    <r>
      <rPr>
        <sz val="9"/>
        <rFont val="Arial"/>
        <family val="0"/>
        <charset val="1"/>
      </rPr>
      <t xml:space="preserve">49,786</t>
    </r>
    <r>
      <rPr>
        <sz val="9"/>
        <rFont val="WenQuanYi Zen Hei"/>
        <family val="2"/>
      </rPr>
      <t xml:space="preserve">円）に増加したため、配賦額も相応に増加。</t>
    </r>
  </si>
  <si>
    <r>
      <rPr>
        <sz val="9"/>
        <rFont val="WenQuanYi Zen Hei"/>
        <family val="2"/>
      </rPr>
      <t xml:space="preserve">　　ソリューション開発部門の</t>
    </r>
    <r>
      <rPr>
        <sz val="9"/>
        <rFont val="Arial"/>
        <family val="0"/>
        <charset val="1"/>
      </rPr>
      <t xml:space="preserve">Salesforce</t>
    </r>
    <r>
      <rPr>
        <sz val="9"/>
        <rFont val="WenQuanYi Zen Hei"/>
        <family val="2"/>
      </rPr>
      <t xml:space="preserve">ライセンス正常化（△</t>
    </r>
    <r>
      <rPr>
        <sz val="9"/>
        <rFont val="Arial"/>
        <family val="0"/>
        <charset val="1"/>
      </rPr>
      <t xml:space="preserve">3,118,200</t>
    </r>
    <r>
      <rPr>
        <sz val="9"/>
        <rFont val="WenQuanYi Zen Hei"/>
        <family val="2"/>
      </rPr>
      <t xml:space="preserve">円／修正後</t>
    </r>
    <r>
      <rPr>
        <sz val="9"/>
        <rFont val="Arial"/>
        <family val="0"/>
        <charset val="1"/>
      </rPr>
      <t xml:space="preserve">3,420,500</t>
    </r>
    <r>
      <rPr>
        <sz val="9"/>
        <rFont val="WenQuanYi Zen Hei"/>
        <family val="2"/>
      </rPr>
      <t xml:space="preserve">円）は不変。</t>
    </r>
  </si>
  <si>
    <r>
      <rPr>
        <sz val="9"/>
        <rFont val="WenQuanYi Zen Hei"/>
        <family val="2"/>
      </rPr>
      <t xml:space="preserve">　　地代家賃</t>
    </r>
    <r>
      <rPr>
        <sz val="9"/>
        <rFont val="Arial"/>
        <family val="0"/>
        <charset val="1"/>
      </rPr>
      <t xml:space="preserve">8,022,600</t>
    </r>
    <r>
      <rPr>
        <sz val="9"/>
        <rFont val="WenQuanYi Zen Hei"/>
        <family val="2"/>
      </rPr>
      <t xml:space="preserve">円・共益費</t>
    </r>
    <r>
      <rPr>
        <sz val="9"/>
        <rFont val="Arial"/>
        <family val="0"/>
        <charset val="1"/>
      </rPr>
      <t xml:space="preserve">1,279,248</t>
    </r>
    <r>
      <rPr>
        <sz val="9"/>
        <rFont val="WenQuanYi Zen Hei"/>
        <family val="2"/>
      </rPr>
      <t xml:space="preserve">円は共通部門計上額に変更がなく、売上割合の微変動のみ反映。</t>
    </r>
  </si>
  <si>
    <r>
      <rPr>
        <sz val="9"/>
        <rFont val="WenQuanYi Zen Hei"/>
        <family val="2"/>
      </rPr>
      <t xml:space="preserve">⑤リース料：</t>
    </r>
    <r>
      <rPr>
        <sz val="9"/>
        <rFont val="Arial"/>
        <family val="0"/>
        <charset val="1"/>
      </rPr>
      <t xml:space="preserve">2,562,129</t>
    </r>
    <r>
      <rPr>
        <sz val="9"/>
        <rFont val="WenQuanYi Zen Hei"/>
        <family val="2"/>
      </rPr>
      <t xml:space="preserve">円を全額広告制作部門へ振替（不変）。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</si>
  <si>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見積り・仮定を含む項目</t>
    </r>
  </si>
  <si>
    <r>
      <rPr>
        <sz val="9"/>
        <rFont val="WenQuanYi Zen Hei"/>
        <family val="2"/>
      </rPr>
      <t xml:space="preserve">・データベースマーケティング部門売上高</t>
    </r>
    <r>
      <rPr>
        <sz val="9"/>
        <rFont val="Arial"/>
        <family val="0"/>
        <charset val="1"/>
      </rPr>
      <t xml:space="preserve">31,732,150</t>
    </r>
    <r>
      <rPr>
        <sz val="9"/>
        <rFont val="WenQuanYi Zen Hei"/>
        <family val="2"/>
      </rPr>
      <t xml:space="preserve">円は、④システム利用料の配賦基準算定に必要となるが、加藤様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には</t>
    </r>
  </si>
  <si>
    <r>
      <rPr>
        <sz val="9"/>
        <rFont val="WenQuanYi Zen Hei"/>
        <family val="2"/>
      </rPr>
      <t xml:space="preserve">　部門内訳がないため、資料側（</t>
    </r>
    <r>
      <rPr>
        <sz val="9"/>
        <rFont val="Arial"/>
        <family val="0"/>
        <charset val="1"/>
      </rPr>
      <t xml:space="preserve">260604</t>
    </r>
    <r>
      <rPr>
        <sz val="9"/>
        <rFont val="WenQuanYi Zen Hei"/>
        <family val="2"/>
      </rPr>
      <t xml:space="preserve">版）の金額を据置いた。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合計売上高が両資料で完全一致（</t>
    </r>
    <r>
      <rPr>
        <sz val="9"/>
        <rFont val="Arial"/>
        <family val="0"/>
        <charset val="1"/>
      </rPr>
      <t xml:space="preserve">166,612,962</t>
    </r>
    <r>
      <rPr>
        <sz val="9"/>
        <rFont val="WenQuanYi Zen Hei"/>
        <family val="2"/>
      </rPr>
      <t xml:space="preserve">円）することから、</t>
    </r>
  </si>
  <si>
    <r>
      <rPr>
        <sz val="9"/>
        <rFont val="WenQuanYi Zen Hei"/>
        <family val="2"/>
      </rPr>
      <t xml:space="preserve">　内訳も不変と判断している。当該前提が変わる場合、システム利用料の配賦額（広告制作</t>
    </r>
    <r>
      <rPr>
        <sz val="9"/>
        <rFont val="Arial"/>
        <family val="0"/>
        <charset val="1"/>
      </rPr>
      <t xml:space="preserve">2,663,122</t>
    </r>
    <r>
      <rPr>
        <sz val="9"/>
        <rFont val="WenQuanYi Zen Hei"/>
        <family val="2"/>
      </rPr>
      <t xml:space="preserve">円／</t>
    </r>
    <r>
      <rPr>
        <sz val="9"/>
        <rFont val="Arial"/>
        <family val="0"/>
        <charset val="1"/>
      </rPr>
      <t xml:space="preserve">DDG△2,430,892</t>
    </r>
    <r>
      <rPr>
        <sz val="9"/>
        <rFont val="WenQuanYi Zen Hei"/>
        <family val="2"/>
      </rPr>
      <t xml:space="preserve">円）が変動する。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</si>
  <si>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部門別損益ファイルの更新</t>
    </r>
  </si>
  <si>
    <r>
      <rPr>
        <sz val="9"/>
        <rFont val="WenQuanYi Zen Hei"/>
        <family val="2"/>
      </rPr>
      <t xml:space="preserve">・「部門別損益</t>
    </r>
    <r>
      <rPr>
        <sz val="9"/>
        <rFont val="Arial"/>
        <family val="0"/>
        <charset val="1"/>
      </rPr>
      <t xml:space="preserve">_FY202507-</t>
    </r>
    <r>
      <rPr>
        <sz val="9"/>
        <rFont val="WenQuanYi Zen Hei"/>
        <family val="2"/>
      </rPr>
      <t xml:space="preserve">第</t>
    </r>
    <r>
      <rPr>
        <sz val="9"/>
        <rFont val="Arial"/>
        <family val="0"/>
        <charset val="1"/>
      </rPr>
      <t xml:space="preserve">55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_260604_</t>
    </r>
    <r>
      <rPr>
        <sz val="9"/>
        <rFont val="WenQuanYi Zen Hei"/>
        <family val="2"/>
      </rPr>
      <t xml:space="preserve">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反映版</t>
    </r>
    <r>
      <rPr>
        <sz val="9"/>
        <rFont val="Arial"/>
        <family val="0"/>
        <charset val="1"/>
      </rPr>
      <t xml:space="preserve">.xlsx</t>
    </r>
    <r>
      <rPr>
        <sz val="9"/>
        <rFont val="WenQuanYi Zen Hei"/>
        <family val="2"/>
      </rPr>
      <t xml:space="preserve">」として、タブ「</t>
    </r>
    <r>
      <rPr>
        <sz val="9"/>
        <rFont val="Arial"/>
        <family val="0"/>
        <charset val="1"/>
      </rPr>
      <t xml:space="preserve">202408-202507</t>
    </r>
    <r>
      <rPr>
        <sz val="9"/>
        <rFont val="WenQuanYi Zen Hei"/>
        <family val="2"/>
      </rPr>
      <t xml:space="preserve">」の実績列（</t>
    </r>
    <r>
      <rPr>
        <sz val="9"/>
        <rFont val="Arial"/>
        <family val="0"/>
        <charset val="1"/>
      </rPr>
      <t xml:space="preserve">B/E/H/K/N</t>
    </r>
    <r>
      <rPr>
        <sz val="9"/>
        <rFont val="WenQuanYi Zen Hei"/>
        <family val="2"/>
      </rPr>
      <t xml:space="preserve">列）のみ数値を更新。</t>
    </r>
  </si>
  <si>
    <t xml:space="preserve">　数式・書式・レイアウトは一切変更していない（修正額①〜⑤は既存数式により自動再計算）。</t>
  </si>
  <si>
    <r>
      <rPr>
        <sz val="9"/>
        <rFont val="WenQuanYi Zen Hei"/>
        <family val="2"/>
      </rPr>
      <t xml:space="preserve">・加藤様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は「広告制作」「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」の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区分のみで部門内訳がないため、差異額は各区分内の部門の既存残高比で按分した：</t>
    </r>
  </si>
  <si>
    <r>
      <rPr>
        <sz val="9"/>
        <rFont val="WenQuanYi Zen Hei"/>
        <family val="2"/>
      </rPr>
      <t xml:space="preserve">　　売上高　＋</t>
    </r>
    <r>
      <rPr>
        <sz val="9"/>
        <rFont val="Arial"/>
        <family val="0"/>
        <charset val="1"/>
      </rPr>
      <t xml:space="preserve">6,875</t>
    </r>
    <r>
      <rPr>
        <sz val="9"/>
        <rFont val="WenQuanYi Zen Hei"/>
        <family val="2"/>
      </rPr>
      <t xml:space="preserve">円 → 企画制作＋</t>
    </r>
    <r>
      <rPr>
        <sz val="9"/>
        <rFont val="Arial"/>
        <family val="0"/>
        <charset val="1"/>
      </rPr>
      <t xml:space="preserve">5,445</t>
    </r>
    <r>
      <rPr>
        <sz val="9"/>
        <rFont val="WenQuanYi Zen Hei"/>
        <family val="2"/>
      </rPr>
      <t xml:space="preserve">円／デジタル制作＋</t>
    </r>
    <r>
      <rPr>
        <sz val="9"/>
        <rFont val="Arial"/>
        <family val="0"/>
        <charset val="1"/>
      </rPr>
      <t xml:space="preserve">1,430</t>
    </r>
    <r>
      <rPr>
        <sz val="9"/>
        <rFont val="WenQuanYi Zen Hei"/>
        <family val="2"/>
      </rPr>
      <t xml:space="preserve">円</t>
    </r>
  </si>
  <si>
    <r>
      <rPr>
        <sz val="9"/>
        <rFont val="WenQuanYi Zen Hei"/>
        <family val="2"/>
      </rPr>
      <t xml:space="preserve">　　外注費　広告制作＋</t>
    </r>
    <r>
      <rPr>
        <sz val="9"/>
        <rFont val="Arial"/>
        <family val="0"/>
        <charset val="1"/>
      </rPr>
      <t xml:space="preserve">168,945</t>
    </r>
    <r>
      <rPr>
        <sz val="9"/>
        <rFont val="WenQuanYi Zen Hei"/>
        <family val="2"/>
      </rPr>
      <t xml:space="preserve">円 → 企画制作＋</t>
    </r>
    <r>
      <rPr>
        <sz val="9"/>
        <rFont val="Arial"/>
        <family val="0"/>
        <charset val="1"/>
      </rPr>
      <t xml:space="preserve">104,727</t>
    </r>
    <r>
      <rPr>
        <sz val="9"/>
        <rFont val="WenQuanYi Zen Hei"/>
        <family val="2"/>
      </rPr>
      <t xml:space="preserve">円／デジタル制作＋</t>
    </r>
    <r>
      <rPr>
        <sz val="9"/>
        <rFont val="Arial"/>
        <family val="0"/>
        <charset val="1"/>
      </rPr>
      <t xml:space="preserve">64,218</t>
    </r>
    <r>
      <rPr>
        <sz val="9"/>
        <rFont val="WenQuanYi Zen Hei"/>
        <family val="2"/>
      </rPr>
      <t xml:space="preserve">円</t>
    </r>
  </si>
  <si>
    <r>
      <rPr>
        <sz val="9"/>
        <rFont val="WenQuanYi Zen Hei"/>
        <family val="2"/>
      </rPr>
      <t xml:space="preserve">　　　　　　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＋</t>
    </r>
    <r>
      <rPr>
        <sz val="9"/>
        <rFont val="Arial"/>
        <family val="0"/>
        <charset val="1"/>
      </rPr>
      <t xml:space="preserve">49,823</t>
    </r>
    <r>
      <rPr>
        <sz val="9"/>
        <rFont val="WenQuanYi Zen Hei"/>
        <family val="2"/>
      </rPr>
      <t xml:space="preserve">円 → ソリューション開発＋</t>
    </r>
    <r>
      <rPr>
        <sz val="9"/>
        <rFont val="Arial"/>
        <family val="0"/>
        <charset val="1"/>
      </rPr>
      <t xml:space="preserve">47,063</t>
    </r>
    <r>
      <rPr>
        <sz val="9"/>
        <rFont val="WenQuanYi Zen Hei"/>
        <family val="2"/>
      </rPr>
      <t xml:space="preserve">円／データベースマーケティング＋</t>
    </r>
    <r>
      <rPr>
        <sz val="9"/>
        <rFont val="Arial"/>
        <family val="0"/>
        <charset val="1"/>
      </rPr>
      <t xml:space="preserve">2,760</t>
    </r>
    <r>
      <rPr>
        <sz val="9"/>
        <rFont val="WenQuanYi Zen Hei"/>
        <family val="2"/>
      </rPr>
      <t xml:space="preserve">円</t>
    </r>
  </si>
  <si>
    <r>
      <rPr>
        <sz val="9"/>
        <rFont val="WenQuanYi Zen Hei"/>
        <family val="2"/>
      </rPr>
      <t xml:space="preserve">　　旅費交通費　広告制作＋</t>
    </r>
    <r>
      <rPr>
        <sz val="9"/>
        <rFont val="Arial"/>
        <family val="0"/>
        <charset val="1"/>
      </rPr>
      <t xml:space="preserve">4,078</t>
    </r>
    <r>
      <rPr>
        <sz val="9"/>
        <rFont val="WenQuanYi Zen Hei"/>
        <family val="2"/>
      </rPr>
      <t xml:space="preserve">円 → 全額企画制作／</t>
    </r>
    <r>
      <rPr>
        <sz val="9"/>
        <rFont val="Arial"/>
        <family val="0"/>
        <charset val="1"/>
      </rPr>
      <t xml:space="preserve">DDG</t>
    </r>
    <r>
      <rPr>
        <sz val="9"/>
        <rFont val="WenQuanYi Zen Hei"/>
        <family val="2"/>
      </rPr>
      <t xml:space="preserve">＋</t>
    </r>
    <r>
      <rPr>
        <sz val="9"/>
        <rFont val="Arial"/>
        <family val="0"/>
        <charset val="1"/>
      </rPr>
      <t xml:space="preserve">256,102</t>
    </r>
    <r>
      <rPr>
        <sz val="9"/>
        <rFont val="WenQuanYi Zen Hei"/>
        <family val="2"/>
      </rPr>
      <t xml:space="preserve">円 → ソリューション開発＋</t>
    </r>
    <r>
      <rPr>
        <sz val="9"/>
        <rFont val="Arial"/>
        <family val="0"/>
        <charset val="1"/>
      </rPr>
      <t xml:space="preserve">211,582</t>
    </r>
    <r>
      <rPr>
        <sz val="9"/>
        <rFont val="WenQuanYi Zen Hei"/>
        <family val="2"/>
      </rPr>
      <t xml:space="preserve">円・</t>
    </r>
    <r>
      <rPr>
        <sz val="9"/>
        <rFont val="Arial"/>
        <family val="0"/>
        <charset val="1"/>
      </rPr>
      <t xml:space="preserve">DB</t>
    </r>
    <r>
      <rPr>
        <sz val="9"/>
        <rFont val="WenQuanYi Zen Hei"/>
        <family val="2"/>
      </rPr>
      <t xml:space="preserve">マーケ＋</t>
    </r>
    <r>
      <rPr>
        <sz val="9"/>
        <rFont val="Arial"/>
        <family val="0"/>
        <charset val="1"/>
      </rPr>
      <t xml:space="preserve">44,520</t>
    </r>
    <r>
      <rPr>
        <sz val="9"/>
        <rFont val="WenQuanYi Zen Hei"/>
        <family val="2"/>
      </rPr>
      <t xml:space="preserve">円</t>
    </r>
  </si>
  <si>
    <r>
      <rPr>
        <sz val="9"/>
        <rFont val="WenQuanYi Zen Hei"/>
        <family val="2"/>
      </rPr>
      <t xml:space="preserve">　　支払手数料　＋</t>
    </r>
    <r>
      <rPr>
        <sz val="9"/>
        <rFont val="Arial"/>
        <family val="0"/>
        <charset val="1"/>
      </rPr>
      <t xml:space="preserve">12,834</t>
    </r>
    <r>
      <rPr>
        <sz val="9"/>
        <rFont val="WenQuanYi Zen Hei"/>
        <family val="2"/>
      </rPr>
      <t xml:space="preserve">円 → 企画制作＋</t>
    </r>
    <r>
      <rPr>
        <sz val="9"/>
        <rFont val="Arial"/>
        <family val="0"/>
        <charset val="1"/>
      </rPr>
      <t xml:space="preserve">10,359</t>
    </r>
    <r>
      <rPr>
        <sz val="9"/>
        <rFont val="WenQuanYi Zen Hei"/>
        <family val="2"/>
      </rPr>
      <t xml:space="preserve">円／デジタル制作＋</t>
    </r>
    <r>
      <rPr>
        <sz val="9"/>
        <rFont val="Arial"/>
        <family val="0"/>
        <charset val="1"/>
      </rPr>
      <t xml:space="preserve">2,475</t>
    </r>
    <r>
      <rPr>
        <sz val="9"/>
        <rFont val="WenQuanYi Zen Hei"/>
        <family val="2"/>
      </rPr>
      <t xml:space="preserve">円</t>
    </r>
  </si>
  <si>
    <r>
      <rPr>
        <sz val="9"/>
        <rFont val="WenQuanYi Zen Hei"/>
        <family val="2"/>
      </rPr>
      <t xml:space="preserve">　　朝日請求＋</t>
    </r>
    <r>
      <rPr>
        <sz val="9"/>
        <rFont val="Arial"/>
        <family val="0"/>
        <charset val="1"/>
      </rPr>
      <t xml:space="preserve">8,315</t>
    </r>
    <r>
      <rPr>
        <sz val="9"/>
        <rFont val="WenQuanYi Zen Hei"/>
        <family val="2"/>
      </rPr>
      <t xml:space="preserve">円→企画制作、交際費＋</t>
    </r>
    <r>
      <rPr>
        <sz val="9"/>
        <rFont val="Arial"/>
        <family val="0"/>
        <charset val="1"/>
      </rPr>
      <t xml:space="preserve">3,704</t>
    </r>
    <r>
      <rPr>
        <sz val="9"/>
        <rFont val="WenQuanYi Zen Hei"/>
        <family val="2"/>
      </rPr>
      <t xml:space="preserve">円・研修費＋</t>
    </r>
    <r>
      <rPr>
        <sz val="9"/>
        <rFont val="Arial"/>
        <family val="0"/>
        <charset val="1"/>
      </rPr>
      <t xml:space="preserve">3,710</t>
    </r>
    <r>
      <rPr>
        <sz val="9"/>
        <rFont val="WenQuanYi Zen Hei"/>
        <family val="2"/>
      </rPr>
      <t xml:space="preserve">円→ソリューション開発（相手部門の残高が</t>
    </r>
    <r>
      <rPr>
        <sz val="9"/>
        <rFont val="Arial"/>
        <family val="0"/>
        <charset val="1"/>
      </rPr>
      <t xml:space="preserve">0</t>
    </r>
    <r>
      <rPr>
        <sz val="9"/>
        <rFont val="WenQuanYi Zen Hei"/>
        <family val="2"/>
      </rPr>
      <t xml:space="preserve">のため）</t>
    </r>
  </si>
  <si>
    <r>
      <rPr>
        <sz val="9"/>
        <rFont val="WenQuanYi Zen Hei"/>
        <family val="2"/>
      </rPr>
      <t xml:space="preserve">・重要：</t>
    </r>
    <r>
      <rPr>
        <sz val="9"/>
        <rFont val="Arial"/>
        <family val="0"/>
        <charset val="1"/>
      </rPr>
      <t xml:space="preserve">p.8</t>
    </r>
    <r>
      <rPr>
        <sz val="9"/>
        <rFont val="WenQuanYi Zen Hei"/>
        <family val="2"/>
      </rPr>
      <t xml:space="preserve">に表示される区分合計（</t>
    </r>
    <r>
      <rPr>
        <sz val="9"/>
        <rFont val="Arial"/>
        <family val="0"/>
        <charset val="1"/>
      </rPr>
      <t xml:space="preserve">Q/T/W</t>
    </r>
    <r>
      <rPr>
        <sz val="9"/>
        <rFont val="WenQuanYi Zen Hei"/>
        <family val="2"/>
      </rPr>
      <t xml:space="preserve">列）および修正額は、上記の部門内按分の方法によらず一意に決まる。</t>
    </r>
  </si>
  <si>
    <r>
      <rPr>
        <sz val="9"/>
        <rFont val="WenQuanYi Zen Hei"/>
        <family val="2"/>
      </rPr>
      <t xml:space="preserve">　（システム利用料の配賦基準</t>
    </r>
    <r>
      <rPr>
        <sz val="9"/>
        <rFont val="Arial"/>
        <family val="0"/>
        <charset val="1"/>
      </rPr>
      <t xml:space="preserve">L1</t>
    </r>
    <r>
      <rPr>
        <sz val="9"/>
        <rFont val="WenQuanYi Zen Hei"/>
        <family val="2"/>
      </rPr>
      <t xml:space="preserve">＝広告制作売上＋</t>
    </r>
    <r>
      <rPr>
        <sz val="9"/>
        <rFont val="Arial"/>
        <family val="0"/>
        <charset val="1"/>
      </rPr>
      <t xml:space="preserve">DB</t>
    </r>
    <r>
      <rPr>
        <sz val="9"/>
        <rFont val="WenQuanYi Zen Hei"/>
        <family val="2"/>
      </rPr>
      <t xml:space="preserve">マーケ売上、地代家賃・共益費の配賦基準</t>
    </r>
    <r>
      <rPr>
        <sz val="9"/>
        <rFont val="Arial"/>
        <family val="0"/>
        <charset val="1"/>
      </rPr>
      <t xml:space="preserve">M1</t>
    </r>
    <r>
      <rPr>
        <sz val="9"/>
        <rFont val="WenQuanYi Zen Hei"/>
        <family val="2"/>
      </rPr>
      <t xml:space="preserve">＝対象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事業売上合計であり、</t>
    </r>
  </si>
  <si>
    <r>
      <rPr>
        <sz val="9"/>
        <rFont val="WenQuanYi Zen Hei"/>
        <family val="2"/>
      </rPr>
      <t xml:space="preserve">　　いずれも区分内の内訳に依存しないため。）按分方法の変更は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部門別の内訳表示にのみ影響する。</t>
    </r>
  </si>
  <si>
    <r>
      <rPr>
        <sz val="9"/>
        <rFont val="WenQuanYi Zen Hei"/>
        <family val="2"/>
      </rPr>
      <t xml:space="preserve">・全社営業利益は△</t>
    </r>
    <r>
      <rPr>
        <sz val="9"/>
        <rFont val="Arial"/>
        <family val="0"/>
        <charset val="1"/>
      </rPr>
      <t xml:space="preserve">40,127,821</t>
    </r>
    <r>
      <rPr>
        <sz val="9"/>
        <rFont val="WenQuanYi Zen Hei"/>
        <family val="2"/>
      </rPr>
      <t xml:space="preserve">円（賃料収入</t>
    </r>
    <r>
      <rPr>
        <sz val="9"/>
        <rFont val="Arial"/>
        <family val="0"/>
        <charset val="1"/>
      </rPr>
      <t xml:space="preserve">13,200,000</t>
    </r>
    <r>
      <rPr>
        <sz val="9"/>
        <rFont val="WenQuanYi Zen Hei"/>
        <family val="2"/>
      </rPr>
      <t xml:space="preserve">円を含む）となり、加藤様</t>
    </r>
    <r>
      <rPr>
        <sz val="9"/>
        <rFont val="Arial"/>
        <family val="0"/>
        <charset val="1"/>
      </rPr>
      <t xml:space="preserve">Excel△53,327,821</t>
    </r>
    <r>
      <rPr>
        <sz val="9"/>
        <rFont val="WenQuanYi Zen Hei"/>
        <family val="2"/>
      </rPr>
      <t xml:space="preserve">円との差は</t>
    </r>
  </si>
  <si>
    <r>
      <rPr>
        <sz val="9"/>
        <rFont val="WenQuanYi Zen Hei"/>
        <family val="2"/>
      </rPr>
      <t xml:space="preserve">　賃料収入</t>
    </r>
    <r>
      <rPr>
        <sz val="9"/>
        <rFont val="Arial"/>
        <family val="0"/>
        <charset val="1"/>
      </rPr>
      <t xml:space="preserve">13,200,000</t>
    </r>
    <r>
      <rPr>
        <sz val="9"/>
        <rFont val="WenQuanYi Zen Hei"/>
        <family val="2"/>
      </rPr>
      <t xml:space="preserve">円と完全一致（不動産賃貸事業は譲渡対象外のため加藤様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では対象外）。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</si>
  <si>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未反映事項（要確認）</t>
    </r>
  </si>
  <si>
    <r>
      <rPr>
        <sz val="9"/>
        <rFont val="WenQuanYi Zen Hei"/>
        <family val="2"/>
      </rPr>
      <t xml:space="preserve">・資料</t>
    </r>
    <r>
      <rPr>
        <sz val="9"/>
        <rFont val="Arial"/>
        <family val="0"/>
        <charset val="1"/>
      </rPr>
      <t xml:space="preserve">p.7</t>
    </r>
    <r>
      <rPr>
        <sz val="9"/>
        <rFont val="WenQuanYi Zen Hei"/>
        <family val="2"/>
      </rPr>
      <t xml:space="preserve">「財務ハイライト（部門別売上推移）」は未更新。上記按分によれば企画制作</t>
    </r>
    <r>
      <rPr>
        <sz val="9"/>
        <rFont val="Arial"/>
        <family val="0"/>
        <charset val="1"/>
      </rPr>
      <t xml:space="preserve">97,380</t>
    </r>
    <r>
      <rPr>
        <sz val="9"/>
        <rFont val="WenQuanYi Zen Hei"/>
        <family val="2"/>
      </rPr>
      <t xml:space="preserve">千円／デジタル制作</t>
    </r>
    <r>
      <rPr>
        <sz val="9"/>
        <rFont val="Arial"/>
        <family val="0"/>
        <charset val="1"/>
      </rPr>
      <t xml:space="preserve">25,573</t>
    </r>
    <r>
      <rPr>
        <sz val="9"/>
        <rFont val="WenQuanYi Zen Hei"/>
        <family val="2"/>
      </rPr>
      <t xml:space="preserve">千円</t>
    </r>
  </si>
  <si>
    <r>
      <rPr>
        <sz val="9"/>
        <rFont val="WenQuanYi Zen Hei"/>
        <family val="2"/>
      </rPr>
      <t xml:space="preserve">　（合計</t>
    </r>
    <r>
      <rPr>
        <sz val="9"/>
        <rFont val="Arial"/>
        <family val="0"/>
        <charset val="1"/>
      </rPr>
      <t xml:space="preserve">302,766</t>
    </r>
    <r>
      <rPr>
        <sz val="9"/>
        <rFont val="WenQuanYi Zen Hei"/>
        <family val="2"/>
      </rPr>
      <t xml:space="preserve">千円）となるが、＋</t>
    </r>
    <r>
      <rPr>
        <sz val="9"/>
        <rFont val="Arial"/>
        <family val="0"/>
        <charset val="1"/>
      </rPr>
      <t xml:space="preserve">6,875</t>
    </r>
    <r>
      <rPr>
        <sz val="9"/>
        <rFont val="WenQuanYi Zen Hei"/>
        <family val="2"/>
      </rPr>
      <t xml:space="preserve">円の実際の帰属部門は加藤様にご確認いただく必要がある。</t>
    </r>
  </si>
  <si>
    <r>
      <rPr>
        <sz val="9"/>
        <rFont val="WenQuanYi Zen Hei"/>
        <family val="2"/>
      </rPr>
      <t xml:space="preserve">・共通部門の売上高△</t>
    </r>
    <r>
      <rPr>
        <sz val="9"/>
        <rFont val="Arial"/>
        <family val="0"/>
        <charset val="1"/>
      </rPr>
      <t xml:space="preserve">708,100</t>
    </r>
    <r>
      <rPr>
        <sz val="9"/>
        <rFont val="WenQuanYi Zen Hei"/>
        <family val="2"/>
      </rPr>
      <t xml:space="preserve">円は加藤様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に基づき反映したが、内容（売上値引・返金等）は未確認。</t>
    </r>
  </si>
  <si>
    <r>
      <rPr>
        <sz val="9"/>
        <rFont val="WenQuanYi Zen Hei"/>
        <family val="2"/>
      </rPr>
      <t xml:space="preserve">　譲渡対象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事業の数値には影響しない。</t>
    </r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</si>
  <si>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既存ファイルの既知の不具合（今回の更新とは無関係）</t>
    </r>
  </si>
  <si>
    <r>
      <rPr>
        <sz val="9"/>
        <rFont val="WenQuanYi Zen Hei"/>
        <family val="2"/>
      </rPr>
      <t xml:space="preserve">・タブ「</t>
    </r>
    <r>
      <rPr>
        <sz val="9"/>
        <rFont val="Arial"/>
        <family val="0"/>
        <charset val="1"/>
      </rPr>
      <t xml:space="preserve">202208-12</t>
    </r>
    <r>
      <rPr>
        <sz val="9"/>
        <rFont val="WenQuanYi Zen Hei"/>
        <family val="2"/>
      </rPr>
      <t xml:space="preserve">分</t>
    </r>
    <r>
      <rPr>
        <sz val="9"/>
        <rFont val="Arial"/>
        <family val="0"/>
        <charset val="1"/>
      </rPr>
      <t xml:space="preserve">_</t>
    </r>
    <r>
      <rPr>
        <sz val="9"/>
        <rFont val="WenQuanYi Zen Hei"/>
        <family val="2"/>
      </rPr>
      <t xml:space="preserve">検証用</t>
    </r>
    <r>
      <rPr>
        <sz val="9"/>
        <rFont val="Arial"/>
        <family val="0"/>
        <charset val="1"/>
      </rPr>
      <t xml:space="preserve">2_diff</t>
    </r>
    <r>
      <rPr>
        <sz val="9"/>
        <rFont val="WenQuanYi Zen Hei"/>
        <family val="2"/>
      </rPr>
      <t xml:space="preserve">」は参照先シートが削除済みのため全</t>
    </r>
    <r>
      <rPr>
        <sz val="9"/>
        <rFont val="Arial"/>
        <family val="0"/>
        <charset val="1"/>
      </rPr>
      <t xml:space="preserve">980</t>
    </r>
    <r>
      <rPr>
        <sz val="9"/>
        <rFont val="WenQuanYi Zen Hei"/>
        <family val="2"/>
      </rPr>
      <t xml:space="preserve">セルが参照エラー（＃</t>
    </r>
    <r>
      <rPr>
        <sz val="9"/>
        <rFont val="Arial"/>
        <family val="0"/>
        <charset val="1"/>
      </rPr>
      <t xml:space="preserve">REF</t>
    </r>
    <r>
      <rPr>
        <sz val="9"/>
        <rFont val="WenQuanYi Zen Hei"/>
        <family val="2"/>
      </rPr>
      <t xml:space="preserve">！）。原本から同一の状態。</t>
    </r>
  </si>
  <si>
    <r>
      <rPr>
        <sz val="9"/>
        <rFont val="WenQuanYi Zen Hei"/>
        <family val="2"/>
      </rPr>
      <t xml:space="preserve">・企業概要書</t>
    </r>
    <r>
      <rPr>
        <sz val="9"/>
        <rFont val="Arial"/>
        <family val="0"/>
        <charset val="1"/>
      </rPr>
      <t xml:space="preserve">.pptx</t>
    </r>
    <r>
      <rPr>
        <sz val="9"/>
        <rFont val="WenQuanYi Zen Hei"/>
        <family val="2"/>
      </rPr>
      <t xml:space="preserve">のスライド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11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21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34</t>
    </r>
    <r>
      <rPr>
        <sz val="9"/>
        <rFont val="WenQuanYi Zen Hei"/>
        <family val="2"/>
      </rPr>
      <t xml:space="preserve">は画像リレーションが</t>
    </r>
    <r>
      <rPr>
        <sz val="9"/>
        <rFont val="Arial"/>
        <family val="0"/>
        <charset val="1"/>
      </rPr>
      <t xml:space="preserve">Target="NULL"</t>
    </r>
    <r>
      <rPr>
        <sz val="9"/>
        <rFont val="WenQuanYi Zen Hei"/>
        <family val="2"/>
      </rPr>
      <t xml:space="preserve">で破損。原本から同一の状態。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</si>
</sst>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WenQuanYi Zen Hei"/>
      <family val="2"/>
    </font>
    <font>
      <b val="true"/>
      <sz val="14"/>
      <color rgb="FF1E2761"/>
      <name val="Arial"/>
      <family val="0"/>
      <charset val="1"/>
    </font>
    <font>
      <i val="true"/>
      <sz val="9"/>
      <color rgb="FF555555"/>
      <name val="WenQuanYi Zen Hei"/>
      <family val="2"/>
    </font>
    <font>
      <i val="true"/>
      <sz val="9"/>
      <color rgb="FF555555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0"/>
      <color rgb="FF1E2761"/>
      <name val="WenQuanYi Zen Hei"/>
      <family val="2"/>
    </font>
    <font>
      <b val="true"/>
      <sz val="10"/>
      <color rgb="FF1E2761"/>
      <name val="Arial"/>
      <family val="0"/>
      <charset val="1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b val="true"/>
      <sz val="13"/>
      <color rgb="FF1E2761"/>
      <name val="WenQuanYi Zen Hei"/>
      <family val="2"/>
    </font>
    <font>
      <b val="true"/>
      <sz val="13"/>
      <color rgb="FF1E2761"/>
      <name val="Arial"/>
      <family val="0"/>
      <charset val="1"/>
    </font>
    <font>
      <b val="true"/>
      <sz val="10"/>
      <color rgb="FFC00000"/>
      <name val="WenQuanYi Zen Hei"/>
      <family val="2"/>
    </font>
    <font>
      <b val="true"/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0"/>
    <col collapsed="false" customWidth="true" hidden="false" outlineLevel="0" max="6" min="6" style="0" width="32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5"/>
    </row>
    <row r="6" customFormat="false" ht="15" hidden="false" customHeight="false" outlineLevel="0" collapsed="false">
      <c r="A6" s="6" t="s">
        <v>8</v>
      </c>
      <c r="B6" s="7" t="n">
        <v>17039126</v>
      </c>
      <c r="C6" s="7" t="n">
        <v>16851829</v>
      </c>
      <c r="D6" s="7" t="n">
        <f aca="false">C6-B6</f>
        <v>-187297</v>
      </c>
      <c r="E6" s="8" t="n">
        <f aca="false">IFERROR(D6/B6,"")</f>
        <v>-0.0109921717815808</v>
      </c>
      <c r="F6" s="5"/>
    </row>
    <row r="7" customFormat="false" ht="15" hidden="false" customHeight="false" outlineLevel="0" collapsed="false">
      <c r="A7" s="5" t="s">
        <v>9</v>
      </c>
      <c r="B7" s="7" t="n">
        <v>25414519</v>
      </c>
      <c r="C7" s="7" t="n">
        <v>25101180</v>
      </c>
      <c r="D7" s="7" t="n">
        <f aca="false">C7-B7</f>
        <v>-313339</v>
      </c>
      <c r="E7" s="8" t="n">
        <f aca="false">IFERROR(D7/B7,"")</f>
        <v>-0.0123291335948558</v>
      </c>
      <c r="F7" s="5"/>
    </row>
    <row r="8" customFormat="false" ht="15" hidden="false" customHeight="false" outlineLevel="0" collapsed="false">
      <c r="A8" s="9" t="s">
        <v>10</v>
      </c>
      <c r="B8" s="10" t="n">
        <f aca="false">SUM(B6:B7)</f>
        <v>42453645</v>
      </c>
      <c r="C8" s="10" t="n">
        <f aca="false">SUM(C6:C7)</f>
        <v>41953009</v>
      </c>
      <c r="D8" s="10" t="n">
        <f aca="false">C8-B8</f>
        <v>-500636</v>
      </c>
      <c r="E8" s="11" t="n">
        <f aca="false">IFERROR(D8/B8,"")</f>
        <v>-0.0117925327730988</v>
      </c>
      <c r="F8" s="5"/>
    </row>
    <row r="9" customFormat="false" ht="15" hidden="false" customHeight="false" outlineLevel="0" collapsed="false">
      <c r="A9" s="5"/>
      <c r="B9" s="7"/>
      <c r="C9" s="7"/>
      <c r="D9" s="7"/>
      <c r="E9" s="5"/>
      <c r="F9" s="5"/>
    </row>
    <row r="10" customFormat="false" ht="15" hidden="false" customHeight="false" outlineLevel="0" collapsed="false">
      <c r="A10" s="3" t="s">
        <v>11</v>
      </c>
      <c r="B10" s="7"/>
      <c r="C10" s="7"/>
      <c r="D10" s="7"/>
      <c r="E10" s="5"/>
      <c r="F10" s="5"/>
    </row>
    <row r="11" customFormat="false" ht="15" hidden="false" customHeight="false" outlineLevel="0" collapsed="false">
      <c r="A11" s="4" t="s">
        <v>3</v>
      </c>
      <c r="B11" s="12" t="s">
        <v>8</v>
      </c>
      <c r="C11" s="13" t="s">
        <v>12</v>
      </c>
      <c r="D11" s="12" t="s">
        <v>10</v>
      </c>
      <c r="E11" s="4" t="s">
        <v>13</v>
      </c>
      <c r="F11" s="5"/>
    </row>
    <row r="12" customFormat="false" ht="15" hidden="false" customHeight="false" outlineLevel="0" collapsed="false">
      <c r="A12" s="14" t="s">
        <v>14</v>
      </c>
      <c r="B12" s="15" t="n">
        <f aca="false">B6</f>
        <v>17039126</v>
      </c>
      <c r="C12" s="15" t="n">
        <f aca="false">B7</f>
        <v>25414519</v>
      </c>
      <c r="D12" s="15" t="n">
        <f aca="false">B12+C12</f>
        <v>42453645</v>
      </c>
      <c r="E12" s="5"/>
      <c r="F12" s="5"/>
    </row>
    <row r="13" customFormat="false" ht="15" hidden="false" customHeight="false" outlineLevel="0" collapsed="false">
      <c r="A13" s="6" t="s">
        <v>15</v>
      </c>
      <c r="B13" s="7" t="n">
        <v>6875</v>
      </c>
      <c r="C13" s="7" t="n">
        <v>0</v>
      </c>
      <c r="D13" s="7" t="n">
        <f aca="false">B13+C13</f>
        <v>6875</v>
      </c>
      <c r="E13" s="6" t="s">
        <v>16</v>
      </c>
      <c r="F13" s="5"/>
    </row>
    <row r="14" customFormat="false" ht="15" hidden="false" customHeight="false" outlineLevel="0" collapsed="false">
      <c r="A14" s="6" t="s">
        <v>17</v>
      </c>
      <c r="B14" s="7" t="n">
        <v>-168945</v>
      </c>
      <c r="C14" s="7" t="n">
        <v>-49823</v>
      </c>
      <c r="D14" s="7" t="n">
        <f aca="false">B14+C14</f>
        <v>-218768</v>
      </c>
      <c r="E14" s="6" t="s">
        <v>18</v>
      </c>
      <c r="F14" s="5"/>
    </row>
    <row r="15" customFormat="false" ht="15" hidden="false" customHeight="false" outlineLevel="0" collapsed="false">
      <c r="A15" s="6" t="s">
        <v>19</v>
      </c>
      <c r="B15" s="7" t="n">
        <v>-8315</v>
      </c>
      <c r="C15" s="7" t="n">
        <v>0</v>
      </c>
      <c r="D15" s="7" t="n">
        <f aca="false">B15+C15</f>
        <v>-8315</v>
      </c>
      <c r="E15" s="6" t="s">
        <v>18</v>
      </c>
      <c r="F15" s="5"/>
    </row>
    <row r="16" customFormat="false" ht="15" hidden="false" customHeight="false" outlineLevel="0" collapsed="false">
      <c r="A16" s="6" t="s">
        <v>20</v>
      </c>
      <c r="B16" s="7" t="n">
        <v>0</v>
      </c>
      <c r="C16" s="7" t="n">
        <v>-3704</v>
      </c>
      <c r="D16" s="7" t="n">
        <f aca="false">B16+C16</f>
        <v>-3704</v>
      </c>
      <c r="E16" s="6" t="s">
        <v>18</v>
      </c>
      <c r="F16" s="5"/>
    </row>
    <row r="17" customFormat="false" ht="15" hidden="false" customHeight="false" outlineLevel="0" collapsed="false">
      <c r="A17" s="6" t="s">
        <v>21</v>
      </c>
      <c r="B17" s="7" t="n">
        <v>-4078</v>
      </c>
      <c r="C17" s="7" t="n">
        <v>-256102</v>
      </c>
      <c r="D17" s="7" t="n">
        <f aca="false">B17+C17</f>
        <v>-260180</v>
      </c>
      <c r="E17" s="6" t="s">
        <v>18</v>
      </c>
      <c r="F17" s="5"/>
    </row>
    <row r="18" customFormat="false" ht="15" hidden="false" customHeight="false" outlineLevel="0" collapsed="false">
      <c r="A18" s="6" t="s">
        <v>22</v>
      </c>
      <c r="B18" s="7" t="n">
        <v>-12834</v>
      </c>
      <c r="C18" s="7" t="n">
        <v>0</v>
      </c>
      <c r="D18" s="7" t="n">
        <f aca="false">B18+C18</f>
        <v>-12834</v>
      </c>
      <c r="E18" s="6" t="s">
        <v>18</v>
      </c>
      <c r="F18" s="5"/>
    </row>
    <row r="19" customFormat="false" ht="15" hidden="false" customHeight="false" outlineLevel="0" collapsed="false">
      <c r="A19" s="6" t="s">
        <v>23</v>
      </c>
      <c r="B19" s="7" t="n">
        <v>0</v>
      </c>
      <c r="C19" s="7" t="n">
        <v>-3710</v>
      </c>
      <c r="D19" s="7" t="n">
        <f aca="false">B19+C19</f>
        <v>-3710</v>
      </c>
      <c r="E19" s="6" t="s">
        <v>18</v>
      </c>
      <c r="F19" s="5"/>
    </row>
    <row r="20" customFormat="false" ht="15" hidden="false" customHeight="false" outlineLevel="0" collapsed="false">
      <c r="A20" s="9" t="s">
        <v>24</v>
      </c>
      <c r="B20" s="10" t="n">
        <f aca="false">SUM(B13:B19)</f>
        <v>-187297</v>
      </c>
      <c r="C20" s="10" t="n">
        <f aca="false">SUM(C13:C19)</f>
        <v>-313339</v>
      </c>
      <c r="D20" s="10" t="n">
        <f aca="false">SUM(D13:D19)</f>
        <v>-500636</v>
      </c>
      <c r="E20" s="9"/>
      <c r="F20" s="5"/>
    </row>
    <row r="21" customFormat="false" ht="15" hidden="false" customHeight="false" outlineLevel="0" collapsed="false">
      <c r="A21" s="16" t="s">
        <v>25</v>
      </c>
      <c r="B21" s="17" t="n">
        <f aca="false">B12+B20</f>
        <v>16851829</v>
      </c>
      <c r="C21" s="17" t="n">
        <f aca="false">C12+C20</f>
        <v>25101180</v>
      </c>
      <c r="D21" s="17" t="n">
        <f aca="false">B21+C21</f>
        <v>41953009</v>
      </c>
      <c r="E21" s="16" t="s">
        <v>26</v>
      </c>
      <c r="F21" s="5"/>
    </row>
    <row r="22" customFormat="false" ht="15" hidden="false" customHeight="false" outlineLevel="0" collapsed="false">
      <c r="A22" s="18" t="s">
        <v>27</v>
      </c>
      <c r="B22" s="19" t="n">
        <f aca="false">B21-C6</f>
        <v>0</v>
      </c>
      <c r="C22" s="19" t="n">
        <f aca="false">C21-C7</f>
        <v>0</v>
      </c>
      <c r="D22" s="19" t="n">
        <f aca="false">D21-C8</f>
        <v>0</v>
      </c>
      <c r="E22" s="20" t="s">
        <v>28</v>
      </c>
      <c r="F22" s="5"/>
    </row>
    <row r="24" customFormat="false" ht="15" hidden="false" customHeight="false" outlineLevel="0" collapsed="false">
      <c r="A24" s="14" t="s">
        <v>29</v>
      </c>
    </row>
    <row r="25" customFormat="false" ht="15" hidden="false" customHeight="false" outlineLevel="0" collapsed="false">
      <c r="A25" s="21" t="s">
        <v>30</v>
      </c>
    </row>
    <row r="26" customFormat="false" ht="15" hidden="false" customHeight="false" outlineLevel="0" collapsed="false">
      <c r="A26" s="21" t="s">
        <v>31</v>
      </c>
    </row>
    <row r="27" customFormat="false" ht="15" hidden="false" customHeight="false" outlineLevel="0" collapsed="false">
      <c r="A27" s="21" t="s">
        <v>32</v>
      </c>
    </row>
    <row r="28" customFormat="false" ht="15" hidden="false" customHeight="false" outlineLevel="0" collapsed="false">
      <c r="A28" s="2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6"/>
  </cols>
  <sheetData>
    <row r="1" customFormat="false" ht="17.15" hidden="false" customHeight="false" outlineLevel="0" collapsed="false">
      <c r="A1" s="22" t="s">
        <v>34</v>
      </c>
    </row>
    <row r="2" customFormat="false" ht="15" hidden="false" customHeight="false" outlineLevel="0" collapsed="false">
      <c r="A2" s="2" t="s">
        <v>35</v>
      </c>
    </row>
    <row r="4" customFormat="false" ht="31.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23" t="s">
        <v>40</v>
      </c>
      <c r="F4" s="23" t="s">
        <v>41</v>
      </c>
      <c r="G4" s="23" t="s">
        <v>42</v>
      </c>
      <c r="H4" s="4" t="s">
        <v>43</v>
      </c>
      <c r="I4" s="4" t="s">
        <v>44</v>
      </c>
      <c r="J4" s="4" t="s">
        <v>45</v>
      </c>
    </row>
    <row r="5" customFormat="false" ht="15" hidden="false" customHeight="false" outlineLevel="0" collapsed="false">
      <c r="A5" s="24" t="s">
        <v>46</v>
      </c>
      <c r="B5" s="25" t="n">
        <v>122946118</v>
      </c>
      <c r="C5" s="25" t="n">
        <v>122952993</v>
      </c>
      <c r="D5" s="25" t="n">
        <f aca="false">C5-B5</f>
        <v>6875</v>
      </c>
      <c r="E5" s="25" t="n">
        <v>166612962</v>
      </c>
      <c r="F5" s="25" t="n">
        <v>166612962</v>
      </c>
      <c r="G5" s="25" t="n">
        <f aca="false">F5-E5</f>
        <v>0</v>
      </c>
      <c r="H5" s="25" t="n">
        <v>13200000</v>
      </c>
      <c r="I5" s="25" t="n">
        <v>-708100</v>
      </c>
      <c r="J5" s="25" t="n">
        <f aca="false">I5-H5</f>
        <v>-13908100</v>
      </c>
    </row>
    <row r="6" customFormat="false" ht="15" hidden="false" customHeight="false" outlineLevel="0" collapsed="false">
      <c r="A6" s="24" t="s">
        <v>47</v>
      </c>
      <c r="B6" s="25" t="n">
        <v>0</v>
      </c>
      <c r="C6" s="25" t="n">
        <v>0</v>
      </c>
      <c r="D6" s="25" t="n">
        <f aca="false">C6-B6</f>
        <v>0</v>
      </c>
      <c r="E6" s="25" t="n">
        <v>0</v>
      </c>
      <c r="F6" s="25" t="n">
        <v>0</v>
      </c>
      <c r="G6" s="25" t="n">
        <f aca="false">F6-E6</f>
        <v>0</v>
      </c>
      <c r="H6" s="25" t="n">
        <v>12000000</v>
      </c>
      <c r="I6" s="25" t="n">
        <v>12000000</v>
      </c>
      <c r="J6" s="25" t="n">
        <f aca="false">I6-H6</f>
        <v>0</v>
      </c>
    </row>
    <row r="7" customFormat="false" ht="15" hidden="false" customHeight="false" outlineLevel="0" collapsed="false">
      <c r="A7" s="24" t="s">
        <v>48</v>
      </c>
      <c r="B7" s="25" t="n">
        <v>41333203</v>
      </c>
      <c r="C7" s="25" t="n">
        <v>41333203</v>
      </c>
      <c r="D7" s="25" t="n">
        <f aca="false">C7-B7</f>
        <v>0</v>
      </c>
      <c r="E7" s="25" t="n">
        <v>38654333</v>
      </c>
      <c r="F7" s="25" t="n">
        <v>38654333</v>
      </c>
      <c r="G7" s="25" t="n">
        <f aca="false">F7-E7</f>
        <v>0</v>
      </c>
      <c r="H7" s="25" t="n">
        <v>27553741</v>
      </c>
      <c r="I7" s="25" t="n">
        <v>27553741</v>
      </c>
      <c r="J7" s="25" t="n">
        <f aca="false">I7-H7</f>
        <v>0</v>
      </c>
    </row>
    <row r="8" customFormat="false" ht="15" hidden="false" customHeight="false" outlineLevel="0" collapsed="false">
      <c r="A8" s="24" t="s">
        <v>49</v>
      </c>
      <c r="B8" s="25" t="n">
        <v>6747876</v>
      </c>
      <c r="C8" s="25" t="n">
        <v>6747876</v>
      </c>
      <c r="D8" s="25" t="n">
        <f aca="false">C8-B8</f>
        <v>0</v>
      </c>
      <c r="E8" s="25" t="n">
        <v>5754394</v>
      </c>
      <c r="F8" s="25" t="n">
        <v>5754394</v>
      </c>
      <c r="G8" s="25" t="n">
        <f aca="false">F8-E8</f>
        <v>0</v>
      </c>
      <c r="H8" s="25" t="n">
        <v>5534023</v>
      </c>
      <c r="I8" s="25" t="n">
        <v>5310548</v>
      </c>
      <c r="J8" s="25" t="n">
        <f aca="false">I8-H8</f>
        <v>-223475</v>
      </c>
    </row>
    <row r="9" customFormat="false" ht="15" hidden="false" customHeight="false" outlineLevel="0" collapsed="false">
      <c r="A9" s="24" t="s">
        <v>50</v>
      </c>
      <c r="B9" s="25" t="n">
        <v>732000</v>
      </c>
      <c r="C9" s="25" t="n">
        <v>732000</v>
      </c>
      <c r="D9" s="25" t="n">
        <f aca="false">C9-B9</f>
        <v>0</v>
      </c>
      <c r="E9" s="25" t="n">
        <v>269000</v>
      </c>
      <c r="F9" s="25" t="n">
        <v>269000</v>
      </c>
      <c r="G9" s="25" t="n">
        <f aca="false">F9-E9</f>
        <v>0</v>
      </c>
      <c r="H9" s="25" t="n">
        <v>228000</v>
      </c>
      <c r="I9" s="25" t="n">
        <v>228000</v>
      </c>
      <c r="J9" s="25" t="n">
        <f aca="false">I9-H9</f>
        <v>0</v>
      </c>
    </row>
    <row r="10" customFormat="false" ht="15" hidden="false" customHeight="false" outlineLevel="0" collapsed="false">
      <c r="A10" s="24" t="s">
        <v>51</v>
      </c>
      <c r="B10" s="25" t="n">
        <v>127981</v>
      </c>
      <c r="C10" s="25" t="n">
        <v>127981</v>
      </c>
      <c r="D10" s="25" t="n">
        <f aca="false">C10-B10</f>
        <v>0</v>
      </c>
      <c r="E10" s="25" t="n">
        <v>44204</v>
      </c>
      <c r="F10" s="25" t="n">
        <v>44204</v>
      </c>
      <c r="G10" s="25" t="n">
        <f aca="false">F10-E10</f>
        <v>0</v>
      </c>
      <c r="H10" s="25" t="n">
        <v>716977</v>
      </c>
      <c r="I10" s="25" t="n">
        <v>716977</v>
      </c>
      <c r="J10" s="25" t="n">
        <f aca="false">I10-H10</f>
        <v>0</v>
      </c>
    </row>
    <row r="11" customFormat="false" ht="15" hidden="false" customHeight="false" outlineLevel="0" collapsed="false">
      <c r="A11" s="24" t="s">
        <v>52</v>
      </c>
      <c r="B11" s="25" t="n">
        <v>1091202</v>
      </c>
      <c r="C11" s="25" t="n">
        <v>1091202</v>
      </c>
      <c r="D11" s="25" t="n">
        <f aca="false">C11-B11</f>
        <v>0</v>
      </c>
      <c r="E11" s="25" t="n">
        <v>800850</v>
      </c>
      <c r="F11" s="25" t="n">
        <v>800850</v>
      </c>
      <c r="G11" s="25" t="n">
        <f aca="false">F11-E11</f>
        <v>0</v>
      </c>
      <c r="H11" s="25" t="n">
        <v>137876</v>
      </c>
      <c r="I11" s="25" t="n">
        <v>137405</v>
      </c>
      <c r="J11" s="25" t="n">
        <f aca="false">I11-H11</f>
        <v>-471</v>
      </c>
    </row>
    <row r="12" customFormat="false" ht="15" hidden="false" customHeight="false" outlineLevel="0" collapsed="false">
      <c r="A12" s="24" t="s">
        <v>53</v>
      </c>
      <c r="B12" s="25" t="n">
        <v>0</v>
      </c>
      <c r="C12" s="25" t="n">
        <v>0</v>
      </c>
      <c r="D12" s="25" t="n">
        <f aca="false">C12-B12</f>
        <v>0</v>
      </c>
      <c r="E12" s="25" t="n">
        <v>5277000</v>
      </c>
      <c r="F12" s="25" t="n">
        <v>5277000</v>
      </c>
      <c r="G12" s="25" t="n">
        <f aca="false">F12-E12</f>
        <v>0</v>
      </c>
      <c r="H12" s="25" t="n">
        <v>0</v>
      </c>
      <c r="I12" s="25" t="n">
        <v>0</v>
      </c>
      <c r="J12" s="25" t="n">
        <f aca="false">I12-H12</f>
        <v>0</v>
      </c>
    </row>
    <row r="13" customFormat="false" ht="15" hidden="false" customHeight="false" outlineLevel="0" collapsed="false">
      <c r="A13" s="24" t="s">
        <v>54</v>
      </c>
      <c r="B13" s="25" t="n">
        <v>26827995</v>
      </c>
      <c r="C13" s="25" t="n">
        <v>26996940</v>
      </c>
      <c r="D13" s="25" t="n">
        <f aca="false">C13-B13</f>
        <v>168945</v>
      </c>
      <c r="E13" s="25" t="n">
        <v>54233662</v>
      </c>
      <c r="F13" s="25" t="n">
        <v>54283485</v>
      </c>
      <c r="G13" s="25" t="n">
        <f aca="false">F13-E13</f>
        <v>49823</v>
      </c>
      <c r="H13" s="25" t="n">
        <v>0</v>
      </c>
      <c r="I13" s="25" t="n">
        <v>74032</v>
      </c>
      <c r="J13" s="25" t="n">
        <f aca="false">I13-H13</f>
        <v>74032</v>
      </c>
    </row>
    <row r="14" customFormat="false" ht="15" hidden="false" customHeight="false" outlineLevel="0" collapsed="false">
      <c r="A14" s="24" t="s">
        <v>55</v>
      </c>
      <c r="B14" s="25" t="n">
        <v>257295</v>
      </c>
      <c r="C14" s="25" t="n">
        <v>265610</v>
      </c>
      <c r="D14" s="25" t="n">
        <f aca="false">C14-B14</f>
        <v>8315</v>
      </c>
      <c r="E14" s="25" t="n">
        <v>0</v>
      </c>
      <c r="F14" s="25" t="n">
        <v>0</v>
      </c>
      <c r="G14" s="25" t="n">
        <f aca="false">F14-E14</f>
        <v>0</v>
      </c>
      <c r="H14" s="25" t="n">
        <v>0</v>
      </c>
      <c r="I14" s="25" t="n">
        <v>0</v>
      </c>
      <c r="J14" s="25" t="n">
        <f aca="false">I14-H14</f>
        <v>0</v>
      </c>
    </row>
    <row r="15" customFormat="false" ht="15" hidden="false" customHeight="false" outlineLevel="0" collapsed="false">
      <c r="A15" s="24" t="s">
        <v>56</v>
      </c>
      <c r="B15" s="25" t="n">
        <v>26751072</v>
      </c>
      <c r="C15" s="25" t="n">
        <v>26751072</v>
      </c>
      <c r="D15" s="25" t="n">
        <f aca="false">C15-B15</f>
        <v>0</v>
      </c>
      <c r="E15" s="25" t="n">
        <v>28488567</v>
      </c>
      <c r="F15" s="25" t="n">
        <v>28488567</v>
      </c>
      <c r="G15" s="25" t="n">
        <f aca="false">F15-E15</f>
        <v>0</v>
      </c>
      <c r="H15" s="25" t="n">
        <v>0</v>
      </c>
      <c r="I15" s="25" t="n">
        <v>0</v>
      </c>
      <c r="J15" s="25" t="n">
        <f aca="false">I15-H15</f>
        <v>0</v>
      </c>
    </row>
    <row r="16" customFormat="false" ht="15" hidden="false" customHeight="false" outlineLevel="0" collapsed="false">
      <c r="A16" s="24" t="s">
        <v>57</v>
      </c>
      <c r="B16" s="25" t="n">
        <v>44610</v>
      </c>
      <c r="C16" s="25" t="n">
        <v>44610</v>
      </c>
      <c r="D16" s="25" t="n">
        <f aca="false">C16-B16</f>
        <v>0</v>
      </c>
      <c r="E16" s="25" t="n">
        <v>43319</v>
      </c>
      <c r="F16" s="25" t="n">
        <v>47023</v>
      </c>
      <c r="G16" s="25" t="n">
        <f aca="false">F16-E16</f>
        <v>3704</v>
      </c>
      <c r="H16" s="25" t="n">
        <v>6777295</v>
      </c>
      <c r="I16" s="25" t="n">
        <v>6777295</v>
      </c>
      <c r="J16" s="25" t="n">
        <f aca="false">I16-H16</f>
        <v>0</v>
      </c>
    </row>
    <row r="17" customFormat="false" ht="15" hidden="false" customHeight="false" outlineLevel="0" collapsed="false">
      <c r="A17" s="24" t="s">
        <v>58</v>
      </c>
      <c r="B17" s="25" t="n">
        <v>0</v>
      </c>
      <c r="C17" s="25" t="n">
        <v>0</v>
      </c>
      <c r="D17" s="25" t="n">
        <f aca="false">C17-B17</f>
        <v>0</v>
      </c>
      <c r="E17" s="25" t="n">
        <v>0</v>
      </c>
      <c r="F17" s="25" t="n">
        <v>0</v>
      </c>
      <c r="G17" s="25" t="n">
        <f aca="false">F17-E17</f>
        <v>0</v>
      </c>
      <c r="H17" s="25" t="n">
        <v>151000</v>
      </c>
      <c r="I17" s="25" t="n">
        <v>151000</v>
      </c>
      <c r="J17" s="25" t="n">
        <f aca="false">I17-H17</f>
        <v>0</v>
      </c>
    </row>
    <row r="18" customFormat="false" ht="15" hidden="false" customHeight="false" outlineLevel="0" collapsed="false">
      <c r="A18" s="24" t="s">
        <v>59</v>
      </c>
      <c r="B18" s="25" t="n">
        <v>480989</v>
      </c>
      <c r="C18" s="25" t="n">
        <v>485067</v>
      </c>
      <c r="D18" s="25" t="n">
        <f aca="false">C18-B18</f>
        <v>4078</v>
      </c>
      <c r="E18" s="25" t="n">
        <v>574306</v>
      </c>
      <c r="F18" s="25" t="n">
        <v>830408</v>
      </c>
      <c r="G18" s="25" t="n">
        <f aca="false">F18-E18</f>
        <v>256102</v>
      </c>
      <c r="H18" s="25" t="n">
        <v>5408980</v>
      </c>
      <c r="I18" s="25" t="n">
        <v>5409362</v>
      </c>
      <c r="J18" s="25" t="n">
        <f aca="false">I18-H18</f>
        <v>382</v>
      </c>
    </row>
    <row r="19" customFormat="false" ht="15" hidden="false" customHeight="false" outlineLevel="0" collapsed="false">
      <c r="A19" s="24" t="s">
        <v>60</v>
      </c>
      <c r="B19" s="25" t="n">
        <v>6111</v>
      </c>
      <c r="C19" s="25" t="n">
        <v>6111</v>
      </c>
      <c r="D19" s="25" t="n">
        <f aca="false">C19-B19</f>
        <v>0</v>
      </c>
      <c r="E19" s="25" t="n">
        <v>0</v>
      </c>
      <c r="F19" s="25" t="n">
        <v>0</v>
      </c>
      <c r="G19" s="25" t="n">
        <f aca="false">F19-E19</f>
        <v>0</v>
      </c>
      <c r="H19" s="25" t="n">
        <v>1419514</v>
      </c>
      <c r="I19" s="25" t="n">
        <v>1417106</v>
      </c>
      <c r="J19" s="25" t="n">
        <f aca="false">I19-H19</f>
        <v>-2408</v>
      </c>
    </row>
    <row r="20" customFormat="false" ht="15" hidden="false" customHeight="false" outlineLevel="0" collapsed="false">
      <c r="A20" s="24" t="s">
        <v>61</v>
      </c>
      <c r="B20" s="25" t="n">
        <v>0</v>
      </c>
      <c r="C20" s="25" t="n">
        <v>0</v>
      </c>
      <c r="D20" s="25" t="n">
        <f aca="false">C20-B20</f>
        <v>0</v>
      </c>
      <c r="E20" s="25" t="n">
        <v>0</v>
      </c>
      <c r="F20" s="25" t="n">
        <v>0</v>
      </c>
      <c r="G20" s="25" t="n">
        <f aca="false">F20-E20</f>
        <v>0</v>
      </c>
      <c r="H20" s="25" t="n">
        <v>464150</v>
      </c>
      <c r="I20" s="25" t="n">
        <v>464150</v>
      </c>
      <c r="J20" s="25" t="n">
        <f aca="false">I20-H20</f>
        <v>0</v>
      </c>
    </row>
    <row r="21" customFormat="false" ht="15" hidden="false" customHeight="false" outlineLevel="0" collapsed="false">
      <c r="A21" s="24" t="s">
        <v>62</v>
      </c>
      <c r="B21" s="25" t="n">
        <v>0</v>
      </c>
      <c r="C21" s="25" t="n">
        <v>0</v>
      </c>
      <c r="D21" s="25" t="n">
        <f aca="false">C21-B21</f>
        <v>0</v>
      </c>
      <c r="E21" s="25" t="n">
        <v>0</v>
      </c>
      <c r="F21" s="25" t="n">
        <v>0</v>
      </c>
      <c r="G21" s="25" t="n">
        <f aca="false">F21-E21</f>
        <v>0</v>
      </c>
      <c r="H21" s="25" t="n">
        <v>442500</v>
      </c>
      <c r="I21" s="25" t="n">
        <v>442500</v>
      </c>
      <c r="J21" s="25" t="n">
        <f aca="false">I21-H21</f>
        <v>0</v>
      </c>
    </row>
    <row r="22" customFormat="false" ht="15" hidden="false" customHeight="false" outlineLevel="0" collapsed="false">
      <c r="A22" s="24" t="s">
        <v>63</v>
      </c>
      <c r="B22" s="25" t="n">
        <v>3084</v>
      </c>
      <c r="C22" s="25" t="n">
        <v>3084</v>
      </c>
      <c r="D22" s="25" t="n">
        <f aca="false">C22-B22</f>
        <v>0</v>
      </c>
      <c r="E22" s="25" t="n">
        <v>0</v>
      </c>
      <c r="F22" s="25" t="n">
        <v>0</v>
      </c>
      <c r="G22" s="25" t="n">
        <f aca="false">F22-E22</f>
        <v>0</v>
      </c>
      <c r="H22" s="25" t="n">
        <v>192496</v>
      </c>
      <c r="I22" s="25" t="n">
        <v>192496</v>
      </c>
      <c r="J22" s="25" t="n">
        <f aca="false">I22-H22</f>
        <v>0</v>
      </c>
    </row>
    <row r="23" customFormat="false" ht="15" hidden="false" customHeight="false" outlineLevel="0" collapsed="false">
      <c r="A23" s="24" t="s">
        <v>64</v>
      </c>
      <c r="B23" s="25" t="n">
        <v>0</v>
      </c>
      <c r="C23" s="25" t="n">
        <v>0</v>
      </c>
      <c r="D23" s="25" t="n">
        <f aca="false">C23-B23</f>
        <v>0</v>
      </c>
      <c r="E23" s="25" t="n">
        <v>0</v>
      </c>
      <c r="F23" s="25" t="n">
        <v>0</v>
      </c>
      <c r="G23" s="25" t="n">
        <f aca="false">F23-E23</f>
        <v>0</v>
      </c>
      <c r="H23" s="25" t="n">
        <v>37500</v>
      </c>
      <c r="I23" s="25" t="n">
        <v>37500</v>
      </c>
      <c r="J23" s="25" t="n">
        <f aca="false">I23-H23</f>
        <v>0</v>
      </c>
    </row>
    <row r="24" customFormat="false" ht="15" hidden="false" customHeight="false" outlineLevel="0" collapsed="false">
      <c r="A24" s="24" t="s">
        <v>65</v>
      </c>
      <c r="B24" s="25" t="n">
        <v>1397746</v>
      </c>
      <c r="C24" s="25" t="n">
        <v>1410580</v>
      </c>
      <c r="D24" s="25" t="n">
        <f aca="false">C24-B24</f>
        <v>12834</v>
      </c>
      <c r="E24" s="25" t="n">
        <v>6538700</v>
      </c>
      <c r="F24" s="25" t="n">
        <v>6538700</v>
      </c>
      <c r="G24" s="25" t="n">
        <f aca="false">F24-E24</f>
        <v>0</v>
      </c>
      <c r="H24" s="25" t="n">
        <v>3300644</v>
      </c>
      <c r="I24" s="25" t="n">
        <v>3350430</v>
      </c>
      <c r="J24" s="25" t="n">
        <f aca="false">I24-H24</f>
        <v>49786</v>
      </c>
    </row>
    <row r="25" customFormat="false" ht="15" hidden="false" customHeight="false" outlineLevel="0" collapsed="false">
      <c r="A25" s="24" t="s">
        <v>66</v>
      </c>
      <c r="B25" s="25" t="n">
        <v>0</v>
      </c>
      <c r="C25" s="25" t="n">
        <v>0</v>
      </c>
      <c r="D25" s="25" t="n">
        <f aca="false">C25-B25</f>
        <v>0</v>
      </c>
      <c r="E25" s="25" t="n">
        <v>0</v>
      </c>
      <c r="F25" s="25" t="n">
        <v>0</v>
      </c>
      <c r="G25" s="25" t="n">
        <f aca="false">F25-E25</f>
        <v>0</v>
      </c>
      <c r="H25" s="25" t="n">
        <v>8022600</v>
      </c>
      <c r="I25" s="25" t="n">
        <v>8022600</v>
      </c>
      <c r="J25" s="25" t="n">
        <f aca="false">I25-H25</f>
        <v>0</v>
      </c>
    </row>
    <row r="26" customFormat="false" ht="15" hidden="false" customHeight="false" outlineLevel="0" collapsed="false">
      <c r="A26" s="24" t="s">
        <v>67</v>
      </c>
      <c r="B26" s="25" t="n">
        <v>0</v>
      </c>
      <c r="C26" s="25" t="n">
        <v>0</v>
      </c>
      <c r="D26" s="25" t="n">
        <f aca="false">C26-B26</f>
        <v>0</v>
      </c>
      <c r="E26" s="25" t="n">
        <v>0</v>
      </c>
      <c r="F26" s="25" t="n">
        <v>0</v>
      </c>
      <c r="G26" s="25" t="n">
        <f aca="false">F26-E26</f>
        <v>0</v>
      </c>
      <c r="H26" s="25" t="n">
        <v>1279248</v>
      </c>
      <c r="I26" s="25" t="n">
        <v>1279248</v>
      </c>
      <c r="J26" s="25" t="n">
        <f aca="false">I26-H26</f>
        <v>0</v>
      </c>
    </row>
    <row r="27" customFormat="false" ht="15" hidden="false" customHeight="false" outlineLevel="0" collapsed="false">
      <c r="A27" s="24" t="s">
        <v>68</v>
      </c>
      <c r="B27" s="25" t="n">
        <v>105400</v>
      </c>
      <c r="C27" s="25" t="n">
        <v>105400</v>
      </c>
      <c r="D27" s="25" t="n">
        <f aca="false">C27-B27</f>
        <v>0</v>
      </c>
      <c r="E27" s="25" t="n">
        <v>0</v>
      </c>
      <c r="F27" s="25" t="n">
        <v>0</v>
      </c>
      <c r="G27" s="25" t="n">
        <f aca="false">F27-E27</f>
        <v>0</v>
      </c>
      <c r="H27" s="25" t="n">
        <v>735478</v>
      </c>
      <c r="I27" s="25" t="n">
        <v>725952</v>
      </c>
      <c r="J27" s="25" t="n">
        <f aca="false">I27-H27</f>
        <v>-9526</v>
      </c>
    </row>
    <row r="28" customFormat="false" ht="15" hidden="false" customHeight="false" outlineLevel="0" collapsed="false">
      <c r="A28" s="24" t="s">
        <v>69</v>
      </c>
      <c r="B28" s="25" t="n">
        <v>0</v>
      </c>
      <c r="C28" s="25" t="n">
        <v>0</v>
      </c>
      <c r="D28" s="25" t="n">
        <f aca="false">C28-B28</f>
        <v>0</v>
      </c>
      <c r="E28" s="25" t="n">
        <v>0</v>
      </c>
      <c r="F28" s="25" t="n">
        <v>0</v>
      </c>
      <c r="G28" s="25" t="n">
        <f aca="false">F28-E28</f>
        <v>0</v>
      </c>
      <c r="H28" s="25" t="n">
        <v>442756</v>
      </c>
      <c r="I28" s="25" t="n">
        <v>442756</v>
      </c>
      <c r="J28" s="25" t="n">
        <f aca="false">I28-H28</f>
        <v>0</v>
      </c>
    </row>
    <row r="29" customFormat="false" ht="15" hidden="false" customHeight="false" outlineLevel="0" collapsed="false">
      <c r="A29" s="24" t="s">
        <v>70</v>
      </c>
      <c r="B29" s="25" t="n">
        <v>0</v>
      </c>
      <c r="C29" s="25" t="n">
        <v>0</v>
      </c>
      <c r="D29" s="25" t="n">
        <f aca="false">C29-B29</f>
        <v>0</v>
      </c>
      <c r="E29" s="25" t="n">
        <v>0</v>
      </c>
      <c r="F29" s="25" t="n">
        <v>0</v>
      </c>
      <c r="G29" s="25" t="n">
        <f aca="false">F29-E29</f>
        <v>0</v>
      </c>
      <c r="H29" s="25" t="n">
        <v>1052500</v>
      </c>
      <c r="I29" s="25" t="n">
        <v>1058500</v>
      </c>
      <c r="J29" s="25" t="n">
        <f aca="false">I29-H29</f>
        <v>6000</v>
      </c>
    </row>
    <row r="30" customFormat="false" ht="15" hidden="false" customHeight="false" outlineLevel="0" collapsed="false">
      <c r="A30" s="24" t="s">
        <v>71</v>
      </c>
      <c r="B30" s="25" t="n">
        <v>0</v>
      </c>
      <c r="C30" s="25" t="n">
        <v>0</v>
      </c>
      <c r="D30" s="25" t="n">
        <f aca="false">C30-B30</f>
        <v>0</v>
      </c>
      <c r="E30" s="25" t="n">
        <v>0</v>
      </c>
      <c r="F30" s="25" t="n">
        <v>0</v>
      </c>
      <c r="G30" s="25" t="n">
        <f aca="false">F30-E30</f>
        <v>0</v>
      </c>
      <c r="H30" s="25" t="n">
        <v>6647671</v>
      </c>
      <c r="I30" s="25" t="n">
        <v>6647672</v>
      </c>
      <c r="J30" s="25" t="n">
        <f aca="false">I30-H30</f>
        <v>1</v>
      </c>
    </row>
    <row r="31" customFormat="false" ht="15" hidden="false" customHeight="false" outlineLevel="0" collapsed="false">
      <c r="A31" s="24" t="s">
        <v>72</v>
      </c>
      <c r="B31" s="25" t="n">
        <v>0</v>
      </c>
      <c r="C31" s="25" t="n">
        <v>0</v>
      </c>
      <c r="D31" s="25" t="n">
        <f aca="false">C31-B31</f>
        <v>0</v>
      </c>
      <c r="E31" s="25" t="n">
        <v>410000</v>
      </c>
      <c r="F31" s="25" t="n">
        <v>410000</v>
      </c>
      <c r="G31" s="25" t="n">
        <f aca="false">F31-E31</f>
        <v>0</v>
      </c>
      <c r="H31" s="25" t="n">
        <v>5736270</v>
      </c>
      <c r="I31" s="25" t="n">
        <v>5736372</v>
      </c>
      <c r="J31" s="25" t="n">
        <f aca="false">I31-H31</f>
        <v>102</v>
      </c>
    </row>
    <row r="32" customFormat="false" ht="15" hidden="false" customHeight="false" outlineLevel="0" collapsed="false">
      <c r="A32" s="24" t="s">
        <v>73</v>
      </c>
      <c r="B32" s="25" t="n">
        <v>0</v>
      </c>
      <c r="C32" s="25" t="n">
        <v>0</v>
      </c>
      <c r="D32" s="25" t="n">
        <f aca="false">C32-B32</f>
        <v>0</v>
      </c>
      <c r="E32" s="25" t="n">
        <v>86964</v>
      </c>
      <c r="F32" s="25" t="n">
        <v>90674</v>
      </c>
      <c r="G32" s="25" t="n">
        <f aca="false">F32-E32</f>
        <v>3710</v>
      </c>
      <c r="H32" s="25" t="n">
        <v>85417</v>
      </c>
      <c r="I32" s="25" t="n">
        <v>85417</v>
      </c>
      <c r="J32" s="25" t="n">
        <f aca="false">I32-H32</f>
        <v>0</v>
      </c>
    </row>
    <row r="33" customFormat="false" ht="15" hidden="false" customHeight="false" outlineLevel="0" collapsed="false">
      <c r="A33" s="24" t="s">
        <v>74</v>
      </c>
      <c r="B33" s="25" t="n">
        <v>0</v>
      </c>
      <c r="C33" s="25" t="n">
        <v>0</v>
      </c>
      <c r="D33" s="25" t="n">
        <f aca="false">C33-B33</f>
        <v>0</v>
      </c>
      <c r="E33" s="25" t="n">
        <v>0</v>
      </c>
      <c r="F33" s="25" t="n">
        <v>0</v>
      </c>
      <c r="G33" s="25" t="n">
        <f aca="false">F33-E33</f>
        <v>0</v>
      </c>
      <c r="H33" s="25" t="n">
        <v>1800000</v>
      </c>
      <c r="I33" s="25" t="n">
        <v>1800000</v>
      </c>
      <c r="J33" s="25" t="n">
        <f aca="false">I33-H33</f>
        <v>0</v>
      </c>
    </row>
    <row r="34" customFormat="false" ht="15" hidden="false" customHeight="false" outlineLevel="0" collapsed="false">
      <c r="A34" s="24" t="s">
        <v>75</v>
      </c>
      <c r="B34" s="25" t="n">
        <v>0</v>
      </c>
      <c r="C34" s="25" t="n">
        <v>0</v>
      </c>
      <c r="D34" s="25" t="n">
        <f aca="false">C34-B34</f>
        <v>0</v>
      </c>
      <c r="E34" s="25" t="n">
        <v>0</v>
      </c>
      <c r="F34" s="25" t="n">
        <v>0</v>
      </c>
      <c r="G34" s="25" t="n">
        <f aca="false">F34-E34</f>
        <v>0</v>
      </c>
      <c r="H34" s="25" t="n">
        <v>2562129</v>
      </c>
      <c r="I34" s="25" t="n">
        <v>2562129</v>
      </c>
      <c r="J34" s="25" t="n">
        <f aca="false">I34-H34</f>
        <v>0</v>
      </c>
    </row>
    <row r="35" customFormat="false" ht="15" hidden="false" customHeight="false" outlineLevel="0" collapsed="false">
      <c r="A35" s="24" t="s">
        <v>76</v>
      </c>
      <c r="B35" s="25" t="n">
        <v>428</v>
      </c>
      <c r="C35" s="25" t="n">
        <v>428</v>
      </c>
      <c r="D35" s="25" t="n">
        <f aca="false">C35-B35</f>
        <v>0</v>
      </c>
      <c r="E35" s="25" t="n">
        <v>23144</v>
      </c>
      <c r="F35" s="25" t="n">
        <v>23144</v>
      </c>
      <c r="G35" s="25" t="n">
        <f aca="false">F35-E35</f>
        <v>0</v>
      </c>
      <c r="H35" s="25" t="n">
        <v>1954254</v>
      </c>
      <c r="I35" s="25" t="n">
        <v>1949542</v>
      </c>
      <c r="J35" s="25" t="n">
        <f aca="false">I35-H35</f>
        <v>-4712</v>
      </c>
    </row>
    <row r="36" customFormat="false" ht="15" hidden="false" customHeight="false" outlineLevel="0" collapsed="false">
      <c r="A36" s="26" t="s">
        <v>77</v>
      </c>
      <c r="B36" s="27" t="n">
        <f aca="false">SUM(B6:B35)</f>
        <v>105906992</v>
      </c>
      <c r="C36" s="27" t="n">
        <f aca="false">SUM(C6:C35)</f>
        <v>106101164</v>
      </c>
      <c r="D36" s="27" t="n">
        <f aca="false">SUM(D6:D35)</f>
        <v>194172</v>
      </c>
      <c r="E36" s="27" t="n">
        <f aca="false">SUM(E6:E35)</f>
        <v>141198443</v>
      </c>
      <c r="F36" s="27" t="n">
        <f aca="false">SUM(F6:F35)</f>
        <v>141511782</v>
      </c>
      <c r="G36" s="27" t="n">
        <f aca="false">SUM(G6:G35)</f>
        <v>313339</v>
      </c>
      <c r="H36" s="27" t="n">
        <f aca="false">SUM(H6:H35)</f>
        <v>94683019</v>
      </c>
      <c r="I36" s="27" t="n">
        <f aca="false">SUM(I6:I35)</f>
        <v>94572730</v>
      </c>
      <c r="J36" s="27" t="n">
        <f aca="false">SUM(J6:J35)</f>
        <v>-110289</v>
      </c>
    </row>
    <row r="37" customFormat="false" ht="15" hidden="false" customHeight="false" outlineLevel="0" collapsed="false">
      <c r="A37" s="28" t="s">
        <v>78</v>
      </c>
      <c r="B37" s="29" t="n">
        <f aca="false">B5-B36</f>
        <v>17039126</v>
      </c>
      <c r="C37" s="29" t="n">
        <f aca="false">C5-C36</f>
        <v>16851829</v>
      </c>
      <c r="D37" s="29" t="n">
        <f aca="false">C37-B37</f>
        <v>-187297</v>
      </c>
      <c r="E37" s="29" t="n">
        <f aca="false">E5-E36</f>
        <v>25414519</v>
      </c>
      <c r="F37" s="29" t="n">
        <f aca="false">F5-F36</f>
        <v>25101180</v>
      </c>
      <c r="G37" s="29" t="n">
        <f aca="false">F37-E37</f>
        <v>-313339</v>
      </c>
      <c r="H37" s="25"/>
      <c r="I37" s="25"/>
      <c r="J37" s="25"/>
    </row>
    <row r="39" customFormat="false" ht="15" hidden="false" customHeight="false" outlineLevel="0" collapsed="false">
      <c r="A39" s="2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5"/>
  </cols>
  <sheetData>
    <row r="1" customFormat="false" ht="17.15" hidden="false" customHeight="false" outlineLevel="0" collapsed="false">
      <c r="A1" s="22" t="s">
        <v>80</v>
      </c>
    </row>
    <row r="2" customFormat="false" ht="15" hidden="false" customHeight="false" outlineLevel="0" collapsed="false">
      <c r="A2" s="2" t="s">
        <v>81</v>
      </c>
    </row>
    <row r="4" customFormat="false" ht="31.5" hidden="false" customHeight="true" outlineLevel="0" collapsed="false">
      <c r="A4" s="4" t="s">
        <v>82</v>
      </c>
      <c r="B4" s="4" t="s">
        <v>83</v>
      </c>
      <c r="C4" s="4" t="s">
        <v>84</v>
      </c>
      <c r="D4" s="4" t="s">
        <v>85</v>
      </c>
      <c r="E4" s="4" t="s">
        <v>86</v>
      </c>
      <c r="F4" s="23" t="s">
        <v>87</v>
      </c>
      <c r="G4" s="23" t="s">
        <v>88</v>
      </c>
      <c r="H4" s="23" t="s">
        <v>89</v>
      </c>
      <c r="I4" s="23" t="s">
        <v>90</v>
      </c>
      <c r="J4" s="4" t="s">
        <v>91</v>
      </c>
      <c r="K4" s="4" t="s">
        <v>92</v>
      </c>
      <c r="L4" s="4" t="s">
        <v>93</v>
      </c>
      <c r="M4" s="4" t="s">
        <v>94</v>
      </c>
    </row>
    <row r="5" customFormat="false" ht="15" hidden="false" customHeight="false" outlineLevel="0" collapsed="false">
      <c r="A5" s="24" t="s">
        <v>46</v>
      </c>
      <c r="B5" s="25" t="n">
        <v>122946118</v>
      </c>
      <c r="C5" s="25" t="n">
        <v>122952993</v>
      </c>
      <c r="D5" s="25" t="n">
        <v>122946118</v>
      </c>
      <c r="E5" s="25" t="n">
        <v>122952993</v>
      </c>
      <c r="F5" s="25" t="n">
        <v>166612962</v>
      </c>
      <c r="G5" s="25" t="n">
        <v>166612962</v>
      </c>
      <c r="H5" s="25" t="n">
        <v>166612962</v>
      </c>
      <c r="I5" s="25" t="n">
        <v>166612962</v>
      </c>
      <c r="J5" s="25" t="n">
        <v>289559080</v>
      </c>
      <c r="K5" s="25" t="n">
        <v>289565955</v>
      </c>
      <c r="L5" s="25" t="n">
        <v>289559080</v>
      </c>
      <c r="M5" s="25" t="n">
        <v>289565955</v>
      </c>
    </row>
    <row r="6" customFormat="false" ht="15" hidden="false" customHeight="false" outlineLevel="0" collapsed="false">
      <c r="A6" s="24" t="s">
        <v>95</v>
      </c>
      <c r="B6" s="25" t="n">
        <v>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</row>
    <row r="7" customFormat="false" ht="15" hidden="false" customHeight="false" outlineLevel="0" collapsed="false">
      <c r="A7" s="24" t="s">
        <v>96</v>
      </c>
      <c r="B7" s="25" t="n">
        <v>122946118</v>
      </c>
      <c r="C7" s="25" t="n">
        <v>122952993</v>
      </c>
      <c r="D7" s="25" t="n">
        <v>122946118</v>
      </c>
      <c r="E7" s="25" t="n">
        <v>122952993</v>
      </c>
      <c r="F7" s="25" t="n">
        <v>166612962</v>
      </c>
      <c r="G7" s="25" t="n">
        <v>166612962</v>
      </c>
      <c r="H7" s="25" t="n">
        <v>166612962</v>
      </c>
      <c r="I7" s="25" t="n">
        <v>166612962</v>
      </c>
      <c r="J7" s="25" t="n">
        <v>289559080</v>
      </c>
      <c r="K7" s="25" t="n">
        <v>289565955</v>
      </c>
      <c r="L7" s="25" t="n">
        <v>289559080</v>
      </c>
      <c r="M7" s="25" t="n">
        <v>289565955</v>
      </c>
    </row>
    <row r="8" customFormat="false" ht="15" hidden="false" customHeight="false" outlineLevel="0" collapsed="false">
      <c r="A8" s="30" t="s">
        <v>97</v>
      </c>
      <c r="B8" s="31" t="n">
        <v>105906992</v>
      </c>
      <c r="C8" s="31" t="n">
        <v>106101164</v>
      </c>
      <c r="D8" s="31" t="n">
        <v>96691111</v>
      </c>
      <c r="E8" s="31" t="n">
        <v>96925013</v>
      </c>
      <c r="F8" s="31" t="n">
        <v>141198443</v>
      </c>
      <c r="G8" s="31" t="n">
        <v>141511782</v>
      </c>
      <c r="H8" s="31" t="n">
        <v>158794843</v>
      </c>
      <c r="I8" s="31" t="n">
        <v>159118238</v>
      </c>
      <c r="J8" s="31" t="n">
        <v>247105435</v>
      </c>
      <c r="K8" s="31" t="n">
        <v>247612946</v>
      </c>
      <c r="L8" s="31" t="n">
        <v>255485954</v>
      </c>
      <c r="M8" s="31" t="n">
        <v>256043251</v>
      </c>
    </row>
    <row r="9" customFormat="false" ht="15" hidden="false" customHeight="false" outlineLevel="0" collapsed="false">
      <c r="A9" s="24" t="s">
        <v>98</v>
      </c>
      <c r="B9" s="25" t="n">
        <v>48813079</v>
      </c>
      <c r="C9" s="25" t="n">
        <v>48813079</v>
      </c>
      <c r="D9" s="25" t="n">
        <v>48813079</v>
      </c>
      <c r="E9" s="25" t="n">
        <v>48813079</v>
      </c>
      <c r="F9" s="25" t="n">
        <v>44677727</v>
      </c>
      <c r="G9" s="25" t="n">
        <v>44677727</v>
      </c>
      <c r="H9" s="25" t="n">
        <v>76527605</v>
      </c>
      <c r="I9" s="25" t="n">
        <v>76527605</v>
      </c>
      <c r="J9" s="25" t="n">
        <v>93490806</v>
      </c>
      <c r="K9" s="25" t="n">
        <v>93490806</v>
      </c>
      <c r="L9" s="25" t="n">
        <v>125340684</v>
      </c>
      <c r="M9" s="25" t="n">
        <v>125340684</v>
      </c>
    </row>
    <row r="10" customFormat="false" ht="15" hidden="false" customHeight="false" outlineLevel="0" collapsed="false">
      <c r="A10" s="24" t="s">
        <v>99</v>
      </c>
      <c r="B10" s="25" t="n">
        <v>0</v>
      </c>
      <c r="C10" s="25" t="n">
        <v>0</v>
      </c>
      <c r="D10" s="25" t="n">
        <v>0</v>
      </c>
      <c r="E10" s="25" t="n">
        <v>0</v>
      </c>
      <c r="F10" s="25" t="n">
        <v>0</v>
      </c>
      <c r="G10" s="25" t="n">
        <v>0</v>
      </c>
      <c r="H10" s="25" t="n">
        <v>12000000</v>
      </c>
      <c r="I10" s="25" t="n">
        <v>12000000</v>
      </c>
      <c r="J10" s="25" t="n">
        <v>0</v>
      </c>
      <c r="K10" s="25" t="n">
        <v>0</v>
      </c>
      <c r="L10" s="25" t="n">
        <v>12000000</v>
      </c>
      <c r="M10" s="25" t="n">
        <v>12000000</v>
      </c>
    </row>
    <row r="11" customFormat="false" ht="15" hidden="false" customHeight="false" outlineLevel="0" collapsed="false">
      <c r="A11" s="24" t="s">
        <v>100</v>
      </c>
      <c r="B11" s="25" t="n">
        <v>41333203</v>
      </c>
      <c r="C11" s="25" t="n">
        <v>41333203</v>
      </c>
      <c r="D11" s="25" t="n">
        <v>41333203</v>
      </c>
      <c r="E11" s="25" t="n">
        <v>41333203</v>
      </c>
      <c r="F11" s="25" t="n">
        <v>38654333</v>
      </c>
      <c r="G11" s="25" t="n">
        <v>38654333</v>
      </c>
      <c r="H11" s="25" t="n">
        <v>55574333</v>
      </c>
      <c r="I11" s="25" t="n">
        <v>55574333</v>
      </c>
      <c r="J11" s="25" t="n">
        <v>79987536</v>
      </c>
      <c r="K11" s="25" t="n">
        <v>79987536</v>
      </c>
      <c r="L11" s="25" t="n">
        <v>96907536</v>
      </c>
      <c r="M11" s="25" t="n">
        <v>96907536</v>
      </c>
    </row>
    <row r="12" customFormat="false" ht="15" hidden="false" customHeight="false" outlineLevel="0" collapsed="false">
      <c r="A12" s="24" t="s">
        <v>101</v>
      </c>
      <c r="B12" s="25" t="n">
        <v>0</v>
      </c>
      <c r="C12" s="25" t="n">
        <v>0</v>
      </c>
      <c r="D12" s="25" t="n">
        <v>0</v>
      </c>
      <c r="E12" s="25" t="n">
        <v>0</v>
      </c>
      <c r="F12" s="25" t="n">
        <v>0</v>
      </c>
      <c r="G12" s="25" t="n">
        <v>0</v>
      </c>
      <c r="H12" s="25" t="n">
        <v>0</v>
      </c>
      <c r="I12" s="25" t="n">
        <v>0</v>
      </c>
      <c r="J12" s="25" t="n">
        <v>0</v>
      </c>
      <c r="K12" s="25" t="n">
        <v>0</v>
      </c>
      <c r="L12" s="25" t="n">
        <v>0</v>
      </c>
      <c r="M12" s="25" t="n">
        <v>0</v>
      </c>
    </row>
    <row r="13" customFormat="false" ht="15" hidden="false" customHeight="false" outlineLevel="0" collapsed="false">
      <c r="A13" s="24" t="s">
        <v>102</v>
      </c>
      <c r="B13" s="25" t="n">
        <v>6747876</v>
      </c>
      <c r="C13" s="25" t="n">
        <v>6747876</v>
      </c>
      <c r="D13" s="25" t="n">
        <v>6747876</v>
      </c>
      <c r="E13" s="25" t="n">
        <v>6747876</v>
      </c>
      <c r="F13" s="25" t="n">
        <v>5754394</v>
      </c>
      <c r="G13" s="25" t="n">
        <v>5754394</v>
      </c>
      <c r="H13" s="25" t="n">
        <v>8540272</v>
      </c>
      <c r="I13" s="25" t="n">
        <v>8540272</v>
      </c>
      <c r="J13" s="25" t="n">
        <v>12502270</v>
      </c>
      <c r="K13" s="25" t="n">
        <v>12502270</v>
      </c>
      <c r="L13" s="25" t="n">
        <v>15288148</v>
      </c>
      <c r="M13" s="25" t="n">
        <v>15288148</v>
      </c>
    </row>
    <row r="14" customFormat="false" ht="15" hidden="false" customHeight="false" outlineLevel="0" collapsed="false">
      <c r="A14" s="24" t="s">
        <v>103</v>
      </c>
      <c r="B14" s="25" t="n">
        <v>732000</v>
      </c>
      <c r="C14" s="25" t="n">
        <v>732000</v>
      </c>
      <c r="D14" s="25" t="n">
        <v>732000</v>
      </c>
      <c r="E14" s="25" t="n">
        <v>732000</v>
      </c>
      <c r="F14" s="25" t="n">
        <v>269000</v>
      </c>
      <c r="G14" s="25" t="n">
        <v>269000</v>
      </c>
      <c r="H14" s="25" t="n">
        <v>413000</v>
      </c>
      <c r="I14" s="25" t="n">
        <v>413000</v>
      </c>
      <c r="J14" s="25" t="n">
        <v>1001000</v>
      </c>
      <c r="K14" s="25" t="n">
        <v>1001000</v>
      </c>
      <c r="L14" s="25" t="n">
        <v>1145000</v>
      </c>
      <c r="M14" s="25" t="n">
        <v>1145000</v>
      </c>
    </row>
    <row r="15" customFormat="false" ht="15" hidden="false" customHeight="false" outlineLevel="0" collapsed="false">
      <c r="A15" s="24" t="s">
        <v>51</v>
      </c>
      <c r="B15" s="25" t="n">
        <v>127981</v>
      </c>
      <c r="C15" s="25" t="n">
        <v>127981</v>
      </c>
      <c r="D15" s="25" t="n">
        <v>127981</v>
      </c>
      <c r="E15" s="25" t="n">
        <v>127981</v>
      </c>
      <c r="F15" s="25" t="n">
        <v>44204</v>
      </c>
      <c r="G15" s="25" t="n">
        <v>44204</v>
      </c>
      <c r="H15" s="25" t="n">
        <v>103382</v>
      </c>
      <c r="I15" s="25" t="n">
        <v>103382</v>
      </c>
      <c r="J15" s="25" t="n">
        <v>172185</v>
      </c>
      <c r="K15" s="25" t="n">
        <v>172185</v>
      </c>
      <c r="L15" s="25" t="n">
        <v>231363</v>
      </c>
      <c r="M15" s="25" t="n">
        <v>231363</v>
      </c>
    </row>
    <row r="16" customFormat="false" ht="15" hidden="false" customHeight="false" outlineLevel="0" collapsed="false">
      <c r="A16" s="24" t="s">
        <v>52</v>
      </c>
      <c r="B16" s="25" t="n">
        <v>1091202</v>
      </c>
      <c r="C16" s="25" t="n">
        <v>1091202</v>
      </c>
      <c r="D16" s="25" t="n">
        <v>1091202</v>
      </c>
      <c r="E16" s="25" t="n">
        <v>1091202</v>
      </c>
      <c r="F16" s="25" t="n">
        <v>800850</v>
      </c>
      <c r="G16" s="25" t="n">
        <v>800850</v>
      </c>
      <c r="H16" s="25" t="n">
        <v>938255</v>
      </c>
      <c r="I16" s="25" t="n">
        <v>938255</v>
      </c>
      <c r="J16" s="25" t="n">
        <v>1892052</v>
      </c>
      <c r="K16" s="25" t="n">
        <v>1892052</v>
      </c>
      <c r="L16" s="25" t="n">
        <v>2029457</v>
      </c>
      <c r="M16" s="25" t="n">
        <v>2029457</v>
      </c>
    </row>
    <row r="17" customFormat="false" ht="15" hidden="false" customHeight="false" outlineLevel="0" collapsed="false">
      <c r="A17" s="24" t="s">
        <v>53</v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5277000</v>
      </c>
      <c r="G17" s="25" t="n">
        <v>5277000</v>
      </c>
      <c r="H17" s="25" t="n">
        <v>5277000</v>
      </c>
      <c r="I17" s="25" t="n">
        <v>5277000</v>
      </c>
      <c r="J17" s="25" t="n">
        <v>5277000</v>
      </c>
      <c r="K17" s="25" t="n">
        <v>5277000</v>
      </c>
      <c r="L17" s="25" t="n">
        <v>5277000</v>
      </c>
      <c r="M17" s="25" t="n">
        <v>5277000</v>
      </c>
    </row>
    <row r="18" customFormat="false" ht="15" hidden="false" customHeight="false" outlineLevel="0" collapsed="false">
      <c r="A18" s="24" t="s">
        <v>54</v>
      </c>
      <c r="B18" s="25" t="n">
        <v>26827995</v>
      </c>
      <c r="C18" s="25" t="n">
        <v>26996940</v>
      </c>
      <c r="D18" s="25" t="n">
        <v>26827995</v>
      </c>
      <c r="E18" s="25" t="n">
        <v>26996940</v>
      </c>
      <c r="F18" s="25" t="n">
        <v>54233662</v>
      </c>
      <c r="G18" s="25" t="n">
        <v>54283485</v>
      </c>
      <c r="H18" s="25" t="n">
        <v>54233662</v>
      </c>
      <c r="I18" s="25" t="n">
        <v>54283485</v>
      </c>
      <c r="J18" s="25" t="n">
        <v>81061657</v>
      </c>
      <c r="K18" s="25" t="n">
        <v>81280425</v>
      </c>
      <c r="L18" s="25" t="n">
        <v>81061657</v>
      </c>
      <c r="M18" s="25" t="n">
        <v>81280425</v>
      </c>
    </row>
    <row r="19" customFormat="false" ht="15" hidden="false" customHeight="false" outlineLevel="0" collapsed="false">
      <c r="A19" s="24" t="s">
        <v>55</v>
      </c>
      <c r="B19" s="25" t="n">
        <v>257295</v>
      </c>
      <c r="C19" s="25" t="n">
        <v>265610</v>
      </c>
      <c r="D19" s="25" t="n">
        <v>257295</v>
      </c>
      <c r="E19" s="25" t="n">
        <v>265610</v>
      </c>
      <c r="F19" s="25" t="n">
        <v>0</v>
      </c>
      <c r="G19" s="25" t="n">
        <v>0</v>
      </c>
      <c r="H19" s="25" t="n">
        <v>0</v>
      </c>
      <c r="I19" s="25" t="n">
        <v>0</v>
      </c>
      <c r="J19" s="25" t="n">
        <v>257295</v>
      </c>
      <c r="K19" s="25" t="n">
        <v>265610</v>
      </c>
      <c r="L19" s="25" t="n">
        <v>257295</v>
      </c>
      <c r="M19" s="25" t="n">
        <v>265610</v>
      </c>
    </row>
    <row r="20" customFormat="false" ht="15" hidden="false" customHeight="false" outlineLevel="0" collapsed="false">
      <c r="A20" s="24" t="s">
        <v>104</v>
      </c>
      <c r="B20" s="25" t="n">
        <v>0</v>
      </c>
      <c r="C20" s="25" t="n">
        <v>0</v>
      </c>
      <c r="D20" s="25" t="n">
        <v>0</v>
      </c>
      <c r="E20" s="25" t="n">
        <v>0</v>
      </c>
      <c r="F20" s="25" t="n">
        <v>0</v>
      </c>
      <c r="G20" s="25" t="n">
        <v>0</v>
      </c>
      <c r="H20" s="25" t="n">
        <v>0</v>
      </c>
      <c r="I20" s="25" t="n">
        <v>0</v>
      </c>
      <c r="J20" s="25" t="n">
        <v>0</v>
      </c>
      <c r="K20" s="25" t="n">
        <v>0</v>
      </c>
      <c r="L20" s="25" t="n">
        <v>0</v>
      </c>
      <c r="M20" s="25" t="n">
        <v>0</v>
      </c>
    </row>
    <row r="21" customFormat="false" ht="15" hidden="false" customHeight="false" outlineLevel="0" collapsed="false">
      <c r="A21" s="24" t="s">
        <v>56</v>
      </c>
      <c r="B21" s="25" t="n">
        <v>26751072</v>
      </c>
      <c r="C21" s="25" t="n">
        <v>26751072</v>
      </c>
      <c r="D21" s="25" t="n">
        <v>8400000</v>
      </c>
      <c r="E21" s="25" t="n">
        <v>8400000</v>
      </c>
      <c r="F21" s="25" t="n">
        <v>28488567</v>
      </c>
      <c r="G21" s="25" t="n">
        <v>28488567</v>
      </c>
      <c r="H21" s="25" t="n">
        <v>11127276</v>
      </c>
      <c r="I21" s="25" t="n">
        <v>11127276</v>
      </c>
      <c r="J21" s="25" t="n">
        <v>55239639</v>
      </c>
      <c r="K21" s="25" t="n">
        <v>55239639</v>
      </c>
      <c r="L21" s="25" t="n">
        <v>19527276</v>
      </c>
      <c r="M21" s="25" t="n">
        <v>19527276</v>
      </c>
    </row>
    <row r="22" customFormat="false" ht="15" hidden="false" customHeight="false" outlineLevel="0" collapsed="false">
      <c r="A22" s="24" t="s">
        <v>57</v>
      </c>
      <c r="B22" s="25" t="n">
        <v>44610</v>
      </c>
      <c r="C22" s="25" t="n">
        <v>44610</v>
      </c>
      <c r="D22" s="25" t="n">
        <v>44610</v>
      </c>
      <c r="E22" s="25" t="n">
        <v>44610</v>
      </c>
      <c r="F22" s="25" t="n">
        <v>43319</v>
      </c>
      <c r="G22" s="25" t="n">
        <v>47023</v>
      </c>
      <c r="H22" s="25" t="n">
        <v>43319</v>
      </c>
      <c r="I22" s="25" t="n">
        <v>47023</v>
      </c>
      <c r="J22" s="25" t="n">
        <v>87929</v>
      </c>
      <c r="K22" s="25" t="n">
        <v>91633</v>
      </c>
      <c r="L22" s="25" t="n">
        <v>87929</v>
      </c>
      <c r="M22" s="25" t="n">
        <v>91633</v>
      </c>
    </row>
    <row r="23" customFormat="false" ht="15" hidden="false" customHeight="false" outlineLevel="0" collapsed="false">
      <c r="A23" s="24" t="s">
        <v>58</v>
      </c>
      <c r="B23" s="25" t="n">
        <v>0</v>
      </c>
      <c r="C23" s="25" t="n">
        <v>0</v>
      </c>
      <c r="D23" s="25" t="n">
        <v>0</v>
      </c>
      <c r="E23" s="25" t="n">
        <v>0</v>
      </c>
      <c r="F23" s="25" t="n">
        <v>0</v>
      </c>
      <c r="G23" s="25" t="n">
        <v>0</v>
      </c>
      <c r="H23" s="25" t="n">
        <v>0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0</v>
      </c>
    </row>
    <row r="24" customFormat="false" ht="15" hidden="false" customHeight="false" outlineLevel="0" collapsed="false">
      <c r="A24" s="24" t="s">
        <v>59</v>
      </c>
      <c r="B24" s="25" t="n">
        <v>480989</v>
      </c>
      <c r="C24" s="25" t="n">
        <v>485067</v>
      </c>
      <c r="D24" s="25" t="n">
        <v>480989</v>
      </c>
      <c r="E24" s="25" t="n">
        <v>485067</v>
      </c>
      <c r="F24" s="25" t="n">
        <v>574306</v>
      </c>
      <c r="G24" s="25" t="n">
        <v>830408</v>
      </c>
      <c r="H24" s="25" t="n">
        <v>574306</v>
      </c>
      <c r="I24" s="25" t="n">
        <v>830408</v>
      </c>
      <c r="J24" s="25" t="n">
        <v>1055295</v>
      </c>
      <c r="K24" s="25" t="n">
        <v>1315475</v>
      </c>
      <c r="L24" s="25" t="n">
        <v>1055295</v>
      </c>
      <c r="M24" s="25" t="n">
        <v>1315475</v>
      </c>
    </row>
    <row r="25" customFormat="false" ht="15" hidden="false" customHeight="false" outlineLevel="0" collapsed="false">
      <c r="A25" s="24" t="s">
        <v>60</v>
      </c>
      <c r="B25" s="25" t="n">
        <v>6111</v>
      </c>
      <c r="C25" s="25" t="n">
        <v>6111</v>
      </c>
      <c r="D25" s="25" t="n">
        <v>6111</v>
      </c>
      <c r="E25" s="25" t="n">
        <v>6111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6111</v>
      </c>
      <c r="K25" s="25" t="n">
        <v>6111</v>
      </c>
      <c r="L25" s="25" t="n">
        <v>6111</v>
      </c>
      <c r="M25" s="25" t="n">
        <v>6111</v>
      </c>
    </row>
    <row r="26" customFormat="false" ht="15" hidden="false" customHeight="false" outlineLevel="0" collapsed="false">
      <c r="A26" s="24" t="s">
        <v>61</v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</row>
    <row r="27" customFormat="false" ht="15" hidden="false" customHeight="false" outlineLevel="0" collapsed="false">
      <c r="A27" s="24" t="s">
        <v>105</v>
      </c>
      <c r="B27" s="25" t="n">
        <v>0</v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</row>
    <row r="28" customFormat="false" ht="15" hidden="false" customHeight="false" outlineLevel="0" collapsed="false">
      <c r="A28" s="24" t="s">
        <v>62</v>
      </c>
      <c r="B28" s="25" t="n">
        <v>0</v>
      </c>
      <c r="C28" s="25" t="n">
        <v>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</row>
    <row r="29" customFormat="false" ht="15" hidden="false" customHeight="false" outlineLevel="0" collapsed="false">
      <c r="A29" s="24" t="s">
        <v>63</v>
      </c>
      <c r="B29" s="25" t="n">
        <v>3084</v>
      </c>
      <c r="C29" s="25" t="n">
        <v>3084</v>
      </c>
      <c r="D29" s="25" t="n">
        <v>3084</v>
      </c>
      <c r="E29" s="25" t="n">
        <v>3084</v>
      </c>
      <c r="F29" s="25" t="n">
        <v>0</v>
      </c>
      <c r="G29" s="25" t="n">
        <v>0</v>
      </c>
      <c r="H29" s="25" t="n">
        <v>0</v>
      </c>
      <c r="I29" s="25" t="n">
        <v>0</v>
      </c>
      <c r="J29" s="25" t="n">
        <v>3084</v>
      </c>
      <c r="K29" s="25" t="n">
        <v>3084</v>
      </c>
      <c r="L29" s="25" t="n">
        <v>3084</v>
      </c>
      <c r="M29" s="25" t="n">
        <v>3084</v>
      </c>
    </row>
    <row r="30" customFormat="false" ht="15" hidden="false" customHeight="false" outlineLevel="0" collapsed="false">
      <c r="A30" s="24" t="s">
        <v>64</v>
      </c>
      <c r="B30" s="25" t="n">
        <v>0</v>
      </c>
      <c r="C30" s="25" t="n">
        <v>0</v>
      </c>
      <c r="D30" s="25" t="n">
        <v>0</v>
      </c>
      <c r="E30" s="25" t="n">
        <v>0</v>
      </c>
      <c r="F30" s="25" t="n">
        <v>0</v>
      </c>
      <c r="G30" s="25" t="n">
        <v>0</v>
      </c>
      <c r="H30" s="25" t="n">
        <v>0</v>
      </c>
      <c r="I30" s="25" t="n">
        <v>0</v>
      </c>
      <c r="J30" s="25" t="n">
        <v>0</v>
      </c>
      <c r="K30" s="25" t="n">
        <v>0</v>
      </c>
      <c r="L30" s="25" t="n">
        <v>0</v>
      </c>
      <c r="M30" s="25" t="n">
        <v>0</v>
      </c>
    </row>
    <row r="31" customFormat="false" ht="15" hidden="false" customHeight="false" outlineLevel="0" collapsed="false">
      <c r="A31" s="24" t="s">
        <v>65</v>
      </c>
      <c r="B31" s="25" t="n">
        <v>1397746</v>
      </c>
      <c r="C31" s="25" t="n">
        <v>1410580</v>
      </c>
      <c r="D31" s="25" t="n">
        <v>4021265</v>
      </c>
      <c r="E31" s="25" t="n">
        <v>4073702</v>
      </c>
      <c r="F31" s="25" t="n">
        <v>6538700</v>
      </c>
      <c r="G31" s="25" t="n">
        <v>6538700</v>
      </c>
      <c r="H31" s="25" t="n">
        <v>4097625</v>
      </c>
      <c r="I31" s="25" t="n">
        <v>4107808</v>
      </c>
      <c r="J31" s="25" t="n">
        <v>7936446</v>
      </c>
      <c r="K31" s="25" t="n">
        <v>7949280</v>
      </c>
      <c r="L31" s="25" t="n">
        <v>8118890</v>
      </c>
      <c r="M31" s="25" t="n">
        <v>8181510</v>
      </c>
    </row>
    <row r="32" customFormat="false" ht="15" hidden="false" customHeight="false" outlineLevel="0" collapsed="false">
      <c r="A32" s="24" t="s">
        <v>66</v>
      </c>
      <c r="B32" s="25" t="n">
        <v>0</v>
      </c>
      <c r="C32" s="25" t="n">
        <v>0</v>
      </c>
      <c r="D32" s="25" t="n">
        <v>3406377</v>
      </c>
      <c r="E32" s="25" t="n">
        <v>3406487</v>
      </c>
      <c r="F32" s="25" t="n">
        <v>0</v>
      </c>
      <c r="G32" s="25" t="n">
        <v>0</v>
      </c>
      <c r="H32" s="25" t="n">
        <v>4616223</v>
      </c>
      <c r="I32" s="25" t="n">
        <v>4616113</v>
      </c>
      <c r="J32" s="25" t="n">
        <v>0</v>
      </c>
      <c r="K32" s="25" t="n">
        <v>0</v>
      </c>
      <c r="L32" s="25" t="n">
        <v>8022600</v>
      </c>
      <c r="M32" s="25" t="n">
        <v>8022600</v>
      </c>
    </row>
    <row r="33" customFormat="false" ht="15" hidden="false" customHeight="false" outlineLevel="0" collapsed="false">
      <c r="A33" s="24" t="s">
        <v>67</v>
      </c>
      <c r="B33" s="25" t="n">
        <v>0</v>
      </c>
      <c r="C33" s="25" t="n">
        <v>0</v>
      </c>
      <c r="D33" s="25" t="n">
        <v>543166</v>
      </c>
      <c r="E33" s="25" t="n">
        <v>543183</v>
      </c>
      <c r="F33" s="25" t="n">
        <v>0</v>
      </c>
      <c r="G33" s="25" t="n">
        <v>0</v>
      </c>
      <c r="H33" s="25" t="n">
        <v>736082</v>
      </c>
      <c r="I33" s="25" t="n">
        <v>736065</v>
      </c>
      <c r="J33" s="25" t="n">
        <v>0</v>
      </c>
      <c r="K33" s="25" t="n">
        <v>0</v>
      </c>
      <c r="L33" s="25" t="n">
        <v>1279248</v>
      </c>
      <c r="M33" s="25" t="n">
        <v>1279248</v>
      </c>
    </row>
    <row r="34" customFormat="false" ht="15" hidden="false" customHeight="false" outlineLevel="0" collapsed="false">
      <c r="A34" s="24" t="s">
        <v>68</v>
      </c>
      <c r="B34" s="25" t="n">
        <v>105400</v>
      </c>
      <c r="C34" s="25" t="n">
        <v>105400</v>
      </c>
      <c r="D34" s="25" t="n">
        <v>105400</v>
      </c>
      <c r="E34" s="25" t="n">
        <v>105400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105400</v>
      </c>
      <c r="K34" s="25" t="n">
        <v>105400</v>
      </c>
      <c r="L34" s="25" t="n">
        <v>105400</v>
      </c>
      <c r="M34" s="25" t="n">
        <v>105400</v>
      </c>
    </row>
    <row r="35" customFormat="false" ht="15" hidden="false" customHeight="false" outlineLevel="0" collapsed="false">
      <c r="A35" s="24" t="s">
        <v>69</v>
      </c>
      <c r="B35" s="25" t="n">
        <v>0</v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</row>
    <row r="36" customFormat="false" ht="15" hidden="false" customHeight="false" outlineLevel="0" collapsed="false">
      <c r="A36" s="24" t="s">
        <v>70</v>
      </c>
      <c r="B36" s="25" t="n">
        <v>0</v>
      </c>
      <c r="C36" s="25" t="n">
        <v>0</v>
      </c>
      <c r="D36" s="25" t="n">
        <v>0</v>
      </c>
      <c r="E36" s="25" t="n">
        <v>0</v>
      </c>
      <c r="F36" s="25" t="n">
        <v>0</v>
      </c>
      <c r="G36" s="25" t="n">
        <v>0</v>
      </c>
      <c r="H36" s="25" t="n">
        <v>0</v>
      </c>
      <c r="I36" s="25" t="n">
        <v>0</v>
      </c>
      <c r="J36" s="25" t="n">
        <v>0</v>
      </c>
      <c r="K36" s="25" t="n">
        <v>0</v>
      </c>
      <c r="L36" s="25" t="n">
        <v>0</v>
      </c>
      <c r="M36" s="25" t="n">
        <v>0</v>
      </c>
    </row>
    <row r="37" customFormat="false" ht="15" hidden="false" customHeight="false" outlineLevel="0" collapsed="false">
      <c r="A37" s="24" t="s">
        <v>71</v>
      </c>
      <c r="B37" s="25" t="n">
        <v>0</v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</v>
      </c>
    </row>
    <row r="38" customFormat="false" ht="15" hidden="false" customHeight="false" outlineLevel="0" collapsed="false">
      <c r="A38" s="24" t="s">
        <v>72</v>
      </c>
      <c r="B38" s="25" t="n">
        <v>0</v>
      </c>
      <c r="C38" s="25" t="n">
        <v>0</v>
      </c>
      <c r="D38" s="25" t="n">
        <v>0</v>
      </c>
      <c r="E38" s="25" t="n">
        <v>0</v>
      </c>
      <c r="F38" s="25" t="n">
        <v>410000</v>
      </c>
      <c r="G38" s="25" t="n">
        <v>410000</v>
      </c>
      <c r="H38" s="25" t="n">
        <v>410000</v>
      </c>
      <c r="I38" s="25" t="n">
        <v>410000</v>
      </c>
      <c r="J38" s="25" t="n">
        <v>410000</v>
      </c>
      <c r="K38" s="25" t="n">
        <v>410000</v>
      </c>
      <c r="L38" s="25" t="n">
        <v>410000</v>
      </c>
      <c r="M38" s="25" t="n">
        <v>410000</v>
      </c>
    </row>
    <row r="39" customFormat="false" ht="15" hidden="false" customHeight="false" outlineLevel="0" collapsed="false">
      <c r="A39" s="24" t="s">
        <v>73</v>
      </c>
      <c r="B39" s="25" t="n">
        <v>0</v>
      </c>
      <c r="C39" s="25" t="n">
        <v>0</v>
      </c>
      <c r="D39" s="25" t="n">
        <v>0</v>
      </c>
      <c r="E39" s="25" t="n">
        <v>0</v>
      </c>
      <c r="F39" s="25" t="n">
        <v>86964</v>
      </c>
      <c r="G39" s="25" t="n">
        <v>90674</v>
      </c>
      <c r="H39" s="25" t="n">
        <v>86964</v>
      </c>
      <c r="I39" s="25" t="n">
        <v>90674</v>
      </c>
      <c r="J39" s="25" t="n">
        <v>86964</v>
      </c>
      <c r="K39" s="25" t="n">
        <v>90674</v>
      </c>
      <c r="L39" s="25" t="n">
        <v>86964</v>
      </c>
      <c r="M39" s="25" t="n">
        <v>90674</v>
      </c>
    </row>
    <row r="40" customFormat="false" ht="15" hidden="false" customHeight="false" outlineLevel="0" collapsed="false">
      <c r="A40" s="24" t="s">
        <v>74</v>
      </c>
      <c r="B40" s="25" t="n">
        <v>0</v>
      </c>
      <c r="C40" s="25" t="n">
        <v>0</v>
      </c>
      <c r="D40" s="25" t="n">
        <v>0</v>
      </c>
      <c r="E40" s="25" t="n">
        <v>0</v>
      </c>
      <c r="F40" s="25" t="n">
        <v>0</v>
      </c>
      <c r="G40" s="25" t="n">
        <v>0</v>
      </c>
      <c r="H40" s="25" t="n">
        <v>0</v>
      </c>
      <c r="I40" s="25" t="n">
        <v>0</v>
      </c>
      <c r="J40" s="25" t="n">
        <v>0</v>
      </c>
      <c r="K40" s="25" t="n">
        <v>0</v>
      </c>
      <c r="L40" s="25" t="n">
        <v>0</v>
      </c>
      <c r="M40" s="25" t="n">
        <v>0</v>
      </c>
    </row>
    <row r="41" customFormat="false" ht="15" hidden="false" customHeight="false" outlineLevel="0" collapsed="false">
      <c r="A41" s="24" t="s">
        <v>75</v>
      </c>
      <c r="B41" s="25" t="n">
        <v>0</v>
      </c>
      <c r="C41" s="25" t="n">
        <v>0</v>
      </c>
      <c r="D41" s="25" t="n">
        <v>2562129</v>
      </c>
      <c r="E41" s="25" t="n">
        <v>2562129</v>
      </c>
      <c r="F41" s="25" t="n">
        <v>0</v>
      </c>
      <c r="G41" s="25" t="n">
        <v>0</v>
      </c>
      <c r="H41" s="25" t="n">
        <v>0</v>
      </c>
      <c r="I41" s="25" t="n">
        <v>0</v>
      </c>
      <c r="J41" s="25" t="n">
        <v>0</v>
      </c>
      <c r="K41" s="25" t="n">
        <v>0</v>
      </c>
      <c r="L41" s="25" t="n">
        <v>2562129</v>
      </c>
      <c r="M41" s="25" t="n">
        <v>2562129</v>
      </c>
    </row>
    <row r="42" customFormat="false" ht="15" hidden="false" customHeight="false" outlineLevel="0" collapsed="false">
      <c r="A42" s="24" t="s">
        <v>76</v>
      </c>
      <c r="B42" s="25" t="n">
        <v>428</v>
      </c>
      <c r="C42" s="25" t="n">
        <v>428</v>
      </c>
      <c r="D42" s="25" t="n">
        <v>428</v>
      </c>
      <c r="E42" s="25" t="n">
        <v>428</v>
      </c>
      <c r="F42" s="25" t="n">
        <v>23144</v>
      </c>
      <c r="G42" s="25" t="n">
        <v>23144</v>
      </c>
      <c r="H42" s="25" t="n">
        <v>23144</v>
      </c>
      <c r="I42" s="25" t="n">
        <v>23144</v>
      </c>
      <c r="J42" s="25" t="n">
        <v>23572</v>
      </c>
      <c r="K42" s="25" t="n">
        <v>23572</v>
      </c>
      <c r="L42" s="25" t="n">
        <v>23572</v>
      </c>
      <c r="M42" s="25" t="n">
        <v>23572</v>
      </c>
    </row>
    <row r="43" customFormat="false" ht="15" hidden="false" customHeight="false" outlineLevel="0" collapsed="false">
      <c r="A43" s="26" t="s">
        <v>78</v>
      </c>
      <c r="B43" s="27" t="n">
        <v>17039126</v>
      </c>
      <c r="C43" s="27" t="n">
        <v>16851829</v>
      </c>
      <c r="D43" s="27" t="n">
        <v>26255007</v>
      </c>
      <c r="E43" s="27" t="n">
        <v>26027980</v>
      </c>
      <c r="F43" s="27" t="n">
        <v>25414519</v>
      </c>
      <c r="G43" s="27" t="n">
        <v>25101180</v>
      </c>
      <c r="H43" s="27" t="n">
        <v>7818119</v>
      </c>
      <c r="I43" s="27" t="n">
        <v>7494724</v>
      </c>
      <c r="J43" s="27" t="n">
        <v>42453645</v>
      </c>
      <c r="K43" s="27" t="n">
        <v>41953009</v>
      </c>
      <c r="L43" s="27" t="n">
        <v>34073126</v>
      </c>
      <c r="M43" s="27" t="n">
        <v>33522704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30"/>
  </cols>
  <sheetData>
    <row r="1" customFormat="false" ht="16.15" hidden="false" customHeight="false" outlineLevel="0" collapsed="false">
      <c r="A1" s="22" t="s">
        <v>106</v>
      </c>
    </row>
    <row r="3" customFormat="false" ht="15" hidden="false" customHeight="false" outlineLevel="0" collapsed="false">
      <c r="A3" s="32" t="s">
        <v>107</v>
      </c>
      <c r="B3" s="21"/>
    </row>
    <row r="4" customFormat="false" ht="15" hidden="false" customHeight="false" outlineLevel="0" collapsed="false">
      <c r="A4" s="5"/>
      <c r="B4" s="21" t="s">
        <v>108</v>
      </c>
    </row>
    <row r="5" customFormat="false" ht="15" hidden="false" customHeight="false" outlineLevel="0" collapsed="false">
      <c r="A5" s="5"/>
      <c r="B5" s="21" t="s">
        <v>109</v>
      </c>
    </row>
    <row r="6" customFormat="false" ht="15" hidden="false" customHeight="false" outlineLevel="0" collapsed="false">
      <c r="A6" s="32" t="s">
        <v>110</v>
      </c>
      <c r="B6" s="21" t="s">
        <v>111</v>
      </c>
    </row>
    <row r="7" customFormat="false" ht="15" hidden="false" customHeight="false" outlineLevel="0" collapsed="false">
      <c r="A7" s="5"/>
      <c r="B7" s="21" t="s">
        <v>112</v>
      </c>
    </row>
    <row r="8" customFormat="false" ht="15" hidden="false" customHeight="false" outlineLevel="0" collapsed="false">
      <c r="A8" s="5"/>
      <c r="B8" s="21" t="s">
        <v>113</v>
      </c>
    </row>
    <row r="9" customFormat="false" ht="15" hidden="false" customHeight="false" outlineLevel="0" collapsed="false">
      <c r="A9" s="5"/>
      <c r="B9" s="21" t="s">
        <v>114</v>
      </c>
    </row>
    <row r="10" customFormat="false" ht="15" hidden="false" customHeight="false" outlineLevel="0" collapsed="false">
      <c r="A10" s="5"/>
      <c r="B10" s="21" t="s">
        <v>115</v>
      </c>
    </row>
    <row r="11" customFormat="false" ht="15" hidden="false" customHeight="false" outlineLevel="0" collapsed="false">
      <c r="A11" s="5"/>
      <c r="B11" s="21" t="s">
        <v>116</v>
      </c>
    </row>
    <row r="12" customFormat="false" ht="15" hidden="false" customHeight="false" outlineLevel="0" collapsed="false">
      <c r="A12" s="5"/>
      <c r="B12" s="21" t="s">
        <v>117</v>
      </c>
    </row>
    <row r="13" customFormat="false" ht="15" hidden="false" customHeight="false" outlineLevel="0" collapsed="false">
      <c r="A13" s="5"/>
      <c r="B13" s="21" t="s">
        <v>118</v>
      </c>
    </row>
    <row r="14" customFormat="false" ht="15" hidden="false" customHeight="false" outlineLevel="0" collapsed="false">
      <c r="A14" s="5"/>
      <c r="B14" s="21" t="s">
        <v>119</v>
      </c>
    </row>
    <row r="15" customFormat="false" ht="15" hidden="false" customHeight="false" outlineLevel="0" collapsed="false">
      <c r="A15" s="5"/>
      <c r="B15" s="21" t="s">
        <v>120</v>
      </c>
    </row>
    <row r="16" customFormat="false" ht="15" hidden="false" customHeight="false" outlineLevel="0" collapsed="false">
      <c r="A16" s="32" t="s">
        <v>121</v>
      </c>
      <c r="B16" s="21"/>
    </row>
    <row r="17" customFormat="false" ht="15" hidden="false" customHeight="false" outlineLevel="0" collapsed="false">
      <c r="A17" s="5"/>
      <c r="B17" s="21" t="s">
        <v>122</v>
      </c>
    </row>
    <row r="18" customFormat="false" ht="15" hidden="false" customHeight="false" outlineLevel="0" collapsed="false">
      <c r="A18" s="5"/>
      <c r="B18" s="21" t="s">
        <v>123</v>
      </c>
    </row>
    <row r="19" customFormat="false" ht="15" hidden="false" customHeight="false" outlineLevel="0" collapsed="false">
      <c r="A19" s="5"/>
      <c r="B19" s="21" t="s">
        <v>124</v>
      </c>
    </row>
    <row r="20" customFormat="false" ht="15" hidden="false" customHeight="false" outlineLevel="0" collapsed="false">
      <c r="A20" s="32" t="s">
        <v>125</v>
      </c>
      <c r="B20" s="21"/>
    </row>
    <row r="21" customFormat="false" ht="15" hidden="false" customHeight="false" outlineLevel="0" collapsed="false">
      <c r="A21" s="5"/>
      <c r="B21" s="21" t="s">
        <v>126</v>
      </c>
    </row>
    <row r="22" customFormat="false" ht="15" hidden="false" customHeight="false" outlineLevel="0" collapsed="false">
      <c r="A22" s="5"/>
      <c r="B22" s="21" t="s">
        <v>127</v>
      </c>
    </row>
    <row r="23" customFormat="false" ht="15" hidden="false" customHeight="false" outlineLevel="0" collapsed="false">
      <c r="A23" s="5"/>
      <c r="B23" s="21" t="s">
        <v>128</v>
      </c>
    </row>
    <row r="24" customFormat="false" ht="15" hidden="false" customHeight="false" outlineLevel="0" collapsed="false">
      <c r="A24" s="5"/>
      <c r="B24" s="21" t="s">
        <v>129</v>
      </c>
    </row>
    <row r="25" customFormat="false" ht="15" hidden="false" customHeight="false" outlineLevel="0" collapsed="false">
      <c r="A25" s="5"/>
      <c r="B25" s="21" t="s">
        <v>130</v>
      </c>
    </row>
    <row r="26" customFormat="false" ht="15" hidden="false" customHeight="false" outlineLevel="0" collapsed="false">
      <c r="A26" s="5"/>
      <c r="B26" s="21" t="s">
        <v>131</v>
      </c>
    </row>
    <row r="27" customFormat="false" ht="15" hidden="false" customHeight="false" outlineLevel="0" collapsed="false">
      <c r="A27" s="5"/>
      <c r="B27" s="21" t="s">
        <v>132</v>
      </c>
    </row>
    <row r="28" customFormat="false" ht="15" hidden="false" customHeight="false" outlineLevel="0" collapsed="false">
      <c r="A28" s="5"/>
      <c r="B28" s="21" t="s">
        <v>133</v>
      </c>
    </row>
    <row r="29" customFormat="false" ht="15" hidden="false" customHeight="false" outlineLevel="0" collapsed="false">
      <c r="A29" s="5"/>
      <c r="B29" s="21" t="s">
        <v>134</v>
      </c>
    </row>
    <row r="30" customFormat="false" ht="15" hidden="false" customHeight="false" outlineLevel="0" collapsed="false">
      <c r="A30" s="5"/>
      <c r="B30" s="21" t="s">
        <v>135</v>
      </c>
    </row>
    <row r="31" customFormat="false" ht="15" hidden="false" customHeight="false" outlineLevel="0" collapsed="false">
      <c r="A31" s="5"/>
      <c r="B31" s="21" t="s">
        <v>136</v>
      </c>
    </row>
    <row r="32" customFormat="false" ht="15" hidden="false" customHeight="false" outlineLevel="0" collapsed="false">
      <c r="A32" s="5"/>
      <c r="B32" s="21" t="s">
        <v>137</v>
      </c>
    </row>
    <row r="33" customFormat="false" ht="15" hidden="false" customHeight="false" outlineLevel="0" collapsed="false">
      <c r="A33" s="5"/>
      <c r="B33" s="21" t="s">
        <v>138</v>
      </c>
    </row>
    <row r="34" customFormat="false" ht="15" hidden="false" customHeight="false" outlineLevel="0" collapsed="false">
      <c r="A34" s="5"/>
      <c r="B34" s="21" t="s">
        <v>139</v>
      </c>
    </row>
    <row r="35" customFormat="false" ht="15" hidden="false" customHeight="false" outlineLevel="0" collapsed="false">
      <c r="A35" s="32" t="s">
        <v>140</v>
      </c>
      <c r="B35" s="21"/>
    </row>
    <row r="36" customFormat="false" ht="15" hidden="false" customHeight="false" outlineLevel="0" collapsed="false">
      <c r="A36" s="5"/>
      <c r="B36" s="21" t="s">
        <v>141</v>
      </c>
    </row>
    <row r="37" customFormat="false" ht="15" hidden="false" customHeight="false" outlineLevel="0" collapsed="false">
      <c r="A37" s="5"/>
      <c r="B37" s="21" t="s">
        <v>142</v>
      </c>
    </row>
    <row r="38" customFormat="false" ht="15" hidden="false" customHeight="false" outlineLevel="0" collapsed="false">
      <c r="A38" s="5"/>
      <c r="B38" s="21" t="s">
        <v>143</v>
      </c>
    </row>
    <row r="39" customFormat="false" ht="15" hidden="false" customHeight="false" outlineLevel="0" collapsed="false">
      <c r="A39" s="5"/>
      <c r="B39" s="21" t="s">
        <v>144</v>
      </c>
    </row>
    <row r="40" customFormat="false" ht="15" hidden="false" customHeight="false" outlineLevel="0" collapsed="false">
      <c r="A40" s="32" t="s">
        <v>145</v>
      </c>
      <c r="B40" s="21"/>
    </row>
    <row r="41" customFormat="false" ht="15" hidden="false" customHeight="false" outlineLevel="0" collapsed="false">
      <c r="A41" s="5"/>
      <c r="B41" s="21" t="s">
        <v>146</v>
      </c>
    </row>
    <row r="42" customFormat="false" ht="15" hidden="false" customHeight="false" outlineLevel="0" collapsed="false">
      <c r="A42" s="5"/>
      <c r="B42" s="21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2026-07-30T02:49:32Z</dcterms:created>
  <dc:creator>openpyxl</dc:creator>
  <dc:description/>
  <dc:language>en-US</dc:language>
  <cp:lastModifiedBy/>
  <dcterms:modified xsi:type="dcterms:W3CDTF">2026-07-30T02:49:32Z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