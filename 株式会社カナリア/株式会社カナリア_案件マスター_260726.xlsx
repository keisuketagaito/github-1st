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2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omments30.xml" ContentType="application/vnd.openxmlformats-officedocument.spreadsheetml.comments+xml"/>
  <Override PartName="/xl/comments26.xml" ContentType="application/vnd.openxmlformats-officedocument.spreadsheetml.comments+xml"/>
  <Override PartName="/xl/styles.xml" ContentType="application/vnd.openxmlformats-officedocument.spreadsheetml.styles+xml"/>
  <Override PartName="/xl/comments21.xml" ContentType="application/vnd.openxmlformats-officedocument.spreadsheetml.comments+xml"/>
  <Override PartName="/xl/worksheets/_rels/sheet4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9.xml.rels" ContentType="application/vnd.openxmlformats-package.relationships+xml"/>
  <Override PartName="/xl/worksheets/_rels/sheet30.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3.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comments20.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comments22.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2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ルール" sheetId="1" state="visible" r:id="rId3"/>
    <sheet name="財務入力→" sheetId="2" state="visible" r:id="rId4"/>
    <sheet name="BS(借方)" sheetId="3" state="visible" r:id="rId5"/>
    <sheet name="BS (貸方)" sheetId="4" state="visible" r:id="rId6"/>
    <sheet name="PL" sheetId="5" state="visible" r:id="rId7"/>
    <sheet name="CR" sheetId="6" state="visible" r:id="rId8"/>
    <sheet name="SGA" sheetId="7" state="visible" r:id="rId9"/>
    <sheet name="VR→ " sheetId="8" state="visible" r:id="rId10"/>
    <sheet name="株式価値 " sheetId="9" state="visible" r:id="rId11"/>
    <sheet name="修正BS(借方)" sheetId="10" state="visible" r:id="rId12"/>
    <sheet name="売掛・棚卸" sheetId="11" state="visible" r:id="rId13"/>
    <sheet name="減価償却" sheetId="12" state="visible" r:id="rId14"/>
    <sheet name="土地" sheetId="13" state="visible" r:id="rId15"/>
    <sheet name="保険" sheetId="14" state="visible" r:id="rId16"/>
    <sheet name="有価証券" sheetId="15" state="visible" r:id="rId17"/>
    <sheet name="修正BS(貸方) " sheetId="16" state="visible" r:id="rId18"/>
    <sheet name="未払人件費・賞与" sheetId="17" state="visible" r:id="rId19"/>
    <sheet name="退職金" sheetId="18" state="visible" r:id="rId20"/>
    <sheet name="税効果" sheetId="19" state="visible" r:id="rId21"/>
    <sheet name="分割後BS" sheetId="20" state="visible" r:id="rId22"/>
    <sheet name="ネットキャッシュ" sheetId="21" state="visible" r:id="rId23"/>
    <sheet name="修正PL" sheetId="22" state="visible" r:id="rId24"/>
    <sheet name="修正SGA" sheetId="23" state="visible" r:id="rId25"/>
    <sheet name="修正CR" sheetId="24" state="visible" r:id="rId26"/>
    <sheet name="年買法" sheetId="25" state="visible" r:id="rId27"/>
    <sheet name="EV EBITDAマルチプル" sheetId="26" state="visible" r:id="rId28"/>
    <sheet name="参照企業" sheetId="27" state="visible" r:id="rId29"/>
    <sheet name="IM→" sheetId="28" state="visible" r:id="rId30"/>
    <sheet name="会社概要" sheetId="29" state="visible" r:id="rId31"/>
    <sheet name="PLハイライト" sheetId="30" state="visible" r:id="rId32"/>
    <sheet name="BSハイライト" sheetId="31" state="visible" r:id="rId33"/>
    <sheet name="取引先" sheetId="32" state="visible" r:id="rId34"/>
    <sheet name="仕入先" sheetId="33" state="visible" r:id="rId35"/>
    <sheet name="外注先" sheetId="34" state="visible" r:id="rId36"/>
    <sheet name="株主" sheetId="35" state="visible" r:id="rId37"/>
    <sheet name="取締役" sheetId="36" state="visible" r:id="rId38"/>
    <sheet name="従業員" sheetId="37" state="visible" r:id="rId39"/>
    <sheet name="拠点(本社等)" sheetId="38" state="visible" r:id="rId40"/>
    <sheet name="不動産(所有)" sheetId="39" state="visible" r:id="rId41"/>
    <sheet name="不動産(賃借) " sheetId="40" state="visible" r:id="rId42"/>
    <sheet name="設備" sheetId="41" state="visible" r:id="rId43"/>
    <sheet name="財務" sheetId="42" state="visible" r:id="rId44"/>
    <sheet name="その他" sheetId="43" state="visible" r:id="rId45"/>
    <sheet name="スケジュール(横)" sheetId="44" state="visible" r:id="rId46"/>
    <sheet name="スケジュール(縦)" sheetId="45" state="visible" r:id="rId47"/>
    <sheet name="グラフ" sheetId="46" state="visible" r:id="rId48"/>
    <sheet name="表" sheetId="47" state="visible" r:id="rId49"/>
  </sheet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D8" authorId="0">
      <text>
        <r>
          <rPr>
            <sz val="10"/>
            <rFont val="WenQuanYi Zen Hei"/>
            <family val="2"/>
          </rPr>
          <t xml:space="preserve">売掛債権は個別に回収可能性を判断するため、貸倒引当金は全額控除（戻入）する。</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94" authorId="0">
      <text>
        <r>
          <rPr>
            <sz val="10"/>
            <rFont val="WenQuanYi Zen Hei"/>
            <family val="2"/>
          </rPr>
          <t xml:space="preserve">新設分割により新設会社へ承継する純資産（承継資産－承継負債）。
分割型（人的）分割を前提とし、分割会社の純資産が同額減少するものとしている。</t>
        </r>
      </text>
    </comment>
    <comment ref="D8" authorId="0">
      <text>
        <r>
          <rPr>
            <sz val="10"/>
            <rFont val="WenQuanYi Zen Hei"/>
            <family val="2"/>
          </rPr>
          <t xml:space="preserve">売掛債権は個別に回収可能性を判断するため、貸倒引当金は全額控除（戻入）する。</t>
        </r>
      </text>
    </comment>
    <comment ref="D23" authorId="0">
      <text>
        <r>
          <rPr>
            <sz val="10"/>
            <rFont val="WenQuanYi Zen Hei"/>
            <family val="2"/>
          </rPr>
          <t xml:space="preserve">新設分割により新設会社へ承継する非事業用資産（面談議事録 </t>
        </r>
        <r>
          <rPr>
            <sz val="10"/>
            <rFont val="Arial"/>
            <family val="2"/>
          </rPr>
          <t xml:space="preserve">2026/7 </t>
        </r>
        <r>
          <rPr>
            <sz val="10"/>
            <rFont val="WenQuanYi Zen Hei"/>
            <family val="2"/>
          </rPr>
          <t xml:space="preserve">にて対象に追加）。</t>
        </r>
      </text>
    </comment>
    <comment ref="D47" authorId="0">
      <text>
        <r>
          <rPr>
            <sz val="10"/>
            <rFont val="WenQuanYi Zen Hei"/>
            <family val="2"/>
          </rPr>
          <t xml:space="preserve">新設分割により新設会社へ承継する非事業用資産。</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C5" authorId="0">
      <text>
        <r>
          <rPr>
            <sz val="10"/>
            <rFont val="WenQuanYi Zen Hei"/>
            <family val="2"/>
          </rPr>
          <t xml:space="preserve">投資有価証券</t>
        </r>
        <r>
          <rPr>
            <sz val="10"/>
            <rFont val="Arial"/>
            <family val="2"/>
          </rPr>
          <t xml:space="preserve">275,896</t>
        </r>
        <r>
          <rPr>
            <sz val="10"/>
            <rFont val="WenQuanYi Zen Hei"/>
            <family val="2"/>
          </rPr>
          <t xml:space="preserve">千円は総資産の約</t>
        </r>
        <r>
          <rPr>
            <sz val="10"/>
            <rFont val="Arial"/>
            <family val="2"/>
          </rPr>
          <t xml:space="preserve">50%</t>
        </r>
        <r>
          <rPr>
            <sz val="10"/>
            <rFont val="WenQuanYi Zen Hei"/>
            <family val="2"/>
          </rPr>
          <t xml:space="preserve">を占める。事業運営に供されていない運用資産と判断し
キャッシュライクアイテムとして取扱う（事業性の有無は要確認事項）。</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D17" authorId="0">
      <text>
        <r>
          <rPr>
            <sz val="10"/>
            <rFont val="WenQuanYi Zen Hei"/>
            <family val="2"/>
          </rPr>
          <t xml:space="preserve">棚卸資産廃棄損は</t>
        </r>
        <r>
          <rPr>
            <sz val="10"/>
            <rFont val="Arial"/>
            <family val="2"/>
          </rPr>
          <t xml:space="preserve">3</t>
        </r>
        <r>
          <rPr>
            <sz val="10"/>
            <rFont val="WenQuanYi Zen Hei"/>
            <family val="2"/>
          </rPr>
          <t xml:space="preserve">期連続で発生し、かつ増加傾向にある。版権グッズ事業に構造的に内在する費用と判断し、
他勘定振替高を戻し入れ（＝売上原価に算入）、特別損失計上額を控除することで営業費用として認識する。</t>
        </r>
      </text>
    </comment>
    <comment ref="D24" authorId="0">
      <text>
        <r>
          <rPr>
            <sz val="10"/>
            <rFont val="WenQuanYi Zen Hei"/>
            <family val="2"/>
          </rPr>
          <t xml:space="preserve">受取利息・受取配当金は非事業用資産（投資有価証券）からの収益であり、事業の正常収益力から除外する。</t>
        </r>
      </text>
    </comment>
    <comment ref="D31" authorId="0">
      <text>
        <r>
          <rPr>
            <sz val="10"/>
            <rFont val="WenQuanYi Zen Hei"/>
            <family val="2"/>
          </rPr>
          <t xml:space="preserve">資金の調達方法から独立した会社財産の収益獲得力を評価するため控除する。</t>
        </r>
      </text>
    </comment>
    <comment ref="D46" authorId="0">
      <text>
        <r>
          <rPr>
            <sz val="10"/>
            <rFont val="WenQuanYi Zen Hei"/>
            <family val="2"/>
          </rPr>
          <t xml:space="preserve">特別保険料はオーナー一族に係る保険料と推定され、譲渡後は発生しない見込みのため控除する。</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D5" authorId="0">
      <text>
        <r>
          <rPr>
            <sz val="10"/>
            <rFont val="WenQuanYi Zen Hei"/>
            <family val="2"/>
          </rPr>
          <t xml:space="preserve">現経営陣（野口紘・野口文枝・野口聰江）は譲渡に伴い退任予定。
新体制の標準役員報酬を社長</t>
        </r>
        <r>
          <rPr>
            <sz val="10"/>
            <rFont val="Arial"/>
            <family val="2"/>
          </rPr>
          <t xml:space="preserve">1</t>
        </r>
        <r>
          <rPr>
            <sz val="10"/>
            <rFont val="WenQuanYi Zen Hei"/>
            <family val="2"/>
          </rPr>
          <t xml:space="preserve">名 </t>
        </r>
        <r>
          <rPr>
            <sz val="10"/>
            <rFont val="Arial"/>
            <family val="2"/>
          </rPr>
          <t xml:space="preserve">12,000</t>
        </r>
        <r>
          <rPr>
            <sz val="10"/>
            <rFont val="WenQuanYi Zen Hei"/>
            <family val="2"/>
          </rPr>
          <t xml:space="preserve">千円</t>
        </r>
        <r>
          <rPr>
            <sz val="10"/>
            <rFont val="Arial"/>
            <family val="2"/>
          </rPr>
          <t xml:space="preserve">/</t>
        </r>
        <r>
          <rPr>
            <sz val="10"/>
            <rFont val="WenQuanYi Zen Hei"/>
            <family val="2"/>
          </rPr>
          <t xml:space="preserve">年と仮定して置換える。</t>
        </r>
      </text>
    </comment>
    <comment ref="D10" authorId="0">
      <text>
        <r>
          <rPr>
            <sz val="10"/>
            <rFont val="WenQuanYi Zen Hei"/>
            <family val="2"/>
          </rPr>
          <t xml:space="preserve">役員報酬・役員賞与の増減に対し概算料率</t>
        </r>
        <r>
          <rPr>
            <sz val="10"/>
            <rFont val="Arial"/>
            <family val="2"/>
          </rPr>
          <t xml:space="preserve">15%</t>
        </r>
        <r>
          <rPr>
            <sz val="10"/>
            <rFont val="WenQuanYi Zen Hei"/>
            <family val="2"/>
          </rPr>
          <t xml:space="preserve">で社会保険料を調整。</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G8" authorId="0">
      <text>
        <r>
          <rPr>
            <sz val="10"/>
            <rFont val="WenQuanYi Zen Hei"/>
            <family val="2"/>
          </rPr>
          <t xml:space="preserve">原テンプレートは</t>
        </r>
        <r>
          <rPr>
            <sz val="10"/>
            <rFont val="Arial"/>
            <family val="2"/>
          </rPr>
          <t xml:space="preserve">=SUM(G5:G7)</t>
        </r>
        <r>
          <rPr>
            <sz val="10"/>
            <rFont val="WenQuanYi Zen Hei"/>
            <family val="2"/>
          </rPr>
          <t xml:space="preserve">で修正額を二重計上していたため、</t>
        </r>
        <r>
          <rPr>
            <sz val="10"/>
            <rFont val="Arial"/>
            <family val="2"/>
          </rPr>
          <t xml:space="preserve">=SUM(G6:G7)</t>
        </r>
        <r>
          <rPr>
            <sz val="10"/>
            <rFont val="WenQuanYi Zen Hei"/>
            <family val="2"/>
          </rPr>
          <t xml:space="preserve">に修正。</t>
        </r>
      </text>
    </comment>
    <comment ref="H10" authorId="0">
      <text>
        <r>
          <rPr>
            <sz val="10"/>
            <rFont val="WenQuanYi Zen Hei"/>
            <family val="2"/>
          </rPr>
          <t xml:space="preserve">基準営業利益＝直近期</t>
        </r>
        <r>
          <rPr>
            <sz val="10"/>
            <rFont val="Arial"/>
            <family val="2"/>
          </rPr>
          <t xml:space="preserve">50%</t>
        </r>
        <r>
          <rPr>
            <sz val="10"/>
            <rFont val="WenQuanYi Zen Hei"/>
            <family val="2"/>
          </rPr>
          <t xml:space="preserve">・前期</t>
        </r>
        <r>
          <rPr>
            <sz val="10"/>
            <rFont val="Arial"/>
            <family val="2"/>
          </rPr>
          <t xml:space="preserve">30%</t>
        </r>
        <r>
          <rPr>
            <sz val="10"/>
            <rFont val="WenQuanYi Zen Hei"/>
            <family val="2"/>
          </rPr>
          <t xml:space="preserve">・前々期</t>
        </r>
        <r>
          <rPr>
            <sz val="10"/>
            <rFont val="Arial"/>
            <family val="2"/>
          </rPr>
          <t xml:space="preserve">20%</t>
        </r>
        <r>
          <rPr>
            <sz val="10"/>
            <rFont val="WenQuanYi Zen Hei"/>
            <family val="2"/>
          </rPr>
          <t xml:space="preserve">の加重平均（税考慮後）。</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K5" authorId="0">
      <text>
        <r>
          <rPr>
            <sz val="10"/>
            <rFont val="WenQuanYi Zen Hei"/>
            <family val="2"/>
          </rPr>
          <t xml:space="preserve">上場類似会社の株価倍率には市場性（流動性）が織込まれているため、非上場株式への適用にあたり
非流動性ディスカウント</t>
        </r>
        <r>
          <rPr>
            <sz val="10"/>
            <rFont val="Arial"/>
            <family val="2"/>
          </rPr>
          <t xml:space="preserve">30%</t>
        </r>
        <r>
          <rPr>
            <sz val="10"/>
            <rFont val="WenQuanYi Zen Hei"/>
            <family val="2"/>
          </rPr>
          <t xml:space="preserve">を控除する。</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B18" authorId="0">
      <text>
        <r>
          <rPr>
            <sz val="10"/>
            <rFont val="WenQuanYi Zen Hei"/>
            <family val="2"/>
          </rPr>
          <t xml:space="preserve">現経営陣</t>
        </r>
        <r>
          <rPr>
            <sz val="10"/>
            <rFont val="Arial"/>
            <family val="2"/>
          </rPr>
          <t xml:space="preserve">3</t>
        </r>
        <r>
          <rPr>
            <sz val="10"/>
            <rFont val="WenQuanYi Zen Hei"/>
            <family val="2"/>
          </rPr>
          <t xml:space="preserve">名は譲渡に伴い退任予定。新体制の標準役員報酬を社長</t>
        </r>
        <r>
          <rPr>
            <sz val="10"/>
            <rFont val="Arial"/>
            <family val="2"/>
          </rPr>
          <t xml:space="preserve">1</t>
        </r>
        <r>
          <rPr>
            <sz val="10"/>
            <rFont val="WenQuanYi Zen Hei"/>
            <family val="2"/>
          </rPr>
          <t xml:space="preserve">名</t>
        </r>
        <r>
          <rPr>
            <sz val="10"/>
            <rFont val="Arial"/>
            <family val="2"/>
          </rPr>
          <t xml:space="preserve">12,000</t>
        </r>
        <r>
          <rPr>
            <sz val="10"/>
            <rFont val="WenQuanYi Zen Hei"/>
            <family val="2"/>
          </rPr>
          <t xml:space="preserve">千円</t>
        </r>
        <r>
          <rPr>
            <sz val="10"/>
            <rFont val="Arial"/>
            <family val="2"/>
          </rPr>
          <t xml:space="preserve">/</t>
        </r>
        <r>
          <rPr>
            <sz val="10"/>
            <rFont val="WenQuanYi Zen Hei"/>
            <family val="2"/>
          </rPr>
          <t xml:space="preserve">年と仮定して置換える。</t>
        </r>
      </text>
    </comment>
    <comment ref="B23" authorId="0">
      <text>
        <r>
          <rPr>
            <sz val="10"/>
            <rFont val="WenQuanYi Zen Hei"/>
            <family val="2"/>
          </rPr>
          <t xml:space="preserve">棚卸資産廃棄損は</t>
        </r>
        <r>
          <rPr>
            <sz val="10"/>
            <rFont val="Arial"/>
            <family val="2"/>
          </rPr>
          <t xml:space="preserve">3</t>
        </r>
        <r>
          <rPr>
            <sz val="10"/>
            <rFont val="WenQuanYi Zen Hei"/>
            <family val="2"/>
          </rPr>
          <t xml:space="preserve">期連続で発生。事業に構造的に内在する費用と判断し、営業費用として認識する。</t>
        </r>
      </text>
    </comment>
  </commentList>
</comments>
</file>

<file path=xl/sharedStrings.xml><?xml version="1.0" encoding="utf-8"?>
<sst xmlns="http://schemas.openxmlformats.org/spreadsheetml/2006/main" count="1360" uniqueCount="597">
  <si>
    <t xml:space="preserve">文字は「游ゴシック」、数字は「Arial」を基本。備考欄などの細かい文章は「游ゴシック Medium」。</t>
  </si>
  <si>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</si>
  <si>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</si>
  <si>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</si>
  <si>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</si>
  <si>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</si>
  <si>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</si>
  <si>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</si>
  <si>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</si>
  <si>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</si>
  <si>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</si>
  <si>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</si>
  <si>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WenQuanYi Zen Hei"/>
        <family val="2"/>
      </rPr>
      <t xml:space="preserve">期目</t>
    </r>
  </si>
  <si>
    <r>
      <rPr>
        <b val="true"/>
        <sz val="11"/>
        <color rgb="FFFF0000"/>
        <rFont val="游ゴシック Medium"/>
        <family val="3"/>
        <charset val="128"/>
      </rPr>
      <t xml:space="preserve">2</t>
    </r>
    <r>
      <rPr>
        <b val="true"/>
        <sz val="11"/>
        <color rgb="FFFF0000"/>
        <rFont val="WenQuanYi Zen Hei"/>
        <family val="2"/>
      </rPr>
      <t xml:space="preserve">期目</t>
    </r>
  </si>
  <si>
    <r>
      <rPr>
        <b val="true"/>
        <sz val="11"/>
        <color rgb="FFFF0000"/>
        <rFont val="游ゴシック Medium"/>
        <family val="3"/>
        <charset val="128"/>
      </rPr>
      <t xml:space="preserve">3</t>
    </r>
    <r>
      <rPr>
        <b val="true"/>
        <sz val="11"/>
        <color rgb="FFFF0000"/>
        <rFont val="WenQuanYi Zen Hei"/>
        <family val="2"/>
      </rPr>
      <t xml:space="preserve">期目</t>
    </r>
  </si>
  <si>
    <t xml:space="preserve">（4期目）</t>
  </si>
  <si>
    <t xml:space="preserve">進行期</t>
  </si>
  <si>
    <r>
      <rPr>
        <b val="true"/>
        <sz val="12"/>
        <color theme="0"/>
        <rFont val="游ゴシック"/>
        <family val="3"/>
        <charset val="128"/>
      </rPr>
      <t xml:space="preserve">24</t>
    </r>
    <r>
      <rPr>
        <b val="true"/>
        <sz val="12"/>
        <color theme="0"/>
        <rFont val="WenQuanYi Zen Hei"/>
        <family val="2"/>
      </rPr>
      <t xml:space="preserve">年</t>
    </r>
    <r>
      <rPr>
        <b val="true"/>
        <sz val="12"/>
        <color theme="0"/>
        <rFont val="游ゴシック"/>
        <family val="3"/>
        <charset val="128"/>
      </rPr>
      <t xml:space="preserve">1</t>
    </r>
    <r>
      <rPr>
        <b val="true"/>
        <sz val="12"/>
        <color theme="0"/>
        <rFont val="WenQuanYi Zen Hei"/>
        <family val="2"/>
      </rPr>
      <t xml:space="preserve">月期</t>
    </r>
  </si>
  <si>
    <r>
      <rPr>
        <b val="true"/>
        <sz val="12"/>
        <color theme="0"/>
        <rFont val="游ゴシック"/>
        <family val="3"/>
        <charset val="128"/>
      </rPr>
      <t xml:space="preserve">25</t>
    </r>
    <r>
      <rPr>
        <b val="true"/>
        <sz val="12"/>
        <color theme="0"/>
        <rFont val="WenQuanYi Zen Hei"/>
        <family val="2"/>
      </rPr>
      <t xml:space="preserve">年</t>
    </r>
    <r>
      <rPr>
        <b val="true"/>
        <sz val="12"/>
        <color theme="0"/>
        <rFont val="游ゴシック"/>
        <family val="3"/>
        <charset val="128"/>
      </rPr>
      <t xml:space="preserve">1</t>
    </r>
    <r>
      <rPr>
        <b val="true"/>
        <sz val="12"/>
        <color theme="0"/>
        <rFont val="WenQuanYi Zen Hei"/>
        <family val="2"/>
      </rPr>
      <t xml:space="preserve">月期</t>
    </r>
  </si>
  <si>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1</t>
    </r>
    <r>
      <rPr>
        <b val="true"/>
        <sz val="12"/>
        <color theme="0"/>
        <rFont val="WenQuanYi Zen Hei"/>
        <family val="2"/>
      </rPr>
      <t xml:space="preserve">月期</t>
    </r>
  </si>
  <si>
    <t xml:space="preserve">●●年●月期</t>
  </si>
  <si>
    <t xml:space="preserve">●●年●月
（●か月TB）</t>
  </si>
  <si>
    <t xml:space="preserve">売掛金</t>
  </si>
  <si>
    <t xml:space="preserve">貸倒引当金</t>
  </si>
  <si>
    <t xml:space="preserve">商品</t>
  </si>
  <si>
    <t xml:space="preserve">証紙</t>
  </si>
  <si>
    <t xml:space="preserve">前渡金</t>
  </si>
  <si>
    <t xml:space="preserve">立替金</t>
  </si>
  <si>
    <t xml:space="preserve">前払費用</t>
  </si>
  <si>
    <t xml:space="preserve">未収入金</t>
  </si>
  <si>
    <t xml:space="preserve">仮払税</t>
  </si>
  <si>
    <t xml:space="preserve">【固定資産】</t>
  </si>
  <si>
    <t xml:space="preserve">［有形固定資産］</t>
  </si>
  <si>
    <t xml:space="preserve">建物附属設備</t>
  </si>
  <si>
    <t xml:space="preserve">車両運搬具</t>
  </si>
  <si>
    <t xml:space="preserve">工具器具備品</t>
  </si>
  <si>
    <t xml:space="preserve">［無形固定資産］</t>
  </si>
  <si>
    <t xml:space="preserve">ソフトウェア</t>
  </si>
  <si>
    <t xml:space="preserve">［投資その他資産］</t>
  </si>
  <si>
    <t xml:space="preserve">投資有価証券</t>
  </si>
  <si>
    <t xml:space="preserve">出資金</t>
  </si>
  <si>
    <t xml:space="preserve">敷金</t>
  </si>
  <si>
    <t xml:space="preserve">差入保証金</t>
  </si>
  <si>
    <t xml:space="preserve">預託金</t>
  </si>
  <si>
    <t xml:space="preserve">保険積立金</t>
  </si>
  <si>
    <t xml:space="preserve">長期前払費用</t>
  </si>
  <si>
    <t xml:space="preserve">【繰延資産】</t>
  </si>
  <si>
    <t xml:space="preserve">資産合計</t>
  </si>
  <si>
    <t xml:space="preserve">バランスチェック</t>
  </si>
  <si>
    <r>
      <rPr>
        <sz val="11"/>
        <color theme="1"/>
        <rFont val="游ゴシック"/>
        <family val="3"/>
        <charset val="128"/>
      </rPr>
      <t xml:space="preserve">(</t>
    </r>
    <r>
      <rPr>
        <sz val="11"/>
        <color theme="1"/>
        <rFont val="WenQuanYi Zen Hei"/>
        <family val="2"/>
      </rPr>
      <t xml:space="preserve">単位：千円</t>
    </r>
    <r>
      <rPr>
        <sz val="11"/>
        <color theme="1"/>
        <rFont val="游ゴシック"/>
        <family val="3"/>
        <charset val="128"/>
      </rPr>
      <t xml:space="preserve">)</t>
    </r>
  </si>
  <si>
    <t xml:space="preserve">負債の部</t>
  </si>
  <si>
    <t xml:space="preserve">【流動負債】</t>
  </si>
  <si>
    <t xml:space="preserve">買掛金</t>
  </si>
  <si>
    <t xml:space="preserve">未払金</t>
  </si>
  <si>
    <t xml:space="preserve">未払法人税等</t>
  </si>
  <si>
    <t xml:space="preserve">未払消費税等</t>
  </si>
  <si>
    <t xml:space="preserve">預り金</t>
  </si>
  <si>
    <t xml:space="preserve">仮受金</t>
  </si>
  <si>
    <t xml:space="preserve">一年以内返済長期借入金</t>
  </si>
  <si>
    <t xml:space="preserve">【固定負債】</t>
  </si>
  <si>
    <t xml:space="preserve">長期借入金</t>
  </si>
  <si>
    <t xml:space="preserve">負債合計</t>
  </si>
  <si>
    <t xml:space="preserve">純資産の部</t>
  </si>
  <si>
    <t xml:space="preserve">【資本金】</t>
  </si>
  <si>
    <t xml:space="preserve">資本金</t>
  </si>
  <si>
    <t xml:space="preserve">【資本剰余金】</t>
  </si>
  <si>
    <t xml:space="preserve">【利益剰余金】</t>
  </si>
  <si>
    <t xml:space="preserve">繰越利益剰余金</t>
  </si>
  <si>
    <t xml:space="preserve">【自己株式】</t>
  </si>
  <si>
    <t xml:space="preserve">純資産合計</t>
  </si>
  <si>
    <t xml:space="preserve">負債・純資産合計</t>
  </si>
  <si>
    <t xml:space="preserve">●年●月期</t>
  </si>
  <si>
    <t xml:space="preserve">帳簿価額</t>
  </si>
  <si>
    <t xml:space="preserve">売上高比</t>
  </si>
  <si>
    <t xml:space="preserve">売上高</t>
  </si>
  <si>
    <t xml:space="preserve">輸出売上</t>
  </si>
  <si>
    <t xml:space="preserve">期首商品棚卸高</t>
  </si>
  <si>
    <t xml:space="preserve">当期商品仕入高</t>
  </si>
  <si>
    <t xml:space="preserve">（製）支払手数料</t>
  </si>
  <si>
    <t xml:space="preserve">（製）サンプル</t>
  </si>
  <si>
    <t xml:space="preserve">試作費</t>
  </si>
  <si>
    <t xml:space="preserve">（製）外注費</t>
  </si>
  <si>
    <t xml:space="preserve">仕入値引高</t>
  </si>
  <si>
    <t xml:space="preserve">他勘定振替高</t>
  </si>
  <si>
    <t xml:space="preserve">期末商品棚卸高</t>
  </si>
  <si>
    <t xml:space="preserve">売上原価</t>
  </si>
  <si>
    <t xml:space="preserve">売上総利益</t>
  </si>
  <si>
    <t xml:space="preserve">販売費及び一般管理費</t>
  </si>
  <si>
    <t xml:space="preserve">営業利益</t>
  </si>
  <si>
    <t xml:space="preserve">営業外収益</t>
  </si>
  <si>
    <t xml:space="preserve">受取利息</t>
  </si>
  <si>
    <t xml:space="preserve">受取配当金</t>
  </si>
  <si>
    <t xml:space="preserve">貸倒引当金戻入額</t>
  </si>
  <si>
    <t xml:space="preserve">雑収入</t>
  </si>
  <si>
    <t xml:space="preserve">仕入割引</t>
  </si>
  <si>
    <t xml:space="preserve">為替差益</t>
  </si>
  <si>
    <t xml:space="preserve">営業外費用</t>
  </si>
  <si>
    <t xml:space="preserve">支払利息</t>
  </si>
  <si>
    <t xml:space="preserve">雑損失</t>
  </si>
  <si>
    <t xml:space="preserve">経常利益</t>
  </si>
  <si>
    <t xml:space="preserve">特別利益</t>
  </si>
  <si>
    <t xml:space="preserve">投資有価証券売却益</t>
  </si>
  <si>
    <t xml:space="preserve">特別損失</t>
  </si>
  <si>
    <t xml:space="preserve">投資有価証券売却損</t>
  </si>
  <si>
    <t xml:space="preserve">固定資産除却損</t>
  </si>
  <si>
    <t xml:space="preserve">棚卸資産廃棄損</t>
  </si>
  <si>
    <t xml:space="preserve">特別保険料</t>
  </si>
  <si>
    <t xml:space="preserve">税引前当期純利益</t>
  </si>
  <si>
    <t xml:space="preserve">法人税等</t>
  </si>
  <si>
    <t xml:space="preserve">税引後当期純利益</t>
  </si>
  <si>
    <r>
      <rPr>
        <sz val="12"/>
        <color rgb="FFFF0000"/>
        <rFont val="Arial"/>
        <family val="2"/>
        <charset val="1"/>
      </rPr>
      <t xml:space="preserve">IM</t>
    </r>
    <r>
      <rPr>
        <sz val="12"/>
        <color rgb="FFFF0000"/>
        <rFont val="WenQuanYi Zen Hei"/>
        <family val="2"/>
      </rPr>
      <t xml:space="preserve">に貼るときは非表示→</t>
    </r>
  </si>
  <si>
    <t xml:space="preserve">売上</t>
  </si>
  <si>
    <t xml:space="preserve">-</t>
  </si>
  <si>
    <t xml:space="preserve">材料費</t>
  </si>
  <si>
    <t xml:space="preserve">労務費</t>
  </si>
  <si>
    <t xml:space="preserve">外注加工費</t>
  </si>
  <si>
    <t xml:space="preserve">経費</t>
  </si>
  <si>
    <t xml:space="preserve">当期製造費用</t>
  </si>
  <si>
    <t xml:space="preserve">期首仕掛品棚卸高</t>
  </si>
  <si>
    <t xml:space="preserve">合計</t>
  </si>
  <si>
    <t xml:space="preserve">期末仕掛品棚卸高</t>
  </si>
  <si>
    <t xml:space="preserve">当期製造原価</t>
  </si>
  <si>
    <r>
      <rPr>
        <sz val="12"/>
        <color rgb="FFFF0000"/>
        <rFont val="Arial"/>
        <family val="2"/>
        <charset val="1"/>
      </rPr>
      <t xml:space="preserve">←IM</t>
    </r>
    <r>
      <rPr>
        <sz val="12"/>
        <color rgb="FFFF0000"/>
        <rFont val="WenQuanYi Zen Hei"/>
        <family val="2"/>
      </rPr>
      <t xml:space="preserve">に貼るときは非表示</t>
    </r>
  </si>
  <si>
    <t xml:space="preserve">役員報酬</t>
  </si>
  <si>
    <t xml:space="preserve">役員賞与</t>
  </si>
  <si>
    <t xml:space="preserve">給料手当</t>
  </si>
  <si>
    <t xml:space="preserve">雑給</t>
  </si>
  <si>
    <t xml:space="preserve">賞与</t>
  </si>
  <si>
    <t xml:space="preserve">法定福利費</t>
  </si>
  <si>
    <t xml:space="preserve">福利厚生費</t>
  </si>
  <si>
    <t xml:space="preserve">採用教育費</t>
  </si>
  <si>
    <t xml:space="preserve">荷造運賃</t>
  </si>
  <si>
    <t xml:space="preserve">広告宣伝費</t>
  </si>
  <si>
    <t xml:space="preserve">接待交際費</t>
  </si>
  <si>
    <t xml:space="preserve">会議費</t>
  </si>
  <si>
    <t xml:space="preserve">旅費交通費</t>
  </si>
  <si>
    <t xml:space="preserve">通信費</t>
  </si>
  <si>
    <t xml:space="preserve">販売促進費</t>
  </si>
  <si>
    <t xml:space="preserve">事務用消耗品費</t>
  </si>
  <si>
    <t xml:space="preserve">修繕費</t>
  </si>
  <si>
    <t xml:space="preserve">水道光熱費</t>
  </si>
  <si>
    <t xml:space="preserve">諸会費</t>
  </si>
  <si>
    <t xml:space="preserve">支払手数料</t>
  </si>
  <si>
    <t xml:space="preserve">車両費</t>
  </si>
  <si>
    <t xml:space="preserve">地代家賃</t>
  </si>
  <si>
    <t xml:space="preserve">リース料</t>
  </si>
  <si>
    <t xml:space="preserve">保険料</t>
  </si>
  <si>
    <t xml:space="preserve">租税公課</t>
  </si>
  <si>
    <t xml:space="preserve">支払報酬料</t>
  </si>
  <si>
    <t xml:space="preserve">寄付金</t>
  </si>
  <si>
    <t xml:space="preserve">研究開発費</t>
  </si>
  <si>
    <t xml:space="preserve">減価償却費</t>
  </si>
  <si>
    <t xml:space="preserve">貸倒引当金繰入額</t>
  </si>
  <si>
    <t xml:space="preserve">通勤</t>
  </si>
  <si>
    <t xml:space="preserve">販売費および一般管理費合計</t>
  </si>
  <si>
    <t xml:space="preserve">作業不要（自動作成）</t>
  </si>
  <si>
    <t xml:space="preserve">min</t>
  </si>
  <si>
    <t xml:space="preserve">差（グラフ作成用）</t>
  </si>
  <si>
    <t xml:space="preserve">max</t>
  </si>
  <si>
    <t xml:space="preserve">インカム</t>
  </si>
  <si>
    <t xml:space="preserve">ｚ</t>
  </si>
  <si>
    <t xml:space="preserve">マーケット</t>
  </si>
  <si>
    <t xml:space="preserve">コスト</t>
  </si>
  <si>
    <t xml:space="preserve">修正額</t>
  </si>
  <si>
    <t xml:space="preserve">修正後</t>
  </si>
  <si>
    <t xml:space="preserve">【繰延税金資産】</t>
  </si>
  <si>
    <t xml:space="preserve">相手先</t>
  </si>
  <si>
    <t xml:space="preserve">評価差額</t>
  </si>
  <si>
    <t xml:space="preserve">評価額</t>
  </si>
  <si>
    <t xml:space="preserve">調整事由</t>
  </si>
  <si>
    <t xml:space="preserve">（相手先別内訳 未受領）</t>
  </si>
  <si>
    <t xml:space="preserve">売掛金年齢表・補助残高一覧表が未受領のため個別の回収可能性判断は未実施。帳簿価額により評価する（要確認）。なお貸倒引当金201千円は全額戻入。</t>
  </si>
  <si>
    <t xml:space="preserve">商品在庫</t>
  </si>
  <si>
    <t xml:space="preserve">令和8年1月期末残高は205千円と僅少。棚卸資産廃棄損が3期連続で計上されており期末在庫は整理済と判断し、帳簿価額により評価する。</t>
  </si>
  <si>
    <t xml:space="preserve">僅少につき帳簿価額により評価する。</t>
  </si>
  <si>
    <t xml:space="preserve">資産</t>
  </si>
  <si>
    <t xml:space="preserve">減価償却台帳（令和8年1月期）が画像PDFのため個別資産の償却過不足の検証は未実施。有形固定資産・無形固定資産の残高は合計3,169千円と僅少であり、帳簿価額により評価する（要確認）。</t>
  </si>
  <si>
    <t xml:space="preserve">内容・所在地</t>
  </si>
  <si>
    <t xml:space="preserve">地積(㎡)</t>
  </si>
  <si>
    <t xml:space="preserve">時価評価額</t>
  </si>
  <si>
    <t xml:space="preserve">該当なし</t>
  </si>
  <si>
    <t xml:space="preserve">対象会社は土地・建物等の不動産を保有していない（令和8年1月期BSに計上なし、本社は賃借）。したがって不動産の時価評価は実施していない。</t>
  </si>
  <si>
    <t xml:space="preserve">保険商品</t>
  </si>
  <si>
    <t xml:space="preserve">保険積立金（保険会社・商品名 未確認）</t>
  </si>
  <si>
    <t xml:space="preserve">解約返戻金額の資料が未受領のため帳簿価額により評価する。解約返戻金額の判明後、時価へ更新予定（要確認）。3期連続で特別保険料を計上しており、簿外の返戻金相当額が存在する可能性がある。</t>
  </si>
  <si>
    <t xml:space="preserve">銘柄</t>
  </si>
  <si>
    <t xml:space="preserve">数量</t>
  </si>
  <si>
    <t xml:space="preserve">投資有価証券（銘柄別内訳 未受領）</t>
  </si>
  <si>
    <t xml:space="preserve">有価証券内訳明細書・証券会社残高証明書が未受領のため帳簿価額により評価する。評価実施日の時価判明後に更新予定（要確認）。総資産の約50%を占める重要科目。</t>
  </si>
  <si>
    <t xml:space="preserve">【繰延税金負債】</t>
  </si>
  <si>
    <t xml:space="preserve">【評価修正額】</t>
  </si>
  <si>
    <t xml:space="preserve">修正税効果</t>
  </si>
  <si>
    <t xml:space="preserve">給与（令和8年1月期）</t>
  </si>
  <si>
    <t xml:space="preserve">未払日数</t>
  </si>
  <si>
    <t xml:space="preserve">未払給与引当額</t>
  </si>
  <si>
    <t xml:space="preserve">概算社会保険料</t>
  </si>
  <si>
    <t xml:space="preserve">－</t>
  </si>
  <si>
    <t xml:space="preserve">就業規則・賃金規程（給与の締日・支払日）が未受領のため、未払給与の引当不足額は算定不能。要確認事項として整理し、本評価では未計上とする。</t>
  </si>
  <si>
    <t xml:space="preserve">賞与（令和8年1月期）</t>
  </si>
  <si>
    <t xml:space="preserve">支給対象月数</t>
  </si>
  <si>
    <t xml:space="preserve">経過月数</t>
  </si>
  <si>
    <t xml:space="preserve">引当額</t>
  </si>
  <si>
    <t xml:space="preserve">社保考慮後引当不足</t>
  </si>
  <si>
    <t xml:space="preserve">決算期末（1月31日）時点で夏季賞与の支給対象期間は経過しておらず、冬季賞与は令和7年12月に支給済（給与台帳により確認）。したがって賞与引当不足は生じないものと判断し、追加引当は行わない。</t>
  </si>
  <si>
    <t xml:space="preserve">№</t>
  </si>
  <si>
    <t xml:space="preserve">氏名</t>
  </si>
  <si>
    <t xml:space="preserve">勤続年数(年)</t>
  </si>
  <si>
    <t xml:space="preserve">基本給</t>
  </si>
  <si>
    <t xml:space="preserve">支給倍率</t>
  </si>
  <si>
    <t xml:space="preserve">退職理由率</t>
  </si>
  <si>
    <t xml:space="preserve">要支給額</t>
  </si>
  <si>
    <t xml:space="preserve">中退共積立額</t>
  </si>
  <si>
    <t xml:space="preserve">引当不足</t>
  </si>
  <si>
    <t xml:space="preserve">退職金規程が未受領であり、中小企業退職金共済等の外部積立の有無も未確認のため、退職給付引当不足額は算定不能。要確認事項として整理し、本評価では未計上とする（従業員7名・平均勤続年数約5年）。</t>
  </si>
  <si>
    <t xml:space="preserve">修正科目</t>
  </si>
  <si>
    <t xml:space="preserve">適用判定</t>
  </si>
  <si>
    <t xml:space="preserve">繰延税金資産/負債</t>
  </si>
  <si>
    <t xml:space="preserve">備考</t>
  </si>
  <si>
    <t xml:space="preserve">〇</t>
  </si>
  <si>
    <t xml:space="preserve">棚卸資産</t>
  </si>
  <si>
    <t xml:space="preserve">評価差額なし</t>
  </si>
  <si>
    <t xml:space="preserve">減価償却資産</t>
  </si>
  <si>
    <t xml:space="preserve">償却過不足未検証のため未評価（要確認）</t>
  </si>
  <si>
    <t xml:space="preserve">時価資料未受領のため簿価評価（要確認）</t>
  </si>
  <si>
    <t xml:space="preserve">解約返戻金資料未受領のため簿価評価（要確認）</t>
  </si>
  <si>
    <t xml:space="preserve">差入保証金・敷金</t>
  </si>
  <si>
    <t xml:space="preserve">賃貸借契約書の返還条件未確認のため簿価評価（要確認）</t>
  </si>
  <si>
    <t xml:space="preserve">未払給与</t>
  </si>
  <si>
    <t xml:space="preserve">賃金規程未受領のため未計上（要確認）</t>
  </si>
  <si>
    <t xml:space="preserve">賞与引当金</t>
  </si>
  <si>
    <t xml:space="preserve">期末時点で引当不足なし</t>
  </si>
  <si>
    <t xml:space="preserve">退職給付引当金</t>
  </si>
  <si>
    <t xml:space="preserve">退職金規程未受領のため未計上（要確認）</t>
  </si>
  <si>
    <t xml:space="preserve">修正額は貸倒引当金の戻入201千円のみであり重要性が乏しいことから、修正貸借対照表上は繰延税金資産／負債を認識せず、「年買法」シートの時価純資産算定において実効税率34%で一括して考慮している。</t>
  </si>
  <si>
    <t xml:space="preserve">修正後BS（分割前）</t>
  </si>
  <si>
    <t xml:space="preserve">分割承継額</t>
  </si>
  <si>
    <t xml:space="preserve">分割後BS（分割会社）</t>
  </si>
  <si>
    <t xml:space="preserve">新設会社BS</t>
  </si>
  <si>
    <t xml:space="preserve">【分割承継純資産】</t>
  </si>
  <si>
    <t xml:space="preserve">【前提条件】</t>
  </si>
  <si>
    <t xml:space="preserve">1. 本タブは「修正BS(借方)」「修正BS(貸方) 」の修正後残高（令和8年1月期・評価基準日）を分割前BSとしている。</t>
  </si>
  <si>
    <t xml:space="preserve">2. 新設分割により、非事業用資産である投資有価証券275,896千円・保険積立金43,327千円・車両運搬具265千円（計319,488千円）を新設会社へ承継する。</t>
  </si>
  <si>
    <t xml:space="preserve">3. 分割型（人的）分割を前提とし、承継純資産と同額だけ分割会社の純資産が減少するものとしている。</t>
  </si>
  <si>
    <t xml:space="preserve">   分社型（物的）分割による場合は、分割会社に新設会社株式が資産計上され純資産は減少しないため、別途、株式の現物配当等が必要となる。</t>
  </si>
  <si>
    <t xml:space="preserve">4. 適格分割（簿価承継）を前提とし、承継資産の含み損益に対する課税は考慮していない。非適格分割となる場合、投資有価証券の含み損益に対し課税が生じる。</t>
  </si>
  <si>
    <t xml:space="preserve">5. 承継資産に対応する負債（借入金等）の承継は想定していない。投資有価証券等が借入金の担保に供されている場合、金融機関の同意及び担保差替えの要否を要確認。</t>
  </si>
  <si>
    <t xml:space="preserve">【要確認事項】</t>
  </si>
  <si>
    <t xml:space="preserve">・分割の形態（分割型／分社型）、分割期日、適格要件の充足状況</t>
  </si>
  <si>
    <t xml:space="preserve">・投資有価証券・保険積立金の時価（含み損益）— 時価資料受領後、承継純資産額の見直しが必要</t>
  </si>
  <si>
    <t xml:space="preserve">・保険契約の契約者変更の可否（保険積立金を新設会社へ承継する場合の実務上の取扱い）</t>
  </si>
  <si>
    <t xml:space="preserve">・分割に伴う債権者保護手続、金融機関のチェンジオブコントロール条項への抵触の有無</t>
  </si>
  <si>
    <t xml:space="preserve">【株式価値評価への影響】</t>
  </si>
  <si>
    <t xml:space="preserve">・投資有価証券・保険積立金はネットキャッシュのキャッシュライクアイテムに算入しているため、分割後は当該319,223千円が除外される。</t>
  </si>
  <si>
    <t xml:space="preserve">・時価純資産も同額減少するため、コスト／マーケット両アプローチの試算結果を分割後ベースで再計算する必要がある。</t>
  </si>
  <si>
    <t xml:space="preserve">キャッシュライクアイテム</t>
  </si>
  <si>
    <t xml:space="preserve">金額</t>
  </si>
  <si>
    <t xml:space="preserve">デットライクアイテム</t>
  </si>
  <si>
    <t xml:space="preserve">ネットキャッシュ</t>
  </si>
  <si>
    <t xml:space="preserve">期首原材料棚卸高</t>
  </si>
  <si>
    <t xml:space="preserve">原材料仕入高</t>
  </si>
  <si>
    <t xml:space="preserve">小計</t>
  </si>
  <si>
    <t xml:space="preserve">期末原材料棚卸高</t>
  </si>
  <si>
    <t xml:space="preserve">営業権倍率</t>
  </si>
  <si>
    <t xml:space="preserve">x1</t>
  </si>
  <si>
    <t xml:space="preserve">x2</t>
  </si>
  <si>
    <t xml:space="preserve">x3</t>
  </si>
  <si>
    <t xml:space="preserve">簿価純資産額</t>
  </si>
  <si>
    <t xml:space="preserve">簿価営業利益</t>
  </si>
  <si>
    <t xml:space="preserve">時価純資産</t>
  </si>
  <si>
    <t xml:space="preserve">営業権</t>
  </si>
  <si>
    <t xml:space="preserve">税効果</t>
  </si>
  <si>
    <t xml:space="preserve">修正後営業利益</t>
  </si>
  <si>
    <t xml:space="preserve">想定株式価値</t>
  </si>
  <si>
    <t xml:space="preserve">税考慮額</t>
  </si>
  <si>
    <t xml:space="preserve">修正後税考慮後営業利益</t>
  </si>
  <si>
    <t xml:space="preserve">基準営業利益</t>
  </si>
  <si>
    <t xml:space="preserve">マルチプル倍率</t>
  </si>
  <si>
    <t xml:space="preserve">x4</t>
  </si>
  <si>
    <t xml:space="preserve">x5</t>
  </si>
  <si>
    <t xml:space="preserve">キャッシュライク</t>
  </si>
  <si>
    <r>
      <rPr>
        <sz val="12"/>
        <color theme="1"/>
        <rFont val="游ゴシック"/>
        <family val="3"/>
        <charset val="128"/>
      </rPr>
      <t xml:space="preserve">EV</t>
    </r>
    <r>
      <rPr>
        <sz val="12"/>
        <color theme="1"/>
        <rFont val="WenQuanYi Zen Hei"/>
        <family val="2"/>
      </rPr>
      <t xml:space="preserve">（</t>
    </r>
    <r>
      <rPr>
        <sz val="12"/>
        <color theme="1"/>
        <rFont val="游ゴシック"/>
        <family val="3"/>
        <charset val="128"/>
      </rPr>
      <t xml:space="preserve">EBITDA×</t>
    </r>
    <r>
      <rPr>
        <sz val="12"/>
        <color theme="1"/>
        <rFont val="WenQuanYi Zen Hei"/>
        <family val="2"/>
      </rPr>
      <t xml:space="preserve">倍率）</t>
    </r>
  </si>
  <si>
    <t xml:space="preserve">デットライク</t>
  </si>
  <si>
    <t xml:space="preserve">非流動性ディスカウント</t>
  </si>
  <si>
    <t xml:space="preserve">修正後EBITDA</t>
  </si>
  <si>
    <t xml:space="preserve">基準EBITDA</t>
  </si>
  <si>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</si>
  <si>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</si>
  <si>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</si>
  <si>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WenQuanYi Zen Hei"/>
        <family val="2"/>
      </rPr>
      <t xml:space="preserve">倍率</t>
    </r>
  </si>
  <si>
    <t xml:space="preserve">㈱エスケイジャパン（7608）</t>
  </si>
  <si>
    <t xml:space="preserve">大阪府大阪市</t>
  </si>
  <si>
    <t xml:space="preserve">アミューズメント景品・キャラクター雑貨の企画・製造・販売</t>
  </si>
  <si>
    <t xml:space="preserve">㈱ハピネット（7552）</t>
  </si>
  <si>
    <t xml:space="preserve">東京都台東区</t>
  </si>
  <si>
    <t xml:space="preserve">玩具・キャラクターグッズ・映像音楽ソフトの企画卸売</t>
  </si>
  <si>
    <t xml:space="preserve">㈱タカラトミー（7867）</t>
  </si>
  <si>
    <t xml:space="preserve">東京都葛飾区</t>
  </si>
  <si>
    <t xml:space="preserve">玩具・キャラクター商品の企画・製造・販売</t>
  </si>
  <si>
    <t xml:space="preserve">㈱サンリオ（8136）</t>
  </si>
  <si>
    <t xml:space="preserve">東京都品川区</t>
  </si>
  <si>
    <t xml:space="preserve">キャラクターの企画・ライセンス供与、関連商品の企画販売</t>
  </si>
  <si>
    <t xml:space="preserve">㈱ブシロード（7803）</t>
  </si>
  <si>
    <t xml:space="preserve">東京都中野区</t>
  </si>
  <si>
    <r>
      <rPr>
        <sz val="12"/>
        <color theme="1"/>
        <rFont val="游ゴシック"/>
        <family val="3"/>
        <charset val="128"/>
      </rPr>
      <t xml:space="preserve">IP</t>
    </r>
    <r>
      <rPr>
        <sz val="12"/>
        <color theme="1"/>
        <rFont val="WenQuanYi Zen Hei"/>
        <family val="2"/>
      </rPr>
      <t xml:space="preserve">の創出・許諾、カードゲーム・キャラクターグッズの企画販売</t>
    </r>
  </si>
  <si>
    <t xml:space="preserve">㈱KADOKAWA（9468）</t>
  </si>
  <si>
    <t xml:space="preserve">東京都千代田区</t>
  </si>
  <si>
    <t xml:space="preserve">出版・映像・ゲーム及びIPを活用したライセンス・物販事業</t>
  </si>
  <si>
    <t xml:space="preserve">㈱東映アニメーション（4816）</t>
  </si>
  <si>
    <t xml:space="preserve">アニメーション制作、版権許諾・商品化権事業</t>
  </si>
  <si>
    <t xml:space="preserve">㈱IGポート（3791）</t>
  </si>
  <si>
    <t xml:space="preserve">東京都武蔵野市</t>
  </si>
  <si>
    <t xml:space="preserve">アニメーション制作、版権事業・商品販売</t>
  </si>
  <si>
    <t xml:space="preserve">㈱マーベラス（7844）</t>
  </si>
  <si>
    <t xml:space="preserve">ゲーム・音楽映像・ライブ及びキャラクターMD事業</t>
  </si>
  <si>
    <t xml:space="preserve">㈱ドウシシャ（7483）</t>
  </si>
  <si>
    <t xml:space="preserve">生活用品・キャラクター雑貨の企画開発・卸売</t>
  </si>
  <si>
    <t xml:space="preserve">平均値</t>
  </si>
  <si>
    <t xml:space="preserve">中央値</t>
  </si>
  <si>
    <t xml:space="preserve">※ 上記は事業内容・顧客基盤の観点から選定した類似上場会社。EV/EBITDA倍率は算定日時点の株価等に基づき更新のうえ入力する。</t>
  </si>
  <si>
    <t xml:space="preserve">※ 本評価では、国内中小企業M&amp;Aの実務上のボリュームゾーンである3.0～5.0倍を採用している。</t>
  </si>
  <si>
    <t xml:space="preserve">項目</t>
  </si>
  <si>
    <t xml:space="preserve">内容</t>
  </si>
  <si>
    <t xml:space="preserve">会社名</t>
  </si>
  <si>
    <t xml:space="preserve">株式会社カナリア</t>
  </si>
  <si>
    <t xml:space="preserve">本社所在地</t>
  </si>
  <si>
    <t xml:space="preserve">東京都台東区東上野一丁目20番5号 サスガビル4階</t>
  </si>
  <si>
    <t xml:space="preserve">その他拠点</t>
  </si>
  <si>
    <t xml:space="preserve">なし（本社1拠点のみ。登記簿・受領資料上、他拠点の記載なし）</t>
  </si>
  <si>
    <t xml:space="preserve">設立/創業</t>
  </si>
  <si>
    <r>
      <rPr>
        <sz val="12"/>
        <color theme="1"/>
        <rFont val="游ゴシック"/>
        <family val="3"/>
        <charset val="128"/>
      </rPr>
      <t xml:space="preserve">2014</t>
    </r>
    <r>
      <rPr>
        <sz val="12"/>
        <color theme="1"/>
        <rFont val="WenQuanYi Zen Hei"/>
        <family val="2"/>
      </rPr>
      <t xml:space="preserve">年</t>
    </r>
    <r>
      <rPr>
        <sz val="12"/>
        <color theme="1"/>
        <rFont val="游ゴシック"/>
        <family val="3"/>
        <charset val="128"/>
      </rPr>
      <t xml:space="preserve">2</t>
    </r>
    <r>
      <rPr>
        <sz val="12"/>
        <color theme="1"/>
        <rFont val="WenQuanYi Zen Hei"/>
        <family val="2"/>
      </rPr>
      <t xml:space="preserve">月</t>
    </r>
    <r>
      <rPr>
        <sz val="12"/>
        <color theme="1"/>
        <rFont val="游ゴシック"/>
        <family val="3"/>
        <charset val="128"/>
      </rPr>
      <t xml:space="preserve">12</t>
    </r>
    <r>
      <rPr>
        <sz val="12"/>
        <color theme="1"/>
        <rFont val="WenQuanYi Zen Hei"/>
        <family val="2"/>
      </rPr>
      <t xml:space="preserve">日（平成</t>
    </r>
    <r>
      <rPr>
        <sz val="12"/>
        <color theme="1"/>
        <rFont val="游ゴシック"/>
        <family val="3"/>
        <charset val="128"/>
      </rPr>
      <t xml:space="preserve">26</t>
    </r>
    <r>
      <rPr>
        <sz val="12"/>
        <color theme="1"/>
        <rFont val="WenQuanYi Zen Hei"/>
        <family val="2"/>
      </rPr>
      <t xml:space="preserve">年</t>
    </r>
    <r>
      <rPr>
        <sz val="12"/>
        <color theme="1"/>
        <rFont val="游ゴシック"/>
        <family val="3"/>
        <charset val="128"/>
      </rPr>
      <t xml:space="preserve">2</t>
    </r>
    <r>
      <rPr>
        <sz val="12"/>
        <color theme="1"/>
        <rFont val="WenQuanYi Zen Hei"/>
        <family val="2"/>
      </rPr>
      <t xml:space="preserve">月</t>
    </r>
    <r>
      <rPr>
        <sz val="12"/>
        <color theme="1"/>
        <rFont val="游ゴシック"/>
        <family val="3"/>
        <charset val="128"/>
      </rPr>
      <t xml:space="preserve">12</t>
    </r>
    <r>
      <rPr>
        <sz val="12"/>
        <color theme="1"/>
        <rFont val="WenQuanYi Zen Hei"/>
        <family val="2"/>
      </rPr>
      <t xml:space="preserve">日）設立。令和</t>
    </r>
    <r>
      <rPr>
        <sz val="12"/>
        <color theme="1"/>
        <rFont val="游ゴシック"/>
        <family val="3"/>
        <charset val="128"/>
      </rPr>
      <t xml:space="preserve">8</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月期は第</t>
    </r>
    <r>
      <rPr>
        <sz val="12"/>
        <color theme="1"/>
        <rFont val="游ゴシック"/>
        <family val="3"/>
        <charset val="128"/>
      </rPr>
      <t xml:space="preserve">12</t>
    </r>
    <r>
      <rPr>
        <sz val="12"/>
        <color theme="1"/>
        <rFont val="WenQuanYi Zen Hei"/>
        <family val="2"/>
      </rPr>
      <t xml:space="preserve">期と推定（決算期基準の試算、原本の期数表記は要確認）</t>
    </r>
  </si>
  <si>
    <r>
      <rPr>
        <sz val="12"/>
        <color theme="1"/>
        <rFont val="游ゴシック"/>
        <family val="3"/>
        <charset val="128"/>
      </rPr>
      <t xml:space="preserve">10,000</t>
    </r>
    <r>
      <rPr>
        <sz val="12"/>
        <color theme="1"/>
        <rFont val="WenQuanYi Zen Hei"/>
        <family val="2"/>
      </rPr>
      <t xml:space="preserve">千円（発行済株式総数</t>
    </r>
    <r>
      <rPr>
        <sz val="12"/>
        <color theme="1"/>
        <rFont val="游ゴシック"/>
        <family val="3"/>
        <charset val="128"/>
      </rPr>
      <t xml:space="preserve">1,000</t>
    </r>
    <r>
      <rPr>
        <sz val="12"/>
        <color theme="1"/>
        <rFont val="WenQuanYi Zen Hei"/>
        <family val="2"/>
      </rPr>
      <t xml:space="preserve">株）</t>
    </r>
  </si>
  <si>
    <t xml:space="preserve">代表者</t>
  </si>
  <si>
    <t xml:space="preserve">野口 紘（代表取締役）</t>
  </si>
  <si>
    <t xml:space="preserve">株主</t>
  </si>
  <si>
    <t xml:space="preserve">株主名簿未受領のため保有株式数・比率は不明。登記簿記載の役員：代表取締役 野口紘、取締役 野口文枝・野口聰江（就任: 令和7年4月1日）</t>
  </si>
  <si>
    <t xml:space="preserve">アニメ・ゲーム版権(IP)を活用したキャラクターグッズの企画・製造・販売、及びOEM受託。自社オリジナルのキャラクターくじ「スターくじ」「あたりツキ！」シリーズを展開。缶バッジ・アクリル・タペストリー・ブランケット・スマホケース・ストラップ・ラバー小物・メガネケース・マグネットシート等、多品目のグッズを取り扱う。製造は中国等海外メーカー及び国内専門メーカーへ委託するファブレス型のB2Bモデル。自社サイト(canaria-tokyo.co.jp)で制作実績・OEMラインナップを公開。</t>
  </si>
  <si>
    <t xml:space="preserve">従業員数</t>
  </si>
  <si>
    <r>
      <rPr>
        <sz val="12"/>
        <color theme="1"/>
        <rFont val="游ゴシック"/>
        <family val="3"/>
        <charset val="128"/>
      </rPr>
      <t xml:space="preserve">7</t>
    </r>
    <r>
      <rPr>
        <sz val="12"/>
        <color theme="1"/>
        <rFont val="WenQuanYi Zen Hei"/>
        <family val="2"/>
      </rPr>
      <t xml:space="preserve">名（制作部</t>
    </r>
    <r>
      <rPr>
        <sz val="12"/>
        <color theme="1"/>
        <rFont val="游ゴシック"/>
        <family val="3"/>
        <charset val="128"/>
      </rPr>
      <t xml:space="preserve">5</t>
    </r>
    <r>
      <rPr>
        <sz val="12"/>
        <color theme="1"/>
        <rFont val="WenQuanYi Zen Hei"/>
        <family val="2"/>
      </rPr>
      <t xml:space="preserve">名・営業部</t>
    </r>
    <r>
      <rPr>
        <sz val="12"/>
        <color theme="1"/>
        <rFont val="游ゴシック"/>
        <family val="3"/>
        <charset val="128"/>
      </rPr>
      <t xml:space="preserve">2</t>
    </r>
    <r>
      <rPr>
        <sz val="12"/>
        <color theme="1"/>
        <rFont val="WenQuanYi Zen Hei"/>
        <family val="2"/>
      </rPr>
      <t xml:space="preserve">名、</t>
    </r>
    <r>
      <rPr>
        <sz val="12"/>
        <color theme="1"/>
        <rFont val="游ゴシック"/>
        <family val="3"/>
        <charset val="128"/>
      </rPr>
      <t xml:space="preserve">2026</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t>
    </r>
    <r>
      <rPr>
        <sz val="12"/>
        <color theme="1"/>
        <rFont val="游ゴシック"/>
        <family val="3"/>
        <charset val="128"/>
      </rPr>
      <t xml:space="preserve">31</t>
    </r>
    <r>
      <rPr>
        <sz val="12"/>
        <color theme="1"/>
        <rFont val="WenQuanYi Zen Hei"/>
        <family val="2"/>
      </rPr>
      <t xml:space="preserve">日時点）＋役員</t>
    </r>
    <r>
      <rPr>
        <sz val="12"/>
        <color theme="1"/>
        <rFont val="游ゴシック"/>
        <family val="3"/>
        <charset val="128"/>
      </rPr>
      <t xml:space="preserve">3</t>
    </r>
    <r>
      <rPr>
        <sz val="12"/>
        <color theme="1"/>
        <rFont val="WenQuanYi Zen Hei"/>
        <family val="2"/>
      </rPr>
      <t xml:space="preserve">名（代表取締役</t>
    </r>
    <r>
      <rPr>
        <sz val="12"/>
        <color theme="1"/>
        <rFont val="游ゴシック"/>
        <family val="3"/>
        <charset val="128"/>
      </rPr>
      <t xml:space="preserve">1</t>
    </r>
    <r>
      <rPr>
        <sz val="12"/>
        <color theme="1"/>
        <rFont val="WenQuanYi Zen Hei"/>
        <family val="2"/>
      </rPr>
      <t xml:space="preserve">名・取締役</t>
    </r>
    <r>
      <rPr>
        <sz val="12"/>
        <color theme="1"/>
        <rFont val="游ゴシック"/>
        <family val="3"/>
        <charset val="128"/>
      </rPr>
      <t xml:space="preserve">2</t>
    </r>
    <r>
      <rPr>
        <sz val="12"/>
        <color theme="1"/>
        <rFont val="WenQuanYi Zen Hei"/>
        <family val="2"/>
      </rPr>
      <t xml:space="preserve">名）</t>
    </r>
  </si>
  <si>
    <t xml:space="preserve">許認可等</t>
  </si>
  <si>
    <t xml:space="preserve">特段の許認可の記載資料なし（要確認。登記目的に飲食店業を含むが実態不明）</t>
  </si>
  <si>
    <r>
      <rPr>
        <sz val="12"/>
        <color theme="1"/>
        <rFont val="游ゴシック"/>
        <family val="3"/>
        <charset val="128"/>
      </rPr>
      <t xml:space="preserve">422,475</t>
    </r>
    <r>
      <rPr>
        <sz val="12"/>
        <color theme="1"/>
        <rFont val="WenQuanYi Zen Hei"/>
        <family val="2"/>
      </rPr>
      <t xml:space="preserve">千円（令和</t>
    </r>
    <r>
      <rPr>
        <sz val="12"/>
        <color theme="1"/>
        <rFont val="游ゴシック"/>
        <family val="3"/>
        <charset val="128"/>
      </rPr>
      <t xml:space="preserve">8</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月期、税抜）　※令和</t>
    </r>
    <r>
      <rPr>
        <sz val="12"/>
        <color theme="1"/>
        <rFont val="游ゴシック"/>
        <family val="3"/>
        <charset val="128"/>
      </rPr>
      <t xml:space="preserve">6</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t>
    </r>
    <r>
      <rPr>
        <sz val="12"/>
        <color theme="1"/>
        <rFont val="游ゴシック"/>
        <family val="3"/>
        <charset val="128"/>
      </rPr>
      <t xml:space="preserve">316,755</t>
    </r>
    <r>
      <rPr>
        <sz val="12"/>
        <color theme="1"/>
        <rFont val="WenQuanYi Zen Hei"/>
        <family val="2"/>
      </rPr>
      <t xml:space="preserve">千円→令和</t>
    </r>
    <r>
      <rPr>
        <sz val="12"/>
        <color theme="1"/>
        <rFont val="游ゴシック"/>
        <family val="3"/>
        <charset val="128"/>
      </rPr>
      <t xml:space="preserve">7</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t>
    </r>
    <r>
      <rPr>
        <sz val="12"/>
        <color theme="1"/>
        <rFont val="游ゴシック"/>
        <family val="3"/>
        <charset val="128"/>
      </rPr>
      <t xml:space="preserve">443,868</t>
    </r>
    <r>
      <rPr>
        <sz val="12"/>
        <color theme="1"/>
        <rFont val="WenQuanYi Zen Hei"/>
        <family val="2"/>
      </rPr>
      <t xml:space="preserve">千円→令和</t>
    </r>
    <r>
      <rPr>
        <sz val="12"/>
        <color theme="1"/>
        <rFont val="游ゴシック"/>
        <family val="3"/>
        <charset val="128"/>
      </rPr>
      <t xml:space="preserve">8</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t>
    </r>
    <r>
      <rPr>
        <sz val="12"/>
        <color theme="1"/>
        <rFont val="游ゴシック"/>
        <family val="3"/>
        <charset val="128"/>
      </rPr>
      <t xml:space="preserve">422,475</t>
    </r>
    <r>
      <rPr>
        <sz val="12"/>
        <color theme="1"/>
        <rFont val="WenQuanYi Zen Hei"/>
        <family val="2"/>
      </rPr>
      <t xml:space="preserve">千円で推移</t>
    </r>
  </si>
  <si>
    <t xml:space="preserve">調整後EBITDA</t>
  </si>
  <si>
    <r>
      <rPr>
        <sz val="12"/>
        <color theme="1"/>
        <rFont val="游ゴシック"/>
        <family val="3"/>
        <charset val="128"/>
      </rPr>
      <t xml:space="preserve">54,011</t>
    </r>
    <r>
      <rPr>
        <sz val="12"/>
        <color theme="1"/>
        <rFont val="WenQuanYi Zen Hei"/>
        <family val="2"/>
      </rPr>
      <t xml:space="preserve">千円（令和</t>
    </r>
    <r>
      <rPr>
        <sz val="12"/>
        <color theme="1"/>
        <rFont val="游ゴシック"/>
        <family val="3"/>
        <charset val="128"/>
      </rPr>
      <t xml:space="preserve">8</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月期、正常収益力ベース）　※簿価営業利益</t>
    </r>
    <r>
      <rPr>
        <sz val="12"/>
        <color theme="1"/>
        <rFont val="游ゴシック"/>
        <family val="3"/>
        <charset val="128"/>
      </rPr>
      <t xml:space="preserve">58,514</t>
    </r>
    <r>
      <rPr>
        <sz val="12"/>
        <color theme="1"/>
        <rFont val="WenQuanYi Zen Hei"/>
        <family val="2"/>
      </rPr>
      <t xml:space="preserve">千円＋減価償却費</t>
    </r>
    <r>
      <rPr>
        <sz val="12"/>
        <color theme="1"/>
        <rFont val="游ゴシック"/>
        <family val="3"/>
        <charset val="128"/>
      </rPr>
      <t xml:space="preserve">1,183</t>
    </r>
    <r>
      <rPr>
        <sz val="12"/>
        <color theme="1"/>
        <rFont val="WenQuanYi Zen Hei"/>
        <family val="2"/>
      </rPr>
      <t xml:space="preserve">千円＋正常化調整△</t>
    </r>
    <r>
      <rPr>
        <sz val="12"/>
        <color theme="1"/>
        <rFont val="游ゴシック"/>
        <family val="3"/>
        <charset val="128"/>
      </rPr>
      <t xml:space="preserve">5,686</t>
    </r>
    <r>
      <rPr>
        <sz val="12"/>
        <color theme="1"/>
        <rFont val="WenQuanYi Zen Hei"/>
        <family val="2"/>
      </rPr>
      <t xml:space="preserve">千円</t>
    </r>
  </si>
  <si>
    <t xml:space="preserve">譲渡理由</t>
  </si>
  <si>
    <t xml:space="preserve">オーナーへの直接ヒアリングが必要（現時点で記録なし）</t>
  </si>
  <si>
    <t xml:space="preserve">令和6年1月期</t>
  </si>
  <si>
    <t xml:space="preserve">令和7年1月期</t>
  </si>
  <si>
    <t xml:space="preserve">令和8年1月期</t>
  </si>
  <si>
    <r>
      <rPr>
        <sz val="12"/>
        <color theme="0"/>
        <rFont val="游ゴシック"/>
        <family val="3"/>
        <charset val="128"/>
      </rPr>
      <t xml:space="preserve">(</t>
    </r>
    <r>
      <rPr>
        <sz val="12"/>
        <color theme="0"/>
        <rFont val="WenQuanYi Zen Hei"/>
        <family val="2"/>
      </rPr>
      <t xml:space="preserve">該当データなし</t>
    </r>
    <r>
      <rPr>
        <sz val="12"/>
        <color theme="0"/>
        <rFont val="游ゴシック"/>
        <family val="3"/>
        <charset val="128"/>
      </rPr>
      <t xml:space="preserve">)</t>
    </r>
  </si>
  <si>
    <t xml:space="preserve">進行期(令和9年1月期・実績5ヶ月分TB)</t>
  </si>
  <si>
    <t xml:space="preserve">前期比</t>
  </si>
  <si>
    <t xml:space="preserve">利益率</t>
  </si>
  <si>
    <t xml:space="preserve">調整項目 合計</t>
  </si>
  <si>
    <t xml:space="preserve">役員報酬・役員賞与（退任予定分）</t>
  </si>
  <si>
    <t xml:space="preserve">役員報酬（新体制想定）</t>
  </si>
  <si>
    <t xml:space="preserve">社会保険料</t>
  </si>
  <si>
    <t xml:space="preserve">棚卸資産廃棄損（営業費用化）</t>
  </si>
  <si>
    <t xml:space="preserve">流動資産</t>
  </si>
  <si>
    <t xml:space="preserve">流動負債</t>
  </si>
  <si>
    <t xml:space="preserve">現預金</t>
  </si>
  <si>
    <t xml:space="preserve">買掛債権</t>
  </si>
  <si>
    <t xml:space="preserve">売掛債権</t>
  </si>
  <si>
    <t xml:space="preserve">短期借入金</t>
  </si>
  <si>
    <t xml:space="preserve">在庫</t>
  </si>
  <si>
    <t xml:space="preserve">未払法人税</t>
  </si>
  <si>
    <t xml:space="preserve">前払金</t>
  </si>
  <si>
    <t xml:space="preserve">その他</t>
  </si>
  <si>
    <t xml:space="preserve">固定資産</t>
  </si>
  <si>
    <t xml:space="preserve">固定負債</t>
  </si>
  <si>
    <t xml:space="preserve">建物</t>
  </si>
  <si>
    <t xml:space="preserve">建物付属設備</t>
  </si>
  <si>
    <t xml:space="preserve">役員借入金</t>
  </si>
  <si>
    <t xml:space="preserve">土地</t>
  </si>
  <si>
    <t xml:space="preserve">ゴルフ会員権</t>
  </si>
  <si>
    <t xml:space="preserve">得意先</t>
  </si>
  <si>
    <t xml:space="preserve">取引内容</t>
  </si>
  <si>
    <t xml:space="preserve">業種等</t>
  </si>
  <si>
    <t xml:space="preserve">構成比</t>
  </si>
  <si>
    <t xml:space="preserve">㈱セガ</t>
  </si>
  <si>
    <t xml:space="preserve">キャラクターグッズ商品化(版権使用)</t>
  </si>
  <si>
    <t xml:space="preserve">不明（要確認）</t>
  </si>
  <si>
    <t xml:space="preserve">ゲーム・アニメ関連</t>
  </si>
  <si>
    <t xml:space="preserve">㈱KADOKAWA Game Linkag</t>
  </si>
  <si>
    <t xml:space="preserve">㈱ムービック</t>
  </si>
  <si>
    <t xml:space="preserve">㈱ｽﾓｰﾙﾌﾟﾗﾈｯﾄ</t>
  </si>
  <si>
    <t xml:space="preserve">杭州迷萌文化創意</t>
  </si>
  <si>
    <t xml:space="preserve">海外製造委託パートナー</t>
  </si>
  <si>
    <t xml:space="preserve">㈱ｿﾙ･インターナショナル</t>
  </si>
  <si>
    <t xml:space="preserve">㈱ケンメディア</t>
  </si>
  <si>
    <t xml:space="preserve">㈱KADOKAWA</t>
  </si>
  <si>
    <t xml:space="preserve">㈱PHP JAPAN</t>
  </si>
  <si>
    <t xml:space="preserve">花禾㈱</t>
  </si>
  <si>
    <t xml:space="preserve">その他（上位10社圏外の顧客群）</t>
  </si>
  <si>
    <t xml:space="preserve">各期の全社売上高(税抜)から上位10社実績を控除した差引額。上位社の入替りが激しく、直近期の非上位企業も含む</t>
  </si>
  <si>
    <t xml:space="preserve">仕入先</t>
  </si>
  <si>
    <t xml:space="preserve">仕入内容</t>
  </si>
  <si>
    <t xml:space="preserve">仕入高</t>
  </si>
  <si>
    <t xml:space="preserve">非開示（相手先名称は現時点で未提供）</t>
  </si>
  <si>
    <t xml:space="preserve">貿易商社　主に中国製のものを作成依頼</t>
  </si>
  <si>
    <t xml:space="preserve">アパレル商品の日本メーカー</t>
  </si>
  <si>
    <t xml:space="preserve">アパレル商品の貿易商社</t>
  </si>
  <si>
    <t xml:space="preserve">アクリルの日本メーカー</t>
  </si>
  <si>
    <t xml:space="preserve">アクリル、缶バッジ、紙類の日本メーカー</t>
  </si>
  <si>
    <t xml:space="preserve">成形品、ぬいぐるみの中国メーカー</t>
  </si>
  <si>
    <t xml:space="preserve">缶バッジの特殊加工の日本メーカー</t>
  </si>
  <si>
    <t xml:space="preserve">デジタル機能付きのグッズの日本メーカー</t>
  </si>
  <si>
    <t xml:space="preserve">紙類の日本商社</t>
  </si>
  <si>
    <t xml:space="preserve">ロイヤリティー支払い先</t>
  </si>
  <si>
    <t xml:space="preserve">その他（上位10項目以外）</t>
  </si>
  <si>
    <t xml:space="preserve">実績表(01_IP/03_営業)は仕入・外注支払の概ね8割程度を捕捉したデータ。上位10項目以外の合計。金額は税込ベース</t>
  </si>
  <si>
    <t xml:space="preserve">外注先</t>
  </si>
  <si>
    <t xml:space="preserve">外注内容</t>
  </si>
  <si>
    <t xml:space="preserve">外注費</t>
  </si>
  <si>
    <t xml:space="preserve">外注先別の内訳は仕入先データと一体で管理されており分離不可（01_IP/03_営業「取引先・外注先 実績.xlsx」は仕入・外注を合算した「仕入等支払実績」として提供されている）。実績は「仕入先」シートを参照。製造委託費・外注費のみの分離把握には総勘定元帳等の追加資料が必要。</t>
  </si>
  <si>
    <t xml:space="preserve">役職</t>
  </si>
  <si>
    <t xml:space="preserve">役員報酬
（●年●月期）</t>
  </si>
  <si>
    <t xml:space="preserve">保有株式数</t>
  </si>
  <si>
    <t xml:space="preserve">保有割合</t>
  </si>
  <si>
    <t xml:space="preserve">株主名簿未受領のため保有株式数・保有割合は不明。登記簿記載の役員は代表取締役 野口紘・取締役 野口文枝・取締役 野口聰江（3名とも同姓のため親族の可能性はあるが続柄未確認）。役員報酬の実績は「取締役」シート参照。</t>
  </si>
  <si>
    <t xml:space="preserve">代表者との関係</t>
  </si>
  <si>
    <t xml:space="preserve">業務範囲</t>
  </si>
  <si>
    <t xml:space="preserve">野口 紘</t>
  </si>
  <si>
    <t xml:space="preserve">代表取締役</t>
  </si>
  <si>
    <t xml:space="preserve">本人</t>
  </si>
  <si>
    <t xml:space="preserve">不明（要確認。登記簿上の住所：東京都墨田区向島五丁目46番9号）</t>
  </si>
  <si>
    <t xml:space="preserve">令和6年3月27日重任・令和7年4月9日登記</t>
  </si>
  <si>
    <t xml:space="preserve">野口 文枝</t>
  </si>
  <si>
    <t xml:space="preserve">取締役</t>
  </si>
  <si>
    <t xml:space="preserve">続柄不明（同姓のため親族の可能性、要確認）</t>
  </si>
  <si>
    <t xml:space="preserve">令和7年4月1日就任</t>
  </si>
  <si>
    <t xml:space="preserve">野口 聰江</t>
  </si>
  <si>
    <t xml:space="preserve">基準日→適宜変更</t>
  </si>
  <si>
    <t xml:space="preserve">YYYY/MM/DD</t>
  </si>
  <si>
    <t xml:space="preserve">イニシャル</t>
  </si>
  <si>
    <t xml:space="preserve">雇用形態</t>
  </si>
  <si>
    <t xml:space="preserve">性別</t>
  </si>
  <si>
    <t xml:space="preserve">生年月日</t>
  </si>
  <si>
    <t xml:space="preserve">年齢
（歳）</t>
  </si>
  <si>
    <t xml:space="preserve">入社年月日</t>
  </si>
  <si>
    <t xml:space="preserve">勤続年数
（年）</t>
  </si>
  <si>
    <t xml:space="preserve">部署</t>
  </si>
  <si>
    <t xml:space="preserve">●年●月分総支給</t>
  </si>
  <si>
    <t xml:space="preserve">●年夏季賞与</t>
  </si>
  <si>
    <t xml:space="preserve">●年冬季賞与</t>
  </si>
  <si>
    <t xml:space="preserve">●年総支給額</t>
  </si>
  <si>
    <t xml:space="preserve">A</t>
  </si>
  <si>
    <t xml:space="preserve">正社員</t>
  </si>
  <si>
    <t xml:space="preserve">男</t>
  </si>
  <si>
    <t xml:space="preserve">制作部</t>
  </si>
  <si>
    <t xml:space="preserve">制作部部長</t>
  </si>
  <si>
    <t xml:space="preserve">B</t>
  </si>
  <si>
    <t xml:space="preserve">女</t>
  </si>
  <si>
    <t xml:space="preserve">制作部課長</t>
  </si>
  <si>
    <t xml:space="preserve">C</t>
  </si>
  <si>
    <r>
      <rPr>
        <sz val="9"/>
        <color theme="1"/>
        <rFont val="游ゴシック Medium"/>
        <family val="3"/>
        <charset val="128"/>
      </rPr>
      <t xml:space="preserve">2026</t>
    </r>
    <r>
      <rPr>
        <sz val="9"/>
        <color theme="1"/>
        <rFont val="WenQuanYi Zen Hei"/>
        <family val="2"/>
      </rPr>
      <t xml:space="preserve">年時点で育児休業取得中</t>
    </r>
  </si>
  <si>
    <t xml:space="preserve">D</t>
  </si>
  <si>
    <t xml:space="preserve">制作部主任</t>
  </si>
  <si>
    <t xml:space="preserve">E</t>
  </si>
  <si>
    <t xml:space="preserve">F</t>
  </si>
  <si>
    <t xml:space="preserve">営業部</t>
  </si>
  <si>
    <t xml:space="preserve">G</t>
  </si>
  <si>
    <r>
      <rPr>
        <sz val="9"/>
        <color theme="1"/>
        <rFont val="游ゴシック Medium"/>
        <family val="3"/>
        <charset val="128"/>
      </rPr>
      <t xml:space="preserve">2026</t>
    </r>
    <r>
      <rPr>
        <sz val="9"/>
        <color theme="1"/>
        <rFont val="WenQuanYi Zen Hei"/>
        <family val="2"/>
      </rPr>
      <t xml:space="preserve">年</t>
    </r>
    <r>
      <rPr>
        <sz val="9"/>
        <color theme="1"/>
        <rFont val="游ゴシック Medium"/>
        <family val="3"/>
        <charset val="128"/>
      </rPr>
      <t xml:space="preserve">4</t>
    </r>
    <r>
      <rPr>
        <sz val="9"/>
        <color theme="1"/>
        <rFont val="WenQuanYi Zen Hei"/>
        <family val="2"/>
      </rPr>
      <t xml:space="preserve">月入社（新卒</t>
    </r>
    <r>
      <rPr>
        <sz val="9"/>
        <color theme="1"/>
        <rFont val="游ゴシック Medium"/>
        <family val="3"/>
        <charset val="128"/>
      </rPr>
      <t xml:space="preserve">/</t>
    </r>
    <r>
      <rPr>
        <sz val="9"/>
        <color theme="1"/>
        <rFont val="WenQuanYi Zen Hei"/>
        <family val="2"/>
      </rPr>
      <t xml:space="preserve">中途）。給与実績は入社後分のみ</t>
    </r>
  </si>
  <si>
    <t xml:space="preserve">契約形態</t>
  </si>
  <si>
    <t xml:space="preserve">延床面積
(㎡)</t>
  </si>
  <si>
    <t xml:space="preserve">月間賃料
(千円)</t>
  </si>
  <si>
    <t xml:space="preserve">敷金
(千円)</t>
  </si>
  <si>
    <t xml:space="preserve">アクセス</t>
  </si>
  <si>
    <t xml:space="preserve">賃貸借（普通賃貸借と推定。契約書原本は画像PDFのため更新条件等の詳細は目視確認要）</t>
  </si>
  <si>
    <t xml:space="preserve">不明（要確認。契約書原本の目視確認が必要）</t>
  </si>
  <si>
    <t xml:space="preserve">土地は0.7割戻し</t>
  </si>
  <si>
    <t xml:space="preserve">事業所名</t>
  </si>
  <si>
    <t xml:space="preserve">所在地
地番・家屋番号</t>
  </si>
  <si>
    <t xml:space="preserve">面積
(㎡)</t>
  </si>
  <si>
    <t xml:space="preserve">区分
・構造</t>
  </si>
  <si>
    <t xml:space="preserve">所有（建築）
年月・事由</t>
  </si>
  <si>
    <t xml:space="preserve">前期末簿価
(千円)</t>
  </si>
  <si>
    <t xml:space="preserve">時価</t>
  </si>
  <si>
    <t xml:space="preserve">固定資産税
評価額</t>
  </si>
  <si>
    <t xml:space="preserve">該当なし。BS明細（月次試算表）上、有形固定資産に土地・建物の勘定科目が計上されておらず、附属設備700,993円・車両運搬具264,868円・工具器具備品91,059円のみ。本社は賃借。</t>
  </si>
  <si>
    <t xml:space="preserve">契約内容</t>
  </si>
  <si>
    <t xml:space="preserve">貸主</t>
  </si>
  <si>
    <t xml:space="preserve">本社</t>
  </si>
  <si>
    <t xml:space="preserve">事務所（サスガビル4階）</t>
  </si>
  <si>
    <t xml:space="preserve">東京都台東区東上野一丁目20番5号</t>
  </si>
  <si>
    <t xml:space="preserve">普通賃貸借と推定（契約書原本[画像PDF]の目視確認要）</t>
  </si>
  <si>
    <t xml:space="preserve">不明（要確認。契約書原本は画像PDFのため貸主名は未確認）</t>
  </si>
  <si>
    <t xml:space="preserve">月間賃料は令和8年1月期PL地代家賃(年5,500,911円)÷12の推定値。敷金はBS差入保証金より。原契約書の目視確認により正確な金額へ要更新</t>
  </si>
  <si>
    <t xml:space="preserve">資産名</t>
  </si>
  <si>
    <t xml:space="preserve">償却方法</t>
  </si>
  <si>
    <t xml:space="preserve">取得年</t>
  </si>
  <si>
    <t xml:space="preserve">取得月</t>
  </si>
  <si>
    <t xml:space="preserve">耐用年数</t>
  </si>
  <si>
    <t xml:space="preserve">取得原価</t>
  </si>
  <si>
    <t xml:space="preserve">期末帳簿価額</t>
  </si>
  <si>
    <t xml:space="preserve">文字</t>
  </si>
  <si>
    <t xml:space="preserve">減価償却台帳（01_IP/02_財務/04_減価償却台帳/令和8年1月期 減価償却台帳.pdf）は画像PDFのため個別資産の明細は未転記。BS上の有形固定資産計は附属設備700,993円・車両運搬具264,868円・工具器具備品91,059円（土地・建物の計上なし）。個別資産名・取得年月・耐用年数等の詳細は原本の目視確認が必要。</t>
  </si>
  <si>
    <t xml:space="preserve">ああああああああああああああああああああああああああああああああ</t>
  </si>
  <si>
    <r>
      <rPr>
        <b val="true"/>
        <sz val="12"/>
        <color rgb="FFFF0000"/>
        <rFont val="游ゴシック"/>
        <family val="3"/>
        <charset val="128"/>
      </rPr>
      <t xml:space="preserve">IM</t>
    </r>
    <r>
      <rPr>
        <b val="true"/>
        <sz val="12"/>
        <color rgb="FFFF0000"/>
        <rFont val="WenQuanYi Zen Hei"/>
        <family val="2"/>
      </rPr>
      <t xml:space="preserve">の財務詳細ページのデータは財務入力のシートから流用してください</t>
    </r>
  </si>
  <si>
    <t xml:space="preserve">要確認事項・ネクストステップ（本ファイル転記時点の未解消論点）</t>
  </si>
  <si>
    <r>
      <rPr>
        <sz val="11"/>
        <color theme="1"/>
        <rFont val="游ゴシック Medium"/>
        <family val="2"/>
        <charset val="128"/>
      </rPr>
      <t xml:space="preserve">1. </t>
    </r>
    <r>
      <rPr>
        <sz val="11"/>
        <color theme="1"/>
        <rFont val="WenQuanYi Zen Hei"/>
        <family val="2"/>
      </rPr>
      <t xml:space="preserve">譲渡理由：オーナーへの直接ヒアリングが未実施（面談メモ・資料からは確認不可）</t>
    </r>
  </si>
  <si>
    <r>
      <rPr>
        <sz val="11"/>
        <color theme="1"/>
        <rFont val="游ゴシック Medium"/>
        <family val="2"/>
        <charset val="128"/>
      </rPr>
      <t xml:space="preserve">2. </t>
    </r>
    <r>
      <rPr>
        <sz val="11"/>
        <color theme="1"/>
        <rFont val="WenQuanYi Zen Hei"/>
        <family val="2"/>
      </rPr>
      <t xml:space="preserve">株主構成・持株比率：株主名簿未受領のため不明（登記簿では役員</t>
    </r>
    <r>
      <rPr>
        <sz val="11"/>
        <color theme="1"/>
        <rFont val="游ゴシック Medium"/>
        <family val="2"/>
        <charset val="128"/>
      </rPr>
      <t xml:space="preserve">3</t>
    </r>
    <r>
      <rPr>
        <sz val="11"/>
        <color theme="1"/>
        <rFont val="WenQuanYi Zen Hei"/>
        <family val="2"/>
      </rPr>
      <t xml:space="preserve">名のみ判明）</t>
    </r>
  </si>
  <si>
    <r>
      <rPr>
        <sz val="11"/>
        <color theme="1"/>
        <rFont val="游ゴシック Medium"/>
        <family val="2"/>
        <charset val="128"/>
      </rPr>
      <t xml:space="preserve">3. </t>
    </r>
    <r>
      <rPr>
        <sz val="11"/>
        <color theme="1"/>
        <rFont val="WenQuanYi Zen Hei"/>
        <family val="2"/>
      </rPr>
      <t xml:space="preserve">定款・許認可の有無：未受領（必要資料一覧 項目</t>
    </r>
    <r>
      <rPr>
        <sz val="11"/>
        <color theme="1"/>
        <rFont val="游ゴシック Medium"/>
        <family val="2"/>
        <charset val="128"/>
      </rPr>
      <t xml:space="preserve">1</t>
    </r>
    <r>
      <rPr>
        <sz val="11"/>
        <color theme="1"/>
        <rFont val="WenQuanYi Zen Hei"/>
        <family val="2"/>
      </rPr>
      <t xml:space="preserve">・</t>
    </r>
    <r>
      <rPr>
        <sz val="11"/>
        <color theme="1"/>
        <rFont val="游ゴシック Medium"/>
        <family val="2"/>
        <charset val="128"/>
      </rPr>
      <t xml:space="preserve">3</t>
    </r>
    <r>
      <rPr>
        <sz val="11"/>
        <color theme="1"/>
        <rFont val="WenQuanYi Zen Hei"/>
        <family val="2"/>
      </rPr>
      <t xml:space="preserve">参照）</t>
    </r>
  </si>
  <si>
    <r>
      <rPr>
        <sz val="11"/>
        <color theme="1"/>
        <rFont val="游ゴシック Medium"/>
        <family val="2"/>
        <charset val="128"/>
      </rPr>
      <t xml:space="preserve">4. </t>
    </r>
    <r>
      <rPr>
        <sz val="11"/>
        <color theme="1"/>
        <rFont val="WenQuanYi Zen Hei"/>
        <family val="2"/>
      </rPr>
      <t xml:space="preserve">事業別売上高構成（ライセンス商品と</t>
    </r>
    <r>
      <rPr>
        <sz val="11"/>
        <color theme="1"/>
        <rFont val="游ゴシック Medium"/>
        <family val="2"/>
        <charset val="128"/>
      </rPr>
      <t xml:space="preserve">OEM</t>
    </r>
    <r>
      <rPr>
        <sz val="11"/>
        <color theme="1"/>
        <rFont val="WenQuanYi Zen Hei"/>
        <family val="2"/>
      </rPr>
      <t xml:space="preserve">の構成比等）：未受領。面談メモにも同様の論点あり</t>
    </r>
  </si>
  <si>
    <r>
      <rPr>
        <sz val="11"/>
        <color theme="1"/>
        <rFont val="游ゴシック Medium"/>
        <family val="2"/>
        <charset val="128"/>
      </rPr>
      <t xml:space="preserve">5. </t>
    </r>
    <r>
      <rPr>
        <sz val="11"/>
        <color theme="1"/>
        <rFont val="WenQuanYi Zen Hei"/>
        <family val="2"/>
      </rPr>
      <t xml:space="preserve">賃貸借契約の詳細条件：契約書が画像</t>
    </r>
    <r>
      <rPr>
        <sz val="11"/>
        <color theme="1"/>
        <rFont val="游ゴシック Medium"/>
        <family val="2"/>
        <charset val="128"/>
      </rPr>
      <t xml:space="preserve">PDF</t>
    </r>
    <r>
      <rPr>
        <sz val="11"/>
        <color theme="1"/>
        <rFont val="WenQuanYi Zen Hei"/>
        <family val="2"/>
      </rPr>
      <t xml:space="preserve">のため月額賃料・敷金以外の更新条件・貸主名等は未確認。</t>
    </r>
    <r>
      <rPr>
        <sz val="11"/>
        <color theme="1"/>
        <rFont val="游ゴシック Medium"/>
        <family val="2"/>
        <charset val="128"/>
      </rPr>
      <t xml:space="preserve">PL</t>
    </r>
    <r>
      <rPr>
        <sz val="11"/>
        <color theme="1"/>
        <rFont val="WenQuanYi Zen Hei"/>
        <family val="2"/>
      </rPr>
      <t xml:space="preserve">地代家賃</t>
    </r>
    <r>
      <rPr>
        <sz val="11"/>
        <color theme="1"/>
        <rFont val="游ゴシック Medium"/>
        <family val="2"/>
        <charset val="128"/>
      </rPr>
      <t xml:space="preserve">(</t>
    </r>
    <r>
      <rPr>
        <sz val="11"/>
        <color theme="1"/>
        <rFont val="WenQuanYi Zen Hei"/>
        <family val="2"/>
      </rPr>
      <t xml:space="preserve">年</t>
    </r>
    <r>
      <rPr>
        <sz val="11"/>
        <color theme="1"/>
        <rFont val="游ゴシック Medium"/>
        <family val="2"/>
        <charset val="128"/>
      </rPr>
      <t xml:space="preserve">5,500,911</t>
    </r>
    <r>
      <rPr>
        <sz val="11"/>
        <color theme="1"/>
        <rFont val="WenQuanYi Zen Hei"/>
        <family val="2"/>
      </rPr>
      <t xml:space="preserve">円</t>
    </r>
    <r>
      <rPr>
        <sz val="11"/>
        <color theme="1"/>
        <rFont val="游ゴシック Medium"/>
        <family val="2"/>
        <charset val="128"/>
      </rPr>
      <t xml:space="preserve">)</t>
    </r>
    <r>
      <rPr>
        <sz val="11"/>
        <color theme="1"/>
        <rFont val="WenQuanYi Zen Hei"/>
        <family val="2"/>
      </rPr>
      <t xml:space="preserve">からの推定値で仮置き</t>
    </r>
  </si>
  <si>
    <r>
      <rPr>
        <sz val="11"/>
        <color theme="1"/>
        <rFont val="游ゴシック Medium"/>
        <family val="2"/>
        <charset val="128"/>
      </rPr>
      <t xml:space="preserve">6. </t>
    </r>
    <r>
      <rPr>
        <sz val="11"/>
        <color theme="1"/>
        <rFont val="WenQuanYi Zen Hei"/>
        <family val="2"/>
      </rPr>
      <t xml:space="preserve">決算書・勘定科目内訳明細・法人税</t>
    </r>
    <r>
      <rPr>
        <sz val="11"/>
        <color theme="1"/>
        <rFont val="游ゴシック Medium"/>
        <family val="2"/>
        <charset val="128"/>
      </rPr>
      <t xml:space="preserve">/</t>
    </r>
    <r>
      <rPr>
        <sz val="11"/>
        <color theme="1"/>
        <rFont val="WenQuanYi Zen Hei"/>
        <family val="2"/>
      </rPr>
      <t xml:space="preserve">消費税申告書・減価償却台帳：いずれも画像</t>
    </r>
    <r>
      <rPr>
        <sz val="11"/>
        <color theme="1"/>
        <rFont val="游ゴシック Medium"/>
        <family val="2"/>
        <charset val="128"/>
      </rPr>
      <t xml:space="preserve">PDF</t>
    </r>
    <r>
      <rPr>
        <sz val="11"/>
        <color theme="1"/>
        <rFont val="WenQuanYi Zen Hei"/>
        <family val="2"/>
      </rPr>
      <t xml:space="preserve">で</t>
    </r>
    <r>
      <rPr>
        <sz val="11"/>
        <color theme="1"/>
        <rFont val="游ゴシック Medium"/>
        <family val="2"/>
        <charset val="128"/>
      </rPr>
      <t xml:space="preserve">OCR</t>
    </r>
    <r>
      <rPr>
        <sz val="11"/>
        <color theme="1"/>
        <rFont val="WenQuanYi Zen Hei"/>
        <family val="2"/>
      </rPr>
      <t xml:space="preserve">未実施。個別科目の特記事項</t>
    </r>
    <r>
      <rPr>
        <sz val="11"/>
        <color theme="1"/>
        <rFont val="游ゴシック Medium"/>
        <family val="2"/>
        <charset val="128"/>
      </rPr>
      <t xml:space="preserve">(</t>
    </r>
    <r>
      <rPr>
        <sz val="11"/>
        <color theme="1"/>
        <rFont val="WenQuanYi Zen Hei"/>
        <family val="2"/>
      </rPr>
      <t xml:space="preserve">含み損益等</t>
    </r>
    <r>
      <rPr>
        <sz val="11"/>
        <color theme="1"/>
        <rFont val="游ゴシック Medium"/>
        <family val="2"/>
        <charset val="128"/>
      </rPr>
      <t xml:space="preserve">)</t>
    </r>
    <r>
      <rPr>
        <sz val="11"/>
        <color theme="1"/>
        <rFont val="WenQuanYi Zen Hei"/>
        <family val="2"/>
      </rPr>
      <t xml:space="preserve">は目視確認が必要</t>
    </r>
  </si>
  <si>
    <r>
      <rPr>
        <sz val="11"/>
        <color theme="1"/>
        <rFont val="游ゴシック Medium"/>
        <family val="2"/>
        <charset val="128"/>
      </rPr>
      <t xml:space="preserve">7. </t>
    </r>
    <r>
      <rPr>
        <sz val="11"/>
        <color theme="1"/>
        <rFont val="WenQuanYi Zen Hei"/>
        <family val="2"/>
      </rPr>
      <t xml:space="preserve">投資有価証券残高</t>
    </r>
    <r>
      <rPr>
        <sz val="11"/>
        <color theme="1"/>
        <rFont val="游ゴシック Medium"/>
        <family val="2"/>
        <charset val="128"/>
      </rPr>
      <t xml:space="preserve">275,896,334</t>
    </r>
    <r>
      <rPr>
        <sz val="11"/>
        <color theme="1"/>
        <rFont val="WenQuanYi Zen Hei"/>
        <family val="2"/>
      </rPr>
      <t xml:space="preserve">円が資産合計の約</t>
    </r>
    <r>
      <rPr>
        <sz val="11"/>
        <color theme="1"/>
        <rFont val="游ゴシック Medium"/>
        <family val="2"/>
        <charset val="128"/>
      </rPr>
      <t xml:space="preserve">50%</t>
    </r>
    <r>
      <rPr>
        <sz val="11"/>
        <color theme="1"/>
        <rFont val="WenQuanYi Zen Hei"/>
        <family val="2"/>
      </rPr>
      <t xml:space="preserve">を占める。事業性資産か非事業性資産</t>
    </r>
    <r>
      <rPr>
        <sz val="11"/>
        <color theme="1"/>
        <rFont val="游ゴシック Medium"/>
        <family val="2"/>
        <charset val="128"/>
      </rPr>
      <t xml:space="preserve">(</t>
    </r>
    <r>
      <rPr>
        <sz val="11"/>
        <color theme="1"/>
        <rFont val="WenQuanYi Zen Hei"/>
        <family val="2"/>
      </rPr>
      <t xml:space="preserve">運用資産</t>
    </r>
    <r>
      <rPr>
        <sz val="11"/>
        <color theme="1"/>
        <rFont val="游ゴシック Medium"/>
        <family val="2"/>
        <charset val="128"/>
      </rPr>
      <t xml:space="preserve">)</t>
    </r>
    <r>
      <rPr>
        <sz val="11"/>
        <color theme="1"/>
        <rFont val="WenQuanYi Zen Hei"/>
        <family val="2"/>
      </rPr>
      <t xml:space="preserve">かの確認が必要。</t>
    </r>
    <r>
      <rPr>
        <sz val="11"/>
        <color theme="1"/>
        <rFont val="游ゴシック Medium"/>
        <family val="2"/>
        <charset val="128"/>
      </rPr>
      <t xml:space="preserve">EBITDA</t>
    </r>
    <r>
      <rPr>
        <sz val="11"/>
        <color theme="1"/>
        <rFont val="WenQuanYi Zen Hei"/>
        <family val="2"/>
      </rPr>
      <t xml:space="preserve">調整・企業価値評価上の重要論点</t>
    </r>
  </si>
  <si>
    <r>
      <rPr>
        <sz val="11"/>
        <color theme="1"/>
        <rFont val="游ゴシック Medium"/>
        <family val="2"/>
        <charset val="128"/>
      </rPr>
      <t xml:space="preserve">8. PL</t>
    </r>
    <r>
      <rPr>
        <sz val="11"/>
        <color theme="1"/>
        <rFont val="WenQuanYi Zen Hei"/>
        <family val="2"/>
      </rPr>
      <t xml:space="preserve">ハイライトシートの調整項目「役員報酬</t>
    </r>
    <r>
      <rPr>
        <sz val="11"/>
        <color theme="1"/>
        <rFont val="游ゴシック Medium"/>
        <family val="2"/>
        <charset val="128"/>
      </rPr>
      <t xml:space="preserve">(</t>
    </r>
    <r>
      <rPr>
        <sz val="11"/>
        <color theme="1"/>
        <rFont val="WenQuanYi Zen Hei"/>
        <family val="2"/>
      </rPr>
      <t xml:space="preserve">退任予定</t>
    </r>
    <r>
      <rPr>
        <sz val="11"/>
        <color theme="1"/>
        <rFont val="游ゴシック Medium"/>
        <family val="2"/>
        <charset val="128"/>
      </rPr>
      <t xml:space="preserve">)20,000</t>
    </r>
    <r>
      <rPr>
        <sz val="11"/>
        <color theme="1"/>
        <rFont val="WenQuanYi Zen Hei"/>
        <family val="2"/>
      </rPr>
      <t xml:space="preserve">千円」が</t>
    </r>
    <r>
      <rPr>
        <sz val="11"/>
        <color theme="1"/>
        <rFont val="游ゴシック Medium"/>
        <family val="2"/>
        <charset val="128"/>
      </rPr>
      <t xml:space="preserve">C</t>
    </r>
    <r>
      <rPr>
        <sz val="11"/>
        <color theme="1"/>
        <rFont val="WenQuanYi Zen Hei"/>
        <family val="2"/>
      </rPr>
      <t xml:space="preserve">列</t>
    </r>
    <r>
      <rPr>
        <sz val="11"/>
        <color theme="1"/>
        <rFont val="游ゴシック Medium"/>
        <family val="2"/>
        <charset val="128"/>
      </rPr>
      <t xml:space="preserve">(</t>
    </r>
    <r>
      <rPr>
        <sz val="11"/>
        <color theme="1"/>
        <rFont val="WenQuanYi Zen Hei"/>
        <family val="2"/>
      </rPr>
      <t xml:space="preserve">令和</t>
    </r>
    <r>
      <rPr>
        <sz val="11"/>
        <color theme="1"/>
        <rFont val="游ゴシック Medium"/>
        <family val="2"/>
        <charset val="128"/>
      </rPr>
      <t xml:space="preserve">6</t>
    </r>
    <r>
      <rPr>
        <sz val="11"/>
        <color theme="1"/>
        <rFont val="WenQuanYi Zen Hei"/>
        <family val="2"/>
      </rPr>
      <t xml:space="preserve">年</t>
    </r>
    <r>
      <rPr>
        <sz val="11"/>
        <color theme="1"/>
        <rFont val="游ゴシック Medium"/>
        <family val="2"/>
        <charset val="128"/>
      </rPr>
      <t xml:space="preserve">1</t>
    </r>
    <r>
      <rPr>
        <sz val="11"/>
        <color theme="1"/>
        <rFont val="WenQuanYi Zen Hei"/>
        <family val="2"/>
      </rPr>
      <t xml:space="preserve">月期</t>
    </r>
    <r>
      <rPr>
        <sz val="11"/>
        <color theme="1"/>
        <rFont val="游ゴシック Medium"/>
        <family val="2"/>
        <charset val="128"/>
      </rPr>
      <t xml:space="preserve">)</t>
    </r>
    <r>
      <rPr>
        <sz val="11"/>
        <color theme="1"/>
        <rFont val="WenQuanYi Zen Hei"/>
        <family val="2"/>
      </rPr>
      <t xml:space="preserve">に計上されているが、給与台帳では野口紘への役員賞与</t>
    </r>
    <r>
      <rPr>
        <sz val="11"/>
        <color theme="1"/>
        <rFont val="游ゴシック Medium"/>
        <family val="2"/>
        <charset val="128"/>
      </rPr>
      <t xml:space="preserve">20,000,000</t>
    </r>
    <r>
      <rPr>
        <sz val="11"/>
        <color theme="1"/>
        <rFont val="WenQuanYi Zen Hei"/>
        <family val="2"/>
      </rPr>
      <t xml:space="preserve">円は令和</t>
    </r>
    <r>
      <rPr>
        <sz val="11"/>
        <color theme="1"/>
        <rFont val="游ゴシック Medium"/>
        <family val="2"/>
        <charset val="128"/>
      </rPr>
      <t xml:space="preserve">8</t>
    </r>
    <r>
      <rPr>
        <sz val="11"/>
        <color theme="1"/>
        <rFont val="WenQuanYi Zen Hei"/>
        <family val="2"/>
      </rPr>
      <t xml:space="preserve">年</t>
    </r>
    <r>
      <rPr>
        <sz val="11"/>
        <color theme="1"/>
        <rFont val="游ゴシック Medium"/>
        <family val="2"/>
        <charset val="128"/>
      </rPr>
      <t xml:space="preserve">1</t>
    </r>
    <r>
      <rPr>
        <sz val="11"/>
        <color theme="1"/>
        <rFont val="WenQuanYi Zen Hei"/>
        <family val="2"/>
      </rPr>
      <t xml:space="preserve">月期</t>
    </r>
    <r>
      <rPr>
        <sz val="11"/>
        <color theme="1"/>
        <rFont val="游ゴシック Medium"/>
        <family val="2"/>
        <charset val="128"/>
      </rPr>
      <t xml:space="preserve">(2025</t>
    </r>
    <r>
      <rPr>
        <sz val="11"/>
        <color theme="1"/>
        <rFont val="WenQuanYi Zen Hei"/>
        <family val="2"/>
      </rPr>
      <t xml:space="preserve">年</t>
    </r>
    <r>
      <rPr>
        <sz val="11"/>
        <color theme="1"/>
        <rFont val="游ゴシック Medium"/>
        <family val="2"/>
        <charset val="128"/>
      </rPr>
      <t xml:space="preserve">12</t>
    </r>
    <r>
      <rPr>
        <sz val="11"/>
        <color theme="1"/>
        <rFont val="WenQuanYi Zen Hei"/>
        <family val="2"/>
      </rPr>
      <t xml:space="preserve">月</t>
    </r>
    <r>
      <rPr>
        <sz val="11"/>
        <color theme="1"/>
        <rFont val="游ゴシック Medium"/>
        <family val="2"/>
        <charset val="128"/>
      </rPr>
      <t xml:space="preserve">9</t>
    </r>
    <r>
      <rPr>
        <sz val="11"/>
        <color theme="1"/>
        <rFont val="WenQuanYi Zen Hei"/>
        <family val="2"/>
      </rPr>
      <t xml:space="preserve">日支給</t>
    </r>
    <r>
      <rPr>
        <sz val="11"/>
        <color theme="1"/>
        <rFont val="游ゴシック Medium"/>
        <family val="2"/>
        <charset val="128"/>
      </rPr>
      <t xml:space="preserve">)</t>
    </r>
    <r>
      <rPr>
        <sz val="11"/>
        <color theme="1"/>
        <rFont val="WenQuanYi Zen Hei"/>
        <family val="2"/>
      </rPr>
      <t xml:space="preserve">分。列位置の確認・修正が必要</t>
    </r>
  </si>
  <si>
    <r>
      <rPr>
        <sz val="11"/>
        <color theme="1"/>
        <rFont val="游ゴシック Medium"/>
        <family val="2"/>
        <charset val="128"/>
      </rPr>
      <t xml:space="preserve">9. </t>
    </r>
    <r>
      <rPr>
        <sz val="11"/>
        <color theme="1"/>
        <rFont val="WenQuanYi Zen Hei"/>
        <family val="2"/>
      </rPr>
      <t xml:space="preserve">役員報酬水準が低い</t>
    </r>
    <r>
      <rPr>
        <sz val="11"/>
        <color theme="1"/>
        <rFont val="游ゴシック Medium"/>
        <family val="2"/>
        <charset val="128"/>
      </rPr>
      <t xml:space="preserve">(</t>
    </r>
    <r>
      <rPr>
        <sz val="11"/>
        <color theme="1"/>
        <rFont val="WenQuanYi Zen Hei"/>
        <family val="2"/>
      </rPr>
      <t xml:space="preserve">代表取締役 月</t>
    </r>
    <r>
      <rPr>
        <sz val="11"/>
        <color theme="1"/>
        <rFont val="游ゴシック Medium"/>
        <family val="2"/>
        <charset val="128"/>
      </rPr>
      <t xml:space="preserve">92,000</t>
    </r>
    <r>
      <rPr>
        <sz val="11"/>
        <color theme="1"/>
        <rFont val="WenQuanYi Zen Hei"/>
        <family val="2"/>
      </rPr>
      <t xml:space="preserve">円等</t>
    </r>
    <r>
      <rPr>
        <sz val="11"/>
        <color theme="1"/>
        <rFont val="游ゴシック Medium"/>
        <family val="2"/>
        <charset val="128"/>
      </rPr>
      <t xml:space="preserve">)</t>
    </r>
    <r>
      <rPr>
        <sz val="11"/>
        <color theme="1"/>
        <rFont val="WenQuanYi Zen Hei"/>
        <family val="2"/>
      </rPr>
      <t xml:space="preserve">一方、従業員</t>
    </r>
    <r>
      <rPr>
        <sz val="11"/>
        <color theme="1"/>
        <rFont val="游ゴシック Medium"/>
        <family val="2"/>
        <charset val="128"/>
      </rPr>
      <t xml:space="preserve">A(</t>
    </r>
    <r>
      <rPr>
        <sz val="11"/>
        <color theme="1"/>
        <rFont val="WenQuanYi Zen Hei"/>
        <family val="2"/>
      </rPr>
      <t xml:space="preserve">制作部部長・勤続</t>
    </r>
    <r>
      <rPr>
        <sz val="11"/>
        <color theme="1"/>
        <rFont val="游ゴシック Medium"/>
        <family val="2"/>
        <charset val="128"/>
      </rPr>
      <t xml:space="preserve">13</t>
    </r>
    <r>
      <rPr>
        <sz val="11"/>
        <color theme="1"/>
        <rFont val="WenQuanYi Zen Hei"/>
        <family val="2"/>
      </rPr>
      <t xml:space="preserve">年・年収</t>
    </r>
    <r>
      <rPr>
        <sz val="11"/>
        <color theme="1"/>
        <rFont val="游ゴシック Medium"/>
        <family val="2"/>
        <charset val="128"/>
      </rPr>
      <t xml:space="preserve">682</t>
    </r>
    <r>
      <rPr>
        <sz val="11"/>
        <color theme="1"/>
        <rFont val="WenQuanYi Zen Hei"/>
        <family val="2"/>
      </rPr>
      <t xml:space="preserve">万円</t>
    </r>
    <r>
      <rPr>
        <sz val="11"/>
        <color theme="1"/>
        <rFont val="游ゴシック Medium"/>
        <family val="2"/>
        <charset val="128"/>
      </rPr>
      <t xml:space="preserve">)</t>
    </r>
    <r>
      <rPr>
        <sz val="11"/>
        <color theme="1"/>
        <rFont val="WenQuanYi Zen Hei"/>
        <family val="2"/>
      </rPr>
      <t xml:space="preserve">の報酬水準が役員を上回る。実質的な経営リソースが</t>
    </r>
    <r>
      <rPr>
        <sz val="11"/>
        <color theme="1"/>
        <rFont val="游ゴシック Medium"/>
        <family val="2"/>
        <charset val="128"/>
      </rPr>
      <t xml:space="preserve">A</t>
    </r>
    <r>
      <rPr>
        <sz val="11"/>
        <color theme="1"/>
        <rFont val="WenQuanYi Zen Hei"/>
        <family val="2"/>
      </rPr>
      <t xml:space="preserve">に集中している可能性があり、キーパーソンリスクとして要ヒアリング</t>
    </r>
  </si>
  <si>
    <r>
      <rPr>
        <sz val="11"/>
        <color theme="1"/>
        <rFont val="游ゴシック Medium"/>
        <family val="2"/>
        <charset val="128"/>
      </rPr>
      <t xml:space="preserve">10. </t>
    </r>
    <r>
      <rPr>
        <sz val="11"/>
        <color theme="1"/>
        <rFont val="WenQuanYi Zen Hei"/>
        <family val="2"/>
      </rPr>
      <t xml:space="preserve">自社オリジナル</t>
    </r>
    <r>
      <rPr>
        <sz val="11"/>
        <color theme="1"/>
        <rFont val="游ゴシック Medium"/>
        <family val="2"/>
        <charset val="128"/>
      </rPr>
      <t xml:space="preserve">IP</t>
    </r>
    <r>
      <rPr>
        <sz val="11"/>
        <color theme="1"/>
        <rFont val="WenQuanYi Zen Hei"/>
        <family val="2"/>
      </rPr>
      <t xml:space="preserve">「スターくじ」「あたりツキ！」の売上構成比・権利関係：未確認。版権依存を補う強みとして訴求できる可能性があり、要ヒアリング（面談メモの論点）</t>
    </r>
  </si>
  <si>
    <r>
      <rPr>
        <sz val="11"/>
        <color theme="1"/>
        <rFont val="游ゴシック Medium"/>
        <family val="2"/>
        <charset val="128"/>
      </rPr>
      <t xml:space="preserve">11. </t>
    </r>
    <r>
      <rPr>
        <sz val="11"/>
        <color theme="1"/>
        <rFont val="WenQuanYi Zen Hei"/>
        <family val="2"/>
      </rPr>
      <t xml:space="preserve">総勘定元帳・社内規程・取引基本契約書・営業活動での提案資料・制作実績資料・進行中の受注残情報：いずれも未受領（必要資料一覧参照）</t>
    </r>
  </si>
  <si>
    <t xml:space="preserve">【Web・公開情報からの補足（2026-07 弊社調査）】</t>
  </si>
  <si>
    <t xml:space="preserve">・コーポレートサイト: https://canaria-tokyo.co.jp/ （会社概要・OEM・制作実績・制作の流れ・FAQを掲載）</t>
  </si>
  <si>
    <t xml:space="preserve">・主な取引銀行: 朝日信用金庫、みずほ銀行（コーポレートサイト会社概要より）</t>
  </si>
  <si>
    <t xml:space="preserve">・従業員: サイト表記は「9人」（IM上は制作部5・営業部2の正社員7名＋役員3名を採用。パート等の差異は要確認）</t>
  </si>
  <si>
    <t xml:space="preserve">・自社ブランド商品: 「スターくじ」（例: 俺だけレベルアップな件／2.5次元の誘惑／東京リベンジャーズ 等）、「あたりツキ！」缶バッジ（例: 五等分の花嫁／モブサイコ100／ぽんのみち／テンプレ 等）。版権依存を補う自社企画商材。</t>
  </si>
  <si>
    <t xml:space="preserve">・OEM商品ラインナップ(サイト掲載): ブランケット／メガネケース／タペストリー／スマホケース／ストラップ／ラバー小物／缶バッジ／ポーチ／マグネットシート 等</t>
  </si>
  <si>
    <t xml:space="preserve">・制作実績IP(サイト掲載・一部): ソードアート・オンライン、東京喰種、ハイキュー!!、PSYCHO-PASS、暗殺教室、四月は君の嘘、ノーゲーム・ノーライフ、月刊少女野崎くん、ダイヤのA、神様はじめました、蒼き鋼のアルペジオ、PERSONA Q、DIABOLIK LOVERS、オオカミ少女と黒王子、ワールドトリガー、SHOW BY ROCK!!、暗殺教室、繰繰れ！コックリさん、少女革命ウテナ、幕末Rock、まじっく快斗、学園K 等（多数）</t>
  </si>
  <si>
    <t xml:space="preserve">・制作フロー(サイト掲載): ①お問い合わせ→②ご提案(予算・ロット)→③お見積り→④ご発注→⑤デザイン確認→⑥サンプル確認→⑦本生産・納品</t>
  </si>
  <si>
    <t xml:space="preserve">※ 上記IPの著作権は各権利者に帰属。IMのポートフォリオ掲載はNDA下の検討資料としての参考提示。</t>
  </si>
  <si>
    <t xml:space="preserve">TODO</t>
  </si>
  <si>
    <r>
      <rPr>
        <b val="true"/>
        <sz val="11"/>
        <color theme="0"/>
        <rFont val="游ゴシック"/>
        <family val="3"/>
        <charset val="128"/>
      </rPr>
      <t xml:space="preserve">2</t>
    </r>
    <r>
      <rPr>
        <b val="true"/>
        <sz val="11"/>
        <color theme="0"/>
        <rFont val="WenQuanYi Zen Hei"/>
        <family val="2"/>
      </rPr>
      <t xml:space="preserve">月</t>
    </r>
  </si>
  <si>
    <r>
      <rPr>
        <b val="true"/>
        <sz val="11"/>
        <color theme="0"/>
        <rFont val="游ゴシック"/>
        <family val="3"/>
        <charset val="128"/>
      </rPr>
      <t xml:space="preserve">3</t>
    </r>
    <r>
      <rPr>
        <b val="true"/>
        <sz val="11"/>
        <color theme="0"/>
        <rFont val="WenQuanYi Zen Hei"/>
        <family val="2"/>
      </rPr>
      <t xml:space="preserve">月</t>
    </r>
  </si>
  <si>
    <r>
      <rPr>
        <b val="true"/>
        <sz val="11"/>
        <color theme="0"/>
        <rFont val="游ゴシック"/>
        <family val="3"/>
        <charset val="128"/>
      </rPr>
      <t xml:space="preserve">4</t>
    </r>
    <r>
      <rPr>
        <b val="true"/>
        <sz val="11"/>
        <color theme="0"/>
        <rFont val="WenQuanYi Zen Hei"/>
        <family val="2"/>
      </rPr>
      <t xml:space="preserve">月</t>
    </r>
  </si>
  <si>
    <r>
      <rPr>
        <b val="true"/>
        <sz val="11"/>
        <color theme="0"/>
        <rFont val="游ゴシック"/>
        <family val="3"/>
        <charset val="128"/>
      </rPr>
      <t xml:space="preserve">5</t>
    </r>
    <r>
      <rPr>
        <b val="true"/>
        <sz val="11"/>
        <color theme="0"/>
        <rFont val="WenQuanYi Zen Hei"/>
        <family val="2"/>
      </rPr>
      <t xml:space="preserve">月</t>
    </r>
  </si>
  <si>
    <t xml:space="preserve">交渉</t>
  </si>
  <si>
    <r>
      <rPr>
        <sz val="11"/>
        <color theme="1"/>
        <rFont val="游ゴシック"/>
        <family val="3"/>
        <charset val="128"/>
      </rPr>
      <t xml:space="preserve">TOP</t>
    </r>
    <r>
      <rPr>
        <sz val="11"/>
        <color theme="1"/>
        <rFont val="WenQuanYi Zen Hei"/>
        <family val="2"/>
      </rPr>
      <t xml:space="preserve">面談</t>
    </r>
  </si>
  <si>
    <r>
      <rPr>
        <sz val="11"/>
        <color theme="1"/>
        <rFont val="游ゴシック"/>
        <family val="3"/>
        <charset val="128"/>
      </rPr>
      <t xml:space="preserve">LOI</t>
    </r>
    <r>
      <rPr>
        <sz val="11"/>
        <color theme="1"/>
        <rFont val="WenQuanYi Zen Hei"/>
        <family val="2"/>
      </rPr>
      <t xml:space="preserve">ドラフト作成</t>
    </r>
  </si>
  <si>
    <r>
      <rPr>
        <sz val="11"/>
        <color theme="1"/>
        <rFont val="游ゴシック"/>
        <family val="3"/>
        <charset val="128"/>
      </rPr>
      <t xml:space="preserve">LOI</t>
    </r>
    <r>
      <rPr>
        <sz val="11"/>
        <color theme="1"/>
        <rFont val="WenQuanYi Zen Hei"/>
        <family val="2"/>
      </rPr>
      <t xml:space="preserve">提出</t>
    </r>
  </si>
  <si>
    <r>
      <rPr>
        <sz val="11"/>
        <color theme="1"/>
        <rFont val="游ゴシック"/>
        <family val="3"/>
        <charset val="128"/>
      </rPr>
      <t xml:space="preserve">LOI</t>
    </r>
    <r>
      <rPr>
        <sz val="11"/>
        <color theme="1"/>
        <rFont val="WenQuanYi Zen Hei"/>
        <family val="2"/>
      </rPr>
      <t xml:space="preserve">受領</t>
    </r>
    <r>
      <rPr>
        <sz val="11"/>
        <color theme="1"/>
        <rFont val="游ゴシック"/>
        <family val="3"/>
        <charset val="128"/>
      </rPr>
      <t xml:space="preserve">(</t>
    </r>
    <r>
      <rPr>
        <sz val="11"/>
        <color theme="1"/>
        <rFont val="WenQuanYi Zen Hei"/>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</si>
  <si>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</si>
  <si>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WenQuanYi Zen Hei"/>
        <family val="2"/>
      </rPr>
      <t xml:space="preserve">スコープ・依頼先選定</t>
    </r>
  </si>
  <si>
    <r>
      <rPr>
        <sz val="11"/>
        <color theme="1"/>
        <rFont val="游ゴシック"/>
        <family val="3"/>
        <charset val="128"/>
      </rPr>
      <t xml:space="preserve">IRL</t>
    </r>
    <r>
      <rPr>
        <sz val="11"/>
        <color theme="1"/>
        <rFont val="WenQuanYi Zen Hei"/>
        <family val="2"/>
      </rPr>
      <t xml:space="preserve">提出</t>
    </r>
  </si>
  <si>
    <r>
      <rPr>
        <sz val="11"/>
        <color theme="1"/>
        <rFont val="游ゴシック"/>
        <family val="3"/>
        <charset val="128"/>
      </rPr>
      <t xml:space="preserve">QA</t>
    </r>
    <r>
      <rPr>
        <sz val="11"/>
        <color theme="1"/>
        <rFont val="WenQuanYi Zen Hei"/>
        <family val="2"/>
      </rPr>
      <t xml:space="preserve">ラリー</t>
    </r>
  </si>
  <si>
    <t xml:space="preserve">マネジメントインタビュー</t>
  </si>
  <si>
    <t xml:space="preserve">L</t>
  </si>
  <si>
    <r>
      <rPr>
        <sz val="11"/>
        <color theme="1"/>
        <rFont val="游ゴシック"/>
        <family val="3"/>
        <charset val="128"/>
      </rPr>
      <t xml:space="preserve">DD</t>
    </r>
    <r>
      <rPr>
        <sz val="11"/>
        <color theme="1"/>
        <rFont val="WenQuanYi Zen Hei"/>
        <family val="2"/>
      </rPr>
      <t xml:space="preserve">結果報告</t>
    </r>
  </si>
  <si>
    <t xml:space="preserve">契約</t>
  </si>
  <si>
    <r>
      <rPr>
        <sz val="11"/>
        <color theme="1"/>
        <rFont val="游ゴシック"/>
        <family val="3"/>
        <charset val="128"/>
      </rPr>
      <t xml:space="preserve">SPA</t>
    </r>
    <r>
      <rPr>
        <sz val="11"/>
        <color theme="1"/>
        <rFont val="WenQuanYi Zen Hei"/>
        <family val="2"/>
      </rPr>
      <t xml:space="preserve">内容調整</t>
    </r>
  </si>
  <si>
    <r>
      <rPr>
        <sz val="11"/>
        <color theme="1"/>
        <rFont val="游ゴシック"/>
        <family val="3"/>
        <charset val="128"/>
      </rPr>
      <t xml:space="preserve">SPA</t>
    </r>
    <r>
      <rPr>
        <sz val="11"/>
        <color theme="1"/>
        <rFont val="WenQuanYi Zen Hei"/>
        <family val="2"/>
      </rPr>
      <t xml:space="preserve">締結</t>
    </r>
  </si>
  <si>
    <r>
      <rPr>
        <sz val="11"/>
        <color theme="1"/>
        <rFont val="游ゴシック"/>
        <family val="3"/>
        <charset val="128"/>
      </rPr>
      <t xml:space="preserve">CoC</t>
    </r>
    <r>
      <rPr>
        <sz val="11"/>
        <color theme="1"/>
        <rFont val="WenQuanYi Zen Hei"/>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</si>
  <si>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</si>
  <si>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</si>
  <si>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</si>
  <si>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</si>
  <si>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</si>
  <si>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WenQuanYi Zen Hei"/>
        <family val="2"/>
      </rPr>
      <t xml:space="preserve">・グループ連携</t>
    </r>
  </si>
  <si>
    <t xml:space="preserve">●</t>
  </si>
  <si>
    <t xml:space="preserve">報酬発生</t>
  </si>
  <si>
    <t xml:space="preserve">スケジュール表</t>
  </si>
  <si>
    <t xml:space="preserve">日付</t>
  </si>
  <si>
    <t xml:space="preserve">曜日</t>
  </si>
  <si>
    <t xml:space="preserve">【売主】　●●●様</t>
  </si>
  <si>
    <t xml:space="preserve">【買主】　●●●様</t>
  </si>
  <si>
    <r>
      <rPr>
        <b val="true"/>
        <sz val="11"/>
        <color theme="0" tint="-0.05"/>
        <rFont val="游ゴシック"/>
        <family val="3"/>
        <charset val="128"/>
      </rPr>
      <t xml:space="preserve">M&amp;A</t>
    </r>
    <r>
      <rPr>
        <b val="true"/>
        <sz val="11"/>
        <color theme="0" tint="-0.05"/>
        <rFont val="WenQuanYi Zen Hei"/>
        <family val="2"/>
      </rPr>
      <t xml:space="preserve">承継機構</t>
    </r>
  </si>
  <si>
    <r>
      <rPr>
        <sz val="11"/>
        <color theme="1"/>
        <rFont val="游ゴシック"/>
        <family val="3"/>
        <charset val="128"/>
      </rPr>
      <t xml:space="preserve">2025</t>
    </r>
    <r>
      <rPr>
        <sz val="11"/>
        <color theme="1"/>
        <rFont val="WenQuanYi Zen Hei"/>
        <family val="2"/>
      </rPr>
      <t xml:space="preserve">年</t>
    </r>
  </si>
  <si>
    <t xml:space="preserve">本日　お打ち合わせ</t>
  </si>
  <si>
    <r>
      <rPr>
        <sz val="11"/>
        <color theme="1"/>
        <rFont val="游ゴシック"/>
        <family val="3"/>
        <charset val="128"/>
      </rPr>
      <t xml:space="preserve">TOP</t>
    </r>
    <r>
      <rPr>
        <sz val="11"/>
        <color theme="1"/>
        <rFont val="WenQuanYi Zen Hei"/>
        <family val="2"/>
      </rPr>
      <t xml:space="preserve">面談準備</t>
    </r>
  </si>
  <si>
    <r>
      <rPr>
        <sz val="11"/>
        <color theme="1"/>
        <rFont val="游ゴシック"/>
        <family val="3"/>
        <charset val="128"/>
      </rPr>
      <t xml:space="preserve">LOI</t>
    </r>
    <r>
      <rPr>
        <sz val="11"/>
        <color theme="1"/>
        <rFont val="WenQuanYi Zen Hei"/>
        <family val="2"/>
      </rPr>
      <t xml:space="preserve">内容検討</t>
    </r>
  </si>
  <si>
    <r>
      <rPr>
        <sz val="11"/>
        <color theme="1"/>
        <rFont val="游ゴシック"/>
        <family val="3"/>
        <charset val="128"/>
      </rPr>
      <t xml:space="preserve">LOI</t>
    </r>
    <r>
      <rPr>
        <sz val="11"/>
        <color theme="1"/>
        <rFont val="WenQuanYi Zen Hei"/>
        <family val="2"/>
      </rPr>
      <t xml:space="preserve">ドラフト提示</t>
    </r>
  </si>
  <si>
    <r>
      <rPr>
        <sz val="11"/>
        <color theme="1"/>
        <rFont val="游ゴシック"/>
        <family val="3"/>
        <charset val="128"/>
      </rPr>
      <t xml:space="preserve">DD</t>
    </r>
    <r>
      <rPr>
        <sz val="11"/>
        <color theme="1"/>
        <rFont val="WenQuanYi Zen Hei"/>
        <family val="2"/>
      </rPr>
      <t xml:space="preserve">スコープ・依頼先検討</t>
    </r>
  </si>
  <si>
    <r>
      <rPr>
        <sz val="11"/>
        <color theme="1"/>
        <rFont val="游ゴシック"/>
        <family val="3"/>
        <charset val="128"/>
      </rPr>
      <t xml:space="preserve">LOI</t>
    </r>
    <r>
      <rPr>
        <sz val="11"/>
        <color theme="1"/>
        <rFont val="WenQuanYi Zen Hei"/>
        <family val="2"/>
      </rPr>
      <t xml:space="preserve">回答</t>
    </r>
    <r>
      <rPr>
        <sz val="11"/>
        <color theme="1"/>
        <rFont val="游ゴシック"/>
        <family val="3"/>
        <charset val="128"/>
      </rPr>
      <t xml:space="preserve">(</t>
    </r>
    <r>
      <rPr>
        <sz val="11"/>
        <color theme="1"/>
        <rFont val="WenQuanYi Zen Hei"/>
        <family val="2"/>
      </rPr>
      <t xml:space="preserve">独占交渉権付与</t>
    </r>
    <r>
      <rPr>
        <sz val="11"/>
        <color theme="1"/>
        <rFont val="游ゴシック"/>
        <family val="3"/>
        <charset val="128"/>
      </rPr>
      <t xml:space="preserve">)</t>
    </r>
  </si>
  <si>
    <t xml:space="preserve">※独占交渉権獲得</t>
  </si>
  <si>
    <r>
      <rPr>
        <sz val="11"/>
        <color theme="1"/>
        <rFont val="游ゴシック"/>
        <family val="3"/>
        <charset val="128"/>
      </rPr>
      <t xml:space="preserve">LOI</t>
    </r>
    <r>
      <rPr>
        <sz val="11"/>
        <color theme="1"/>
        <rFont val="WenQuanYi Zen Hei"/>
        <family val="2"/>
      </rPr>
      <t xml:space="preserve">内容説明</t>
    </r>
  </si>
  <si>
    <r>
      <rPr>
        <sz val="11"/>
        <color theme="1"/>
        <rFont val="游ゴシック"/>
        <family val="3"/>
        <charset val="128"/>
      </rPr>
      <t xml:space="preserve">DD</t>
    </r>
    <r>
      <rPr>
        <sz val="11"/>
        <color theme="1"/>
        <rFont val="WenQuanYi Zen Hei"/>
        <family val="2"/>
      </rPr>
      <t xml:space="preserve">スコープ・依頼先確定</t>
    </r>
  </si>
  <si>
    <r>
      <rPr>
        <sz val="11"/>
        <color theme="1"/>
        <rFont val="游ゴシック"/>
        <family val="3"/>
        <charset val="128"/>
      </rPr>
      <t xml:space="preserve">DD</t>
    </r>
    <r>
      <rPr>
        <sz val="11"/>
        <color theme="1"/>
        <rFont val="WenQuanYi Zen Hei"/>
        <family val="2"/>
      </rPr>
      <t xml:space="preserve">キックオフミーティング</t>
    </r>
  </si>
  <si>
    <r>
      <rPr>
        <sz val="11"/>
        <color theme="1"/>
        <rFont val="游ゴシック"/>
        <family val="3"/>
        <charset val="128"/>
      </rPr>
      <t xml:space="preserve">DD</t>
    </r>
    <r>
      <rPr>
        <sz val="11"/>
        <color theme="1"/>
        <rFont val="WenQuanYi Zen Hei"/>
        <family val="2"/>
      </rPr>
      <t xml:space="preserve">資料提出・</t>
    </r>
    <r>
      <rPr>
        <sz val="11"/>
        <color theme="1"/>
        <rFont val="游ゴシック"/>
        <family val="3"/>
        <charset val="128"/>
      </rPr>
      <t xml:space="preserve">QA</t>
    </r>
    <r>
      <rPr>
        <sz val="11"/>
        <color theme="1"/>
        <rFont val="WenQuanYi Zen Hei"/>
        <family val="2"/>
      </rPr>
      <t xml:space="preserve">対応</t>
    </r>
  </si>
  <si>
    <r>
      <rPr>
        <sz val="11"/>
        <color theme="1"/>
        <rFont val="游ゴシック"/>
        <family val="3"/>
        <charset val="128"/>
      </rPr>
      <t xml:space="preserve">IRL</t>
    </r>
    <r>
      <rPr>
        <sz val="11"/>
        <color theme="1"/>
        <rFont val="WenQuanYi Zen Hei"/>
        <family val="2"/>
      </rPr>
      <t xml:space="preserve">提出※</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</si>
  <si>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DDQA</t>
    </r>
    <r>
      <rPr>
        <sz val="11"/>
        <color theme="1"/>
        <rFont val="WenQuanYi Zen Hei"/>
        <family val="2"/>
      </rPr>
      <t xml:space="preserve">対応※</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</si>
  <si>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t>
    </r>
    <r>
      <rPr>
        <sz val="11"/>
        <color theme="1"/>
        <rFont val="WenQuanYi Zen Hei"/>
        <family val="2"/>
      </rPr>
      <t xml:space="preserve">マネジメントインタビュー</t>
    </r>
  </si>
  <si>
    <r>
      <rPr>
        <sz val="11"/>
        <color theme="1"/>
        <rFont val="游ゴシック"/>
        <family val="3"/>
        <charset val="128"/>
      </rPr>
      <t xml:space="preserve">SPA</t>
    </r>
    <r>
      <rPr>
        <sz val="11"/>
        <color theme="1"/>
        <rFont val="WenQuanYi Zen Hei"/>
        <family val="2"/>
      </rPr>
      <t xml:space="preserve">内容検討</t>
    </r>
  </si>
  <si>
    <r>
      <rPr>
        <sz val="11"/>
        <color theme="1"/>
        <rFont val="游ゴシック"/>
        <family val="3"/>
        <charset val="128"/>
      </rPr>
      <t xml:space="preserve">SPA</t>
    </r>
    <r>
      <rPr>
        <sz val="11"/>
        <color theme="1"/>
        <rFont val="WenQuanYi Zen Hei"/>
        <family val="2"/>
      </rPr>
      <t xml:space="preserve">ドラフト提出</t>
    </r>
  </si>
  <si>
    <r>
      <rPr>
        <sz val="11"/>
        <color theme="1"/>
        <rFont val="游ゴシック"/>
        <family val="3"/>
        <charset val="128"/>
      </rPr>
      <t xml:space="preserve">DD</t>
    </r>
    <r>
      <rPr>
        <sz val="11"/>
        <color theme="1"/>
        <rFont val="WenQuanYi Zen Hei"/>
        <family val="2"/>
      </rPr>
      <t xml:space="preserve">結果確認</t>
    </r>
    <r>
      <rPr>
        <sz val="11"/>
        <color theme="1"/>
        <rFont val="游ゴシック"/>
        <family val="3"/>
        <charset val="128"/>
      </rPr>
      <t xml:space="preserve">(DD</t>
    </r>
    <r>
      <rPr>
        <sz val="11"/>
        <color theme="1"/>
        <rFont val="WenQuanYi Zen Hei"/>
        <family val="2"/>
      </rPr>
      <t xml:space="preserve">報告会</t>
    </r>
    <r>
      <rPr>
        <sz val="11"/>
        <color theme="1"/>
        <rFont val="游ゴシック"/>
        <family val="3"/>
        <charset val="128"/>
      </rPr>
      <t xml:space="preserve">)</t>
    </r>
  </si>
  <si>
    <r>
      <rPr>
        <sz val="11"/>
        <color theme="1"/>
        <rFont val="游ゴシック"/>
        <family val="3"/>
        <charset val="128"/>
      </rPr>
      <t xml:space="preserve">SPA</t>
    </r>
    <r>
      <rPr>
        <sz val="11"/>
        <color theme="1"/>
        <rFont val="WenQuanYi Zen Hei"/>
        <family val="2"/>
      </rPr>
      <t xml:space="preserve">案ご提出</t>
    </r>
  </si>
  <si>
    <r>
      <rPr>
        <sz val="11"/>
        <color theme="1"/>
        <rFont val="游ゴシック"/>
        <family val="3"/>
        <charset val="128"/>
      </rPr>
      <t xml:space="preserve">SPA</t>
    </r>
    <r>
      <rPr>
        <sz val="11"/>
        <color theme="1"/>
        <rFont val="WenQuanYi Zen Hei"/>
        <family val="2"/>
      </rPr>
      <t xml:space="preserve">調整</t>
    </r>
  </si>
  <si>
    <t xml:space="preserve">株式譲渡契約書締結</t>
  </si>
  <si>
    <r>
      <rPr>
        <sz val="11"/>
        <color theme="1"/>
        <rFont val="游ゴシック"/>
        <family val="3"/>
        <charset val="128"/>
      </rPr>
      <t xml:space="preserve">COC</t>
    </r>
    <r>
      <rPr>
        <sz val="11"/>
        <color theme="1"/>
        <rFont val="WenQuanYi Zen Hei"/>
        <family val="2"/>
      </rPr>
      <t xml:space="preserve">対応等</t>
    </r>
  </si>
  <si>
    <t xml:space="preserve">クロージング（資金決済、株主名簿書換、役員変更登記申請)</t>
  </si>
  <si>
    <t xml:space="preserve">従業員・取引先への開示、PMI</t>
  </si>
  <si>
    <r>
      <rPr>
        <sz val="11"/>
        <color theme="1"/>
        <rFont val="游ゴシック"/>
        <family val="3"/>
        <charset val="128"/>
      </rPr>
      <t xml:space="preserve">2026</t>
    </r>
    <r>
      <rPr>
        <sz val="11"/>
        <color theme="1"/>
        <rFont val="WenQuanYi Zen Hei"/>
        <family val="2"/>
      </rPr>
      <t xml:space="preserve">年</t>
    </r>
  </si>
  <si>
    <t xml:space="preserve"> </t>
  </si>
  <si>
    <t xml:space="preserve">第1四半期</t>
  </si>
  <si>
    <t xml:space="preserve">第2四半期</t>
  </si>
  <si>
    <t xml:space="preserve">第3四半期</t>
  </si>
  <si>
    <t xml:space="preserve">第4四半期</t>
  </si>
  <si>
    <t xml:space="preserve">ｂ</t>
  </si>
  <si>
    <r>
      <rPr>
        <sz val="11"/>
        <color theme="1"/>
        <rFont val="游ゴシック Medium"/>
        <family val="2"/>
        <charset val="128"/>
      </rPr>
      <t xml:space="preserve">1</t>
    </r>
    <r>
      <rPr>
        <sz val="11"/>
        <color theme="1"/>
        <rFont val="WenQuanYi Zen Hei"/>
        <family val="2"/>
      </rPr>
      <t xml:space="preserve">ヶ月目</t>
    </r>
  </si>
  <si>
    <r>
      <rPr>
        <sz val="11"/>
        <color theme="1"/>
        <rFont val="游ゴシック Medium"/>
        <family val="2"/>
        <charset val="128"/>
      </rPr>
      <t xml:space="preserve">2</t>
    </r>
    <r>
      <rPr>
        <sz val="11"/>
        <color theme="1"/>
        <rFont val="WenQuanYi Zen Hei"/>
        <family val="2"/>
      </rPr>
      <t xml:space="preserve">ヶ月目</t>
    </r>
  </si>
  <si>
    <r>
      <rPr>
        <sz val="11"/>
        <color theme="1"/>
        <rFont val="游ゴシック Medium"/>
        <family val="2"/>
        <charset val="128"/>
      </rPr>
      <t xml:space="preserve">3</t>
    </r>
    <r>
      <rPr>
        <sz val="11"/>
        <color theme="1"/>
        <rFont val="WenQuanYi Zen Hei"/>
        <family val="2"/>
      </rPr>
      <t xml:space="preserve">か月目</t>
    </r>
  </si>
  <si>
    <r>
      <rPr>
        <sz val="11"/>
        <color theme="1"/>
        <rFont val="游ゴシック Medium"/>
        <family val="2"/>
        <charset val="128"/>
      </rPr>
      <t xml:space="preserve">4</t>
    </r>
    <r>
      <rPr>
        <sz val="11"/>
        <color theme="1"/>
        <rFont val="WenQuanYi Zen Hei"/>
        <family val="2"/>
      </rPr>
      <t xml:space="preserve">か月目</t>
    </r>
  </si>
  <si>
    <r>
      <rPr>
        <sz val="11"/>
        <color theme="1"/>
        <rFont val="游ゴシック Medium"/>
        <family val="2"/>
        <charset val="128"/>
      </rPr>
      <t xml:space="preserve">5</t>
    </r>
    <r>
      <rPr>
        <sz val="11"/>
        <color theme="1"/>
        <rFont val="WenQuanYi Zen Hei"/>
        <family val="2"/>
      </rPr>
      <t xml:space="preserve">か月目</t>
    </r>
  </si>
  <si>
    <t xml:space="preserve">グラフタイトル</t>
  </si>
  <si>
    <t xml:space="preserve">X</t>
  </si>
  <si>
    <t xml:space="preserve">Y</t>
  </si>
  <si>
    <t xml:space="preserve">Z</t>
  </si>
  <si>
    <t xml:space="preserve">あああ</t>
  </si>
  <si>
    <t xml:space="preserve">あああああ</t>
  </si>
  <si>
    <t xml:space="preserve">XXXXX</t>
  </si>
</sst>
</file>

<file path=xl/styles.xml><?xml version="1.0" encoding="utf-8"?>
<styleSheet xmlns="http://schemas.openxmlformats.org/spreadsheetml/2006/main">
  <numFmts count="14">
    <numFmt numFmtId="164" formatCode="General"/>
    <numFmt numFmtId="165" formatCode="#,##0,"/>
    <numFmt numFmtId="166" formatCode="#,##0,;\△#,##0,;0"/>
    <numFmt numFmtId="167" formatCode="0.0%"/>
    <numFmt numFmtId="168" formatCode="#,##0.00_ "/>
    <numFmt numFmtId="169" formatCode="#,##0_);[RED]\(#,##0\)"/>
    <numFmt numFmtId="170" formatCode="#,##0_ "/>
    <numFmt numFmtId="171" formatCode="#,##0.0_ "/>
    <numFmt numFmtId="172" formatCode="#,##0;&quot;△ &quot;#,##0"/>
    <numFmt numFmtId="173" formatCode="m/d/yyyy"/>
    <numFmt numFmtId="174" formatCode="0_);[RED]\(0\)"/>
    <numFmt numFmtId="175" formatCode="yyyy\-mm\-dd\ h:mm:ss"/>
    <numFmt numFmtId="176" formatCode="0.00_);[RED]\(0.00\)"/>
    <numFmt numFmtId="177" formatCode="m\月d\日;@"/>
  </numFmts>
  <fonts count="81">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WenQuanYi Zen Hei"/>
      <family val="2"/>
      <charset val="1"/>
    </font>
    <font>
      <b val="true"/>
      <sz val="12"/>
      <color theme="0"/>
      <name val="WenQuanYi Zen Hei"/>
      <family val="2"/>
      <charset val="1"/>
    </font>
    <font>
      <b val="true"/>
      <sz val="12"/>
      <color theme="0"/>
      <name val="游ゴシック"/>
      <family val="3"/>
      <charset val="128"/>
    </font>
    <font>
      <b val="true"/>
      <sz val="12"/>
      <color theme="1"/>
      <name val="WenQuanYi Zen Hei"/>
      <family val="2"/>
      <charset val="1"/>
    </font>
    <font>
      <b val="true"/>
      <sz val="12"/>
      <color theme="1"/>
      <name val="Arial"/>
      <family val="2"/>
      <charset val="1"/>
    </font>
    <font>
      <sz val="12"/>
      <color theme="1"/>
      <name val="WenQuanYi Zen Hei"/>
      <family val="2"/>
      <charset val="1"/>
    </font>
    <font>
      <sz val="12"/>
      <color theme="1"/>
      <name val="Arial"/>
      <family val="2"/>
      <charset val="1"/>
    </font>
    <font>
      <b val="true"/>
      <sz val="11"/>
      <color rgb="FFFF0000"/>
      <name val="WenQuanYi Zen Hei"/>
      <family val="2"/>
      <charset val="1"/>
    </font>
    <font>
      <b val="true"/>
      <sz val="11"/>
      <color rgb="FFFF0000"/>
      <name val="游ゴシック Medium"/>
      <family val="3"/>
      <charset val="128"/>
    </font>
    <font>
      <b val="true"/>
      <sz val="11"/>
      <color rgb="FFFF0000"/>
      <name val="WenQuanYi Zen Hei"/>
      <family val="2"/>
    </font>
    <font>
      <b val="true"/>
      <sz val="12"/>
      <color theme="0"/>
      <name val="WenQuanYi Zen Hei"/>
      <family val="2"/>
    </font>
    <font>
      <sz val="12"/>
      <color theme="1"/>
      <name val="游ゴシック"/>
      <family val="3"/>
      <charset val="128"/>
    </font>
    <font>
      <b val="true"/>
      <sz val="12"/>
      <color theme="0"/>
      <name val="Arial"/>
      <family val="2"/>
      <charset val="1"/>
    </font>
    <font>
      <b val="true"/>
      <sz val="10"/>
      <color rgb="FFFF0000"/>
      <name val="游ゴシック"/>
      <family val="3"/>
      <charset val="128"/>
    </font>
    <font>
      <sz val="11"/>
      <color theme="1"/>
      <name val="游ゴシック"/>
      <family val="3"/>
      <charset val="128"/>
    </font>
    <font>
      <sz val="11"/>
      <color theme="1"/>
      <name val="WenQuanYi Zen Hei"/>
      <family val="2"/>
    </font>
    <font>
      <sz val="12"/>
      <color theme="1"/>
      <name val="游ゴシック"/>
      <family val="2"/>
      <charset val="128"/>
    </font>
    <font>
      <b val="true"/>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charset val="1"/>
    </font>
    <font>
      <sz val="12"/>
      <name val="Arial"/>
      <family val="2"/>
      <charset val="1"/>
    </font>
    <font>
      <sz val="12"/>
      <color theme="0" tint="-0.15"/>
      <name val="Arial"/>
      <family val="2"/>
      <charset val="1"/>
    </font>
    <font>
      <sz val="10"/>
      <color rgb="FF000000"/>
      <name val="Arial"/>
      <family val="2"/>
    </font>
    <font>
      <sz val="9"/>
      <color rgb="FF0B3041"/>
      <name val="Arial"/>
      <family val="2"/>
    </font>
    <font>
      <sz val="11"/>
      <color theme="1"/>
      <name val="Arial"/>
      <family val="2"/>
      <charset val="1"/>
    </font>
    <font>
      <sz val="10"/>
      <name val="WenQuanYi Zen Hei"/>
      <family val="2"/>
    </font>
    <font>
      <sz val="9"/>
      <color theme="1"/>
      <name val="WenQuanYi Zen Hei"/>
      <family val="2"/>
      <charset val="1"/>
    </font>
    <font>
      <sz val="9"/>
      <color theme="1"/>
      <name val="游ゴシック Medium"/>
      <family val="3"/>
      <charset val="128"/>
    </font>
    <font>
      <b val="true"/>
      <sz val="14"/>
      <color theme="1"/>
      <name val="Arial"/>
      <family val="2"/>
      <charset val="1"/>
    </font>
    <font>
      <sz val="11"/>
      <color theme="1"/>
      <name val="游ゴシック Medium"/>
      <family val="3"/>
      <charset val="128"/>
    </font>
    <font>
      <sz val="12"/>
      <color theme="1"/>
      <name val="ＭＳ Ｐゴシック"/>
      <family val="2"/>
      <charset val="128"/>
    </font>
    <font>
      <sz val="10"/>
      <name val="Arial"/>
      <family val="2"/>
    </font>
    <font>
      <b val="true"/>
      <sz val="14"/>
      <color theme="1"/>
      <name val="游ゴシック"/>
      <family val="3"/>
      <charset val="128"/>
    </font>
    <font>
      <sz val="12"/>
      <color theme="1"/>
      <name val="游ゴシック Medium"/>
      <family val="2"/>
      <charset val="128"/>
    </font>
    <font>
      <sz val="12"/>
      <color theme="1"/>
      <name val="WenQuanYi Zen Hei"/>
      <family val="2"/>
    </font>
    <font>
      <sz val="12"/>
      <color theme="0"/>
      <name val="游ゴシック"/>
      <family val="3"/>
      <charset val="128"/>
    </font>
    <font>
      <sz val="12"/>
      <color theme="0"/>
      <name val="WenQuanYi Zen Hei"/>
      <family val="2"/>
      <charset val="1"/>
    </font>
    <font>
      <sz val="12"/>
      <color theme="0"/>
      <name val="WenQuanYi Zen Hei"/>
      <family val="2"/>
    </font>
    <font>
      <sz val="11"/>
      <color rgb="FFFF0000"/>
      <name val="游ゴシック"/>
      <family val="3"/>
      <charset val="128"/>
    </font>
    <font>
      <i val="true"/>
      <sz val="9"/>
      <color theme="1"/>
      <name val="游ゴシック"/>
      <family val="3"/>
      <charset val="128"/>
    </font>
    <font>
      <i val="true"/>
      <sz val="9"/>
      <color theme="1"/>
      <name val="WenQuanYi Zen Hei"/>
      <family val="2"/>
      <charset val="1"/>
    </font>
    <font>
      <i val="true"/>
      <sz val="9"/>
      <color theme="1"/>
      <name val="Arial"/>
      <family val="2"/>
      <charset val="1"/>
    </font>
    <font>
      <b val="true"/>
      <sz val="11"/>
      <color theme="1"/>
      <name val="Arial"/>
      <family val="2"/>
      <charset val="1"/>
    </font>
    <font>
      <sz val="12"/>
      <color theme="1"/>
      <name val="Arial"/>
      <family val="2"/>
      <charset val="128"/>
    </font>
    <font>
      <b val="true"/>
      <sz val="11"/>
      <color theme="1"/>
      <name val="游ゴシック"/>
      <family val="3"/>
      <charset val="128"/>
    </font>
    <font>
      <sz val="10"/>
      <color theme="1"/>
      <name val="游ゴシック"/>
      <family val="3"/>
      <charset val="128"/>
    </font>
    <font>
      <sz val="10"/>
      <color theme="1"/>
      <name val="Arial"/>
      <family val="2"/>
      <charset val="1"/>
    </font>
    <font>
      <b val="true"/>
      <sz val="11"/>
      <color theme="1"/>
      <name val="游ゴシック Medium"/>
      <family val="2"/>
      <charset val="128"/>
    </font>
    <font>
      <b val="true"/>
      <sz val="11"/>
      <color theme="1"/>
      <name val="WenQuanYi Zen Hei"/>
      <family val="2"/>
      <charset val="1"/>
    </font>
    <font>
      <sz val="9"/>
      <color theme="1"/>
      <name val="WenQuanYi Zen Hei"/>
      <family val="2"/>
    </font>
    <font>
      <sz val="9"/>
      <color theme="1"/>
      <name val="游ゴシック"/>
      <family val="3"/>
      <charset val="128"/>
    </font>
    <font>
      <b val="true"/>
      <sz val="9"/>
      <color theme="1"/>
      <name val="游ゴシック Medium"/>
      <family val="3"/>
      <charset val="128"/>
    </font>
    <font>
      <sz val="11"/>
      <color rgb="FFFF0000"/>
      <name val="游ゴシック Medium"/>
      <family val="2"/>
      <charset val="128"/>
    </font>
    <font>
      <b val="true"/>
      <sz val="12"/>
      <color rgb="FFFF0000"/>
      <name val="游ゴシック"/>
      <family val="3"/>
      <charset val="128"/>
    </font>
    <font>
      <b val="true"/>
      <sz val="12"/>
      <color rgb="FFFF0000"/>
      <name val="WenQuanYi Zen Hei"/>
      <family val="2"/>
    </font>
    <font>
      <b val="true"/>
      <sz val="12"/>
      <color theme="1"/>
      <name val="游ゴシック"/>
      <family val="2"/>
      <charset val="128"/>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WenQuanYi Zen Hei"/>
      <family val="2"/>
      <charset val="1"/>
    </font>
    <font>
      <sz val="11"/>
      <color theme="9"/>
      <name val="游ゴシック"/>
      <family val="3"/>
      <charset val="128"/>
    </font>
    <font>
      <sz val="11"/>
      <name val="WenQuanYi Zen Hei"/>
      <family val="2"/>
    </font>
    <font>
      <sz val="11"/>
      <name val="WenQuanYi Zen Hei"/>
      <family val="2"/>
      <charset val="1"/>
    </font>
    <font>
      <b val="true"/>
      <sz val="11"/>
      <color theme="0" tint="-0.05"/>
      <name val="WenQuanYi Zen Hei"/>
      <family val="2"/>
      <charset val="1"/>
    </font>
    <font>
      <b val="true"/>
      <sz val="11"/>
      <color theme="0" tint="-0.05"/>
      <name val="游ゴシック"/>
      <family val="3"/>
      <charset val="128"/>
    </font>
    <font>
      <b val="true"/>
      <sz val="11"/>
      <color theme="0" tint="-0.05"/>
      <name val="WenQuanYi Zen Hei"/>
      <family val="2"/>
    </font>
    <font>
      <b val="true"/>
      <sz val="10"/>
      <color rgb="FF000000"/>
      <name val="Arial"/>
      <family val="2"/>
    </font>
    <font>
      <sz val="8"/>
      <color rgb="FF000000"/>
      <name val="Arial"/>
      <family val="2"/>
    </font>
    <font>
      <b val="true"/>
      <sz val="18"/>
      <color rgb="FFFFFFFF"/>
      <name val="Arial"/>
      <family val="2"/>
    </font>
    <font>
      <b val="true"/>
      <sz val="20"/>
      <color rgb="FFFFFFFF"/>
      <name val="Arial"/>
      <family val="2"/>
    </font>
    <font>
      <b val="true"/>
      <sz val="16"/>
      <color rgb="FF000000"/>
      <name val="Arial"/>
      <family val="2"/>
    </font>
  </fonts>
  <fills count="15">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FF0000"/>
        <bgColor rgb="FF993300"/>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99">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top/>
      <bottom style="thin">
        <color theme="0"/>
      </bottom>
      <diagonal/>
    </border>
    <border diagonalUp="false" diagonalDown="false">
      <left/>
      <right style="thin">
        <color theme="0"/>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thin">
        <color theme="0"/>
      </left>
      <right style="thin">
        <color theme="0"/>
      </right>
      <top style="thin">
        <color theme="3"/>
      </top>
      <bottom/>
      <diagonal/>
    </border>
    <border diagonalUp="false" diagonalDown="false">
      <left style="thin">
        <color theme="0"/>
      </left>
      <right/>
      <top style="thin">
        <color theme="3"/>
      </top>
      <bottom/>
      <diagonal/>
    </border>
    <border diagonalUp="false" diagonalDown="false">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style="thin">
        <color theme="3"/>
      </top>
      <bottom style="medium">
        <color theme="7"/>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style="thin">
        <color theme="0"/>
      </right>
      <top style="medium">
        <color rgb="FF0B3041"/>
      </top>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medium">
        <color theme="7"/>
      </right>
      <top style="thin">
        <color theme="3"/>
      </top>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medium">
        <color rgb="FF0B3041"/>
      </top>
      <bottom style="thin">
        <color theme="0"/>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right/>
      <top style="thin"/>
      <bottom style="thin">
        <color theme="3"/>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548">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left" vertical="center" textRotation="0" wrapText="false" indent="1" shrinkToFit="false"/>
      <protection locked="true" hidden="false"/>
    </xf>
    <xf numFmtId="166" fontId="9" fillId="3" borderId="7" xfId="0" applyFont="true" applyBorder="true" applyAlignment="true" applyProtection="false">
      <alignment horizontal="right" vertical="center" textRotation="0" wrapText="false" indent="1" shrinkToFit="false"/>
      <protection locked="true" hidden="false"/>
    </xf>
    <xf numFmtId="166" fontId="9" fillId="3" borderId="8" xfId="0" applyFont="true" applyBorder="true" applyAlignment="true" applyProtection="false">
      <alignment horizontal="right" vertical="center" textRotation="0" wrapText="false" indent="1" shrinkToFit="false"/>
      <protection locked="true" hidden="false"/>
    </xf>
    <xf numFmtId="164" fontId="10" fillId="4" borderId="2" xfId="0" applyFont="true" applyBorder="true" applyAlignment="true" applyProtection="false">
      <alignment horizontal="left" vertical="center" textRotation="0" wrapText="false" indent="3" shrinkToFit="false"/>
      <protection locked="true" hidden="false"/>
    </xf>
    <xf numFmtId="166" fontId="11" fillId="0" borderId="0" xfId="0" applyFont="true" applyBorder="false" applyAlignment="true" applyProtection="false">
      <alignment horizontal="right" vertical="center" textRotation="0" wrapText="false" indent="1" shrinkToFit="false"/>
      <protection locked="true" hidden="false"/>
    </xf>
    <xf numFmtId="166" fontId="11"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true" indent="0" shrinkToFit="false"/>
      <protection locked="true" hidden="false"/>
    </xf>
    <xf numFmtId="165" fontId="9" fillId="3" borderId="6" xfId="0" applyFont="true" applyBorder="true" applyAlignment="true" applyProtection="false">
      <alignment horizontal="right" vertical="center" textRotation="0" wrapText="false" indent="1" shrinkToFit="false"/>
      <protection locked="true" hidden="false"/>
    </xf>
    <xf numFmtId="165" fontId="11" fillId="0" borderId="2" xfId="0" applyFont="true" applyBorder="tru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3" shrinkToFit="false"/>
      <protection locked="true" hidden="false"/>
    </xf>
    <xf numFmtId="165"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2" shrinkToFit="false"/>
      <protection locked="true" hidden="false"/>
    </xf>
    <xf numFmtId="165" fontId="11" fillId="5" borderId="6" xfId="0" applyFont="true" applyBorder="true" applyAlignment="true" applyProtection="false">
      <alignment horizontal="right" vertical="center" textRotation="0" wrapText="false" indent="1" shrinkToFit="false"/>
      <protection locked="true" hidden="false"/>
    </xf>
    <xf numFmtId="166" fontId="11" fillId="5" borderId="6" xfId="0" applyFont="true" applyBorder="true" applyAlignment="true" applyProtection="false">
      <alignment horizontal="right" vertical="center" textRotation="0" wrapText="false" indent="1" shrinkToFit="false"/>
      <protection locked="true" hidden="false"/>
    </xf>
    <xf numFmtId="166" fontId="11" fillId="0" borderId="2" xfId="0" applyFont="true" applyBorder="true" applyAlignment="true" applyProtection="false">
      <alignment horizontal="right" vertical="center" textRotation="0" wrapText="false" indent="1" shrinkToFit="false"/>
      <protection locked="true" hidden="false"/>
    </xf>
    <xf numFmtId="166" fontId="11" fillId="5" borderId="2" xfId="0" applyFont="true" applyBorder="true" applyAlignment="true" applyProtection="false">
      <alignment horizontal="right" vertical="center" textRotation="0" wrapText="false" indent="1" shrinkToFit="false"/>
      <protection locked="true" hidden="false"/>
    </xf>
    <xf numFmtId="166"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0" shrinkToFit="false"/>
      <protection locked="true" hidden="false"/>
    </xf>
    <xf numFmtId="166" fontId="9" fillId="9" borderId="12" xfId="0" applyFont="true" applyBorder="true" applyAlignment="true" applyProtection="false">
      <alignment horizontal="right" vertical="center" textRotation="0" wrapText="false" indent="1" shrinkToFit="false"/>
      <protection locked="true" hidden="false"/>
    </xf>
    <xf numFmtId="164" fontId="6" fillId="2" borderId="12" xfId="0" applyFont="true" applyBorder="true" applyAlignment="true" applyProtection="false">
      <alignment horizontal="left" vertical="center" textRotation="0" wrapText="false" indent="1" shrinkToFit="false"/>
      <protection locked="true" hidden="false"/>
    </xf>
    <xf numFmtId="166" fontId="17"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6" fontId="18" fillId="0" borderId="0" xfId="0" applyFont="true" applyBorder="false" applyAlignment="true" applyProtection="false">
      <alignment horizontal="general" vertical="center" textRotation="0" wrapText="false" indent="0" shrinkToFit="false"/>
      <protection locked="true" hidden="false"/>
    </xf>
    <xf numFmtId="164" fontId="0" fillId="0" borderId="14" xfId="0" applyFont="fals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6" fillId="8" borderId="1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lef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3" shrinkToFit="false"/>
      <protection locked="true" hidden="false"/>
    </xf>
    <xf numFmtId="166" fontId="11" fillId="0" borderId="14" xfId="0" applyFont="true" applyBorder="true" applyAlignment="true" applyProtection="false">
      <alignment horizontal="right" vertical="center" textRotation="0" wrapText="false" indent="1" shrinkToFit="false"/>
      <protection locked="true" hidden="false"/>
    </xf>
    <xf numFmtId="164" fontId="16" fillId="4" borderId="7" xfId="0" applyFont="true" applyBorder="true" applyAlignment="true" applyProtection="false">
      <alignment horizontal="left" vertical="center" textRotation="0" wrapText="false" indent="3" shrinkToFit="false"/>
      <protection locked="true" hidden="false"/>
    </xf>
    <xf numFmtId="166" fontId="11" fillId="0" borderId="7" xfId="0" applyFont="true" applyBorder="true" applyAlignment="true" applyProtection="false">
      <alignment horizontal="right" vertical="center" textRotation="0" wrapText="false" indent="1" shrinkToFit="false"/>
      <protection locked="true" hidden="false"/>
    </xf>
    <xf numFmtId="166" fontId="11" fillId="0" borderId="17" xfId="0" applyFont="true" applyBorder="true" applyAlignment="true" applyProtection="false">
      <alignment horizontal="right" vertical="center" textRotation="0" wrapText="false" indent="1" shrinkToFit="false"/>
      <protection locked="true" hidden="false"/>
    </xf>
    <xf numFmtId="164" fontId="6" fillId="2" borderId="7" xfId="0" applyFont="true" applyBorder="true" applyAlignment="true" applyProtection="false">
      <alignment horizontal="left" vertical="center" textRotation="0" wrapText="false" indent="1" shrinkToFit="false"/>
      <protection locked="true" hidden="false"/>
    </xf>
    <xf numFmtId="166" fontId="17" fillId="2" borderId="7" xfId="0" applyFont="true" applyBorder="true" applyAlignment="true" applyProtection="false">
      <alignment horizontal="right" vertical="center" textRotation="0" wrapText="false" indent="1" shrinkToFit="false"/>
      <protection locked="true" hidden="false"/>
    </xf>
    <xf numFmtId="166" fontId="17" fillId="2" borderId="17" xfId="0" applyFont="true" applyBorder="true" applyAlignment="true" applyProtection="false">
      <alignment horizontal="right" vertical="center" textRotation="0" wrapText="false" indent="1" shrinkToFit="false"/>
      <protection locked="true" hidden="false"/>
    </xf>
    <xf numFmtId="165" fontId="11" fillId="0" borderId="14" xfId="0" applyFont="true" applyBorder="true" applyAlignment="true" applyProtection="false">
      <alignment horizontal="right" vertical="center" textRotation="0" wrapText="false" indent="1" shrinkToFit="false"/>
      <protection locked="true" hidden="false"/>
    </xf>
    <xf numFmtId="166" fontId="11" fillId="0" borderId="18" xfId="0" applyFont="true" applyBorder="true" applyAlignment="true" applyProtection="false">
      <alignment horizontal="right" vertical="center" textRotation="0" wrapText="false" indent="1" shrinkToFit="false"/>
      <protection locked="true" hidden="false"/>
    </xf>
    <xf numFmtId="164" fontId="6" fillId="2" borderId="19" xfId="0" applyFont="true" applyBorder="true" applyAlignment="true" applyProtection="false">
      <alignment horizontal="center" vertical="center" textRotation="0" wrapText="false" indent="0" shrinkToFit="false"/>
      <protection locked="true" hidden="false"/>
    </xf>
    <xf numFmtId="164" fontId="10" fillId="3" borderId="7" xfId="0" applyFont="true" applyBorder="true" applyAlignment="true" applyProtection="false">
      <alignment horizontal="left" vertical="center" textRotation="0" wrapText="false" indent="1" shrinkToFit="false"/>
      <protection locked="true" hidden="false"/>
    </xf>
    <xf numFmtId="166" fontId="11" fillId="3" borderId="20" xfId="0" applyFont="true" applyBorder="true" applyAlignment="true" applyProtection="false">
      <alignment horizontal="right" vertical="center" textRotation="0" wrapText="false" indent="1" shrinkToFit="false"/>
      <protection locked="true" hidden="false"/>
    </xf>
    <xf numFmtId="166" fontId="11" fillId="0" borderId="20" xfId="0" applyFont="true" applyBorder="true" applyAlignment="true" applyProtection="false">
      <alignment horizontal="right" vertical="center" textRotation="0" wrapText="false" indent="1" shrinkToFit="false"/>
      <protection locked="true" hidden="false"/>
    </xf>
    <xf numFmtId="164" fontId="21" fillId="4" borderId="0" xfId="0" applyFont="true" applyBorder="false" applyAlignment="true" applyProtection="false">
      <alignment horizontal="left" vertical="center" textRotation="0" wrapText="false" indent="3" shrinkToFit="false"/>
      <protection locked="true" hidden="false"/>
    </xf>
    <xf numFmtId="166" fontId="11" fillId="0" borderId="21" xfId="0" applyFont="true" applyBorder="true" applyAlignment="true" applyProtection="false">
      <alignment horizontal="right" vertical="center" textRotation="0" wrapText="false" indent="1" shrinkToFit="false"/>
      <protection locked="true" hidden="false"/>
    </xf>
    <xf numFmtId="166" fontId="11" fillId="0" borderId="22" xfId="0" applyFont="true" applyBorder="true" applyAlignment="true" applyProtection="false">
      <alignment horizontal="right" vertical="center" textRotation="0" wrapText="false" indent="1" shrinkToFit="false"/>
      <protection locked="true" hidden="false"/>
    </xf>
    <xf numFmtId="164" fontId="10" fillId="3" borderId="23" xfId="0" applyFont="true" applyBorder="true" applyAlignment="true" applyProtection="false">
      <alignment horizontal="left" vertical="center" textRotation="0" wrapText="false" indent="1" shrinkToFit="false"/>
      <protection locked="true" hidden="false"/>
    </xf>
    <xf numFmtId="164" fontId="10" fillId="3" borderId="14" xfId="0" applyFont="true" applyBorder="true" applyAlignment="true" applyProtection="false">
      <alignment horizontal="left" vertical="center" textRotation="0" wrapText="false" indent="1" shrinkToFit="false"/>
      <protection locked="true" hidden="false"/>
    </xf>
    <xf numFmtId="166" fontId="11" fillId="3" borderId="18" xfId="0" applyFont="true" applyBorder="true" applyAlignment="true" applyProtection="false">
      <alignment horizontal="right" vertical="center" textRotation="0" wrapText="false" indent="1" shrinkToFit="false"/>
      <protection locked="true" hidden="false"/>
    </xf>
    <xf numFmtId="166" fontId="11" fillId="3" borderId="2" xfId="0" applyFont="true" applyBorder="true" applyAlignment="true" applyProtection="false">
      <alignment horizontal="right" vertical="center" textRotation="0" wrapText="false" indent="1" shrinkToFit="false"/>
      <protection locked="true" hidden="false"/>
    </xf>
    <xf numFmtId="164" fontId="6" fillId="2" borderId="24" xfId="0" applyFont="true" applyBorder="true" applyAlignment="true" applyProtection="false">
      <alignment horizontal="left" vertical="center" textRotation="0" wrapText="false" indent="1" shrinkToFit="false"/>
      <protection locked="true" hidden="false"/>
    </xf>
    <xf numFmtId="166" fontId="17" fillId="2" borderId="25" xfId="0" applyFont="true" applyBorder="true" applyAlignment="true" applyProtection="false">
      <alignment horizontal="right" vertical="center" textRotation="0" wrapText="false" indent="1" shrinkToFit="false"/>
      <protection locked="true" hidden="false"/>
    </xf>
    <xf numFmtId="164" fontId="6" fillId="2" borderId="26" xfId="0" applyFont="true" applyBorder="true" applyAlignment="true" applyProtection="false">
      <alignment horizontal="left" vertical="center" textRotation="0" wrapText="false" indent="1" shrinkToFit="false"/>
      <protection locked="true" hidden="false"/>
    </xf>
    <xf numFmtId="166" fontId="17"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false" applyBorder="true" applyAlignment="true" applyProtection="false">
      <alignment horizontal="general" vertical="center" textRotation="0" wrapText="false" indent="0" shrinkToFit="false"/>
      <protection locked="true" hidden="false"/>
    </xf>
    <xf numFmtId="166" fontId="13" fillId="0" borderId="14" xfId="0" applyFont="true" applyBorder="true" applyAlignment="true" applyProtection="false">
      <alignment horizontal="general" vertical="center" textRotation="0" wrapText="false" indent="0" shrinkToFit="false"/>
      <protection locked="true" hidden="false"/>
    </xf>
    <xf numFmtId="164" fontId="0" fillId="0" borderId="18" xfId="0" applyFont="false" applyBorder="true" applyAlignment="true" applyProtection="false">
      <alignment horizontal="general"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6" fillId="2" borderId="27" xfId="0" applyFont="true" applyBorder="true" applyAlignment="true" applyProtection="false">
      <alignment horizontal="center" vertical="center" textRotation="0" wrapText="false" indent="0" shrinkToFit="false"/>
      <protection locked="true" hidden="false"/>
    </xf>
    <xf numFmtId="164" fontId="6" fillId="8" borderId="10" xfId="0" applyFont="true" applyBorder="true" applyAlignment="true" applyProtection="false">
      <alignment horizontal="center" vertical="center" textRotation="0" wrapText="false" indent="0" shrinkToFit="false"/>
      <protection locked="true" hidden="false"/>
    </xf>
    <xf numFmtId="164" fontId="6" fillId="2" borderId="28"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8" borderId="28" xfId="0" applyFont="true" applyBorder="true" applyAlignment="true" applyProtection="false">
      <alignment horizontal="center" vertical="center" textRotation="0" wrapText="false" indent="0" shrinkToFit="false"/>
      <protection locked="true" hidden="false"/>
    </xf>
    <xf numFmtId="164" fontId="6" fillId="8" borderId="18"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left" vertical="center" textRotation="0" wrapText="false" indent="2" shrinkToFit="false"/>
      <protection locked="true" hidden="false"/>
    </xf>
    <xf numFmtId="166" fontId="11" fillId="0" borderId="3" xfId="0" applyFont="true" applyBorder="true" applyAlignment="true" applyProtection="false">
      <alignment horizontal="right" vertical="center" textRotation="0" wrapText="false" indent="1" shrinkToFit="false"/>
      <protection locked="true" hidden="false"/>
    </xf>
    <xf numFmtId="167" fontId="11" fillId="0" borderId="2" xfId="0" applyFont="true" applyBorder="true" applyAlignment="true" applyProtection="false">
      <alignment horizontal="righ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2" shrinkToFit="false"/>
      <protection locked="true" hidden="false"/>
    </xf>
    <xf numFmtId="164" fontId="16" fillId="4" borderId="17" xfId="0" applyFont="true" applyBorder="true" applyAlignment="true" applyProtection="false">
      <alignment horizontal="left" vertical="center" textRotation="0" wrapText="false" indent="2" shrinkToFit="false"/>
      <protection locked="true" hidden="false"/>
    </xf>
    <xf numFmtId="167" fontId="11" fillId="0" borderId="6" xfId="0" applyFont="true" applyBorder="true" applyAlignment="true" applyProtection="false">
      <alignment horizontal="right" vertical="center" textRotation="0" wrapText="false" indent="1" shrinkToFit="false"/>
      <protection locked="true" hidden="false"/>
    </xf>
    <xf numFmtId="164" fontId="8" fillId="3" borderId="29" xfId="0" applyFont="true" applyBorder="true" applyAlignment="true" applyProtection="false">
      <alignment horizontal="left" vertical="center" textRotation="0" wrapText="false" indent="1" shrinkToFit="false"/>
      <protection locked="true" hidden="false"/>
    </xf>
    <xf numFmtId="166" fontId="9" fillId="3" borderId="6" xfId="0" applyFont="true" applyBorder="true" applyAlignment="true" applyProtection="false">
      <alignment horizontal="right" vertical="center" textRotation="0" wrapText="false" indent="1" shrinkToFit="false"/>
      <protection locked="true" hidden="false"/>
    </xf>
    <xf numFmtId="167" fontId="9" fillId="3" borderId="6" xfId="0" applyFont="true" applyBorder="true" applyAlignment="true" applyProtection="false">
      <alignment horizontal="right" vertical="center" textRotation="0" wrapText="false" indent="1" shrinkToFit="false"/>
      <protection locked="true" hidden="false"/>
    </xf>
    <xf numFmtId="164" fontId="10" fillId="4" borderId="30" xfId="0" applyFont="true" applyBorder="true" applyAlignment="true" applyProtection="false">
      <alignment horizontal="left" vertical="center" textRotation="0" wrapText="false" indent="2" shrinkToFit="false"/>
      <protection locked="true" hidden="false"/>
    </xf>
    <xf numFmtId="164" fontId="8" fillId="4" borderId="29" xfId="0" applyFont="true" applyBorder="true" applyAlignment="true" applyProtection="false">
      <alignment horizontal="left" vertical="center" textRotation="0" wrapText="false" indent="2" shrinkToFit="false"/>
      <protection locked="true" hidden="false"/>
    </xf>
    <xf numFmtId="166" fontId="9" fillId="0" borderId="12" xfId="0" applyFont="true" applyBorder="true" applyAlignment="true" applyProtection="false">
      <alignment horizontal="right" vertical="center" textRotation="0" wrapText="false" indent="1" shrinkToFit="false"/>
      <protection locked="true" hidden="false"/>
    </xf>
    <xf numFmtId="167" fontId="9" fillId="0" borderId="12" xfId="0" applyFont="true" applyBorder="true" applyAlignment="true" applyProtection="false">
      <alignment horizontal="right" vertical="center" textRotation="0" wrapText="false" indent="1" shrinkToFit="false"/>
      <protection locked="true" hidden="false"/>
    </xf>
    <xf numFmtId="166" fontId="9" fillId="0" borderId="6" xfId="0" applyFont="true" applyBorder="true" applyAlignment="true" applyProtection="false">
      <alignment horizontal="right" vertical="center" textRotation="0" wrapText="false" indent="1" shrinkToFit="false"/>
      <protection locked="true" hidden="false"/>
    </xf>
    <xf numFmtId="167" fontId="9" fillId="0" borderId="6" xfId="0" applyFont="true" applyBorder="true" applyAlignment="true" applyProtection="false">
      <alignment horizontal="right" vertical="center" textRotation="0" wrapText="false" indent="1" shrinkToFit="false"/>
      <protection locked="true" hidden="false"/>
    </xf>
    <xf numFmtId="164" fontId="10" fillId="4" borderId="30" xfId="0" applyFont="true" applyBorder="true" applyAlignment="true" applyProtection="false">
      <alignment horizontal="left" vertical="center" textRotation="0" wrapText="false" indent="3" shrinkToFit="false"/>
      <protection locked="true" hidden="false"/>
    </xf>
    <xf numFmtId="164" fontId="10" fillId="4" borderId="0" xfId="0" applyFont="true" applyBorder="false" applyAlignment="true" applyProtection="false">
      <alignment horizontal="left" vertical="center" textRotation="0" wrapText="false" indent="3" shrinkToFit="false"/>
      <protection locked="true" hidden="false"/>
    </xf>
    <xf numFmtId="164" fontId="16" fillId="4" borderId="17" xfId="0" applyFont="true" applyBorder="true" applyAlignment="true" applyProtection="false">
      <alignment horizontal="left" vertical="center" textRotation="0" wrapText="false" indent="3" shrinkToFit="false"/>
      <protection locked="true" hidden="false"/>
    </xf>
    <xf numFmtId="164" fontId="22" fillId="4" borderId="17" xfId="0" applyFont="true" applyBorder="true" applyAlignment="true" applyProtection="false">
      <alignment horizontal="left" vertical="center" textRotation="0" wrapText="false" indent="1"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7" fontId="0" fillId="0" borderId="14" xfId="0" applyFont="false" applyBorder="true" applyAlignment="true" applyProtection="false">
      <alignment horizontal="general" vertical="center" textRotation="0" wrapText="false" indent="0" shrinkToFit="false"/>
      <protection locked="true" hidden="false"/>
    </xf>
    <xf numFmtId="167" fontId="0" fillId="0" borderId="18" xfId="0" applyFont="false" applyBorder="true" applyAlignment="true" applyProtection="false">
      <alignment horizontal="general" vertical="center" textRotation="0" wrapText="false" indent="0" shrinkToFit="false"/>
      <protection locked="true" hidden="false"/>
    </xf>
    <xf numFmtId="164" fontId="6" fillId="2" borderId="31" xfId="0" applyFont="true" applyBorder="true" applyAlignment="true" applyProtection="false">
      <alignment horizontal="center" vertical="center" textRotation="0" wrapText="false" indent="0" shrinkToFit="false"/>
      <protection locked="true" hidden="false"/>
    </xf>
    <xf numFmtId="164" fontId="6" fillId="8" borderId="10" xfId="0" applyFont="true" applyBorder="true" applyAlignment="true" applyProtection="false">
      <alignment horizontal="center" vertical="center" textRotation="0" wrapText="true" indent="0" shrinkToFit="false"/>
      <protection locked="true" hidden="false"/>
    </xf>
    <xf numFmtId="164" fontId="6" fillId="2" borderId="25" xfId="0" applyFont="true" applyBorder="true" applyAlignment="true" applyProtection="false">
      <alignment horizontal="center" vertical="center" textRotation="0" wrapText="false" indent="0" shrinkToFit="false"/>
      <protection locked="true" hidden="false"/>
    </xf>
    <xf numFmtId="167" fontId="6" fillId="2" borderId="32" xfId="0" applyFont="true" applyBorder="true" applyAlignment="true" applyProtection="false">
      <alignment horizontal="center" vertical="center" textRotation="0" wrapText="false" indent="0" shrinkToFit="false"/>
      <protection locked="true" hidden="false"/>
    </xf>
    <xf numFmtId="167" fontId="6" fillId="2" borderId="25" xfId="0" applyFont="true" applyBorder="true" applyAlignment="true" applyProtection="false">
      <alignment horizontal="center" vertical="center" textRotation="0" wrapText="false" indent="0" shrinkToFit="false"/>
      <protection locked="true" hidden="false"/>
    </xf>
    <xf numFmtId="164" fontId="6" fillId="8" borderId="25" xfId="0" applyFont="true" applyBorder="true" applyAlignment="true" applyProtection="false">
      <alignment horizontal="center" vertical="center" textRotation="0" wrapText="false" indent="0" shrinkToFit="false"/>
      <protection locked="true" hidden="false"/>
    </xf>
    <xf numFmtId="167" fontId="6" fillId="8" borderId="32" xfId="0" applyFont="true" applyBorder="true" applyAlignment="true" applyProtection="false">
      <alignment horizontal="center" vertical="center" textRotation="0" wrapText="false" indent="0" shrinkToFit="false"/>
      <protection locked="true" hidden="false"/>
    </xf>
    <xf numFmtId="165" fontId="23" fillId="5" borderId="18" xfId="0" applyFont="true" applyBorder="true" applyAlignment="true" applyProtection="false">
      <alignment horizontal="left" vertical="center" textRotation="0" wrapText="false" indent="1" shrinkToFit="false"/>
      <protection locked="true" hidden="false"/>
    </xf>
    <xf numFmtId="164" fontId="10" fillId="10" borderId="26" xfId="0" applyFont="true" applyBorder="true" applyAlignment="true" applyProtection="false">
      <alignment horizontal="left" vertical="center" textRotation="0" wrapText="false" indent="2" shrinkToFit="false"/>
      <protection locked="true" hidden="false"/>
    </xf>
    <xf numFmtId="166" fontId="11" fillId="10" borderId="33" xfId="0" applyFont="true" applyBorder="true" applyAlignment="true" applyProtection="false">
      <alignment horizontal="right" vertical="center" textRotation="0" wrapText="false" indent="1" shrinkToFit="false"/>
      <protection locked="true" hidden="false"/>
    </xf>
    <xf numFmtId="167" fontId="11" fillId="10" borderId="11" xfId="0" applyFont="true" applyBorder="true" applyAlignment="true" applyProtection="false">
      <alignment horizontal="right" vertical="center" textRotation="0" wrapText="false" indent="1" shrinkToFit="false"/>
      <protection locked="true" hidden="false"/>
    </xf>
    <xf numFmtId="166" fontId="11" fillId="10" borderId="11" xfId="0" applyFont="true" applyBorder="true" applyAlignment="true" applyProtection="false">
      <alignment horizontal="right" vertical="center" textRotation="0" wrapText="false" indent="1" shrinkToFit="false"/>
      <protection locked="true" hidden="false"/>
    </xf>
    <xf numFmtId="164" fontId="16" fillId="4" borderId="14" xfId="0" applyFont="true" applyBorder="true" applyAlignment="true" applyProtection="false">
      <alignment horizontal="left" vertical="center" textRotation="0" wrapText="false" indent="2" shrinkToFit="false"/>
      <protection locked="true" hidden="false"/>
    </xf>
    <xf numFmtId="164" fontId="8" fillId="3" borderId="29" xfId="0" applyFont="true" applyBorder="true" applyAlignment="true" applyProtection="false">
      <alignment horizontal="left" vertical="center" textRotation="0" wrapText="false" indent="3" shrinkToFit="false"/>
      <protection locked="true" hidden="false"/>
    </xf>
    <xf numFmtId="166" fontId="9" fillId="3" borderId="20" xfId="0" applyFont="true" applyBorder="true" applyAlignment="true" applyProtection="false">
      <alignment horizontal="right" vertical="center" textRotation="0" wrapText="false" indent="1" shrinkToFit="false"/>
      <protection locked="true" hidden="false"/>
    </xf>
    <xf numFmtId="164" fontId="8" fillId="3" borderId="29" xfId="0" applyFont="true" applyBorder="true" applyAlignment="true" applyProtection="false">
      <alignment horizontal="left" vertical="center" textRotation="0" wrapText="false" indent="2" shrinkToFit="false"/>
      <protection locked="true" hidden="false"/>
    </xf>
    <xf numFmtId="164" fontId="10" fillId="0" borderId="29" xfId="0" applyFont="true" applyBorder="true" applyAlignment="true" applyProtection="false">
      <alignment horizontal="left" vertical="center" textRotation="0" wrapText="false" indent="2" shrinkToFit="false"/>
      <protection locked="true" hidden="false"/>
    </xf>
    <xf numFmtId="164" fontId="25" fillId="0" borderId="29" xfId="0" applyFont="true" applyBorder="true" applyAlignment="true" applyProtection="false">
      <alignment horizontal="left" vertical="center" textRotation="0" wrapText="false" indent="2" shrinkToFit="false"/>
      <protection locked="true" hidden="false"/>
    </xf>
    <xf numFmtId="166" fontId="26" fillId="0" borderId="20" xfId="0" applyFont="true" applyBorder="true" applyAlignment="true" applyProtection="false">
      <alignment horizontal="right" vertical="center" textRotation="0" wrapText="false" indent="1" shrinkToFit="false"/>
      <protection locked="true" hidden="false"/>
    </xf>
    <xf numFmtId="167" fontId="26" fillId="0" borderId="6" xfId="0" applyFont="true" applyBorder="true" applyAlignment="true" applyProtection="false">
      <alignment horizontal="right" vertical="center" textRotation="0" wrapText="false" indent="1" shrinkToFit="false"/>
      <protection locked="true" hidden="false"/>
    </xf>
    <xf numFmtId="166" fontId="26"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false" applyBorder="true" applyAlignment="true" applyProtection="false">
      <alignment horizontal="general" vertical="center" textRotation="0" wrapText="false" indent="0" shrinkToFit="false"/>
      <protection locked="true" hidden="false"/>
    </xf>
    <xf numFmtId="167" fontId="0" fillId="0" borderId="2" xfId="0" applyFont="fals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4" fontId="10" fillId="4" borderId="14" xfId="0" applyFont="true" applyBorder="true" applyAlignment="true" applyProtection="false">
      <alignment horizontal="left" vertical="center" textRotation="0" wrapText="false" indent="2" shrinkToFit="false"/>
      <protection locked="true" hidden="false"/>
    </xf>
    <xf numFmtId="164" fontId="8" fillId="3" borderId="29" xfId="0" applyFont="true" applyBorder="true" applyAlignment="true" applyProtection="false">
      <alignment horizontal="left" vertical="center" textRotation="0" wrapText="false" indent="0" shrinkToFit="false"/>
      <protection locked="true" hidden="false"/>
    </xf>
    <xf numFmtId="166" fontId="9" fillId="3" borderId="34" xfId="0" applyFont="true" applyBorder="true" applyAlignment="true" applyProtection="false">
      <alignment horizontal="right" vertical="center" textRotation="0" wrapText="false" indent="1" shrinkToFit="false"/>
      <protection locked="true" hidden="false"/>
    </xf>
    <xf numFmtId="167" fontId="11" fillId="3" borderId="12" xfId="0" applyFont="true" applyBorder="true" applyAlignment="true" applyProtection="false">
      <alignment horizontal="right" vertical="center" textRotation="0" wrapText="false" indent="1" shrinkToFit="false"/>
      <protection locked="true" hidden="false"/>
    </xf>
    <xf numFmtId="166" fontId="9" fillId="3" borderId="12" xfId="0" applyFont="true" applyBorder="true" applyAlignment="true" applyProtection="false">
      <alignment horizontal="right" vertical="center" textRotation="0" wrapText="false" indent="1"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7" fillId="2" borderId="35"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7" fillId="2" borderId="36" xfId="0" applyFont="true" applyBorder="true" applyAlignment="true" applyProtection="false">
      <alignment horizontal="center" vertical="center" textRotation="0" wrapText="false" indent="0" shrinkToFit="false"/>
      <protection locked="true" hidden="false"/>
    </xf>
    <xf numFmtId="164" fontId="10" fillId="4" borderId="34" xfId="0" applyFont="true" applyBorder="true" applyAlignment="true" applyProtection="false">
      <alignment horizontal="left" vertical="center" textRotation="0" wrapText="false" indent="1" shrinkToFit="false"/>
      <protection locked="true" hidden="false"/>
    </xf>
    <xf numFmtId="165" fontId="11" fillId="0" borderId="12" xfId="0" applyFont="true" applyBorder="true" applyAlignment="true" applyProtection="false">
      <alignment horizontal="right" vertical="center" textRotation="0" wrapText="false" indent="1" shrinkToFit="false"/>
      <protection locked="true" hidden="false"/>
    </xf>
    <xf numFmtId="165" fontId="11" fillId="0" borderId="34" xfId="0" applyFont="true" applyBorder="true" applyAlignment="true" applyProtection="false">
      <alignment horizontal="right" vertical="center" textRotation="0" wrapText="false" indent="1" shrinkToFit="false"/>
      <protection locked="true" hidden="false"/>
    </xf>
    <xf numFmtId="165" fontId="27" fillId="0" borderId="12" xfId="0" applyFont="true" applyBorder="true" applyAlignment="true" applyProtection="false">
      <alignment horizontal="right" vertical="center" textRotation="0" wrapText="false" indent="1" shrinkToFit="false"/>
      <protection locked="true" hidden="false"/>
    </xf>
    <xf numFmtId="164" fontId="10" fillId="4" borderId="12" xfId="0" applyFont="true" applyBorder="true" applyAlignment="true" applyProtection="false">
      <alignment horizontal="left" vertical="center" textRotation="0" wrapText="false" indent="1" shrinkToFit="false"/>
      <protection locked="true" hidden="false"/>
    </xf>
    <xf numFmtId="166" fontId="9" fillId="3" borderId="37" xfId="0" applyFont="true" applyBorder="true" applyAlignment="true" applyProtection="false">
      <alignment horizontal="right" vertical="center" textRotation="0" wrapText="false" indent="1" shrinkToFit="false"/>
      <protection locked="true" hidden="false"/>
    </xf>
    <xf numFmtId="166" fontId="11" fillId="5" borderId="8"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1" shrinkToFit="false"/>
      <protection locked="true" hidden="false"/>
    </xf>
    <xf numFmtId="166" fontId="11" fillId="5" borderId="23" xfId="0" applyFont="true" applyBorder="true" applyAlignment="true" applyProtection="false">
      <alignment horizontal="right" vertical="center" textRotation="0" wrapText="false" indent="1" shrinkToFit="false"/>
      <protection locked="true" hidden="false"/>
    </xf>
    <xf numFmtId="166" fontId="11" fillId="5" borderId="37"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2" shrinkToFit="false"/>
      <protection locked="true" hidden="false"/>
    </xf>
    <xf numFmtId="166" fontId="11" fillId="5" borderId="23" xfId="0" applyFont="true" applyBorder="true" applyAlignment="true" applyProtection="false">
      <alignment horizontal="right" vertical="center" textRotation="0" wrapText="false" indent="2" shrinkToFit="false"/>
      <protection locked="true" hidden="false"/>
    </xf>
    <xf numFmtId="166" fontId="11" fillId="5" borderId="37" xfId="0" applyFont="true" applyBorder="true" applyAlignment="true" applyProtection="false">
      <alignment horizontal="right" vertical="center" textRotation="0" wrapText="false" indent="2" shrinkToFit="false"/>
      <protection locked="true" hidden="false"/>
    </xf>
    <xf numFmtId="164" fontId="10" fillId="4" borderId="2"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1" shrinkToFit="false"/>
      <protection locked="true" hidden="false"/>
    </xf>
    <xf numFmtId="166" fontId="9" fillId="9" borderId="37" xfId="0" applyFont="true" applyBorder="true" applyAlignment="true" applyProtection="false">
      <alignment horizontal="right" vertical="center" textRotation="0" wrapText="false" indent="1" shrinkToFit="false"/>
      <protection locked="true" hidden="false"/>
    </xf>
    <xf numFmtId="164" fontId="16" fillId="4" borderId="38" xfId="0" applyFont="true" applyBorder="true" applyAlignment="true" applyProtection="false">
      <alignment horizontal="left" vertical="center" textRotation="0" wrapText="false" indent="1" shrinkToFit="false"/>
      <protection locked="true" hidden="false"/>
    </xf>
    <xf numFmtId="166" fontId="11" fillId="5" borderId="39" xfId="0" applyFont="true" applyBorder="true" applyAlignment="true" applyProtection="false">
      <alignment horizontal="right" vertical="center" textRotation="0" wrapText="false" indent="1" shrinkToFit="false"/>
      <protection locked="true" hidden="false"/>
    </xf>
    <xf numFmtId="166" fontId="11" fillId="5" borderId="40" xfId="0" applyFont="true" applyBorder="true" applyAlignment="true" applyProtection="false">
      <alignment horizontal="right" vertical="center" textRotation="0" wrapText="false" indent="1" shrinkToFit="false"/>
      <protection locked="true" hidden="false"/>
    </xf>
    <xf numFmtId="166" fontId="11" fillId="0" borderId="41" xfId="0" applyFont="true" applyBorder="true" applyAlignment="true" applyProtection="false">
      <alignment horizontal="right" vertical="center" textRotation="0" wrapText="false" indent="1" shrinkToFit="false"/>
      <protection locked="true" hidden="false"/>
    </xf>
    <xf numFmtId="166" fontId="11" fillId="5" borderId="0" xfId="0" applyFont="true" applyBorder="false" applyAlignment="true" applyProtection="false">
      <alignment horizontal="right" vertical="center" textRotation="0" wrapText="false" indent="1" shrinkToFit="false"/>
      <protection locked="true" hidden="false"/>
    </xf>
    <xf numFmtId="164" fontId="16" fillId="4" borderId="6" xfId="0" applyFont="true" applyBorder="true" applyAlignment="true" applyProtection="false">
      <alignment horizontal="left" vertical="center" textRotation="0" wrapText="false" indent="1" shrinkToFit="false"/>
      <protection locked="true" hidden="false"/>
    </xf>
    <xf numFmtId="166" fontId="11" fillId="5" borderId="17" xfId="0" applyFont="true" applyBorder="true" applyAlignment="true" applyProtection="false">
      <alignment horizontal="right" vertical="center" textRotation="0" wrapText="false" indent="1" shrinkToFit="false"/>
      <protection locked="true" hidden="false"/>
    </xf>
    <xf numFmtId="166" fontId="11" fillId="0" borderId="8" xfId="0" applyFont="true" applyBorder="true" applyAlignment="true" applyProtection="false">
      <alignment horizontal="right" vertical="center" textRotation="0" wrapText="false" indent="1" shrinkToFit="false"/>
      <protection locked="true" hidden="false"/>
    </xf>
    <xf numFmtId="164" fontId="8" fillId="9" borderId="6" xfId="0" applyFont="true" applyBorder="true" applyAlignment="true" applyProtection="false">
      <alignment horizontal="left" vertical="center" textRotation="0" wrapText="false" indent="1" shrinkToFit="false"/>
      <protection locked="true" hidden="false"/>
    </xf>
    <xf numFmtId="166" fontId="9" fillId="9" borderId="17" xfId="0" applyFont="true" applyBorder="true" applyAlignment="true" applyProtection="false">
      <alignment horizontal="right" vertical="center" textRotation="0" wrapText="false" indent="1" shrinkToFit="false"/>
      <protection locked="true" hidden="false"/>
    </xf>
    <xf numFmtId="166" fontId="9" fillId="9" borderId="9" xfId="0" applyFont="true" applyBorder="true" applyAlignment="true" applyProtection="false">
      <alignment horizontal="right" vertical="center" textRotation="0" wrapText="false" indent="1" shrinkToFit="false"/>
      <protection locked="true" hidden="false"/>
    </xf>
    <xf numFmtId="166" fontId="17" fillId="2" borderId="12" xfId="0" applyFont="true" applyBorder="true" applyAlignment="true" applyProtection="false">
      <alignment horizontal="right" vertical="center" textRotation="0" wrapText="false" indent="1" shrinkToFit="false"/>
      <protection locked="true" hidden="false"/>
    </xf>
    <xf numFmtId="166" fontId="17" fillId="2" borderId="42" xfId="0" applyFont="true" applyBorder="true" applyAlignment="true" applyProtection="false">
      <alignment horizontal="right" vertical="center" textRotation="0" wrapText="false" indent="1" shrinkToFit="false"/>
      <protection locked="true" hidden="false"/>
    </xf>
    <xf numFmtId="166" fontId="30" fillId="0" borderId="0" xfId="0" applyFont="true" applyBorder="false" applyAlignment="true" applyProtection="false">
      <alignment horizontal="general" vertical="center" textRotation="0" wrapText="false" indent="0" shrinkToFit="false"/>
      <protection locked="true" hidden="false"/>
    </xf>
    <xf numFmtId="165" fontId="30"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6" fillId="2" borderId="43"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false" indent="1" shrinkToFit="false"/>
      <protection locked="true" hidden="false"/>
    </xf>
    <xf numFmtId="164" fontId="32" fillId="5" borderId="23"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1" shrinkToFit="false"/>
      <protection locked="true" hidden="false"/>
    </xf>
    <xf numFmtId="164" fontId="33" fillId="5" borderId="23" xfId="0" applyFont="true" applyBorder="true" applyAlignment="true" applyProtection="false">
      <alignment horizontal="left" vertical="center" textRotation="0" wrapText="true" indent="1" shrinkToFit="false"/>
      <protection locked="true" hidden="false"/>
    </xf>
    <xf numFmtId="164" fontId="16" fillId="4" borderId="44" xfId="0" applyFont="true" applyBorder="true" applyAlignment="true" applyProtection="false">
      <alignment horizontal="left" vertical="center" textRotation="0" wrapText="false" indent="1" shrinkToFit="false"/>
      <protection locked="true" hidden="false"/>
    </xf>
    <xf numFmtId="166" fontId="11" fillId="0" borderId="44" xfId="0" applyFont="true" applyBorder="true" applyAlignment="true" applyProtection="false">
      <alignment horizontal="right" vertical="center" textRotation="0" wrapText="false" indent="1" shrinkToFit="false"/>
      <protection locked="true" hidden="false"/>
    </xf>
    <xf numFmtId="164" fontId="33" fillId="5" borderId="45" xfId="0" applyFont="true" applyBorder="true" applyAlignment="true" applyProtection="false">
      <alignment horizontal="left" vertical="center" textRotation="0" wrapText="false" indent="1" shrinkToFit="false"/>
      <protection locked="true" hidden="false"/>
    </xf>
    <xf numFmtId="164" fontId="8" fillId="9" borderId="46" xfId="0" applyFont="true" applyBorder="true" applyAlignment="true" applyProtection="false">
      <alignment horizontal="left" vertical="center" textRotation="0" wrapText="false" indent="1" shrinkToFit="false"/>
      <protection locked="true" hidden="false"/>
    </xf>
    <xf numFmtId="166" fontId="34" fillId="9" borderId="46" xfId="0" applyFont="true" applyBorder="true" applyAlignment="true" applyProtection="false">
      <alignment horizontal="right" vertical="center" textRotation="0" wrapText="false" indent="1" shrinkToFit="false"/>
      <protection locked="true" hidden="false"/>
    </xf>
    <xf numFmtId="164" fontId="35" fillId="9" borderId="47" xfId="0" applyFont="true" applyBorder="true" applyAlignment="true" applyProtection="false">
      <alignment horizontal="left" vertical="center" textRotation="0" wrapText="false" indent="1" shrinkToFit="false"/>
      <protection locked="true" hidden="false"/>
    </xf>
    <xf numFmtId="164" fontId="6" fillId="2" borderId="48" xfId="0" applyFont="true" applyBorder="true" applyAlignment="true" applyProtection="false">
      <alignment horizontal="center" vertical="center" textRotation="0" wrapText="false" indent="0" shrinkToFit="false"/>
      <protection locked="true" hidden="false"/>
    </xf>
    <xf numFmtId="164" fontId="6" fillId="2" borderId="49" xfId="0" applyFont="true" applyBorder="true" applyAlignment="true" applyProtection="false">
      <alignment horizontal="center" vertical="center" textRotation="0" wrapText="false" indent="0" shrinkToFit="false"/>
      <protection locked="true" hidden="false"/>
    </xf>
    <xf numFmtId="164" fontId="10" fillId="4" borderId="29" xfId="0" applyFont="true" applyBorder="true" applyAlignment="true" applyProtection="false">
      <alignment horizontal="left" vertical="center" textRotation="0" wrapText="false" indent="1" shrinkToFit="false"/>
      <protection locked="true" hidden="false"/>
    </xf>
    <xf numFmtId="166" fontId="11" fillId="0" borderId="29" xfId="0" applyFont="true" applyBorder="true" applyAlignment="true" applyProtection="false">
      <alignment horizontal="right" vertical="center" textRotation="0" wrapText="false" indent="1" shrinkToFit="false"/>
      <protection locked="true" hidden="false"/>
    </xf>
    <xf numFmtId="164" fontId="32" fillId="5" borderId="29" xfId="0" applyFont="true" applyBorder="true" applyAlignment="true" applyProtection="false">
      <alignment horizontal="left" vertical="center" textRotation="0" wrapText="true" indent="1" shrinkToFit="false"/>
      <protection locked="true" hidden="false"/>
    </xf>
    <xf numFmtId="164" fontId="32" fillId="5" borderId="29" xfId="0" applyFont="true" applyBorder="true" applyAlignment="true" applyProtection="false">
      <alignment horizontal="left" vertical="center" textRotation="0" wrapText="false" indent="1" shrinkToFit="false"/>
      <protection locked="true" hidden="false"/>
    </xf>
    <xf numFmtId="164" fontId="11" fillId="4" borderId="0" xfId="0" applyFont="true" applyBorder="false" applyAlignment="true" applyProtection="false">
      <alignment horizontal="left" vertical="center" textRotation="0" wrapText="false" indent="1" shrinkToFit="false"/>
      <protection locked="true" hidden="false"/>
    </xf>
    <xf numFmtId="164" fontId="33" fillId="5" borderId="0" xfId="0" applyFont="true" applyBorder="false" applyAlignment="true" applyProtection="false">
      <alignment horizontal="left" vertical="center" textRotation="0" wrapText="false" indent="1" shrinkToFit="false"/>
      <protection locked="true" hidden="false"/>
    </xf>
    <xf numFmtId="164" fontId="11" fillId="4" borderId="50" xfId="0" applyFont="true" applyBorder="true" applyAlignment="true" applyProtection="false">
      <alignment horizontal="left" vertical="center" textRotation="0" wrapText="false" indent="1" shrinkToFit="false"/>
      <protection locked="true" hidden="false"/>
    </xf>
    <xf numFmtId="166" fontId="11" fillId="0" borderId="50" xfId="0" applyFont="true" applyBorder="true" applyAlignment="true" applyProtection="false">
      <alignment horizontal="right" vertical="center" textRotation="0" wrapText="false" indent="1" shrinkToFit="false"/>
      <protection locked="true" hidden="false"/>
    </xf>
    <xf numFmtId="164" fontId="33" fillId="5" borderId="50" xfId="0" applyFont="true" applyBorder="true" applyAlignment="true" applyProtection="false">
      <alignment horizontal="left" vertical="center" textRotation="0" wrapText="true" indent="1" shrinkToFit="false"/>
      <protection locked="true" hidden="false"/>
    </xf>
    <xf numFmtId="166" fontId="34" fillId="9" borderId="0" xfId="0" applyFont="true" applyBorder="false" applyAlignment="true" applyProtection="false">
      <alignment horizontal="right" vertical="center" textRotation="0" wrapText="false" indent="1" shrinkToFit="false"/>
      <protection locked="true" hidden="false"/>
    </xf>
    <xf numFmtId="164" fontId="33" fillId="9" borderId="0" xfId="0" applyFont="true" applyBorder="false" applyAlignment="true" applyProtection="false">
      <alignment horizontal="left" vertical="center" textRotation="0" wrapText="false" indent="1" shrinkToFit="false"/>
      <protection locked="true" hidden="false"/>
    </xf>
    <xf numFmtId="164" fontId="10" fillId="4" borderId="44" xfId="0" applyFont="true" applyBorder="true" applyAlignment="true" applyProtection="false">
      <alignment horizontal="left" vertical="center" textRotation="0" wrapText="false" indent="1" shrinkToFit="false"/>
      <protection locked="true" hidden="false"/>
    </xf>
    <xf numFmtId="168" fontId="11" fillId="0" borderId="3" xfId="0" applyFont="true" applyBorder="true" applyAlignment="true" applyProtection="false">
      <alignment horizontal="right" vertical="center" textRotation="0" wrapText="false" indent="1" shrinkToFit="false"/>
      <protection locked="true" hidden="false"/>
    </xf>
    <xf numFmtId="168" fontId="11" fillId="0" borderId="12" xfId="0" applyFont="true" applyBorder="true" applyAlignment="true" applyProtection="false">
      <alignment horizontal="right" vertical="center" textRotation="0" wrapText="false" indent="1" shrinkToFit="false"/>
      <protection locked="true" hidden="false"/>
    </xf>
    <xf numFmtId="168" fontId="11" fillId="0" borderId="44" xfId="0" applyFont="true" applyBorder="true" applyAlignment="true" applyProtection="false">
      <alignment horizontal="right" vertical="center" textRotation="0" wrapText="false" indent="1" shrinkToFit="false"/>
      <protection locked="true" hidden="false"/>
    </xf>
    <xf numFmtId="168" fontId="34" fillId="9" borderId="46" xfId="0" applyFont="true" applyBorder="true" applyAlignment="true" applyProtection="false">
      <alignment horizontal="right" vertical="center" textRotation="0" wrapText="false" indent="1" shrinkToFit="false"/>
      <protection locked="true" hidden="false"/>
    </xf>
    <xf numFmtId="164" fontId="8" fillId="3" borderId="46" xfId="0" applyFont="true" applyBorder="true" applyAlignment="true" applyProtection="false">
      <alignment horizontal="left" vertical="center" textRotation="0" wrapText="false" indent="1" shrinkToFit="false"/>
      <protection locked="true" hidden="false"/>
    </xf>
    <xf numFmtId="164" fontId="6" fillId="2" borderId="51" xfId="0" applyFont="true" applyBorder="true" applyAlignment="true" applyProtection="false">
      <alignment horizontal="center" vertical="center" textRotation="0" wrapText="false" indent="0" shrinkToFit="false"/>
      <protection locked="true" hidden="false"/>
    </xf>
    <xf numFmtId="169" fontId="22" fillId="5" borderId="3" xfId="0" applyFont="true" applyBorder="true" applyAlignment="true" applyProtection="false">
      <alignment horizontal="right" vertical="center" textRotation="0" wrapText="false" indent="1" shrinkToFit="false"/>
      <protection locked="true" hidden="false"/>
    </xf>
    <xf numFmtId="169" fontId="22" fillId="5" borderId="12" xfId="0" applyFont="true" applyBorder="true" applyAlignment="true" applyProtection="false">
      <alignment horizontal="right" vertical="center" textRotation="0" wrapText="false" indent="1" shrinkToFit="false"/>
      <protection locked="true" hidden="false"/>
    </xf>
    <xf numFmtId="169" fontId="22" fillId="5" borderId="2" xfId="0" applyFont="true" applyBorder="true" applyAlignment="true" applyProtection="false">
      <alignment horizontal="right" vertical="center" textRotation="0" wrapText="false" indent="1" shrinkToFit="false"/>
      <protection locked="true" hidden="false"/>
    </xf>
    <xf numFmtId="169" fontId="22" fillId="5" borderId="44" xfId="0" applyFont="true" applyBorder="true" applyAlignment="true" applyProtection="false">
      <alignment horizontal="right" vertical="center" textRotation="0" wrapText="false" indent="1" shrinkToFit="false"/>
      <protection locked="true" hidden="false"/>
    </xf>
    <xf numFmtId="164" fontId="22" fillId="9" borderId="46" xfId="0" applyFont="true" applyBorder="true" applyAlignment="true" applyProtection="false">
      <alignment horizontal="right" vertical="center" textRotation="0" wrapText="false" indent="1" shrinkToFit="false"/>
      <protection locked="true" hidden="false"/>
    </xf>
    <xf numFmtId="164" fontId="6" fillId="2" borderId="52" xfId="0" applyFont="true" applyBorder="true" applyAlignment="true" applyProtection="false">
      <alignment horizontal="center" vertical="center" textRotation="0" wrapText="false" indent="0" shrinkToFit="false"/>
      <protection locked="true" hidden="false"/>
    </xf>
    <xf numFmtId="164" fontId="7" fillId="2" borderId="53" xfId="0" applyFont="true" applyBorder="true" applyAlignment="true" applyProtection="false">
      <alignment horizontal="center" vertical="center" textRotation="0" wrapText="false" indent="0" shrinkToFit="false"/>
      <protection locked="true" hidden="false"/>
    </xf>
    <xf numFmtId="164" fontId="6" fillId="2" borderId="54" xfId="0" applyFont="true" applyBorder="true" applyAlignment="true" applyProtection="false">
      <alignment horizontal="center" vertical="center" textRotation="0" wrapText="false" indent="0" shrinkToFit="false"/>
      <protection locked="true" hidden="false"/>
    </xf>
    <xf numFmtId="164" fontId="8" fillId="3" borderId="17" xfId="0" applyFont="true" applyBorder="true" applyAlignment="true" applyProtection="false">
      <alignment horizontal="left" vertical="center" textRotation="0" wrapText="false" indent="1" shrinkToFit="false"/>
      <protection locked="true" hidden="false"/>
    </xf>
    <xf numFmtId="166" fontId="9" fillId="3" borderId="23" xfId="0" applyFont="true" applyBorder="true" applyAlignment="true" applyProtection="false">
      <alignment horizontal="right" vertical="center" textRotation="0" wrapText="false" indent="1" shrinkToFit="false"/>
      <protection locked="true" hidden="false"/>
    </xf>
    <xf numFmtId="164" fontId="6" fillId="2" borderId="17" xfId="0" applyFont="true" applyBorder="true" applyAlignment="true" applyProtection="false">
      <alignment horizontal="left" vertical="center" textRotation="0" wrapText="false" indent="1" shrinkToFit="false"/>
      <protection locked="true" hidden="false"/>
    </xf>
    <xf numFmtId="166" fontId="17" fillId="2" borderId="6" xfId="0" applyFont="true" applyBorder="true" applyAlignment="true" applyProtection="false">
      <alignment horizontal="right" vertical="center" textRotation="0" wrapText="false" indent="1" shrinkToFit="false"/>
      <protection locked="true" hidden="false"/>
    </xf>
    <xf numFmtId="166" fontId="17" fillId="2" borderId="55" xfId="0" applyFont="true" applyBorder="true" applyAlignment="true" applyProtection="false">
      <alignment horizontal="right" vertical="center" textRotation="0" wrapText="false" indent="1" shrinkToFit="false"/>
      <protection locked="true" hidden="false"/>
    </xf>
    <xf numFmtId="165" fontId="11" fillId="0" borderId="0" xfId="0" applyFont="true" applyBorder="false" applyAlignment="true" applyProtection="false">
      <alignment horizontal="right" vertical="center" textRotation="0" wrapText="false" indent="1" shrinkToFit="false"/>
      <protection locked="true" hidden="false"/>
    </xf>
    <xf numFmtId="164" fontId="6" fillId="2" borderId="56"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4" fontId="16" fillId="4" borderId="17" xfId="0" applyFont="true" applyBorder="true" applyAlignment="true" applyProtection="false">
      <alignment horizontal="left" vertical="center" textRotation="0" wrapText="false" indent="1" shrinkToFit="false"/>
      <protection locked="true" hidden="false"/>
    </xf>
    <xf numFmtId="164" fontId="16" fillId="4" borderId="36" xfId="0" applyFont="true" applyBorder="true" applyAlignment="true" applyProtection="false">
      <alignment horizontal="left" vertical="center" textRotation="0" wrapText="false" indent="1" shrinkToFit="false"/>
      <protection locked="true" hidden="false"/>
    </xf>
    <xf numFmtId="166" fontId="11" fillId="0" borderId="38" xfId="0" applyFont="true" applyBorder="true" applyAlignment="true" applyProtection="false">
      <alignment horizontal="right" vertical="center" textRotation="0" wrapText="false" indent="1" shrinkToFit="false"/>
      <protection locked="true" hidden="false"/>
    </xf>
    <xf numFmtId="166" fontId="11" fillId="0" borderId="57" xfId="0" applyFont="true" applyBorder="true" applyAlignment="true" applyProtection="false">
      <alignment horizontal="right" vertical="center" textRotation="0" wrapText="false" indent="1" shrinkToFit="false"/>
      <protection locked="true" hidden="false"/>
    </xf>
    <xf numFmtId="164" fontId="21" fillId="4" borderId="17" xfId="0" applyFont="true" applyBorder="true" applyAlignment="true" applyProtection="false">
      <alignment horizontal="left" vertical="center" textRotation="0" wrapText="false" indent="1" shrinkToFit="false"/>
      <protection locked="true" hidden="false"/>
    </xf>
    <xf numFmtId="164" fontId="10" fillId="5" borderId="36" xfId="0" applyFont="true" applyBorder="true" applyAlignment="true" applyProtection="false">
      <alignment horizontal="left" vertical="center" textRotation="0" wrapText="false" indent="3" shrinkToFit="false"/>
      <protection locked="true" hidden="false"/>
    </xf>
    <xf numFmtId="166" fontId="36" fillId="5" borderId="38" xfId="0" applyFont="true" applyBorder="true" applyAlignment="true" applyProtection="false">
      <alignment horizontal="right" vertical="center" textRotation="0" wrapText="false" indent="1" shrinkToFit="false"/>
      <protection locked="true" hidden="false"/>
    </xf>
    <xf numFmtId="166" fontId="11" fillId="5" borderId="57" xfId="0" applyFont="true" applyBorder="true" applyAlignment="true" applyProtection="false">
      <alignment horizontal="right" vertical="center" textRotation="0" wrapText="false" indent="1" shrinkToFit="false"/>
      <protection locked="true" hidden="false"/>
    </xf>
    <xf numFmtId="166" fontId="11" fillId="5" borderId="41" xfId="0" applyFont="true" applyBorder="true" applyAlignment="true" applyProtection="false">
      <alignment horizontal="right" vertical="center" textRotation="0" wrapText="false" indent="1" shrinkToFit="false"/>
      <protection locked="true" hidden="false"/>
    </xf>
    <xf numFmtId="164" fontId="10" fillId="5" borderId="17" xfId="0" applyFont="true" applyBorder="true" applyAlignment="true" applyProtection="false">
      <alignment horizontal="left" vertical="center" textRotation="0" wrapText="false" indent="3" shrinkToFit="false"/>
      <protection locked="true" hidden="false"/>
    </xf>
    <xf numFmtId="166" fontId="11" fillId="5" borderId="7" xfId="0" applyFont="true" applyBorder="true" applyAlignment="true" applyProtection="false">
      <alignment horizontal="right" vertical="center" textRotation="0" wrapText="false" indent="1" shrinkToFit="false"/>
      <protection locked="true" hidden="false"/>
    </xf>
    <xf numFmtId="164" fontId="6" fillId="2" borderId="27" xfId="0" applyFont="true" applyBorder="true" applyAlignment="true" applyProtection="false">
      <alignment horizontal="left" vertical="center" textRotation="0" wrapText="false" indent="1" shrinkToFit="false"/>
      <protection locked="true" hidden="false"/>
    </xf>
    <xf numFmtId="166" fontId="17" fillId="2" borderId="10" xfId="0" applyFont="true" applyBorder="true" applyAlignment="true" applyProtection="false">
      <alignment horizontal="right" vertical="center" textRotation="0" wrapText="false" indent="1" shrinkToFit="false"/>
      <protection locked="true" hidden="false"/>
    </xf>
    <xf numFmtId="166" fontId="17" fillId="2" borderId="58" xfId="0" applyFont="true" applyBorder="true" applyAlignment="true" applyProtection="false">
      <alignment horizontal="right" vertical="center" textRotation="0" wrapText="false" indent="1" shrinkToFit="false"/>
      <protection locked="true" hidden="false"/>
    </xf>
    <xf numFmtId="164" fontId="6" fillId="2" borderId="59" xfId="0" applyFont="true" applyBorder="true" applyAlignment="true" applyProtection="false">
      <alignment horizontal="left" vertical="center" textRotation="0" wrapText="false" indent="1" shrinkToFit="false"/>
      <protection locked="true" hidden="false"/>
    </xf>
    <xf numFmtId="166" fontId="17" fillId="2" borderId="26" xfId="0" applyFont="true" applyBorder="true" applyAlignment="true" applyProtection="false">
      <alignment horizontal="right" vertical="center" textRotation="0" wrapText="false" indent="1" shrinkToFit="false"/>
      <protection locked="true" hidden="false"/>
    </xf>
    <xf numFmtId="166" fontId="17" fillId="2" borderId="60" xfId="0" applyFont="true" applyBorder="true" applyAlignment="true" applyProtection="false">
      <alignment horizontal="right" vertical="center" textRotation="0" wrapText="false" indent="1" shrinkToFit="false"/>
      <protection locked="true" hidden="false"/>
    </xf>
    <xf numFmtId="166" fontId="6" fillId="2" borderId="12" xfId="0" applyFont="true" applyBorder="true" applyAlignment="true" applyProtection="false">
      <alignment horizontal="center" vertical="center" textRotation="0" wrapText="false" indent="0" shrinkToFit="false"/>
      <protection locked="true" hidden="false"/>
    </xf>
    <xf numFmtId="166" fontId="11" fillId="5" borderId="3" xfId="0" applyFont="true" applyBorder="true" applyAlignment="true" applyProtection="false">
      <alignment horizontal="right" vertical="center" textRotation="0" wrapText="false" indent="1" shrinkToFit="false"/>
      <protection locked="true" hidden="false"/>
    </xf>
    <xf numFmtId="166" fontId="10" fillId="5" borderId="3" xfId="0" applyFont="true" applyBorder="true" applyAlignment="true" applyProtection="false">
      <alignment horizontal="right" vertical="center" textRotation="0" wrapText="false" indent="1" shrinkToFit="false"/>
      <protection locked="true" hidden="false"/>
    </xf>
    <xf numFmtId="166" fontId="11" fillId="9" borderId="3" xfId="0" applyFont="true" applyBorder="true" applyAlignment="true" applyProtection="false">
      <alignment horizontal="right" vertical="center" textRotation="0" wrapText="false" indent="1" shrinkToFit="false"/>
      <protection locked="true" hidden="false"/>
    </xf>
    <xf numFmtId="166" fontId="11" fillId="5" borderId="38" xfId="0" applyFont="true" applyBorder="true" applyAlignment="true" applyProtection="false">
      <alignment horizontal="right" vertical="center" textRotation="0" wrapText="false" indent="1"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11" fillId="3" borderId="3" xfId="0" applyFont="true" applyBorder="true" applyAlignment="true" applyProtection="false">
      <alignment horizontal="right" vertical="center" textRotation="0" wrapText="false" indent="1" shrinkToFit="false"/>
      <protection locked="true" hidden="false"/>
    </xf>
    <xf numFmtId="166" fontId="11" fillId="9" borderId="2"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false" indent="0" shrinkToFit="false"/>
      <protection locked="true" hidden="false"/>
    </xf>
    <xf numFmtId="170" fontId="16" fillId="4" borderId="3" xfId="0" applyFont="true" applyBorder="true" applyAlignment="true" applyProtection="false">
      <alignment horizontal="left" vertical="center" textRotation="0" wrapText="false" indent="1" shrinkToFit="false"/>
      <protection locked="true" hidden="false"/>
    </xf>
    <xf numFmtId="166" fontId="16" fillId="4" borderId="3" xfId="0" applyFont="true" applyBorder="true" applyAlignment="true" applyProtection="false">
      <alignment horizontal="left" vertical="center" textRotation="0" wrapText="false" indent="1" shrinkToFit="false"/>
      <protection locked="true" hidden="false"/>
    </xf>
    <xf numFmtId="169" fontId="10" fillId="5" borderId="3" xfId="0" applyFont="true" applyBorder="true" applyAlignment="true" applyProtection="false">
      <alignment horizontal="center" vertical="center" textRotation="0" wrapText="false" indent="0" shrinkToFit="false"/>
      <protection locked="true" hidden="false"/>
    </xf>
    <xf numFmtId="164" fontId="33" fillId="5" borderId="39" xfId="0" applyFont="true" applyBorder="true" applyAlignment="true" applyProtection="false">
      <alignment horizontal="left" vertical="center" textRotation="0" wrapText="false" indent="1" shrinkToFit="false"/>
      <protection locked="true" hidden="false"/>
    </xf>
    <xf numFmtId="169" fontId="10" fillId="5" borderId="12" xfId="0" applyFont="true" applyBorder="true" applyAlignment="true" applyProtection="false">
      <alignment horizontal="center" vertical="center" textRotation="0" wrapText="false" indent="0" shrinkToFit="false"/>
      <protection locked="true" hidden="false"/>
    </xf>
    <xf numFmtId="166" fontId="36" fillId="0" borderId="12" xfId="0" applyFont="true" applyBorder="true" applyAlignment="true" applyProtection="false">
      <alignment horizontal="right" vertical="center" textRotation="0" wrapText="false" indent="1" shrinkToFit="false"/>
      <protection locked="true" hidden="false"/>
    </xf>
    <xf numFmtId="169" fontId="16" fillId="5" borderId="44" xfId="0" applyFont="true" applyBorder="true" applyAlignment="true" applyProtection="false">
      <alignment horizontal="center" vertical="center" textRotation="0" wrapText="false" indent="0" shrinkToFit="false"/>
      <protection locked="true" hidden="false"/>
    </xf>
    <xf numFmtId="164" fontId="16" fillId="9" borderId="46" xfId="0" applyFont="true" applyBorder="true" applyAlignment="true" applyProtection="false">
      <alignment horizontal="right" vertical="center" textRotation="0" wrapText="false" indent="1" shrinkToFit="false"/>
      <protection locked="true" hidden="false"/>
    </xf>
    <xf numFmtId="164" fontId="5" fillId="9" borderId="47" xfId="0" applyFont="true" applyBorder="true" applyAlignment="true" applyProtection="false">
      <alignment horizontal="left" vertical="center" textRotation="0" wrapText="false" indent="1" shrinkToFit="false"/>
      <protection locked="true" hidden="false"/>
    </xf>
    <xf numFmtId="164" fontId="6" fillId="2" borderId="3" xfId="0" applyFont="true" applyBorder="true" applyAlignment="true" applyProtection="false">
      <alignment horizontal="center" vertical="center" textRotation="0" wrapText="false" indent="0" shrinkToFit="false"/>
      <protection locked="true" hidden="false"/>
    </xf>
    <xf numFmtId="164" fontId="6" fillId="2" borderId="53"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3" shrinkToFit="false"/>
      <protection locked="true" hidden="false"/>
    </xf>
    <xf numFmtId="166" fontId="10" fillId="4" borderId="3" xfId="0" applyFont="true" applyBorder="true" applyAlignment="true" applyProtection="false">
      <alignment horizontal="left" vertical="center" textRotation="0" wrapText="false" indent="1" shrinkToFit="false"/>
      <protection locked="true" hidden="false"/>
    </xf>
    <xf numFmtId="166" fontId="10" fillId="4" borderId="12" xfId="0" applyFont="true" applyBorder="true" applyAlignment="true" applyProtection="false">
      <alignment horizontal="left" vertical="center" textRotation="0" wrapText="false" indent="1" shrinkToFit="false"/>
      <protection locked="true" hidden="false"/>
    </xf>
    <xf numFmtId="166" fontId="16" fillId="5" borderId="12" xfId="0" applyFont="true" applyBorder="true" applyAlignment="true" applyProtection="false">
      <alignment horizontal="right" vertical="center" textRotation="0" wrapText="false" indent="1" shrinkToFit="false"/>
      <protection locked="true" hidden="false"/>
    </xf>
    <xf numFmtId="166" fontId="16" fillId="4" borderId="2" xfId="0" applyFont="true" applyBorder="true" applyAlignment="true" applyProtection="false">
      <alignment horizontal="left" vertical="center" textRotation="0" wrapText="false" indent="1" shrinkToFit="false"/>
      <protection locked="true" hidden="false"/>
    </xf>
    <xf numFmtId="166" fontId="16" fillId="5" borderId="2" xfId="0" applyFont="true" applyBorder="true" applyAlignment="true" applyProtection="false">
      <alignment horizontal="right" vertical="center" textRotation="0" wrapText="false" indent="1" shrinkToFit="false"/>
      <protection locked="true" hidden="false"/>
    </xf>
    <xf numFmtId="166" fontId="38" fillId="9" borderId="46" xfId="0" applyFont="true" applyBorder="true" applyAlignment="true" applyProtection="false">
      <alignment horizontal="right" vertical="center" textRotation="0" wrapText="false" indent="1" shrinkToFit="false"/>
      <protection locked="true" hidden="false"/>
    </xf>
    <xf numFmtId="164" fontId="8" fillId="9" borderId="61" xfId="0" applyFont="true" applyBorder="true" applyAlignment="true" applyProtection="false">
      <alignment horizontal="left" vertical="center" textRotation="0" wrapText="false" indent="1" shrinkToFit="false"/>
      <protection locked="true" hidden="false"/>
    </xf>
    <xf numFmtId="166" fontId="38" fillId="9" borderId="62" xfId="0" applyFont="true" applyBorder="true" applyAlignment="true" applyProtection="false">
      <alignment horizontal="right" vertical="center" textRotation="0" wrapText="false" indent="1" shrinkToFit="false"/>
      <protection locked="true" hidden="false"/>
    </xf>
    <xf numFmtId="164" fontId="6" fillId="8" borderId="2"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false" indent="0" shrinkToFit="false"/>
      <protection locked="true" hidden="false"/>
    </xf>
    <xf numFmtId="164" fontId="6" fillId="6" borderId="63" xfId="0" applyFont="true" applyBorder="true" applyAlignment="true" applyProtection="false">
      <alignment horizontal="center" vertical="center" textRotation="0" wrapText="false" indent="0" shrinkToFit="false"/>
      <protection locked="true" hidden="false"/>
    </xf>
    <xf numFmtId="164" fontId="6" fillId="2" borderId="64" xfId="0" applyFont="true" applyBorder="true" applyAlignment="true" applyProtection="false">
      <alignment horizontal="center" vertical="center" textRotation="0" wrapText="false" indent="0" shrinkToFit="false"/>
      <protection locked="true" hidden="false"/>
    </xf>
    <xf numFmtId="166" fontId="9" fillId="0" borderId="37" xfId="0" applyFont="true" applyBorder="true" applyAlignment="true" applyProtection="false">
      <alignment horizontal="right" vertical="center" textRotation="0" wrapText="false" indent="1" shrinkToFit="false"/>
      <protection locked="true" hidden="false"/>
    </xf>
    <xf numFmtId="166" fontId="9" fillId="0" borderId="7" xfId="0" applyFont="true" applyBorder="true" applyAlignment="true" applyProtection="false">
      <alignment horizontal="right" vertical="center" textRotation="0" wrapText="false" indent="1" shrinkToFit="false"/>
      <protection locked="true" hidden="false"/>
    </xf>
    <xf numFmtId="166" fontId="9" fillId="0" borderId="8" xfId="0" applyFont="true" applyBorder="true" applyAlignment="true" applyProtection="false">
      <alignment horizontal="right" vertical="center" textRotation="0" wrapText="false" indent="1" shrinkToFit="false"/>
      <protection locked="true" hidden="false"/>
    </xf>
    <xf numFmtId="164" fontId="10" fillId="4" borderId="17" xfId="0" applyFont="true" applyBorder="true" applyAlignment="true" applyProtection="false">
      <alignment horizontal="left" vertical="center" textRotation="0" wrapText="false" indent="3" shrinkToFit="false"/>
      <protection locked="true" hidden="false"/>
    </xf>
    <xf numFmtId="166" fontId="9" fillId="3" borderId="55" xfId="0" applyFont="true" applyBorder="true" applyAlignment="true" applyProtection="false">
      <alignment horizontal="right" vertical="center" textRotation="0" wrapText="false" indent="1" shrinkToFit="false"/>
      <protection locked="true" hidden="false"/>
    </xf>
    <xf numFmtId="164" fontId="7" fillId="2" borderId="14" xfId="0" applyFont="true" applyBorder="true" applyAlignment="true" applyProtection="false">
      <alignment horizontal="center" vertical="center" textRotation="0" wrapText="false" indent="0" shrinkToFit="false"/>
      <protection locked="true" hidden="false"/>
    </xf>
    <xf numFmtId="164" fontId="6" fillId="8" borderId="14" xfId="0" applyFont="true" applyBorder="true" applyAlignment="true" applyProtection="false">
      <alignment horizontal="center" vertical="center" textRotation="0" wrapText="true" indent="0" shrinkToFit="false"/>
      <protection locked="true" hidden="false"/>
    </xf>
    <xf numFmtId="164" fontId="6" fillId="8" borderId="24"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2" shrinkToFit="false"/>
      <protection locked="true" hidden="false"/>
    </xf>
    <xf numFmtId="166" fontId="9" fillId="3" borderId="42" xfId="0" applyFont="true" applyBorder="true" applyAlignment="true" applyProtection="false">
      <alignment horizontal="right" vertical="center" textRotation="0" wrapText="false" indent="1" shrinkToFit="false"/>
      <protection locked="true" hidden="false"/>
    </xf>
    <xf numFmtId="166" fontId="9" fillId="3" borderId="41" xfId="0" applyFont="true" applyBorder="true" applyAlignment="true" applyProtection="false">
      <alignment horizontal="right" vertical="center" textRotation="0" wrapText="false" indent="1" shrinkToFit="false"/>
      <protection locked="true" hidden="false"/>
    </xf>
    <xf numFmtId="166" fontId="26" fillId="0" borderId="17" xfId="0" applyFont="true" applyBorder="true" applyAlignment="true" applyProtection="false">
      <alignment horizontal="right" vertical="center" textRotation="0" wrapText="false" indent="1" shrinkToFit="false"/>
      <protection locked="true" hidden="false"/>
    </xf>
    <xf numFmtId="166" fontId="26" fillId="0" borderId="9" xfId="0" applyFont="true" applyBorder="true" applyAlignment="true" applyProtection="false">
      <alignment horizontal="right" vertical="center" textRotation="0" wrapText="false" indent="1"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10" fillId="4" borderId="65" xfId="0" applyFont="true" applyBorder="true" applyAlignment="true" applyProtection="false">
      <alignment horizontal="left" vertical="center" textRotation="0" wrapText="false" indent="1" shrinkToFit="false"/>
      <protection locked="true" hidden="false"/>
    </xf>
    <xf numFmtId="166" fontId="11" fillId="0" borderId="65" xfId="0" applyFont="true" applyBorder="true" applyAlignment="true" applyProtection="false">
      <alignment horizontal="center" vertical="center" textRotation="0" wrapText="false" indent="0" shrinkToFit="false"/>
      <protection locked="true" hidden="false"/>
    </xf>
    <xf numFmtId="164" fontId="8" fillId="3" borderId="34" xfId="0" applyFont="true" applyBorder="true" applyAlignment="true" applyProtection="false">
      <alignment horizontal="left" vertical="center" textRotation="0" wrapText="false" indent="1" shrinkToFit="false"/>
      <protection locked="true" hidden="false"/>
    </xf>
    <xf numFmtId="164" fontId="8" fillId="3" borderId="61" xfId="0" applyFont="true" applyBorder="true" applyAlignment="true" applyProtection="false">
      <alignment horizontal="left" vertical="center" textRotation="0" wrapText="false" indent="1" shrinkToFit="false"/>
      <protection locked="true" hidden="false"/>
    </xf>
    <xf numFmtId="166" fontId="34" fillId="3" borderId="66" xfId="0" applyFont="true" applyBorder="true" applyAlignment="true" applyProtection="false">
      <alignment horizontal="right" vertical="center" textRotation="0" wrapText="false" indent="1" shrinkToFit="false"/>
      <protection locked="true" hidden="false"/>
    </xf>
    <xf numFmtId="166" fontId="34" fillId="3" borderId="62" xfId="0" applyFont="true" applyBorder="true" applyAlignment="true" applyProtection="false">
      <alignment horizontal="right" vertical="center" textRotation="0" wrapText="false" indent="1" shrinkToFit="false"/>
      <protection locked="true" hidden="false"/>
    </xf>
    <xf numFmtId="164" fontId="8" fillId="9" borderId="46" xfId="0" applyFont="true" applyBorder="true" applyAlignment="true" applyProtection="false">
      <alignment horizontal="center" vertical="center" textRotation="0" wrapText="true" indent="0" shrinkToFit="false"/>
      <protection locked="true" hidden="false"/>
    </xf>
    <xf numFmtId="166" fontId="8" fillId="9" borderId="46"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16" fillId="4" borderId="65" xfId="0" applyFont="true" applyBorder="true" applyAlignment="true" applyProtection="false">
      <alignment horizontal="left" vertical="center" textRotation="0" wrapText="false" indent="1" shrinkToFit="false"/>
      <protection locked="true" hidden="false"/>
    </xf>
    <xf numFmtId="166" fontId="11" fillId="0" borderId="65" xfId="0" applyFont="true" applyBorder="true" applyAlignment="true" applyProtection="false">
      <alignment horizontal="right" vertical="center" textRotation="0" wrapText="false" indent="0" shrinkToFit="false"/>
      <protection locked="true" hidden="false"/>
    </xf>
    <xf numFmtId="166" fontId="11" fillId="0" borderId="3" xfId="0" applyFont="true" applyBorder="true" applyAlignment="true" applyProtection="false">
      <alignment horizontal="right" vertical="center" textRotation="0" wrapText="false" indent="0" shrinkToFit="false"/>
      <protection locked="true" hidden="false"/>
    </xf>
    <xf numFmtId="164" fontId="8" fillId="4" borderId="34" xfId="0" applyFont="true" applyBorder="true" applyAlignment="true" applyProtection="false">
      <alignment horizontal="left" vertical="center" textRotation="0" wrapText="false" indent="1"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8" fillId="9" borderId="46" xfId="0" applyFont="true" applyBorder="true" applyAlignment="true" applyProtection="false">
      <alignment horizontal="left" vertical="center" textRotation="0" wrapText="true" indent="1" shrinkToFit="false"/>
      <protection locked="true" hidden="false"/>
    </xf>
    <xf numFmtId="164" fontId="7" fillId="2" borderId="4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left" vertical="center" textRotation="0" wrapText="false" indent="1" shrinkToFit="false"/>
      <protection locked="true" hidden="false"/>
    </xf>
    <xf numFmtId="171" fontId="11" fillId="0" borderId="3" xfId="0" applyFont="true" applyBorder="true" applyAlignment="true" applyProtection="false">
      <alignment horizontal="right" vertical="center" textRotation="0" wrapText="false" indent="1" shrinkToFit="false"/>
      <protection locked="true" hidden="false"/>
    </xf>
    <xf numFmtId="164" fontId="10" fillId="0" borderId="34" xfId="0" applyFont="true" applyBorder="true" applyAlignment="true" applyProtection="false">
      <alignment horizontal="left" vertical="center" textRotation="0" wrapText="false" indent="1" shrinkToFit="false"/>
      <protection locked="true" hidden="false"/>
    </xf>
    <xf numFmtId="171" fontId="11" fillId="0" borderId="12" xfId="0" applyFont="true" applyBorder="true" applyAlignment="true" applyProtection="false">
      <alignment horizontal="right" vertical="center" textRotation="0" wrapText="false" indent="1" shrinkToFit="false"/>
      <protection locked="true" hidden="false"/>
    </xf>
    <xf numFmtId="164" fontId="16" fillId="0" borderId="34" xfId="0" applyFont="true" applyBorder="true" applyAlignment="true" applyProtection="false">
      <alignment horizontal="left" vertical="center" textRotation="0" wrapText="false" indent="1" shrinkToFit="false"/>
      <protection locked="true" hidden="false"/>
    </xf>
    <xf numFmtId="164" fontId="10" fillId="0" borderId="18" xfId="0" applyFont="true" applyBorder="true" applyAlignment="true" applyProtection="false">
      <alignment horizontal="left" vertical="center" textRotation="0" wrapText="false" indent="1" shrinkToFit="false"/>
      <protection locked="true" hidden="false"/>
    </xf>
    <xf numFmtId="171" fontId="11" fillId="0" borderId="2" xfId="0" applyFont="true" applyBorder="true" applyAlignment="true" applyProtection="false">
      <alignment horizontal="right" vertical="center" textRotation="0" wrapText="false" indent="1" shrinkToFit="false"/>
      <protection locked="true" hidden="false"/>
    </xf>
    <xf numFmtId="164" fontId="22" fillId="9" borderId="67" xfId="0" applyFont="true" applyBorder="true" applyAlignment="true" applyProtection="false">
      <alignment horizontal="left" vertical="center" textRotation="0" wrapText="false" indent="1" shrinkToFit="false"/>
      <protection locked="true" hidden="false"/>
    </xf>
    <xf numFmtId="164" fontId="8" fillId="9" borderId="67" xfId="0" applyFont="true" applyBorder="true" applyAlignment="true" applyProtection="false">
      <alignment horizontal="right" vertical="center" textRotation="0" wrapText="false" indent="1" shrinkToFit="false"/>
      <protection locked="true" hidden="false"/>
    </xf>
    <xf numFmtId="171" fontId="34" fillId="9" borderId="67" xfId="0" applyFont="true" applyBorder="true" applyAlignment="true" applyProtection="false">
      <alignment horizontal="right" vertical="center" textRotation="0" wrapText="false" indent="1" shrinkToFit="false"/>
      <protection locked="true" hidden="false"/>
    </xf>
    <xf numFmtId="164" fontId="22" fillId="9" borderId="33" xfId="0" applyFont="true" applyBorder="true" applyAlignment="true" applyProtection="false">
      <alignment horizontal="left" vertical="center" textRotation="0" wrapText="false" indent="1" shrinkToFit="false"/>
      <protection locked="true" hidden="false"/>
    </xf>
    <xf numFmtId="164" fontId="8" fillId="9" borderId="33" xfId="0" applyFont="true" applyBorder="true" applyAlignment="true" applyProtection="false">
      <alignment horizontal="right" vertical="center" textRotation="0" wrapText="false" indent="1" shrinkToFit="false"/>
      <protection locked="true" hidden="false"/>
    </xf>
    <xf numFmtId="171" fontId="34" fillId="9" borderId="0" xfId="0" applyFont="true" applyBorder="false" applyAlignment="true" applyProtection="false">
      <alignment horizontal="right" vertical="center" textRotation="0" wrapText="false" indent="1"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72" fontId="10" fillId="0" borderId="65"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left" vertical="center" textRotation="0" wrapText="true" indent="1" shrinkToFit="false"/>
      <protection locked="true" hidden="false"/>
    </xf>
    <xf numFmtId="172" fontId="16" fillId="0" borderId="6" xfId="0" applyFont="true" applyBorder="true" applyAlignment="true" applyProtection="false">
      <alignment horizontal="left" vertical="center" textRotation="0" wrapText="false" indent="1" shrinkToFit="false"/>
      <protection locked="true" hidden="false"/>
    </xf>
    <xf numFmtId="164" fontId="41" fillId="2" borderId="19" xfId="0" applyFont="true" applyBorder="true" applyAlignment="true" applyProtection="false">
      <alignment horizontal="center" vertical="center" textRotation="0" wrapText="false" indent="0" shrinkToFit="false"/>
      <protection locked="true" hidden="false"/>
    </xf>
    <xf numFmtId="164" fontId="42" fillId="2" borderId="43" xfId="0" applyFont="true" applyBorder="true" applyAlignment="true" applyProtection="false">
      <alignment horizontal="center" vertical="center" textRotation="0" wrapText="false" indent="0" shrinkToFit="false"/>
      <protection locked="true" hidden="false"/>
    </xf>
    <xf numFmtId="164" fontId="41" fillId="2" borderId="43" xfId="0" applyFont="true" applyBorder="true" applyAlignment="true" applyProtection="false">
      <alignment horizontal="center" vertical="center" textRotation="0" wrapText="false" indent="0" shrinkToFit="false"/>
      <protection locked="true" hidden="false"/>
    </xf>
    <xf numFmtId="164" fontId="42" fillId="8" borderId="43"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general" vertical="center" textRotation="0" wrapText="false" indent="0" shrinkToFit="false"/>
      <protection locked="true" hidden="false"/>
    </xf>
    <xf numFmtId="164" fontId="46" fillId="4" borderId="20" xfId="0" applyFont="true" applyBorder="true" applyAlignment="true" applyProtection="false">
      <alignment horizontal="right" vertical="center" textRotation="0" wrapText="false" indent="1" shrinkToFit="false"/>
      <protection locked="true" hidden="false"/>
    </xf>
    <xf numFmtId="167" fontId="47" fillId="0" borderId="6" xfId="0" applyFont="true" applyBorder="true" applyAlignment="true" applyProtection="false">
      <alignment horizontal="right" vertical="center" textRotation="0" wrapText="false" indent="1" shrinkToFit="false"/>
      <protection locked="true" hidden="false"/>
    </xf>
    <xf numFmtId="164" fontId="10" fillId="4" borderId="36"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0" shrinkToFit="false"/>
      <protection locked="true" hidden="false"/>
    </xf>
    <xf numFmtId="166" fontId="48" fillId="0" borderId="29" xfId="0" applyFont="true" applyBorder="true" applyAlignment="true" applyProtection="false">
      <alignment horizontal="general" vertical="center" textRotation="0" wrapText="false" indent="0" shrinkToFit="false"/>
      <protection locked="true" hidden="false"/>
    </xf>
    <xf numFmtId="164" fontId="10" fillId="4" borderId="36" xfId="0" applyFont="true" applyBorder="true" applyAlignment="true" applyProtection="false">
      <alignment horizontal="left" vertical="center" textRotation="0" wrapText="false" indent="2" shrinkToFit="false"/>
      <protection locked="true" hidden="false"/>
    </xf>
    <xf numFmtId="166" fontId="11" fillId="0" borderId="3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2" shrinkToFit="false"/>
      <protection locked="true" hidden="false"/>
    </xf>
    <xf numFmtId="166" fontId="49"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6" fillId="4" borderId="20" xfId="0" applyFont="true" applyBorder="true" applyAlignment="true" applyProtection="false">
      <alignment horizontal="left" vertical="center" textRotation="0" wrapText="false" indent="2" shrinkToFit="false"/>
      <protection locked="true" hidden="false"/>
    </xf>
    <xf numFmtId="166" fontId="11" fillId="0" borderId="6" xfId="0" applyFont="true" applyBorder="true" applyAlignment="true" applyProtection="false">
      <alignment horizontal="right" vertical="center" textRotation="0" wrapText="false" indent="0" shrinkToFit="false"/>
      <protection locked="true" hidden="false"/>
    </xf>
    <xf numFmtId="164" fontId="16" fillId="4" borderId="18" xfId="0" applyFont="true" applyBorder="true" applyAlignment="true" applyProtection="false">
      <alignment horizontal="left" vertical="center" textRotation="0" wrapText="false" indent="1"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8" fillId="3" borderId="68" xfId="0" applyFont="true" applyBorder="true" applyAlignment="true" applyProtection="false">
      <alignment horizontal="left" vertical="center" textRotation="0" wrapText="false" indent="1" shrinkToFit="false"/>
      <protection locked="true" hidden="false"/>
    </xf>
    <xf numFmtId="166" fontId="9" fillId="0" borderId="69" xfId="0" applyFont="true" applyBorder="true" applyAlignment="true" applyProtection="false">
      <alignment horizontal="right" vertical="center" textRotation="0" wrapText="false" indent="1" shrinkToFit="false"/>
      <protection locked="true" hidden="false"/>
    </xf>
    <xf numFmtId="164" fontId="19" fillId="0" borderId="70" xfId="0" applyFont="true" applyBorder="true" applyAlignment="true" applyProtection="false">
      <alignment horizontal="general" vertical="center" textRotation="0" wrapText="false" indent="0" shrinkToFit="false"/>
      <protection locked="true" hidden="false"/>
    </xf>
    <xf numFmtId="166" fontId="30" fillId="0" borderId="70" xfId="0" applyFont="true" applyBorder="tru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6" fontId="52" fillId="0" borderId="0" xfId="0" applyFont="true" applyBorder="false" applyAlignment="true" applyProtection="false">
      <alignment horizontal="center" vertical="center" textRotation="0" wrapText="false" indent="0" shrinkToFit="false"/>
      <protection locked="true" hidden="false"/>
    </xf>
    <xf numFmtId="166" fontId="52" fillId="0" borderId="0" xfId="0" applyFont="true" applyBorder="false" applyAlignment="true" applyProtection="false">
      <alignment horizontal="general" vertical="center" textRotation="0" wrapText="false" indent="0" shrinkToFit="false"/>
      <protection locked="true" hidden="false"/>
    </xf>
    <xf numFmtId="166" fontId="51" fillId="0" borderId="0" xfId="0" applyFont="true" applyBorder="false" applyAlignment="true" applyProtection="false">
      <alignment horizontal="center" vertical="center" textRotation="0" wrapText="false" indent="0" shrinkToFit="false"/>
      <protection locked="true" hidden="false"/>
    </xf>
    <xf numFmtId="166" fontId="51"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42" fillId="2" borderId="1" xfId="0" applyFont="true" applyBorder="true" applyAlignment="true" applyProtection="false">
      <alignment horizontal="center" vertical="center" textRotation="0" wrapText="false" indent="0" shrinkToFit="false"/>
      <protection locked="true" hidden="false"/>
    </xf>
    <xf numFmtId="164" fontId="10" fillId="4" borderId="71" xfId="0" applyFont="true" applyBorder="true" applyAlignment="true" applyProtection="false">
      <alignment horizontal="left" vertical="center" textRotation="0" wrapText="false" indent="1" shrinkToFit="false"/>
      <protection locked="true" hidden="false"/>
    </xf>
    <xf numFmtId="165" fontId="11" fillId="4" borderId="71" xfId="0" applyFont="true" applyBorder="true" applyAlignment="true" applyProtection="false">
      <alignment horizontal="right" vertical="center" textRotation="0" wrapText="false" indent="1" shrinkToFit="false"/>
      <protection locked="true" hidden="false"/>
    </xf>
    <xf numFmtId="172" fontId="16" fillId="0" borderId="72" xfId="0" applyFont="true" applyBorder="true" applyAlignment="true" applyProtection="false">
      <alignment horizontal="right" vertical="center" textRotation="0" wrapText="false" indent="1" shrinkToFit="false"/>
      <protection locked="true" hidden="false"/>
    </xf>
    <xf numFmtId="164" fontId="10" fillId="4" borderId="23" xfId="0" applyFont="true" applyBorder="true" applyAlignment="true" applyProtection="false">
      <alignment horizontal="left" vertical="center" textRotation="0" wrapText="false" indent="1" shrinkToFit="false"/>
      <protection locked="true" hidden="false"/>
    </xf>
    <xf numFmtId="165" fontId="11" fillId="4" borderId="29" xfId="0" applyFont="true" applyBorder="true" applyAlignment="true" applyProtection="false">
      <alignment horizontal="general" vertical="center" textRotation="0" wrapText="false" indent="0" shrinkToFit="false"/>
      <protection locked="true" hidden="false"/>
    </xf>
    <xf numFmtId="164" fontId="10" fillId="0" borderId="18" xfId="0" applyFont="true" applyBorder="true" applyAlignment="true" applyProtection="false">
      <alignment horizontal="left" vertical="center" textRotation="0" wrapText="false" indent="2" shrinkToFit="false"/>
      <protection locked="true" hidden="false"/>
    </xf>
    <xf numFmtId="172" fontId="16" fillId="0" borderId="2" xfId="0" applyFont="true" applyBorder="true" applyAlignment="true" applyProtection="false">
      <alignment horizontal="right" vertical="center" textRotation="0" wrapText="false" indent="1" shrinkToFit="false"/>
      <protection locked="true" hidden="false"/>
    </xf>
    <xf numFmtId="172" fontId="10" fillId="0" borderId="2" xfId="0" applyFont="true" applyBorder="true" applyAlignment="true" applyProtection="false">
      <alignment horizontal="left" vertical="center" textRotation="0" wrapText="false" indent="2" shrinkToFit="false"/>
      <protection locked="true" hidden="false"/>
    </xf>
    <xf numFmtId="165" fontId="11" fillId="0" borderId="2"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72" fontId="16" fillId="0" borderId="0" xfId="0" applyFont="true" applyBorder="false" applyAlignment="true" applyProtection="false">
      <alignment horizontal="right" vertical="center" textRotation="0" wrapText="false" indent="1" shrinkToFit="false"/>
      <protection locked="true" hidden="false"/>
    </xf>
    <xf numFmtId="172" fontId="10" fillId="0" borderId="0" xfId="0" applyFont="true" applyBorder="false" applyAlignment="true" applyProtection="false">
      <alignment horizontal="left" vertical="center" textRotation="0" wrapText="false" indent="2"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11" fillId="4" borderId="34" xfId="0" applyFont="true" applyBorder="true" applyAlignment="true" applyProtection="false">
      <alignment horizontal="right" vertical="center" textRotation="0" wrapText="false" indent="1" shrinkToFit="false"/>
      <protection locked="true" hidden="false"/>
    </xf>
    <xf numFmtId="165" fontId="11" fillId="4" borderId="34" xfId="0" applyFont="true" applyBorder="true" applyAlignment="true" applyProtection="false">
      <alignment horizontal="general" vertical="center" textRotation="0" wrapText="false" indent="0" shrinkToFit="false"/>
      <protection locked="true" hidden="false"/>
    </xf>
    <xf numFmtId="164" fontId="8" fillId="4" borderId="73" xfId="0" applyFont="true" applyBorder="true" applyAlignment="true" applyProtection="false">
      <alignment horizontal="left" vertical="center" textRotation="0" wrapText="false" indent="1" shrinkToFit="false"/>
      <protection locked="true" hidden="false"/>
    </xf>
    <xf numFmtId="165" fontId="9" fillId="4" borderId="73" xfId="0" applyFont="true" applyBorder="true" applyAlignment="true" applyProtection="false">
      <alignment horizontal="general" vertical="center" textRotation="0" wrapText="false" indent="0" shrinkToFit="false"/>
      <protection locked="true" hidden="false"/>
    </xf>
    <xf numFmtId="164" fontId="8" fillId="4" borderId="29" xfId="0" applyFont="true" applyBorder="true" applyAlignment="true" applyProtection="false">
      <alignment horizontal="left" vertical="center" textRotation="0" wrapText="false" indent="1" shrinkToFit="false"/>
      <protection locked="true" hidden="false"/>
    </xf>
    <xf numFmtId="165" fontId="9" fillId="4" borderId="29" xfId="0" applyFont="true" applyBorder="true" applyAlignment="true" applyProtection="false">
      <alignment horizontal="general" vertical="center" textRotation="0" wrapText="false" indent="0" shrinkToFit="false"/>
      <protection locked="true" hidden="false"/>
    </xf>
    <xf numFmtId="165" fontId="9" fillId="4" borderId="29" xfId="0" applyFont="true" applyBorder="true" applyAlignment="true" applyProtection="false">
      <alignment horizontal="right" vertical="center" textRotation="0" wrapText="false" indent="1" shrinkToFit="false"/>
      <protection locked="true" hidden="false"/>
    </xf>
    <xf numFmtId="165" fontId="19" fillId="0" borderId="0" xfId="0" applyFont="true" applyBorder="false" applyAlignment="true" applyProtection="false">
      <alignment horizontal="general" vertical="center" textRotation="0" wrapText="false" indent="0" shrinkToFit="false"/>
      <protection locked="true" hidden="false"/>
    </xf>
    <xf numFmtId="164" fontId="16" fillId="4" borderId="6" xfId="0" applyFont="true" applyBorder="true" applyAlignment="true" applyProtection="false">
      <alignment horizontal="center" vertical="center" textRotation="0" wrapText="false" indent="0" shrinkToFit="false"/>
      <protection locked="true" hidden="false"/>
    </xf>
    <xf numFmtId="165" fontId="11" fillId="0" borderId="6" xfId="0" applyFont="true" applyBorder="true" applyAlignment="true" applyProtection="false">
      <alignment horizontal="general" vertical="center" textRotation="0" wrapText="false" indent="0" shrinkToFit="false"/>
      <protection locked="true" hidden="false"/>
    </xf>
    <xf numFmtId="164" fontId="16" fillId="4" borderId="20" xfId="0" applyFont="true" applyBorder="true" applyAlignment="true" applyProtection="false">
      <alignment horizontal="center" vertical="center" textRotation="0" wrapText="false" indent="0" shrinkToFit="false"/>
      <protection locked="true" hidden="false"/>
    </xf>
    <xf numFmtId="164" fontId="16" fillId="5" borderId="7" xfId="0" applyFont="true" applyBorder="true" applyAlignment="true" applyProtection="false">
      <alignment horizontal="left" vertical="center" textRotation="0" wrapText="false" indent="1" shrinkToFit="false"/>
      <protection locked="true" hidden="false"/>
    </xf>
    <xf numFmtId="164" fontId="16" fillId="4" borderId="65" xfId="0" applyFont="true" applyBorder="true" applyAlignment="true" applyProtection="false">
      <alignment horizontal="center" vertical="center" textRotation="0" wrapText="false" indent="0" shrinkToFit="false"/>
      <protection locked="true" hidden="false"/>
    </xf>
    <xf numFmtId="164" fontId="22" fillId="4" borderId="65"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center" vertical="center" textRotation="0" wrapText="false" indent="0" shrinkToFit="false"/>
      <protection locked="true" hidden="false"/>
    </xf>
    <xf numFmtId="164" fontId="10" fillId="5" borderId="7" xfId="0" applyFont="true" applyBorder="true" applyAlignment="true" applyProtection="false">
      <alignment horizontal="left" vertical="center" textRotation="0" wrapText="false" indent="1" shrinkToFit="false"/>
      <protection locked="true" hidden="false"/>
    </xf>
    <xf numFmtId="164" fontId="22" fillId="3" borderId="65" xfId="0" applyFont="true" applyBorder="true" applyAlignment="true" applyProtection="false">
      <alignment horizontal="left" vertical="center" textRotation="0" wrapText="false" indent="1" shrinkToFit="false"/>
      <protection locked="true" hidden="false"/>
    </xf>
    <xf numFmtId="172" fontId="8" fillId="3" borderId="6" xfId="0" applyFont="true" applyBorder="true" applyAlignment="true" applyProtection="false">
      <alignment horizontal="center" vertical="center" textRotation="0" wrapText="false" indent="0" shrinkToFit="false"/>
      <protection locked="true" hidden="false"/>
    </xf>
    <xf numFmtId="165" fontId="9" fillId="3" borderId="6" xfId="0" applyFont="true" applyBorder="true" applyAlignment="true" applyProtection="false">
      <alignment horizontal="general" vertical="center" textRotation="0" wrapText="false" indent="0" shrinkToFit="false"/>
      <protection locked="true" hidden="false"/>
    </xf>
    <xf numFmtId="172" fontId="9" fillId="3" borderId="6" xfId="0" applyFont="true" applyBorder="true" applyAlignment="true" applyProtection="false">
      <alignment horizontal="right" vertical="center" textRotation="0" wrapText="false" indent="0" shrinkToFit="false"/>
      <protection locked="true" hidden="false"/>
    </xf>
    <xf numFmtId="172" fontId="16" fillId="0" borderId="6" xfId="0" applyFont="true" applyBorder="tru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72" fontId="11" fillId="0" borderId="6" xfId="0" applyFont="true" applyBorder="true" applyAlignment="true" applyProtection="false">
      <alignment horizontal="right" vertical="center" textRotation="0" wrapText="false" indent="1" shrinkToFit="false"/>
      <protection locked="true" hidden="false"/>
    </xf>
    <xf numFmtId="164" fontId="22" fillId="3" borderId="20" xfId="0" applyFont="true" applyBorder="true" applyAlignment="true" applyProtection="false">
      <alignment horizontal="center" vertical="center" textRotation="0" wrapText="false" indent="0" shrinkToFit="false"/>
      <protection locked="true" hidden="false"/>
    </xf>
    <xf numFmtId="172" fontId="8" fillId="3" borderId="7"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right" vertical="center" textRotation="0" wrapText="false" indent="1" shrinkToFit="false"/>
      <protection locked="true" hidden="false"/>
    </xf>
    <xf numFmtId="172" fontId="9" fillId="3" borderId="7" xfId="0" applyFont="true" applyBorder="true" applyAlignment="true" applyProtection="false">
      <alignment horizontal="right" vertical="center" textRotation="0" wrapText="false" indent="1" shrinkToFit="false"/>
      <protection locked="true" hidden="false"/>
    </xf>
    <xf numFmtId="165" fontId="10" fillId="0" borderId="6" xfId="0" applyFont="true" applyBorder="true" applyAlignment="true" applyProtection="false">
      <alignment horizontal="left" vertical="center" textRotation="0" wrapText="false" indent="1" shrinkToFit="false"/>
      <protection locked="true" hidden="false"/>
    </xf>
    <xf numFmtId="165" fontId="10" fillId="0" borderId="7" xfId="0" applyFont="true" applyBorder="true" applyAlignment="true" applyProtection="false">
      <alignment horizontal="left" vertical="center" textRotation="0" wrapText="false" indent="1" shrinkToFit="false"/>
      <protection locked="true" hidden="false"/>
    </xf>
    <xf numFmtId="165" fontId="36" fillId="0" borderId="6" xfId="0" applyFont="true" applyBorder="true" applyAlignment="true" applyProtection="false">
      <alignment horizontal="right" vertical="center" textRotation="0" wrapText="false" indent="1" shrinkToFit="false"/>
      <protection locked="true" hidden="false"/>
    </xf>
    <xf numFmtId="164" fontId="22" fillId="4" borderId="65" xfId="0" applyFont="true" applyBorder="true" applyAlignment="true" applyProtection="false">
      <alignment horizontal="center" vertical="center" textRotation="0" wrapText="false" indent="0" shrinkToFit="false"/>
      <protection locked="true" hidden="false"/>
    </xf>
    <xf numFmtId="164" fontId="22" fillId="4" borderId="20" xfId="0" applyFont="true" applyBorder="true" applyAlignment="true" applyProtection="false">
      <alignment horizontal="center" vertical="center" textRotation="0" wrapText="false" indent="0" shrinkToFit="false"/>
      <protection locked="true" hidden="false"/>
    </xf>
    <xf numFmtId="165" fontId="22" fillId="3" borderId="7" xfId="0" applyFont="true" applyBorder="true" applyAlignment="true" applyProtection="false">
      <alignment horizontal="left" vertical="center" textRotation="0" wrapText="false" indent="1"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54" fillId="7" borderId="0" xfId="0" applyFont="true" applyBorder="false" applyAlignment="true" applyProtection="false">
      <alignment horizontal="general" vertical="center" textRotation="0" wrapText="false" indent="0" shrinkToFit="false"/>
      <protection locked="true" hidden="false"/>
    </xf>
    <xf numFmtId="173" fontId="53" fillId="7" borderId="0" xfId="0" applyFont="true" applyBorder="false" applyAlignment="true" applyProtection="false">
      <alignment horizontal="right" vertical="center" textRotation="0" wrapText="false" indent="0" shrinkToFit="false"/>
      <protection locked="true" hidden="false"/>
    </xf>
    <xf numFmtId="164" fontId="6" fillId="11" borderId="51" xfId="0" applyFont="true" applyBorder="true" applyAlignment="true" applyProtection="false">
      <alignment horizontal="center" vertical="center" textRotation="0" wrapText="false" indent="0" shrinkToFit="false"/>
      <protection locked="true" hidden="false"/>
    </xf>
    <xf numFmtId="164" fontId="6" fillId="2" borderId="51" xfId="0" applyFont="true" applyBorder="true" applyAlignment="true" applyProtection="false">
      <alignment horizontal="center" vertical="center" textRotation="0" wrapText="true" indent="0" shrinkToFit="false"/>
      <protection locked="true" hidden="false"/>
    </xf>
    <xf numFmtId="164" fontId="6" fillId="11" borderId="43" xfId="0" applyFont="true" applyBorder="true" applyAlignment="true" applyProtection="false">
      <alignment horizontal="center" vertical="center" textRotation="0" wrapText="false" indent="0" shrinkToFit="false"/>
      <protection locked="true" hidden="false"/>
    </xf>
    <xf numFmtId="164" fontId="6" fillId="2" borderId="43" xfId="0" applyFont="true" applyBorder="true" applyAlignment="true" applyProtection="false">
      <alignment horizontal="center" vertical="center" textRotation="0" wrapText="true" indent="0" shrinkToFit="false"/>
      <protection locked="true" hidden="false"/>
    </xf>
    <xf numFmtId="164" fontId="16" fillId="5" borderId="65" xfId="0" applyFont="true" applyBorder="true" applyAlignment="true" applyProtection="false">
      <alignment horizontal="left" vertical="center" textRotation="0" wrapText="false" indent="1" shrinkToFit="false"/>
      <protection locked="true" hidden="false"/>
    </xf>
    <xf numFmtId="164" fontId="10" fillId="5" borderId="65" xfId="0" applyFont="true" applyBorder="true" applyAlignment="true" applyProtection="false">
      <alignment horizontal="left" vertical="center" textRotation="0" wrapText="false" indent="1" shrinkToFit="false"/>
      <protection locked="true" hidden="false"/>
    </xf>
    <xf numFmtId="173" fontId="11" fillId="5" borderId="65" xfId="0" applyFont="true" applyBorder="true" applyAlignment="true" applyProtection="false">
      <alignment horizontal="right" vertical="center" textRotation="0" wrapText="false" indent="1" shrinkToFit="false"/>
      <protection locked="true" hidden="false"/>
    </xf>
    <xf numFmtId="174" fontId="11" fillId="5" borderId="65" xfId="0" applyFont="true" applyBorder="true" applyAlignment="true" applyProtection="false">
      <alignment horizontal="right" vertical="center" textRotation="0" wrapText="false" indent="1" shrinkToFit="false"/>
      <protection locked="true" hidden="false"/>
    </xf>
    <xf numFmtId="172" fontId="11" fillId="0" borderId="65" xfId="0" applyFont="true" applyBorder="true" applyAlignment="true" applyProtection="false">
      <alignment horizontal="general" vertical="center" textRotation="0" wrapText="false" indent="0" shrinkToFit="false"/>
      <protection locked="true" hidden="false"/>
    </xf>
    <xf numFmtId="172" fontId="11" fillId="0" borderId="65" xfId="0" applyFont="true" applyBorder="true" applyAlignment="true" applyProtection="false">
      <alignment horizontal="right" vertical="center" textRotation="0" wrapText="false" indent="1" shrinkToFit="false"/>
      <protection locked="true" hidden="false"/>
    </xf>
    <xf numFmtId="164" fontId="33" fillId="5" borderId="65" xfId="0" applyFont="true" applyBorder="true" applyAlignment="true" applyProtection="false">
      <alignment horizontal="left" vertical="center" textRotation="0" wrapText="false" indent="1" shrinkToFit="false"/>
      <protection locked="true" hidden="false"/>
    </xf>
    <xf numFmtId="164" fontId="21" fillId="4" borderId="34" xfId="0" applyFont="true" applyBorder="true" applyAlignment="true" applyProtection="false">
      <alignment horizontal="center" vertical="center" textRotation="0" wrapText="false" indent="0" shrinkToFit="false"/>
      <protection locked="true" hidden="false"/>
    </xf>
    <xf numFmtId="164" fontId="21" fillId="5" borderId="20" xfId="0" applyFont="true" applyBorder="true" applyAlignment="true" applyProtection="false">
      <alignment horizontal="left" vertical="center" textRotation="0" wrapText="false" indent="1" shrinkToFit="false"/>
      <protection locked="true" hidden="false"/>
    </xf>
    <xf numFmtId="164" fontId="10" fillId="5" borderId="20" xfId="0" applyFont="true" applyBorder="true" applyAlignment="true" applyProtection="false">
      <alignment horizontal="left" vertical="center" textRotation="0" wrapText="false" indent="1" shrinkToFit="false"/>
      <protection locked="true" hidden="false"/>
    </xf>
    <xf numFmtId="175" fontId="11" fillId="5" borderId="20" xfId="0" applyFont="true" applyBorder="true" applyAlignment="true" applyProtection="false">
      <alignment horizontal="right" vertical="center" textRotation="0" wrapText="false" indent="1" shrinkToFit="false"/>
      <protection locked="true" hidden="false"/>
    </xf>
    <xf numFmtId="175" fontId="11" fillId="0" borderId="6" xfId="0" applyFont="true" applyBorder="true" applyAlignment="true" applyProtection="false">
      <alignment horizontal="right" vertical="center" textRotation="0" wrapText="false" indent="1" shrinkToFit="false"/>
      <protection locked="true" hidden="false"/>
    </xf>
    <xf numFmtId="172" fontId="11" fillId="0" borderId="6" xfId="0" applyFont="true" applyBorder="true" applyAlignment="true" applyProtection="false">
      <alignment horizontal="general" vertical="center" textRotation="0" wrapText="false" indent="0" shrinkToFit="false"/>
      <protection locked="true" hidden="false"/>
    </xf>
    <xf numFmtId="164" fontId="33" fillId="5" borderId="7" xfId="0" applyFont="true" applyBorder="true" applyAlignment="true" applyProtection="false">
      <alignment horizontal="left" vertical="center" textRotation="0" wrapText="false" indent="1" shrinkToFit="false"/>
      <protection locked="true" hidden="false"/>
    </xf>
    <xf numFmtId="164" fontId="11" fillId="5" borderId="20" xfId="0" applyFont="true" applyBorder="true" applyAlignment="true" applyProtection="false">
      <alignment horizontal="right" vertical="center" textRotation="0" wrapText="false" indent="1" shrinkToFit="false"/>
      <protection locked="true" hidden="false"/>
    </xf>
    <xf numFmtId="164" fontId="16" fillId="5" borderId="20" xfId="0" applyFont="true" applyBorder="true" applyAlignment="true" applyProtection="false">
      <alignment horizontal="left" vertical="center" textRotation="0" wrapText="false" indent="1" shrinkToFit="false"/>
      <protection locked="true" hidden="false"/>
    </xf>
    <xf numFmtId="164" fontId="33" fillId="5" borderId="7" xfId="0" applyFont="true" applyBorder="true" applyAlignment="true" applyProtection="false">
      <alignment horizontal="left" vertical="center" textRotation="0" wrapText="true" indent="1" shrinkToFit="false"/>
      <protection locked="true" hidden="false"/>
    </xf>
    <xf numFmtId="164" fontId="16" fillId="5" borderId="20" xfId="0" applyFont="true" applyBorder="true" applyAlignment="true" applyProtection="false">
      <alignment horizontal="right" vertical="center" textRotation="0" wrapText="false" indent="1" shrinkToFit="false"/>
      <protection locked="true" hidden="false"/>
    </xf>
    <xf numFmtId="164" fontId="10" fillId="0" borderId="65" xfId="0" applyFont="true" applyBorder="true" applyAlignment="true" applyProtection="false">
      <alignment horizontal="left" vertical="center" textRotation="0" wrapText="true" indent="1" shrinkToFit="false"/>
      <protection locked="true" hidden="false"/>
    </xf>
    <xf numFmtId="172" fontId="10" fillId="0" borderId="65" xfId="0" applyFont="true" applyBorder="true" applyAlignment="true" applyProtection="false">
      <alignment horizontal="center" vertical="center" textRotation="0" wrapText="true" indent="0" shrinkToFit="false"/>
      <protection locked="true" hidden="false"/>
    </xf>
    <xf numFmtId="172" fontId="10" fillId="0" borderId="65" xfId="0" applyFont="true" applyBorder="true" applyAlignment="true" applyProtection="false">
      <alignment horizontal="right" vertical="center" textRotation="0" wrapText="false" indent="1" shrinkToFit="false"/>
      <protection locked="true" hidden="false"/>
    </xf>
    <xf numFmtId="165" fontId="11" fillId="0" borderId="65" xfId="0" applyFont="true" applyBorder="true" applyAlignment="true" applyProtection="false">
      <alignment horizontal="right" vertical="center" textRotation="0" wrapText="false" indent="1" shrinkToFit="false"/>
      <protection locked="true" hidden="false"/>
    </xf>
    <xf numFmtId="164" fontId="10" fillId="5" borderId="65" xfId="0" applyFont="true" applyBorder="true" applyAlignment="true" applyProtection="false">
      <alignment horizontal="left" vertical="center" textRotation="0" wrapText="true" indent="1" shrinkToFit="false"/>
      <protection locked="true" hidden="false"/>
    </xf>
    <xf numFmtId="176" fontId="30" fillId="0" borderId="0" xfId="0" applyFont="true" applyBorder="false" applyAlignment="true" applyProtection="false">
      <alignment horizontal="general" vertical="center" textRotation="0" wrapText="false" indent="0" shrinkToFit="false"/>
      <protection locked="true" hidden="false"/>
    </xf>
    <xf numFmtId="172" fontId="16" fillId="4" borderId="65" xfId="0" applyFont="true" applyBorder="true" applyAlignment="true" applyProtection="false">
      <alignment horizontal="center" vertical="center" textRotation="0" wrapText="false" indent="0" shrinkToFit="false"/>
      <protection locked="true" hidden="false"/>
    </xf>
    <xf numFmtId="172" fontId="10" fillId="4" borderId="65" xfId="0" applyFont="true" applyBorder="true" applyAlignment="true" applyProtection="false">
      <alignment horizontal="left" vertical="center" textRotation="0" wrapText="false" indent="1" shrinkToFit="false"/>
      <protection locked="true" hidden="false"/>
    </xf>
    <xf numFmtId="176" fontId="11" fillId="4" borderId="65" xfId="0" applyFont="true" applyBorder="true" applyAlignment="true" applyProtection="false">
      <alignment horizontal="right" vertical="center" textRotation="0" wrapText="false" indent="1" shrinkToFit="false"/>
      <protection locked="true" hidden="false"/>
    </xf>
    <xf numFmtId="172" fontId="16" fillId="4" borderId="65" xfId="0" applyFont="true" applyBorder="true" applyAlignment="true" applyProtection="false">
      <alignment horizontal="right" vertical="center" textRotation="0" wrapText="false" indent="1" shrinkToFit="false"/>
      <protection locked="true" hidden="false"/>
    </xf>
    <xf numFmtId="165" fontId="11" fillId="4" borderId="65" xfId="0" applyFont="true" applyBorder="true" applyAlignment="true" applyProtection="false">
      <alignment horizontal="right" vertical="center" textRotation="0" wrapText="false" indent="1" shrinkToFit="false"/>
      <protection locked="true" hidden="false"/>
    </xf>
    <xf numFmtId="164" fontId="56" fillId="4" borderId="65" xfId="0" applyFont="true" applyBorder="true" applyAlignment="true" applyProtection="false">
      <alignment horizontal="left" vertical="center" textRotation="0" wrapText="false" indent="1" shrinkToFit="false"/>
      <protection locked="true" hidden="false"/>
    </xf>
    <xf numFmtId="172" fontId="16" fillId="4" borderId="6" xfId="0" applyFont="true" applyBorder="true" applyAlignment="true" applyProtection="false">
      <alignment horizontal="left" vertical="center" textRotation="0" wrapText="false" indent="1" shrinkToFit="false"/>
      <protection locked="true" hidden="false"/>
    </xf>
    <xf numFmtId="176" fontId="11" fillId="4" borderId="6" xfId="0" applyFont="true" applyBorder="true" applyAlignment="true" applyProtection="false">
      <alignment horizontal="right" vertical="center" textRotation="0" wrapText="false" indent="1" shrinkToFit="false"/>
      <protection locked="true" hidden="false"/>
    </xf>
    <xf numFmtId="165" fontId="11" fillId="4" borderId="6" xfId="0" applyFont="true" applyBorder="true" applyAlignment="true" applyProtection="false">
      <alignment horizontal="right" vertical="center" textRotation="0" wrapText="false" indent="1" shrinkToFit="false"/>
      <protection locked="true" hidden="false"/>
    </xf>
    <xf numFmtId="176" fontId="11" fillId="0" borderId="6" xfId="0" applyFont="true" applyBorder="true" applyAlignment="true" applyProtection="false">
      <alignment horizontal="right" vertical="center" textRotation="0" wrapText="true" indent="1" shrinkToFit="false"/>
      <protection locked="true" hidden="false"/>
    </xf>
    <xf numFmtId="172" fontId="16" fillId="0" borderId="6" xfId="0" applyFont="true" applyBorder="true" applyAlignment="true" applyProtection="false">
      <alignment horizontal="right" vertical="center" textRotation="0" wrapText="false" indent="1" shrinkToFit="false"/>
      <protection locked="true" hidden="false"/>
    </xf>
    <xf numFmtId="164" fontId="56" fillId="5" borderId="7" xfId="0" applyFont="true" applyBorder="true" applyAlignment="true" applyProtection="false">
      <alignment horizontal="left" vertical="center" textRotation="0" wrapText="true" indent="1" shrinkToFit="false"/>
      <protection locked="true" hidden="false"/>
    </xf>
    <xf numFmtId="164" fontId="16" fillId="0" borderId="20" xfId="0" applyFont="true" applyBorder="true" applyAlignment="true" applyProtection="false">
      <alignment horizontal="left" vertical="center" textRotation="0" wrapText="false" indent="1" shrinkToFit="false"/>
      <protection locked="true" hidden="false"/>
    </xf>
    <xf numFmtId="176" fontId="11" fillId="0" borderId="6" xfId="0" applyFont="true" applyBorder="true" applyAlignment="true" applyProtection="false">
      <alignment horizontal="right" vertical="center" textRotation="0" wrapText="false" indent="1" shrinkToFit="false"/>
      <protection locked="true" hidden="false"/>
    </xf>
    <xf numFmtId="164" fontId="17" fillId="2" borderId="43" xfId="0" applyFont="true" applyBorder="true" applyAlignment="true" applyProtection="false">
      <alignment horizontal="center" vertical="center" textRotation="0" wrapText="true" indent="0" shrinkToFit="false"/>
      <protection locked="true" hidden="false"/>
    </xf>
    <xf numFmtId="172" fontId="16" fillId="0" borderId="65" xfId="0" applyFont="true" applyBorder="true" applyAlignment="true" applyProtection="false">
      <alignment horizontal="center" vertical="center" textRotation="0" wrapText="false" indent="0" shrinkToFit="false"/>
      <protection locked="true" hidden="false"/>
    </xf>
    <xf numFmtId="176" fontId="11" fillId="0" borderId="65" xfId="0" applyFont="true" applyBorder="true" applyAlignment="true" applyProtection="false">
      <alignment horizontal="right" vertical="center" textRotation="0" wrapText="false" indent="1" shrinkToFit="false"/>
      <protection locked="true" hidden="false"/>
    </xf>
    <xf numFmtId="164" fontId="56" fillId="5" borderId="65" xfId="0" applyFont="true" applyBorder="true" applyAlignment="true" applyProtection="false">
      <alignment horizontal="left" vertical="center" textRotation="0" wrapText="false" indent="1" shrinkToFit="false"/>
      <protection locked="true" hidden="false"/>
    </xf>
    <xf numFmtId="164" fontId="10" fillId="4" borderId="34" xfId="0" applyFont="true" applyBorder="true" applyAlignment="true" applyProtection="false">
      <alignment horizontal="center" vertical="center" textRotation="0" wrapText="false" indent="0" shrinkToFit="false"/>
      <protection locked="true" hidden="false"/>
    </xf>
    <xf numFmtId="176" fontId="10" fillId="0" borderId="65" xfId="0" applyFont="true" applyBorder="true" applyAlignment="true" applyProtection="false">
      <alignment horizontal="right" vertical="center" textRotation="0" wrapText="false" indent="1" shrinkToFit="false"/>
      <protection locked="true" hidden="false"/>
    </xf>
    <xf numFmtId="164" fontId="32" fillId="5" borderId="65" xfId="0" applyFont="true" applyBorder="true" applyAlignment="true" applyProtection="false">
      <alignment horizontal="left" vertical="center" textRotation="0" wrapText="false" indent="1" shrinkToFit="false"/>
      <protection locked="true" hidden="false"/>
    </xf>
    <xf numFmtId="176" fontId="36" fillId="0" borderId="6" xfId="0" applyFont="true" applyBorder="true" applyAlignment="true" applyProtection="false">
      <alignment horizontal="right" vertical="center" textRotation="0" wrapText="true" indent="1"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9" fontId="6" fillId="2" borderId="43" xfId="0" applyFont="true" applyBorder="true" applyAlignment="true" applyProtection="false">
      <alignment horizontal="center" vertical="center" textRotation="0" wrapText="false" indent="0" shrinkToFit="false"/>
      <protection locked="true" hidden="false"/>
    </xf>
    <xf numFmtId="164" fontId="10" fillId="0" borderId="65" xfId="0" applyFont="true" applyBorder="true" applyAlignment="true" applyProtection="false">
      <alignment horizontal="left" vertical="center" textRotation="0" wrapText="false" indent="1" shrinkToFit="false"/>
      <protection locked="true" hidden="false"/>
    </xf>
    <xf numFmtId="172" fontId="11" fillId="0" borderId="12" xfId="0" applyFont="true" applyBorder="true" applyAlignment="true" applyProtection="false">
      <alignment horizontal="right" vertical="center" textRotation="0" wrapText="false" indent="1" shrinkToFit="false"/>
      <protection locked="true" hidden="false"/>
    </xf>
    <xf numFmtId="164" fontId="32" fillId="5" borderId="7" xfId="0" applyFont="true" applyBorder="true" applyAlignment="true" applyProtection="false">
      <alignment horizontal="left" vertical="center" textRotation="0" wrapText="false" indent="1" shrinkToFit="false"/>
      <protection locked="true" hidden="false"/>
    </xf>
    <xf numFmtId="164" fontId="32" fillId="5" borderId="7" xfId="0" applyFont="true" applyBorder="true" applyAlignment="true" applyProtection="false">
      <alignment horizontal="left" vertical="center" textRotation="0" wrapText="true" indent="1" shrinkToFit="false"/>
      <protection locked="true" hidden="false"/>
    </xf>
    <xf numFmtId="164" fontId="21" fillId="3" borderId="20" xfId="0" applyFont="true" applyBorder="true" applyAlignment="true" applyProtection="false">
      <alignment horizontal="center" vertical="center" textRotation="0" wrapText="false" indent="0" shrinkToFit="false"/>
      <protection locked="true" hidden="false"/>
    </xf>
    <xf numFmtId="164" fontId="22" fillId="3" borderId="34" xfId="0" applyFont="true" applyBorder="true" applyAlignment="true" applyProtection="false">
      <alignment horizontal="left" vertical="center" textRotation="0" wrapText="false" indent="1" shrinkToFit="false"/>
      <protection locked="true" hidden="false"/>
    </xf>
    <xf numFmtId="172" fontId="9" fillId="3" borderId="6" xfId="0" applyFont="true" applyBorder="true" applyAlignment="true" applyProtection="false">
      <alignment horizontal="right" vertical="center" textRotation="0" wrapText="false" indent="1" shrinkToFit="false"/>
      <protection locked="true" hidden="false"/>
    </xf>
    <xf numFmtId="164" fontId="57" fillId="3" borderId="7" xfId="0" applyFont="true" applyBorder="true" applyAlignment="true" applyProtection="false">
      <alignment horizontal="left" vertical="center" textRotation="0" wrapText="true" indent="1" shrinkToFit="false"/>
      <protection locked="true" hidden="false"/>
    </xf>
    <xf numFmtId="164" fontId="58" fillId="5" borderId="0" xfId="0" applyFont="true" applyBorder="false" applyAlignment="true" applyProtection="false">
      <alignment horizontal="general" vertical="center" textRotation="0" wrapText="false" indent="0" shrinkToFit="false"/>
      <protection locked="true" hidden="false"/>
    </xf>
    <xf numFmtId="164" fontId="59" fillId="5"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22" fillId="5" borderId="0" xfId="0" applyFont="true" applyBorder="false" applyAlignment="true" applyProtection="false">
      <alignment horizontal="left" vertical="center" textRotation="0" wrapText="false" indent="1" shrinkToFit="false"/>
      <protection locked="true" hidden="false"/>
    </xf>
    <xf numFmtId="172" fontId="11" fillId="5" borderId="0" xfId="0" applyFont="true" applyBorder="false" applyAlignment="true" applyProtection="false">
      <alignment horizontal="right" vertical="center" textRotation="0" wrapText="false" indent="1" shrinkToFit="false"/>
      <protection locked="true" hidden="false"/>
    </xf>
    <xf numFmtId="164" fontId="61" fillId="5" borderId="0" xfId="0" applyFont="true" applyBorder="false" applyAlignment="true" applyProtection="false">
      <alignment horizontal="left" vertical="center" textRotation="0" wrapText="false" indent="1" shrinkToFit="false"/>
      <protection locked="true" hidden="false"/>
    </xf>
    <xf numFmtId="164" fontId="33" fillId="5" borderId="0" xfId="0" applyFont="true" applyBorder="false" applyAlignment="true" applyProtection="false">
      <alignment horizontal="left" vertical="center" textRotation="0" wrapText="true" indent="1" shrinkToFit="false"/>
      <protection locked="true" hidden="false"/>
    </xf>
    <xf numFmtId="164" fontId="22" fillId="5" borderId="0" xfId="0" applyFont="true" applyBorder="true" applyAlignment="true" applyProtection="false">
      <alignment horizontal="left" vertical="center" textRotation="0" wrapText="false" indent="1" shrinkToFit="false"/>
      <protection locked="true" hidden="false"/>
    </xf>
    <xf numFmtId="172" fontId="9" fillId="5" borderId="0" xfId="0" applyFont="true" applyBorder="false" applyAlignment="true" applyProtection="false">
      <alignment horizontal="right" vertical="center" textRotation="0" wrapText="false" indent="1"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2" fillId="0" borderId="0" xfId="0" applyFont="true" applyBorder="false" applyAlignment="true" applyProtection="false">
      <alignment horizontal="general" vertical="center" textRotation="0" wrapText="false" indent="0" shrinkToFit="false"/>
      <protection locked="true" hidden="false"/>
    </xf>
    <xf numFmtId="177" fontId="62" fillId="0" borderId="0" xfId="0" applyFont="true" applyBorder="false" applyAlignment="true" applyProtection="false">
      <alignment horizontal="center" vertical="center" textRotation="0" wrapText="false" indent="0" shrinkToFit="false"/>
      <protection locked="true" hidden="false"/>
    </xf>
    <xf numFmtId="177" fontId="62" fillId="0" borderId="0" xfId="0" applyFont="true" applyBorder="false" applyAlignment="true" applyProtection="false">
      <alignment horizontal="general" vertical="center" textRotation="0" wrapText="false" indent="0" shrinkToFit="false"/>
      <protection locked="true" hidden="false"/>
    </xf>
    <xf numFmtId="164" fontId="63" fillId="0" borderId="0" xfId="0" applyFont="true" applyBorder="false" applyAlignment="true" applyProtection="false">
      <alignment horizontal="general" vertical="center" textRotation="0" wrapText="false" indent="0" shrinkToFit="false"/>
      <protection locked="true" hidden="false"/>
    </xf>
    <xf numFmtId="177" fontId="64" fillId="2" borderId="74" xfId="0" applyFont="true" applyBorder="true" applyAlignment="true" applyProtection="false">
      <alignment horizontal="center" vertical="center" textRotation="0" wrapText="false" indent="0" shrinkToFit="false"/>
      <protection locked="true" hidden="false"/>
    </xf>
    <xf numFmtId="174" fontId="66" fillId="2" borderId="74" xfId="0" applyFont="true" applyBorder="true" applyAlignment="true" applyProtection="false">
      <alignment horizontal="center" vertical="center" textRotation="0" wrapText="false" indent="0" shrinkToFit="false"/>
      <protection locked="true" hidden="false"/>
    </xf>
    <xf numFmtId="174" fontId="67" fillId="12" borderId="74" xfId="0" applyFont="true" applyBorder="true" applyAlignment="true" applyProtection="false">
      <alignment horizontal="center" vertical="center" textRotation="0" wrapText="false" indent="0" shrinkToFit="false"/>
      <protection locked="true" hidden="false"/>
    </xf>
    <xf numFmtId="174" fontId="68" fillId="13" borderId="74" xfId="0" applyFont="true" applyBorder="true" applyAlignment="true" applyProtection="false">
      <alignment horizontal="center" vertical="center" textRotation="0" wrapText="false" indent="0" shrinkToFit="false"/>
      <protection locked="true" hidden="false"/>
    </xf>
    <xf numFmtId="177" fontId="69" fillId="4" borderId="74" xfId="0" applyFont="true" applyBorder="true" applyAlignment="true" applyProtection="false">
      <alignment horizontal="center" vertical="center" textRotation="0" wrapText="false" indent="0" shrinkToFit="false"/>
      <protection locked="true" hidden="false"/>
    </xf>
    <xf numFmtId="177" fontId="19" fillId="0" borderId="74" xfId="0" applyFont="true" applyBorder="true" applyAlignment="true" applyProtection="false">
      <alignment horizontal="center" vertical="center" textRotation="0" wrapText="false" indent="0" shrinkToFit="false"/>
      <protection locked="true" hidden="false"/>
    </xf>
    <xf numFmtId="177" fontId="62" fillId="6" borderId="74" xfId="0" applyFont="true" applyBorder="true" applyAlignment="true" applyProtection="false">
      <alignment horizontal="center" vertical="center" textRotation="0" wrapText="false" indent="0" shrinkToFit="false"/>
      <protection locked="true" hidden="false"/>
    </xf>
    <xf numFmtId="177" fontId="62" fillId="5" borderId="74" xfId="0" applyFont="true" applyBorder="true" applyAlignment="true" applyProtection="false">
      <alignment horizontal="center" vertical="center" textRotation="0" wrapText="false" indent="0" shrinkToFit="false"/>
      <protection locked="true" hidden="false"/>
    </xf>
    <xf numFmtId="177" fontId="67" fillId="5" borderId="74" xfId="0" applyFont="true" applyBorder="true" applyAlignment="true" applyProtection="false">
      <alignment horizontal="center" vertical="center" textRotation="0" wrapText="false" indent="0" shrinkToFit="false"/>
      <protection locked="true" hidden="false"/>
    </xf>
    <xf numFmtId="177" fontId="51" fillId="4" borderId="74" xfId="0" applyFont="true" applyBorder="true" applyAlignment="true" applyProtection="false">
      <alignment horizontal="center" vertical="center" textRotation="0" wrapText="false" indent="0" shrinkToFit="false"/>
      <protection locked="true" hidden="false"/>
    </xf>
    <xf numFmtId="177" fontId="5" fillId="0" borderId="74" xfId="0" applyFont="true" applyBorder="true" applyAlignment="true" applyProtection="false">
      <alignment horizontal="center" vertical="center" textRotation="0" wrapText="false" indent="0" shrinkToFit="false"/>
      <protection locked="true" hidden="false"/>
    </xf>
    <xf numFmtId="177" fontId="70" fillId="6" borderId="74" xfId="0" applyFont="true" applyBorder="true" applyAlignment="true" applyProtection="false">
      <alignment horizontal="center" vertical="center" textRotation="0" wrapText="false" indent="0" shrinkToFit="false"/>
      <protection locked="true" hidden="false"/>
    </xf>
    <xf numFmtId="177" fontId="62" fillId="0" borderId="74" xfId="0" applyFont="true" applyBorder="true" applyAlignment="true" applyProtection="false">
      <alignment horizontal="center" vertical="center" textRotation="0" wrapText="false" indent="0" shrinkToFit="false"/>
      <protection locked="true" hidden="false"/>
    </xf>
    <xf numFmtId="177" fontId="67" fillId="5" borderId="75" xfId="0" applyFont="true" applyBorder="true" applyAlignment="true" applyProtection="false">
      <alignment horizontal="center" vertical="center" textRotation="0" wrapText="false" indent="0" shrinkToFit="false"/>
      <protection locked="true" hidden="false"/>
    </xf>
    <xf numFmtId="164" fontId="72" fillId="0" borderId="0" xfId="0" applyFont="true" applyBorder="false" applyAlignment="true" applyProtection="false">
      <alignment horizontal="general" vertical="center" textRotation="0" wrapText="false" indent="0" shrinkToFit="false"/>
      <protection locked="true" hidden="false"/>
    </xf>
    <xf numFmtId="177" fontId="19" fillId="12" borderId="75" xfId="0" applyFont="true" applyBorder="true" applyAlignment="true" applyProtection="false">
      <alignment horizontal="center" vertical="center" textRotation="0" wrapText="false" indent="0" shrinkToFit="false"/>
      <protection locked="true" hidden="false"/>
    </xf>
    <xf numFmtId="177" fontId="19" fillId="13" borderId="75" xfId="0" applyFont="true" applyBorder="true" applyAlignment="true" applyProtection="false">
      <alignment horizontal="center" vertical="center" textRotation="0" wrapText="false" indent="0" shrinkToFit="false"/>
      <protection locked="true" hidden="false"/>
    </xf>
    <xf numFmtId="177" fontId="19" fillId="0" borderId="0" xfId="0" applyFont="true" applyBorder="false" applyAlignment="true" applyProtection="false">
      <alignment horizontal="center" vertical="center" textRotation="0" wrapText="false" indent="0" shrinkToFit="false"/>
      <protection locked="true" hidden="false"/>
    </xf>
    <xf numFmtId="177" fontId="19"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77" fontId="73" fillId="2" borderId="74" xfId="0" applyFont="true" applyBorder="true" applyAlignment="true" applyProtection="false">
      <alignment horizontal="center" vertical="center" textRotation="0" wrapText="false" indent="0" shrinkToFit="false"/>
      <protection locked="true" hidden="false"/>
    </xf>
    <xf numFmtId="164" fontId="73" fillId="2" borderId="74" xfId="0" applyFont="true" applyBorder="true" applyAlignment="true" applyProtection="false">
      <alignment horizontal="center" vertical="center" textRotation="0" wrapText="false" indent="0" shrinkToFit="false"/>
      <protection locked="true" hidden="false"/>
    </xf>
    <xf numFmtId="164" fontId="74" fillId="2" borderId="74"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77" fontId="19" fillId="7" borderId="74" xfId="0" applyFont="true" applyBorder="true" applyAlignment="true" applyProtection="false">
      <alignment horizontal="center" vertical="center" textRotation="0" wrapText="false" indent="0" shrinkToFit="false"/>
      <protection locked="true" hidden="false"/>
    </xf>
    <xf numFmtId="164" fontId="5" fillId="7" borderId="74" xfId="0" applyFont="true" applyBorder="true" applyAlignment="true" applyProtection="false">
      <alignment horizontal="center" vertical="center" textRotation="0" wrapText="false" indent="0" shrinkToFit="false"/>
      <protection locked="true" hidden="false"/>
    </xf>
    <xf numFmtId="164" fontId="19" fillId="0" borderId="74" xfId="0" applyFont="true" applyBorder="true" applyAlignment="true" applyProtection="false">
      <alignment horizontal="general" vertical="center" textRotation="0" wrapText="false" indent="0" shrinkToFit="false"/>
      <protection locked="true" hidden="false"/>
    </xf>
    <xf numFmtId="164" fontId="19" fillId="4" borderId="74" xfId="0" applyFont="true" applyBorder="true" applyAlignment="true" applyProtection="false">
      <alignment horizontal="center" vertical="center" textRotation="0" wrapText="false" indent="0" shrinkToFit="false"/>
      <protection locked="true" hidden="false"/>
    </xf>
    <xf numFmtId="164" fontId="19" fillId="14" borderId="74" xfId="0" applyFont="true" applyBorder="true" applyAlignment="true" applyProtection="false">
      <alignment horizontal="center" vertical="center" textRotation="0" wrapText="false" indent="0" shrinkToFit="false"/>
      <protection locked="true" hidden="false"/>
    </xf>
    <xf numFmtId="177" fontId="19" fillId="12" borderId="74" xfId="0" applyFont="true" applyBorder="true" applyAlignment="true" applyProtection="false">
      <alignment horizontal="center" vertical="center" textRotation="0" wrapText="false" indent="0" shrinkToFit="false"/>
      <protection locked="true" hidden="false"/>
    </xf>
    <xf numFmtId="177" fontId="19" fillId="13" borderId="74" xfId="0" applyFont="true" applyBorder="true" applyAlignment="true" applyProtection="false">
      <alignment horizontal="center" vertical="center" textRotation="0" wrapText="false" indent="0" shrinkToFit="false"/>
      <protection locked="true" hidden="false"/>
    </xf>
    <xf numFmtId="177" fontId="19" fillId="4" borderId="74" xfId="0" applyFont="true" applyBorder="true" applyAlignment="true" applyProtection="false">
      <alignment horizontal="center" vertical="center" textRotation="0" wrapText="false" indent="0" shrinkToFit="false"/>
      <protection locked="true" hidden="false"/>
    </xf>
    <xf numFmtId="164" fontId="54" fillId="4" borderId="74" xfId="0" applyFont="true" applyBorder="true" applyAlignment="true" applyProtection="false">
      <alignment horizontal="center" vertical="center" textRotation="0" wrapText="false" indent="0" shrinkToFit="false"/>
      <protection locked="true" hidden="false"/>
    </xf>
    <xf numFmtId="164" fontId="5" fillId="4" borderId="74" xfId="0" applyFont="true" applyBorder="true" applyAlignment="true" applyProtection="false">
      <alignment horizontal="center" vertical="center" textRotation="0" wrapText="false" indent="0" shrinkToFit="false"/>
      <protection locked="true" hidden="false"/>
    </xf>
    <xf numFmtId="164" fontId="10" fillId="4" borderId="76" xfId="0" applyFont="true" applyBorder="true" applyAlignment="true" applyProtection="false">
      <alignment horizontal="left" vertical="center" textRotation="0" wrapText="false" indent="1" shrinkToFit="false"/>
      <protection locked="true" hidden="false"/>
    </xf>
    <xf numFmtId="172" fontId="11" fillId="0" borderId="77" xfId="0" applyFont="true" applyBorder="true" applyAlignment="true" applyProtection="false">
      <alignment horizontal="right" vertical="center" textRotation="0" wrapText="false" indent="1" shrinkToFit="false"/>
      <protection locked="true" hidden="false"/>
    </xf>
    <xf numFmtId="172" fontId="11" fillId="0" borderId="3" xfId="0" applyFont="true" applyBorder="true" applyAlignment="true" applyProtection="false">
      <alignment horizontal="right" vertical="center" textRotation="0" wrapText="false" indent="1" shrinkToFit="false"/>
      <protection locked="true" hidden="false"/>
    </xf>
    <xf numFmtId="164" fontId="32" fillId="5" borderId="77" xfId="0" applyFont="true" applyBorder="true" applyAlignment="true" applyProtection="false">
      <alignment horizontal="left" vertical="center" textRotation="0" wrapText="false" indent="1" shrinkToFit="false"/>
      <protection locked="true" hidden="false"/>
    </xf>
    <xf numFmtId="172" fontId="11" fillId="0" borderId="78" xfId="0" applyFont="true" applyBorder="true" applyAlignment="true" applyProtection="false">
      <alignment horizontal="right" vertical="center" textRotation="0" wrapText="false" indent="1" shrinkToFit="false"/>
      <protection locked="true" hidden="false"/>
    </xf>
    <xf numFmtId="172" fontId="11" fillId="0" borderId="79" xfId="0" applyFont="true" applyBorder="true" applyAlignment="true" applyProtection="false">
      <alignment horizontal="right" vertical="center" textRotation="0" wrapText="false" indent="1" shrinkToFit="false"/>
      <protection locked="true" hidden="false"/>
    </xf>
    <xf numFmtId="164" fontId="32" fillId="5" borderId="80" xfId="0" applyFont="true" applyBorder="true" applyAlignment="true" applyProtection="false">
      <alignment horizontal="left" vertical="center" textRotation="0" wrapText="true" indent="1" shrinkToFit="false"/>
      <protection locked="true" hidden="false"/>
    </xf>
    <xf numFmtId="164" fontId="6" fillId="6" borderId="43" xfId="0" applyFont="true" applyBorder="true" applyAlignment="true" applyProtection="false">
      <alignment horizontal="center" vertical="center" textRotation="0" wrapText="false" indent="0" shrinkToFit="false"/>
      <protection locked="true" hidden="false"/>
    </xf>
    <xf numFmtId="172" fontId="11" fillId="0" borderId="81" xfId="0" applyFont="true" applyBorder="true" applyAlignment="true" applyProtection="false">
      <alignment horizontal="right" vertical="center" textRotation="0" wrapText="false" indent="1" shrinkToFit="false"/>
      <protection locked="true" hidden="false"/>
    </xf>
    <xf numFmtId="172" fontId="9" fillId="3" borderId="82" xfId="0" applyFont="true" applyBorder="true" applyAlignment="true" applyProtection="false">
      <alignment horizontal="right" vertical="center" textRotation="0" wrapText="false" indent="1" shrinkToFit="false"/>
      <protection locked="true" hidden="false"/>
    </xf>
    <xf numFmtId="172" fontId="11" fillId="0" borderId="72" xfId="0" applyFont="true" applyBorder="true" applyAlignment="true" applyProtection="false">
      <alignment horizontal="right" vertical="center" textRotation="0" wrapText="false" indent="1" shrinkToFit="false"/>
      <protection locked="true" hidden="false"/>
    </xf>
    <xf numFmtId="172" fontId="11" fillId="0" borderId="83" xfId="0" applyFont="true" applyBorder="true" applyAlignment="true" applyProtection="false">
      <alignment horizontal="right" vertical="center" textRotation="0" wrapText="false" indent="1" shrinkToFit="false"/>
      <protection locked="true" hidden="false"/>
    </xf>
    <xf numFmtId="172" fontId="9" fillId="3" borderId="84" xfId="0" applyFont="true" applyBorder="true" applyAlignment="true" applyProtection="false">
      <alignment horizontal="right" vertical="center" textRotation="0" wrapText="false" indent="1" shrinkToFit="false"/>
      <protection locked="true" hidden="false"/>
    </xf>
    <xf numFmtId="172" fontId="11" fillId="0" borderId="85" xfId="0" applyFont="true" applyBorder="true" applyAlignment="true" applyProtection="false">
      <alignment horizontal="right" vertical="center" textRotation="0" wrapText="false" indent="1" shrinkToFit="false"/>
      <protection locked="true" hidden="false"/>
    </xf>
    <xf numFmtId="172" fontId="11" fillId="0" borderId="80" xfId="0" applyFont="true" applyBorder="true" applyAlignment="true" applyProtection="false">
      <alignment horizontal="right" vertical="center" textRotation="0" wrapText="false" indent="1" shrinkToFit="false"/>
      <protection locked="true" hidden="false"/>
    </xf>
    <xf numFmtId="172" fontId="9" fillId="3" borderId="86" xfId="0" applyFont="true" applyBorder="true" applyAlignment="true" applyProtection="false">
      <alignment horizontal="right" vertical="center" textRotation="0" wrapText="false" indent="1" shrinkToFit="false"/>
      <protection locked="true" hidden="false"/>
    </xf>
    <xf numFmtId="172" fontId="11" fillId="0" borderId="87" xfId="0" applyFont="true" applyBorder="true" applyAlignment="true" applyProtection="false">
      <alignment horizontal="right" vertical="center" textRotation="0" wrapText="false" indent="1" shrinkToFit="false"/>
      <protection locked="true" hidden="false"/>
    </xf>
    <xf numFmtId="172" fontId="11" fillId="0" borderId="7" xfId="0" applyFont="true" applyBorder="true" applyAlignment="true" applyProtection="false">
      <alignment horizontal="right" vertical="center" textRotation="0" wrapText="false" indent="1" shrinkToFit="false"/>
      <protection locked="true" hidden="false"/>
    </xf>
    <xf numFmtId="172" fontId="9" fillId="3" borderId="88" xfId="0" applyFont="true" applyBorder="true" applyAlignment="true" applyProtection="false">
      <alignment horizontal="right" vertical="center" textRotation="0" wrapText="false" indent="1" shrinkToFit="false"/>
      <protection locked="true" hidden="false"/>
    </xf>
    <xf numFmtId="172" fontId="11" fillId="0" borderId="89" xfId="0" applyFont="true" applyBorder="true" applyAlignment="true" applyProtection="false">
      <alignment horizontal="right" vertical="center" textRotation="0" wrapText="false" indent="1" shrinkToFit="false"/>
      <protection locked="true" hidden="false"/>
    </xf>
    <xf numFmtId="172" fontId="11" fillId="0" borderId="90" xfId="0" applyFont="true" applyBorder="true" applyAlignment="true" applyProtection="false">
      <alignment horizontal="right" vertical="center" textRotation="0" wrapText="false" indent="1" shrinkToFit="false"/>
      <protection locked="true" hidden="false"/>
    </xf>
    <xf numFmtId="172" fontId="9" fillId="3" borderId="91" xfId="0" applyFont="true" applyBorder="true" applyAlignment="true" applyProtection="false">
      <alignment horizontal="right" vertical="center" textRotation="0" wrapText="false" indent="1" shrinkToFit="false"/>
      <protection locked="true" hidden="false"/>
    </xf>
    <xf numFmtId="172" fontId="11" fillId="0" borderId="92" xfId="0" applyFont="true" applyBorder="true" applyAlignment="true" applyProtection="false">
      <alignment horizontal="right" vertical="center" textRotation="0" wrapText="false" indent="1" shrinkToFit="false"/>
      <protection locked="true" hidden="false"/>
    </xf>
    <xf numFmtId="172" fontId="9" fillId="3" borderId="93" xfId="0" applyFont="true" applyBorder="true" applyAlignment="true" applyProtection="false">
      <alignment horizontal="right" vertical="center" textRotation="0" wrapText="false" indent="1" shrinkToFit="false"/>
      <protection locked="true" hidden="false"/>
    </xf>
    <xf numFmtId="164" fontId="0" fillId="0" borderId="70" xfId="0" applyFont="false" applyBorder="true" applyAlignment="true" applyProtection="false">
      <alignment horizontal="general" vertical="center" textRotation="0" wrapText="false" indent="0" shrinkToFit="false"/>
      <protection locked="true" hidden="false"/>
    </xf>
    <xf numFmtId="164" fontId="10" fillId="4" borderId="94" xfId="0" applyFont="true" applyBorder="true" applyAlignment="true" applyProtection="false">
      <alignment horizontal="left" vertical="center" textRotation="0" wrapText="false" indent="1" shrinkToFit="false"/>
      <protection locked="true" hidden="false"/>
    </xf>
    <xf numFmtId="172" fontId="11" fillId="0" borderId="2" xfId="0" applyFont="true" applyBorder="true" applyAlignment="true" applyProtection="false">
      <alignment horizontal="right" vertical="center" textRotation="0" wrapText="false" indent="1" shrinkToFit="false"/>
      <protection locked="true" hidden="false"/>
    </xf>
    <xf numFmtId="164" fontId="8" fillId="3" borderId="95" xfId="0" applyFont="true" applyBorder="true" applyAlignment="true" applyProtection="false">
      <alignment horizontal="left" vertical="center" textRotation="0" wrapText="false" indent="1" shrinkToFit="false"/>
      <protection locked="true" hidden="false"/>
    </xf>
    <xf numFmtId="172" fontId="9" fillId="0" borderId="96" xfId="0" applyFont="true" applyBorder="true" applyAlignment="true" applyProtection="false">
      <alignment horizontal="right" vertical="center" textRotation="0" wrapText="false" indent="1" shrinkToFit="false"/>
      <protection locked="true" hidden="false"/>
    </xf>
    <xf numFmtId="172" fontId="9" fillId="0" borderId="97" xfId="0" applyFont="true" applyBorder="true" applyAlignment="true" applyProtection="false">
      <alignment horizontal="right" vertical="center" textRotation="0" wrapText="false" indent="1" shrinkToFit="false"/>
      <protection locked="true" hidden="false"/>
    </xf>
    <xf numFmtId="164" fontId="0" fillId="0" borderId="98" xfId="0" applyFont="false" applyBorder="true" applyAlignment="true" applyProtection="false">
      <alignment horizontal="general"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1" shrinkToFit="false"/>
      <protection locked="true" hidden="false"/>
    </xf>
    <xf numFmtId="172" fontId="9" fillId="0" borderId="14" xfId="0" applyFont="true" applyBorder="true" applyAlignment="true" applyProtection="false">
      <alignment horizontal="right" vertical="center" textRotation="0" wrapText="false" indent="1"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428042604.01</c:v>
                </c:pt>
                <c:pt idx="2">
                  <c:v>366452501.104</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70887009.34</c:v>
                </c:pt>
                <c:pt idx="2">
                  <c:v>65567864.2080001</c:v>
                </c:pt>
              </c:numCache>
            </c:numRef>
          </c:val>
        </c:ser>
        <c:gapWidth val="70"/>
        <c:overlap val="100"/>
        <c:axId val="12114118"/>
        <c:axId val="44488964"/>
      </c:barChart>
      <c:catAx>
        <c:axId val="12114118"/>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44488964"/>
        <c:auto val="1"/>
        <c:lblAlgn val="ctr"/>
        <c:lblOffset val="100"/>
        <c:noMultiLvlLbl val="0"/>
      </c:catAx>
      <c:valAx>
        <c:axId val="44488964"/>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12114118"/>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ser>
        <c:ser>
          <c:idx val="1"/>
          <c:order val="1"/>
          <c:tx>
            <c:strRef>
              <c:f>グラフ!$D$2</c:f>
              <c:strCache>
                <c:ptCount val="1"/>
                <c:pt idx="0">
                  <c:v>B</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ser>
        <c:ser>
          <c:idx val="2"/>
          <c:order val="2"/>
          <c:tx>
            <c:strRef>
              <c:f>グラフ!$E$2</c:f>
              <c:strCache>
                <c:ptCount val="1"/>
                <c:pt idx="0">
                  <c:v>C</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ser>
        <c:gapWidth val="150"/>
        <c:overlap val="100"/>
        <c:axId val="54993969"/>
        <c:axId val="98174136"/>
      </c:barChart>
      <c:catAx>
        <c:axId val="5499396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98174136"/>
        <c:crosses val="autoZero"/>
        <c:auto val="1"/>
        <c:lblAlgn val="ctr"/>
        <c:lblOffset val="100"/>
        <c:noMultiLvlLbl val="0"/>
      </c:catAx>
      <c:valAx>
        <c:axId val="98174136"/>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54993969"/>
        <c:crosses val="autoZero"/>
        <c:crossBetween val="between"/>
      </c:valAx>
      <c:spPr>
        <a:noFill/>
        <a:ln w="0">
          <a:noFill/>
        </a:ln>
      </c:spPr>
    </c:plotArea>
    <c:legend>
      <c:legendPos val="t"/>
      <c:layout>
        <c:manualLayout>
          <c:xMode val="edge"/>
          <c:yMode val="edge"/>
          <c:x val="0.0772345204863971"/>
          <c:y val="0.0276595752403969"/>
          <c:w val="0.20066045514385"/>
          <c:h val="0.07866027471548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グラフ!$C$18</c:f>
              <c:strCache>
                <c:ptCount val="1"/>
                <c:pt idx="0">
                  <c:v>A</c:v>
                </c:pt>
              </c:strCache>
            </c:strRef>
          </c:tx>
          <c:spPr>
            <a:solidFill>
              <a:srgbClr val="0b3041"/>
            </a:solidFill>
            <a:ln cap="rnd" w="25560">
              <a:solidFill>
                <a:srgbClr val="0b3041"/>
              </a:solidFill>
              <a:round/>
            </a:ln>
          </c:spPr>
          <c:marker>
            <c:symbol val="circle"/>
            <c:size val="5"/>
            <c:spPr>
              <a:solidFill>
                <a:srgbClr val="0b3041"/>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ser>
        <c:ser>
          <c:idx val="1"/>
          <c:order val="1"/>
          <c:tx>
            <c:strRef>
              <c:f>グラフ!$D$18</c:f>
              <c:strCache>
                <c:ptCount val="1"/>
                <c:pt idx="0">
                  <c:v>B</c:v>
                </c:pt>
              </c:strCache>
            </c:strRef>
          </c:tx>
          <c:spPr>
            <a:solidFill>
              <a:srgbClr val="a3b0b6"/>
            </a:solidFill>
            <a:ln cap="rnd" w="25560">
              <a:solidFill>
                <a:srgbClr val="a3b0b6"/>
              </a:solidFill>
              <a:round/>
            </a:ln>
          </c:spPr>
          <c:marker>
            <c:symbol val="circle"/>
            <c:size val="5"/>
            <c:spPr>
              <a:solidFill>
                <a:srgbClr val="a3b0b6"/>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ser>
        <c:ser>
          <c:idx val="2"/>
          <c:order val="2"/>
          <c:tx>
            <c:strRef>
              <c:f>グラフ!$E$18</c:f>
              <c:strCache>
                <c:ptCount val="1"/>
                <c:pt idx="0">
                  <c:v>C</c:v>
                </c:pt>
              </c:strCache>
            </c:strRef>
          </c:tx>
          <c:spPr>
            <a:solidFill>
              <a:srgbClr val="0889c9"/>
            </a:solidFill>
            <a:ln cap="rnd" w="25560">
              <a:solidFill>
                <a:srgbClr val="0889c9"/>
              </a:solidFill>
              <a:round/>
            </a:ln>
          </c:spPr>
          <c:marker>
            <c:symbol val="circle"/>
            <c:size val="5"/>
            <c:spPr>
              <a:solidFill>
                <a:srgbClr val="0889c9"/>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ser>
        <c:hiLowLines>
          <c:spPr>
            <a:ln w="0">
              <a:noFill/>
            </a:ln>
          </c:spPr>
        </c:hiLowLines>
        <c:marker val="1"/>
        <c:axId val="71054952"/>
        <c:axId val="70066450"/>
      </c:lineChart>
      <c:catAx>
        <c:axId val="71054952"/>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70066450"/>
        <c:crosses val="autoZero"/>
        <c:auto val="1"/>
        <c:lblAlgn val="ctr"/>
        <c:lblOffset val="100"/>
        <c:noMultiLvlLbl val="0"/>
      </c:catAx>
      <c:valAx>
        <c:axId val="70066450"/>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71054952"/>
        <c:crosses val="autoZero"/>
        <c:crossBetween val="between"/>
      </c:valAx>
      <c:spPr>
        <a:noFill/>
        <a:ln w="0">
          <a:noFill/>
        </a:ln>
      </c:spPr>
    </c:plotArea>
    <c:legend>
      <c:legendPos val="t"/>
      <c:layout>
        <c:manualLayout>
          <c:xMode val="edge"/>
          <c:yMode val="edge"/>
          <c:x val="0.0840000858677086"/>
          <c:y val="0.0322695044471297"/>
          <c:w val="0.308533245844269"/>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5796823658269"/>
          <c:y val="0.15812976096664"/>
          <c:w val="0.44092278203724"/>
          <c:h val="0.734961912266877"/>
        </c:manualLayout>
      </c:layout>
      <c:doughnutChart>
        <c:varyColors val="1"/>
        <c:ser>
          <c:idx val="0"/>
          <c:order val="0"/>
          <c:tx>
            <c:strRef>
              <c:f>グラフ!$C$33</c:f>
              <c:strCache>
                <c:ptCount val="1"/>
                <c:pt idx="0">
                  <c:v>グラフタイトル</c:v>
                </c:pt>
              </c:strCache>
            </c:strRef>
          </c:tx>
          <c:spPr>
            <a:solidFill>
              <a:srgbClr val="727f88"/>
            </a:solidFill>
            <a:ln w="12600">
              <a:noFill/>
            </a:ln>
          </c:spPr>
          <c:explosion val="0"/>
          <c:dPt>
            <c:idx val="0"/>
            <c:spPr>
              <a:solidFill>
                <a:srgbClr val="0889c9"/>
              </a:solidFill>
              <a:ln w="12600">
                <a:solidFill>
                  <a:srgbClr val="ffffff"/>
                </a:solidFill>
                <a:round/>
              </a:ln>
            </c:spPr>
          </c:dPt>
          <c:dPt>
            <c:idx val="1"/>
            <c:spPr>
              <a:solidFill>
                <a:srgbClr val="b7e2f5"/>
              </a:solidFill>
              <a:ln w="12600">
                <a:solidFill>
                  <a:srgbClr val="ffffff"/>
                </a:solidFill>
                <a:round/>
              </a:ln>
            </c:spPr>
          </c:dPt>
          <c:dPt>
            <c:idx val="2"/>
            <c:spPr>
              <a:solidFill>
                <a:srgbClr val="e1f3fb"/>
              </a:solidFill>
              <a:ln w="12600">
                <a:solidFill>
                  <a:srgbClr val="ffffff"/>
                </a:solidFill>
                <a:round/>
              </a:ln>
            </c:spPr>
          </c:dPt>
          <c:dPt>
            <c:idx val="3"/>
            <c:spPr>
              <a:solidFill>
                <a:srgbClr val="c9d1d5"/>
              </a:solidFill>
              <a:ln w="12600">
                <a:solidFill>
                  <a:srgbClr val="ffffff"/>
                </a:solidFill>
                <a:round/>
              </a:ln>
            </c:spPr>
          </c:dPt>
          <c:dLbls>
            <c:numFmt formatCode="General" sourceLinked="1"/>
            <c:dLbl>
              <c:idx val="0"/>
              <c:numFmt formatCode="General" sourceLinked="1"/>
              <c:txPr>
                <a:bodyPr wrap="square"/>
                <a:lstStyle/>
                <a:p>
                  <a:pPr>
                    <a:defRPr b="1" sz="2000" spc="-1" strike="noStrike">
                      <a:solidFill>
                        <a:srgbClr val="ffffff"/>
                      </a:solidFill>
                      <a:latin typeface="Arial"/>
                      <a:ea typeface="游ゴシック Medium"/>
                    </a:defRPr>
                  </a:pPr>
                </a:p>
              </c:txPr>
              <c:showLegendKey val="0"/>
              <c:showVal val="1"/>
              <c:showCatName val="0"/>
              <c:showSerName val="0"/>
              <c:showPercent val="0"/>
              <c:separator>; </c:separator>
            </c:dLbl>
            <c:dLbl>
              <c:idx val="1"/>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2"/>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3"/>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txPr>
              <a:bodyPr wrap="square"/>
              <a:lstStyle/>
              <a:p>
                <a:pPr>
                  <a:defRPr b="1" sz="1800" spc="-1" strike="noStrike">
                    <a:solidFill>
                      <a:srgbClr val="ffffff"/>
                    </a:solidFill>
                    <a:latin typeface="Arial"/>
                    <a:ea typeface="游ゴシック Medium"/>
                  </a:defRPr>
                </a:pPr>
              </a:p>
            </c:txPr>
            <c:showLegendKey val="0"/>
            <c:showVal val="1"/>
            <c:showCatName val="0"/>
            <c:showSerName val="0"/>
            <c:showPercent val="0"/>
            <c:separator>; </c:separator>
            <c:showLeaderLines val="1"/>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ser>
        <c:firstSliceAng val="0"/>
        <c:holeSize val="50"/>
      </c:doughnutChart>
      <c:spPr>
        <a:noFill/>
        <a:ln w="0">
          <a:noFill/>
        </a:ln>
      </c:spPr>
    </c:plotArea>
    <c:legend>
      <c:legendPos val="t"/>
      <c:layout>
        <c:manualLayout>
          <c:xMode val="edge"/>
          <c:yMode val="edge"/>
          <c:x val="0.228603018372703"/>
          <c:y val="0.0735793963254593"/>
          <c:w val="0.224702339657983"/>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ser>
        <c:ser>
          <c:idx val="1"/>
          <c:order val="1"/>
          <c:tx>
            <c:strRef>
              <c:f>グラフ!$D$51</c:f>
              <c:strCache>
                <c:ptCount val="1"/>
                <c:pt idx="0">
                  <c:v>Y</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c:v>
                </c:pt>
                <c:pt idx="2">
                  <c:v>1.8</c:v>
                </c:pt>
                <c:pt idx="3">
                  <c:v>2.8</c:v>
                </c:pt>
              </c:numCache>
            </c:numRef>
          </c:val>
        </c:ser>
        <c:ser>
          <c:idx val="2"/>
          <c:order val="2"/>
          <c:tx>
            <c:strRef>
              <c:f>グラフ!$E$51</c:f>
              <c:strCache>
                <c:ptCount val="1"/>
                <c:pt idx="0">
                  <c:v>Z</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ser>
        <c:gapWidth val="100"/>
        <c:overlap val="100"/>
        <c:axId val="59677203"/>
        <c:axId val="57211733"/>
      </c:barChart>
      <c:catAx>
        <c:axId val="59677203"/>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Medium"/>
              </a:defRPr>
            </a:pPr>
          </a:p>
        </c:txPr>
        <c:crossAx val="57211733"/>
        <c:crosses val="autoZero"/>
        <c:auto val="1"/>
        <c:lblAlgn val="ctr"/>
        <c:lblOffset val="100"/>
        <c:noMultiLvlLbl val="0"/>
      </c:catAx>
      <c:valAx>
        <c:axId val="57211733"/>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59677203"/>
        <c:crosses val="autoZero"/>
        <c:crossBetween val="between"/>
      </c:valAx>
      <c:spPr>
        <a:noFill/>
        <a:ln w="0">
          <a:noFill/>
        </a:ln>
      </c:spPr>
    </c:plotArea>
    <c:legend>
      <c:legendPos val="t"/>
      <c:layout>
        <c:manualLayout>
          <c:xMode val="edge"/>
          <c:yMode val="edge"/>
          <c:x val="0.042319435000987"/>
          <c:y val="0.046150574454488"/>
          <c:w val="0.165868883381221"/>
          <c:h val="0.078374420563543"/>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ser>
        <c:gapWidth val="150"/>
        <c:overlap val="100"/>
        <c:axId val="86619700"/>
        <c:axId val="53363940"/>
      </c:barChart>
      <c:catAx>
        <c:axId val="86619700"/>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53363940"/>
        <c:crosses val="autoZero"/>
        <c:auto val="1"/>
        <c:lblAlgn val="ctr"/>
        <c:lblOffset val="100"/>
        <c:noMultiLvlLbl val="0"/>
      </c:catAx>
      <c:valAx>
        <c:axId val="53363940"/>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86619700"/>
        <c:crosses val="autoZero"/>
        <c:crossBetween val="between"/>
      </c:valAx>
      <c:spPr>
        <a:noFill/>
        <a:ln w="0">
          <a:noFill/>
        </a:ln>
      </c:spPr>
    </c:plotArea>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ser>
        <c:gapWidth val="150"/>
        <c:overlap val="100"/>
        <c:axId val="81682653"/>
        <c:axId val="77132659"/>
      </c:barChart>
      <c:catAx>
        <c:axId val="81682653"/>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77132659"/>
        <c:crosses val="autoZero"/>
        <c:auto val="1"/>
        <c:lblAlgn val="ctr"/>
        <c:lblOffset val="100"/>
        <c:noMultiLvlLbl val="0"/>
      </c:catAx>
      <c:valAx>
        <c:axId val="77132659"/>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81682653"/>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881640</xdr:colOff>
      <xdr:row>21</xdr:row>
      <xdr:rowOff>35640</xdr:rowOff>
    </xdr:to>
    <xdr:graphicFrame>
      <xdr:nvGraphicFramePr>
        <xdr:cNvPr id="0" name="Chart 1"/>
        <xdr:cNvGraphicFramePr/>
      </xdr:nvGraphicFramePr>
      <xdr:xfrm>
        <a:off x="2655000" y="2503440"/>
        <a:ext cx="5609880" cy="3209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206280</xdr:colOff>
      <xdr:row>0</xdr:row>
      <xdr:rowOff>206280</xdr:rowOff>
    </xdr:from>
    <xdr:to>
      <xdr:col>13</xdr:col>
      <xdr:colOff>137160</xdr:colOff>
      <xdr:row>12</xdr:row>
      <xdr:rowOff>203760</xdr:rowOff>
    </xdr:to>
    <xdr:graphicFrame>
      <xdr:nvGraphicFramePr>
        <xdr:cNvPr id="1" name="Chart 1"/>
        <xdr:cNvGraphicFramePr/>
      </xdr:nvGraphicFramePr>
      <xdr:xfrm>
        <a:off x="4759200" y="206280"/>
        <a:ext cx="5242680" cy="2740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165960</xdr:colOff>
      <xdr:row>28</xdr:row>
      <xdr:rowOff>172080</xdr:rowOff>
    </xdr:to>
    <xdr:graphicFrame>
      <xdr:nvGraphicFramePr>
        <xdr:cNvPr id="2" name="Chart 2"/>
        <xdr:cNvGraphicFramePr/>
      </xdr:nvGraphicFramePr>
      <xdr:xfrm>
        <a:off x="4772160" y="3832200"/>
        <a:ext cx="5258520" cy="2740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172080</xdr:colOff>
      <xdr:row>43</xdr:row>
      <xdr:rowOff>178560</xdr:rowOff>
    </xdr:to>
    <xdr:graphicFrame>
      <xdr:nvGraphicFramePr>
        <xdr:cNvPr id="3" name="Chart 3"/>
        <xdr:cNvGraphicFramePr/>
      </xdr:nvGraphicFramePr>
      <xdr:xfrm>
        <a:off x="4778280" y="7267680"/>
        <a:ext cx="5258520" cy="2740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310680</xdr:colOff>
      <xdr:row>60</xdr:row>
      <xdr:rowOff>39960</xdr:rowOff>
    </xdr:to>
    <xdr:graphicFrame>
      <xdr:nvGraphicFramePr>
        <xdr:cNvPr id="4" name="Chart 4"/>
        <xdr:cNvGraphicFramePr/>
      </xdr:nvGraphicFramePr>
      <xdr:xfrm>
        <a:off x="4929480" y="10993680"/>
        <a:ext cx="5245920" cy="2762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137160</xdr:colOff>
      <xdr:row>12</xdr:row>
      <xdr:rowOff>203760</xdr:rowOff>
    </xdr:to>
    <xdr:graphicFrame>
      <xdr:nvGraphicFramePr>
        <xdr:cNvPr id="5" name="Chart 5"/>
        <xdr:cNvGraphicFramePr/>
      </xdr:nvGraphicFramePr>
      <xdr:xfrm>
        <a:off x="16141680" y="206280"/>
        <a:ext cx="5242680" cy="27406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137160</xdr:colOff>
      <xdr:row>29</xdr:row>
      <xdr:rowOff>203760</xdr:rowOff>
    </xdr:to>
    <xdr:graphicFrame>
      <xdr:nvGraphicFramePr>
        <xdr:cNvPr id="6" name="Chart 6"/>
        <xdr:cNvGraphicFramePr/>
      </xdr:nvGraphicFramePr>
      <xdr:xfrm>
        <a:off x="16141680" y="4092480"/>
        <a:ext cx="5242680" cy="27406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3.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4.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5.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6.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7.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8.vml"/>
</Relationships>
</file>

<file path=xl/worksheets/_rels/sheet4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cols>
    <col collapsed="false" customWidth="true" hidden="false" outlineLevel="0" max="2" min="2" style="1" width="6.25"/>
  </cols>
  <sheetData>
    <row r="3" customFormat="false" ht="18" hidden="false" customHeight="true" outlineLevel="0" collapsed="false">
      <c r="B3" s="1" t="n">
        <v>1</v>
      </c>
      <c r="C3" s="2" t="s">
        <v>0</v>
      </c>
    </row>
    <row r="4" customFormat="false" ht="18" hidden="false" customHeight="true" outlineLevel="0" collapsed="false">
      <c r="B4" s="1" t="n">
        <v>2</v>
      </c>
      <c r="C4" s="2" t="s">
        <v>1</v>
      </c>
    </row>
    <row r="5" customFormat="false" ht="18" hidden="false" customHeight="true" outlineLevel="0" collapsed="false">
      <c r="B5" s="1" t="n">
        <v>3</v>
      </c>
      <c r="C5" s="2" t="s">
        <v>2</v>
      </c>
    </row>
    <row r="6" customFormat="false" ht="18" hidden="false" customHeight="true" outlineLevel="0" collapsed="false">
      <c r="B6" s="1" t="n">
        <v>4</v>
      </c>
      <c r="C6" s="2" t="s">
        <v>3</v>
      </c>
    </row>
    <row r="7" customFormat="false" ht="18" hidden="false" customHeight="true" outlineLevel="0" collapsed="false">
      <c r="C7" s="3"/>
      <c r="D7" s="4"/>
      <c r="E7" s="5"/>
      <c r="F7" s="6"/>
      <c r="G7" s="7"/>
    </row>
    <row r="8" customFormat="false" ht="18" hidden="false" customHeight="tru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8"/>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5" min="3" style="20" width="16.13"/>
    <col collapsed="false" customWidth="true" hidden="true" outlineLevel="0" max="7" min="6" style="20" width="16.13"/>
    <col collapsed="false" customWidth="true" hidden="false" outlineLevel="0" max="8" min="8" style="20" width="8.75"/>
  </cols>
  <sheetData>
    <row r="1" customFormat="false" ht="18" hidden="false" customHeight="true" outlineLevel="0" collapsed="false">
      <c r="C1" s="21" t="s">
        <v>11</v>
      </c>
      <c r="D1" s="21"/>
      <c r="E1" s="21"/>
    </row>
    <row r="2" customFormat="false" ht="18" hidden="false" customHeight="tru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 hidden="false" customHeight="true" outlineLevel="0" collapsed="false">
      <c r="B4" s="25" t="s">
        <v>6</v>
      </c>
      <c r="C4" s="26" t="s">
        <v>17</v>
      </c>
      <c r="D4" s="26" t="s">
        <v>18</v>
      </c>
      <c r="E4" s="26" t="s">
        <v>19</v>
      </c>
      <c r="F4" s="25" t="s">
        <v>20</v>
      </c>
      <c r="G4" s="27" t="s">
        <v>21</v>
      </c>
    </row>
    <row r="5" customFormat="false" ht="22.5" hidden="false" customHeight="true" outlineLevel="0" collapsed="false">
      <c r="B5" s="13" t="s">
        <v>9</v>
      </c>
      <c r="C5" s="28" t="n">
        <f aca="false">SUM(C6:C19)</f>
        <v>353922232</v>
      </c>
      <c r="D5" s="28" t="n">
        <f aca="false">SUM(D6:D19)</f>
        <v>309100318</v>
      </c>
      <c r="E5" s="28" t="n">
        <f aca="false">SUM(E6:E19)</f>
        <v>226144406</v>
      </c>
      <c r="F5" s="28" t="n">
        <f aca="false">SUM(F6:F19)</f>
        <v>0</v>
      </c>
      <c r="G5" s="28" t="n">
        <f aca="false">SUM(G6:G19)</f>
        <v>0</v>
      </c>
    </row>
    <row r="6" customFormat="false" ht="22.5" hidden="false" customHeight="true" outlineLevel="0" collapsed="false">
      <c r="B6" s="16" t="s">
        <v>10</v>
      </c>
      <c r="C6" s="29" t="n">
        <v>260204106</v>
      </c>
      <c r="D6" s="29" t="n">
        <v>241196237</v>
      </c>
      <c r="E6" s="29" t="n">
        <v>193226490</v>
      </c>
      <c r="F6" s="29"/>
      <c r="G6" s="29"/>
    </row>
    <row r="7" customFormat="false" ht="22.5" hidden="false" customHeight="true" outlineLevel="0" collapsed="false">
      <c r="B7" s="16" t="s">
        <v>22</v>
      </c>
      <c r="C7" s="29" t="n">
        <v>80309192</v>
      </c>
      <c r="D7" s="29" t="n">
        <v>24606051</v>
      </c>
      <c r="E7" s="29" t="n">
        <v>20153150</v>
      </c>
      <c r="F7" s="29"/>
      <c r="G7" s="29"/>
    </row>
    <row r="8" customFormat="false" ht="22.5" hidden="false" customHeight="true" outlineLevel="0" collapsed="false">
      <c r="B8" s="16" t="s">
        <v>23</v>
      </c>
      <c r="C8" s="29" t="n">
        <v>-803000</v>
      </c>
      <c r="D8" s="29" t="n">
        <v>-246000</v>
      </c>
      <c r="E8" s="29" t="n">
        <v>-201000</v>
      </c>
      <c r="F8" s="29"/>
      <c r="G8" s="29"/>
    </row>
    <row r="9" customFormat="false" ht="22.5" hidden="false" customHeight="true" outlineLevel="0" collapsed="false">
      <c r="B9" s="16" t="s">
        <v>24</v>
      </c>
      <c r="C9" s="29" t="n">
        <v>1377066</v>
      </c>
      <c r="D9" s="29" t="n">
        <v>23573572</v>
      </c>
      <c r="E9" s="29" t="n">
        <v>204834</v>
      </c>
      <c r="F9" s="29"/>
      <c r="G9" s="29"/>
    </row>
    <row r="10" customFormat="false" ht="22.5" hidden="false" customHeight="true" outlineLevel="0" collapsed="false">
      <c r="B10" s="16" t="s">
        <v>25</v>
      </c>
      <c r="C10" s="29" t="n">
        <v>48976</v>
      </c>
      <c r="D10" s="29" t="n">
        <v>9771051</v>
      </c>
      <c r="E10" s="29" t="n">
        <v>24020</v>
      </c>
      <c r="F10" s="29"/>
      <c r="G10" s="29"/>
    </row>
    <row r="11" customFormat="false" ht="22.5" hidden="false" customHeight="true" outlineLevel="0" collapsed="false">
      <c r="B11" s="16" t="s">
        <v>26</v>
      </c>
      <c r="C11" s="29" t="n">
        <v>5809100</v>
      </c>
      <c r="D11" s="29" t="n">
        <v>4571906</v>
      </c>
      <c r="E11" s="29" t="n">
        <v>12055237</v>
      </c>
      <c r="F11" s="29"/>
      <c r="G11" s="29"/>
    </row>
    <row r="12" customFormat="false" ht="22.5" hidden="false" customHeight="true" outlineLevel="0" collapsed="false">
      <c r="B12" s="16" t="s">
        <v>27</v>
      </c>
      <c r="C12" s="29"/>
      <c r="D12" s="29" t="n">
        <v>79184</v>
      </c>
      <c r="E12" s="29"/>
      <c r="F12" s="29"/>
      <c r="G12" s="29"/>
    </row>
    <row r="13" customFormat="false" ht="22.5" hidden="false" customHeight="true" outlineLevel="0" collapsed="false">
      <c r="B13" s="16" t="s">
        <v>28</v>
      </c>
      <c r="C13" s="29" t="n">
        <v>621392</v>
      </c>
      <c r="D13" s="29" t="n">
        <v>805869</v>
      </c>
      <c r="E13" s="29" t="n">
        <v>640475</v>
      </c>
      <c r="F13" s="29"/>
      <c r="G13" s="29"/>
    </row>
    <row r="14" customFormat="false" ht="22.5" hidden="false" customHeight="true" outlineLevel="0" collapsed="false">
      <c r="B14" s="16" t="s">
        <v>29</v>
      </c>
      <c r="C14" s="29" t="n">
        <v>3228000</v>
      </c>
      <c r="D14" s="29" t="n">
        <v>4742448</v>
      </c>
      <c r="E14" s="29" t="n">
        <v>41200</v>
      </c>
      <c r="F14" s="29"/>
      <c r="G14" s="29"/>
    </row>
    <row r="15" customFormat="false" ht="22.5" hidden="false" customHeight="true" outlineLevel="0" collapsed="false">
      <c r="B15" s="16" t="s">
        <v>30</v>
      </c>
      <c r="C15" s="29" t="n">
        <v>3127400</v>
      </c>
      <c r="D15" s="29"/>
      <c r="E15" s="29"/>
      <c r="F15" s="29"/>
      <c r="G15" s="29"/>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31</v>
      </c>
      <c r="C20" s="28" t="n">
        <f aca="false">C21+C35+C46</f>
        <v>140739380</v>
      </c>
      <c r="D20" s="28" t="n">
        <f aca="false">D21+D35+D46</f>
        <v>228972793</v>
      </c>
      <c r="E20" s="28" t="n">
        <f aca="false">E21+E35+E46</f>
        <v>323863136</v>
      </c>
      <c r="F20" s="28" t="n">
        <f aca="false">F21+F35+F46</f>
        <v>0</v>
      </c>
      <c r="G20" s="28" t="n">
        <f aca="false">G21+G35+G46</f>
        <v>0</v>
      </c>
    </row>
    <row r="21" customFormat="false" ht="22.5" hidden="false" customHeight="true" outlineLevel="0" collapsed="false">
      <c r="B21" s="32" t="s">
        <v>32</v>
      </c>
      <c r="C21" s="33" t="n">
        <f aca="false">SUM(C22:C34)</f>
        <v>1931618</v>
      </c>
      <c r="D21" s="33" t="n">
        <f aca="false">SUM(D22:D34)</f>
        <v>1479093</v>
      </c>
      <c r="E21" s="33" t="n">
        <f aca="false">SUM(E22:E34)</f>
        <v>1056920</v>
      </c>
      <c r="F21" s="33" t="n">
        <f aca="false">SUM(F22:F34)</f>
        <v>0</v>
      </c>
      <c r="G21" s="33" t="n">
        <f aca="false">SUM(G22:G34)</f>
        <v>0</v>
      </c>
    </row>
    <row r="22" customFormat="false" ht="22.5" hidden="false" customHeight="true" outlineLevel="0" collapsed="false">
      <c r="B22" s="16" t="s">
        <v>33</v>
      </c>
      <c r="C22" s="29" t="n">
        <v>830303</v>
      </c>
      <c r="D22" s="29" t="n">
        <v>765648</v>
      </c>
      <c r="E22" s="29" t="n">
        <v>700993</v>
      </c>
      <c r="F22" s="29"/>
      <c r="G22" s="29"/>
    </row>
    <row r="23" customFormat="false" ht="22.5" hidden="false" customHeight="true" outlineLevel="0" collapsed="false">
      <c r="B23" s="16" t="s">
        <v>34</v>
      </c>
      <c r="C23" s="29" t="n">
        <v>797788</v>
      </c>
      <c r="D23" s="29" t="n">
        <v>531328</v>
      </c>
      <c r="E23" s="29" t="n">
        <v>264868</v>
      </c>
      <c r="F23" s="29"/>
      <c r="G23" s="29"/>
    </row>
    <row r="24" customFormat="false" ht="22.5" hidden="false" customHeight="true" outlineLevel="0" collapsed="false">
      <c r="B24" s="16" t="s">
        <v>35</v>
      </c>
      <c r="C24" s="29" t="n">
        <v>303527</v>
      </c>
      <c r="D24" s="29" t="n">
        <v>182117</v>
      </c>
      <c r="E24" s="29" t="n">
        <v>91059</v>
      </c>
      <c r="F24" s="29"/>
      <c r="G24" s="29"/>
    </row>
    <row r="25" customFormat="false" ht="22.5" hidden="false" customHeight="true" outlineLevel="0" collapsed="false">
      <c r="B25" s="16"/>
      <c r="C25" s="29"/>
      <c r="D25" s="29"/>
      <c r="E25" s="29"/>
      <c r="F25" s="29"/>
      <c r="G25" s="29"/>
    </row>
    <row r="26" customFormat="false" ht="22.5" hidden="false" customHeight="true" outlineLevel="0" collapsed="false">
      <c r="B26" s="16"/>
      <c r="C26" s="29"/>
      <c r="D26" s="29"/>
      <c r="E26" s="29"/>
      <c r="F26" s="29"/>
      <c r="G26" s="29"/>
    </row>
    <row r="27" customFormat="false" ht="22.5" hidden="false" customHeight="true" outlineLevel="0" collapsed="false">
      <c r="B27" s="16"/>
      <c r="C27" s="29"/>
      <c r="D27" s="29"/>
      <c r="E27" s="29"/>
      <c r="F27" s="29"/>
      <c r="G27" s="29"/>
    </row>
    <row r="28" customFormat="false" ht="22.5" hidden="false" customHeight="true" outlineLevel="0" collapsed="false">
      <c r="B28" s="16"/>
      <c r="C28" s="29"/>
      <c r="D28" s="29"/>
      <c r="E28" s="29"/>
      <c r="F28" s="29"/>
      <c r="G28" s="29"/>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false" customHeight="true" outlineLevel="0" collapsed="false">
      <c r="B32" s="16"/>
      <c r="C32" s="29"/>
      <c r="D32" s="29"/>
      <c r="E32" s="29"/>
      <c r="F32" s="29"/>
      <c r="G32" s="29"/>
    </row>
    <row r="33" customFormat="false" ht="22.5" hidden="false" customHeight="true" outlineLevel="0" collapsed="false">
      <c r="B33" s="16"/>
      <c r="C33" s="29"/>
      <c r="D33" s="29"/>
      <c r="E33" s="29"/>
      <c r="F33" s="29"/>
      <c r="G33" s="29"/>
    </row>
    <row r="34" customFormat="false" ht="22.5" hidden="false" customHeight="true" outlineLevel="0" collapsed="false">
      <c r="B34" s="30"/>
      <c r="C34" s="31"/>
      <c r="D34" s="31"/>
      <c r="E34" s="31"/>
      <c r="F34" s="31"/>
      <c r="G34" s="31"/>
    </row>
    <row r="35" customFormat="false" ht="22.5" hidden="false" customHeight="true" outlineLevel="0" collapsed="false">
      <c r="B35" s="32" t="s">
        <v>36</v>
      </c>
      <c r="C35" s="34" t="n">
        <f aca="false">SUM(C36:C45)</f>
        <v>0</v>
      </c>
      <c r="D35" s="34" t="n">
        <f aca="false">SUM(D36:D45)</f>
        <v>2688001</v>
      </c>
      <c r="E35" s="34" t="n">
        <f aca="false">SUM(E36:E45)</f>
        <v>2112001</v>
      </c>
      <c r="F35" s="34" t="n">
        <f aca="false">SUM(F36:F45)</f>
        <v>0</v>
      </c>
      <c r="G35" s="34" t="n">
        <f aca="false">SUM(G36:G45)</f>
        <v>0</v>
      </c>
    </row>
    <row r="36" customFormat="false" ht="21.75" hidden="false" customHeight="true" outlineLevel="0" collapsed="false">
      <c r="B36" s="16" t="s">
        <v>37</v>
      </c>
      <c r="C36" s="35"/>
      <c r="D36" s="35" t="n">
        <v>2688001</v>
      </c>
      <c r="E36" s="35" t="n">
        <v>2112001</v>
      </c>
      <c r="F36" s="36"/>
      <c r="G36" s="36"/>
    </row>
    <row r="37" customFormat="false" ht="21.75" hidden="false" customHeight="true" outlineLevel="0" collapsed="false">
      <c r="B37" s="16"/>
      <c r="C37" s="35"/>
      <c r="D37" s="35"/>
      <c r="E37" s="35"/>
      <c r="F37" s="36"/>
      <c r="G37" s="36"/>
    </row>
    <row r="38" customFormat="false" ht="21.75" hidden="false" customHeight="true" outlineLevel="0" collapsed="false">
      <c r="B38" s="16"/>
      <c r="C38" s="35"/>
      <c r="D38" s="35"/>
      <c r="E38" s="35"/>
      <c r="F38" s="36"/>
      <c r="G38" s="36"/>
    </row>
    <row r="39" customFormat="false" ht="21.75" hidden="false" customHeight="true" outlineLevel="0" collapsed="false">
      <c r="B39" s="16"/>
      <c r="C39" s="35"/>
      <c r="D39" s="35"/>
      <c r="E39" s="35"/>
      <c r="F39" s="36"/>
      <c r="G39" s="36"/>
    </row>
    <row r="40" customFormat="false" ht="21.75" hidden="false" customHeight="true" outlineLevel="0" collapsed="false">
      <c r="B40" s="16"/>
      <c r="C40" s="35"/>
      <c r="D40" s="35"/>
      <c r="E40" s="35"/>
      <c r="F40" s="36"/>
      <c r="G40" s="36"/>
    </row>
    <row r="41" customFormat="false" ht="21.75" hidden="false" customHeight="true" outlineLevel="0" collapsed="false">
      <c r="B41" s="16"/>
      <c r="C41" s="35"/>
      <c r="D41" s="35"/>
      <c r="E41" s="35"/>
      <c r="F41" s="36"/>
      <c r="G41" s="36"/>
    </row>
    <row r="42" customFormat="false" ht="21.75" hidden="false" customHeight="true" outlineLevel="0" collapsed="false">
      <c r="B42" s="16"/>
      <c r="C42" s="35"/>
      <c r="D42" s="35"/>
      <c r="E42" s="35"/>
      <c r="F42" s="36"/>
      <c r="G42" s="36"/>
    </row>
    <row r="43" customFormat="false" ht="21.75" hidden="false" customHeight="true" outlineLevel="0" collapsed="false">
      <c r="B43" s="16"/>
      <c r="C43" s="35"/>
      <c r="D43" s="35"/>
      <c r="E43" s="35"/>
      <c r="F43" s="36"/>
      <c r="G43" s="36"/>
    </row>
    <row r="44" customFormat="false" ht="21.75" hidden="false" customHeight="true" outlineLevel="0" collapsed="false">
      <c r="B44" s="16"/>
      <c r="C44" s="35"/>
      <c r="D44" s="35"/>
      <c r="E44" s="35"/>
      <c r="F44" s="36"/>
      <c r="G44" s="36"/>
    </row>
    <row r="45" customFormat="false" ht="21.75" hidden="false" customHeight="true" outlineLevel="0" collapsed="false">
      <c r="B45" s="30"/>
      <c r="C45" s="37"/>
      <c r="D45" s="37"/>
      <c r="E45" s="37"/>
      <c r="F45" s="34"/>
      <c r="G45" s="34"/>
    </row>
    <row r="46" customFormat="false" ht="21.75" hidden="false" customHeight="true" outlineLevel="0" collapsed="false">
      <c r="B46" s="38" t="s">
        <v>38</v>
      </c>
      <c r="C46" s="34" t="n">
        <f aca="false">SUM(C47:C55)</f>
        <v>138807762</v>
      </c>
      <c r="D46" s="34" t="n">
        <f aca="false">SUM(D47:D55)</f>
        <v>224805699</v>
      </c>
      <c r="E46" s="34" t="n">
        <f aca="false">SUM(E47:E55)</f>
        <v>320694215</v>
      </c>
      <c r="F46" s="34" t="n">
        <f aca="false">SUM(F47:F55)</f>
        <v>0</v>
      </c>
      <c r="G46" s="34" t="n">
        <f aca="false">SUM(G47:G55)</f>
        <v>0</v>
      </c>
    </row>
    <row r="47" customFormat="false" ht="22.5" hidden="false" customHeight="true" outlineLevel="0" collapsed="false">
      <c r="B47" s="16" t="s">
        <v>39</v>
      </c>
      <c r="C47" s="35" t="n">
        <v>112672352</v>
      </c>
      <c r="D47" s="35" t="n">
        <v>188090341</v>
      </c>
      <c r="E47" s="35" t="n">
        <v>275896334</v>
      </c>
      <c r="F47" s="36"/>
      <c r="G47" s="36"/>
    </row>
    <row r="48" customFormat="false" ht="22.5" hidden="false" customHeight="true" outlineLevel="0" collapsed="false">
      <c r="B48" s="16" t="s">
        <v>40</v>
      </c>
      <c r="C48" s="35" t="n">
        <v>30000</v>
      </c>
      <c r="D48" s="35" t="n">
        <v>30000</v>
      </c>
      <c r="E48" s="35" t="n">
        <v>30000</v>
      </c>
      <c r="F48" s="35"/>
      <c r="G48" s="35"/>
    </row>
    <row r="49" customFormat="false" ht="22.5" hidden="false" customHeight="true" outlineLevel="0" collapsed="false">
      <c r="B49" s="16" t="s">
        <v>41</v>
      </c>
      <c r="C49" s="35" t="n">
        <v>50000</v>
      </c>
      <c r="D49" s="35" t="n">
        <v>50000</v>
      </c>
      <c r="E49" s="35" t="n">
        <v>50000</v>
      </c>
      <c r="F49" s="35"/>
      <c r="G49" s="35"/>
    </row>
    <row r="50" customFormat="false" ht="22.5" hidden="false" customHeight="true" outlineLevel="0" collapsed="false">
      <c r="B50" s="16" t="s">
        <v>42</v>
      </c>
      <c r="C50" s="35" t="n">
        <v>1263500</v>
      </c>
      <c r="D50" s="35" t="n">
        <v>1263500</v>
      </c>
      <c r="E50" s="35" t="n">
        <v>1263500</v>
      </c>
      <c r="F50" s="35"/>
      <c r="G50" s="35"/>
    </row>
    <row r="51" customFormat="false" ht="22.5" hidden="false" customHeight="true" outlineLevel="0" collapsed="false">
      <c r="B51" s="16" t="s">
        <v>43</v>
      </c>
      <c r="C51" s="35" t="n">
        <v>25040</v>
      </c>
      <c r="D51" s="35" t="n">
        <v>25040</v>
      </c>
      <c r="E51" s="35" t="n">
        <v>25040</v>
      </c>
      <c r="F51" s="35"/>
      <c r="G51" s="35"/>
    </row>
    <row r="52" customFormat="false" ht="22.5" hidden="false" customHeight="true" outlineLevel="0" collapsed="false">
      <c r="B52" s="16" t="s">
        <v>44</v>
      </c>
      <c r="C52" s="35" t="n">
        <v>24766870</v>
      </c>
      <c r="D52" s="35" t="n">
        <v>35346818</v>
      </c>
      <c r="E52" s="35" t="n">
        <v>43326766</v>
      </c>
      <c r="F52" s="35"/>
      <c r="G52" s="35"/>
    </row>
    <row r="53" customFormat="false" ht="22.5" hidden="false" customHeight="true" outlineLevel="0" collapsed="false">
      <c r="B53" s="16" t="s">
        <v>45</v>
      </c>
      <c r="C53" s="35"/>
      <c r="D53" s="35"/>
      <c r="E53" s="35" t="n">
        <v>102575</v>
      </c>
      <c r="F53" s="35"/>
      <c r="G53" s="35"/>
    </row>
    <row r="54" customFormat="false" ht="22.5" hidden="false" customHeight="true" outlineLevel="0" collapsed="false">
      <c r="B54" s="16"/>
      <c r="C54" s="35"/>
      <c r="D54" s="35"/>
      <c r="E54" s="35"/>
      <c r="F54" s="35"/>
      <c r="G54" s="35"/>
    </row>
    <row r="55" customFormat="false" ht="22.5" hidden="false" customHeight="true" outlineLevel="0" collapsed="false">
      <c r="B55" s="16"/>
      <c r="C55" s="35"/>
      <c r="D55" s="35"/>
      <c r="E55" s="35"/>
      <c r="F55" s="35"/>
      <c r="G55" s="35"/>
    </row>
    <row r="56" customFormat="false" ht="22.5" hidden="false" customHeight="true" outlineLevel="0" collapsed="false">
      <c r="B56" s="39" t="s">
        <v>46</v>
      </c>
      <c r="C56" s="40" t="n">
        <f aca="false">SUM(C57:C60)</f>
        <v>0</v>
      </c>
      <c r="D56" s="40" t="n">
        <f aca="false">SUM(D57:D60)</f>
        <v>0</v>
      </c>
      <c r="E56" s="40" t="n">
        <f aca="false">SUM(E57:E60)</f>
        <v>0</v>
      </c>
      <c r="F56" s="40" t="n">
        <f aca="false">SUM(F57:F60)</f>
        <v>0</v>
      </c>
      <c r="G56" s="40" t="n">
        <f aca="false">SUM(G57:G60)</f>
        <v>0</v>
      </c>
    </row>
    <row r="57" customFormat="false" ht="22.5" hidden="false" customHeight="true" outlineLevel="0" collapsed="false">
      <c r="B57" s="16"/>
      <c r="C57" s="35"/>
      <c r="D57" s="35"/>
      <c r="E57" s="35"/>
      <c r="F57" s="35"/>
      <c r="G57" s="35"/>
    </row>
    <row r="58" customFormat="false" ht="22.5" hidden="false" customHeight="true" outlineLevel="0" collapsed="false">
      <c r="B58" s="16"/>
      <c r="C58" s="35"/>
      <c r="D58" s="35"/>
      <c r="E58" s="35"/>
      <c r="F58" s="35"/>
      <c r="G58" s="35"/>
    </row>
    <row r="59" customFormat="false" ht="22.5" hidden="false" customHeight="true" outlineLevel="0" collapsed="false">
      <c r="B59" s="16"/>
      <c r="C59" s="35"/>
      <c r="D59" s="35"/>
      <c r="E59" s="35"/>
      <c r="F59" s="35"/>
      <c r="G59" s="35"/>
    </row>
    <row r="60" customFormat="false" ht="22.5" hidden="false" customHeight="true" outlineLevel="0" collapsed="false">
      <c r="B60" s="30"/>
      <c r="C60" s="37"/>
      <c r="D60" s="37"/>
      <c r="E60" s="37"/>
      <c r="F60" s="37"/>
      <c r="G60" s="37"/>
    </row>
    <row r="61" customFormat="false" ht="22.5" hidden="false" customHeight="true" outlineLevel="0" collapsed="false">
      <c r="B61" s="41" t="s">
        <v>47</v>
      </c>
      <c r="C61" s="42" t="n">
        <f aca="false">C5+C20+C56</f>
        <v>494661612</v>
      </c>
      <c r="D61" s="42" t="n">
        <f aca="false">D5+D20+D56</f>
        <v>538073111</v>
      </c>
      <c r="E61" s="42" t="n">
        <f aca="false">E5+E20+E56</f>
        <v>550007542</v>
      </c>
      <c r="F61" s="42" t="n">
        <f aca="false">F5+F20+F56</f>
        <v>0</v>
      </c>
      <c r="G61" s="42" t="n">
        <f aca="false">G5+G20+G56</f>
        <v>0</v>
      </c>
    </row>
    <row r="62" customFormat="false" ht="18" hidden="false" customHeight="true" outlineLevel="0" collapsed="false">
      <c r="C62" s="43"/>
      <c r="D62" s="43"/>
      <c r="E62" s="43"/>
      <c r="F62" s="43"/>
      <c r="G62" s="43"/>
    </row>
    <row r="63" customFormat="false" ht="18" hidden="false" customHeight="true" outlineLevel="0" collapsed="false">
      <c r="B63" s="44" t="s">
        <v>48</v>
      </c>
      <c r="C63" s="45" t="n">
        <f aca="false">EXACT(C61,'BS (貸方)'!C51)</f>
        <v>1</v>
      </c>
      <c r="D63" s="45" t="n">
        <f aca="false">EXACT(D61,'BS (貸方)'!D51)</f>
        <v>1</v>
      </c>
      <c r="E63" s="45" t="n">
        <f aca="false">EXACT(E61,'BS (貸方)'!E51)</f>
        <v>1</v>
      </c>
      <c r="F63" s="45" t="n">
        <f aca="false">EXACT(F61,'BS (貸方)'!F51)</f>
        <v>1</v>
      </c>
      <c r="G63" s="45" t="n">
        <f aca="false">EXACT(G61,'BS (貸方)'!G51)</f>
        <v>1</v>
      </c>
    </row>
    <row r="64" customFormat="false" ht="18" hidden="false" customHeight="true" outlineLevel="0" collapsed="false">
      <c r="C64" s="43"/>
      <c r="D64" s="43"/>
      <c r="E64" s="43"/>
      <c r="F64" s="43"/>
      <c r="G64" s="43"/>
    </row>
    <row r="65" customFormat="false" ht="18" hidden="false" customHeight="true" outlineLevel="0" collapsed="false">
      <c r="C65" s="43"/>
      <c r="D65" s="43"/>
      <c r="E65" s="43"/>
      <c r="F65" s="43"/>
      <c r="G65" s="43"/>
    </row>
    <row r="66" customFormat="false" ht="18" hidden="false" customHeight="true" outlineLevel="0" collapsed="false">
      <c r="C66" s="43"/>
      <c r="D66" s="43"/>
      <c r="E66" s="43"/>
      <c r="F66" s="43"/>
      <c r="G66" s="43"/>
    </row>
    <row r="67" customFormat="false" ht="18" hidden="false" customHeight="true" outlineLevel="0" collapsed="false">
      <c r="C67" s="43"/>
      <c r="D67" s="43"/>
      <c r="E67" s="43"/>
      <c r="F67" s="43"/>
      <c r="G67" s="43"/>
    </row>
    <row r="68" customFormat="false" ht="18" hidden="false" customHeight="true" outlineLevel="0" collapsed="false">
      <c r="C68" s="43"/>
      <c r="D68" s="43"/>
      <c r="E68" s="43"/>
      <c r="F68" s="43"/>
      <c r="G68" s="43"/>
    </row>
    <row r="69" customFormat="false" ht="18" hidden="false" customHeight="true" outlineLevel="0" collapsed="false">
      <c r="C69" s="43"/>
      <c r="D69" s="43"/>
      <c r="E69" s="43"/>
      <c r="F69" s="43"/>
      <c r="G69" s="43"/>
    </row>
    <row r="70" customFormat="false" ht="18" hidden="false" customHeight="true" outlineLevel="0" collapsed="false">
      <c r="C70" s="43"/>
      <c r="D70" s="43"/>
      <c r="E70" s="43"/>
      <c r="F70" s="43"/>
      <c r="G70" s="43"/>
    </row>
    <row r="71" customFormat="false" ht="18" hidden="false" customHeight="true" outlineLevel="0" collapsed="false">
      <c r="C71" s="43"/>
      <c r="D71" s="43"/>
      <c r="E71" s="43"/>
      <c r="F71" s="43"/>
      <c r="G71" s="43"/>
    </row>
    <row r="72" customFormat="false" ht="18" hidden="false" customHeight="true" outlineLevel="0" collapsed="false">
      <c r="C72" s="43"/>
      <c r="D72" s="43"/>
      <c r="E72" s="43"/>
      <c r="F72" s="43"/>
      <c r="G72" s="43"/>
    </row>
    <row r="73" customFormat="false" ht="18" hidden="false" customHeight="true" outlineLevel="0" collapsed="false">
      <c r="C73" s="43"/>
      <c r="D73" s="43"/>
      <c r="E73" s="43"/>
      <c r="F73" s="43"/>
      <c r="G73" s="43"/>
    </row>
    <row r="74" customFormat="false" ht="18" hidden="false" customHeight="true" outlineLevel="0" collapsed="false">
      <c r="C74" s="43"/>
      <c r="D74" s="43"/>
      <c r="E74" s="43"/>
      <c r="F74" s="43"/>
      <c r="G74" s="43"/>
    </row>
    <row r="75" customFormat="false" ht="18" hidden="false" customHeight="true" outlineLevel="0" collapsed="false">
      <c r="C75" s="43"/>
      <c r="D75" s="43"/>
      <c r="E75" s="43"/>
      <c r="F75" s="43"/>
      <c r="G75" s="43"/>
    </row>
    <row r="76" customFormat="false" ht="18" hidden="false" customHeight="true" outlineLevel="0" collapsed="false">
      <c r="C76" s="43"/>
      <c r="D76" s="43"/>
      <c r="E76" s="43"/>
      <c r="F76" s="43"/>
      <c r="G76" s="43"/>
    </row>
    <row r="77" customFormat="false" ht="18" hidden="false" customHeight="true" outlineLevel="0" collapsed="false">
      <c r="C77" s="43"/>
      <c r="D77" s="43"/>
      <c r="E77" s="43"/>
      <c r="F77" s="43"/>
      <c r="G77" s="43"/>
    </row>
    <row r="78" customFormat="false" ht="18" hidden="false" customHeight="true" outlineLevel="0" collapsed="false">
      <c r="C78" s="43"/>
      <c r="D78" s="43"/>
      <c r="E78" s="43"/>
      <c r="F78" s="43"/>
      <c r="G78" s="43"/>
    </row>
  </sheetData>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37" activePane="bottomLeft" state="frozen"/>
      <selection pane="topLeft" activeCell="A1" activeCellId="0" sqref="A1"/>
      <selection pane="bottomLeft" activeCell="A51" activeCellId="0" sqref="A51"/>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3" min="3" style="46" width="16.13"/>
    <col collapsed="false" customWidth="true" hidden="false" outlineLevel="0" max="5" min="4" style="20" width="16.13"/>
    <col collapsed="false" customWidth="true" hidden="true" outlineLevel="0" max="7" min="6" style="20" width="16.13"/>
    <col collapsed="false" customWidth="true" hidden="false" outlineLevel="0" max="8" min="8" style="20" width="8.75"/>
  </cols>
  <sheetData>
    <row r="2" customFormat="false" ht="18.75" hidden="false" customHeight="true" outlineLevel="0" collapsed="false">
      <c r="E2" s="47" t="s">
        <v>49</v>
      </c>
    </row>
    <row r="3" customFormat="false" ht="27.75" hidden="false" customHeight="true" outlineLevel="0" collapsed="false">
      <c r="B3" s="48" t="s">
        <v>50</v>
      </c>
      <c r="C3" s="48"/>
      <c r="D3" s="48"/>
      <c r="E3" s="48"/>
      <c r="F3" s="48"/>
      <c r="G3" s="48"/>
    </row>
    <row r="4" customFormat="false" ht="39.75" hidden="false" customHeight="true" outlineLevel="0" collapsed="false">
      <c r="B4" s="25" t="s">
        <v>6</v>
      </c>
      <c r="C4" s="25" t="str">
        <f aca="false">'BS(借方)'!C4</f>
        <v>24年1月期</v>
      </c>
      <c r="D4" s="25" t="str">
        <f aca="false">'BS(借方)'!D4</f>
        <v>25年1月期</v>
      </c>
      <c r="E4" s="25" t="str">
        <f aca="false">'BS(借方)'!E4</f>
        <v>26年1月期</v>
      </c>
      <c r="F4" s="25" t="str">
        <f aca="false">'BS(借方)'!F4</f>
        <v>●●年●月期</v>
      </c>
      <c r="G4" s="49" t="str">
        <f aca="false">'BS(借方)'!G4</f>
        <v>●●年●月
（●か月TB）</v>
      </c>
    </row>
    <row r="5" customFormat="false" ht="22.5" hidden="false" customHeight="true" outlineLevel="0" collapsed="false">
      <c r="B5" s="50" t="s">
        <v>51</v>
      </c>
      <c r="C5" s="14" t="n">
        <f aca="false">SUM(C6:C17)</f>
        <v>47623635</v>
      </c>
      <c r="D5" s="14" t="n">
        <f aca="false">SUM(D6:D17)</f>
        <v>106163378</v>
      </c>
      <c r="E5" s="14" t="n">
        <f aca="false">SUM(E6:E17)</f>
        <v>70491633</v>
      </c>
      <c r="F5" s="14" t="n">
        <f aca="false">SUM(F6:F17)</f>
        <v>0</v>
      </c>
      <c r="G5" s="14" t="n">
        <f aca="false">SUM(G6:G17)</f>
        <v>0</v>
      </c>
    </row>
    <row r="6" customFormat="false" ht="22.5" hidden="false" customHeight="true" outlineLevel="0" collapsed="false">
      <c r="B6" s="51" t="s">
        <v>52</v>
      </c>
      <c r="C6" s="52" t="n">
        <v>42759404</v>
      </c>
      <c r="D6" s="17" t="n">
        <v>51250714</v>
      </c>
      <c r="E6" s="17" t="n">
        <v>9644516</v>
      </c>
      <c r="F6" s="17"/>
      <c r="G6" s="17"/>
    </row>
    <row r="7" customFormat="false" ht="22.5" hidden="false" customHeight="true" outlineLevel="0" collapsed="false">
      <c r="B7" s="51" t="s">
        <v>53</v>
      </c>
      <c r="C7" s="52" t="n">
        <v>3911586</v>
      </c>
      <c r="D7" s="17" t="n">
        <v>5447277</v>
      </c>
      <c r="E7" s="17" t="n">
        <v>3947278</v>
      </c>
      <c r="F7" s="17"/>
      <c r="G7" s="17"/>
    </row>
    <row r="8" customFormat="false" ht="22.5" hidden="false" customHeight="true" outlineLevel="0" collapsed="false">
      <c r="B8" s="51" t="s">
        <v>54</v>
      </c>
      <c r="C8" s="52" t="n">
        <v>35000</v>
      </c>
      <c r="D8" s="17" t="n">
        <v>19454800</v>
      </c>
      <c r="E8" s="17" t="n">
        <v>2929500</v>
      </c>
      <c r="F8" s="17"/>
      <c r="G8" s="17"/>
    </row>
    <row r="9" customFormat="false" ht="22.5" hidden="false" customHeight="true" outlineLevel="0" collapsed="false">
      <c r="B9" s="51" t="s">
        <v>55</v>
      </c>
      <c r="C9" s="52"/>
      <c r="D9" s="17"/>
      <c r="E9" s="17" t="n">
        <v>12017600</v>
      </c>
      <c r="F9" s="17"/>
      <c r="G9" s="17"/>
    </row>
    <row r="10" customFormat="false" ht="22.5" hidden="false" customHeight="true" outlineLevel="0" collapsed="false">
      <c r="B10" s="51" t="s">
        <v>56</v>
      </c>
      <c r="C10" s="52" t="n">
        <v>917645</v>
      </c>
      <c r="D10" s="17" t="n">
        <v>154227</v>
      </c>
      <c r="E10" s="17" t="n">
        <v>124739</v>
      </c>
      <c r="F10" s="17"/>
      <c r="G10" s="17"/>
    </row>
    <row r="11" customFormat="false" ht="22.5" hidden="false" customHeight="true" outlineLevel="0" collapsed="false">
      <c r="B11" s="51" t="s">
        <v>57</v>
      </c>
      <c r="C11" s="52"/>
      <c r="D11" s="17" t="n">
        <v>228360</v>
      </c>
      <c r="E11" s="17"/>
      <c r="F11" s="17"/>
      <c r="G11" s="17"/>
    </row>
    <row r="12" customFormat="false" ht="22.5" hidden="false" customHeight="true" outlineLevel="0" collapsed="false">
      <c r="B12" s="51" t="s">
        <v>58</v>
      </c>
      <c r="C12" s="52"/>
      <c r="D12" s="17" t="n">
        <v>29628000</v>
      </c>
      <c r="E12" s="17" t="n">
        <v>41828000</v>
      </c>
      <c r="F12" s="17"/>
      <c r="G12" s="17"/>
    </row>
    <row r="13" customFormat="false" ht="22.5" hidden="false" customHeight="true" outlineLevel="0" collapsed="false">
      <c r="B13" s="51"/>
      <c r="C13" s="52"/>
      <c r="D13" s="17"/>
      <c r="E13" s="17"/>
      <c r="F13" s="17"/>
      <c r="G13" s="17"/>
    </row>
    <row r="14" customFormat="false" ht="22.5" hidden="false" customHeight="true" outlineLevel="0" collapsed="false">
      <c r="B14" s="51"/>
      <c r="C14" s="52"/>
      <c r="D14" s="17"/>
      <c r="E14" s="17"/>
      <c r="F14" s="17"/>
      <c r="G14" s="17"/>
    </row>
    <row r="15" customFormat="false" ht="22.5" hidden="false" customHeight="true" outlineLevel="0" collapsed="false">
      <c r="B15" s="51"/>
      <c r="C15" s="52"/>
      <c r="D15" s="17"/>
      <c r="E15" s="17"/>
      <c r="F15" s="17"/>
      <c r="G15" s="17"/>
    </row>
    <row r="16" customFormat="false" ht="22.5" hidden="false" customHeight="true" outlineLevel="0" collapsed="false">
      <c r="B16" s="51"/>
      <c r="C16" s="52"/>
      <c r="D16" s="17"/>
      <c r="E16" s="17"/>
      <c r="F16" s="17"/>
      <c r="G16" s="17"/>
    </row>
    <row r="17" customFormat="false" ht="22.5" hidden="false" customHeight="true" outlineLevel="0" collapsed="false">
      <c r="B17" s="53"/>
      <c r="C17" s="54"/>
      <c r="D17" s="55"/>
      <c r="E17" s="55"/>
      <c r="F17" s="55"/>
      <c r="G17" s="55"/>
    </row>
    <row r="18" customFormat="false" ht="22.5" hidden="false" customHeight="true" outlineLevel="0" collapsed="false">
      <c r="B18" s="50" t="s">
        <v>59</v>
      </c>
      <c r="C18" s="14" t="n">
        <f aca="false">SUM(C19:C24)</f>
        <v>191690000</v>
      </c>
      <c r="D18" s="14" t="n">
        <f aca="false">SUM(D19:D24)</f>
        <v>136004000</v>
      </c>
      <c r="E18" s="14" t="n">
        <f aca="false">SUM(E19:E24)</f>
        <v>145980000</v>
      </c>
      <c r="F18" s="14" t="n">
        <f aca="false">SUM(F19:F24)</f>
        <v>0</v>
      </c>
      <c r="G18" s="14" t="n">
        <f aca="false">SUM(G19:G24)</f>
        <v>0</v>
      </c>
    </row>
    <row r="19" customFormat="false" ht="22.5" hidden="false" customHeight="true" outlineLevel="0" collapsed="false">
      <c r="B19" s="51" t="s">
        <v>60</v>
      </c>
      <c r="C19" s="52" t="n">
        <v>191690000</v>
      </c>
      <c r="D19" s="17" t="n">
        <v>136004000</v>
      </c>
      <c r="E19" s="17" t="n">
        <v>145980000</v>
      </c>
      <c r="F19" s="17"/>
      <c r="G19" s="17"/>
    </row>
    <row r="20" customFormat="false" ht="22.5" hidden="false" customHeight="true" outlineLevel="0" collapsed="false">
      <c r="B20" s="51"/>
      <c r="C20" s="52"/>
      <c r="D20" s="17"/>
      <c r="E20" s="17"/>
      <c r="F20" s="17"/>
      <c r="G20" s="17"/>
    </row>
    <row r="21" customFormat="false" ht="22.5" hidden="false" customHeight="true" outlineLevel="0" collapsed="false">
      <c r="B21" s="51"/>
      <c r="C21" s="52"/>
      <c r="D21" s="17"/>
      <c r="E21" s="17"/>
      <c r="F21" s="17"/>
      <c r="G21" s="17"/>
    </row>
    <row r="22" customFormat="false" ht="22.5" hidden="false" customHeight="true" outlineLevel="0" collapsed="false">
      <c r="B22" s="51"/>
      <c r="C22" s="52"/>
      <c r="D22" s="17"/>
      <c r="E22" s="17"/>
      <c r="F22" s="17"/>
      <c r="G22" s="17"/>
    </row>
    <row r="23" customFormat="false" ht="22.5" hidden="false" customHeight="true" outlineLevel="0" collapsed="false">
      <c r="B23" s="51"/>
      <c r="C23" s="52"/>
      <c r="D23" s="17"/>
      <c r="E23" s="17"/>
      <c r="F23" s="17"/>
      <c r="G23" s="17"/>
    </row>
    <row r="24" customFormat="false" ht="22.5" hidden="false" customHeight="true" outlineLevel="0" collapsed="false">
      <c r="B24" s="53"/>
      <c r="C24" s="54"/>
      <c r="D24" s="55"/>
      <c r="E24" s="55"/>
      <c r="F24" s="55"/>
      <c r="G24" s="55"/>
    </row>
    <row r="25" customFormat="false" ht="22.5" hidden="false" customHeight="true" outlineLevel="0" collapsed="false">
      <c r="B25" s="56" t="s">
        <v>61</v>
      </c>
      <c r="C25" s="57" t="n">
        <f aca="false">C5+C18</f>
        <v>239313635</v>
      </c>
      <c r="D25" s="58" t="n">
        <f aca="false">D5+D18</f>
        <v>242167378</v>
      </c>
      <c r="E25" s="58" t="n">
        <f aca="false">E5+E18</f>
        <v>216471633</v>
      </c>
      <c r="F25" s="58" t="n">
        <f aca="false">F5+F18</f>
        <v>0</v>
      </c>
      <c r="G25" s="58" t="n">
        <f aca="false">G5+G18</f>
        <v>0</v>
      </c>
    </row>
    <row r="26" customFormat="false" ht="22.5" hidden="false" customHeight="true" outlineLevel="0" collapsed="false">
      <c r="B26" s="59"/>
      <c r="C26" s="35"/>
      <c r="D26" s="60"/>
      <c r="E26" s="60"/>
      <c r="F26" s="60"/>
      <c r="G26" s="60"/>
    </row>
    <row r="27" customFormat="false" ht="22.5" hidden="false" customHeight="true" outlineLevel="0" collapsed="false">
      <c r="B27" s="59"/>
      <c r="C27" s="52"/>
      <c r="D27" s="17"/>
      <c r="E27" s="17"/>
      <c r="F27" s="17"/>
      <c r="G27" s="17"/>
    </row>
    <row r="28" customFormat="false" ht="22.5" hidden="false" customHeight="true" outlineLevel="0" collapsed="false">
      <c r="B28" s="59"/>
      <c r="C28" s="52"/>
      <c r="D28" s="17"/>
      <c r="E28" s="17"/>
      <c r="F28" s="17"/>
      <c r="G28" s="17"/>
    </row>
    <row r="29" customFormat="false" ht="22.5" hidden="false" customHeight="true" outlineLevel="0" collapsed="false">
      <c r="B29" s="59"/>
      <c r="C29" s="52"/>
      <c r="D29" s="17"/>
      <c r="E29" s="17"/>
      <c r="F29" s="17"/>
      <c r="G29" s="17"/>
    </row>
    <row r="30" customFormat="false" ht="22.5" hidden="false" customHeight="true" outlineLevel="0" collapsed="false">
      <c r="B30" s="59"/>
      <c r="C30" s="52"/>
      <c r="D30" s="17"/>
      <c r="E30" s="17"/>
      <c r="F30" s="17"/>
      <c r="G30" s="17"/>
    </row>
    <row r="31" customFormat="false" ht="21.75" hidden="false" customHeight="true" outlineLevel="0" collapsed="false">
      <c r="B31" s="59"/>
      <c r="C31" s="52"/>
      <c r="D31" s="17"/>
      <c r="E31" s="17"/>
      <c r="F31" s="17"/>
      <c r="G31" s="17"/>
    </row>
    <row r="32" customFormat="false" ht="21.75" hidden="false" customHeight="true" outlineLevel="0" collapsed="false">
      <c r="B32" s="59"/>
      <c r="C32" s="52"/>
      <c r="D32" s="17"/>
      <c r="E32" s="17"/>
      <c r="F32" s="17"/>
      <c r="G32" s="17"/>
    </row>
    <row r="33" customFormat="false" ht="21.75" hidden="false" customHeight="true" outlineLevel="0" collapsed="false">
      <c r="B33" s="59"/>
      <c r="C33" s="52"/>
      <c r="D33" s="17"/>
      <c r="E33" s="17"/>
      <c r="F33" s="17"/>
      <c r="G33" s="17"/>
    </row>
    <row r="34" customFormat="false" ht="21.75" hidden="false" customHeight="true" outlineLevel="0" collapsed="false">
      <c r="B34" s="61" t="s">
        <v>62</v>
      </c>
      <c r="C34" s="61"/>
      <c r="D34" s="61"/>
      <c r="E34" s="61"/>
      <c r="F34" s="61"/>
      <c r="G34" s="61"/>
    </row>
    <row r="35" customFormat="false" ht="21.75" hidden="false" customHeight="true" outlineLevel="0" collapsed="false">
      <c r="B35" s="62" t="s">
        <v>63</v>
      </c>
      <c r="C35" s="63" t="n">
        <f aca="false">SUM(C36:C38)</f>
        <v>10000000</v>
      </c>
      <c r="D35" s="63" t="n">
        <f aca="false">SUM(D36:D38)</f>
        <v>10000000</v>
      </c>
      <c r="E35" s="63" t="n">
        <f aca="false">SUM(E36:E38)</f>
        <v>10000000</v>
      </c>
      <c r="F35" s="63" t="n">
        <f aca="false">SUM(F36:F38)</f>
        <v>0</v>
      </c>
      <c r="G35" s="63" t="n">
        <f aca="false">SUM(G36:G38)</f>
        <v>0</v>
      </c>
    </row>
    <row r="36" customFormat="false" ht="21.75" hidden="false" customHeight="true" outlineLevel="0" collapsed="false">
      <c r="B36" s="51" t="s">
        <v>64</v>
      </c>
      <c r="C36" s="60" t="n">
        <v>10000000</v>
      </c>
      <c r="D36" s="35" t="n">
        <v>10000000</v>
      </c>
      <c r="E36" s="35" t="n">
        <v>10000000</v>
      </c>
      <c r="F36" s="35"/>
      <c r="G36" s="35"/>
    </row>
    <row r="37" customFormat="false" ht="21.75" hidden="false" customHeight="true" outlineLevel="0" collapsed="false">
      <c r="B37" s="51"/>
      <c r="C37" s="60"/>
      <c r="D37" s="35"/>
      <c r="E37" s="35"/>
      <c r="F37" s="35"/>
      <c r="G37" s="35"/>
    </row>
    <row r="38" customFormat="false" ht="21.75" hidden="false" customHeight="true" outlineLevel="0" collapsed="false">
      <c r="B38" s="53"/>
      <c r="C38" s="64"/>
      <c r="D38" s="37"/>
      <c r="E38" s="37"/>
      <c r="F38" s="37"/>
      <c r="G38" s="37"/>
    </row>
    <row r="39" customFormat="false" ht="22.5" hidden="false" customHeight="true" outlineLevel="0" collapsed="false">
      <c r="B39" s="62" t="s">
        <v>65</v>
      </c>
      <c r="C39" s="63" t="n">
        <f aca="false">SUM(C40:C42)</f>
        <v>0</v>
      </c>
      <c r="D39" s="63" t="n">
        <f aca="false">SUM(D40:D42)</f>
        <v>0</v>
      </c>
      <c r="E39" s="63" t="n">
        <f aca="false">SUM(E40:E42)</f>
        <v>0</v>
      </c>
      <c r="F39" s="63" t="n">
        <f aca="false">SUM(F40:F42)</f>
        <v>0</v>
      </c>
      <c r="G39" s="63" t="n">
        <f aca="false">SUM(G40:G42)</f>
        <v>0</v>
      </c>
    </row>
    <row r="40" customFormat="false" ht="22.5" hidden="false" customHeight="true" outlineLevel="0" collapsed="false">
      <c r="B40" s="51"/>
      <c r="C40" s="60"/>
      <c r="D40" s="35"/>
      <c r="E40" s="35"/>
      <c r="F40" s="35"/>
      <c r="G40" s="35"/>
    </row>
    <row r="41" customFormat="false" ht="22.5" hidden="false" customHeight="true" outlineLevel="0" collapsed="false">
      <c r="B41" s="51"/>
      <c r="C41" s="60"/>
      <c r="D41" s="35"/>
      <c r="E41" s="35"/>
      <c r="F41" s="35"/>
      <c r="G41" s="35"/>
    </row>
    <row r="42" customFormat="false" ht="22.5" hidden="false" customHeight="true" outlineLevel="0" collapsed="false">
      <c r="B42" s="65"/>
      <c r="C42" s="66"/>
      <c r="D42" s="67"/>
      <c r="E42" s="67"/>
      <c r="F42" s="67"/>
      <c r="G42" s="67"/>
    </row>
    <row r="43" customFormat="false" ht="22.5" hidden="false" customHeight="true" outlineLevel="0" collapsed="false">
      <c r="B43" s="68" t="s">
        <v>66</v>
      </c>
      <c r="C43" s="63" t="n">
        <f aca="false">SUM(C44:C48)</f>
        <v>245347977</v>
      </c>
      <c r="D43" s="63" t="n">
        <f aca="false">SUM(D44:D48)</f>
        <v>285905733</v>
      </c>
      <c r="E43" s="63" t="n">
        <f aca="false">SUM(E44:E48)</f>
        <v>323535909</v>
      </c>
      <c r="F43" s="63" t="n">
        <f aca="false">SUM(F44:F48)</f>
        <v>0</v>
      </c>
      <c r="G43" s="63" t="n">
        <f aca="false">SUM(G44:G48)</f>
        <v>0</v>
      </c>
    </row>
    <row r="44" customFormat="false" ht="22.5" hidden="false" customHeight="true" outlineLevel="0" collapsed="false">
      <c r="B44" s="51" t="s">
        <v>67</v>
      </c>
      <c r="C44" s="60" t="n">
        <v>245347977</v>
      </c>
      <c r="D44" s="35" t="n">
        <v>285905733</v>
      </c>
      <c r="E44" s="35" t="n">
        <v>323535909</v>
      </c>
      <c r="F44" s="35"/>
      <c r="G44" s="35"/>
    </row>
    <row r="45" customFormat="false" ht="22.5" hidden="false" customHeight="true" outlineLevel="0" collapsed="false">
      <c r="B45" s="51"/>
      <c r="C45" s="60"/>
      <c r="D45" s="35"/>
      <c r="E45" s="35"/>
      <c r="F45" s="35"/>
      <c r="G45" s="35"/>
    </row>
    <row r="46" customFormat="false" ht="22.5" hidden="false" customHeight="true" outlineLevel="0" collapsed="false">
      <c r="B46" s="51"/>
      <c r="C46" s="60"/>
      <c r="D46" s="35"/>
      <c r="E46" s="35"/>
      <c r="F46" s="35"/>
      <c r="G46" s="35"/>
    </row>
    <row r="47" customFormat="false" ht="22.5" hidden="false" customHeight="true" outlineLevel="0" collapsed="false">
      <c r="B47" s="51"/>
      <c r="C47" s="60"/>
      <c r="D47" s="35"/>
      <c r="E47" s="35"/>
      <c r="F47" s="35"/>
      <c r="G47" s="35"/>
    </row>
    <row r="48" customFormat="false" ht="22.5" hidden="false" customHeight="true" outlineLevel="0" collapsed="false">
      <c r="B48" s="53"/>
      <c r="C48" s="64"/>
      <c r="D48" s="37"/>
      <c r="E48" s="37"/>
      <c r="F48" s="37"/>
      <c r="G48" s="37"/>
    </row>
    <row r="49" customFormat="false" ht="22.5" hidden="false" customHeight="true" outlineLevel="0" collapsed="false">
      <c r="B49" s="69" t="s">
        <v>68</v>
      </c>
      <c r="C49" s="70" t="n">
        <v>0</v>
      </c>
      <c r="D49" s="71" t="n">
        <v>0</v>
      </c>
      <c r="E49" s="71" t="n">
        <v>0</v>
      </c>
      <c r="F49" s="71" t="n">
        <v>0</v>
      </c>
      <c r="G49" s="71" t="n">
        <v>0</v>
      </c>
    </row>
    <row r="50" customFormat="false" ht="22.5" hidden="false" customHeight="true" outlineLevel="0" collapsed="false">
      <c r="B50" s="72" t="s">
        <v>69</v>
      </c>
      <c r="C50" s="73" t="n">
        <f aca="false">C35+C39+C43+C49</f>
        <v>255347977</v>
      </c>
      <c r="D50" s="73" t="n">
        <f aca="false">D35+D39+D43+D49</f>
        <v>295905733</v>
      </c>
      <c r="E50" s="73" t="n">
        <f aca="false">E35+E39+E43+E49</f>
        <v>333535909</v>
      </c>
      <c r="F50" s="73" t="n">
        <f aca="false">F35+F39+F43+F49</f>
        <v>0</v>
      </c>
      <c r="G50" s="73" t="n">
        <f aca="false">G35+G39+G43+G49</f>
        <v>0</v>
      </c>
    </row>
    <row r="51" customFormat="false" ht="22.5" hidden="false" customHeight="true" outlineLevel="0" collapsed="false">
      <c r="B51" s="74" t="s">
        <v>70</v>
      </c>
      <c r="C51" s="75" t="n">
        <f aca="false">C25+C50</f>
        <v>494661612</v>
      </c>
      <c r="D51" s="75" t="n">
        <f aca="false">D25+D50</f>
        <v>538073111</v>
      </c>
      <c r="E51" s="75" t="n">
        <f aca="false">E25+E50</f>
        <v>550007542</v>
      </c>
      <c r="F51" s="75" t="n">
        <f aca="false">F25+F50</f>
        <v>0</v>
      </c>
      <c r="G51" s="75" t="n">
        <f aca="false">G25+G50</f>
        <v>0</v>
      </c>
    </row>
    <row r="52" customFormat="false" ht="18" hidden="false" customHeight="true" outlineLevel="0" collapsed="false">
      <c r="C52" s="76"/>
      <c r="D52" s="43"/>
      <c r="E52" s="43"/>
      <c r="F52" s="43"/>
      <c r="G52" s="43"/>
    </row>
    <row r="53" customFormat="false" ht="18" hidden="false" customHeight="true" outlineLevel="0" collapsed="false">
      <c r="B53" s="44" t="s">
        <v>48</v>
      </c>
      <c r="C53" s="77" t="n">
        <f aca="false">EXACT(C51,'BS(借方)'!C61)</f>
        <v>1</v>
      </c>
      <c r="D53" s="77" t="n">
        <f aca="false">EXACT(D51,'BS(借方)'!D61)</f>
        <v>1</v>
      </c>
      <c r="E53" s="77" t="n">
        <f aca="false">EXACT(E51,'BS(借方)'!E61)</f>
        <v>1</v>
      </c>
      <c r="F53" s="77" t="n">
        <f aca="false">EXACT(F51,'BS(借方)'!F61)</f>
        <v>1</v>
      </c>
      <c r="G53" s="77" t="n">
        <f aca="false">EXACT(G51,'BS(借方)'!G61)</f>
        <v>1</v>
      </c>
    </row>
    <row r="54" customFormat="false" ht="18" hidden="false" customHeight="true" outlineLevel="0" collapsed="false">
      <c r="C54" s="76"/>
      <c r="D54" s="43"/>
      <c r="E54" s="43"/>
      <c r="F54" s="43"/>
      <c r="G54" s="43"/>
    </row>
    <row r="55" customFormat="false" ht="18" hidden="false" customHeight="true" outlineLevel="0" collapsed="false">
      <c r="C55" s="76"/>
      <c r="D55" s="43"/>
      <c r="E55" s="43"/>
      <c r="F55" s="43"/>
      <c r="G55" s="43"/>
    </row>
    <row r="56" customFormat="false" ht="18" hidden="false" customHeight="true" outlineLevel="0" collapsed="false">
      <c r="C56" s="76"/>
      <c r="D56" s="43"/>
      <c r="E56" s="43"/>
      <c r="F56" s="43"/>
      <c r="G56" s="43"/>
    </row>
    <row r="57" customFormat="false" ht="18" hidden="false" customHeight="true" outlineLevel="0" collapsed="false">
      <c r="C57" s="76"/>
      <c r="D57" s="43"/>
      <c r="E57" s="43"/>
      <c r="F57" s="43"/>
      <c r="G57" s="43"/>
    </row>
    <row r="58" customFormat="false" ht="18" hidden="false" customHeight="true" outlineLevel="0" collapsed="false">
      <c r="C58" s="76"/>
      <c r="D58" s="43"/>
      <c r="E58" s="43"/>
      <c r="F58" s="43"/>
      <c r="G58" s="43"/>
    </row>
    <row r="59" customFormat="false" ht="18" hidden="false" customHeight="true" outlineLevel="0" collapsed="false">
      <c r="C59" s="76"/>
      <c r="D59" s="43"/>
      <c r="E59" s="43"/>
      <c r="F59" s="43"/>
      <c r="G59" s="43"/>
    </row>
    <row r="60" customFormat="false" ht="18" hidden="false" customHeight="true" outlineLevel="0" collapsed="false">
      <c r="C60" s="76"/>
      <c r="D60" s="43"/>
      <c r="E60" s="43"/>
      <c r="F60" s="43"/>
      <c r="G60" s="43"/>
    </row>
    <row r="61" customFormat="false" ht="18" hidden="false" customHeight="true" outlineLevel="0" collapsed="false">
      <c r="C61" s="76"/>
      <c r="D61" s="43"/>
      <c r="E61" s="43"/>
      <c r="F61" s="43"/>
      <c r="G61" s="43"/>
    </row>
    <row r="62" customFormat="false" ht="18" hidden="false" customHeight="true" outlineLevel="0" collapsed="false">
      <c r="C62" s="76"/>
      <c r="D62" s="43"/>
      <c r="E62" s="43"/>
      <c r="F62" s="43"/>
      <c r="G62" s="43"/>
    </row>
    <row r="63" customFormat="false" ht="18" hidden="false" customHeight="true" outlineLevel="0" collapsed="false">
      <c r="C63" s="76"/>
      <c r="D63" s="43"/>
      <c r="E63" s="43"/>
      <c r="F63" s="43"/>
      <c r="G63" s="43"/>
    </row>
    <row r="64" customFormat="false" ht="18" hidden="false" customHeight="true" outlineLevel="0" collapsed="false">
      <c r="C64" s="76"/>
      <c r="D64" s="43"/>
      <c r="E64" s="43"/>
      <c r="F64" s="43"/>
      <c r="G64" s="43"/>
    </row>
    <row r="65" customFormat="false" ht="18" hidden="false" customHeight="true" outlineLevel="0" collapsed="false">
      <c r="C65" s="76"/>
      <c r="D65" s="43"/>
      <c r="E65" s="43"/>
      <c r="F65" s="43"/>
      <c r="G65" s="43"/>
    </row>
    <row r="66" customFormat="false" ht="18" hidden="false" customHeight="true" outlineLevel="0" collapsed="false">
      <c r="C66" s="76"/>
      <c r="D66" s="43"/>
      <c r="E66" s="43"/>
      <c r="F66" s="43"/>
      <c r="G66" s="43"/>
    </row>
    <row r="67" customFormat="false" ht="18" hidden="false" customHeight="true" outlineLevel="0" collapsed="false">
      <c r="C67" s="76"/>
      <c r="D67" s="43"/>
      <c r="E67" s="43"/>
      <c r="F67" s="43"/>
      <c r="G67" s="43"/>
    </row>
    <row r="68" customFormat="false" ht="18" hidden="false" customHeight="true" outlineLevel="0" collapsed="false">
      <c r="C68" s="76"/>
      <c r="D68" s="43"/>
      <c r="E68" s="43"/>
      <c r="F68" s="43"/>
      <c r="G68" s="43"/>
    </row>
  </sheetData>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7"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8" min="8" style="46" width="15"/>
    <col collapsed="false" customWidth="true" hidden="true" outlineLevel="0" max="9" min="9" style="46" width="15"/>
    <col collapsed="false" customWidth="true" hidden="true" outlineLevel="0" max="12" min="10" style="20" width="15"/>
    <col collapsed="false" customWidth="true" hidden="false" outlineLevel="0" max="13" min="13" style="20" width="16.13"/>
    <col collapsed="false" customWidth="true" hidden="false" outlineLevel="0" max="14" min="14" style="20" width="8.75"/>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8" t="s">
        <v>6</v>
      </c>
      <c r="C3" s="79" t="str">
        <f aca="false">'BS(借方)'!C4</f>
        <v>24年1月期</v>
      </c>
      <c r="D3" s="79"/>
      <c r="E3" s="80" t="str">
        <f aca="false">'BS(借方)'!D4</f>
        <v>25年1月期</v>
      </c>
      <c r="F3" s="80"/>
      <c r="G3" s="81" t="str">
        <f aca="false">'BS(借方)'!E4</f>
        <v>26年1月期</v>
      </c>
      <c r="H3" s="81"/>
      <c r="I3" s="82" t="str">
        <f aca="false">'BS(借方)'!F4</f>
        <v>●●年●月期</v>
      </c>
      <c r="J3" s="82"/>
      <c r="K3" s="83" t="s">
        <v>71</v>
      </c>
      <c r="L3" s="83"/>
    </row>
    <row r="4" customFormat="false" ht="19.5" hidden="false" customHeight="true" outlineLevel="0" collapsed="false">
      <c r="B4" s="8"/>
      <c r="C4" s="84" t="s">
        <v>72</v>
      </c>
      <c r="D4" s="85" t="s">
        <v>73</v>
      </c>
      <c r="E4" s="84" t="s">
        <v>72</v>
      </c>
      <c r="F4" s="84" t="s">
        <v>73</v>
      </c>
      <c r="G4" s="84" t="s">
        <v>72</v>
      </c>
      <c r="H4" s="85" t="s">
        <v>73</v>
      </c>
      <c r="I4" s="84" t="s">
        <v>72</v>
      </c>
      <c r="J4" s="85" t="s">
        <v>73</v>
      </c>
      <c r="K4" s="86" t="s">
        <v>72</v>
      </c>
      <c r="L4" s="87" t="s">
        <v>73</v>
      </c>
    </row>
    <row r="5" customFormat="false" ht="22.5" hidden="false" customHeight="true" outlineLevel="0" collapsed="false">
      <c r="B5" s="88" t="s">
        <v>74</v>
      </c>
      <c r="C5" s="89" t="n">
        <v>301575965</v>
      </c>
      <c r="D5" s="90" t="n">
        <f aca="false">IF(C5=0,"",C5/C$11)</f>
        <v>0.952078099735541</v>
      </c>
      <c r="E5" s="89" t="n">
        <v>285379413</v>
      </c>
      <c r="F5" s="90" t="n">
        <f aca="false">IF(E5=0,"",E5/E$11)</f>
        <v>0.642937495404462</v>
      </c>
      <c r="G5" s="89" t="n">
        <v>387747182</v>
      </c>
      <c r="H5" s="90" t="n">
        <f aca="false">IF(G5=0,"",G5/G$11)</f>
        <v>0.917800188118806</v>
      </c>
      <c r="I5" s="89"/>
      <c r="J5" s="90" t="str">
        <f aca="false">IF(I5=0,"",I5/I$11)</f>
        <v/>
      </c>
      <c r="K5" s="89"/>
      <c r="L5" s="90" t="str">
        <f aca="false">IF(K5=0,"",K5/K$11)</f>
        <v/>
      </c>
    </row>
    <row r="6" customFormat="false" ht="22.5" hidden="false" customHeight="true" outlineLevel="0" collapsed="false">
      <c r="B6" s="91" t="s">
        <v>75</v>
      </c>
      <c r="C6" s="35" t="n">
        <v>15179525</v>
      </c>
      <c r="D6" s="90" t="n">
        <f aca="false">IF(C6=0,"",C6/C$11)</f>
        <v>0.0479219002644595</v>
      </c>
      <c r="E6" s="35" t="n">
        <v>158488638</v>
      </c>
      <c r="F6" s="90" t="n">
        <f aca="false">IF(E6=0,"",E6/E$11)</f>
        <v>0.357062504595538</v>
      </c>
      <c r="G6" s="35" t="n">
        <v>34727325</v>
      </c>
      <c r="H6" s="90" t="n">
        <f aca="false">IF(G6=0,"",G6/G$11)</f>
        <v>0.0821998118811936</v>
      </c>
      <c r="I6" s="35"/>
      <c r="J6" s="90" t="str">
        <f aca="false">IF(I6=0,"",I6/I$11)</f>
        <v/>
      </c>
      <c r="K6" s="35"/>
      <c r="L6" s="90" t="str">
        <f aca="false">IF(K6=0,"",K6/K$11)</f>
        <v/>
      </c>
    </row>
    <row r="7" customFormat="false" ht="22.5" hidden="false" customHeight="true" outlineLevel="0" collapsed="false">
      <c r="B7" s="91"/>
      <c r="C7" s="35"/>
      <c r="D7" s="90"/>
      <c r="E7" s="35"/>
      <c r="F7" s="90"/>
      <c r="G7" s="35"/>
      <c r="H7" s="90"/>
      <c r="I7" s="35"/>
      <c r="J7" s="90"/>
      <c r="K7" s="35"/>
      <c r="L7" s="90"/>
    </row>
    <row r="8" customFormat="false" ht="22.5" hidden="false" customHeight="true" outlineLevel="0" collapsed="false">
      <c r="B8" s="91"/>
      <c r="C8" s="35"/>
      <c r="D8" s="90"/>
      <c r="E8" s="35"/>
      <c r="F8" s="90"/>
      <c r="G8" s="35"/>
      <c r="H8" s="90"/>
      <c r="I8" s="35"/>
      <c r="J8" s="90"/>
      <c r="K8" s="35"/>
      <c r="L8" s="90"/>
    </row>
    <row r="9" customFormat="false" ht="22.5" hidden="false" customHeight="true" outlineLevel="0" collapsed="false">
      <c r="B9" s="91"/>
      <c r="C9" s="35"/>
      <c r="D9" s="90" t="str">
        <f aca="false">IF(C9=0,"",C9/C$11)</f>
        <v/>
      </c>
      <c r="E9" s="35"/>
      <c r="F9" s="90" t="str">
        <f aca="false">IF(E9=0,"",E9/E$11)</f>
        <v/>
      </c>
      <c r="G9" s="35"/>
      <c r="H9" s="90" t="str">
        <f aca="false">IF(G9=0,"",G9/G$11)</f>
        <v/>
      </c>
      <c r="I9" s="35"/>
      <c r="J9" s="90" t="str">
        <f aca="false">IF(I9=0,"",I9/I$11)</f>
        <v/>
      </c>
      <c r="K9" s="35"/>
      <c r="L9" s="90" t="str">
        <f aca="false">IF(K9=0,"",K9/K$11)</f>
        <v/>
      </c>
    </row>
    <row r="10" customFormat="false" ht="22.5" hidden="false" customHeight="true" outlineLevel="0" collapsed="false">
      <c r="B10" s="92"/>
      <c r="C10" s="37"/>
      <c r="D10" s="93" t="str">
        <f aca="false">IF(C10=0,"",C10/C$11)</f>
        <v/>
      </c>
      <c r="E10" s="37"/>
      <c r="F10" s="93" t="str">
        <f aca="false">IF(E10=0,"",E10/E$11)</f>
        <v/>
      </c>
      <c r="G10" s="37"/>
      <c r="H10" s="93" t="str">
        <f aca="false">IF(G10=0,"",G10/G$11)</f>
        <v/>
      </c>
      <c r="I10" s="37"/>
      <c r="J10" s="93" t="str">
        <f aca="false">IF(I10=0,"",I10/I$11)</f>
        <v/>
      </c>
      <c r="K10" s="37"/>
      <c r="L10" s="93" t="str">
        <f aca="false">IF(K10=0,"",K10/K$11)</f>
        <v/>
      </c>
    </row>
    <row r="11" customFormat="false" ht="22.5" hidden="false" customHeight="true" outlineLevel="0" collapsed="false">
      <c r="B11" s="94" t="s">
        <v>74</v>
      </c>
      <c r="C11" s="95" t="n">
        <f aca="false">SUM(C5:C10)</f>
        <v>316755490</v>
      </c>
      <c r="D11" s="96" t="n">
        <f aca="false">IF(C11=0,"",C11/C$11)</f>
        <v>1</v>
      </c>
      <c r="E11" s="95" t="n">
        <f aca="false">SUM(E5:E10)</f>
        <v>443868051</v>
      </c>
      <c r="F11" s="96" t="n">
        <f aca="false">IF(E11=0,"",E11/E$11)</f>
        <v>1</v>
      </c>
      <c r="G11" s="95" t="n">
        <f aca="false">SUM(G5:G10)</f>
        <v>422474507</v>
      </c>
      <c r="H11" s="96" t="n">
        <f aca="false">IF(G11=0,"",G11/G$11)</f>
        <v>1</v>
      </c>
      <c r="I11" s="95" t="n">
        <f aca="false">SUM(I5:I10)</f>
        <v>0</v>
      </c>
      <c r="J11" s="96" t="str">
        <f aca="false">IF(I11=0,"",I11/I$11)</f>
        <v/>
      </c>
      <c r="K11" s="95" t="n">
        <f aca="false">SUM(K5:K10)</f>
        <v>0</v>
      </c>
      <c r="L11" s="96" t="str">
        <f aca="false">IF(K11=0,"",K11/K$11)</f>
        <v/>
      </c>
    </row>
    <row r="12" customFormat="false" ht="22.5" hidden="false" customHeight="true" outlineLevel="0" collapsed="false">
      <c r="B12" s="97" t="s">
        <v>76</v>
      </c>
      <c r="C12" s="35" t="n">
        <v>3024069</v>
      </c>
      <c r="D12" s="90" t="n">
        <f aca="false">IF(C12=0,"",C12/C$11)</f>
        <v>0.00954701369185424</v>
      </c>
      <c r="E12" s="35" t="n">
        <v>1426042</v>
      </c>
      <c r="F12" s="90" t="n">
        <f aca="false">IF(E12=0,"",E12/E$11)</f>
        <v>0.00321276108245962</v>
      </c>
      <c r="G12" s="35" t="n">
        <v>33344623</v>
      </c>
      <c r="H12" s="90" t="n">
        <f aca="false">IF(G12=0,"",G12/G$11)</f>
        <v>0.0789269469459373</v>
      </c>
      <c r="I12" s="35"/>
      <c r="J12" s="90" t="str">
        <f aca="false">IF(I12=0,"",I12/I$11)</f>
        <v/>
      </c>
      <c r="K12" s="35"/>
      <c r="L12" s="90" t="str">
        <f aca="false">IF(K12=0,"",K12/K$11)</f>
        <v/>
      </c>
    </row>
    <row r="13" customFormat="false" ht="22.5" hidden="false" customHeight="true" outlineLevel="0" collapsed="false">
      <c r="B13" s="91" t="s">
        <v>77</v>
      </c>
      <c r="C13" s="35" t="n">
        <v>172656708</v>
      </c>
      <c r="D13" s="90" t="n">
        <f aca="false">IF(C13=0,"",C13/C$11)</f>
        <v>0.545078817734146</v>
      </c>
      <c r="E13" s="35" t="n">
        <v>237257918</v>
      </c>
      <c r="F13" s="90" t="n">
        <f aca="false">IF(E13=0,"",E13/E$11)</f>
        <v>0.53452353118337</v>
      </c>
      <c r="G13" s="35" t="n">
        <v>225575333</v>
      </c>
      <c r="H13" s="90" t="n">
        <f aca="false">IF(G13=0,"",G13/G$11)</f>
        <v>0.533938330626894</v>
      </c>
      <c r="I13" s="35"/>
      <c r="J13" s="90"/>
      <c r="K13" s="35"/>
      <c r="L13" s="90"/>
    </row>
    <row r="14" customFormat="false" ht="22.5" hidden="false" customHeight="true" outlineLevel="0" collapsed="false">
      <c r="B14" s="91" t="s">
        <v>78</v>
      </c>
      <c r="C14" s="35" t="n">
        <v>26573925</v>
      </c>
      <c r="D14" s="90" t="n">
        <f aca="false">IF(C14=0,"",C14/C$11)</f>
        <v>0.0838941260339324</v>
      </c>
      <c r="E14" s="35" t="n">
        <v>50722738</v>
      </c>
      <c r="F14" s="90" t="n">
        <f aca="false">IF(E14=0,"",E14/E$11)</f>
        <v>0.114274361233537</v>
      </c>
      <c r="G14" s="35" t="n">
        <v>21094265</v>
      </c>
      <c r="H14" s="90" t="n">
        <f aca="false">IF(G14=0,"",G14/G$11)</f>
        <v>0.0499302671533741</v>
      </c>
      <c r="I14" s="35"/>
      <c r="J14" s="90"/>
      <c r="K14" s="35"/>
      <c r="L14" s="90"/>
    </row>
    <row r="15" customFormat="false" ht="22.5" hidden="false" customHeight="true" outlineLevel="0" collapsed="false">
      <c r="B15" s="91" t="s">
        <v>79</v>
      </c>
      <c r="C15" s="35" t="n">
        <v>6307077</v>
      </c>
      <c r="D15" s="90" t="n">
        <f aca="false">IF(C15=0,"",C15/C$11)</f>
        <v>0.0199115001921514</v>
      </c>
      <c r="E15" s="35" t="n">
        <v>2327904</v>
      </c>
      <c r="F15" s="90" t="n">
        <f aca="false">IF(E15=0,"",E15/E$11)</f>
        <v>0.00524458562574038</v>
      </c>
      <c r="G15" s="35" t="n">
        <v>2831360</v>
      </c>
      <c r="H15" s="90" t="n">
        <f aca="false">IF(G15=0,"",G15/G$11)</f>
        <v>0.00670184816619006</v>
      </c>
      <c r="I15" s="35"/>
      <c r="J15" s="90"/>
      <c r="K15" s="35"/>
      <c r="L15" s="90"/>
    </row>
    <row r="16" customFormat="false" ht="22.5" hidden="false" customHeight="true" outlineLevel="0" collapsed="false">
      <c r="B16" s="91" t="s">
        <v>80</v>
      </c>
      <c r="C16" s="35" t="n">
        <v>4487974</v>
      </c>
      <c r="D16" s="90" t="n">
        <f aca="false">IF(C16=0,"",C16/C$11)</f>
        <v>0.0141685752628944</v>
      </c>
      <c r="E16" s="35" t="n">
        <v>13796708</v>
      </c>
      <c r="F16" s="90" t="n">
        <f aca="false">IF(E16=0,"",E16/E$11)</f>
        <v>0.0310829039596725</v>
      </c>
      <c r="G16" s="35" t="n">
        <v>3637077</v>
      </c>
      <c r="H16" s="90" t="n">
        <f aca="false">IF(G16=0,"",G16/G$11)</f>
        <v>0.00860898572514341</v>
      </c>
      <c r="I16" s="35"/>
      <c r="J16" s="90" t="str">
        <f aca="false">IF(I16=0,"",I16/I$11)</f>
        <v/>
      </c>
      <c r="K16" s="35"/>
      <c r="L16" s="90" t="str">
        <f aca="false">IF(K16=0,"",K16/K$11)</f>
        <v/>
      </c>
    </row>
    <row r="17" customFormat="false" ht="22.5" hidden="false" customHeight="true" outlineLevel="0" collapsed="false">
      <c r="B17" s="91" t="s">
        <v>81</v>
      </c>
      <c r="C17" s="35" t="n">
        <v>8299304</v>
      </c>
      <c r="D17" s="90" t="n">
        <f aca="false">IF(C17=0,"",C17/C$11)</f>
        <v>0.0262009791842913</v>
      </c>
      <c r="E17" s="35" t="n">
        <v>9972324</v>
      </c>
      <c r="F17" s="90" t="n">
        <f aca="false">IF(E17=0,"",E17/E$11)</f>
        <v>0.0224668659470605</v>
      </c>
      <c r="G17" s="35" t="n">
        <v>5262263</v>
      </c>
      <c r="H17" s="90" t="n">
        <f aca="false">IF(G17=0,"",G17/G$11)</f>
        <v>0.012455811919558</v>
      </c>
      <c r="I17" s="35"/>
      <c r="J17" s="90" t="str">
        <f aca="false">IF(I17=0,"",I17/I$11)</f>
        <v/>
      </c>
      <c r="K17" s="35"/>
      <c r="L17" s="90" t="str">
        <f aca="false">IF(K17=0,"",K17/K$11)</f>
        <v/>
      </c>
    </row>
    <row r="18" customFormat="false" ht="22.5" hidden="false" customHeight="true" outlineLevel="0" collapsed="false">
      <c r="B18" s="91" t="s">
        <v>82</v>
      </c>
      <c r="C18" s="35"/>
      <c r="D18" s="90" t="str">
        <f aca="false">IF(C18=0,"",C18/C$11)</f>
        <v/>
      </c>
      <c r="E18" s="35"/>
      <c r="F18" s="90" t="str">
        <f aca="false">IF(E18=0,"",E18/E$11)</f>
        <v/>
      </c>
      <c r="G18" s="35" t="n">
        <v>-100</v>
      </c>
      <c r="H18" s="90" t="n">
        <f aca="false">IF(G18=0,"",G18/G$11)</f>
        <v>-2.36700672686979E-007</v>
      </c>
      <c r="I18" s="35"/>
      <c r="J18" s="90" t="str">
        <f aca="false">IF(I18=0,"",I18/I$11)</f>
        <v/>
      </c>
      <c r="K18" s="35"/>
      <c r="L18" s="90" t="str">
        <f aca="false">IF(K18=0,"",K18/K$11)</f>
        <v/>
      </c>
    </row>
    <row r="19" customFormat="false" ht="22.5" hidden="false" customHeight="true" outlineLevel="0" collapsed="false">
      <c r="B19" s="91" t="s">
        <v>83</v>
      </c>
      <c r="C19" s="35" t="n">
        <v>-6722798</v>
      </c>
      <c r="D19" s="90" t="n">
        <f aca="false">IF(C19=0,"",C19/C$11)</f>
        <v>-0.0212239352189286</v>
      </c>
      <c r="E19" s="35" t="n">
        <v>-17217311</v>
      </c>
      <c r="F19" s="90" t="n">
        <f aca="false">IF(E19=0,"",E19/E$11)</f>
        <v>-0.0387892549626195</v>
      </c>
      <c r="G19" s="35" t="n">
        <v>-19844732</v>
      </c>
      <c r="H19" s="90" t="n">
        <f aca="false">IF(G19=0,"",G19/G$11)</f>
        <v>-0.0469726141369283</v>
      </c>
      <c r="I19" s="35"/>
      <c r="J19" s="90"/>
      <c r="K19" s="35"/>
      <c r="L19" s="90"/>
    </row>
    <row r="20" customFormat="false" ht="22.5" hidden="false" customHeight="true" outlineLevel="0" collapsed="false">
      <c r="B20" s="91" t="s">
        <v>84</v>
      </c>
      <c r="C20" s="35" t="n">
        <v>-1426042</v>
      </c>
      <c r="D20" s="90" t="n">
        <f aca="false">IF(C20=0,"",C20/C$11)</f>
        <v>-0.00450202773123206</v>
      </c>
      <c r="E20" s="35" t="n">
        <v>-33344623</v>
      </c>
      <c r="F20" s="90" t="n">
        <f aca="false">IF(E20=0,"",E20/E$11)</f>
        <v>-0.0751228274368411</v>
      </c>
      <c r="G20" s="35" t="n">
        <v>-228854</v>
      </c>
      <c r="H20" s="90" t="n">
        <f aca="false">IF(G20=0,"",G20/G$11)</f>
        <v>-0.00054169895747106</v>
      </c>
      <c r="I20" s="35"/>
      <c r="J20" s="90"/>
      <c r="K20" s="35"/>
      <c r="L20" s="90"/>
    </row>
    <row r="21" customFormat="false" ht="22.5" hidden="false" customHeight="true" outlineLevel="0" collapsed="false">
      <c r="B21" s="98" t="s">
        <v>85</v>
      </c>
      <c r="C21" s="99" t="n">
        <f aca="false">SUM(C12:C20)</f>
        <v>213200217</v>
      </c>
      <c r="D21" s="100" t="n">
        <f aca="false">IF(C21=0,"",C21/C$11)</f>
        <v>0.673075049149109</v>
      </c>
      <c r="E21" s="99" t="n">
        <f aca="false">SUM(E12:E20)</f>
        <v>264941700</v>
      </c>
      <c r="F21" s="100" t="n">
        <f aca="false">IF(E21=0,"",E21/E$11)</f>
        <v>0.596892926632379</v>
      </c>
      <c r="G21" s="99" t="n">
        <f aca="false">SUM(G12:G20)</f>
        <v>271671235</v>
      </c>
      <c r="H21" s="100" t="n">
        <f aca="false">IF(G21=0,"",G21/G$11)</f>
        <v>0.643047640742025</v>
      </c>
      <c r="I21" s="99" t="n">
        <f aca="false">SUM(I12:I18)</f>
        <v>0</v>
      </c>
      <c r="J21" s="100" t="str">
        <f aca="false">IF(I21=0,"",I21/I$11)</f>
        <v/>
      </c>
      <c r="K21" s="99" t="n">
        <f aca="false">SUM(K12:K18)</f>
        <v>0</v>
      </c>
      <c r="L21" s="100" t="str">
        <f aca="false">IF(K21=0,"",K21/K$11)</f>
        <v/>
      </c>
    </row>
    <row r="22" customFormat="false" ht="22.5" hidden="false" customHeight="true" outlineLevel="0" collapsed="false">
      <c r="B22" s="94" t="s">
        <v>86</v>
      </c>
      <c r="C22" s="95" t="n">
        <f aca="false">C11-C21</f>
        <v>103555273</v>
      </c>
      <c r="D22" s="96" t="n">
        <f aca="false">IF(C22=0,"",C22/C$11)</f>
        <v>0.326924950850891</v>
      </c>
      <c r="E22" s="95" t="n">
        <f aca="false">E11-E21</f>
        <v>178926351</v>
      </c>
      <c r="F22" s="96" t="n">
        <f aca="false">IF(E22=0,"",E22/E$11)</f>
        <v>0.403107073367621</v>
      </c>
      <c r="G22" s="95" t="n">
        <f aca="false">G11-G21</f>
        <v>150803272</v>
      </c>
      <c r="H22" s="96" t="n">
        <f aca="false">IF(G22=0,"",G22/G$11)</f>
        <v>0.356952359257975</v>
      </c>
      <c r="I22" s="95" t="n">
        <f aca="false">I11-I21</f>
        <v>0</v>
      </c>
      <c r="J22" s="96" t="str">
        <f aca="false">IF(I22=0,"",I22/I$11)</f>
        <v/>
      </c>
      <c r="K22" s="95" t="n">
        <f aca="false">K11-K21</f>
        <v>0</v>
      </c>
      <c r="L22" s="96" t="str">
        <f aca="false">IF(K22=0,"",K22/K$11)</f>
        <v/>
      </c>
    </row>
    <row r="23" customFormat="false" ht="22.5" hidden="false" customHeight="true" outlineLevel="0" collapsed="false">
      <c r="B23" s="98" t="s">
        <v>87</v>
      </c>
      <c r="C23" s="101" t="n">
        <f aca="false">SGA!C40</f>
        <v>97395979</v>
      </c>
      <c r="D23" s="102" t="n">
        <f aca="false">IF(C23=0,"",C23/C$11)</f>
        <v>0.307480002951172</v>
      </c>
      <c r="E23" s="101" t="n">
        <f aca="false">SGA!E40</f>
        <v>100735586</v>
      </c>
      <c r="F23" s="102" t="n">
        <f aca="false">IF(E23=0,"",E23/E$11)</f>
        <v>0.22694939582394</v>
      </c>
      <c r="G23" s="101" t="n">
        <f aca="false">SGA!G40</f>
        <v>92289462</v>
      </c>
      <c r="H23" s="102" t="n">
        <f aca="false">IF(G23=0,"",G23/G$11)</f>
        <v>0.218449777373194</v>
      </c>
      <c r="I23" s="101" t="n">
        <f aca="false">SGA!I40</f>
        <v>0</v>
      </c>
      <c r="J23" s="102" t="str">
        <f aca="false">IF(I23=0,"",I23/I$11)</f>
        <v/>
      </c>
      <c r="K23" s="101" t="n">
        <f aca="false">SGA!K40</f>
        <v>0</v>
      </c>
      <c r="L23" s="102" t="str">
        <f aca="false">IF(K23=0,"",K23/K$11)</f>
        <v/>
      </c>
    </row>
    <row r="24" customFormat="false" ht="22.5" hidden="false" customHeight="true" outlineLevel="0" collapsed="false">
      <c r="B24" s="94" t="s">
        <v>88</v>
      </c>
      <c r="C24" s="95" t="n">
        <f aca="false">C22- C23</f>
        <v>6159294</v>
      </c>
      <c r="D24" s="96" t="n">
        <f aca="false">IF(C24=0,"",C24/C$11)</f>
        <v>0.0194449478997191</v>
      </c>
      <c r="E24" s="95" t="n">
        <f aca="false">E22- E23</f>
        <v>78190765</v>
      </c>
      <c r="F24" s="96" t="n">
        <f aca="false">IF(E24=0,"",E24/E$11)</f>
        <v>0.176157677543681</v>
      </c>
      <c r="G24" s="95" t="n">
        <f aca="false">G22- G23</f>
        <v>58513810</v>
      </c>
      <c r="H24" s="96" t="n">
        <f aca="false">IF(G24=0,"",G24/G$11)</f>
        <v>0.138502581884781</v>
      </c>
      <c r="I24" s="95" t="n">
        <f aca="false">I22- I23</f>
        <v>0</v>
      </c>
      <c r="J24" s="96" t="str">
        <f aca="false">IF(I24=0,"",I24/I$11)</f>
        <v/>
      </c>
      <c r="K24" s="95" t="n">
        <f aca="false">K22- K23</f>
        <v>0</v>
      </c>
      <c r="L24" s="96" t="str">
        <f aca="false">IF(K24=0,"",K24/K$11)</f>
        <v/>
      </c>
    </row>
    <row r="25" customFormat="false" ht="22.5" hidden="false" customHeight="true" outlineLevel="0" collapsed="false">
      <c r="B25" s="98" t="s">
        <v>89</v>
      </c>
      <c r="C25" s="101" t="n">
        <f aca="false">SUM(C26:C32)</f>
        <v>1358290</v>
      </c>
      <c r="D25" s="102" t="n">
        <f aca="false">IF(C25=0,"",C25/C$11)</f>
        <v>0.00428813404307531</v>
      </c>
      <c r="E25" s="101" t="n">
        <f aca="false">SUM(E26:E32)</f>
        <v>13984344</v>
      </c>
      <c r="F25" s="102" t="n">
        <f aca="false">IF(E25=0,"",E25/E$11)</f>
        <v>0.0315056331909773</v>
      </c>
      <c r="G25" s="101" t="n">
        <f aca="false">SUM(G26:G32)</f>
        <v>8626001</v>
      </c>
      <c r="H25" s="102" t="n">
        <f aca="false">IF(G25=0,"",G25/G$11)</f>
        <v>0.0204178023929856</v>
      </c>
      <c r="I25" s="101" t="n">
        <f aca="false">SUM(I26:I32)</f>
        <v>0</v>
      </c>
      <c r="J25" s="102" t="str">
        <f aca="false">IF(I25=0,"",I25/I$11)</f>
        <v/>
      </c>
      <c r="K25" s="101" t="n">
        <f aca="false">SUM(K26:K32)</f>
        <v>0</v>
      </c>
      <c r="L25" s="102" t="str">
        <f aca="false">IF(K25=0,"",K25/K$11)</f>
        <v/>
      </c>
    </row>
    <row r="26" customFormat="false" ht="22.5" hidden="false" customHeight="true" outlineLevel="0" collapsed="false">
      <c r="B26" s="103" t="s">
        <v>90</v>
      </c>
      <c r="C26" s="35" t="n">
        <v>101059</v>
      </c>
      <c r="D26" s="90" t="n">
        <f aca="false">IF(C26=0,"",C26/C$11)</f>
        <v>0.000319044193993291</v>
      </c>
      <c r="E26" s="35" t="n">
        <v>1035013</v>
      </c>
      <c r="F26" s="90" t="n">
        <f aca="false">IF(E26=0,"",E26/E$11)</f>
        <v>0.00233180333134632</v>
      </c>
      <c r="G26" s="35" t="n">
        <v>326339</v>
      </c>
      <c r="H26" s="90" t="n">
        <f aca="false">IF(G26=0,"",G26/G$11)</f>
        <v>0.000772446608239962</v>
      </c>
      <c r="I26" s="35"/>
      <c r="J26" s="90" t="str">
        <f aca="false">IF(I26=0,"",I26/I$11)</f>
        <v/>
      </c>
      <c r="K26" s="35"/>
      <c r="L26" s="90" t="str">
        <f aca="false">IF(K26=0,"",K26/K$11)</f>
        <v/>
      </c>
    </row>
    <row r="27" customFormat="false" ht="22.5" hidden="false" customHeight="true" outlineLevel="0" collapsed="false">
      <c r="B27" s="104" t="s">
        <v>91</v>
      </c>
      <c r="C27" s="35" t="n">
        <v>712050</v>
      </c>
      <c r="D27" s="90" t="n">
        <f aca="false">IF(C27=0,"",C27/C$11)</f>
        <v>0.00224794840967082</v>
      </c>
      <c r="E27" s="35" t="n">
        <v>7151912</v>
      </c>
      <c r="F27" s="90" t="n">
        <f aca="false">IF(E27=0,"",E27/E$11)</f>
        <v>0.0161126983207899</v>
      </c>
      <c r="G27" s="35" t="n">
        <v>7555640</v>
      </c>
      <c r="H27" s="90" t="n">
        <f aca="false">IF(G27=0,"",G27/G$11)</f>
        <v>0.0178842507058065</v>
      </c>
      <c r="I27" s="35"/>
      <c r="J27" s="90" t="str">
        <f aca="false">IF(I27=0,"",I27/I$11)</f>
        <v/>
      </c>
      <c r="K27" s="35"/>
      <c r="L27" s="90" t="str">
        <f aca="false">IF(K27=0,"",K27/K$11)</f>
        <v/>
      </c>
    </row>
    <row r="28" customFormat="false" ht="22.5" hidden="false" customHeight="true" outlineLevel="0" collapsed="false">
      <c r="B28" s="104" t="s">
        <v>92</v>
      </c>
      <c r="C28" s="35" t="n">
        <v>534000</v>
      </c>
      <c r="D28" s="90" t="n">
        <f aca="false">IF(C28=0,"",C28/C$11)</f>
        <v>0.00168584291940765</v>
      </c>
      <c r="E28" s="35" t="n">
        <v>803000</v>
      </c>
      <c r="F28" s="90" t="n">
        <f aca="false">IF(E28=0,"",E28/E$11)</f>
        <v>0.00180909619016486</v>
      </c>
      <c r="G28" s="35" t="n">
        <v>246000</v>
      </c>
      <c r="H28" s="90" t="n">
        <f aca="false">IF(G28=0,"",G28/G$11)</f>
        <v>0.000582283654809969</v>
      </c>
      <c r="I28" s="35"/>
      <c r="J28" s="90" t="str">
        <f aca="false">IF(I28=0,"",I28/I$11)</f>
        <v/>
      </c>
      <c r="K28" s="35"/>
      <c r="L28" s="90" t="str">
        <f aca="false">IF(K28=0,"",K28/K$11)</f>
        <v/>
      </c>
    </row>
    <row r="29" customFormat="false" ht="22.5" hidden="false" customHeight="true" outlineLevel="0" collapsed="false">
      <c r="B29" s="104" t="s">
        <v>93</v>
      </c>
      <c r="C29" s="35" t="n">
        <v>2197</v>
      </c>
      <c r="D29" s="90" t="n">
        <f aca="false">IF(C29=0,"",C29/C$11)</f>
        <v>6.9359492395854E-006</v>
      </c>
      <c r="E29" s="35" t="n">
        <v>2195483</v>
      </c>
      <c r="F29" s="90" t="n">
        <f aca="false">IF(E29=0,"",E29/E$11)</f>
        <v>0.00494625147057498</v>
      </c>
      <c r="G29" s="35" t="n">
        <v>216735</v>
      </c>
      <c r="H29" s="90" t="n">
        <f aca="false">IF(G29=0,"",G29/G$11)</f>
        <v>0.000513013202948125</v>
      </c>
      <c r="I29" s="35"/>
      <c r="J29" s="90" t="str">
        <f aca="false">IF(I29=0,"",I29/I$11)</f>
        <v/>
      </c>
      <c r="K29" s="35"/>
      <c r="L29" s="90" t="str">
        <f aca="false">IF(K29=0,"",K29/K$11)</f>
        <v/>
      </c>
    </row>
    <row r="30" customFormat="false" ht="22.5" hidden="false" customHeight="true" outlineLevel="0" collapsed="false">
      <c r="B30" s="104" t="s">
        <v>94</v>
      </c>
      <c r="C30" s="35"/>
      <c r="D30" s="90" t="str">
        <f aca="false">IF(C30=0,"",C30/C$11)</f>
        <v/>
      </c>
      <c r="E30" s="35"/>
      <c r="F30" s="90" t="str">
        <f aca="false">IF(E30=0,"",E30/E$11)</f>
        <v/>
      </c>
      <c r="G30" s="35" t="n">
        <v>10455</v>
      </c>
      <c r="H30" s="90" t="n">
        <f aca="false">IF(G30=0,"",G30/G$11)</f>
        <v>2.47470553294237E-005</v>
      </c>
      <c r="I30" s="35"/>
      <c r="J30" s="90" t="str">
        <f aca="false">IF(I30=0,"",I30/I$11)</f>
        <v/>
      </c>
      <c r="K30" s="35"/>
      <c r="L30" s="90" t="str">
        <f aca="false">IF(K30=0,"",K30/K$11)</f>
        <v/>
      </c>
    </row>
    <row r="31" customFormat="false" ht="22.5" hidden="false" customHeight="true" outlineLevel="0" collapsed="false">
      <c r="B31" s="104" t="s">
        <v>95</v>
      </c>
      <c r="C31" s="35" t="n">
        <v>8984</v>
      </c>
      <c r="D31" s="90" t="n">
        <f aca="false">IF(C31=0,"",C31/C$11)</f>
        <v>2.83625707639669E-005</v>
      </c>
      <c r="E31" s="35" t="n">
        <v>2798936</v>
      </c>
      <c r="F31" s="90" t="n">
        <f aca="false">IF(E31=0,"",E31/E$11)</f>
        <v>0.0063057838781012</v>
      </c>
      <c r="G31" s="35" t="n">
        <v>270832</v>
      </c>
      <c r="H31" s="90" t="n">
        <f aca="false">IF(G31=0,"",G31/G$11)</f>
        <v>0.0006410611658516</v>
      </c>
      <c r="I31" s="35"/>
      <c r="J31" s="90" t="str">
        <f aca="false">IF(I31=0,"",I31/I$11)</f>
        <v/>
      </c>
      <c r="K31" s="35"/>
      <c r="L31" s="90" t="str">
        <f aca="false">IF(K31=0,"",K31/K$11)</f>
        <v/>
      </c>
    </row>
    <row r="32" customFormat="false" ht="22.5" hidden="false" customHeight="true" outlineLevel="0" collapsed="false">
      <c r="B32" s="105"/>
      <c r="C32" s="37"/>
      <c r="D32" s="93" t="str">
        <f aca="false">IF(C32=0,"",C32/C$11)</f>
        <v/>
      </c>
      <c r="E32" s="37"/>
      <c r="F32" s="93" t="str">
        <f aca="false">IF(E32=0,"",E32/E$11)</f>
        <v/>
      </c>
      <c r="G32" s="37"/>
      <c r="H32" s="93" t="str">
        <f aca="false">IF(G32=0,"",G32/G$11)</f>
        <v/>
      </c>
      <c r="I32" s="37"/>
      <c r="J32" s="93" t="str">
        <f aca="false">IF(I32=0,"",I32/I$11)</f>
        <v/>
      </c>
      <c r="K32" s="37"/>
      <c r="L32" s="93" t="str">
        <f aca="false">IF(K32=0,"",K32/K$11)</f>
        <v/>
      </c>
    </row>
    <row r="33" customFormat="false" ht="22.5" hidden="false" customHeight="true" outlineLevel="0" collapsed="false">
      <c r="B33" s="98" t="s">
        <v>96</v>
      </c>
      <c r="C33" s="101" t="n">
        <f aca="false">SUM(C34:C40)</f>
        <v>852015</v>
      </c>
      <c r="D33" s="102" t="n">
        <f aca="false">IF(C33=0,"",C33/C$11)</f>
        <v>0.00268981920408073</v>
      </c>
      <c r="E33" s="101" t="n">
        <f aca="false">SUM(E34:E40)</f>
        <v>2246448</v>
      </c>
      <c r="F33" s="102" t="n">
        <f aca="false">IF(E33=0,"",E33/E$11)</f>
        <v>0.00506107162914503</v>
      </c>
      <c r="G33" s="101" t="n">
        <f aca="false">SUM(G34:G40)</f>
        <v>2196742</v>
      </c>
      <c r="H33" s="102" t="n">
        <f aca="false">IF(G33=0,"",G33/G$11)</f>
        <v>0.00519970309119741</v>
      </c>
      <c r="I33" s="101" t="n">
        <f aca="false">SUM(I34:I40)</f>
        <v>0</v>
      </c>
      <c r="J33" s="102" t="str">
        <f aca="false">IF(I33=0,"",I33/I$11)</f>
        <v/>
      </c>
      <c r="K33" s="101" t="n">
        <f aca="false">SUM(K34:K40)</f>
        <v>0</v>
      </c>
      <c r="L33" s="102" t="str">
        <f aca="false">IF(K33=0,"",K33/K$11)</f>
        <v/>
      </c>
    </row>
    <row r="34" customFormat="false" ht="22.5" hidden="false" customHeight="true" outlineLevel="0" collapsed="false">
      <c r="B34" s="103" t="s">
        <v>97</v>
      </c>
      <c r="C34" s="35" t="n">
        <v>852015</v>
      </c>
      <c r="D34" s="90" t="n">
        <f aca="false">IF(C34=0,"",C34/C$11)</f>
        <v>0.00268981920408073</v>
      </c>
      <c r="E34" s="35" t="n">
        <v>1716559</v>
      </c>
      <c r="F34" s="90" t="n">
        <f aca="false">IF(E34=0,"",E34/E$11)</f>
        <v>0.0038672731595183</v>
      </c>
      <c r="G34" s="35" t="n">
        <v>2196742</v>
      </c>
      <c r="H34" s="90" t="n">
        <f aca="false">IF(G34=0,"",G34/G$11)</f>
        <v>0.00519970309119741</v>
      </c>
      <c r="I34" s="35"/>
      <c r="J34" s="90" t="str">
        <f aca="false">IF(I34=0,"",I34/I$11)</f>
        <v/>
      </c>
      <c r="K34" s="35"/>
      <c r="L34" s="90" t="str">
        <f aca="false">IF(K34=0,"",K34/K$11)</f>
        <v/>
      </c>
    </row>
    <row r="35" customFormat="false" ht="22.5" hidden="false" customHeight="true" outlineLevel="0" collapsed="false">
      <c r="B35" s="104" t="s">
        <v>98</v>
      </c>
      <c r="C35" s="35"/>
      <c r="D35" s="90" t="str">
        <f aca="false">IF(C35=0,"",C35/C$11)</f>
        <v/>
      </c>
      <c r="E35" s="35" t="n">
        <v>529889</v>
      </c>
      <c r="F35" s="90" t="n">
        <f aca="false">IF(E35=0,"",E35/E$11)</f>
        <v>0.00119379846962673</v>
      </c>
      <c r="G35" s="35"/>
      <c r="H35" s="90" t="str">
        <f aca="false">IF(G35=0,"",G35/G$11)</f>
        <v/>
      </c>
      <c r="I35" s="35"/>
      <c r="J35" s="90" t="str">
        <f aca="false">IF(I35=0,"",I35/I$11)</f>
        <v/>
      </c>
      <c r="K35" s="35"/>
      <c r="L35" s="90" t="str">
        <f aca="false">IF(K35=0,"",K35/K$11)</f>
        <v/>
      </c>
    </row>
    <row r="36" customFormat="false" ht="22.5" hidden="false" customHeight="true" outlineLevel="0" collapsed="false">
      <c r="B36" s="104"/>
      <c r="C36" s="35"/>
      <c r="D36" s="90" t="str">
        <f aca="false">IF(C36=0,"",C36/C$11)</f>
        <v/>
      </c>
      <c r="E36" s="35"/>
      <c r="F36" s="90" t="str">
        <f aca="false">IF(E36=0,"",E36/E$11)</f>
        <v/>
      </c>
      <c r="G36" s="35"/>
      <c r="H36" s="90" t="str">
        <f aca="false">IF(G36=0,"",G36/G$11)</f>
        <v/>
      </c>
      <c r="I36" s="35"/>
      <c r="J36" s="90" t="str">
        <f aca="false">IF(I36=0,"",I36/I$11)</f>
        <v/>
      </c>
      <c r="K36" s="35"/>
      <c r="L36" s="90" t="str">
        <f aca="false">IF(K36=0,"",K36/K$11)</f>
        <v/>
      </c>
    </row>
    <row r="37" customFormat="false" ht="22.5" hidden="false" customHeight="true" outlineLevel="0" collapsed="false">
      <c r="B37" s="104"/>
      <c r="C37" s="35"/>
      <c r="D37" s="90" t="str">
        <f aca="false">IF(C37=0,"",C37/C$11)</f>
        <v/>
      </c>
      <c r="E37" s="35"/>
      <c r="F37" s="90" t="str">
        <f aca="false">IF(E37=0,"",E37/E$11)</f>
        <v/>
      </c>
      <c r="G37" s="35"/>
      <c r="H37" s="90" t="str">
        <f aca="false">IF(G37=0,"",G37/G$11)</f>
        <v/>
      </c>
      <c r="I37" s="35"/>
      <c r="J37" s="90" t="str">
        <f aca="false">IF(I37=0,"",I37/I$11)</f>
        <v/>
      </c>
      <c r="K37" s="35"/>
      <c r="L37" s="90" t="str">
        <f aca="false">IF(K37=0,"",K37/K$11)</f>
        <v/>
      </c>
    </row>
    <row r="38" customFormat="false" ht="22.5" hidden="false" customHeight="true" outlineLevel="0" collapsed="false">
      <c r="B38" s="104"/>
      <c r="C38" s="35"/>
      <c r="D38" s="90" t="str">
        <f aca="false">IF(C38=0,"",C38/C$11)</f>
        <v/>
      </c>
      <c r="E38" s="35"/>
      <c r="F38" s="90" t="str">
        <f aca="false">IF(E38=0,"",E38/E$11)</f>
        <v/>
      </c>
      <c r="G38" s="35"/>
      <c r="H38" s="90" t="str">
        <f aca="false">IF(G38=0,"",G38/G$11)</f>
        <v/>
      </c>
      <c r="I38" s="35"/>
      <c r="J38" s="90" t="str">
        <f aca="false">IF(I38=0,"",I38/I$11)</f>
        <v/>
      </c>
      <c r="K38" s="35"/>
      <c r="L38" s="90" t="str">
        <f aca="false">IF(K38=0,"",K38/K$11)</f>
        <v/>
      </c>
    </row>
    <row r="39" customFormat="false" ht="22.5" hidden="false" customHeight="true" outlineLevel="0" collapsed="false">
      <c r="B39" s="104"/>
      <c r="C39" s="35"/>
      <c r="D39" s="90" t="str">
        <f aca="false">IF(C39=0,"",C39/C$11)</f>
        <v/>
      </c>
      <c r="E39" s="35"/>
      <c r="F39" s="90" t="str">
        <f aca="false">IF(E39=0,"",E39/E$11)</f>
        <v/>
      </c>
      <c r="G39" s="35"/>
      <c r="H39" s="90" t="str">
        <f aca="false">IF(G39=0,"",G39/G$11)</f>
        <v/>
      </c>
      <c r="I39" s="35"/>
      <c r="J39" s="90" t="str">
        <f aca="false">IF(I39=0,"",I39/I$11)</f>
        <v/>
      </c>
      <c r="K39" s="35"/>
      <c r="L39" s="90" t="str">
        <f aca="false">IF(K39=0,"",K39/K$11)</f>
        <v/>
      </c>
    </row>
    <row r="40" customFormat="false" ht="22.5" hidden="false" customHeight="true" outlineLevel="0" collapsed="false">
      <c r="B40" s="105"/>
      <c r="C40" s="37"/>
      <c r="D40" s="93" t="str">
        <f aca="false">IF(C40=0,"",C40/C$11)</f>
        <v/>
      </c>
      <c r="E40" s="37"/>
      <c r="F40" s="93" t="str">
        <f aca="false">IF(E40=0,"",E40/E$11)</f>
        <v/>
      </c>
      <c r="G40" s="37"/>
      <c r="H40" s="93" t="str">
        <f aca="false">IF(G40=0,"",G40/G$11)</f>
        <v/>
      </c>
      <c r="I40" s="37"/>
      <c r="J40" s="93" t="str">
        <f aca="false">IF(I40=0,"",I40/I$11)</f>
        <v/>
      </c>
      <c r="K40" s="37"/>
      <c r="L40" s="93" t="str">
        <f aca="false">IF(K40=0,"",K40/K$11)</f>
        <v/>
      </c>
    </row>
    <row r="41" customFormat="false" ht="22.5" hidden="false" customHeight="true" outlineLevel="0" collapsed="false">
      <c r="B41" s="94" t="s">
        <v>99</v>
      </c>
      <c r="C41" s="95" t="n">
        <f aca="false">C24+C25-C33</f>
        <v>6665569</v>
      </c>
      <c r="D41" s="96" t="n">
        <f aca="false">IF(C41=0,"",C41/C$11)</f>
        <v>0.0210432627387137</v>
      </c>
      <c r="E41" s="95" t="n">
        <f aca="false">E24+E25-E33</f>
        <v>89928661</v>
      </c>
      <c r="F41" s="96" t="n">
        <f aca="false">IF(E41=0,"",E41/E$11)</f>
        <v>0.202602239105513</v>
      </c>
      <c r="G41" s="95" t="n">
        <f aca="false">G24+G25-G33</f>
        <v>64943069</v>
      </c>
      <c r="H41" s="96" t="n">
        <f aca="false">IF(G41=0,"",G41/G$11)</f>
        <v>0.153720681186569</v>
      </c>
      <c r="I41" s="95" t="n">
        <f aca="false">I24+I25-I33</f>
        <v>0</v>
      </c>
      <c r="J41" s="96" t="str">
        <f aca="false">IF(I41=0,"",I41/I$11)</f>
        <v/>
      </c>
      <c r="K41" s="95" t="n">
        <f aca="false">K24+K25-K33</f>
        <v>0</v>
      </c>
      <c r="L41" s="96" t="str">
        <f aca="false">IF(K41=0,"",K41/K$11)</f>
        <v/>
      </c>
    </row>
    <row r="42" customFormat="false" ht="22.5" hidden="false" customHeight="true" outlineLevel="0" collapsed="false">
      <c r="B42" s="98" t="s">
        <v>100</v>
      </c>
      <c r="C42" s="99" t="n">
        <f aca="false">SUM(C43:C48)</f>
        <v>0</v>
      </c>
      <c r="D42" s="100" t="str">
        <f aca="false">IF(C42=0,"",C42/C$11)</f>
        <v/>
      </c>
      <c r="E42" s="99" t="n">
        <f aca="false">SUM(E43:E48)</f>
        <v>21984310</v>
      </c>
      <c r="F42" s="100" t="n">
        <f aca="false">IF(E42=0,"",E42/E$11)</f>
        <v>0.0495289308398545</v>
      </c>
      <c r="G42" s="99" t="n">
        <f aca="false">SUM(G43:G48)</f>
        <v>12486495</v>
      </c>
      <c r="H42" s="100" t="n">
        <f aca="false">IF(G42=0,"",G42/G$11)</f>
        <v>0.0295556176600261</v>
      </c>
      <c r="I42" s="99" t="n">
        <f aca="false">SUM(I43:I48)</f>
        <v>0</v>
      </c>
      <c r="J42" s="100" t="str">
        <f aca="false">IF(I42=0,"",I42/I$11)</f>
        <v/>
      </c>
      <c r="K42" s="99" t="n">
        <f aca="false">SUM(K43:K48)</f>
        <v>0</v>
      </c>
      <c r="L42" s="100" t="str">
        <f aca="false">IF(K42=0,"",K42/K$11)</f>
        <v/>
      </c>
    </row>
    <row r="43" customFormat="false" ht="22.5" hidden="false" customHeight="true" outlineLevel="0" collapsed="false">
      <c r="B43" s="104" t="s">
        <v>101</v>
      </c>
      <c r="C43" s="35"/>
      <c r="D43" s="90" t="str">
        <f aca="false">IF(C43=0,"",C43/C$11)</f>
        <v/>
      </c>
      <c r="E43" s="35" t="n">
        <v>21984310</v>
      </c>
      <c r="F43" s="90" t="n">
        <f aca="false">IF(E43=0,"",E43/E$11)</f>
        <v>0.0495289308398545</v>
      </c>
      <c r="G43" s="35" t="n">
        <v>12486495</v>
      </c>
      <c r="H43" s="90" t="n">
        <f aca="false">IF(G43=0,"",G43/G$11)</f>
        <v>0.0295556176600261</v>
      </c>
      <c r="I43" s="35"/>
      <c r="J43" s="90" t="str">
        <f aca="false">IF(I43=0,"",I43/I$11)</f>
        <v/>
      </c>
      <c r="K43" s="35"/>
      <c r="L43" s="90" t="str">
        <f aca="false">IF(K43=0,"",K43/K$11)</f>
        <v/>
      </c>
    </row>
    <row r="44" customFormat="false" ht="22.5" hidden="false" customHeight="true" outlineLevel="0" collapsed="false">
      <c r="B44" s="104"/>
      <c r="C44" s="35"/>
      <c r="D44" s="90" t="str">
        <f aca="false">IF(C44=0,"",C44/C$11)</f>
        <v/>
      </c>
      <c r="E44" s="35"/>
      <c r="F44" s="90" t="str">
        <f aca="false">IF(E44=0,"",E44/E$11)</f>
        <v/>
      </c>
      <c r="G44" s="35"/>
      <c r="H44" s="90" t="str">
        <f aca="false">IF(G44=0,"",G44/G$11)</f>
        <v/>
      </c>
      <c r="I44" s="35"/>
      <c r="J44" s="90" t="str">
        <f aca="false">IF(I44=0,"",I44/I$11)</f>
        <v/>
      </c>
      <c r="K44" s="35"/>
      <c r="L44" s="90" t="str">
        <f aca="false">IF(K44=0,"",K44/K$11)</f>
        <v/>
      </c>
    </row>
    <row r="45" customFormat="false" ht="22.5" hidden="false" customHeight="true" outlineLevel="0" collapsed="false">
      <c r="B45" s="104"/>
      <c r="C45" s="35"/>
      <c r="D45" s="90" t="str">
        <f aca="false">IF(C45=0,"",C45/C$11)</f>
        <v/>
      </c>
      <c r="E45" s="35"/>
      <c r="F45" s="90" t="str">
        <f aca="false">IF(E45=0,"",E45/E$11)</f>
        <v/>
      </c>
      <c r="G45" s="35"/>
      <c r="H45" s="90" t="str">
        <f aca="false">IF(G45=0,"",G45/G$11)</f>
        <v/>
      </c>
      <c r="I45" s="35"/>
      <c r="J45" s="90" t="str">
        <f aca="false">IF(I45=0,"",I45/I$11)</f>
        <v/>
      </c>
      <c r="K45" s="35"/>
      <c r="L45" s="90" t="str">
        <f aca="false">IF(K45=0,"",K45/K$11)</f>
        <v/>
      </c>
    </row>
    <row r="46" customFormat="false" ht="22.5" hidden="false" customHeight="true" outlineLevel="0" collapsed="false">
      <c r="B46" s="104"/>
      <c r="C46" s="35"/>
      <c r="D46" s="90" t="str">
        <f aca="false">IF(C46=0,"",C46/C$11)</f>
        <v/>
      </c>
      <c r="E46" s="35"/>
      <c r="F46" s="90" t="str">
        <f aca="false">IF(E46=0,"",E46/E$11)</f>
        <v/>
      </c>
      <c r="G46" s="35"/>
      <c r="H46" s="90" t="str">
        <f aca="false">IF(G46=0,"",G46/G$11)</f>
        <v/>
      </c>
      <c r="I46" s="35"/>
      <c r="J46" s="90" t="str">
        <f aca="false">IF(I46=0,"",I46/I$11)</f>
        <v/>
      </c>
      <c r="K46" s="35"/>
      <c r="L46" s="90" t="str">
        <f aca="false">IF(K46=0,"",K46/K$11)</f>
        <v/>
      </c>
    </row>
    <row r="47" customFormat="false" ht="22.5" hidden="false" customHeight="true" outlineLevel="0" collapsed="false">
      <c r="B47" s="104"/>
      <c r="C47" s="35"/>
      <c r="D47" s="90" t="str">
        <f aca="false">IF(C47=0,"",C47/C$11)</f>
        <v/>
      </c>
      <c r="E47" s="35"/>
      <c r="F47" s="90" t="str">
        <f aca="false">IF(E47=0,"",E47/E$11)</f>
        <v/>
      </c>
      <c r="G47" s="35"/>
      <c r="H47" s="90" t="str">
        <f aca="false">IF(G47=0,"",G47/G$11)</f>
        <v/>
      </c>
      <c r="I47" s="35"/>
      <c r="J47" s="90" t="str">
        <f aca="false">IF(I47=0,"",I47/I$11)</f>
        <v/>
      </c>
      <c r="K47" s="35"/>
      <c r="L47" s="90" t="str">
        <f aca="false">IF(K47=0,"",K47/K$11)</f>
        <v/>
      </c>
    </row>
    <row r="48" customFormat="false" ht="22.5" hidden="false" customHeight="true" outlineLevel="0" collapsed="false">
      <c r="B48" s="105"/>
      <c r="C48" s="37"/>
      <c r="D48" s="93" t="str">
        <f aca="false">IF(C48=0,"",C48/C$11)</f>
        <v/>
      </c>
      <c r="E48" s="37"/>
      <c r="F48" s="93" t="str">
        <f aca="false">IF(E48=0,"",E48/E$11)</f>
        <v/>
      </c>
      <c r="G48" s="37"/>
      <c r="H48" s="93" t="str">
        <f aca="false">IF(G48=0,"",G48/G$11)</f>
        <v/>
      </c>
      <c r="I48" s="37"/>
      <c r="J48" s="93" t="str">
        <f aca="false">IF(I48=0,"",I48/I$11)</f>
        <v/>
      </c>
      <c r="K48" s="37"/>
      <c r="L48" s="93" t="str">
        <f aca="false">IF(K48=0,"",K48/K$11)</f>
        <v/>
      </c>
    </row>
    <row r="49" customFormat="false" ht="22.5" hidden="false" customHeight="true" outlineLevel="0" collapsed="false">
      <c r="B49" s="98" t="s">
        <v>102</v>
      </c>
      <c r="C49" s="99" t="n">
        <f aca="false">SUM(C50:C55)</f>
        <v>11676176</v>
      </c>
      <c r="D49" s="102" t="n">
        <f aca="false">IF(C49=0,"",C49/C$11)</f>
        <v>0.0368617951972987</v>
      </c>
      <c r="E49" s="99" t="n">
        <f aca="false">SUM(E50:E55)</f>
        <v>50657768</v>
      </c>
      <c r="F49" s="102" t="n">
        <f aca="false">IF(E49=0,"",E49/E$11)</f>
        <v>0.114127988905424</v>
      </c>
      <c r="G49" s="99" t="n">
        <f aca="false">SUM(G50:G55)</f>
        <v>25990527</v>
      </c>
      <c r="H49" s="102" t="n">
        <f aca="false">IF(G49=0,"",G49/G$11)</f>
        <v>0.061519752243891</v>
      </c>
      <c r="I49" s="99" t="n">
        <f aca="false">SUM(I50:I55)</f>
        <v>0</v>
      </c>
      <c r="J49" s="102" t="str">
        <f aca="false">IF(I49=0,"",I49/I$11)</f>
        <v/>
      </c>
      <c r="K49" s="99" t="n">
        <f aca="false">SUM(K50:K55)</f>
        <v>0</v>
      </c>
      <c r="L49" s="102" t="str">
        <f aca="false">IF(K49=0,"",K49/K$11)</f>
        <v/>
      </c>
    </row>
    <row r="50" customFormat="false" ht="22.5" hidden="false" customHeight="true" outlineLevel="0" collapsed="false">
      <c r="B50" s="103" t="s">
        <v>103</v>
      </c>
      <c r="C50" s="35"/>
      <c r="D50" s="90" t="str">
        <f aca="false">IF(C50=0,"",C50/C$11)</f>
        <v/>
      </c>
      <c r="E50" s="35" t="n">
        <v>27860505</v>
      </c>
      <c r="F50" s="90" t="n">
        <f aca="false">IF(E50=0,"",E50/E$11)</f>
        <v>0.0627675385449177</v>
      </c>
      <c r="G50" s="35" t="n">
        <v>565843</v>
      </c>
      <c r="H50" s="90" t="n">
        <f aca="false">IF(G50=0,"",G50/G$11)</f>
        <v>0.00133935418735219</v>
      </c>
      <c r="I50" s="35"/>
      <c r="J50" s="90" t="str">
        <f aca="false">IF(I50=0,"",I50/I$11)</f>
        <v/>
      </c>
      <c r="K50" s="35"/>
      <c r="L50" s="90" t="str">
        <f aca="false">IF(K50=0,"",K50/K$11)</f>
        <v/>
      </c>
    </row>
    <row r="51" customFormat="false" ht="22.5" hidden="false" customHeight="true" outlineLevel="0" collapsed="false">
      <c r="B51" s="104" t="s">
        <v>104</v>
      </c>
      <c r="C51" s="35" t="n">
        <v>2</v>
      </c>
      <c r="D51" s="90" t="n">
        <f aca="false">IF(C51=0,"",C51/C$11)</f>
        <v>6.31401842474775E-009</v>
      </c>
      <c r="E51" s="35"/>
      <c r="F51" s="90" t="str">
        <f aca="false">IF(E51=0,"",E51/E$11)</f>
        <v/>
      </c>
      <c r="G51" s="35"/>
      <c r="H51" s="90" t="str">
        <f aca="false">IF(G51=0,"",G51/G$11)</f>
        <v/>
      </c>
      <c r="I51" s="35"/>
      <c r="J51" s="90" t="str">
        <f aca="false">IF(I51=0,"",I51/I$11)</f>
        <v/>
      </c>
      <c r="K51" s="35"/>
      <c r="L51" s="90" t="str">
        <f aca="false">IF(K51=0,"",K51/K$11)</f>
        <v/>
      </c>
    </row>
    <row r="52" customFormat="false" ht="22.5" hidden="false" customHeight="true" outlineLevel="0" collapsed="false">
      <c r="B52" s="104" t="s">
        <v>105</v>
      </c>
      <c r="C52" s="35" t="n">
        <v>6722798</v>
      </c>
      <c r="D52" s="90" t="n">
        <f aca="false">IF(C52=0,"",C52/C$11)</f>
        <v>0.0212239352189286</v>
      </c>
      <c r="E52" s="35" t="n">
        <v>17217311</v>
      </c>
      <c r="F52" s="90" t="n">
        <f aca="false">IF(E52=0,"",E52/E$11)</f>
        <v>0.0387892549626195</v>
      </c>
      <c r="G52" s="35" t="n">
        <v>19844732</v>
      </c>
      <c r="H52" s="90" t="n">
        <f aca="false">IF(G52=0,"",G52/G$11)</f>
        <v>0.0469726141369283</v>
      </c>
      <c r="I52" s="35"/>
      <c r="J52" s="90" t="str">
        <f aca="false">IF(I52=0,"",I52/I$11)</f>
        <v/>
      </c>
      <c r="K52" s="35"/>
      <c r="L52" s="90" t="str">
        <f aca="false">IF(K52=0,"",K52/K$11)</f>
        <v/>
      </c>
    </row>
    <row r="53" customFormat="false" ht="22.5" hidden="false" customHeight="true" outlineLevel="0" collapsed="false">
      <c r="B53" s="104" t="s">
        <v>106</v>
      </c>
      <c r="C53" s="35" t="n">
        <v>4953376</v>
      </c>
      <c r="D53" s="90" t="n">
        <f aca="false">IF(C53=0,"",C53/C$11)</f>
        <v>0.0156378536643516</v>
      </c>
      <c r="E53" s="35" t="n">
        <v>5579952</v>
      </c>
      <c r="F53" s="90" t="n">
        <f aca="false">IF(E53=0,"",E53/E$11)</f>
        <v>0.0125711953978864</v>
      </c>
      <c r="G53" s="35" t="n">
        <v>5579952</v>
      </c>
      <c r="H53" s="90" t="n">
        <f aca="false">IF(G53=0,"",G53/G$11)</f>
        <v>0.0132077839196106</v>
      </c>
      <c r="I53" s="35"/>
      <c r="J53" s="90" t="str">
        <f aca="false">IF(I53=0,"",I53/I$11)</f>
        <v/>
      </c>
      <c r="K53" s="35"/>
      <c r="L53" s="90" t="str">
        <f aca="false">IF(K53=0,"",K53/K$11)</f>
        <v/>
      </c>
    </row>
    <row r="54" customFormat="false" ht="22.5" hidden="false" customHeight="true" outlineLevel="0" collapsed="false">
      <c r="B54" s="104"/>
      <c r="C54" s="35"/>
      <c r="D54" s="90" t="str">
        <f aca="false">IF(C54=0,"",C54/C$11)</f>
        <v/>
      </c>
      <c r="E54" s="35"/>
      <c r="F54" s="90" t="str">
        <f aca="false">IF(E54=0,"",E54/E$11)</f>
        <v/>
      </c>
      <c r="G54" s="35"/>
      <c r="H54" s="90" t="str">
        <f aca="false">IF(G54=0,"",G54/G$11)</f>
        <v/>
      </c>
      <c r="I54" s="35"/>
      <c r="J54" s="90" t="str">
        <f aca="false">IF(I54=0,"",I54/I$11)</f>
        <v/>
      </c>
      <c r="K54" s="35"/>
      <c r="L54" s="90" t="str">
        <f aca="false">IF(K54=0,"",K54/K$11)</f>
        <v/>
      </c>
    </row>
    <row r="55" customFormat="false" ht="22.5" hidden="false" customHeight="true" outlineLevel="0" collapsed="false">
      <c r="B55" s="105"/>
      <c r="C55" s="37"/>
      <c r="D55" s="93" t="str">
        <f aca="false">IF(C55=0,"",C55/C$11)</f>
        <v/>
      </c>
      <c r="E55" s="37"/>
      <c r="F55" s="93" t="str">
        <f aca="false">IF(E55=0,"",E55/E$11)</f>
        <v/>
      </c>
      <c r="G55" s="37"/>
      <c r="H55" s="93" t="str">
        <f aca="false">IF(G55=0,"",G55/G$11)</f>
        <v/>
      </c>
      <c r="I55" s="37"/>
      <c r="J55" s="93" t="str">
        <f aca="false">IF(I55=0,"",I55/I$11)</f>
        <v/>
      </c>
      <c r="K55" s="37"/>
      <c r="L55" s="93" t="str">
        <f aca="false">IF(K55=0,"",K55/K$11)</f>
        <v/>
      </c>
    </row>
    <row r="56" customFormat="false" ht="22.5" hidden="false" customHeight="true" outlineLevel="0" collapsed="false">
      <c r="B56" s="94" t="s">
        <v>107</v>
      </c>
      <c r="C56" s="95" t="n">
        <f aca="false">C41+C42-C49</f>
        <v>-5010607</v>
      </c>
      <c r="D56" s="96" t="n">
        <f aca="false">IF(C56=0,"",C56/C$11)</f>
        <v>-0.015818532458585</v>
      </c>
      <c r="E56" s="95" t="n">
        <f aca="false">E41+E42-E49</f>
        <v>61255203</v>
      </c>
      <c r="F56" s="96" t="n">
        <f aca="false">IF(E56=0,"",E56/E$11)</f>
        <v>0.138003181039944</v>
      </c>
      <c r="G56" s="95" t="n">
        <f aca="false">G41+G42-G49</f>
        <v>51439037</v>
      </c>
      <c r="H56" s="96" t="n">
        <f aca="false">IF(G56=0,"",G56/G$11)</f>
        <v>0.121756546602704</v>
      </c>
      <c r="I56" s="95" t="n">
        <f aca="false">I41+I42-I49</f>
        <v>0</v>
      </c>
      <c r="J56" s="96" t="str">
        <f aca="false">IF(I56=0,"",I56/I$11)</f>
        <v/>
      </c>
      <c r="K56" s="95" t="n">
        <f aca="false">K41+K42-K49</f>
        <v>0</v>
      </c>
      <c r="L56" s="96" t="str">
        <f aca="false">IF(K56=0,"",K56/K$11)</f>
        <v/>
      </c>
    </row>
    <row r="57" customFormat="false" ht="22.5" hidden="false" customHeight="true" outlineLevel="0" collapsed="false">
      <c r="B57" s="98" t="s">
        <v>108</v>
      </c>
      <c r="C57" s="99" t="n">
        <f aca="false">SUM(C58:C60)</f>
        <v>159573</v>
      </c>
      <c r="D57" s="100" t="n">
        <f aca="false">IF(C57=0,"",C57/C$11)</f>
        <v>0.000503773431046136</v>
      </c>
      <c r="E57" s="99" t="n">
        <f aca="false">SUM(E58:E60)</f>
        <v>20697447</v>
      </c>
      <c r="F57" s="100" t="n">
        <f aca="false">IF(E57=0,"",E57/E$11)</f>
        <v>0.0466297291579565</v>
      </c>
      <c r="G57" s="99" t="n">
        <f aca="false">SUM(G58:G60)</f>
        <v>13808861</v>
      </c>
      <c r="H57" s="100" t="n">
        <f aca="false">IF(G57=0,"",G57/G$11)</f>
        <v>0.03268566687741</v>
      </c>
      <c r="I57" s="99" t="n">
        <f aca="false">SUM(I58:I60)</f>
        <v>0</v>
      </c>
      <c r="J57" s="100" t="str">
        <f aca="false">IF(I57=0,"",I57/I$11)</f>
        <v/>
      </c>
      <c r="K57" s="99" t="n">
        <f aca="false">SUM(K58:K60)</f>
        <v>0</v>
      </c>
      <c r="L57" s="100" t="str">
        <f aca="false">IF(K57=0,"",K57/K$11)</f>
        <v/>
      </c>
    </row>
    <row r="58" customFormat="false" ht="22.5" hidden="false" customHeight="true" outlineLevel="0" collapsed="false">
      <c r="B58" s="104" t="s">
        <v>108</v>
      </c>
      <c r="C58" s="35" t="n">
        <v>159573</v>
      </c>
      <c r="D58" s="90" t="n">
        <f aca="false">IF(C58=0,"",C58/C$11)</f>
        <v>0.000503773431046136</v>
      </c>
      <c r="E58" s="35" t="n">
        <v>20697447</v>
      </c>
      <c r="F58" s="90" t="n">
        <f aca="false">IF(E58=0,"",E58/E$11)</f>
        <v>0.0466297291579565</v>
      </c>
      <c r="G58" s="35" t="n">
        <v>13808861</v>
      </c>
      <c r="H58" s="90" t="n">
        <f aca="false">IF(G58=0,"",G58/G$11)</f>
        <v>0.03268566687741</v>
      </c>
      <c r="I58" s="35"/>
      <c r="J58" s="90" t="str">
        <f aca="false">IF(I58=0,"",I58/I$11)</f>
        <v/>
      </c>
      <c r="K58" s="35"/>
      <c r="L58" s="90" t="str">
        <f aca="false">IF(K58=0,"",K58/K$11)</f>
        <v/>
      </c>
    </row>
    <row r="59" customFormat="false" ht="22.5" hidden="false" customHeight="true" outlineLevel="0" collapsed="false">
      <c r="B59" s="104"/>
      <c r="C59" s="35"/>
      <c r="D59" s="90" t="str">
        <f aca="false">IF(C59=0,"",C59/C$11)</f>
        <v/>
      </c>
      <c r="E59" s="35"/>
      <c r="F59" s="90" t="str">
        <f aca="false">IF(E59=0,"",E59/E$11)</f>
        <v/>
      </c>
      <c r="G59" s="35"/>
      <c r="H59" s="90" t="str">
        <f aca="false">IF(G59=0,"",G59/G$11)</f>
        <v/>
      </c>
      <c r="I59" s="35"/>
      <c r="J59" s="90" t="str">
        <f aca="false">IF(I59=0,"",I59/I$11)</f>
        <v/>
      </c>
      <c r="K59" s="35"/>
      <c r="L59" s="90" t="str">
        <f aca="false">IF(K59=0,"",K59/K$11)</f>
        <v/>
      </c>
    </row>
    <row r="60" customFormat="false" ht="22.5" hidden="false" customHeight="true" outlineLevel="0" collapsed="false">
      <c r="B60" s="106"/>
      <c r="C60" s="37"/>
      <c r="D60" s="93" t="str">
        <f aca="false">IF(C60=0,"",C60/C$11)</f>
        <v/>
      </c>
      <c r="E60" s="37"/>
      <c r="F60" s="93" t="str">
        <f aca="false">IF(E60=0,"",E60/E$11)</f>
        <v/>
      </c>
      <c r="G60" s="37"/>
      <c r="H60" s="93" t="str">
        <f aca="false">IF(G60=0,"",G60/G$11)</f>
        <v/>
      </c>
      <c r="I60" s="37"/>
      <c r="J60" s="93" t="str">
        <f aca="false">IF(I60=0,"",I60/I$11)</f>
        <v/>
      </c>
      <c r="K60" s="37"/>
      <c r="L60" s="93" t="str">
        <f aca="false">IF(K60=0,"",K60/K$11)</f>
        <v/>
      </c>
    </row>
    <row r="61" customFormat="false" ht="22.5" hidden="false" customHeight="true" outlineLevel="0" collapsed="false">
      <c r="B61" s="94" t="s">
        <v>109</v>
      </c>
      <c r="C61" s="95" t="n">
        <f aca="false">C56-C57</f>
        <v>-5170180</v>
      </c>
      <c r="D61" s="96" t="n">
        <f aca="false">IF(C61=0,"",C61/C$11)</f>
        <v>-0.0163223058896312</v>
      </c>
      <c r="E61" s="95" t="n">
        <f aca="false">E56-E57</f>
        <v>40557756</v>
      </c>
      <c r="F61" s="96" t="n">
        <f aca="false">IF(E61=0,"",E61/E$11)</f>
        <v>0.0913734518819873</v>
      </c>
      <c r="G61" s="95" t="n">
        <f aca="false">G56-G57</f>
        <v>37630176</v>
      </c>
      <c r="H61" s="96" t="n">
        <f aca="false">IF(G61=0,"",G61/G$11)</f>
        <v>0.0890708797252943</v>
      </c>
      <c r="I61" s="95" t="n">
        <f aca="false">I56-I57</f>
        <v>0</v>
      </c>
      <c r="J61" s="96" t="str">
        <f aca="false">IF(I61=0,"",I61/I$11)</f>
        <v/>
      </c>
      <c r="K61" s="95" t="n">
        <f aca="false">K56-K57</f>
        <v>0</v>
      </c>
      <c r="L61" s="96" t="str">
        <f aca="false">IF(K61=0,"",K61/K$11)</f>
        <v/>
      </c>
    </row>
    <row r="62" customFormat="false" ht="18" hidden="false" customHeight="true" outlineLevel="0" collapsed="false">
      <c r="C62" s="43"/>
      <c r="D62" s="107"/>
      <c r="E62" s="43"/>
      <c r="F62" s="107"/>
      <c r="G62" s="43"/>
      <c r="H62" s="108"/>
      <c r="I62" s="76"/>
      <c r="J62" s="107"/>
      <c r="K62" s="43"/>
      <c r="L62" s="107"/>
    </row>
    <row r="63" customFormat="false" ht="18" hidden="false" customHeight="true" outlineLevel="0" collapsed="false">
      <c r="C63" s="43" t="n">
        <v>-5170180</v>
      </c>
      <c r="D63" s="107"/>
      <c r="E63" s="43" t="n">
        <v>40557756</v>
      </c>
      <c r="F63" s="107"/>
      <c r="G63" s="43" t="n">
        <v>37630176</v>
      </c>
      <c r="H63" s="108"/>
      <c r="I63" s="76"/>
      <c r="J63" s="107"/>
      <c r="K63" s="43"/>
      <c r="L63" s="107"/>
    </row>
    <row r="64" customFormat="false" ht="18" hidden="false" customHeight="true" outlineLevel="0" collapsed="false">
      <c r="C64" s="43" t="n">
        <f aca="false">C63=C61</f>
        <v>1</v>
      </c>
      <c r="D64" s="107"/>
      <c r="E64" s="43" t="n">
        <f aca="false">E63=E61</f>
        <v>1</v>
      </c>
      <c r="F64" s="107"/>
      <c r="G64" s="43" t="n">
        <f aca="false">G63=G61</f>
        <v>1</v>
      </c>
      <c r="H64" s="108"/>
      <c r="I64" s="76"/>
      <c r="J64" s="107"/>
      <c r="K64" s="43"/>
      <c r="L64" s="107"/>
    </row>
    <row r="65" customFormat="false" ht="18" hidden="false" customHeight="true" outlineLevel="0" collapsed="false">
      <c r="C65" s="43"/>
      <c r="D65" s="107"/>
      <c r="E65" s="43"/>
      <c r="F65" s="107"/>
      <c r="G65" s="43"/>
      <c r="H65" s="108"/>
      <c r="I65" s="76"/>
      <c r="J65" s="107"/>
      <c r="K65" s="43"/>
      <c r="L65" s="107"/>
    </row>
    <row r="66" customFormat="false" ht="18" hidden="false" customHeight="true" outlineLevel="0" collapsed="false">
      <c r="C66" s="43"/>
      <c r="D66" s="107"/>
      <c r="E66" s="43"/>
      <c r="F66" s="107"/>
      <c r="G66" s="43"/>
      <c r="H66" s="108"/>
      <c r="I66" s="76"/>
      <c r="J66" s="107"/>
      <c r="K66" s="43"/>
      <c r="L66" s="107"/>
    </row>
    <row r="67" customFormat="false" ht="18" hidden="false" customHeight="true" outlineLevel="0" collapsed="false">
      <c r="C67" s="43"/>
      <c r="D67" s="107"/>
      <c r="E67" s="43"/>
      <c r="F67" s="107"/>
      <c r="G67" s="43"/>
      <c r="H67" s="108"/>
      <c r="I67" s="76"/>
      <c r="J67" s="107"/>
      <c r="K67" s="43"/>
      <c r="L67" s="107"/>
    </row>
    <row r="68" customFormat="false" ht="18" hidden="false" customHeight="true" outlineLevel="0" collapsed="false">
      <c r="C68" s="43"/>
      <c r="D68" s="107"/>
      <c r="E68" s="43"/>
      <c r="F68" s="43"/>
      <c r="G68" s="43"/>
      <c r="H68" s="108"/>
      <c r="I68" s="76"/>
      <c r="J68" s="107"/>
      <c r="K68" s="43"/>
      <c r="L68" s="107"/>
    </row>
    <row r="69" customFormat="false" ht="18" hidden="false" customHeight="true" outlineLevel="0" collapsed="false">
      <c r="C69" s="43"/>
      <c r="D69" s="107"/>
      <c r="E69" s="43"/>
      <c r="F69" s="43"/>
      <c r="G69" s="43"/>
      <c r="H69" s="108"/>
      <c r="I69" s="76"/>
      <c r="J69" s="107"/>
      <c r="K69" s="43"/>
      <c r="L69" s="107"/>
    </row>
    <row r="70" customFormat="false" ht="18" hidden="false" customHeight="true" outlineLevel="0" collapsed="false">
      <c r="C70" s="43"/>
      <c r="D70" s="107"/>
      <c r="E70" s="43"/>
      <c r="F70" s="43"/>
      <c r="G70" s="43"/>
      <c r="H70" s="108"/>
      <c r="I70" s="76"/>
      <c r="J70" s="107"/>
      <c r="K70" s="43"/>
      <c r="L70" s="43"/>
    </row>
    <row r="71" customFormat="false" ht="18" hidden="false" customHeight="true" outlineLevel="0" collapsed="false">
      <c r="C71" s="43"/>
      <c r="D71" s="107"/>
      <c r="E71" s="43"/>
      <c r="F71" s="43"/>
      <c r="G71" s="43"/>
      <c r="H71" s="108"/>
      <c r="I71" s="76"/>
      <c r="J71" s="107"/>
      <c r="K71" s="43"/>
      <c r="L71" s="43"/>
    </row>
    <row r="72" customFormat="false" ht="18" hidden="false" customHeight="true" outlineLevel="0" collapsed="false">
      <c r="C72" s="43"/>
      <c r="D72" s="43"/>
      <c r="E72" s="43"/>
      <c r="F72" s="43"/>
      <c r="G72" s="43"/>
      <c r="H72" s="108"/>
      <c r="I72" s="76"/>
      <c r="J72" s="107"/>
      <c r="K72" s="43"/>
      <c r="L72" s="43"/>
    </row>
    <row r="73" customFormat="false" ht="18" hidden="false" customHeight="true" outlineLevel="0" collapsed="false">
      <c r="C73" s="43"/>
      <c r="D73" s="43"/>
      <c r="E73" s="43"/>
      <c r="F73" s="43"/>
      <c r="G73" s="43"/>
      <c r="H73" s="108"/>
      <c r="I73" s="76"/>
      <c r="J73" s="107"/>
      <c r="K73" s="43"/>
      <c r="L73" s="43"/>
    </row>
    <row r="74" customFormat="false" ht="18" hidden="false" customHeight="true" outlineLevel="0" collapsed="false">
      <c r="C74" s="43"/>
      <c r="D74" s="43"/>
      <c r="E74" s="43"/>
      <c r="F74" s="43"/>
      <c r="G74" s="43"/>
      <c r="H74" s="108"/>
      <c r="I74" s="76"/>
      <c r="J74" s="107"/>
      <c r="K74" s="43"/>
      <c r="L74" s="43"/>
    </row>
    <row r="75" customFormat="false" ht="18" hidden="false" customHeight="true" outlineLevel="0" collapsed="false">
      <c r="C75" s="43"/>
      <c r="D75" s="43"/>
      <c r="E75" s="43"/>
      <c r="F75" s="43"/>
      <c r="G75" s="43"/>
      <c r="H75" s="108"/>
      <c r="I75" s="76"/>
      <c r="J75" s="107"/>
      <c r="K75" s="43"/>
      <c r="L75" s="43"/>
    </row>
    <row r="76" customFormat="false" ht="18" hidden="false" customHeight="true" outlineLevel="0" collapsed="false">
      <c r="C76" s="43"/>
      <c r="D76" s="43"/>
      <c r="E76" s="43"/>
      <c r="F76" s="43"/>
      <c r="G76" s="43"/>
      <c r="H76" s="76"/>
      <c r="I76" s="76"/>
      <c r="J76" s="107"/>
      <c r="K76" s="43"/>
      <c r="L76" s="43"/>
    </row>
    <row r="77" customFormat="false" ht="18" hidden="false" customHeight="true" outlineLevel="0" collapsed="false">
      <c r="C77" s="43"/>
      <c r="D77" s="43"/>
      <c r="E77" s="43"/>
      <c r="F77" s="43"/>
      <c r="G77" s="43"/>
      <c r="H77" s="76"/>
      <c r="I77" s="76"/>
      <c r="J77" s="107"/>
      <c r="K77" s="43"/>
      <c r="L77" s="43"/>
    </row>
    <row r="78" customFormat="false" ht="18" hidden="false" customHeight="true" outlineLevel="0" collapsed="false">
      <c r="C78" s="43"/>
      <c r="D78" s="43"/>
      <c r="E78" s="43"/>
      <c r="F78" s="43"/>
      <c r="G78" s="43"/>
      <c r="H78" s="76"/>
      <c r="I78" s="76"/>
      <c r="J78" s="107"/>
      <c r="K78" s="43"/>
      <c r="L78" s="43"/>
    </row>
    <row r="79" customFormat="false" ht="18" hidden="false" customHeight="true" outlineLevel="0" collapsed="false">
      <c r="C79" s="43"/>
      <c r="D79" s="43"/>
      <c r="E79" s="43"/>
      <c r="F79" s="43"/>
      <c r="G79" s="43"/>
      <c r="H79" s="76"/>
      <c r="I79" s="76"/>
      <c r="J79" s="107"/>
      <c r="K79" s="43"/>
      <c r="L79" s="43"/>
    </row>
    <row r="80" customFormat="false" ht="18" hidden="false" customHeight="true" outlineLevel="0" collapsed="false">
      <c r="C80" s="43"/>
      <c r="D80" s="43"/>
      <c r="E80" s="43"/>
      <c r="F80" s="43"/>
      <c r="G80" s="43"/>
      <c r="H80" s="76"/>
      <c r="I80" s="76"/>
      <c r="J80" s="107"/>
      <c r="K80" s="43"/>
      <c r="L80" s="43"/>
    </row>
    <row r="81" customFormat="false" ht="18" hidden="false" customHeight="true" outlineLevel="0" collapsed="false">
      <c r="C81" s="43"/>
      <c r="D81" s="43"/>
      <c r="E81" s="43"/>
      <c r="F81" s="43"/>
      <c r="G81" s="43"/>
      <c r="H81" s="76"/>
      <c r="I81" s="76"/>
      <c r="J81" s="43"/>
      <c r="K81" s="43"/>
      <c r="L81" s="43"/>
    </row>
    <row r="82" customFormat="false" ht="18" hidden="false" customHeight="true" outlineLevel="0" collapsed="false">
      <c r="C82" s="43"/>
      <c r="D82" s="43"/>
      <c r="E82" s="43"/>
      <c r="F82" s="43"/>
      <c r="G82" s="43"/>
      <c r="H82" s="76"/>
      <c r="I82" s="76"/>
      <c r="J82" s="43"/>
      <c r="K82" s="43"/>
      <c r="L82"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62"/>
  <sheetViews>
    <sheetView showFormulas="false" showGridLines="false" showRowColHeaders="true" showZeros="true" rightToLeft="false" tabSelected="false" showOutlineSymbols="true" defaultGridColor="true" view="normal" topLeftCell="A2" colorId="64" zoomScale="85" zoomScaleNormal="85" zoomScalePageLayoutView="100" workbookViewId="0">
      <pane xSplit="0" ySplit="5" topLeftCell="A7" activePane="bottomLeft" state="frozen"/>
      <selection pane="topLeft" activeCell="A2" activeCellId="0" sqref="A2"/>
      <selection pane="bottomLeft" activeCell="A7" activeCellId="0" sqref="A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07" width="15"/>
    <col collapsed="false" customWidth="true" hidden="false" outlineLevel="0" max="5" min="5" style="20" width="15"/>
    <col collapsed="false" customWidth="true" hidden="false" outlineLevel="0" max="6" min="6" style="107" width="15"/>
    <col collapsed="false" customWidth="true" hidden="false" outlineLevel="0" max="7" min="7" style="20" width="15"/>
    <col collapsed="false" customWidth="true" hidden="false" outlineLevel="0" max="8" min="8" style="108" width="15"/>
    <col collapsed="false" customWidth="true" hidden="true" outlineLevel="0" max="9" min="9" style="46" width="15"/>
    <col collapsed="false" customWidth="true" hidden="true" outlineLevel="0" max="10" min="10" style="107" width="15"/>
    <col collapsed="false" customWidth="true" hidden="true" outlineLevel="0" max="11" min="11" style="20" width="15"/>
    <col collapsed="false" customWidth="true" hidden="true" outlineLevel="0" max="12" min="12" style="107" width="15"/>
    <col collapsed="false" customWidth="true" hidden="false" outlineLevel="0" max="13" min="13" style="20" width="16.13"/>
    <col collapsed="false" customWidth="true" hidden="false" outlineLevel="0" max="14" min="14" style="20" width="8.75"/>
  </cols>
  <sheetData>
    <row r="4" customFormat="false" ht="18.75" hidden="false" customHeight="true" outlineLevel="0" collapsed="false">
      <c r="B4" s="2"/>
      <c r="C4" s="46"/>
      <c r="D4" s="109"/>
      <c r="G4" s="46"/>
      <c r="H4" s="47" t="s">
        <v>49</v>
      </c>
      <c r="I4" s="2"/>
      <c r="K4" s="46"/>
      <c r="L4" s="109"/>
    </row>
    <row r="5" customFormat="false" ht="19.5" hidden="false" customHeight="true" outlineLevel="0" collapsed="false">
      <c r="B5" s="110" t="s">
        <v>6</v>
      </c>
      <c r="C5" s="79" t="str">
        <f aca="false">'BS(借方)'!C4</f>
        <v>24年1月期</v>
      </c>
      <c r="D5" s="79"/>
      <c r="E5" s="80" t="str">
        <f aca="false">'BS(借方)'!D4</f>
        <v>25年1月期</v>
      </c>
      <c r="F5" s="80"/>
      <c r="G5" s="81" t="str">
        <f aca="false">'BS(借方)'!E4</f>
        <v>26年1月期</v>
      </c>
      <c r="H5" s="81"/>
      <c r="I5" s="82" t="str">
        <f aca="false">'BS(借方)'!F4</f>
        <v>●●年●月期</v>
      </c>
      <c r="J5" s="82"/>
      <c r="K5" s="111" t="str">
        <f aca="false">'BS(借方)'!G4</f>
        <v>●●年●月
（●か月TB）</v>
      </c>
      <c r="L5" s="111"/>
    </row>
    <row r="6" customFormat="false" ht="19.5" hidden="false" customHeight="true" outlineLevel="0" collapsed="false">
      <c r="B6" s="110"/>
      <c r="C6" s="112" t="s">
        <v>72</v>
      </c>
      <c r="D6" s="113" t="s">
        <v>73</v>
      </c>
      <c r="E6" s="112" t="s">
        <v>72</v>
      </c>
      <c r="F6" s="114" t="s">
        <v>73</v>
      </c>
      <c r="G6" s="112" t="s">
        <v>72</v>
      </c>
      <c r="H6" s="113" t="s">
        <v>73</v>
      </c>
      <c r="I6" s="112" t="s">
        <v>72</v>
      </c>
      <c r="J6" s="113" t="s">
        <v>73</v>
      </c>
      <c r="K6" s="115" t="s">
        <v>72</v>
      </c>
      <c r="L6" s="116" t="s">
        <v>73</v>
      </c>
    </row>
    <row r="7" customFormat="false" ht="22.5" hidden="false" customHeight="true" outlineLevel="0" collapsed="false">
      <c r="A7" s="117" t="s">
        <v>110</v>
      </c>
      <c r="B7" s="118" t="s">
        <v>111</v>
      </c>
      <c r="C7" s="119" t="n">
        <f aca="false">PL!C11</f>
        <v>316755490</v>
      </c>
      <c r="D7" s="120" t="s">
        <v>112</v>
      </c>
      <c r="E7" s="121" t="n">
        <f aca="false">PL!E11</f>
        <v>443868051</v>
      </c>
      <c r="F7" s="120" t="s">
        <v>112</v>
      </c>
      <c r="G7" s="121" t="n">
        <f aca="false">PL!G11</f>
        <v>422474507</v>
      </c>
      <c r="H7" s="120" t="s">
        <v>112</v>
      </c>
      <c r="I7" s="121" t="n">
        <f aca="false">PL!I11</f>
        <v>0</v>
      </c>
      <c r="J7" s="120" t="s">
        <v>112</v>
      </c>
      <c r="K7" s="121" t="n">
        <f aca="false">PL!K11</f>
        <v>0</v>
      </c>
      <c r="L7" s="120" t="s">
        <v>112</v>
      </c>
    </row>
    <row r="8" customFormat="false" ht="22.5" hidden="false" customHeight="true" outlineLevel="0" collapsed="false">
      <c r="B8" s="122"/>
      <c r="C8" s="60"/>
      <c r="D8" s="90" t="str">
        <f aca="false">IF(C8=0,"",C8/C$7)</f>
        <v/>
      </c>
      <c r="E8" s="35"/>
      <c r="F8" s="90" t="str">
        <f aca="false">IF(E8=0,"",E8/E$7)</f>
        <v/>
      </c>
      <c r="G8" s="35"/>
      <c r="H8" s="90" t="str">
        <f aca="false">IF(G8=0,"",G8/G$7)</f>
        <v/>
      </c>
      <c r="I8" s="35"/>
      <c r="J8" s="90" t="str">
        <f aca="false">IF(I8=0,"",I8/I$7)</f>
        <v/>
      </c>
      <c r="K8" s="35"/>
      <c r="L8" s="90" t="str">
        <f aca="false">IF(K8=0,"",K8/K$7)</f>
        <v/>
      </c>
    </row>
    <row r="9" customFormat="false" ht="22.5" hidden="false" customHeight="true" outlineLevel="0" collapsed="false">
      <c r="B9" s="91"/>
      <c r="C9" s="60"/>
      <c r="D9" s="90" t="str">
        <f aca="false">IF(C9=0,"",C9/C$7)</f>
        <v/>
      </c>
      <c r="E9" s="35"/>
      <c r="F9" s="90" t="str">
        <f aca="false">IF(E9=0,"",E9/E$7)</f>
        <v/>
      </c>
      <c r="G9" s="35"/>
      <c r="H9" s="90" t="str">
        <f aca="false">IF(G9=0,"",G9/G$7)</f>
        <v/>
      </c>
      <c r="I9" s="35"/>
      <c r="J9" s="90" t="str">
        <f aca="false">IF(I9=0,"",I9/I$7)</f>
        <v/>
      </c>
      <c r="K9" s="35"/>
      <c r="L9" s="90" t="str">
        <f aca="false">IF(K9=0,"",K9/K$7)</f>
        <v/>
      </c>
    </row>
    <row r="10" customFormat="false" ht="22.5" hidden="false" customHeight="true" outlineLevel="0" collapsed="false">
      <c r="B10" s="91"/>
      <c r="C10" s="60"/>
      <c r="D10" s="90" t="str">
        <f aca="false">IF(C10=0,"",C10/C$7)</f>
        <v/>
      </c>
      <c r="E10" s="35"/>
      <c r="F10" s="90" t="str">
        <f aca="false">IF(E10=0,"",E10/E$7)</f>
        <v/>
      </c>
      <c r="G10" s="35"/>
      <c r="H10" s="90" t="str">
        <f aca="false">IF(G10=0,"",G10/G$7)</f>
        <v/>
      </c>
      <c r="I10" s="35"/>
      <c r="J10" s="90" t="str">
        <f aca="false">IF(I10=0,"",I10/I$7)</f>
        <v/>
      </c>
      <c r="K10" s="35"/>
      <c r="L10" s="90" t="str">
        <f aca="false">IF(K10=0,"",K10/K$7)</f>
        <v/>
      </c>
    </row>
    <row r="11" customFormat="false" ht="22.5" hidden="false" customHeight="true" outlineLevel="0" collapsed="false">
      <c r="B11" s="91"/>
      <c r="C11" s="60"/>
      <c r="D11" s="90" t="str">
        <f aca="false">IF(C11=0,"",C11/C$7)</f>
        <v/>
      </c>
      <c r="E11" s="35"/>
      <c r="F11" s="90" t="str">
        <f aca="false">IF(E11=0,"",E11/E$7)</f>
        <v/>
      </c>
      <c r="G11" s="35"/>
      <c r="H11" s="90" t="str">
        <f aca="false">IF(G11=0,"",G11/G$7)</f>
        <v/>
      </c>
      <c r="I11" s="35"/>
      <c r="J11" s="90" t="str">
        <f aca="false">IF(I11=0,"",I11/I$7)</f>
        <v/>
      </c>
      <c r="K11" s="35"/>
      <c r="L11" s="90" t="str">
        <f aca="false">IF(K11=0,"",K11/K$7)</f>
        <v/>
      </c>
    </row>
    <row r="12" customFormat="false" ht="22.5" hidden="false" customHeight="true" outlineLevel="0" collapsed="false">
      <c r="B12" s="91"/>
      <c r="C12" s="60"/>
      <c r="D12" s="90" t="str">
        <f aca="false">IF(C12=0,"",C12/C$7)</f>
        <v/>
      </c>
      <c r="E12" s="35"/>
      <c r="F12" s="90" t="str">
        <f aca="false">IF(E12=0,"",E12/E$7)</f>
        <v/>
      </c>
      <c r="G12" s="35"/>
      <c r="H12" s="90" t="str">
        <f aca="false">IF(G12=0,"",G12/G$7)</f>
        <v/>
      </c>
      <c r="I12" s="35"/>
      <c r="J12" s="90" t="str">
        <f aca="false">IF(I12=0,"",I12/I$7)</f>
        <v/>
      </c>
      <c r="K12" s="35"/>
      <c r="L12" s="90" t="str">
        <f aca="false">IF(K12=0,"",K12/K$7)</f>
        <v/>
      </c>
    </row>
    <row r="13" customFormat="false" ht="22.5" hidden="false" customHeight="true" outlineLevel="0" collapsed="false">
      <c r="B13" s="92"/>
      <c r="C13" s="64"/>
      <c r="D13" s="93" t="str">
        <f aca="false">IF(C13=0,"",C13/C$7)</f>
        <v/>
      </c>
      <c r="E13" s="37"/>
      <c r="F13" s="93" t="str">
        <f aca="false">IF(E13=0,"",E13/E$7)</f>
        <v/>
      </c>
      <c r="G13" s="37"/>
      <c r="H13" s="93" t="str">
        <f aca="false">IF(G13=0,"",G13/G$7)</f>
        <v/>
      </c>
      <c r="I13" s="37"/>
      <c r="J13" s="93" t="str">
        <f aca="false">IF(I13=0,"",I13/I$7)</f>
        <v/>
      </c>
      <c r="K13" s="37"/>
      <c r="L13" s="93" t="str">
        <f aca="false">IF(K13=0,"",K13/K$7)</f>
        <v/>
      </c>
    </row>
    <row r="14" customFormat="false" ht="22.5" hidden="false" customHeight="true" outlineLevel="0" collapsed="false">
      <c r="B14" s="123" t="s">
        <v>113</v>
      </c>
      <c r="C14" s="124" t="n">
        <f aca="false">SUM(C8:C13)</f>
        <v>0</v>
      </c>
      <c r="D14" s="96" t="str">
        <f aca="false">IF(C14=0,"",C14/C$7)</f>
        <v/>
      </c>
      <c r="E14" s="95" t="n">
        <f aca="false">SUM(E8:E13)</f>
        <v>0</v>
      </c>
      <c r="F14" s="96" t="str">
        <f aca="false">IF(E14=0,"",E14/E$7)</f>
        <v/>
      </c>
      <c r="G14" s="95" t="n">
        <f aca="false">SUM(G8:G13)</f>
        <v>0</v>
      </c>
      <c r="H14" s="96" t="str">
        <f aca="false">IF(G14=0,"",G14/G$7)</f>
        <v/>
      </c>
      <c r="I14" s="95" t="n">
        <f aca="false">SUM(I8:I13)</f>
        <v>0</v>
      </c>
      <c r="J14" s="96" t="str">
        <f aca="false">IF(I14=0,"",I14/I$7)</f>
        <v/>
      </c>
      <c r="K14" s="95" t="n">
        <f aca="false">SUM(K8:K13)</f>
        <v>0</v>
      </c>
      <c r="L14" s="96" t="str">
        <f aca="false">IF(K14=0,"",K14/K$7)</f>
        <v/>
      </c>
    </row>
    <row r="15" customFormat="false" ht="22.5" hidden="false" customHeight="true" outlineLevel="0" collapsed="false">
      <c r="B15" s="122"/>
      <c r="C15" s="60"/>
      <c r="D15" s="90" t="str">
        <f aca="false">IF(C15=0,"",C15/C$7)</f>
        <v/>
      </c>
      <c r="E15" s="35"/>
      <c r="F15" s="90" t="str">
        <f aca="false">IF(E15=0,"",E15/E$7)</f>
        <v/>
      </c>
      <c r="G15" s="35"/>
      <c r="H15" s="90" t="str">
        <f aca="false">IF(G15=0,"",G15/G$7)</f>
        <v/>
      </c>
      <c r="I15" s="35"/>
      <c r="J15" s="90" t="str">
        <f aca="false">IF(I15=0,"",I15/I$7)</f>
        <v/>
      </c>
      <c r="K15" s="35"/>
      <c r="L15" s="90" t="str">
        <f aca="false">IF(K15=0,"",K15/K$7)</f>
        <v/>
      </c>
    </row>
    <row r="16" customFormat="false" ht="22.5" hidden="false" customHeight="true" outlineLevel="0" collapsed="false">
      <c r="B16" s="91"/>
      <c r="C16" s="60"/>
      <c r="D16" s="90"/>
      <c r="E16" s="35"/>
      <c r="F16" s="90"/>
      <c r="G16" s="35"/>
      <c r="H16" s="90"/>
      <c r="I16" s="35"/>
      <c r="J16" s="90"/>
      <c r="K16" s="35"/>
      <c r="L16" s="90"/>
    </row>
    <row r="17" customFormat="false" ht="22.5" hidden="false" customHeight="true" outlineLevel="0" collapsed="false">
      <c r="B17" s="91"/>
      <c r="C17" s="60"/>
      <c r="D17" s="90"/>
      <c r="E17" s="35"/>
      <c r="F17" s="90"/>
      <c r="G17" s="35"/>
      <c r="H17" s="90"/>
      <c r="I17" s="35"/>
      <c r="J17" s="90"/>
      <c r="K17" s="35"/>
      <c r="L17" s="90"/>
    </row>
    <row r="18" customFormat="false" ht="22.5" hidden="false" customHeight="true" outlineLevel="0" collapsed="false">
      <c r="B18" s="91"/>
      <c r="C18" s="60"/>
      <c r="D18" s="90" t="str">
        <f aca="false">IF(C18=0,"",C18/C$7)</f>
        <v/>
      </c>
      <c r="E18" s="35"/>
      <c r="F18" s="90" t="str">
        <f aca="false">IF(E18=0,"",E18/E$7)</f>
        <v/>
      </c>
      <c r="G18" s="35"/>
      <c r="H18" s="90" t="str">
        <f aca="false">IF(G18=0,"",G18/G$7)</f>
        <v/>
      </c>
      <c r="I18" s="35"/>
      <c r="J18" s="90" t="str">
        <f aca="false">IF(I18=0,"",I18/I$7)</f>
        <v/>
      </c>
      <c r="K18" s="35"/>
      <c r="L18" s="90" t="str">
        <f aca="false">IF(K18=0,"",K18/K$7)</f>
        <v/>
      </c>
    </row>
    <row r="19" customFormat="false" ht="22.5" hidden="false" customHeight="true" outlineLevel="0" collapsed="false">
      <c r="B19" s="91"/>
      <c r="C19" s="60"/>
      <c r="D19" s="90" t="str">
        <f aca="false">IF(C19=0,"",C19/C$7)</f>
        <v/>
      </c>
      <c r="E19" s="35"/>
      <c r="F19" s="90" t="str">
        <f aca="false">IF(E19=0,"",E19/E$7)</f>
        <v/>
      </c>
      <c r="G19" s="35"/>
      <c r="H19" s="90" t="str">
        <f aca="false">IF(G19=0,"",G19/G$7)</f>
        <v/>
      </c>
      <c r="I19" s="35"/>
      <c r="J19" s="90" t="str">
        <f aca="false">IF(I19=0,"",I19/I$7)</f>
        <v/>
      </c>
      <c r="K19" s="35"/>
      <c r="L19" s="90" t="str">
        <f aca="false">IF(K19=0,"",K19/K$7)</f>
        <v/>
      </c>
    </row>
    <row r="20" customFormat="false" ht="22.5" hidden="false" customHeight="true" outlineLevel="0" collapsed="false">
      <c r="B20" s="91"/>
      <c r="C20" s="60"/>
      <c r="D20" s="90" t="str">
        <f aca="false">IF(C20=0,"",C20/C$7)</f>
        <v/>
      </c>
      <c r="E20" s="35"/>
      <c r="F20" s="90" t="str">
        <f aca="false">IF(E20=0,"",E20/E$7)</f>
        <v/>
      </c>
      <c r="G20" s="35"/>
      <c r="H20" s="90" t="str">
        <f aca="false">IF(G20=0,"",G20/G$7)</f>
        <v/>
      </c>
      <c r="I20" s="35"/>
      <c r="J20" s="90" t="str">
        <f aca="false">IF(I20=0,"",I20/I$7)</f>
        <v/>
      </c>
      <c r="K20" s="35"/>
      <c r="L20" s="90" t="str">
        <f aca="false">IF(K20=0,"",K20/K$7)</f>
        <v/>
      </c>
    </row>
    <row r="21" customFormat="false" ht="22.5" hidden="false" customHeight="true" outlineLevel="0" collapsed="false">
      <c r="B21" s="91"/>
      <c r="C21" s="60"/>
      <c r="D21" s="90" t="str">
        <f aca="false">IF(C21=0,"",C21/C$7)</f>
        <v/>
      </c>
      <c r="E21" s="35"/>
      <c r="F21" s="90" t="str">
        <f aca="false">IF(E21=0,"",E21/E$7)</f>
        <v/>
      </c>
      <c r="G21" s="35"/>
      <c r="H21" s="90" t="str">
        <f aca="false">IF(G21=0,"",G21/G$7)</f>
        <v/>
      </c>
      <c r="I21" s="35"/>
      <c r="J21" s="90" t="str">
        <f aca="false">IF(I21=0,"",I21/I$7)</f>
        <v/>
      </c>
      <c r="K21" s="35"/>
      <c r="L21" s="90" t="str">
        <f aca="false">IF(K21=0,"",K21/K$7)</f>
        <v/>
      </c>
    </row>
    <row r="22" customFormat="false" ht="22.5" hidden="false" customHeight="true" outlineLevel="0" collapsed="false">
      <c r="B22" s="92"/>
      <c r="C22" s="64"/>
      <c r="D22" s="93" t="str">
        <f aca="false">IF(C22=0,"",C22/C$7)</f>
        <v/>
      </c>
      <c r="E22" s="37"/>
      <c r="F22" s="93" t="str">
        <f aca="false">IF(E22=0,"",E22/E$7)</f>
        <v/>
      </c>
      <c r="G22" s="37"/>
      <c r="H22" s="93" t="str">
        <f aca="false">IF(G22=0,"",G22/G$7)</f>
        <v/>
      </c>
      <c r="I22" s="37"/>
      <c r="J22" s="93" t="str">
        <f aca="false">IF(I22=0,"",I22/I$7)</f>
        <v/>
      </c>
      <c r="K22" s="37"/>
      <c r="L22" s="93" t="str">
        <f aca="false">IF(K22=0,"",K22/K$7)</f>
        <v/>
      </c>
    </row>
    <row r="23" customFormat="false" ht="22.5" hidden="false" customHeight="true" outlineLevel="0" collapsed="false">
      <c r="B23" s="123" t="s">
        <v>114</v>
      </c>
      <c r="C23" s="124" t="n">
        <f aca="false">SUM(C15:C22)</f>
        <v>0</v>
      </c>
      <c r="D23" s="96" t="str">
        <f aca="false">IF(C23=0,"",C23/C$7)</f>
        <v/>
      </c>
      <c r="E23" s="95" t="n">
        <f aca="false">SUM(E15:E22)</f>
        <v>0</v>
      </c>
      <c r="F23" s="96" t="str">
        <f aca="false">IF(E23=0,"",E23/E$7)</f>
        <v/>
      </c>
      <c r="G23" s="95" t="n">
        <f aca="false">SUM(G15:G22)</f>
        <v>0</v>
      </c>
      <c r="H23" s="96" t="str">
        <f aca="false">IF(G23=0,"",G23/G$7)</f>
        <v/>
      </c>
      <c r="I23" s="95" t="n">
        <f aca="false">SUM(I15:I22)</f>
        <v>0</v>
      </c>
      <c r="J23" s="96" t="str">
        <f aca="false">IF(I23=0,"",I23/I$7)</f>
        <v/>
      </c>
      <c r="K23" s="95" t="n">
        <f aca="false">SUM(K15:K22)</f>
        <v>0</v>
      </c>
      <c r="L23" s="96" t="str">
        <f aca="false">IF(K23=0,"",K23/K$7)</f>
        <v/>
      </c>
    </row>
    <row r="24" customFormat="false" ht="22.5" hidden="false" customHeight="true" outlineLevel="0" collapsed="false">
      <c r="B24" s="122"/>
      <c r="C24" s="60"/>
      <c r="D24" s="90" t="str">
        <f aca="false">IF(C24=0,"",C24/C$7)</f>
        <v/>
      </c>
      <c r="E24" s="35"/>
      <c r="F24" s="90" t="str">
        <f aca="false">IF(E24=0,"",E24/E$7)</f>
        <v/>
      </c>
      <c r="G24" s="35"/>
      <c r="H24" s="90" t="str">
        <f aca="false">IF(G24=0,"",G24/G$7)</f>
        <v/>
      </c>
      <c r="I24" s="35"/>
      <c r="J24" s="90" t="str">
        <f aca="false">IF(I24=0,"",I24/I$7)</f>
        <v/>
      </c>
      <c r="K24" s="35"/>
      <c r="L24" s="90" t="str">
        <f aca="false">IF(K24=0,"",K24/K$7)</f>
        <v/>
      </c>
    </row>
    <row r="25" customFormat="false" ht="22.5" hidden="false" customHeight="true" outlineLevel="0" collapsed="false">
      <c r="B25" s="91"/>
      <c r="C25" s="60"/>
      <c r="D25" s="90"/>
      <c r="E25" s="35"/>
      <c r="F25" s="90"/>
      <c r="G25" s="35"/>
      <c r="H25" s="90"/>
      <c r="I25" s="35"/>
      <c r="J25" s="90"/>
      <c r="K25" s="35"/>
      <c r="L25" s="90"/>
    </row>
    <row r="26" customFormat="false" ht="22.5" hidden="false" customHeight="true" outlineLevel="0" collapsed="false">
      <c r="B26" s="91"/>
      <c r="C26" s="60"/>
      <c r="D26" s="90"/>
      <c r="E26" s="35"/>
      <c r="F26" s="90"/>
      <c r="G26" s="35"/>
      <c r="H26" s="90"/>
      <c r="I26" s="35"/>
      <c r="J26" s="90"/>
      <c r="K26" s="35"/>
      <c r="L26" s="90"/>
    </row>
    <row r="27" customFormat="false" ht="22.5" hidden="false" customHeight="true" outlineLevel="0" collapsed="false">
      <c r="B27" s="91"/>
      <c r="C27" s="60"/>
      <c r="D27" s="90"/>
      <c r="E27" s="35"/>
      <c r="F27" s="90"/>
      <c r="G27" s="35"/>
      <c r="H27" s="90"/>
      <c r="I27" s="35"/>
      <c r="J27" s="90"/>
      <c r="K27" s="35"/>
      <c r="L27" s="90"/>
    </row>
    <row r="28" customFormat="false" ht="22.5" hidden="false" customHeight="true" outlineLevel="0" collapsed="false">
      <c r="B28" s="91"/>
      <c r="C28" s="60"/>
      <c r="D28" s="90" t="str">
        <f aca="false">IF(C28=0,"",C28/C$7)</f>
        <v/>
      </c>
      <c r="E28" s="35"/>
      <c r="F28" s="90" t="str">
        <f aca="false">IF(E28=0,"",E28/E$7)</f>
        <v/>
      </c>
      <c r="G28" s="35"/>
      <c r="H28" s="90" t="str">
        <f aca="false">IF(G28=0,"",G28/G$7)</f>
        <v/>
      </c>
      <c r="I28" s="35"/>
      <c r="J28" s="90" t="str">
        <f aca="false">IF(I28=0,"",I28/I$7)</f>
        <v/>
      </c>
      <c r="K28" s="35"/>
      <c r="L28" s="90" t="str">
        <f aca="false">IF(K28=0,"",K28/K$7)</f>
        <v/>
      </c>
    </row>
    <row r="29" customFormat="false" ht="22.5" hidden="false" customHeight="true" outlineLevel="0" collapsed="false">
      <c r="B29" s="91"/>
      <c r="C29" s="60"/>
      <c r="D29" s="90" t="str">
        <f aca="false">IF(C29=0,"",C29/C$7)</f>
        <v/>
      </c>
      <c r="E29" s="35"/>
      <c r="F29" s="90" t="str">
        <f aca="false">IF(E29=0,"",E29/E$7)</f>
        <v/>
      </c>
      <c r="G29" s="35"/>
      <c r="H29" s="90" t="str">
        <f aca="false">IF(G29=0,"",G29/G$7)</f>
        <v/>
      </c>
      <c r="I29" s="35"/>
      <c r="J29" s="90" t="str">
        <f aca="false">IF(I29=0,"",I29/I$7)</f>
        <v/>
      </c>
      <c r="K29" s="35"/>
      <c r="L29" s="90" t="str">
        <f aca="false">IF(K29=0,"",K29/K$7)</f>
        <v/>
      </c>
    </row>
    <row r="30" customFormat="false" ht="22.5" hidden="false" customHeight="true" outlineLevel="0" collapsed="false">
      <c r="B30" s="91"/>
      <c r="C30" s="60"/>
      <c r="D30" s="90" t="str">
        <f aca="false">IF(C30=0,"",C30/C$7)</f>
        <v/>
      </c>
      <c r="E30" s="35"/>
      <c r="F30" s="90" t="str">
        <f aca="false">IF(E30=0,"",E30/E$7)</f>
        <v/>
      </c>
      <c r="G30" s="35"/>
      <c r="H30" s="90" t="str">
        <f aca="false">IF(G30=0,"",G30/G$7)</f>
        <v/>
      </c>
      <c r="I30" s="35"/>
      <c r="J30" s="90" t="str">
        <f aca="false">IF(I30=0,"",I30/I$7)</f>
        <v/>
      </c>
      <c r="K30" s="35"/>
      <c r="L30" s="90" t="str">
        <f aca="false">IF(K30=0,"",K30/K$7)</f>
        <v/>
      </c>
    </row>
    <row r="31" customFormat="false" ht="22.5" hidden="false" customHeight="true" outlineLevel="0" collapsed="false">
      <c r="B31" s="91"/>
      <c r="C31" s="60"/>
      <c r="D31" s="90" t="str">
        <f aca="false">IF(C31=0,"",C31/C$7)</f>
        <v/>
      </c>
      <c r="E31" s="35"/>
      <c r="F31" s="90" t="str">
        <f aca="false">IF(E31=0,"",E31/E$7)</f>
        <v/>
      </c>
      <c r="G31" s="35"/>
      <c r="H31" s="90" t="str">
        <f aca="false">IF(G31=0,"",G31/G$7)</f>
        <v/>
      </c>
      <c r="I31" s="35"/>
      <c r="J31" s="90" t="str">
        <f aca="false">IF(I31=0,"",I31/I$7)</f>
        <v/>
      </c>
      <c r="K31" s="35"/>
      <c r="L31" s="90" t="str">
        <f aca="false">IF(K31=0,"",K31/K$7)</f>
        <v/>
      </c>
    </row>
    <row r="32" customFormat="false" ht="22.5" hidden="false" customHeight="true" outlineLevel="0" collapsed="false">
      <c r="B32" s="92"/>
      <c r="C32" s="64"/>
      <c r="D32" s="93" t="str">
        <f aca="false">IF(C32=0,"",C32/C$7)</f>
        <v/>
      </c>
      <c r="E32" s="37"/>
      <c r="F32" s="93" t="str">
        <f aca="false">IF(E32=0,"",E32/E$7)</f>
        <v/>
      </c>
      <c r="G32" s="37"/>
      <c r="H32" s="93" t="str">
        <f aca="false">IF(G32=0,"",G32/G$7)</f>
        <v/>
      </c>
      <c r="I32" s="37"/>
      <c r="J32" s="93" t="str">
        <f aca="false">IF(I32=0,"",I32/I$7)</f>
        <v/>
      </c>
      <c r="K32" s="37"/>
      <c r="L32" s="93" t="str">
        <f aca="false">IF(K32=0,"",K32/K$7)</f>
        <v/>
      </c>
    </row>
    <row r="33" customFormat="false" ht="22.5" hidden="false" customHeight="true" outlineLevel="0" collapsed="false">
      <c r="B33" s="123" t="s">
        <v>115</v>
      </c>
      <c r="C33" s="124" t="n">
        <f aca="false">SUM(C24:C32)</f>
        <v>0</v>
      </c>
      <c r="D33" s="96" t="str">
        <f aca="false">IF(C33=0,"",C33/C$7)</f>
        <v/>
      </c>
      <c r="E33" s="95" t="n">
        <f aca="false">SUM(E24:E32)</f>
        <v>0</v>
      </c>
      <c r="F33" s="96" t="str">
        <f aca="false">IF(E33=0,"",E33/E$7)</f>
        <v/>
      </c>
      <c r="G33" s="95" t="n">
        <f aca="false">SUM(G24:G32)</f>
        <v>0</v>
      </c>
      <c r="H33" s="96" t="str">
        <f aca="false">IF(G33=0,"",G33/G$7)</f>
        <v/>
      </c>
      <c r="I33" s="95" t="n">
        <f aca="false">SUM(I24:I32)</f>
        <v>0</v>
      </c>
      <c r="J33" s="96" t="str">
        <f aca="false">IF(I33=0,"",I33/I$7)</f>
        <v/>
      </c>
      <c r="K33" s="95" t="n">
        <f aca="false">SUM(K24:K32)</f>
        <v>0</v>
      </c>
      <c r="L33" s="96" t="str">
        <f aca="false">IF(K33=0,"",K33/K$7)</f>
        <v/>
      </c>
    </row>
    <row r="34" customFormat="false" ht="22.5" hidden="false" customHeight="true" outlineLevel="0" collapsed="false">
      <c r="B34" s="122"/>
      <c r="C34" s="60"/>
      <c r="D34" s="90" t="str">
        <f aca="false">IF(C34=0,"",C34/C$7)</f>
        <v/>
      </c>
      <c r="E34" s="35"/>
      <c r="F34" s="90" t="str">
        <f aca="false">IF(E34=0,"",E34/E$7)</f>
        <v/>
      </c>
      <c r="G34" s="35"/>
      <c r="H34" s="90" t="str">
        <f aca="false">IF(G34=0,"",G34/G$7)</f>
        <v/>
      </c>
      <c r="I34" s="35"/>
      <c r="J34" s="90" t="str">
        <f aca="false">IF(I34=0,"",I34/I$7)</f>
        <v/>
      </c>
      <c r="K34" s="35"/>
      <c r="L34" s="90" t="str">
        <f aca="false">IF(K34=0,"",K34/K$7)</f>
        <v/>
      </c>
    </row>
    <row r="35" customFormat="false" ht="22.5" hidden="false" customHeight="true" outlineLevel="0" collapsed="false">
      <c r="B35" s="91"/>
      <c r="C35" s="60"/>
      <c r="D35" s="90" t="str">
        <f aca="false">IF(C35=0,"",C35/C$7)</f>
        <v/>
      </c>
      <c r="E35" s="35"/>
      <c r="F35" s="90" t="str">
        <f aca="false">IF(E35=0,"",E35/E$7)</f>
        <v/>
      </c>
      <c r="G35" s="35"/>
      <c r="H35" s="90" t="str">
        <f aca="false">IF(G35=0,"",G35/G$7)</f>
        <v/>
      </c>
      <c r="I35" s="35"/>
      <c r="J35" s="90" t="str">
        <f aca="false">IF(I35=0,"",I35/I$7)</f>
        <v/>
      </c>
      <c r="K35" s="35"/>
      <c r="L35" s="90" t="str">
        <f aca="false">IF(K35=0,"",K35/K$7)</f>
        <v/>
      </c>
    </row>
    <row r="36" customFormat="false" ht="22.5" hidden="false" customHeight="true" outlineLevel="0" collapsed="false">
      <c r="B36" s="91"/>
      <c r="C36" s="60"/>
      <c r="D36" s="90" t="str">
        <f aca="false">IF(C36=0,"",C36/C$7)</f>
        <v/>
      </c>
      <c r="E36" s="35"/>
      <c r="F36" s="90" t="str">
        <f aca="false">IF(E36=0,"",E36/E$7)</f>
        <v/>
      </c>
      <c r="G36" s="35"/>
      <c r="H36" s="90" t="str">
        <f aca="false">IF(G36=0,"",G36/G$7)</f>
        <v/>
      </c>
      <c r="I36" s="35"/>
      <c r="J36" s="90" t="str">
        <f aca="false">IF(I36=0,"",I36/I$7)</f>
        <v/>
      </c>
      <c r="K36" s="35"/>
      <c r="L36" s="90" t="str">
        <f aca="false">IF(K36=0,"",K36/K$7)</f>
        <v/>
      </c>
    </row>
    <row r="37" customFormat="false" ht="22.5" hidden="false" customHeight="true" outlineLevel="0" collapsed="false">
      <c r="B37" s="91"/>
      <c r="C37" s="60"/>
      <c r="D37" s="90"/>
      <c r="E37" s="35"/>
      <c r="F37" s="90"/>
      <c r="G37" s="35"/>
      <c r="H37" s="90"/>
      <c r="I37" s="35"/>
      <c r="J37" s="90"/>
      <c r="K37" s="35"/>
      <c r="L37" s="90"/>
    </row>
    <row r="38" customFormat="false" ht="22.5" hidden="false" customHeight="true" outlineLevel="0" collapsed="false">
      <c r="B38" s="91"/>
      <c r="C38" s="60"/>
      <c r="D38" s="90"/>
      <c r="E38" s="35"/>
      <c r="F38" s="90"/>
      <c r="G38" s="35"/>
      <c r="H38" s="90"/>
      <c r="I38" s="35"/>
      <c r="J38" s="90"/>
      <c r="K38" s="35"/>
      <c r="L38" s="90"/>
    </row>
    <row r="39" customFormat="false" ht="22.5" hidden="false" customHeight="true" outlineLevel="0" collapsed="false">
      <c r="B39" s="91"/>
      <c r="C39" s="60"/>
      <c r="D39" s="90" t="str">
        <f aca="false">IF(C39=0,"",C39/C$7)</f>
        <v/>
      </c>
      <c r="E39" s="35"/>
      <c r="F39" s="90" t="str">
        <f aca="false">IF(E39=0,"",E39/E$7)</f>
        <v/>
      </c>
      <c r="G39" s="35"/>
      <c r="H39" s="90" t="str">
        <f aca="false">IF(G39=0,"",G39/G$7)</f>
        <v/>
      </c>
      <c r="I39" s="35"/>
      <c r="J39" s="90" t="str">
        <f aca="false">IF(I39=0,"",I39/I$7)</f>
        <v/>
      </c>
      <c r="K39" s="35"/>
      <c r="L39" s="90" t="str">
        <f aca="false">IF(K39=0,"",K39/K$7)</f>
        <v/>
      </c>
    </row>
    <row r="40" customFormat="false" ht="22.5" hidden="false" customHeight="true" outlineLevel="0" collapsed="false">
      <c r="B40" s="91"/>
      <c r="C40" s="60"/>
      <c r="D40" s="90" t="str">
        <f aca="false">IF(C40=0,"",C40/C$7)</f>
        <v/>
      </c>
      <c r="E40" s="35"/>
      <c r="F40" s="90" t="str">
        <f aca="false">IF(E40=0,"",E40/E$7)</f>
        <v/>
      </c>
      <c r="G40" s="35"/>
      <c r="H40" s="90" t="str">
        <f aca="false">IF(G40=0,"",G40/G$7)</f>
        <v/>
      </c>
      <c r="I40" s="35"/>
      <c r="J40" s="90" t="str">
        <f aca="false">IF(I40=0,"",I40/I$7)</f>
        <v/>
      </c>
      <c r="K40" s="35"/>
      <c r="L40" s="90" t="str">
        <f aca="false">IF(K40=0,"",K40/K$7)</f>
        <v/>
      </c>
    </row>
    <row r="41" customFormat="false" ht="22.5" hidden="false" customHeight="true" outlineLevel="0" collapsed="false">
      <c r="B41" s="91"/>
      <c r="C41" s="60"/>
      <c r="D41" s="90" t="str">
        <f aca="false">IF(C41=0,"",C41/C$7)</f>
        <v/>
      </c>
      <c r="E41" s="35"/>
      <c r="F41" s="90" t="str">
        <f aca="false">IF(E41=0,"",E41/E$7)</f>
        <v/>
      </c>
      <c r="G41" s="35"/>
      <c r="H41" s="90" t="str">
        <f aca="false">IF(G41=0,"",G41/G$7)</f>
        <v/>
      </c>
      <c r="I41" s="35"/>
      <c r="J41" s="90" t="str">
        <f aca="false">IF(I41=0,"",I41/I$7)</f>
        <v/>
      </c>
      <c r="K41" s="35"/>
      <c r="L41" s="90" t="str">
        <f aca="false">IF(K41=0,"",K41/K$7)</f>
        <v/>
      </c>
    </row>
    <row r="42" customFormat="false" ht="22.5" hidden="false" customHeight="true" outlineLevel="0" collapsed="false">
      <c r="B42" s="91"/>
      <c r="C42" s="60"/>
      <c r="D42" s="90" t="str">
        <f aca="false">IF(C42=0,"",C42/C$7)</f>
        <v/>
      </c>
      <c r="E42" s="35"/>
      <c r="F42" s="90" t="str">
        <f aca="false">IF(E42=0,"",E42/E$7)</f>
        <v/>
      </c>
      <c r="G42" s="35"/>
      <c r="H42" s="90" t="str">
        <f aca="false">IF(G42=0,"",G42/G$7)</f>
        <v/>
      </c>
      <c r="I42" s="35"/>
      <c r="J42" s="90" t="str">
        <f aca="false">IF(I42=0,"",I42/I$7)</f>
        <v/>
      </c>
      <c r="K42" s="35"/>
      <c r="L42" s="90" t="str">
        <f aca="false">IF(K42=0,"",K42/K$7)</f>
        <v/>
      </c>
    </row>
    <row r="43" customFormat="false" ht="22.5" hidden="false" customHeight="true" outlineLevel="0" collapsed="false">
      <c r="B43" s="91"/>
      <c r="C43" s="60"/>
      <c r="D43" s="90" t="str">
        <f aca="false">IF(C43=0,"",C43/C$7)</f>
        <v/>
      </c>
      <c r="E43" s="35"/>
      <c r="F43" s="90" t="str">
        <f aca="false">IF(E43=0,"",E43/E$7)</f>
        <v/>
      </c>
      <c r="G43" s="35"/>
      <c r="H43" s="90" t="str">
        <f aca="false">IF(G43=0,"",G43/G$7)</f>
        <v/>
      </c>
      <c r="I43" s="35"/>
      <c r="J43" s="90" t="str">
        <f aca="false">IF(I43=0,"",I43/I$7)</f>
        <v/>
      </c>
      <c r="K43" s="35"/>
      <c r="L43" s="90" t="str">
        <f aca="false">IF(K43=0,"",K43/K$7)</f>
        <v/>
      </c>
    </row>
    <row r="44" customFormat="false" ht="22.5" hidden="false" customHeight="true" outlineLevel="0" collapsed="false">
      <c r="B44" s="91"/>
      <c r="C44" s="60"/>
      <c r="D44" s="90" t="str">
        <f aca="false">IF(C44=0,"",C44/C$7)</f>
        <v/>
      </c>
      <c r="E44" s="35"/>
      <c r="F44" s="90" t="str">
        <f aca="false">IF(E44=0,"",E44/E$7)</f>
        <v/>
      </c>
      <c r="G44" s="35"/>
      <c r="H44" s="90" t="str">
        <f aca="false">IF(G44=0,"",G44/G$7)</f>
        <v/>
      </c>
      <c r="I44" s="35"/>
      <c r="J44" s="90" t="str">
        <f aca="false">IF(I44=0,"",I44/I$7)</f>
        <v/>
      </c>
      <c r="K44" s="35"/>
      <c r="L44" s="90" t="str">
        <f aca="false">IF(K44=0,"",K44/K$7)</f>
        <v/>
      </c>
    </row>
    <row r="45" customFormat="false" ht="22.5" hidden="false" customHeight="true" outlineLevel="0" collapsed="false">
      <c r="B45" s="92"/>
      <c r="C45" s="64"/>
      <c r="D45" s="93" t="str">
        <f aca="false">IF(C45=0,"",C45/C$7)</f>
        <v/>
      </c>
      <c r="E45" s="37"/>
      <c r="F45" s="93" t="str">
        <f aca="false">IF(E45=0,"",E45/E$7)</f>
        <v/>
      </c>
      <c r="G45" s="37"/>
      <c r="H45" s="93" t="str">
        <f aca="false">IF(G45=0,"",G45/G$7)</f>
        <v/>
      </c>
      <c r="I45" s="37"/>
      <c r="J45" s="93" t="str">
        <f aca="false">IF(I45=0,"",I45/I$7)</f>
        <v/>
      </c>
      <c r="K45" s="37"/>
      <c r="L45" s="93" t="str">
        <f aca="false">IF(K45=0,"",K45/K$7)</f>
        <v/>
      </c>
    </row>
    <row r="46" customFormat="false" ht="22.5" hidden="false" customHeight="true" outlineLevel="0" collapsed="false">
      <c r="B46" s="123" t="s">
        <v>116</v>
      </c>
      <c r="C46" s="124" t="n">
        <f aca="false">SUM(C34:C45)</f>
        <v>0</v>
      </c>
      <c r="D46" s="96" t="str">
        <f aca="false">IF(C46=0,"",C46/C$7)</f>
        <v/>
      </c>
      <c r="E46" s="95" t="n">
        <f aca="false">SUM(E34:E45)</f>
        <v>0</v>
      </c>
      <c r="F46" s="96" t="str">
        <f aca="false">IF(E46=0,"",E46/E$7)</f>
        <v/>
      </c>
      <c r="G46" s="95" t="n">
        <f aca="false">SUM(G34:G45)</f>
        <v>0</v>
      </c>
      <c r="H46" s="96" t="str">
        <f aca="false">IF(G46=0,"",G46/G$7)</f>
        <v/>
      </c>
      <c r="I46" s="95" t="n">
        <f aca="false">SUM(I34:I45)</f>
        <v>0</v>
      </c>
      <c r="J46" s="96" t="str">
        <f aca="false">IF(I46=0,"",I46/I$7)</f>
        <v/>
      </c>
      <c r="K46" s="95" t="n">
        <f aca="false">SUM(K34:K45)</f>
        <v>0</v>
      </c>
      <c r="L46" s="96" t="str">
        <f aca="false">IF(K46=0,"",K46/K$7)</f>
        <v/>
      </c>
    </row>
    <row r="47" customFormat="false" ht="22.5" hidden="false" customHeight="true" outlineLevel="0" collapsed="false">
      <c r="B47" s="125" t="s">
        <v>117</v>
      </c>
      <c r="C47" s="124" t="n">
        <f aca="false">C14+C23+C33+C46</f>
        <v>0</v>
      </c>
      <c r="D47" s="96" t="str">
        <f aca="false">IF(C47=0,"",C47/C$7)</f>
        <v/>
      </c>
      <c r="E47" s="124" t="n">
        <f aca="false">E14+E23+E33+E46</f>
        <v>0</v>
      </c>
      <c r="F47" s="96" t="str">
        <f aca="false">IF(E47=0,"",E47/E$7)</f>
        <v/>
      </c>
      <c r="G47" s="124" t="n">
        <f aca="false">G14+G23+G33+G46</f>
        <v>0</v>
      </c>
      <c r="H47" s="96" t="str">
        <f aca="false">IF(G47=0,"",G47/G$7)</f>
        <v/>
      </c>
      <c r="I47" s="124" t="n">
        <f aca="false">I14+I23+I33+I46</f>
        <v>0</v>
      </c>
      <c r="J47" s="96" t="str">
        <f aca="false">IF(I47=0,"",I47/I$7)</f>
        <v/>
      </c>
      <c r="K47" s="124" t="n">
        <f aca="false">K14+K23+K33+K46</f>
        <v>0</v>
      </c>
      <c r="L47" s="96" t="str">
        <f aca="false">IF(K47=0,"",K47/K$7)</f>
        <v/>
      </c>
    </row>
    <row r="48" customFormat="false" ht="22.5" hidden="false" customHeight="true" outlineLevel="0" collapsed="false">
      <c r="B48" s="126" t="s">
        <v>118</v>
      </c>
      <c r="C48" s="64"/>
      <c r="D48" s="93" t="str">
        <f aca="false">IF(C48=0,"",C48/C$7)</f>
        <v/>
      </c>
      <c r="E48" s="37" t="n">
        <f aca="false">SUM(E36:E47)</f>
        <v>0</v>
      </c>
      <c r="F48" s="93" t="str">
        <f aca="false">IF(E48=0,"",E48/E$7)</f>
        <v/>
      </c>
      <c r="G48" s="37" t="n">
        <f aca="false">SUM(G36:G47)</f>
        <v>0</v>
      </c>
      <c r="H48" s="93" t="str">
        <f aca="false">IF(G48=0,"",G48/G$7)</f>
        <v/>
      </c>
      <c r="I48" s="37" t="n">
        <f aca="false">SUM(I36:I47)</f>
        <v>0</v>
      </c>
      <c r="J48" s="93" t="str">
        <f aca="false">IF(I48=0,"",I48/I$7)</f>
        <v/>
      </c>
      <c r="K48" s="37" t="n">
        <f aca="false">SUM(K36:K47)</f>
        <v>0</v>
      </c>
      <c r="L48" s="93" t="str">
        <f aca="false">IF(K48=0,"",K48/K$7)</f>
        <v/>
      </c>
    </row>
    <row r="49" customFormat="false" ht="22.5" hidden="false" customHeight="true" outlineLevel="0" collapsed="false">
      <c r="B49" s="94" t="s">
        <v>119</v>
      </c>
      <c r="C49" s="124" t="n">
        <f aca="false">SUM(C47:C48)</f>
        <v>0</v>
      </c>
      <c r="D49" s="96" t="str">
        <f aca="false">IF(C49=0,"",C49/C$7)</f>
        <v/>
      </c>
      <c r="E49" s="95" t="n">
        <f aca="false">SUM(E47:E48)</f>
        <v>0</v>
      </c>
      <c r="F49" s="96" t="str">
        <f aca="false">IF(E49=0,"",E49/E$7)</f>
        <v/>
      </c>
      <c r="G49" s="95" t="n">
        <f aca="false">SUM(G47:G48)</f>
        <v>0</v>
      </c>
      <c r="H49" s="96" t="str">
        <f aca="false">IF(G49=0,"",G49/G$7)</f>
        <v/>
      </c>
      <c r="I49" s="95" t="n">
        <f aca="false">SUM(I47:I48)</f>
        <v>0</v>
      </c>
      <c r="J49" s="96" t="str">
        <f aca="false">IF(I49=0,"",I49/I$7)</f>
        <v/>
      </c>
      <c r="K49" s="95" t="n">
        <f aca="false">SUM(K47:K48)</f>
        <v>0</v>
      </c>
      <c r="L49" s="96" t="str">
        <f aca="false">IF(K49=0,"",K49/K$7)</f>
        <v/>
      </c>
    </row>
    <row r="50" customFormat="false" ht="22.5" hidden="false" customHeight="true" outlineLevel="0" collapsed="false">
      <c r="B50" s="127" t="s">
        <v>120</v>
      </c>
      <c r="C50" s="128"/>
      <c r="D50" s="129" t="str">
        <f aca="false">IF(C50=0,"",C50/C$7)</f>
        <v/>
      </c>
      <c r="E50" s="130" t="n">
        <f aca="false">SUM(E40:E49)</f>
        <v>0</v>
      </c>
      <c r="F50" s="129" t="str">
        <f aca="false">IF(E50=0,"",E50/E$7)</f>
        <v/>
      </c>
      <c r="G50" s="130" t="n">
        <f aca="false">SUM(G40:G49)</f>
        <v>0</v>
      </c>
      <c r="H50" s="129" t="str">
        <f aca="false">IF(G50=0,"",G50/G$7)</f>
        <v/>
      </c>
      <c r="I50" s="130" t="n">
        <f aca="false">SUM(I40:I49)</f>
        <v>0</v>
      </c>
      <c r="J50" s="129" t="str">
        <f aca="false">IF(I50=0,"",I50/I$7)</f>
        <v/>
      </c>
      <c r="K50" s="130" t="n">
        <f aca="false">SUM(K40:K49)</f>
        <v>0</v>
      </c>
      <c r="L50" s="129" t="str">
        <f aca="false">IF(K50=0,"",K50/K$7)</f>
        <v/>
      </c>
    </row>
    <row r="51" customFormat="false" ht="22.5" hidden="false" customHeight="true" outlineLevel="0" collapsed="false">
      <c r="B51" s="94" t="s">
        <v>121</v>
      </c>
      <c r="C51" s="124" t="n">
        <f aca="false">C49-C50</f>
        <v>0</v>
      </c>
      <c r="D51" s="96" t="str">
        <f aca="false">IF(C51=0,"",C51/C$7)</f>
        <v/>
      </c>
      <c r="E51" s="95" t="n">
        <f aca="false">E49-E50</f>
        <v>0</v>
      </c>
      <c r="F51" s="96" t="str">
        <f aca="false">IF(E51=0,"",E51/E$7)</f>
        <v/>
      </c>
      <c r="G51" s="95" t="n">
        <f aca="false">G49-G50</f>
        <v>0</v>
      </c>
      <c r="H51" s="96" t="str">
        <f aca="false">IF(G51=0,"",G51/G$7)</f>
        <v/>
      </c>
      <c r="I51" s="95" t="n">
        <f aca="false">I49-I50</f>
        <v>0</v>
      </c>
      <c r="J51" s="96" t="str">
        <f aca="false">IF(I51=0,"",I51/I$7)</f>
        <v/>
      </c>
      <c r="K51" s="95" t="n">
        <f aca="false">K49-K50</f>
        <v>0</v>
      </c>
      <c r="L51" s="96" t="str">
        <f aca="false">IF(K51=0,"",K51/K$7)</f>
        <v/>
      </c>
    </row>
    <row r="52" customFormat="false" ht="18" hidden="false" customHeight="true" outlineLevel="0" collapsed="false">
      <c r="B52" s="46"/>
      <c r="C52" s="131"/>
      <c r="D52" s="132"/>
      <c r="E52" s="133"/>
      <c r="F52" s="132"/>
      <c r="G52" s="133"/>
      <c r="H52" s="132"/>
      <c r="I52" s="133"/>
      <c r="J52" s="132"/>
      <c r="K52" s="133"/>
      <c r="L52" s="132"/>
    </row>
    <row r="53" customFormat="false" ht="18" hidden="false" customHeight="true" outlineLevel="0" collapsed="false">
      <c r="B53" s="46"/>
      <c r="C53" s="131"/>
      <c r="D53" s="132"/>
      <c r="E53" s="133"/>
      <c r="F53" s="132"/>
      <c r="G53" s="133"/>
      <c r="H53" s="132"/>
      <c r="I53" s="133"/>
      <c r="J53" s="132"/>
      <c r="K53" s="133"/>
      <c r="L53" s="132"/>
    </row>
    <row r="54" customFormat="false" ht="18" hidden="false" customHeight="true" outlineLevel="0" collapsed="false">
      <c r="B54" s="46"/>
      <c r="C54" s="131"/>
      <c r="D54" s="132"/>
      <c r="E54" s="133"/>
      <c r="F54" s="132"/>
      <c r="G54" s="133"/>
      <c r="H54" s="132"/>
      <c r="I54" s="133"/>
      <c r="J54" s="132"/>
      <c r="K54" s="133"/>
      <c r="L54" s="132"/>
    </row>
    <row r="55" customFormat="false" ht="18" hidden="false" customHeight="true" outlineLevel="0" collapsed="false">
      <c r="B55" s="46"/>
      <c r="C55" s="131"/>
      <c r="D55" s="132"/>
      <c r="E55" s="133"/>
      <c r="F55" s="132"/>
      <c r="G55" s="133"/>
      <c r="H55" s="132"/>
      <c r="I55" s="133"/>
      <c r="J55" s="132"/>
      <c r="K55" s="133"/>
      <c r="L55" s="132"/>
    </row>
    <row r="56" customFormat="false" ht="18" hidden="false" customHeight="true" outlineLevel="0" collapsed="false">
      <c r="B56" s="46"/>
      <c r="C56" s="131"/>
      <c r="D56" s="132"/>
      <c r="E56" s="133"/>
      <c r="F56" s="132"/>
      <c r="G56" s="133"/>
      <c r="H56" s="132"/>
      <c r="I56" s="133"/>
      <c r="J56" s="132"/>
      <c r="K56" s="133"/>
      <c r="L56" s="132"/>
    </row>
    <row r="57" customFormat="false" ht="18" hidden="false" customHeight="true" outlineLevel="0" collapsed="false">
      <c r="B57" s="46"/>
      <c r="C57" s="131"/>
      <c r="D57" s="132"/>
      <c r="E57" s="133"/>
      <c r="F57" s="132"/>
      <c r="G57" s="133"/>
      <c r="H57" s="132"/>
      <c r="I57" s="133"/>
      <c r="J57" s="132"/>
      <c r="K57" s="133"/>
      <c r="L57" s="132"/>
    </row>
    <row r="58" customFormat="false" ht="18" hidden="false" customHeight="true" outlineLevel="0" collapsed="false">
      <c r="B58" s="46"/>
      <c r="C58" s="131"/>
      <c r="D58" s="132"/>
      <c r="E58" s="133"/>
      <c r="F58" s="132"/>
      <c r="G58" s="133"/>
      <c r="H58" s="132"/>
      <c r="I58" s="133"/>
      <c r="J58" s="132"/>
      <c r="K58" s="133"/>
      <c r="L58" s="132"/>
    </row>
    <row r="59" customFormat="false" ht="18" hidden="false" customHeight="true" outlineLevel="0" collapsed="false">
      <c r="B59" s="46"/>
      <c r="C59" s="131"/>
      <c r="D59" s="132"/>
      <c r="E59" s="133"/>
      <c r="F59" s="132"/>
      <c r="G59" s="133"/>
      <c r="H59" s="132"/>
      <c r="I59" s="133"/>
      <c r="J59" s="132"/>
      <c r="K59" s="133"/>
      <c r="L59" s="132"/>
    </row>
    <row r="60" customFormat="false" ht="18" hidden="false" customHeight="true" outlineLevel="0" collapsed="false">
      <c r="C60" s="43"/>
      <c r="E60" s="43"/>
      <c r="G60" s="43"/>
      <c r="I60" s="76"/>
      <c r="K60" s="43"/>
    </row>
    <row r="61" customFormat="false" ht="18" hidden="false" customHeight="true" outlineLevel="0" collapsed="false">
      <c r="C61" s="43"/>
      <c r="E61" s="43"/>
      <c r="G61" s="43"/>
      <c r="I61" s="76"/>
      <c r="K61" s="43"/>
    </row>
    <row r="62" customFormat="false" ht="18" hidden="false" customHeight="true" outlineLevel="0" collapsed="false">
      <c r="C62" s="43"/>
      <c r="E62" s="43"/>
      <c r="G62" s="43"/>
      <c r="I62" s="76"/>
      <c r="K62" s="43"/>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8" min="8" style="46" width="15"/>
    <col collapsed="false" customWidth="true" hidden="true" outlineLevel="0" max="9" min="9" style="46" width="15"/>
    <col collapsed="false" customWidth="true" hidden="true" outlineLevel="0" max="12" min="10" style="20" width="15"/>
    <col collapsed="false" customWidth="true" hidden="false" outlineLevel="0" max="13" min="13" style="20" width="16.13"/>
    <col collapsed="false" customWidth="true" hidden="false" outlineLevel="0" max="14" min="14" style="20" width="8.75"/>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134" t="s">
        <v>6</v>
      </c>
      <c r="C3" s="79" t="str">
        <f aca="false">'BS(借方)'!C4</f>
        <v>24年1月期</v>
      </c>
      <c r="D3" s="79"/>
      <c r="E3" s="80" t="str">
        <f aca="false">'BS(借方)'!D4</f>
        <v>25年1月期</v>
      </c>
      <c r="F3" s="80"/>
      <c r="G3" s="81" t="str">
        <f aca="false">'BS(借方)'!E4</f>
        <v>26年1月期</v>
      </c>
      <c r="H3" s="81"/>
      <c r="I3" s="82" t="str">
        <f aca="false">'BS(借方)'!F4</f>
        <v>●●年●月期</v>
      </c>
      <c r="J3" s="82"/>
      <c r="K3" s="111" t="str">
        <f aca="false">'BS(借方)'!G4</f>
        <v>●●年●月
（●か月TB）</v>
      </c>
      <c r="L3" s="111"/>
    </row>
    <row r="4" customFormat="false" ht="19.5" hidden="false" customHeight="true" outlineLevel="0" collapsed="false">
      <c r="B4" s="134"/>
      <c r="C4" s="25" t="s">
        <v>72</v>
      </c>
      <c r="D4" s="85" t="s">
        <v>73</v>
      </c>
      <c r="E4" s="25" t="s">
        <v>72</v>
      </c>
      <c r="F4" s="25" t="s">
        <v>73</v>
      </c>
      <c r="G4" s="25" t="s">
        <v>72</v>
      </c>
      <c r="H4" s="85" t="s">
        <v>73</v>
      </c>
      <c r="I4" s="25" t="s">
        <v>72</v>
      </c>
      <c r="J4" s="85" t="s">
        <v>73</v>
      </c>
      <c r="K4" s="135" t="s">
        <v>72</v>
      </c>
      <c r="L4" s="87" t="s">
        <v>73</v>
      </c>
    </row>
    <row r="5" customFormat="false" ht="22.5" hidden="false" customHeight="true" outlineLevel="0" collapsed="false">
      <c r="B5" s="118" t="s">
        <v>111</v>
      </c>
      <c r="C5" s="119" t="n">
        <f aca="false">PL!C11</f>
        <v>316755490</v>
      </c>
      <c r="D5" s="120" t="s">
        <v>112</v>
      </c>
      <c r="E5" s="121" t="n">
        <f aca="false">PL!E11</f>
        <v>443868051</v>
      </c>
      <c r="F5" s="120" t="s">
        <v>112</v>
      </c>
      <c r="G5" s="121" t="n">
        <f aca="false">PL!G11</f>
        <v>422474507</v>
      </c>
      <c r="H5" s="120" t="s">
        <v>112</v>
      </c>
      <c r="I5" s="121" t="n">
        <f aca="false">PL!I11</f>
        <v>0</v>
      </c>
      <c r="J5" s="120" t="s">
        <v>112</v>
      </c>
      <c r="K5" s="121" t="n">
        <f aca="false">PL!K11</f>
        <v>0</v>
      </c>
      <c r="L5" s="120" t="s">
        <v>112</v>
      </c>
      <c r="M5" s="117" t="s">
        <v>122</v>
      </c>
    </row>
    <row r="6" customFormat="false" ht="22.5" hidden="false" customHeight="true" outlineLevel="0" collapsed="false">
      <c r="B6" s="136" t="s">
        <v>123</v>
      </c>
      <c r="C6" s="60" t="n">
        <v>1104000</v>
      </c>
      <c r="D6" s="90" t="n">
        <f aca="false">IFERROR(C6/$C$5,"")</f>
        <v>0.00348533817046076</v>
      </c>
      <c r="E6" s="35" t="n">
        <v>1104000</v>
      </c>
      <c r="F6" s="90" t="n">
        <f aca="false">IFERROR(E6/$E$5,"")</f>
        <v>0.00248722564625405</v>
      </c>
      <c r="G6" s="35" t="n">
        <v>4094000</v>
      </c>
      <c r="H6" s="90" t="n">
        <f aca="false">IFERROR(G6/$G$5,"")</f>
        <v>0.00969052553980494</v>
      </c>
      <c r="I6" s="35"/>
      <c r="J6" s="90" t="str">
        <f aca="false">IFERROR(I6/$I$5,"")</f>
        <v/>
      </c>
      <c r="K6" s="35"/>
      <c r="L6" s="90" t="str">
        <f aca="false">IFERROR(K6/$K$5,"")</f>
        <v/>
      </c>
    </row>
    <row r="7" customFormat="false" ht="22.5" hidden="false" customHeight="true" outlineLevel="0" collapsed="false">
      <c r="B7" s="91" t="s">
        <v>124</v>
      </c>
      <c r="C7" s="60" t="n">
        <v>18000000</v>
      </c>
      <c r="D7" s="90" t="n">
        <f aca="false">IFERROR(C7/$C$5,"")</f>
        <v>0.0568261658227297</v>
      </c>
      <c r="E7" s="35" t="n">
        <v>20000000</v>
      </c>
      <c r="F7" s="90" t="n">
        <f aca="false">IFERROR(E7/$E$5,"")</f>
        <v>0.0450584356205444</v>
      </c>
      <c r="G7" s="35" t="n">
        <v>20000000</v>
      </c>
      <c r="H7" s="90" t="n">
        <f aca="false">IFERROR(G7/$G$5,"")</f>
        <v>0.0473401345373959</v>
      </c>
      <c r="I7" s="35"/>
      <c r="J7" s="90" t="str">
        <f aca="false">IFERROR(I7/$I$5,"")</f>
        <v/>
      </c>
      <c r="K7" s="35"/>
      <c r="L7" s="90" t="str">
        <f aca="false">IFERROR(K7/$K$5,"")</f>
        <v/>
      </c>
    </row>
    <row r="8" customFormat="false" ht="22.5" hidden="false" customHeight="true" outlineLevel="0" collapsed="false">
      <c r="B8" s="91" t="s">
        <v>125</v>
      </c>
      <c r="C8" s="60" t="n">
        <v>33649484</v>
      </c>
      <c r="D8" s="90" t="n">
        <f aca="false">IFERROR(C8/$C$5,"")</f>
        <v>0.106231730979627</v>
      </c>
      <c r="E8" s="35" t="n">
        <v>29811105</v>
      </c>
      <c r="F8" s="90" t="n">
        <f aca="false">IFERROR(E8/$E$5,"")</f>
        <v>0.0671620877709894</v>
      </c>
      <c r="G8" s="35" t="n">
        <v>27938525</v>
      </c>
      <c r="H8" s="90" t="n">
        <f aca="false">IFERROR(G8/$G$5,"")</f>
        <v>0.0661306766138199</v>
      </c>
      <c r="I8" s="35"/>
      <c r="J8" s="90" t="str">
        <f aca="false">IFERROR(I8/$I$5,"")</f>
        <v/>
      </c>
      <c r="K8" s="35"/>
      <c r="L8" s="90" t="str">
        <f aca="false">IFERROR(K8/$K$5,"")</f>
        <v/>
      </c>
    </row>
    <row r="9" customFormat="false" ht="22.5" hidden="false" customHeight="true" outlineLevel="0" collapsed="false">
      <c r="B9" s="91" t="s">
        <v>126</v>
      </c>
      <c r="C9" s="60" t="n">
        <v>2538750</v>
      </c>
      <c r="D9" s="90" t="n">
        <f aca="false">IFERROR(C9/$C$5,"")</f>
        <v>0.00801485713791417</v>
      </c>
      <c r="E9" s="35" t="n">
        <v>6544740</v>
      </c>
      <c r="F9" s="90" t="n">
        <f aca="false">IFERROR(E9/$E$5,"")</f>
        <v>0.0147447872971601</v>
      </c>
      <c r="G9" s="35" t="n">
        <v>299000</v>
      </c>
      <c r="H9" s="90" t="n">
        <f aca="false">IFERROR(G9/$G$5,"")</f>
        <v>0.000707735011334069</v>
      </c>
      <c r="I9" s="35"/>
      <c r="J9" s="90" t="str">
        <f aca="false">IFERROR(I9/$I$5,"")</f>
        <v/>
      </c>
      <c r="K9" s="35"/>
      <c r="L9" s="90" t="str">
        <f aca="false">IFERROR(K9/$K$5,"")</f>
        <v/>
      </c>
    </row>
    <row r="10" customFormat="false" ht="22.5" hidden="false" customHeight="true" outlineLevel="0" collapsed="false">
      <c r="B10" s="91" t="s">
        <v>127</v>
      </c>
      <c r="C10" s="60" t="n">
        <v>4064600</v>
      </c>
      <c r="D10" s="90" t="n">
        <f aca="false">IFERROR(C10/$C$5,"")</f>
        <v>0.0128319796446148</v>
      </c>
      <c r="E10" s="35"/>
      <c r="F10" s="90" t="n">
        <f aca="false">IFERROR(E10/$E$5,"")</f>
        <v>0</v>
      </c>
      <c r="G10" s="35" t="n">
        <v>6079177</v>
      </c>
      <c r="H10" s="90" t="n">
        <f aca="false">IFERROR(G10/$G$5,"")</f>
        <v>0.0143894528528321</v>
      </c>
      <c r="I10" s="35"/>
      <c r="J10" s="90" t="str">
        <f aca="false">IFERROR(I10/$I$5,"")</f>
        <v/>
      </c>
      <c r="K10" s="35"/>
      <c r="L10" s="90" t="str">
        <f aca="false">IFERROR(K10/$K$5,"")</f>
        <v/>
      </c>
    </row>
    <row r="11" customFormat="false" ht="22.5" hidden="false" customHeight="true" outlineLevel="0" collapsed="false">
      <c r="B11" s="91" t="s">
        <v>128</v>
      </c>
      <c r="C11" s="60" t="n">
        <v>6407318</v>
      </c>
      <c r="D11" s="90" t="n">
        <f aca="false">IFERROR(C11/$C$5,"")</f>
        <v>0.0202279619526089</v>
      </c>
      <c r="E11" s="35" t="n">
        <v>6394777</v>
      </c>
      <c r="F11" s="90" t="n">
        <f aca="false">IFERROR(E11/$E$5,"")</f>
        <v>0.0144069323881119</v>
      </c>
      <c r="G11" s="35" t="n">
        <v>6366731</v>
      </c>
      <c r="H11" s="90" t="n">
        <f aca="false">IFERROR(G11/$G$5,"")</f>
        <v>0.0150700951051705</v>
      </c>
      <c r="I11" s="35"/>
      <c r="J11" s="90" t="str">
        <f aca="false">IFERROR(I11/$I$5,"")</f>
        <v/>
      </c>
      <c r="K11" s="35"/>
      <c r="L11" s="90" t="str">
        <f aca="false">IFERROR(K11/$K$5,"")</f>
        <v/>
      </c>
    </row>
    <row r="12" customFormat="false" ht="22.5" hidden="false" customHeight="true" outlineLevel="0" collapsed="false">
      <c r="B12" s="91" t="s">
        <v>129</v>
      </c>
      <c r="C12" s="60" t="n">
        <v>1932474</v>
      </c>
      <c r="D12" s="90" t="n">
        <f aca="false">IFERROR(C12/$C$5,"")</f>
        <v>0.00610083822067299</v>
      </c>
      <c r="E12" s="35" t="n">
        <v>422087</v>
      </c>
      <c r="F12" s="90" t="n">
        <f aca="false">IFERROR(E12/$E$5,"")</f>
        <v>0.000950928995788435</v>
      </c>
      <c r="G12" s="35" t="n">
        <v>705804</v>
      </c>
      <c r="H12" s="90" t="n">
        <f aca="false">IFERROR(G12/$G$5,"")</f>
        <v>0.00167064281585161</v>
      </c>
      <c r="I12" s="35"/>
      <c r="J12" s="90" t="str">
        <f aca="false">IFERROR(I12/$I$5,"")</f>
        <v/>
      </c>
      <c r="K12" s="35"/>
      <c r="L12" s="90" t="str">
        <f aca="false">IFERROR(K12/$K$5,"")</f>
        <v/>
      </c>
    </row>
    <row r="13" customFormat="false" ht="22.5" hidden="false" customHeight="true" outlineLevel="0" collapsed="false">
      <c r="B13" s="91" t="s">
        <v>130</v>
      </c>
      <c r="C13" s="60" t="n">
        <v>280000</v>
      </c>
      <c r="D13" s="90" t="n">
        <f aca="false">IFERROR(C13/$C$5,"")</f>
        <v>0.000883962579464684</v>
      </c>
      <c r="E13" s="35" t="n">
        <v>1480000</v>
      </c>
      <c r="F13" s="90" t="n">
        <f aca="false">IFERROR(E13/$E$5,"")</f>
        <v>0.00333432423592028</v>
      </c>
      <c r="G13" s="35"/>
      <c r="H13" s="90" t="n">
        <f aca="false">IFERROR(G13/$G$5,"")</f>
        <v>0</v>
      </c>
      <c r="I13" s="35"/>
      <c r="J13" s="90" t="str">
        <f aca="false">IFERROR(I13/$I$5,"")</f>
        <v/>
      </c>
      <c r="K13" s="35"/>
      <c r="L13" s="90" t="str">
        <f aca="false">IFERROR(K13/$K$5,"")</f>
        <v/>
      </c>
    </row>
    <row r="14" customFormat="false" ht="22.5" hidden="false" customHeight="true" outlineLevel="0" collapsed="false">
      <c r="B14" s="91" t="s">
        <v>131</v>
      </c>
      <c r="C14" s="60" t="n">
        <v>9235586</v>
      </c>
      <c r="D14" s="90" t="n">
        <f aca="false">IFERROR(C14/$C$5,"")</f>
        <v>0.0291568300836712</v>
      </c>
      <c r="E14" s="35" t="n">
        <v>13487346</v>
      </c>
      <c r="F14" s="90" t="n">
        <f aca="false">IFERROR(E14/$E$5,"")</f>
        <v>0.0303859355716503</v>
      </c>
      <c r="G14" s="35" t="n">
        <v>7104880</v>
      </c>
      <c r="H14" s="90" t="n">
        <f aca="false">IFERROR(G14/$G$5,"")</f>
        <v>0.0168172987536027</v>
      </c>
      <c r="I14" s="35"/>
      <c r="J14" s="90" t="str">
        <f aca="false">IFERROR(I14/$I$5,"")</f>
        <v/>
      </c>
      <c r="K14" s="35"/>
      <c r="L14" s="90" t="str">
        <f aca="false">IFERROR(K14/$K$5,"")</f>
        <v/>
      </c>
    </row>
    <row r="15" customFormat="false" ht="22.5" hidden="false" customHeight="true" outlineLevel="0" collapsed="false">
      <c r="B15" s="91" t="s">
        <v>132</v>
      </c>
      <c r="C15" s="60" t="n">
        <v>152187</v>
      </c>
      <c r="D15" s="90" t="n">
        <f aca="false">IFERROR(C15/$C$5,"")</f>
        <v>0.000480455761003543</v>
      </c>
      <c r="E15" s="35" t="n">
        <v>142619</v>
      </c>
      <c r="F15" s="90" t="n">
        <f aca="false">IFERROR(E15/$E$5,"")</f>
        <v>0.000321309451488321</v>
      </c>
      <c r="G15" s="35" t="n">
        <v>841073</v>
      </c>
      <c r="H15" s="90" t="n">
        <f aca="false">IFERROR(G15/$G$5,"")</f>
        <v>0.00199082544878856</v>
      </c>
      <c r="I15" s="35"/>
      <c r="J15" s="90" t="str">
        <f aca="false">IFERROR(I15/$I$5,"")</f>
        <v/>
      </c>
      <c r="K15" s="35"/>
      <c r="L15" s="90" t="str">
        <f aca="false">IFERROR(K15/$K$5,"")</f>
        <v/>
      </c>
    </row>
    <row r="16" customFormat="false" ht="22.5" hidden="false" customHeight="true" outlineLevel="0" collapsed="false">
      <c r="B16" s="91" t="s">
        <v>133</v>
      </c>
      <c r="C16" s="60" t="n">
        <v>1440144</v>
      </c>
      <c r="D16" s="90" t="n">
        <f aca="false">IFERROR(C16/$C$5,"")</f>
        <v>0.00454654787514496</v>
      </c>
      <c r="E16" s="35" t="n">
        <v>1738203</v>
      </c>
      <c r="F16" s="90" t="n">
        <f aca="false">IFERROR(E16/$E$5,"")</f>
        <v>0.00391603539854685</v>
      </c>
      <c r="G16" s="35" t="n">
        <v>2336230</v>
      </c>
      <c r="H16" s="90" t="n">
        <f aca="false">IFERROR(G16/$G$5,"")</f>
        <v>0.00552987212551502</v>
      </c>
      <c r="I16" s="35"/>
      <c r="J16" s="90" t="str">
        <f aca="false">IFERROR(I16/$I$5,"")</f>
        <v/>
      </c>
      <c r="K16" s="35"/>
      <c r="L16" s="90" t="str">
        <f aca="false">IFERROR(K16/$K$5,"")</f>
        <v/>
      </c>
    </row>
    <row r="17" customFormat="false" ht="22.5" hidden="false" customHeight="true" outlineLevel="0" collapsed="false">
      <c r="B17" s="91" t="s">
        <v>134</v>
      </c>
      <c r="C17" s="60" t="n">
        <v>211518</v>
      </c>
      <c r="D17" s="90" t="n">
        <f aca="false">IFERROR(C17/$C$5,"")</f>
        <v>0.000667764274582897</v>
      </c>
      <c r="E17" s="35" t="n">
        <v>214892</v>
      </c>
      <c r="F17" s="90" t="n">
        <f aca="false">IFERROR(E17/$E$5,"")</f>
        <v>0.000484134867368501</v>
      </c>
      <c r="G17" s="35" t="n">
        <v>284369</v>
      </c>
      <c r="H17" s="90" t="n">
        <f aca="false">IFERROR(G17/$G$5,"")</f>
        <v>0.000673103335913237</v>
      </c>
      <c r="I17" s="35"/>
      <c r="J17" s="90" t="str">
        <f aca="false">IFERROR(I17/$I$5,"")</f>
        <v/>
      </c>
      <c r="K17" s="35"/>
      <c r="L17" s="90" t="str">
        <f aca="false">IFERROR(K17/$K$5,"")</f>
        <v/>
      </c>
    </row>
    <row r="18" customFormat="false" ht="22.5" hidden="false" customHeight="true" outlineLevel="0" collapsed="false">
      <c r="B18" s="91" t="s">
        <v>135</v>
      </c>
      <c r="C18" s="60" t="n">
        <v>645511</v>
      </c>
      <c r="D18" s="90" t="n">
        <f aca="false">IFERROR(C18/$C$5,"")</f>
        <v>0.00203788417368867</v>
      </c>
      <c r="E18" s="35" t="n">
        <v>2129949</v>
      </c>
      <c r="F18" s="90" t="n">
        <f aca="false">IFERROR(E18/$E$5,"")</f>
        <v>0.00479860849457714</v>
      </c>
      <c r="G18" s="35" t="n">
        <v>1018914</v>
      </c>
      <c r="H18" s="90" t="n">
        <f aca="false">IFERROR(G18/$G$5,"")</f>
        <v>0.00241177629210181</v>
      </c>
      <c r="I18" s="35"/>
      <c r="J18" s="90" t="str">
        <f aca="false">IFERROR(I18/$I$5,"")</f>
        <v/>
      </c>
      <c r="K18" s="35"/>
      <c r="L18" s="90" t="str">
        <f aca="false">IFERROR(K18/$K$5,"")</f>
        <v/>
      </c>
    </row>
    <row r="19" customFormat="false" ht="22.5" hidden="false" customHeight="true" outlineLevel="0" collapsed="false">
      <c r="B19" s="91" t="s">
        <v>136</v>
      </c>
      <c r="C19" s="60" t="n">
        <v>1416425</v>
      </c>
      <c r="D19" s="90" t="n">
        <f aca="false">IFERROR(C19/$C$5,"")</f>
        <v>0.00447166677363666</v>
      </c>
      <c r="E19" s="35" t="n">
        <v>1506325</v>
      </c>
      <c r="F19" s="90" t="n">
        <f aca="false">IFERROR(E19/$E$5,"")</f>
        <v>0.00339363240180582</v>
      </c>
      <c r="G19" s="35" t="n">
        <v>1506831</v>
      </c>
      <c r="H19" s="90" t="n">
        <f aca="false">IFERROR(G19/$G$5,"")</f>
        <v>0.00356667911325594</v>
      </c>
      <c r="I19" s="35"/>
      <c r="J19" s="90" t="str">
        <f aca="false">IFERROR(I19/$I$5,"")</f>
        <v/>
      </c>
      <c r="K19" s="35"/>
      <c r="L19" s="90" t="str">
        <f aca="false">IFERROR(K19/$K$5,"")</f>
        <v/>
      </c>
    </row>
    <row r="20" customFormat="false" ht="22.5" hidden="false" customHeight="true" outlineLevel="0" collapsed="false">
      <c r="B20" s="91" t="s">
        <v>137</v>
      </c>
      <c r="C20" s="60" t="n">
        <v>65128</v>
      </c>
      <c r="D20" s="90" t="n">
        <f aca="false">IFERROR(C20/$C$5,"")</f>
        <v>0.000205609695983486</v>
      </c>
      <c r="E20" s="35"/>
      <c r="F20" s="90" t="n">
        <f aca="false">IFERROR(E20/$E$5,"")</f>
        <v>0</v>
      </c>
      <c r="G20" s="35"/>
      <c r="H20" s="90" t="n">
        <f aca="false">IFERROR(G20/$G$5,"")</f>
        <v>0</v>
      </c>
      <c r="I20" s="35"/>
      <c r="J20" s="90" t="str">
        <f aca="false">IFERROR(I20/$I$5,"")</f>
        <v/>
      </c>
      <c r="K20" s="35"/>
      <c r="L20" s="90" t="str">
        <f aca="false">IFERROR(K20/$K$5,"")</f>
        <v/>
      </c>
    </row>
    <row r="21" customFormat="false" ht="22.5" hidden="false" customHeight="true" outlineLevel="0" collapsed="false">
      <c r="B21" s="91" t="s">
        <v>138</v>
      </c>
      <c r="C21" s="60" t="n">
        <v>1145535</v>
      </c>
      <c r="D21" s="90" t="n">
        <f aca="false">IFERROR(C21/$C$5,"")</f>
        <v>0.0036164645480967</v>
      </c>
      <c r="E21" s="35" t="n">
        <v>1700793</v>
      </c>
      <c r="F21" s="90" t="n">
        <f aca="false">IFERROR(E21/$E$5,"")</f>
        <v>0.00383175359471863</v>
      </c>
      <c r="G21" s="35" t="n">
        <v>1195194</v>
      </c>
      <c r="H21" s="90" t="n">
        <f aca="false">IFERROR(G21/$G$5,"")</f>
        <v>0.00282903223791442</v>
      </c>
      <c r="I21" s="35"/>
      <c r="J21" s="90" t="str">
        <f aca="false">IFERROR(I21/$I$5,"")</f>
        <v/>
      </c>
      <c r="K21" s="35"/>
      <c r="L21" s="90" t="str">
        <f aca="false">IFERROR(K21/$K$5,"")</f>
        <v/>
      </c>
    </row>
    <row r="22" customFormat="false" ht="22.5" hidden="false" customHeight="true" outlineLevel="0" collapsed="false">
      <c r="B22" s="91" t="s">
        <v>139</v>
      </c>
      <c r="C22" s="60" t="n">
        <v>44900</v>
      </c>
      <c r="D22" s="90" t="n">
        <f aca="false">IFERROR(C22/$C$5,"")</f>
        <v>0.000141749713635587</v>
      </c>
      <c r="E22" s="35" t="n">
        <v>190064</v>
      </c>
      <c r="F22" s="90" t="n">
        <f aca="false">IFERROR(E22/$E$5,"")</f>
        <v>0.000428199325389157</v>
      </c>
      <c r="G22" s="35"/>
      <c r="H22" s="90" t="n">
        <f aca="false">IFERROR(G22/$G$5,"")</f>
        <v>0</v>
      </c>
      <c r="I22" s="35"/>
      <c r="J22" s="90" t="str">
        <f aca="false">IFERROR(I22/$I$5,"")</f>
        <v/>
      </c>
      <c r="K22" s="35"/>
      <c r="L22" s="90" t="str">
        <f aca="false">IFERROR(K22/$K$5,"")</f>
        <v/>
      </c>
    </row>
    <row r="23" customFormat="false" ht="22.5" hidden="false" customHeight="true" outlineLevel="0" collapsed="false">
      <c r="B23" s="91" t="s">
        <v>140</v>
      </c>
      <c r="C23" s="60" t="n">
        <v>394299</v>
      </c>
      <c r="D23" s="90" t="n">
        <f aca="false">IFERROR(C23/$C$5,"")</f>
        <v>0.00124480557542981</v>
      </c>
      <c r="E23" s="35" t="n">
        <v>403021</v>
      </c>
      <c r="F23" s="90" t="n">
        <f aca="false">IFERROR(E23/$E$5,"")</f>
        <v>0.00090797478911137</v>
      </c>
      <c r="G23" s="35" t="n">
        <v>412583</v>
      </c>
      <c r="H23" s="90" t="n">
        <f aca="false">IFERROR(G23/$G$5,"")</f>
        <v>0.00097658673639212</v>
      </c>
      <c r="I23" s="35"/>
      <c r="J23" s="90" t="str">
        <f aca="false">IFERROR(I23/$I$5,"")</f>
        <v/>
      </c>
      <c r="K23" s="35"/>
      <c r="L23" s="90" t="str">
        <f aca="false">IFERROR(K23/$K$5,"")</f>
        <v/>
      </c>
    </row>
    <row r="24" customFormat="false" ht="22.5" hidden="false" customHeight="true" outlineLevel="0" collapsed="false">
      <c r="B24" s="91" t="s">
        <v>141</v>
      </c>
      <c r="C24" s="60" t="n">
        <v>57450</v>
      </c>
      <c r="D24" s="90" t="n">
        <f aca="false">IFERROR(C24/$C$5,"")</f>
        <v>0.000181370179250879</v>
      </c>
      <c r="E24" s="35" t="n">
        <v>36000</v>
      </c>
      <c r="F24" s="90" t="n">
        <f aca="false">IFERROR(E24/$E$5,"")</f>
        <v>8.11051841169798E-005</v>
      </c>
      <c r="G24" s="35" t="n">
        <v>48000</v>
      </c>
      <c r="H24" s="90" t="n">
        <f aca="false">IFERROR(G24/$G$5,"")</f>
        <v>0.00011361632288975</v>
      </c>
      <c r="I24" s="35"/>
      <c r="J24" s="90" t="str">
        <f aca="false">IFERROR(I24/$I$5,"")</f>
        <v/>
      </c>
      <c r="K24" s="35"/>
      <c r="L24" s="90" t="str">
        <f aca="false">IFERROR(K24/$K$5,"")</f>
        <v/>
      </c>
    </row>
    <row r="25" customFormat="false" ht="22.5" hidden="false" customHeight="true" outlineLevel="0" collapsed="false">
      <c r="B25" s="91" t="s">
        <v>142</v>
      </c>
      <c r="C25" s="60" t="n">
        <v>3167934</v>
      </c>
      <c r="D25" s="90" t="n">
        <f aca="false">IFERROR(C25/$C$5,"")</f>
        <v>0.0100011968221924</v>
      </c>
      <c r="E25" s="35" t="n">
        <v>3674031</v>
      </c>
      <c r="F25" s="90" t="n">
        <f aca="false">IFERROR(E25/$E$5,"")</f>
        <v>0.00827730446406921</v>
      </c>
      <c r="G25" s="35" t="n">
        <v>1179313</v>
      </c>
      <c r="H25" s="90" t="n">
        <f aca="false">IFERROR(G25/$G$5,"")</f>
        <v>0.002791441804085</v>
      </c>
      <c r="I25" s="35"/>
      <c r="J25" s="90" t="str">
        <f aca="false">IFERROR(I25/$I$5,"")</f>
        <v/>
      </c>
      <c r="K25" s="35"/>
      <c r="L25" s="90" t="str">
        <f aca="false">IFERROR(K25/$K$5,"")</f>
        <v/>
      </c>
    </row>
    <row r="26" customFormat="false" ht="22.5" hidden="false" customHeight="true" outlineLevel="0" collapsed="false">
      <c r="B26" s="91" t="s">
        <v>143</v>
      </c>
      <c r="C26" s="60" t="n">
        <v>650214</v>
      </c>
      <c r="D26" s="90" t="n">
        <f aca="false">IFERROR(C26/$C$5,"")</f>
        <v>0.00205273158801447</v>
      </c>
      <c r="E26" s="35" t="n">
        <v>478916</v>
      </c>
      <c r="F26" s="90" t="n">
        <f aca="false">IFERROR(E26/$E$5,"")</f>
        <v>0.00107896028768243</v>
      </c>
      <c r="G26" s="35" t="n">
        <v>716759</v>
      </c>
      <c r="H26" s="90" t="n">
        <f aca="false">IFERROR(G26/$G$5,"")</f>
        <v>0.00169657337454447</v>
      </c>
      <c r="I26" s="35"/>
      <c r="J26" s="90" t="str">
        <f aca="false">IFERROR(I26/$I$5,"")</f>
        <v/>
      </c>
      <c r="K26" s="35"/>
      <c r="L26" s="90" t="str">
        <f aca="false">IFERROR(K26/$K$5,"")</f>
        <v/>
      </c>
    </row>
    <row r="27" customFormat="false" ht="22.5" hidden="false" customHeight="true" outlineLevel="0" collapsed="false">
      <c r="B27" s="91" t="s">
        <v>144</v>
      </c>
      <c r="C27" s="60" t="n">
        <v>5430000</v>
      </c>
      <c r="D27" s="90" t="n">
        <f aca="false">IFERROR(C27/$C$5,"")</f>
        <v>0.0171425600231901</v>
      </c>
      <c r="E27" s="35" t="n">
        <v>5430000</v>
      </c>
      <c r="F27" s="90" t="n">
        <f aca="false">IFERROR(E27/$E$5,"")</f>
        <v>0.0122333652709778</v>
      </c>
      <c r="G27" s="35" t="n">
        <v>5500911</v>
      </c>
      <c r="H27" s="90" t="n">
        <f aca="false">IFERROR(G27/$G$5,"")</f>
        <v>0.013020693340912</v>
      </c>
      <c r="I27" s="35"/>
      <c r="J27" s="90" t="str">
        <f aca="false">IFERROR(I27/$I$5,"")</f>
        <v/>
      </c>
      <c r="K27" s="35"/>
      <c r="L27" s="90" t="str">
        <f aca="false">IFERROR(K27/$K$5,"")</f>
        <v/>
      </c>
    </row>
    <row r="28" customFormat="false" ht="22.5" hidden="false" customHeight="true" outlineLevel="0" collapsed="false">
      <c r="B28" s="91" t="s">
        <v>145</v>
      </c>
      <c r="C28" s="60" t="n">
        <v>131200</v>
      </c>
      <c r="D28" s="90" t="n">
        <f aca="false">IFERROR(C28/$C$5,"")</f>
        <v>0.000414199608663452</v>
      </c>
      <c r="E28" s="35" t="n">
        <v>160920</v>
      </c>
      <c r="F28" s="90" t="n">
        <f aca="false">IFERROR(E28/$E$5,"")</f>
        <v>0.0003625401730029</v>
      </c>
      <c r="G28" s="35" t="n">
        <v>147510</v>
      </c>
      <c r="H28" s="90" t="n">
        <f aca="false">IFERROR(G28/$G$5,"")</f>
        <v>0.000349157162280563</v>
      </c>
      <c r="I28" s="35"/>
      <c r="J28" s="90" t="str">
        <f aca="false">IFERROR(I28/$I$5,"")</f>
        <v/>
      </c>
      <c r="K28" s="35"/>
      <c r="L28" s="90" t="str">
        <f aca="false">IFERROR(K28/$K$5,"")</f>
        <v/>
      </c>
    </row>
    <row r="29" customFormat="false" ht="22.5" hidden="false" customHeight="true" outlineLevel="0" collapsed="false">
      <c r="B29" s="91" t="s">
        <v>146</v>
      </c>
      <c r="C29" s="60" t="n">
        <v>709690</v>
      </c>
      <c r="D29" s="90" t="n">
        <f aca="false">IFERROR(C29/$C$5,"")</f>
        <v>0.00224049786792961</v>
      </c>
      <c r="E29" s="35" t="n">
        <v>1090090</v>
      </c>
      <c r="F29" s="90" t="n">
        <f aca="false">IFERROR(E29/$E$5,"")</f>
        <v>0.00245588750427996</v>
      </c>
      <c r="G29" s="35" t="n">
        <v>735330</v>
      </c>
      <c r="H29" s="90" t="n">
        <f aca="false">IFERROR(G29/$G$5,"")</f>
        <v>0.00174053105646917</v>
      </c>
      <c r="I29" s="35"/>
      <c r="J29" s="90" t="str">
        <f aca="false">IFERROR(I29/$I$5,"")</f>
        <v/>
      </c>
      <c r="K29" s="35"/>
      <c r="L29" s="90" t="str">
        <f aca="false">IFERROR(K29/$K$5,"")</f>
        <v/>
      </c>
    </row>
    <row r="30" customFormat="false" ht="22.5" hidden="false" customHeight="true" outlineLevel="0" collapsed="false">
      <c r="B30" s="91" t="s">
        <v>147</v>
      </c>
      <c r="C30" s="60" t="n">
        <v>234840</v>
      </c>
      <c r="D30" s="90" t="n">
        <f aca="false">IFERROR(C30/$C$5,"")</f>
        <v>0.00074139204343388</v>
      </c>
      <c r="E30" s="35" t="n">
        <v>175360</v>
      </c>
      <c r="F30" s="90" t="n">
        <f aca="false">IFERROR(E30/$E$5,"")</f>
        <v>0.000395072363520933</v>
      </c>
      <c r="G30" s="35" t="n">
        <v>269084</v>
      </c>
      <c r="H30" s="90" t="n">
        <f aca="false">IFERROR(G30/$G$5,"")</f>
        <v>0.000636923638093032</v>
      </c>
      <c r="I30" s="35"/>
      <c r="J30" s="90" t="str">
        <f aca="false">IFERROR(I30/$I$5,"")</f>
        <v/>
      </c>
      <c r="K30" s="35"/>
      <c r="L30" s="90" t="str">
        <f aca="false">IFERROR(K30/$K$5,"")</f>
        <v/>
      </c>
    </row>
    <row r="31" customFormat="false" ht="22.5" hidden="false" customHeight="true" outlineLevel="0" collapsed="false">
      <c r="B31" s="91" t="s">
        <v>148</v>
      </c>
      <c r="C31" s="60" t="n">
        <v>755000</v>
      </c>
      <c r="D31" s="90" t="n">
        <f aca="false">IFERROR(C31/$C$5,"")</f>
        <v>0.00238354195534227</v>
      </c>
      <c r="E31" s="35" t="n">
        <v>755000</v>
      </c>
      <c r="F31" s="90" t="n">
        <f aca="false">IFERROR(E31/$E$5,"")</f>
        <v>0.00170095594467555</v>
      </c>
      <c r="G31" s="35" t="n">
        <v>762000</v>
      </c>
      <c r="H31" s="90" t="n">
        <f aca="false">IFERROR(G31/$G$5,"")</f>
        <v>0.00180365912587478</v>
      </c>
      <c r="I31" s="35"/>
      <c r="J31" s="90" t="str">
        <f aca="false">IFERROR(I31/$I$5,"")</f>
        <v/>
      </c>
      <c r="K31" s="35"/>
      <c r="L31" s="90" t="str">
        <f aca="false">IFERROR(K31/$K$5,"")</f>
        <v/>
      </c>
    </row>
    <row r="32" customFormat="false" ht="22.5" hidden="false" customHeight="true" outlineLevel="0" collapsed="false">
      <c r="B32" s="91" t="s">
        <v>149</v>
      </c>
      <c r="C32" s="60" t="n">
        <v>50000</v>
      </c>
      <c r="D32" s="90" t="n">
        <f aca="false">IFERROR(C32/$C$5,"")</f>
        <v>0.000157850460618694</v>
      </c>
      <c r="E32" s="35" t="n">
        <v>200000</v>
      </c>
      <c r="F32" s="90" t="n">
        <f aca="false">IFERROR(E32/$E$5,"")</f>
        <v>0.000450584356205444</v>
      </c>
      <c r="G32" s="35" t="n">
        <v>50000</v>
      </c>
      <c r="H32" s="90" t="n">
        <f aca="false">IFERROR(G32/$G$5,"")</f>
        <v>0.00011835033634349</v>
      </c>
      <c r="I32" s="35"/>
      <c r="J32" s="90" t="str">
        <f aca="false">IFERROR(I32/$I$5,"")</f>
        <v/>
      </c>
      <c r="K32" s="35"/>
      <c r="L32" s="90" t="str">
        <f aca="false">IFERROR(K32/$K$5,"")</f>
        <v/>
      </c>
    </row>
    <row r="33" customFormat="false" ht="22.5" hidden="false" customHeight="true" outlineLevel="0" collapsed="false">
      <c r="B33" s="91" t="s">
        <v>150</v>
      </c>
      <c r="C33" s="60" t="n">
        <v>174503</v>
      </c>
      <c r="D33" s="90" t="n">
        <f aca="false">IFERROR(C33/$C$5,"")</f>
        <v>0.000550907578586878</v>
      </c>
      <c r="E33" s="35" t="n">
        <v>574824</v>
      </c>
      <c r="F33" s="90" t="n">
        <f aca="false">IFERROR(E33/$E$5,"")</f>
        <v>0.00129503350985719</v>
      </c>
      <c r="G33" s="35" t="n">
        <v>170367</v>
      </c>
      <c r="H33" s="90" t="n">
        <f aca="false">IFERROR(G33/$G$5,"")</f>
        <v>0.000403259835036626</v>
      </c>
      <c r="I33" s="35"/>
      <c r="J33" s="90" t="str">
        <f aca="false">IFERROR(I33/$I$5,"")</f>
        <v/>
      </c>
      <c r="K33" s="35"/>
      <c r="L33" s="90" t="str">
        <f aca="false">IFERROR(K33/$K$5,"")</f>
        <v/>
      </c>
    </row>
    <row r="34" customFormat="false" ht="22.5" hidden="false" customHeight="true" outlineLevel="0" collapsed="false">
      <c r="B34" s="91" t="s">
        <v>151</v>
      </c>
      <c r="C34" s="60" t="n">
        <v>881300</v>
      </c>
      <c r="D34" s="90" t="n">
        <f aca="false">IFERROR(C34/$C$5,"")</f>
        <v>0.00278227221886509</v>
      </c>
      <c r="E34" s="35" t="n">
        <v>644524</v>
      </c>
      <c r="F34" s="90" t="n">
        <f aca="false">IFERROR(E34/$E$5,"")</f>
        <v>0.00145206215799479</v>
      </c>
      <c r="G34" s="35" t="n">
        <v>1182673</v>
      </c>
      <c r="H34" s="90" t="n">
        <f aca="false">IFERROR(G34/$G$5,"")</f>
        <v>0.00279939494668728</v>
      </c>
      <c r="I34" s="35"/>
      <c r="J34" s="90" t="str">
        <f aca="false">IFERROR(I34/$I$5,"")</f>
        <v/>
      </c>
      <c r="K34" s="35"/>
      <c r="L34" s="90" t="str">
        <f aca="false">IFERROR(K34/$K$5,"")</f>
        <v/>
      </c>
    </row>
    <row r="35" customFormat="false" ht="22.5" hidden="false" customHeight="true" outlineLevel="0" collapsed="false">
      <c r="B35" s="91" t="s">
        <v>152</v>
      </c>
      <c r="C35" s="60" t="n">
        <v>803000</v>
      </c>
      <c r="D35" s="90" t="n">
        <f aca="false">IFERROR(C35/$C$5,"")</f>
        <v>0.00253507839753622</v>
      </c>
      <c r="E35" s="35" t="n">
        <v>246000</v>
      </c>
      <c r="F35" s="90" t="n">
        <f aca="false">IFERROR(E35/$E$5,"")</f>
        <v>0.000554218758132696</v>
      </c>
      <c r="G35" s="35" t="n">
        <v>201000</v>
      </c>
      <c r="H35" s="90" t="n">
        <f aca="false">IFERROR(G35/$G$5,"")</f>
        <v>0.000475768352100829</v>
      </c>
      <c r="I35" s="35"/>
      <c r="J35" s="90" t="str">
        <f aca="false">IFERROR(I35/$I$5,"")</f>
        <v/>
      </c>
      <c r="K35" s="35"/>
      <c r="L35" s="90" t="str">
        <f aca="false">IFERROR(K35/$K$5,"")</f>
        <v/>
      </c>
    </row>
    <row r="36" customFormat="false" ht="22.5" hidden="false" customHeight="true" outlineLevel="0" collapsed="false">
      <c r="B36" s="91" t="s">
        <v>153</v>
      </c>
      <c r="C36" s="60" t="n">
        <v>1622989</v>
      </c>
      <c r="D36" s="90" t="n">
        <f aca="false">IFERROR(C36/$C$5,"")</f>
        <v>0.00512379122458146</v>
      </c>
      <c r="E36" s="35"/>
      <c r="F36" s="90" t="n">
        <f aca="false">IFERROR(E36/$E$5,"")</f>
        <v>0</v>
      </c>
      <c r="G36" s="35" t="n">
        <v>1143204</v>
      </c>
      <c r="H36" s="90" t="n">
        <f aca="false">IFERROR(G36/$G$5,"")</f>
        <v>0.00270597155818446</v>
      </c>
      <c r="I36" s="35"/>
      <c r="J36" s="90" t="str">
        <f aca="false">IFERROR(I36/$I$5,"")</f>
        <v/>
      </c>
      <c r="K36" s="35"/>
      <c r="L36" s="90" t="str">
        <f aca="false">IFERROR(K36/$K$5,"")</f>
        <v/>
      </c>
    </row>
    <row r="37" customFormat="false" ht="22.5" hidden="false" customHeight="true" outlineLevel="0" collapsed="false">
      <c r="B37" s="91"/>
      <c r="C37" s="60"/>
      <c r="D37" s="90" t="n">
        <f aca="false">IFERROR(C37/$C$5,"")</f>
        <v>0</v>
      </c>
      <c r="E37" s="35"/>
      <c r="F37" s="90" t="n">
        <f aca="false">IFERROR(E37/$E$5,"")</f>
        <v>0</v>
      </c>
      <c r="G37" s="35"/>
      <c r="H37" s="90" t="n">
        <f aca="false">IFERROR(G37/$G$5,"")</f>
        <v>0</v>
      </c>
      <c r="I37" s="35"/>
      <c r="J37" s="90" t="str">
        <f aca="false">IFERROR(I37/$I$5,"")</f>
        <v/>
      </c>
      <c r="K37" s="35"/>
      <c r="L37" s="90" t="str">
        <f aca="false">IFERROR(K37/$K$5,"")</f>
        <v/>
      </c>
    </row>
    <row r="38" customFormat="false" ht="22.5" hidden="false" customHeight="true" outlineLevel="0" collapsed="false">
      <c r="B38" s="91"/>
      <c r="C38" s="60"/>
      <c r="D38" s="90" t="n">
        <f aca="false">IFERROR(C38/$C$5,"")</f>
        <v>0</v>
      </c>
      <c r="E38" s="35"/>
      <c r="F38" s="90" t="n">
        <f aca="false">IFERROR(E38/$E$5,"")</f>
        <v>0</v>
      </c>
      <c r="G38" s="35"/>
      <c r="H38" s="90" t="n">
        <f aca="false">IFERROR(G38/$G$5,"")</f>
        <v>0</v>
      </c>
      <c r="I38" s="35"/>
      <c r="J38" s="90" t="str">
        <f aca="false">IFERROR(I38/$I$5,"")</f>
        <v/>
      </c>
      <c r="K38" s="35"/>
      <c r="L38" s="90" t="str">
        <f aca="false">IFERROR(K38/$K$5,"")</f>
        <v/>
      </c>
    </row>
    <row r="39" customFormat="false" ht="22.5" hidden="false" customHeight="true" outlineLevel="0" collapsed="false">
      <c r="B39" s="91"/>
      <c r="C39" s="60"/>
      <c r="D39" s="90" t="n">
        <f aca="false">IFERROR(C39/$C$5,"")</f>
        <v>0</v>
      </c>
      <c r="E39" s="35"/>
      <c r="F39" s="90" t="n">
        <f aca="false">IFERROR(E39/$E$5,"")</f>
        <v>0</v>
      </c>
      <c r="G39" s="35"/>
      <c r="H39" s="90" t="n">
        <f aca="false">IFERROR(G39/$G$5,"")</f>
        <v>0</v>
      </c>
      <c r="I39" s="35"/>
      <c r="J39" s="90" t="str">
        <f aca="false">IFERROR(I39/$I$5,"")</f>
        <v/>
      </c>
      <c r="K39" s="35"/>
      <c r="L39" s="90" t="str">
        <f aca="false">IFERROR(K39/$K$5,"")</f>
        <v/>
      </c>
    </row>
    <row r="40" customFormat="false" ht="22.5" hidden="false" customHeight="true" outlineLevel="0" collapsed="false">
      <c r="B40" s="137" t="s">
        <v>154</v>
      </c>
      <c r="C40" s="138" t="n">
        <f aca="false">SUM(C6:C39)</f>
        <v>97395979</v>
      </c>
      <c r="D40" s="139" t="n">
        <f aca="false">IFERROR(C40/C5,"")</f>
        <v>0.307480002951172</v>
      </c>
      <c r="E40" s="140" t="n">
        <f aca="false">SUM(E6:E39)</f>
        <v>100735586</v>
      </c>
      <c r="F40" s="139" t="n">
        <f aca="false">IFERROR(E40/E5,"")</f>
        <v>0.22694939582394</v>
      </c>
      <c r="G40" s="140" t="n">
        <f aca="false">SUM(G6:G39)</f>
        <v>92289462</v>
      </c>
      <c r="H40" s="139" t="n">
        <f aca="false">IFERROR(G40/G5,"")</f>
        <v>0.218449777373194</v>
      </c>
      <c r="I40" s="140" t="n">
        <f aca="false">SUM(I6:I39)</f>
        <v>0</v>
      </c>
      <c r="J40" s="139" t="str">
        <f aca="false">IFERROR(I40/I5,"")</f>
        <v/>
      </c>
      <c r="K40" s="140" t="n">
        <f aca="false">SUM(K6:K39)</f>
        <v>0</v>
      </c>
      <c r="L40" s="139" t="str">
        <f aca="false">IFERROR(K40/K5,"")</f>
        <v/>
      </c>
    </row>
    <row r="41" customFormat="false" ht="18" hidden="false" customHeight="true" outlineLevel="0" collapsed="false">
      <c r="B41" s="46"/>
      <c r="C41" s="131"/>
      <c r="D41" s="19"/>
      <c r="E41" s="133"/>
      <c r="F41" s="19"/>
      <c r="G41" s="133"/>
      <c r="H41" s="19"/>
      <c r="I41" s="133"/>
      <c r="J41" s="19"/>
      <c r="K41" s="133"/>
      <c r="L41" s="19"/>
    </row>
    <row r="42" customFormat="false" ht="18" hidden="false" customHeight="true" outlineLevel="0" collapsed="false">
      <c r="B42" s="46"/>
      <c r="C42" s="131"/>
      <c r="D42" s="19"/>
      <c r="E42" s="133"/>
      <c r="F42" s="19"/>
      <c r="G42" s="133"/>
      <c r="H42" s="19"/>
      <c r="I42" s="133"/>
      <c r="J42" s="19"/>
      <c r="K42" s="133"/>
      <c r="L42" s="19"/>
    </row>
    <row r="43" customFormat="false" ht="18" hidden="false" customHeight="true" outlineLevel="0" collapsed="false">
      <c r="B43" s="46"/>
      <c r="C43" s="131"/>
      <c r="D43" s="19"/>
      <c r="E43" s="133"/>
      <c r="F43" s="19"/>
      <c r="G43" s="133"/>
      <c r="H43" s="19"/>
      <c r="I43" s="133"/>
      <c r="J43" s="19"/>
      <c r="K43" s="133"/>
      <c r="L43" s="19"/>
    </row>
    <row r="44" customFormat="false" ht="18" hidden="false" customHeight="true" outlineLevel="0" collapsed="false">
      <c r="B44" s="46"/>
      <c r="C44" s="131"/>
      <c r="D44" s="19"/>
      <c r="E44" s="133"/>
      <c r="F44" s="19"/>
      <c r="G44" s="133"/>
      <c r="H44" s="19"/>
      <c r="I44" s="133"/>
      <c r="J44" s="19"/>
      <c r="K44" s="133"/>
      <c r="L44" s="19"/>
    </row>
    <row r="45" customFormat="false" ht="18" hidden="false" customHeight="true" outlineLevel="0" collapsed="false">
      <c r="B45" s="46"/>
      <c r="C45" s="131"/>
      <c r="D45" s="19"/>
      <c r="E45" s="133"/>
      <c r="F45" s="19"/>
      <c r="G45" s="133"/>
      <c r="H45" s="19"/>
      <c r="I45" s="133"/>
      <c r="J45" s="19"/>
      <c r="K45" s="133"/>
      <c r="L45" s="19"/>
    </row>
    <row r="46" customFormat="false" ht="18" hidden="false" customHeight="true" outlineLevel="0" collapsed="false">
      <c r="B46" s="46"/>
      <c r="C46" s="131"/>
      <c r="D46" s="19"/>
      <c r="E46" s="133"/>
      <c r="F46" s="19"/>
      <c r="G46" s="133"/>
      <c r="H46" s="19"/>
      <c r="I46" s="133"/>
      <c r="J46" s="19"/>
      <c r="K46" s="133"/>
      <c r="L46" s="19"/>
    </row>
    <row r="47" customFormat="false" ht="18" hidden="false" customHeight="true" outlineLevel="0" collapsed="false">
      <c r="B47" s="46"/>
      <c r="C47" s="131"/>
      <c r="D47" s="19"/>
      <c r="E47" s="133"/>
      <c r="F47" s="19"/>
      <c r="G47" s="133"/>
      <c r="H47" s="19"/>
      <c r="I47" s="133"/>
      <c r="J47" s="19"/>
      <c r="K47" s="133"/>
      <c r="L47" s="19"/>
    </row>
    <row r="48" customFormat="false" ht="18" hidden="false" customHeight="true" outlineLevel="0" collapsed="false">
      <c r="B48" s="46"/>
      <c r="C48" s="131"/>
      <c r="D48" s="19"/>
      <c r="E48" s="133"/>
      <c r="F48" s="19"/>
      <c r="G48" s="133"/>
      <c r="H48" s="19"/>
      <c r="I48" s="133"/>
      <c r="J48" s="19"/>
      <c r="K48" s="133"/>
      <c r="L48" s="19"/>
    </row>
    <row r="49" customFormat="false" ht="18" hidden="false" customHeight="true" outlineLevel="0" collapsed="false">
      <c r="C49" s="43"/>
      <c r="E49" s="43"/>
      <c r="G49" s="43"/>
      <c r="I49" s="76"/>
      <c r="K49" s="43"/>
    </row>
    <row r="50" customFormat="false" ht="18" hidden="false" customHeight="true" outlineLevel="0" collapsed="false">
      <c r="C50" s="43"/>
      <c r="E50" s="43"/>
      <c r="G50" s="43"/>
      <c r="I50" s="76"/>
      <c r="K50" s="43"/>
    </row>
    <row r="51" customFormat="false" ht="18" hidden="false" customHeight="true" outlineLevel="0" collapsed="false">
      <c r="C51" s="43"/>
      <c r="E51" s="43"/>
      <c r="G51" s="43"/>
      <c r="I51" s="76"/>
      <c r="K51" s="43"/>
    </row>
    <row r="52" customFormat="false" ht="18" hidden="false" customHeight="true" outlineLevel="0" collapsed="false">
      <c r="C52" s="43"/>
      <c r="E52" s="43"/>
      <c r="G52" s="43"/>
      <c r="I52" s="76"/>
      <c r="K52" s="43"/>
    </row>
    <row r="53" customFormat="false" ht="18" hidden="false" customHeight="true" outlineLevel="0" collapsed="false">
      <c r="C53" s="43"/>
      <c r="E53" s="43"/>
      <c r="G53" s="43"/>
      <c r="I53" s="76"/>
      <c r="K53" s="43"/>
    </row>
    <row r="54" customFormat="false" ht="18" hidden="false" customHeight="true" outlineLevel="0" collapsed="false">
      <c r="C54" s="43"/>
      <c r="E54"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5390625" defaultRowHeight="18" zeroHeight="false" outlineLevelRow="0" outlineLevelCol="0"/>
  <cols>
    <col collapsed="false" customWidth="true" hidden="false" outlineLevel="0" max="6" min="2" style="20" width="18.63"/>
  </cols>
  <sheetData>
    <row r="1" customFormat="false" ht="18" hidden="false" customHeight="true" outlineLevel="0" collapsed="false">
      <c r="A1" s="141" t="s">
        <v>155</v>
      </c>
    </row>
    <row r="2" customFormat="false" ht="18.75" hidden="false" customHeight="true" outlineLevel="0" collapsed="false">
      <c r="F2" s="47" t="s">
        <v>49</v>
      </c>
    </row>
    <row r="3" customFormat="false" ht="21.75" hidden="false" customHeight="true" outlineLevel="0" collapsed="false">
      <c r="B3" s="142"/>
      <c r="C3" s="143" t="s">
        <v>156</v>
      </c>
      <c r="D3" s="85" t="s">
        <v>157</v>
      </c>
      <c r="E3" s="144" t="s">
        <v>158</v>
      </c>
      <c r="F3" s="144"/>
    </row>
    <row r="4" customFormat="false" ht="31.5" hidden="false" customHeight="true" outlineLevel="0" collapsed="false">
      <c r="B4" s="145" t="s">
        <v>159</v>
      </c>
      <c r="C4" s="146" t="n">
        <v>0</v>
      </c>
      <c r="D4" s="147" t="n">
        <v>0</v>
      </c>
      <c r="E4" s="147" t="n">
        <v>0</v>
      </c>
      <c r="F4" s="146" t="n">
        <v>100</v>
      </c>
      <c r="I4" s="2" t="s">
        <v>160</v>
      </c>
    </row>
    <row r="5" customFormat="false" ht="31.5" hidden="false" customHeight="true" outlineLevel="0" collapsed="false">
      <c r="B5" s="145" t="s">
        <v>161</v>
      </c>
      <c r="C5" s="147" t="n">
        <f aca="false">'EV EBITDAマルチプル'!K7</f>
        <v>428042604.01</v>
      </c>
      <c r="D5" s="148" t="n">
        <f aca="false">E5-C5</f>
        <v>70887009.34</v>
      </c>
      <c r="E5" s="147" t="n">
        <f aca="false">'EV EBITDAマルチプル'!M7</f>
        <v>498929613.35</v>
      </c>
      <c r="F5" s="146" t="n">
        <v>0</v>
      </c>
    </row>
    <row r="6" customFormat="false" ht="31.5" hidden="false" customHeight="true" outlineLevel="0" collapsed="false">
      <c r="B6" s="149" t="s">
        <v>162</v>
      </c>
      <c r="C6" s="146" t="n">
        <f aca="false">年買法!K6</f>
        <v>366452501.104</v>
      </c>
      <c r="D6" s="148" t="n">
        <f aca="false">E6-C6</f>
        <v>65567864.2080001</v>
      </c>
      <c r="E6" s="146" t="n">
        <f aca="false">年買法!M6</f>
        <v>432020365.312</v>
      </c>
      <c r="F6" s="146" t="n">
        <v>0</v>
      </c>
    </row>
    <row r="7" customFormat="false" ht="31.5" hidden="false" customHeight="true" outlineLevel="0" collapsed="false"/>
    <row r="8" customFormat="false" ht="15" hidden="false" customHeight="true" outlineLevel="0" collapsed="false"/>
    <row r="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1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5" min="3" style="20" width="16.13"/>
  </cols>
  <sheetData>
    <row r="2" customFormat="false" ht="18.75" hidden="false" customHeight="true" outlineLevel="0" collapsed="false">
      <c r="E2" s="47" t="s">
        <v>49</v>
      </c>
    </row>
    <row r="3" customFormat="false" ht="27.75" hidden="false" customHeight="true" outlineLevel="0" collapsed="false">
      <c r="B3" s="8" t="s">
        <v>5</v>
      </c>
      <c r="C3" s="8"/>
      <c r="D3" s="8"/>
      <c r="E3" s="8"/>
    </row>
    <row r="4" customFormat="false" ht="19.5" hidden="false" customHeight="true" outlineLevel="0" collapsed="false">
      <c r="B4" s="9" t="s">
        <v>6</v>
      </c>
      <c r="C4" s="143" t="str">
        <f aca="false">'BS(借方)'!E4</f>
        <v>26年1月期</v>
      </c>
      <c r="D4" s="11" t="s">
        <v>163</v>
      </c>
      <c r="E4" s="12" t="s">
        <v>164</v>
      </c>
    </row>
    <row r="5" customFormat="false" ht="22.5" hidden="false" customHeight="true" outlineLevel="0" collapsed="false">
      <c r="B5" s="13" t="s">
        <v>9</v>
      </c>
      <c r="C5" s="14" t="n">
        <f aca="false">SUM(C6:C19)</f>
        <v>226144406</v>
      </c>
      <c r="D5" s="14" t="n">
        <f aca="false">SUM(D6:D19)</f>
        <v>201000</v>
      </c>
      <c r="E5" s="15" t="n">
        <f aca="false">C5+D5</f>
        <v>226345406</v>
      </c>
    </row>
    <row r="6" customFormat="false" ht="22.5" hidden="false" customHeight="true" outlineLevel="0" collapsed="false">
      <c r="B6" s="16" t="s">
        <v>10</v>
      </c>
      <c r="C6" s="17" t="n">
        <v>193226490</v>
      </c>
      <c r="D6" s="17"/>
      <c r="E6" s="18" t="n">
        <f aca="false">C6+D6</f>
        <v>193226490</v>
      </c>
    </row>
    <row r="7" customFormat="false" ht="22.5" hidden="false" customHeight="true" outlineLevel="0" collapsed="false">
      <c r="B7" s="16" t="s">
        <v>22</v>
      </c>
      <c r="C7" s="17" t="n">
        <v>20153150</v>
      </c>
      <c r="D7" s="17"/>
      <c r="E7" s="18" t="n">
        <f aca="false">C7+D7</f>
        <v>20153150</v>
      </c>
    </row>
    <row r="8" customFormat="false" ht="22.5" hidden="false" customHeight="true" outlineLevel="0" collapsed="false">
      <c r="B8" s="16" t="s">
        <v>23</v>
      </c>
      <c r="C8" s="17" t="n">
        <v>-201000</v>
      </c>
      <c r="D8" s="17" t="n">
        <v>201000</v>
      </c>
      <c r="E8" s="18" t="n">
        <f aca="false">C8+D8</f>
        <v>0</v>
      </c>
    </row>
    <row r="9" customFormat="false" ht="22.5" hidden="false" customHeight="true" outlineLevel="0" collapsed="false">
      <c r="B9" s="16" t="s">
        <v>24</v>
      </c>
      <c r="C9" s="17" t="n">
        <v>204834</v>
      </c>
      <c r="D9" s="17"/>
      <c r="E9" s="18" t="n">
        <f aca="false">C9+D9</f>
        <v>204834</v>
      </c>
    </row>
    <row r="10" customFormat="false" ht="22.5" hidden="false" customHeight="true" outlineLevel="0" collapsed="false">
      <c r="B10" s="16" t="s">
        <v>25</v>
      </c>
      <c r="C10" s="17" t="n">
        <v>24020</v>
      </c>
      <c r="D10" s="17"/>
      <c r="E10" s="18" t="n">
        <f aca="false">C10+D10</f>
        <v>24020</v>
      </c>
    </row>
    <row r="11" customFormat="false" ht="22.5" hidden="false" customHeight="true" outlineLevel="0" collapsed="false">
      <c r="B11" s="16" t="s">
        <v>26</v>
      </c>
      <c r="C11" s="17" t="n">
        <v>12055237</v>
      </c>
      <c r="D11" s="17"/>
      <c r="E11" s="18" t="n">
        <f aca="false">C11+D11</f>
        <v>12055237</v>
      </c>
    </row>
    <row r="12" customFormat="false" ht="22.5" hidden="false" customHeight="true" outlineLevel="0" collapsed="false">
      <c r="B12" s="16" t="s">
        <v>28</v>
      </c>
      <c r="C12" s="17" t="n">
        <v>640475</v>
      </c>
      <c r="D12" s="17"/>
      <c r="E12" s="18" t="n">
        <f aca="false">C12+D12</f>
        <v>640475</v>
      </c>
    </row>
    <row r="13" customFormat="false" ht="22.5" hidden="false" customHeight="true" outlineLevel="0" collapsed="false">
      <c r="B13" s="16" t="s">
        <v>29</v>
      </c>
      <c r="C13" s="17" t="n">
        <v>41200</v>
      </c>
      <c r="D13" s="17"/>
      <c r="E13" s="18" t="n">
        <f aca="false">C13+D13</f>
        <v>41200</v>
      </c>
    </row>
    <row r="14" customFormat="false" ht="22.5" hidden="false" customHeight="true" outlineLevel="0" collapsed="false">
      <c r="B14" s="16"/>
      <c r="C14" s="17"/>
      <c r="D14" s="17"/>
      <c r="E14" s="18" t="n">
        <f aca="false">C14+D14</f>
        <v>0</v>
      </c>
    </row>
    <row r="15" customFormat="false" ht="22.5" hidden="false" customHeight="true" outlineLevel="0" collapsed="false">
      <c r="B15" s="16"/>
      <c r="C15" s="17"/>
      <c r="D15" s="17"/>
      <c r="E15" s="18" t="n">
        <f aca="false">C15+D15</f>
        <v>0</v>
      </c>
    </row>
    <row r="16" customFormat="false" ht="22.5" hidden="false" customHeight="true" outlineLevel="0" collapsed="false">
      <c r="B16" s="16"/>
      <c r="C16" s="17"/>
      <c r="D16" s="17"/>
      <c r="E16" s="18" t="n">
        <f aca="false">C16+D16</f>
        <v>0</v>
      </c>
    </row>
    <row r="17" customFormat="false" ht="22.5" hidden="false" customHeight="true" outlineLevel="0" collapsed="false">
      <c r="B17" s="16"/>
      <c r="C17" s="17"/>
      <c r="D17" s="17"/>
      <c r="E17" s="18" t="n">
        <f aca="false">C17+D17</f>
        <v>0</v>
      </c>
    </row>
    <row r="18" customFormat="false" ht="22.5" hidden="false" customHeight="true" outlineLevel="0" collapsed="false">
      <c r="B18" s="16"/>
      <c r="C18" s="17"/>
      <c r="D18" s="17"/>
      <c r="E18" s="18" t="n">
        <f aca="false">C18+D18</f>
        <v>0</v>
      </c>
    </row>
    <row r="19" customFormat="false" ht="22.5" hidden="false" customHeight="true" outlineLevel="0" collapsed="false">
      <c r="B19" s="30"/>
      <c r="C19" s="55"/>
      <c r="D19" s="55"/>
      <c r="E19" s="18" t="n">
        <f aca="false">C19+D19</f>
        <v>0</v>
      </c>
    </row>
    <row r="20" customFormat="false" ht="22.5" hidden="false" customHeight="true" outlineLevel="0" collapsed="false">
      <c r="B20" s="13" t="s">
        <v>31</v>
      </c>
      <c r="C20" s="140" t="n">
        <f aca="false">C21+C35+C46</f>
        <v>323863136</v>
      </c>
      <c r="D20" s="140" t="n">
        <f aca="false">D21+D35+D46</f>
        <v>0</v>
      </c>
      <c r="E20" s="150" t="n">
        <f aca="false">C20+D20</f>
        <v>323863136</v>
      </c>
    </row>
    <row r="21" customFormat="false" ht="22.5" hidden="false" customHeight="true" outlineLevel="0" collapsed="false">
      <c r="B21" s="32" t="s">
        <v>32</v>
      </c>
      <c r="C21" s="34" t="n">
        <f aca="false">SUM(C22:C34)</f>
        <v>1056920</v>
      </c>
      <c r="D21" s="34" t="n">
        <f aca="false">SUM(D22:D34)</f>
        <v>0</v>
      </c>
      <c r="E21" s="151" t="n">
        <f aca="false">C21+D21</f>
        <v>1056920</v>
      </c>
    </row>
    <row r="22" customFormat="false" ht="22.5" hidden="false" customHeight="true" outlineLevel="0" collapsed="false">
      <c r="B22" s="16" t="s">
        <v>33</v>
      </c>
      <c r="C22" s="17" t="n">
        <v>700993</v>
      </c>
      <c r="D22" s="17"/>
      <c r="E22" s="18" t="n">
        <f aca="false">C22+D22</f>
        <v>700993</v>
      </c>
    </row>
    <row r="23" customFormat="false" ht="22.5" hidden="false" customHeight="true" outlineLevel="0" collapsed="false">
      <c r="B23" s="16" t="s">
        <v>34</v>
      </c>
      <c r="C23" s="17" t="n">
        <v>264868</v>
      </c>
      <c r="D23" s="17"/>
      <c r="E23" s="18" t="n">
        <f aca="false">C23+D23</f>
        <v>264868</v>
      </c>
    </row>
    <row r="24" customFormat="false" ht="22.5" hidden="false" customHeight="true" outlineLevel="0" collapsed="false">
      <c r="B24" s="16" t="s">
        <v>35</v>
      </c>
      <c r="C24" s="17" t="n">
        <v>91059</v>
      </c>
      <c r="D24" s="17"/>
      <c r="E24" s="18" t="n">
        <f aca="false">C24+D24</f>
        <v>91059</v>
      </c>
    </row>
    <row r="25" customFormat="false" ht="22.5" hidden="false" customHeight="true" outlineLevel="0" collapsed="false">
      <c r="B25" s="16"/>
      <c r="C25" s="17"/>
      <c r="D25" s="17"/>
      <c r="E25" s="18" t="n">
        <f aca="false">C25+D25</f>
        <v>0</v>
      </c>
    </row>
    <row r="26" customFormat="false" ht="22.5" hidden="false" customHeight="true" outlineLevel="0" collapsed="false">
      <c r="B26" s="16"/>
      <c r="C26" s="17"/>
      <c r="D26" s="17"/>
      <c r="E26" s="18" t="n">
        <f aca="false">C26+D26</f>
        <v>0</v>
      </c>
    </row>
    <row r="27" customFormat="false" ht="22.5" hidden="false" customHeight="true" outlineLevel="0" collapsed="false">
      <c r="B27" s="16"/>
      <c r="C27" s="17"/>
      <c r="D27" s="17"/>
      <c r="E27" s="18" t="n">
        <f aca="false">C27+D27</f>
        <v>0</v>
      </c>
    </row>
    <row r="28" customFormat="false" ht="22.5" hidden="false" customHeight="true" outlineLevel="0" collapsed="false">
      <c r="B28" s="16"/>
      <c r="C28" s="17"/>
      <c r="D28" s="17"/>
      <c r="E28" s="18" t="n">
        <f aca="false">C28+D28</f>
        <v>0</v>
      </c>
    </row>
    <row r="29" customFormat="false" ht="22.5" hidden="false" customHeight="true" outlineLevel="0" collapsed="false">
      <c r="B29" s="16"/>
      <c r="C29" s="17"/>
      <c r="D29" s="17"/>
      <c r="E29" s="18" t="n">
        <f aca="false">C29+D29</f>
        <v>0</v>
      </c>
    </row>
    <row r="30" customFormat="false" ht="22.5" hidden="false" customHeight="true" outlineLevel="0" collapsed="false">
      <c r="B30" s="16"/>
      <c r="C30" s="17"/>
      <c r="D30" s="17"/>
      <c r="E30" s="18" t="n">
        <f aca="false">C30+D30</f>
        <v>0</v>
      </c>
    </row>
    <row r="31" customFormat="false" ht="22.5" hidden="false" customHeight="true" outlineLevel="0" collapsed="false">
      <c r="B31" s="16"/>
      <c r="C31" s="17"/>
      <c r="D31" s="17"/>
      <c r="E31" s="18" t="n">
        <f aca="false">C31+D31</f>
        <v>0</v>
      </c>
    </row>
    <row r="32" customFormat="false" ht="22.5" hidden="false" customHeight="true" outlineLevel="0" collapsed="false">
      <c r="B32" s="16"/>
      <c r="C32" s="17"/>
      <c r="D32" s="17"/>
      <c r="E32" s="18" t="n">
        <f aca="false">C32+D32</f>
        <v>0</v>
      </c>
    </row>
    <row r="33" customFormat="false" ht="22.5" hidden="false" customHeight="true" outlineLevel="0" collapsed="false">
      <c r="B33" s="16"/>
      <c r="C33" s="17"/>
      <c r="D33" s="17"/>
      <c r="E33" s="18" t="n">
        <f aca="false">C33+D33</f>
        <v>0</v>
      </c>
    </row>
    <row r="34" customFormat="false" ht="22.5" hidden="false" customHeight="true" outlineLevel="0" collapsed="false">
      <c r="B34" s="30"/>
      <c r="C34" s="55"/>
      <c r="D34" s="55"/>
      <c r="E34" s="18" t="n">
        <f aca="false">C34+D34</f>
        <v>0</v>
      </c>
    </row>
    <row r="35" customFormat="false" ht="22.5" hidden="false" customHeight="true" outlineLevel="0" collapsed="false">
      <c r="B35" s="32" t="s">
        <v>36</v>
      </c>
      <c r="C35" s="152" t="n">
        <f aca="false">SUM(C36:C45)</f>
        <v>2112001</v>
      </c>
      <c r="D35" s="153" t="n">
        <f aca="false">SUM(D36:D45)</f>
        <v>0</v>
      </c>
      <c r="E35" s="154" t="n">
        <f aca="false">C35+D35</f>
        <v>2112001</v>
      </c>
    </row>
    <row r="36" customFormat="false" ht="21.75" hidden="false" customHeight="true" outlineLevel="0" collapsed="false">
      <c r="B36" s="16" t="s">
        <v>37</v>
      </c>
      <c r="C36" s="17" t="n">
        <v>2112001</v>
      </c>
      <c r="D36" s="17"/>
      <c r="E36" s="18" t="n">
        <f aca="false">C36+D36</f>
        <v>2112001</v>
      </c>
    </row>
    <row r="37" customFormat="false" ht="21.75" hidden="false" customHeight="true" outlineLevel="0" collapsed="false">
      <c r="B37" s="16"/>
      <c r="C37" s="17"/>
      <c r="D37" s="17"/>
      <c r="E37" s="18" t="n">
        <f aca="false">C37+D37</f>
        <v>0</v>
      </c>
    </row>
    <row r="38" customFormat="false" ht="21.75" hidden="false" customHeight="true" outlineLevel="0" collapsed="false">
      <c r="B38" s="16"/>
      <c r="C38" s="17"/>
      <c r="D38" s="17"/>
      <c r="E38" s="18" t="n">
        <f aca="false">C38+D38</f>
        <v>0</v>
      </c>
    </row>
    <row r="39" customFormat="false" ht="21.75" hidden="false" customHeight="true" outlineLevel="0" collapsed="false">
      <c r="B39" s="16"/>
      <c r="C39" s="17"/>
      <c r="D39" s="17"/>
      <c r="E39" s="18" t="n">
        <f aca="false">C39+D39</f>
        <v>0</v>
      </c>
    </row>
    <row r="40" customFormat="false" ht="21.75" hidden="false" customHeight="true" outlineLevel="0" collapsed="false">
      <c r="B40" s="16"/>
      <c r="C40" s="17"/>
      <c r="D40" s="17"/>
      <c r="E40" s="18" t="n">
        <f aca="false">C40+D40</f>
        <v>0</v>
      </c>
    </row>
    <row r="41" customFormat="false" ht="21.75" hidden="false" customHeight="true" outlineLevel="0" collapsed="false">
      <c r="B41" s="16"/>
      <c r="C41" s="17"/>
      <c r="D41" s="17"/>
      <c r="E41" s="18" t="n">
        <f aca="false">C41+D41</f>
        <v>0</v>
      </c>
    </row>
    <row r="42" customFormat="false" ht="21.75" hidden="false" customHeight="true" outlineLevel="0" collapsed="false">
      <c r="B42" s="16"/>
      <c r="C42" s="17"/>
      <c r="D42" s="17"/>
      <c r="E42" s="18" t="n">
        <f aca="false">C42+D42</f>
        <v>0</v>
      </c>
    </row>
    <row r="43" customFormat="false" ht="21.75" hidden="false" customHeight="true" outlineLevel="0" collapsed="false">
      <c r="B43" s="16"/>
      <c r="C43" s="17"/>
      <c r="D43" s="17"/>
      <c r="E43" s="18" t="n">
        <f aca="false">C43+D43</f>
        <v>0</v>
      </c>
    </row>
    <row r="44" customFormat="false" ht="21.75" hidden="false" customHeight="true" outlineLevel="0" collapsed="false">
      <c r="B44" s="16"/>
      <c r="C44" s="17"/>
      <c r="D44" s="17"/>
      <c r="E44" s="18" t="n">
        <f aca="false">C44+D44</f>
        <v>0</v>
      </c>
    </row>
    <row r="45" customFormat="false" ht="21.75" hidden="false" customHeight="true" outlineLevel="0" collapsed="false">
      <c r="B45" s="30"/>
      <c r="C45" s="55"/>
      <c r="D45" s="55"/>
      <c r="E45" s="18" t="n">
        <f aca="false">C45+D45</f>
        <v>0</v>
      </c>
    </row>
    <row r="46" customFormat="false" ht="21.75" hidden="false" customHeight="true" outlineLevel="0" collapsed="false">
      <c r="B46" s="32" t="s">
        <v>38</v>
      </c>
      <c r="C46" s="155" t="n">
        <f aca="false">SUM(C47:C54)</f>
        <v>320694215</v>
      </c>
      <c r="D46" s="156" t="n">
        <f aca="false">SUM(D47:D54)</f>
        <v>0</v>
      </c>
      <c r="E46" s="157" t="n">
        <f aca="false">C46+D46</f>
        <v>320694215</v>
      </c>
    </row>
    <row r="47" customFormat="false" ht="22.5" hidden="false" customHeight="true" outlineLevel="0" collapsed="false">
      <c r="B47" s="158" t="s">
        <v>39</v>
      </c>
      <c r="C47" s="17" t="n">
        <v>275896334</v>
      </c>
      <c r="D47" s="17"/>
      <c r="E47" s="18" t="n">
        <f aca="false">C47+D47</f>
        <v>275896334</v>
      </c>
    </row>
    <row r="48" customFormat="false" ht="22.5" hidden="false" customHeight="true" outlineLevel="0" collapsed="false">
      <c r="B48" s="158" t="s">
        <v>40</v>
      </c>
      <c r="C48" s="17" t="n">
        <v>30000</v>
      </c>
      <c r="D48" s="17"/>
      <c r="E48" s="18" t="n">
        <f aca="false">C48+D48</f>
        <v>30000</v>
      </c>
    </row>
    <row r="49" customFormat="false" ht="22.5" hidden="false" customHeight="true" outlineLevel="0" collapsed="false">
      <c r="B49" s="158" t="s">
        <v>41</v>
      </c>
      <c r="C49" s="17" t="n">
        <v>50000</v>
      </c>
      <c r="D49" s="17"/>
      <c r="E49" s="18" t="n">
        <f aca="false">C49+D49</f>
        <v>50000</v>
      </c>
    </row>
    <row r="50" customFormat="false" ht="22.5" hidden="false" customHeight="true" outlineLevel="0" collapsed="false">
      <c r="B50" s="158" t="s">
        <v>42</v>
      </c>
      <c r="C50" s="17" t="n">
        <v>1263500</v>
      </c>
      <c r="D50" s="17"/>
      <c r="E50" s="18" t="n">
        <f aca="false">C50+D50</f>
        <v>1263500</v>
      </c>
    </row>
    <row r="51" customFormat="false" ht="22.5" hidden="false" customHeight="true" outlineLevel="0" collapsed="false">
      <c r="B51" s="158" t="s">
        <v>43</v>
      </c>
      <c r="C51" s="17" t="n">
        <v>25040</v>
      </c>
      <c r="D51" s="17"/>
      <c r="E51" s="18" t="n">
        <f aca="false">C51+D51</f>
        <v>25040</v>
      </c>
    </row>
    <row r="52" customFormat="false" ht="22.5" hidden="false" customHeight="true" outlineLevel="0" collapsed="false">
      <c r="B52" s="158" t="s">
        <v>44</v>
      </c>
      <c r="C52" s="17" t="n">
        <v>43326766</v>
      </c>
      <c r="D52" s="17"/>
      <c r="E52" s="18" t="n">
        <f aca="false">C52+D52</f>
        <v>43326766</v>
      </c>
    </row>
    <row r="53" customFormat="false" ht="22.5" hidden="false" customHeight="true" outlineLevel="0" collapsed="false">
      <c r="B53" s="158" t="s">
        <v>45</v>
      </c>
      <c r="C53" s="17" t="n">
        <v>102575</v>
      </c>
      <c r="D53" s="17"/>
      <c r="E53" s="18" t="n">
        <f aca="false">C53+D53</f>
        <v>102575</v>
      </c>
    </row>
    <row r="54" customFormat="false" ht="22.5" hidden="false" customHeight="true" outlineLevel="0" collapsed="false">
      <c r="B54" s="158"/>
      <c r="C54" s="17"/>
      <c r="D54" s="17"/>
      <c r="E54" s="18" t="n">
        <f aca="false">C54+D54</f>
        <v>0</v>
      </c>
    </row>
    <row r="55" customFormat="false" ht="21.75" hidden="false" customHeight="true" outlineLevel="0" collapsed="false">
      <c r="B55" s="159" t="s">
        <v>46</v>
      </c>
      <c r="C55" s="40" t="n">
        <f aca="false">SUM(C56:C59)</f>
        <v>0</v>
      </c>
      <c r="D55" s="40" t="n">
        <f aca="false">SUM(D56:D59)</f>
        <v>0</v>
      </c>
      <c r="E55" s="160" t="n">
        <f aca="false">C55+D55</f>
        <v>0</v>
      </c>
    </row>
    <row r="56" customFormat="false" ht="21.75" hidden="false" customHeight="true" outlineLevel="0" collapsed="false">
      <c r="B56" s="161"/>
      <c r="C56" s="162"/>
      <c r="D56" s="163"/>
      <c r="E56" s="164" t="n">
        <f aca="false">C56+D56</f>
        <v>0</v>
      </c>
    </row>
    <row r="57" customFormat="false" ht="21.75" hidden="false" customHeight="true" outlineLevel="0" collapsed="false">
      <c r="B57" s="158"/>
      <c r="C57" s="165"/>
      <c r="D57" s="165"/>
      <c r="E57" s="18" t="n">
        <f aca="false">C57+D57</f>
        <v>0</v>
      </c>
    </row>
    <row r="58" customFormat="false" ht="21.75" hidden="false" customHeight="true" outlineLevel="0" collapsed="false">
      <c r="B58" s="158"/>
      <c r="C58" s="165"/>
      <c r="D58" s="165"/>
      <c r="E58" s="18" t="n">
        <f aca="false">C58+D58</f>
        <v>0</v>
      </c>
    </row>
    <row r="59" customFormat="false" ht="21.75" hidden="false" customHeight="true" outlineLevel="0" collapsed="false">
      <c r="B59" s="166"/>
      <c r="C59" s="167"/>
      <c r="D59" s="167"/>
      <c r="E59" s="168" t="n">
        <f aca="false">C59+D59</f>
        <v>0</v>
      </c>
    </row>
    <row r="60" customFormat="false" ht="21.75" hidden="false" customHeight="true" outlineLevel="0" collapsed="false">
      <c r="B60" s="169" t="s">
        <v>165</v>
      </c>
      <c r="C60" s="170" t="n">
        <v>0</v>
      </c>
      <c r="D60" s="170" t="n">
        <v>0</v>
      </c>
      <c r="E60" s="171" t="n">
        <f aca="false">C60+D60</f>
        <v>0</v>
      </c>
    </row>
    <row r="61" customFormat="false" ht="22.5" hidden="false" customHeight="true" outlineLevel="0" collapsed="false">
      <c r="B61" s="41" t="s">
        <v>47</v>
      </c>
      <c r="C61" s="172" t="n">
        <f aca="false">C5+C20+C55+C60</f>
        <v>550007542</v>
      </c>
      <c r="D61" s="172" t="n">
        <f aca="false">D5+D20+D55+D60</f>
        <v>201000</v>
      </c>
      <c r="E61" s="173" t="n">
        <f aca="false">C61+D61</f>
        <v>550208542</v>
      </c>
    </row>
    <row r="62" customFormat="false" ht="18" hidden="false" customHeight="true" outlineLevel="0" collapsed="false">
      <c r="C62" s="174"/>
      <c r="D62" s="174"/>
      <c r="E62" s="174"/>
    </row>
    <row r="63" customFormat="false" ht="18" hidden="false" customHeight="true" outlineLevel="0" collapsed="false">
      <c r="C63" s="174"/>
      <c r="D63" s="174"/>
      <c r="E63" s="174"/>
    </row>
    <row r="64" customFormat="false" ht="18" hidden="false" customHeight="true" outlineLevel="0" collapsed="false">
      <c r="C64" s="174"/>
      <c r="D64" s="174"/>
      <c r="E64" s="174"/>
    </row>
    <row r="65" customFormat="false" ht="18" hidden="false" customHeight="true" outlineLevel="0" collapsed="false">
      <c r="C65" s="174"/>
      <c r="D65" s="174"/>
      <c r="E65" s="174"/>
    </row>
    <row r="66" customFormat="false" ht="18" hidden="false" customHeight="true" outlineLevel="0" collapsed="false">
      <c r="C66" s="174"/>
      <c r="D66" s="174"/>
      <c r="E66" s="174"/>
    </row>
    <row r="67" customFormat="false" ht="18" hidden="false" customHeight="true" outlineLevel="0" collapsed="false">
      <c r="C67" s="174"/>
      <c r="D67" s="174"/>
      <c r="E67" s="174"/>
    </row>
    <row r="68" customFormat="false" ht="18" hidden="false" customHeight="true" outlineLevel="0" collapsed="false">
      <c r="C68" s="174"/>
      <c r="D68" s="174"/>
      <c r="E68" s="174"/>
    </row>
    <row r="69" customFormat="false" ht="18" hidden="false" customHeight="true" outlineLevel="0" collapsed="false">
      <c r="C69" s="174"/>
      <c r="D69" s="174"/>
      <c r="E69" s="174"/>
    </row>
    <row r="70" customFormat="false" ht="18" hidden="false" customHeight="true" outlineLevel="0" collapsed="false">
      <c r="C70" s="174"/>
      <c r="D70" s="174"/>
      <c r="E70" s="174"/>
    </row>
    <row r="71" customFormat="false" ht="18" hidden="false" customHeight="true" outlineLevel="0" collapsed="false">
      <c r="C71" s="174"/>
      <c r="D71" s="174"/>
      <c r="E71" s="174"/>
    </row>
    <row r="72" customFormat="false" ht="18" hidden="false" customHeight="true" outlineLevel="0" collapsed="false">
      <c r="C72" s="174"/>
      <c r="D72" s="174"/>
      <c r="E72" s="174"/>
    </row>
    <row r="73" customFormat="false" ht="18" hidden="false" customHeight="true" outlineLevel="0" collapsed="false">
      <c r="C73" s="174"/>
      <c r="D73" s="174"/>
      <c r="E73" s="174"/>
    </row>
    <row r="74" customFormat="false" ht="18" hidden="false" customHeight="true" outlineLevel="0" collapsed="false">
      <c r="C74" s="174"/>
      <c r="D74" s="174"/>
      <c r="E74" s="174"/>
    </row>
    <row r="75" customFormat="false" ht="18" hidden="false" customHeight="true" outlineLevel="0" collapsed="false">
      <c r="C75" s="174"/>
      <c r="D75" s="174"/>
      <c r="E75" s="174"/>
    </row>
    <row r="76" customFormat="false" ht="18" hidden="false" customHeight="true" outlineLevel="0" collapsed="false">
      <c r="C76" s="174"/>
      <c r="D76" s="174"/>
      <c r="E76" s="174"/>
    </row>
    <row r="77" customFormat="false" ht="18" hidden="false" customHeight="true" outlineLevel="0" collapsed="false">
      <c r="C77" s="174"/>
      <c r="D77" s="174"/>
      <c r="E77" s="174"/>
    </row>
    <row r="78" customFormat="false" ht="18" hidden="false" customHeight="true" outlineLevel="0" collapsed="false">
      <c r="C78" s="174"/>
      <c r="D78" s="174"/>
      <c r="E78" s="174"/>
    </row>
    <row r="79" customFormat="false" ht="18" hidden="false" customHeight="true" outlineLevel="0" collapsed="false">
      <c r="C79" s="174"/>
      <c r="D79" s="174"/>
      <c r="E79" s="174"/>
    </row>
    <row r="80" customFormat="false" ht="18" hidden="false" customHeight="true" outlineLevel="0" collapsed="false">
      <c r="C80" s="174"/>
      <c r="D80" s="174"/>
      <c r="E80" s="174"/>
    </row>
    <row r="81" customFormat="false" ht="18" hidden="false" customHeight="true" outlineLevel="0" collapsed="false">
      <c r="C81" s="174"/>
      <c r="D81" s="174"/>
      <c r="E81" s="174"/>
    </row>
    <row r="82" customFormat="false" ht="18" hidden="false" customHeight="true" outlineLevel="0" collapsed="false">
      <c r="C82" s="174"/>
      <c r="D82" s="174"/>
      <c r="E82" s="174"/>
    </row>
    <row r="83" customFormat="false" ht="18" hidden="false" customHeight="true" outlineLevel="0" collapsed="false">
      <c r="C83" s="174"/>
      <c r="D83" s="174"/>
      <c r="E83" s="174"/>
    </row>
    <row r="84" customFormat="false" ht="18" hidden="false" customHeight="true" outlineLevel="0" collapsed="false">
      <c r="C84" s="174"/>
      <c r="D84" s="174"/>
      <c r="E84" s="174"/>
    </row>
    <row r="85" customFormat="false" ht="18" hidden="false" customHeight="true" outlineLevel="0" collapsed="false">
      <c r="C85" s="174"/>
      <c r="D85" s="174"/>
      <c r="E85" s="174"/>
    </row>
    <row r="86" customFormat="false" ht="18" hidden="false" customHeight="true" outlineLevel="0" collapsed="false">
      <c r="C86" s="174"/>
      <c r="D86" s="174"/>
      <c r="E86" s="174"/>
    </row>
    <row r="87" customFormat="false" ht="18" hidden="false" customHeight="true" outlineLevel="0" collapsed="false">
      <c r="C87" s="174"/>
      <c r="D87" s="174"/>
      <c r="E87" s="174"/>
    </row>
    <row r="88" customFormat="false" ht="18" hidden="false" customHeight="true" outlineLevel="0" collapsed="false">
      <c r="C88" s="174"/>
      <c r="D88" s="174"/>
      <c r="E88" s="174"/>
    </row>
    <row r="89" customFormat="false" ht="18" hidden="false" customHeight="true" outlineLevel="0" collapsed="false">
      <c r="C89" s="174"/>
      <c r="D89" s="174"/>
      <c r="E89" s="174"/>
    </row>
    <row r="90" customFormat="false" ht="18" hidden="false" customHeight="true" outlineLevel="0" collapsed="false">
      <c r="C90" s="174"/>
      <c r="D90" s="174"/>
      <c r="E90" s="174"/>
    </row>
    <row r="91" customFormat="false" ht="18" hidden="false" customHeight="true" outlineLevel="0" collapsed="false">
      <c r="C91" s="174"/>
      <c r="D91" s="174"/>
      <c r="E91" s="174"/>
    </row>
    <row r="92" customFormat="false" ht="18" hidden="false" customHeight="true" outlineLevel="0" collapsed="false">
      <c r="C92" s="174"/>
      <c r="D92" s="174"/>
      <c r="E92" s="174"/>
    </row>
    <row r="93" customFormat="false" ht="18" hidden="false" customHeight="true" outlineLevel="0" collapsed="false">
      <c r="C93" s="174"/>
      <c r="D93" s="174"/>
      <c r="E93" s="174"/>
    </row>
    <row r="94" customFormat="false" ht="18" hidden="false" customHeight="true" outlineLevel="0" collapsed="false">
      <c r="C94" s="174"/>
      <c r="D94" s="174"/>
      <c r="E94" s="174"/>
    </row>
    <row r="95" customFormat="false" ht="18" hidden="false" customHeight="true" outlineLevel="0" collapsed="false">
      <c r="C95" s="174"/>
      <c r="D95" s="174"/>
      <c r="E95" s="174"/>
    </row>
    <row r="96" customFormat="false" ht="18" hidden="false" customHeight="true" outlineLevel="0" collapsed="false">
      <c r="C96" s="175"/>
      <c r="D96" s="175"/>
      <c r="E96" s="175"/>
    </row>
    <row r="97" customFormat="false" ht="18" hidden="false" customHeight="true" outlineLevel="0" collapsed="false">
      <c r="C97" s="175"/>
      <c r="D97" s="175"/>
      <c r="E97" s="175"/>
    </row>
    <row r="98" customFormat="false" ht="18" hidden="false" customHeight="true" outlineLevel="0" collapsed="false">
      <c r="C98" s="175"/>
      <c r="D98" s="175"/>
      <c r="E98" s="175"/>
    </row>
    <row r="99" customFormat="false" ht="18" hidden="false" customHeight="true" outlineLevel="0" collapsed="false">
      <c r="C99" s="175"/>
      <c r="D99" s="175"/>
      <c r="E99" s="175"/>
    </row>
    <row r="100" customFormat="false" ht="18" hidden="false" customHeight="true" outlineLevel="0" collapsed="false">
      <c r="C100" s="175"/>
      <c r="D100" s="175"/>
      <c r="E100" s="175"/>
    </row>
    <row r="101" customFormat="false" ht="18" hidden="false" customHeight="true" outlineLevel="0" collapsed="false">
      <c r="C101" s="175"/>
      <c r="D101" s="175"/>
      <c r="E101" s="175"/>
    </row>
    <row r="102" customFormat="false" ht="18" hidden="false" customHeight="true" outlineLevel="0" collapsed="false">
      <c r="C102" s="175"/>
      <c r="D102" s="175"/>
      <c r="E102" s="175"/>
    </row>
    <row r="103" customFormat="false" ht="18" hidden="false" customHeight="true" outlineLevel="0" collapsed="false">
      <c r="C103" s="175"/>
      <c r="D103" s="175"/>
      <c r="E103" s="175"/>
    </row>
    <row r="104" customFormat="false" ht="18" hidden="false" customHeight="true" outlineLevel="0" collapsed="false">
      <c r="C104" s="175"/>
      <c r="D104" s="175"/>
      <c r="E104" s="175"/>
    </row>
    <row r="105" customFormat="false" ht="18" hidden="false" customHeight="true" outlineLevel="0" collapsed="false">
      <c r="C105" s="175"/>
      <c r="D105" s="175"/>
      <c r="E105" s="175"/>
    </row>
    <row r="106" customFormat="false" ht="18" hidden="false" customHeight="true" outlineLevel="0" collapsed="false">
      <c r="C106" s="175"/>
      <c r="D106" s="175"/>
      <c r="E106" s="175"/>
    </row>
    <row r="107" customFormat="false" ht="18" hidden="false" customHeight="true" outlineLevel="0" collapsed="false">
      <c r="C107" s="175"/>
      <c r="D107" s="175"/>
      <c r="E107" s="175"/>
    </row>
    <row r="108" customFormat="false" ht="18" hidden="false" customHeight="true" outlineLevel="0" collapsed="false">
      <c r="C108" s="175"/>
      <c r="D108" s="175"/>
      <c r="E108" s="175"/>
    </row>
    <row r="109" customFormat="false" ht="18" hidden="false" customHeight="true" outlineLevel="0" collapsed="false">
      <c r="C109" s="176"/>
      <c r="D109" s="176"/>
      <c r="E109" s="176"/>
    </row>
    <row r="110" customFormat="false" ht="18" hidden="false" customHeight="true" outlineLevel="0" collapsed="false">
      <c r="C110" s="176"/>
      <c r="D110" s="176"/>
      <c r="E110" s="176"/>
    </row>
    <row r="111" customFormat="false" ht="18" hidden="false" customHeight="true" outlineLevel="0" collapsed="false">
      <c r="C111" s="176"/>
      <c r="D111" s="176"/>
      <c r="E111" s="176"/>
    </row>
    <row r="112" customFormat="false" ht="18" hidden="false" customHeight="true" outlineLevel="0" collapsed="false">
      <c r="C112" s="176"/>
      <c r="D112" s="176"/>
      <c r="E112" s="176"/>
    </row>
    <row r="113" customFormat="false" ht="18" hidden="false" customHeight="true" outlineLevel="0" collapsed="false">
      <c r="C113" s="176"/>
      <c r="D113" s="176"/>
      <c r="E113" s="176"/>
    </row>
    <row r="114" customFormat="false" ht="18" hidden="false" customHeight="true" outlineLevel="0" collapsed="false">
      <c r="C114" s="176"/>
      <c r="D114" s="176"/>
      <c r="E114" s="176"/>
    </row>
    <row r="115" customFormat="false" ht="18" hidden="false" customHeight="true" outlineLevel="0" collapsed="false">
      <c r="C115" s="176"/>
      <c r="D115" s="176"/>
      <c r="E115" s="176"/>
    </row>
    <row r="116" customFormat="false" ht="18" hidden="false" customHeight="true" outlineLevel="0" collapsed="false">
      <c r="C116" s="176"/>
      <c r="D116" s="176"/>
      <c r="E116" s="176"/>
    </row>
    <row r="117" customFormat="false" ht="18" hidden="false" customHeight="true" outlineLevel="0" collapsed="false">
      <c r="C117" s="176"/>
      <c r="D117" s="176"/>
      <c r="E117" s="176"/>
    </row>
    <row r="118" customFormat="false" ht="18" hidden="false" customHeight="true" outlineLevel="0" collapsed="false">
      <c r="C118" s="176"/>
      <c r="D118" s="176"/>
      <c r="E118" s="176"/>
    </row>
    <row r="119" customFormat="false" ht="18" hidden="false" customHeight="true" outlineLevel="0" collapsed="false">
      <c r="C119" s="176"/>
      <c r="D119" s="176"/>
      <c r="E119" s="176"/>
    </row>
  </sheetData>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40.13"/>
  </cols>
  <sheetData>
    <row r="2" customFormat="false" ht="18.75" hidden="false" customHeight="true" outlineLevel="0" collapsed="false">
      <c r="E2" s="47" t="s">
        <v>49</v>
      </c>
    </row>
    <row r="3" customFormat="false" ht="21.75" hidden="false" customHeight="true" outlineLevel="0" collapsed="false">
      <c r="A3" s="2" t="s">
        <v>22</v>
      </c>
      <c r="B3" s="61" t="s">
        <v>166</v>
      </c>
      <c r="C3" s="177" t="s">
        <v>72</v>
      </c>
      <c r="D3" s="177" t="s">
        <v>167</v>
      </c>
      <c r="E3" s="177" t="s">
        <v>168</v>
      </c>
      <c r="F3" s="178" t="s">
        <v>169</v>
      </c>
    </row>
    <row r="4" customFormat="false" ht="31.5" hidden="false" customHeight="true" outlineLevel="0" collapsed="false">
      <c r="B4" s="179" t="s">
        <v>170</v>
      </c>
      <c r="C4" s="89" t="n">
        <v>20153150</v>
      </c>
      <c r="D4" s="89" t="n">
        <v>0</v>
      </c>
      <c r="E4" s="89"/>
      <c r="F4" s="180" t="s">
        <v>171</v>
      </c>
    </row>
    <row r="5" customFormat="false" ht="31.5" hidden="false" customHeight="true" outlineLevel="0" collapsed="false">
      <c r="B5" s="179"/>
      <c r="C5" s="181"/>
      <c r="D5" s="181"/>
      <c r="E5" s="181"/>
      <c r="F5" s="182"/>
    </row>
    <row r="6" customFormat="false" ht="31.5" hidden="false" customHeight="true" outlineLevel="0" collapsed="false">
      <c r="B6" s="179"/>
      <c r="C6" s="181"/>
      <c r="D6" s="181"/>
      <c r="E6" s="181"/>
      <c r="F6" s="182"/>
    </row>
    <row r="7" customFormat="false" ht="31.5" hidden="false" customHeight="true" outlineLevel="0" collapsed="false">
      <c r="B7" s="183"/>
      <c r="C7" s="184"/>
      <c r="D7" s="184"/>
      <c r="E7" s="184"/>
      <c r="F7" s="185"/>
    </row>
    <row r="8" customFormat="false" ht="31.5" hidden="false" customHeight="true" outlineLevel="0" collapsed="false">
      <c r="B8" s="186" t="s">
        <v>119</v>
      </c>
      <c r="C8" s="187" t="n">
        <f aca="false">SUM(C4:C7)</f>
        <v>20153150</v>
      </c>
      <c r="D8" s="187" t="n">
        <f aca="false">SUM(D4:D7)</f>
        <v>0</v>
      </c>
      <c r="E8" s="187" t="n">
        <f aca="false">C8+D8</f>
        <v>20153150</v>
      </c>
      <c r="F8" s="188"/>
    </row>
    <row r="12" customFormat="false" ht="18.75" hidden="false" customHeight="true" outlineLevel="0" collapsed="false">
      <c r="E12" s="47" t="s">
        <v>49</v>
      </c>
    </row>
    <row r="13" customFormat="false" ht="21.75" hidden="false" customHeight="true" outlineLevel="0" collapsed="false">
      <c r="A13" s="2" t="s">
        <v>172</v>
      </c>
      <c r="B13" s="189" t="s">
        <v>166</v>
      </c>
      <c r="C13" s="190" t="s">
        <v>72</v>
      </c>
      <c r="D13" s="190" t="s">
        <v>167</v>
      </c>
      <c r="E13" s="190" t="s">
        <v>168</v>
      </c>
      <c r="F13" s="178" t="s">
        <v>169</v>
      </c>
    </row>
    <row r="14" customFormat="false" ht="31.5" hidden="false" customHeight="true" outlineLevel="0" collapsed="false">
      <c r="B14" s="191" t="s">
        <v>24</v>
      </c>
      <c r="C14" s="192" t="n">
        <v>204834</v>
      </c>
      <c r="D14" s="192" t="n">
        <v>0</v>
      </c>
      <c r="E14" s="192"/>
      <c r="F14" s="193" t="s">
        <v>173</v>
      </c>
    </row>
    <row r="15" customFormat="false" ht="31.5" hidden="false" customHeight="true" outlineLevel="0" collapsed="false">
      <c r="B15" s="191" t="s">
        <v>25</v>
      </c>
      <c r="C15" s="192" t="n">
        <v>24020</v>
      </c>
      <c r="D15" s="192" t="n">
        <v>0</v>
      </c>
      <c r="E15" s="192"/>
      <c r="F15" s="194" t="s">
        <v>174</v>
      </c>
    </row>
    <row r="16" customFormat="false" ht="31.5" hidden="false" customHeight="true" outlineLevel="0" collapsed="false">
      <c r="B16" s="195"/>
      <c r="C16" s="17"/>
      <c r="D16" s="17"/>
      <c r="E16" s="17"/>
      <c r="F16" s="196"/>
    </row>
    <row r="17" customFormat="false" ht="31.5" hidden="false" customHeight="true" outlineLevel="0" collapsed="false">
      <c r="B17" s="197"/>
      <c r="C17" s="198"/>
      <c r="D17" s="198"/>
      <c r="E17" s="198"/>
      <c r="F17" s="199"/>
    </row>
    <row r="18" customFormat="false" ht="31.5" hidden="false" customHeight="true" outlineLevel="0" collapsed="false">
      <c r="B18" s="186" t="s">
        <v>119</v>
      </c>
      <c r="C18" s="200" t="n">
        <f aca="false">SUM(C14:C17)</f>
        <v>228854</v>
      </c>
      <c r="D18" s="200" t="n">
        <f aca="false">SUM(D14:D17)</f>
        <v>0</v>
      </c>
      <c r="E18" s="200" t="n">
        <f aca="false">C18+D18</f>
        <v>228854</v>
      </c>
      <c r="F18" s="2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25.75"/>
  </cols>
  <sheetData>
    <row r="2" customFormat="false" ht="18.75" hidden="false" customHeight="true" outlineLevel="0" collapsed="false">
      <c r="E2" s="47" t="s">
        <v>49</v>
      </c>
    </row>
    <row r="3" customFormat="false" ht="21.75" hidden="false" customHeight="true" outlineLevel="0" collapsed="false">
      <c r="B3" s="61" t="s">
        <v>175</v>
      </c>
      <c r="C3" s="177" t="s">
        <v>72</v>
      </c>
      <c r="D3" s="177" t="s">
        <v>167</v>
      </c>
      <c r="E3" s="177" t="s">
        <v>168</v>
      </c>
      <c r="F3" s="178" t="s">
        <v>169</v>
      </c>
    </row>
    <row r="4" customFormat="false" ht="31.5" hidden="false" customHeight="true" outlineLevel="0" collapsed="false">
      <c r="B4" s="179" t="s">
        <v>33</v>
      </c>
      <c r="C4" s="89" t="n">
        <v>700993</v>
      </c>
      <c r="D4" s="89" t="n">
        <v>0</v>
      </c>
      <c r="E4" s="89" t="n">
        <f aca="false">SUM(C4,D4)</f>
        <v>700993</v>
      </c>
      <c r="F4" s="180" t="s">
        <v>176</v>
      </c>
    </row>
    <row r="5" customFormat="false" ht="31.5" hidden="false" customHeight="true" outlineLevel="0" collapsed="false">
      <c r="B5" s="179" t="s">
        <v>34</v>
      </c>
      <c r="C5" s="181" t="n">
        <v>264868</v>
      </c>
      <c r="D5" s="181" t="n">
        <v>0</v>
      </c>
      <c r="E5" s="181" t="n">
        <f aca="false">SUM(C5,D5)</f>
        <v>264868</v>
      </c>
      <c r="F5" s="180"/>
    </row>
    <row r="6" customFormat="false" ht="31.5" hidden="false" customHeight="true" outlineLevel="0" collapsed="false">
      <c r="B6" s="179" t="s">
        <v>35</v>
      </c>
      <c r="C6" s="181" t="n">
        <v>91059</v>
      </c>
      <c r="D6" s="181" t="n">
        <v>0</v>
      </c>
      <c r="E6" s="181" t="n">
        <f aca="false">SUM(C6,D6)</f>
        <v>91059</v>
      </c>
      <c r="F6" s="180"/>
    </row>
    <row r="7" customFormat="false" ht="31.5" hidden="false" customHeight="true" outlineLevel="0" collapsed="false">
      <c r="B7" s="202" t="s">
        <v>37</v>
      </c>
      <c r="C7" s="184" t="n">
        <v>2112001</v>
      </c>
      <c r="D7" s="184" t="n">
        <v>0</v>
      </c>
      <c r="E7" s="184" t="n">
        <f aca="false">SUM(C7,D7)</f>
        <v>2112001</v>
      </c>
      <c r="F7" s="185"/>
    </row>
    <row r="8" customFormat="false" ht="31.5" hidden="false" customHeight="true" outlineLevel="0" collapsed="false">
      <c r="B8" s="186" t="s">
        <v>119</v>
      </c>
      <c r="C8" s="187" t="n">
        <f aca="false">SUM(C4:C7)</f>
        <v>3168921</v>
      </c>
      <c r="D8" s="187" t="n">
        <f aca="false">SUM(D4:D7)</f>
        <v>0</v>
      </c>
      <c r="E8" s="187" t="n">
        <f aca="false">C8+D8</f>
        <v>3168921</v>
      </c>
      <c r="F8" s="1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5390625" defaultRowHeight="18" zeroHeight="false" outlineLevelRow="0" outlineLevelCol="0"/>
  <cols>
    <col collapsed="false" customWidth="true" hidden="false" outlineLevel="0" max="2" min="2" style="20" width="49.5"/>
    <col collapsed="false" customWidth="true" hidden="false" outlineLevel="0" max="6" min="3" style="20" width="18.63"/>
    <col collapsed="false" customWidth="true" hidden="false" outlineLevel="0" max="7" min="7" style="20" width="32.88"/>
  </cols>
  <sheetData>
    <row r="2" customFormat="false" ht="18.75" hidden="false" customHeight="true" outlineLevel="0" collapsed="false">
      <c r="E2" s="47"/>
      <c r="F2" s="47" t="s">
        <v>49</v>
      </c>
    </row>
    <row r="3" customFormat="false" ht="21.75" hidden="false" customHeight="true" outlineLevel="0" collapsed="false">
      <c r="B3" s="61" t="s">
        <v>177</v>
      </c>
      <c r="C3" s="177" t="s">
        <v>178</v>
      </c>
      <c r="D3" s="177" t="s">
        <v>72</v>
      </c>
      <c r="E3" s="177" t="s">
        <v>167</v>
      </c>
      <c r="F3" s="177" t="s">
        <v>179</v>
      </c>
      <c r="G3" s="178" t="s">
        <v>169</v>
      </c>
    </row>
    <row r="4" customFormat="false" ht="31.5" hidden="false" customHeight="true" outlineLevel="0" collapsed="false">
      <c r="B4" s="179" t="s">
        <v>180</v>
      </c>
      <c r="C4" s="203"/>
      <c r="D4" s="89"/>
      <c r="E4" s="89"/>
      <c r="F4" s="89"/>
      <c r="G4" s="180" t="s">
        <v>181</v>
      </c>
    </row>
    <row r="5" customFormat="false" ht="31.5" hidden="false" customHeight="true" outlineLevel="0" collapsed="false">
      <c r="B5" s="149"/>
      <c r="C5" s="204"/>
      <c r="D5" s="181"/>
      <c r="E5" s="181"/>
      <c r="F5" s="181"/>
      <c r="G5" s="180"/>
    </row>
    <row r="6" customFormat="false" ht="31.5" hidden="false" customHeight="true" outlineLevel="0" collapsed="false">
      <c r="B6" s="158"/>
      <c r="C6" s="204"/>
      <c r="D6" s="35"/>
      <c r="E6" s="181"/>
      <c r="F6" s="181"/>
      <c r="G6" s="180"/>
    </row>
    <row r="7" customFormat="false" ht="31.5" hidden="false" customHeight="true" outlineLevel="0" collapsed="false">
      <c r="B7" s="202"/>
      <c r="C7" s="205"/>
      <c r="D7" s="184"/>
      <c r="E7" s="35"/>
      <c r="F7" s="35"/>
      <c r="G7" s="185"/>
    </row>
    <row r="8" customFormat="false" ht="31.5" hidden="false" customHeight="true" outlineLevel="0" collapsed="false">
      <c r="B8" s="186" t="s">
        <v>119</v>
      </c>
      <c r="C8" s="206" t="n">
        <f aca="false">SUM(C4:C7)</f>
        <v>0</v>
      </c>
      <c r="D8" s="187" t="n">
        <f aca="false">SUM(D4:D7)</f>
        <v>0</v>
      </c>
      <c r="E8" s="187" t="n">
        <f aca="false">SUM(E4:E7)</f>
        <v>0</v>
      </c>
      <c r="F8" s="187" t="n">
        <f aca="false">SUM(F4:F7)</f>
        <v>0</v>
      </c>
      <c r="G8" s="1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90625" defaultRowHeight="18" zeroHeight="false" outlineLevelRow="0" outlineLevelCol="0"/>
  <cols>
    <col collapsed="false" customWidth="true" hidden="false" outlineLevel="0" max="2" min="2" style="20" width="41.25"/>
    <col collapsed="false" customWidth="true" hidden="false" outlineLevel="0" max="5" min="3" style="20" width="18.63"/>
    <col collapsed="false" customWidth="true" hidden="false" outlineLevel="0" max="6" min="6" style="20" width="33.13"/>
  </cols>
  <sheetData>
    <row r="2" customFormat="false" ht="18.75" hidden="false" customHeight="true" outlineLevel="0" collapsed="false">
      <c r="E2" s="47" t="s">
        <v>49</v>
      </c>
    </row>
    <row r="3" customFormat="false" ht="21.75" hidden="false" customHeight="true" outlineLevel="0" collapsed="false">
      <c r="B3" s="61" t="s">
        <v>182</v>
      </c>
      <c r="C3" s="177" t="s">
        <v>72</v>
      </c>
      <c r="D3" s="177" t="s">
        <v>167</v>
      </c>
      <c r="E3" s="177" t="s">
        <v>168</v>
      </c>
      <c r="F3" s="178" t="s">
        <v>169</v>
      </c>
    </row>
    <row r="4" customFormat="false" ht="31.5" hidden="false" customHeight="true" outlineLevel="0" collapsed="false">
      <c r="B4" s="179" t="s">
        <v>183</v>
      </c>
      <c r="C4" s="89" t="n">
        <v>43326766</v>
      </c>
      <c r="D4" s="89" t="n">
        <f aca="false">E4-C4</f>
        <v>0</v>
      </c>
      <c r="E4" s="89" t="n">
        <v>43326766</v>
      </c>
      <c r="F4" s="180" t="s">
        <v>184</v>
      </c>
    </row>
    <row r="5" customFormat="false" ht="31.5" hidden="false" customHeight="true" outlineLevel="0" collapsed="false">
      <c r="B5" s="149"/>
      <c r="C5" s="181"/>
      <c r="D5" s="181"/>
      <c r="E5" s="181"/>
      <c r="F5" s="180"/>
    </row>
    <row r="6" customFormat="false" ht="31.5" hidden="false" customHeight="true" outlineLevel="0" collapsed="false">
      <c r="B6" s="158"/>
      <c r="C6" s="181"/>
      <c r="D6" s="181"/>
      <c r="E6" s="181"/>
      <c r="F6" s="180"/>
    </row>
    <row r="7" customFormat="false" ht="31.5" hidden="false" customHeight="true" outlineLevel="0" collapsed="false">
      <c r="B7" s="202"/>
      <c r="C7" s="184"/>
      <c r="D7" s="184"/>
      <c r="E7" s="184"/>
      <c r="F7" s="185"/>
    </row>
    <row r="8" customFormat="false" ht="31.5" hidden="false" customHeight="true" outlineLevel="0" collapsed="false">
      <c r="B8" s="207" t="s">
        <v>119</v>
      </c>
      <c r="C8" s="187" t="n">
        <f aca="false">SUM(C4:C7)</f>
        <v>43326766</v>
      </c>
      <c r="D8" s="187" t="n">
        <f aca="false">SUM(D4:D7)</f>
        <v>0</v>
      </c>
      <c r="E8" s="187" t="n">
        <f aca="false">C8+D8</f>
        <v>43326766</v>
      </c>
      <c r="F8" s="1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25"/>
    <col collapsed="false" customWidth="true" hidden="false" outlineLevel="0" max="6" min="4" style="20" width="18.63"/>
    <col collapsed="false" customWidth="true" hidden="false" outlineLevel="0" max="7" min="7" style="20" width="31.38"/>
  </cols>
  <sheetData>
    <row r="2" customFormat="false" ht="18.75" hidden="false" customHeight="true" outlineLevel="0" collapsed="false">
      <c r="F2" s="47" t="s">
        <v>49</v>
      </c>
    </row>
    <row r="3" customFormat="false" ht="21.75" hidden="false" customHeight="true" outlineLevel="0" collapsed="false">
      <c r="B3" s="61" t="s">
        <v>185</v>
      </c>
      <c r="C3" s="208" t="s">
        <v>186</v>
      </c>
      <c r="D3" s="177" t="s">
        <v>72</v>
      </c>
      <c r="E3" s="177" t="s">
        <v>167</v>
      </c>
      <c r="F3" s="177" t="s">
        <v>168</v>
      </c>
      <c r="G3" s="178" t="s">
        <v>169</v>
      </c>
    </row>
    <row r="4" customFormat="false" ht="31.5" hidden="false" customHeight="true" outlineLevel="0" collapsed="false">
      <c r="B4" s="179" t="s">
        <v>187</v>
      </c>
      <c r="C4" s="209" t="s">
        <v>112</v>
      </c>
      <c r="D4" s="89" t="n">
        <v>275896334</v>
      </c>
      <c r="E4" s="89" t="n">
        <f aca="false">F4-D4</f>
        <v>0</v>
      </c>
      <c r="F4" s="89" t="n">
        <v>275896334</v>
      </c>
      <c r="G4" s="180" t="s">
        <v>188</v>
      </c>
    </row>
    <row r="5" customFormat="false" ht="31.5" hidden="false" customHeight="true" outlineLevel="0" collapsed="false">
      <c r="B5" s="149"/>
      <c r="C5" s="210"/>
      <c r="D5" s="181"/>
      <c r="E5" s="181"/>
      <c r="F5" s="181"/>
      <c r="G5" s="180"/>
    </row>
    <row r="6" customFormat="false" ht="31.5" hidden="false" customHeight="true" outlineLevel="0" collapsed="false">
      <c r="B6" s="158"/>
      <c r="C6" s="211"/>
      <c r="D6" s="181"/>
      <c r="E6" s="181"/>
      <c r="F6" s="181"/>
      <c r="G6" s="180"/>
    </row>
    <row r="7" customFormat="false" ht="31.5" hidden="false" customHeight="true" outlineLevel="0" collapsed="false">
      <c r="B7" s="149"/>
      <c r="C7" s="210"/>
      <c r="D7" s="181"/>
      <c r="E7" s="181" t="n">
        <f aca="false">F7-D7</f>
        <v>0</v>
      </c>
      <c r="F7" s="181"/>
      <c r="G7" s="180"/>
    </row>
    <row r="8" customFormat="false" ht="31.5" hidden="false" customHeight="true" outlineLevel="0" collapsed="false">
      <c r="B8" s="202"/>
      <c r="C8" s="212"/>
      <c r="D8" s="184"/>
      <c r="E8" s="35" t="n">
        <f aca="false">F8-D8</f>
        <v>0</v>
      </c>
      <c r="F8" s="184"/>
      <c r="G8" s="185"/>
    </row>
    <row r="9" customFormat="false" ht="31.5" hidden="false" customHeight="true" outlineLevel="0" collapsed="false">
      <c r="B9" s="186" t="s">
        <v>119</v>
      </c>
      <c r="C9" s="213" t="s">
        <v>112</v>
      </c>
      <c r="D9" s="187" t="n">
        <f aca="false">SUM(D4:D8)</f>
        <v>275896334</v>
      </c>
      <c r="E9" s="187" t="n">
        <f aca="false">SUM(E4:E8)</f>
        <v>0</v>
      </c>
      <c r="F9" s="187" t="n">
        <f aca="false">D9+E9</f>
        <v>275896334</v>
      </c>
      <c r="G9" s="18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38" activePane="bottomLeft" state="frozen"/>
      <selection pane="topLeft" activeCell="A1" activeCellId="0" sqref="A1"/>
      <selection pane="bottomLeft" activeCell="A53" activeCellId="0" sqref="A53"/>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5" min="3" style="20" width="16.13"/>
    <col collapsed="false" customWidth="true" hidden="false" outlineLevel="0" max="6" min="6" style="20" width="8.75"/>
  </cols>
  <sheetData>
    <row r="2" customFormat="false" ht="18.75" hidden="false" customHeight="true" outlineLevel="0" collapsed="false">
      <c r="E2" s="47" t="s">
        <v>49</v>
      </c>
    </row>
    <row r="3" customFormat="false" ht="27.75" hidden="false" customHeight="true" outlineLevel="0" collapsed="false">
      <c r="B3" s="214" t="s">
        <v>50</v>
      </c>
      <c r="C3" s="214"/>
      <c r="D3" s="214"/>
      <c r="E3" s="214"/>
    </row>
    <row r="4" customFormat="false" ht="19.5" hidden="false" customHeight="true" outlineLevel="0" collapsed="false">
      <c r="B4" s="178" t="s">
        <v>6</v>
      </c>
      <c r="C4" s="215" t="str">
        <f aca="false">'BS (貸方)'!E4</f>
        <v>26年1月期</v>
      </c>
      <c r="D4" s="216" t="s">
        <v>163</v>
      </c>
      <c r="E4" s="12" t="s">
        <v>164</v>
      </c>
    </row>
    <row r="5" customFormat="false" ht="22.5" hidden="false" customHeight="true" outlineLevel="0" collapsed="false">
      <c r="B5" s="217" t="s">
        <v>51</v>
      </c>
      <c r="C5" s="95" t="n">
        <f aca="false">SUM(C6:C17)</f>
        <v>70491633</v>
      </c>
      <c r="D5" s="14" t="n">
        <f aca="false">SUM(D6:D17)</f>
        <v>0</v>
      </c>
      <c r="E5" s="15" t="n">
        <f aca="false">C5+D5</f>
        <v>70491633</v>
      </c>
    </row>
    <row r="6" customFormat="false" ht="22.5" hidden="false" customHeight="true" outlineLevel="0" collapsed="false">
      <c r="B6" s="104" t="s">
        <v>52</v>
      </c>
      <c r="C6" s="35" t="n">
        <v>9644516</v>
      </c>
      <c r="D6" s="52"/>
      <c r="E6" s="18" t="n">
        <f aca="false">C6+D6</f>
        <v>9644516</v>
      </c>
    </row>
    <row r="7" customFormat="false" ht="22.5" hidden="false" customHeight="true" outlineLevel="0" collapsed="false">
      <c r="B7" s="104" t="s">
        <v>53</v>
      </c>
      <c r="C7" s="35" t="n">
        <v>3947278</v>
      </c>
      <c r="D7" s="52"/>
      <c r="E7" s="18" t="n">
        <f aca="false">C7+D7</f>
        <v>3947278</v>
      </c>
    </row>
    <row r="8" customFormat="false" ht="22.5" hidden="false" customHeight="true" outlineLevel="0" collapsed="false">
      <c r="B8" s="104" t="s">
        <v>54</v>
      </c>
      <c r="C8" s="35" t="n">
        <v>2929500</v>
      </c>
      <c r="D8" s="52"/>
      <c r="E8" s="18" t="n">
        <f aca="false">C8+D8</f>
        <v>2929500</v>
      </c>
    </row>
    <row r="9" customFormat="false" ht="22.5" hidden="false" customHeight="true" outlineLevel="0" collapsed="false">
      <c r="B9" s="104" t="s">
        <v>55</v>
      </c>
      <c r="C9" s="35" t="n">
        <v>12017600</v>
      </c>
      <c r="D9" s="52"/>
      <c r="E9" s="18" t="n">
        <f aca="false">C9+D9</f>
        <v>12017600</v>
      </c>
    </row>
    <row r="10" customFormat="false" ht="22.5" hidden="false" customHeight="true" outlineLevel="0" collapsed="false">
      <c r="B10" s="104" t="s">
        <v>56</v>
      </c>
      <c r="C10" s="35" t="n">
        <v>124739</v>
      </c>
      <c r="D10" s="52"/>
      <c r="E10" s="18" t="n">
        <f aca="false">C10+D10</f>
        <v>124739</v>
      </c>
    </row>
    <row r="11" customFormat="false" ht="22.5" hidden="false" customHeight="true" outlineLevel="0" collapsed="false">
      <c r="B11" s="104" t="s">
        <v>58</v>
      </c>
      <c r="C11" s="35" t="n">
        <v>41828000</v>
      </c>
      <c r="D11" s="52"/>
      <c r="E11" s="18" t="n">
        <f aca="false">C11+D11</f>
        <v>41828000</v>
      </c>
    </row>
    <row r="12" customFormat="false" ht="22.5" hidden="false" customHeight="true" outlineLevel="0" collapsed="false">
      <c r="B12" s="104"/>
      <c r="C12" s="35"/>
      <c r="D12" s="52"/>
      <c r="E12" s="18" t="n">
        <f aca="false">C12+D12</f>
        <v>0</v>
      </c>
    </row>
    <row r="13" customFormat="false" ht="22.5" hidden="false" customHeight="true" outlineLevel="0" collapsed="false">
      <c r="B13" s="104"/>
      <c r="C13" s="35"/>
      <c r="D13" s="52"/>
      <c r="E13" s="18" t="n">
        <f aca="false">C13+D13</f>
        <v>0</v>
      </c>
    </row>
    <row r="14" customFormat="false" ht="22.5" hidden="false" customHeight="true" outlineLevel="0" collapsed="false">
      <c r="B14" s="104"/>
      <c r="C14" s="35"/>
      <c r="D14" s="52"/>
      <c r="E14" s="18" t="n">
        <f aca="false">C14+D14</f>
        <v>0</v>
      </c>
    </row>
    <row r="15" customFormat="false" ht="22.5" hidden="false" customHeight="true" outlineLevel="0" collapsed="false">
      <c r="B15" s="104"/>
      <c r="C15" s="35"/>
      <c r="D15" s="52"/>
      <c r="E15" s="18" t="n">
        <f aca="false">C15+D15</f>
        <v>0</v>
      </c>
    </row>
    <row r="16" customFormat="false" ht="22.5" hidden="false" customHeight="true" outlineLevel="0" collapsed="false">
      <c r="B16" s="104"/>
      <c r="C16" s="35"/>
      <c r="D16" s="52"/>
      <c r="E16" s="18" t="n">
        <f aca="false">C16+D16</f>
        <v>0</v>
      </c>
    </row>
    <row r="17" customFormat="false" ht="22.5" hidden="false" customHeight="true" outlineLevel="0" collapsed="false">
      <c r="B17" s="105"/>
      <c r="C17" s="37"/>
      <c r="D17" s="54"/>
      <c r="E17" s="18" t="n">
        <f aca="false">C17+D17</f>
        <v>0</v>
      </c>
    </row>
    <row r="18" customFormat="false" ht="22.5" hidden="false" customHeight="true" outlineLevel="0" collapsed="false">
      <c r="B18" s="217" t="s">
        <v>59</v>
      </c>
      <c r="C18" s="95" t="n">
        <f aca="false">SUM(C19:C26)</f>
        <v>145980000</v>
      </c>
      <c r="D18" s="14" t="n">
        <f aca="false">SUM(D19:D26)</f>
        <v>0</v>
      </c>
      <c r="E18" s="150" t="n">
        <f aca="false">C18+D18</f>
        <v>145980000</v>
      </c>
    </row>
    <row r="19" customFormat="false" ht="22.5" hidden="false" customHeight="true" outlineLevel="0" collapsed="false">
      <c r="B19" s="104" t="s">
        <v>60</v>
      </c>
      <c r="C19" s="35" t="n">
        <v>145980000</v>
      </c>
      <c r="D19" s="52"/>
      <c r="E19" s="18" t="n">
        <f aca="false">C19+D19</f>
        <v>145980000</v>
      </c>
    </row>
    <row r="20" customFormat="false" ht="22.5" hidden="false" customHeight="true" outlineLevel="0" collapsed="false">
      <c r="B20" s="104"/>
      <c r="C20" s="35"/>
      <c r="D20" s="52"/>
      <c r="E20" s="18" t="n">
        <f aca="false">C20+D20</f>
        <v>0</v>
      </c>
    </row>
    <row r="21" customFormat="false" ht="22.5" hidden="false" customHeight="true" outlineLevel="0" collapsed="false">
      <c r="B21" s="104"/>
      <c r="C21" s="35"/>
      <c r="D21" s="52"/>
      <c r="E21" s="18" t="n">
        <f aca="false">C21+D21</f>
        <v>0</v>
      </c>
    </row>
    <row r="22" customFormat="false" ht="22.5" hidden="false" customHeight="true" outlineLevel="0" collapsed="false">
      <c r="B22" s="104"/>
      <c r="C22" s="35"/>
      <c r="D22" s="52"/>
      <c r="E22" s="18" t="n">
        <f aca="false">C22+D22</f>
        <v>0</v>
      </c>
    </row>
    <row r="23" customFormat="false" ht="22.5" hidden="false" customHeight="true" outlineLevel="0" collapsed="false">
      <c r="B23" s="104"/>
      <c r="C23" s="35"/>
      <c r="D23" s="52"/>
      <c r="E23" s="18" t="n">
        <f aca="false">C23+D23</f>
        <v>0</v>
      </c>
    </row>
    <row r="24" customFormat="false" ht="22.5" hidden="false" customHeight="true" outlineLevel="0" collapsed="false">
      <c r="B24" s="104"/>
      <c r="C24" s="35"/>
      <c r="D24" s="52"/>
      <c r="E24" s="18" t="n">
        <f aca="false">C24+D24</f>
        <v>0</v>
      </c>
    </row>
    <row r="25" customFormat="false" ht="22.5" hidden="false" customHeight="true" outlineLevel="0" collapsed="false">
      <c r="B25" s="104"/>
      <c r="C25" s="35"/>
      <c r="D25" s="52"/>
      <c r="E25" s="18" t="n">
        <f aca="false">C25+D25</f>
        <v>0</v>
      </c>
    </row>
    <row r="26" customFormat="false" ht="22.5" hidden="false" customHeight="true" outlineLevel="0" collapsed="false">
      <c r="B26" s="104"/>
      <c r="C26" s="35"/>
      <c r="D26" s="52"/>
      <c r="E26" s="18" t="n">
        <f aca="false">C26+D26</f>
        <v>0</v>
      </c>
    </row>
    <row r="27" customFormat="false" ht="22.5" hidden="false" customHeight="true" outlineLevel="0" collapsed="false">
      <c r="B27" s="94" t="s">
        <v>189</v>
      </c>
      <c r="C27" s="140" t="n">
        <v>0</v>
      </c>
      <c r="D27" s="218" t="n">
        <v>0</v>
      </c>
      <c r="E27" s="150" t="n">
        <f aca="false">C27+D27</f>
        <v>0</v>
      </c>
    </row>
    <row r="28" customFormat="false" ht="22.5" hidden="false" customHeight="true" outlineLevel="0" collapsed="false">
      <c r="B28" s="219" t="s">
        <v>61</v>
      </c>
      <c r="C28" s="220" t="n">
        <f aca="false">C5+C18+C27</f>
        <v>216471633</v>
      </c>
      <c r="D28" s="57" t="n">
        <f aca="false">D5+D18+D27</f>
        <v>0</v>
      </c>
      <c r="E28" s="221" t="n">
        <f aca="false">C28+D28</f>
        <v>216471633</v>
      </c>
    </row>
    <row r="29" customFormat="false" ht="22.5" hidden="false" customHeight="true" outlineLevel="0" collapsed="false">
      <c r="B29" s="222"/>
      <c r="C29" s="60"/>
      <c r="D29" s="60"/>
      <c r="E29" s="60"/>
    </row>
    <row r="30" customFormat="false" ht="22.5" hidden="false" customHeight="true" outlineLevel="0" collapsed="false">
      <c r="B30" s="222"/>
      <c r="C30" s="17"/>
      <c r="D30" s="17"/>
      <c r="E30" s="17"/>
    </row>
    <row r="31" customFormat="false" ht="22.5" hidden="false" customHeight="true" outlineLevel="0" collapsed="false">
      <c r="B31" s="222"/>
      <c r="C31" s="17"/>
      <c r="D31" s="17"/>
      <c r="E31" s="17"/>
    </row>
    <row r="32" customFormat="false" ht="22.5" hidden="false" customHeight="true" outlineLevel="0" collapsed="false">
      <c r="B32" s="222"/>
      <c r="C32" s="17"/>
      <c r="D32" s="17"/>
      <c r="E32" s="17"/>
    </row>
    <row r="33" customFormat="false" ht="22.5" hidden="false" customHeight="true" outlineLevel="0" collapsed="false">
      <c r="B33" s="222"/>
      <c r="C33" s="17"/>
      <c r="D33" s="17"/>
      <c r="E33" s="17"/>
    </row>
    <row r="34" customFormat="false" ht="21.75" hidden="false" customHeight="true" outlineLevel="0" collapsed="false">
      <c r="B34" s="223" t="s">
        <v>62</v>
      </c>
      <c r="C34" s="223"/>
      <c r="D34" s="223"/>
      <c r="E34" s="223"/>
    </row>
    <row r="35" customFormat="false" ht="21.75" hidden="false" customHeight="true" outlineLevel="0" collapsed="false">
      <c r="B35" s="217" t="s">
        <v>63</v>
      </c>
      <c r="C35" s="95" t="n">
        <f aca="false">SUM(C36:C38)</f>
        <v>10000000</v>
      </c>
      <c r="D35" s="14" t="n">
        <f aca="false">SUM(D36:D38)</f>
        <v>0</v>
      </c>
      <c r="E35" s="15" t="n">
        <f aca="false">C35+D35</f>
        <v>10000000</v>
      </c>
    </row>
    <row r="36" customFormat="false" ht="21.75" hidden="false" customHeight="true" outlineLevel="0" collapsed="false">
      <c r="B36" s="224" t="s">
        <v>64</v>
      </c>
      <c r="C36" s="60" t="n">
        <v>10000000</v>
      </c>
      <c r="D36" s="17"/>
      <c r="E36" s="18" t="n">
        <f aca="false">C36+D36</f>
        <v>10000000</v>
      </c>
    </row>
    <row r="37" customFormat="false" ht="21.75" hidden="false" customHeight="true" outlineLevel="0" collapsed="false">
      <c r="B37" s="224"/>
      <c r="C37" s="17"/>
      <c r="D37" s="17"/>
      <c r="E37" s="18" t="n">
        <f aca="false">C37+D37</f>
        <v>0</v>
      </c>
    </row>
    <row r="38" customFormat="false" ht="21.75" hidden="false" customHeight="true" outlineLevel="0" collapsed="false">
      <c r="B38" s="225"/>
      <c r="C38" s="37"/>
      <c r="D38" s="54"/>
      <c r="E38" s="18" t="n">
        <f aca="false">C38+D38</f>
        <v>0</v>
      </c>
    </row>
    <row r="39" customFormat="false" ht="21.75" hidden="false" customHeight="true" outlineLevel="0" collapsed="false">
      <c r="B39" s="217" t="s">
        <v>65</v>
      </c>
      <c r="C39" s="140" t="n">
        <f aca="false">SUM(C40:C42)</f>
        <v>0</v>
      </c>
      <c r="D39" s="218" t="n">
        <f aca="false">SUM(D40:D42)</f>
        <v>0</v>
      </c>
      <c r="E39" s="150" t="n">
        <f aca="false">C39+D39</f>
        <v>0</v>
      </c>
    </row>
    <row r="40" customFormat="false" ht="21.75" hidden="false" customHeight="true" outlineLevel="0" collapsed="false">
      <c r="B40" s="226"/>
      <c r="C40" s="227"/>
      <c r="D40" s="228"/>
      <c r="E40" s="164" t="n">
        <f aca="false">C40+D40</f>
        <v>0</v>
      </c>
    </row>
    <row r="41" customFormat="false" ht="21.75" hidden="false" customHeight="true" outlineLevel="0" collapsed="false">
      <c r="B41" s="224"/>
      <c r="C41" s="35"/>
      <c r="D41" s="52"/>
      <c r="E41" s="18" t="n">
        <f aca="false">C41+D41</f>
        <v>0</v>
      </c>
    </row>
    <row r="42" customFormat="false" ht="21.75" hidden="false" customHeight="true" outlineLevel="0" collapsed="false">
      <c r="B42" s="229"/>
      <c r="C42" s="37"/>
      <c r="D42" s="54"/>
      <c r="E42" s="18" t="n">
        <f aca="false">C42+D42</f>
        <v>0</v>
      </c>
    </row>
    <row r="43" customFormat="false" ht="22.5" hidden="false" customHeight="true" outlineLevel="0" collapsed="false">
      <c r="B43" s="217" t="s">
        <v>66</v>
      </c>
      <c r="C43" s="140" t="n">
        <f aca="false">SUM(C44:C47)</f>
        <v>323535909</v>
      </c>
      <c r="D43" s="218" t="n">
        <f aca="false">SUM(D44:D47)</f>
        <v>0</v>
      </c>
      <c r="E43" s="150" t="n">
        <f aca="false">C43+D43</f>
        <v>323535909</v>
      </c>
    </row>
    <row r="44" customFormat="false" ht="22.5" hidden="false" customHeight="true" outlineLevel="0" collapsed="false">
      <c r="B44" s="224" t="s">
        <v>67</v>
      </c>
      <c r="C44" s="60" t="n">
        <v>323535909</v>
      </c>
      <c r="D44" s="17"/>
      <c r="E44" s="18" t="n">
        <f aca="false">C44+D44</f>
        <v>323535909</v>
      </c>
    </row>
    <row r="45" customFormat="false" ht="22.5" hidden="false" customHeight="true" outlineLevel="0" collapsed="false">
      <c r="B45" s="224"/>
      <c r="C45" s="17"/>
      <c r="D45" s="17"/>
      <c r="E45" s="18" t="n">
        <f aca="false">C45+D45</f>
        <v>0</v>
      </c>
    </row>
    <row r="46" customFormat="false" ht="22.5" hidden="false" customHeight="true" outlineLevel="0" collapsed="false">
      <c r="B46" s="224"/>
      <c r="C46" s="17"/>
      <c r="D46" s="17"/>
      <c r="E46" s="18" t="n">
        <f aca="false">C46+D46</f>
        <v>0</v>
      </c>
    </row>
    <row r="47" customFormat="false" ht="22.5" hidden="false" customHeight="true" outlineLevel="0" collapsed="false">
      <c r="B47" s="225"/>
      <c r="C47" s="37"/>
      <c r="D47" s="54"/>
      <c r="E47" s="18" t="n">
        <f aca="false">C47+D47</f>
        <v>0</v>
      </c>
    </row>
    <row r="48" customFormat="false" ht="22.5" hidden="false" customHeight="true" outlineLevel="0" collapsed="false">
      <c r="B48" s="94" t="s">
        <v>68</v>
      </c>
      <c r="C48" s="140" t="n">
        <v>0</v>
      </c>
      <c r="D48" s="218" t="n">
        <v>0</v>
      </c>
      <c r="E48" s="150" t="n">
        <f aca="false">C48+D48</f>
        <v>0</v>
      </c>
    </row>
    <row r="49" customFormat="false" ht="22.5" hidden="false" customHeight="true" outlineLevel="0" collapsed="false">
      <c r="B49" s="94" t="s">
        <v>190</v>
      </c>
      <c r="C49" s="140"/>
      <c r="D49" s="218" t="n">
        <f aca="false">SUM(D50:D51)</f>
        <v>201000</v>
      </c>
      <c r="E49" s="150" t="n">
        <f aca="false">C49+D49</f>
        <v>201000</v>
      </c>
    </row>
    <row r="50" customFormat="false" ht="22.5" hidden="false" customHeight="true" outlineLevel="0" collapsed="false">
      <c r="B50" s="230" t="s">
        <v>163</v>
      </c>
      <c r="C50" s="231"/>
      <c r="D50" s="232" t="n">
        <f aca="false">'修正BS(借方)'!D61-D28</f>
        <v>201000</v>
      </c>
      <c r="E50" s="233" t="n">
        <f aca="false">C50+D50</f>
        <v>201000</v>
      </c>
    </row>
    <row r="51" customFormat="false" ht="22.5" hidden="false" customHeight="true" outlineLevel="0" collapsed="false">
      <c r="B51" s="234" t="s">
        <v>191</v>
      </c>
      <c r="C51" s="34"/>
      <c r="D51" s="235" t="n">
        <f aca="false">'修正BS(借方)'!D60-D27</f>
        <v>0</v>
      </c>
      <c r="E51" s="151" t="n">
        <f aca="false">C51+D51</f>
        <v>0</v>
      </c>
    </row>
    <row r="52" customFormat="false" ht="22.5" hidden="false" customHeight="true" outlineLevel="0" collapsed="false">
      <c r="B52" s="236" t="s">
        <v>69</v>
      </c>
      <c r="C52" s="237" t="n">
        <f aca="false">C35+C39+C43+C48</f>
        <v>333535909</v>
      </c>
      <c r="D52" s="237" t="n">
        <f aca="false">D35+D39+D43+D48+D49</f>
        <v>201000</v>
      </c>
      <c r="E52" s="238" t="n">
        <f aca="false">C52+D52</f>
        <v>333736909</v>
      </c>
    </row>
    <row r="53" customFormat="false" ht="22.5" hidden="false" customHeight="true" outlineLevel="0" collapsed="false">
      <c r="B53" s="239" t="s">
        <v>70</v>
      </c>
      <c r="C53" s="240" t="n">
        <f aca="false">C28+C52</f>
        <v>550007542</v>
      </c>
      <c r="D53" s="240" t="n">
        <f aca="false">D28+D52</f>
        <v>201000</v>
      </c>
      <c r="E53" s="241" t="n">
        <f aca="false">C53+D53</f>
        <v>550208542</v>
      </c>
    </row>
    <row r="54" customFormat="false" ht="18" hidden="false" customHeight="true" outlineLevel="0" collapsed="false">
      <c r="C54" s="43"/>
      <c r="D54" s="43"/>
      <c r="E54" s="43"/>
    </row>
    <row r="55" customFormat="false" ht="18" hidden="false" customHeight="true" outlineLevel="0" collapsed="false">
      <c r="C55" s="43" t="n">
        <f aca="false">C53='修正BS(借方)'!C61</f>
        <v>1</v>
      </c>
      <c r="D55" s="43"/>
      <c r="E55" s="43"/>
    </row>
    <row r="56" customFormat="false" ht="18" hidden="false" customHeight="true" outlineLevel="0" collapsed="false">
      <c r="C56" s="43"/>
      <c r="D56" s="43"/>
      <c r="E56" s="43"/>
    </row>
    <row r="57" customFormat="false" ht="18" hidden="false" customHeight="true" outlineLevel="0" collapsed="false">
      <c r="C57" s="43"/>
      <c r="D57" s="43"/>
      <c r="E57" s="43"/>
    </row>
    <row r="58" customFormat="false" ht="18" hidden="false" customHeight="true" outlineLevel="0" collapsed="false">
      <c r="C58" s="43"/>
      <c r="D58" s="43"/>
      <c r="E58" s="43"/>
    </row>
    <row r="59" customFormat="false" ht="18" hidden="false" customHeight="true" outlineLevel="0" collapsed="false">
      <c r="C59" s="43"/>
      <c r="D59" s="43"/>
      <c r="E59" s="43"/>
    </row>
    <row r="60" customFormat="false" ht="18" hidden="false" customHeight="true" outlineLevel="0" collapsed="false">
      <c r="C60" s="43"/>
      <c r="D60" s="43"/>
      <c r="E60" s="43"/>
    </row>
    <row r="61" customFormat="false" ht="18" hidden="false" customHeight="true" outlineLevel="0" collapsed="false">
      <c r="C61" s="43"/>
      <c r="D61" s="43"/>
      <c r="E61" s="43"/>
    </row>
    <row r="62" customFormat="false" ht="18" hidden="false" customHeight="true" outlineLevel="0" collapsed="false">
      <c r="C62" s="43"/>
      <c r="D62" s="43"/>
      <c r="E62" s="43"/>
    </row>
    <row r="63" customFormat="false" ht="18" hidden="false" customHeight="true" outlineLevel="0" collapsed="false">
      <c r="C63" s="43"/>
      <c r="D63" s="43"/>
      <c r="E63" s="43"/>
    </row>
    <row r="64" customFormat="false" ht="18" hidden="false" customHeight="true" outlineLevel="0" collapsed="false">
      <c r="C64" s="43"/>
      <c r="D64" s="43"/>
      <c r="E64" s="43"/>
    </row>
    <row r="65" customFormat="false" ht="18" hidden="false" customHeight="true" outlineLevel="0" collapsed="false">
      <c r="C65" s="43"/>
      <c r="D65" s="43"/>
      <c r="E65" s="43"/>
    </row>
    <row r="66" customFormat="false" ht="18" hidden="false" customHeight="true" outlineLevel="0" collapsed="false">
      <c r="C66" s="43"/>
      <c r="D66" s="43"/>
      <c r="E66" s="43"/>
    </row>
    <row r="67" customFormat="false" ht="18" hidden="false" customHeight="true" outlineLevel="0" collapsed="false">
      <c r="C67" s="43"/>
      <c r="D67" s="43"/>
      <c r="E67" s="43"/>
    </row>
    <row r="68" customFormat="false" ht="18" hidden="false" customHeight="true" outlineLevel="0" collapsed="false">
      <c r="C68" s="43"/>
      <c r="D68" s="43"/>
      <c r="E68" s="43"/>
    </row>
    <row r="69" customFormat="false" ht="18" hidden="false" customHeight="true" outlineLevel="0" collapsed="false">
      <c r="C69" s="43"/>
      <c r="D69" s="43"/>
      <c r="E69" s="43"/>
    </row>
    <row r="70" customFormat="false" ht="18" hidden="false" customHeight="true" outlineLevel="0" collapsed="false">
      <c r="C70" s="43"/>
      <c r="D70" s="43"/>
      <c r="E70" s="43"/>
    </row>
    <row r="71" customFormat="false" ht="18" hidden="false" customHeight="true" outlineLevel="0" collapsed="false">
      <c r="C71" s="43"/>
      <c r="D71" s="43"/>
      <c r="E71" s="43"/>
    </row>
    <row r="72" customFormat="false" ht="18" hidden="false" customHeight="true" outlineLevel="0" collapsed="false">
      <c r="C72" s="43"/>
      <c r="D72" s="43"/>
      <c r="E72" s="43"/>
    </row>
    <row r="73" customFormat="false" ht="18" hidden="false" customHeight="true" outlineLevel="0" collapsed="false">
      <c r="C73" s="43"/>
      <c r="D73" s="43"/>
      <c r="E73" s="43"/>
    </row>
    <row r="74" customFormat="false" ht="18" hidden="false" customHeight="true" outlineLevel="0" collapsed="false">
      <c r="C74" s="43"/>
      <c r="D74" s="43"/>
      <c r="E74" s="43"/>
    </row>
    <row r="75" customFormat="false" ht="18" hidden="false" customHeight="true" outlineLevel="0" collapsed="false">
      <c r="C75" s="43"/>
      <c r="D75" s="43"/>
      <c r="E75" s="43"/>
    </row>
    <row r="76" customFormat="false" ht="18" hidden="false" customHeight="true" outlineLevel="0" collapsed="false">
      <c r="C76" s="43"/>
      <c r="D76" s="43"/>
      <c r="E76" s="43"/>
    </row>
    <row r="77" customFormat="false" ht="18" hidden="false" customHeight="true" outlineLevel="0" collapsed="false">
      <c r="C77" s="43"/>
      <c r="D77" s="43"/>
      <c r="E77" s="43"/>
    </row>
    <row r="78" customFormat="false" ht="18" hidden="false" customHeight="true" outlineLevel="0" collapsed="false">
      <c r="C78" s="43"/>
      <c r="D78" s="43"/>
      <c r="E78" s="43"/>
    </row>
    <row r="79" customFormat="false" ht="18" hidden="false" customHeight="true" outlineLevel="0" collapsed="false">
      <c r="C79" s="43"/>
      <c r="D79" s="43"/>
      <c r="E79" s="43"/>
    </row>
    <row r="80" customFormat="false" ht="18" hidden="false" customHeight="true" outlineLevel="0" collapsed="false">
      <c r="C80" s="43"/>
      <c r="D80" s="43"/>
      <c r="E80" s="43"/>
    </row>
    <row r="81" customFormat="false" ht="18" hidden="false" customHeight="true" outlineLevel="0" collapsed="false">
      <c r="C81" s="43"/>
      <c r="D81" s="43"/>
      <c r="E81" s="43"/>
    </row>
    <row r="82" customFormat="false" ht="18" hidden="false" customHeight="true" outlineLevel="0" collapsed="false">
      <c r="C82" s="43"/>
      <c r="D82" s="43"/>
      <c r="E82" s="43"/>
    </row>
    <row r="83" customFormat="false" ht="18" hidden="false" customHeight="true" outlineLevel="0" collapsed="false">
      <c r="C83" s="43"/>
      <c r="D83" s="43"/>
      <c r="E83" s="43"/>
    </row>
    <row r="84" customFormat="false" ht="18" hidden="false" customHeight="true" outlineLevel="0" collapsed="false">
      <c r="C84" s="43"/>
      <c r="D84" s="43"/>
      <c r="E84" s="43"/>
    </row>
    <row r="85" customFormat="false" ht="18" hidden="false" customHeight="true" outlineLevel="0" collapsed="false">
      <c r="C85" s="43"/>
      <c r="D85" s="43"/>
      <c r="E85" s="43"/>
    </row>
    <row r="86" customFormat="false" ht="18" hidden="false" customHeight="true" outlineLevel="0" collapsed="false">
      <c r="C86" s="43"/>
      <c r="D86" s="43"/>
      <c r="E86" s="43"/>
    </row>
    <row r="87" customFormat="false" ht="18" hidden="false" customHeight="true" outlineLevel="0" collapsed="false">
      <c r="C87" s="43"/>
      <c r="D87" s="43"/>
      <c r="E87" s="43"/>
    </row>
    <row r="88" customFormat="false" ht="18" hidden="false" customHeight="true" outlineLevel="0" collapsed="false">
      <c r="C88" s="43"/>
      <c r="D88" s="43"/>
      <c r="E88" s="43"/>
    </row>
    <row r="89" customFormat="false" ht="18" hidden="false" customHeight="true" outlineLevel="0" collapsed="false">
      <c r="C89" s="43"/>
      <c r="D89" s="43"/>
      <c r="E89" s="43"/>
    </row>
    <row r="90" customFormat="false" ht="18" hidden="false" customHeight="true" outlineLevel="0" collapsed="false">
      <c r="C90" s="43"/>
      <c r="D90" s="43"/>
      <c r="E90" s="43"/>
    </row>
    <row r="91" customFormat="false" ht="18" hidden="false" customHeight="true" outlineLevel="0" collapsed="false">
      <c r="C91" s="43"/>
      <c r="D91" s="43"/>
      <c r="E91" s="43"/>
    </row>
    <row r="92" customFormat="false" ht="18" hidden="false" customHeight="true" outlineLevel="0" collapsed="false">
      <c r="C92" s="43"/>
      <c r="D92" s="43"/>
      <c r="E92" s="43"/>
    </row>
    <row r="93" customFormat="false" ht="18" hidden="false" customHeight="true" outlineLevel="0" collapsed="false">
      <c r="C93" s="43"/>
      <c r="D93" s="43"/>
      <c r="E93" s="43"/>
    </row>
    <row r="94" customFormat="false" ht="18" hidden="false" customHeight="true" outlineLevel="0" collapsed="false">
      <c r="C94" s="43"/>
      <c r="D94" s="43"/>
      <c r="E94" s="43"/>
    </row>
    <row r="95" customFormat="false" ht="18" hidden="false" customHeight="true" outlineLevel="0" collapsed="false">
      <c r="C95" s="43"/>
      <c r="D95" s="43"/>
      <c r="E95" s="43"/>
    </row>
    <row r="96" customFormat="false" ht="18" hidden="false" customHeight="true" outlineLevel="0" collapsed="false">
      <c r="C96" s="43"/>
      <c r="D96" s="43"/>
      <c r="E96" s="43"/>
    </row>
    <row r="97" customFormat="false" ht="18" hidden="false" customHeight="true" outlineLevel="0" collapsed="false">
      <c r="C97" s="43"/>
      <c r="D97" s="43"/>
      <c r="E97" s="43"/>
    </row>
    <row r="98" customFormat="false" ht="18" hidden="false" customHeight="true" outlineLevel="0" collapsed="false">
      <c r="C98" s="43"/>
      <c r="D98" s="43"/>
      <c r="E98" s="43"/>
    </row>
    <row r="99" customFormat="false" ht="18" hidden="false" customHeight="true" outlineLevel="0" collapsed="false">
      <c r="C99" s="43"/>
      <c r="D99" s="43"/>
      <c r="E99" s="43"/>
    </row>
    <row r="100" customFormat="false" ht="18" hidden="false" customHeight="true" outlineLevel="0" collapsed="false">
      <c r="C100" s="43"/>
      <c r="D100" s="43"/>
      <c r="E100" s="43"/>
    </row>
    <row r="101" customFormat="false" ht="18" hidden="false" customHeight="true" outlineLevel="0" collapsed="false">
      <c r="C101" s="43"/>
      <c r="D101" s="43"/>
      <c r="E101" s="43"/>
    </row>
    <row r="102" customFormat="false" ht="18" hidden="false" customHeight="true" outlineLevel="0" collapsed="false">
      <c r="C102" s="43"/>
      <c r="D102" s="43"/>
      <c r="E102" s="43"/>
    </row>
    <row r="103" customFormat="false" ht="18" hidden="false" customHeight="true" outlineLevel="0" collapsed="false">
      <c r="C103" s="43"/>
      <c r="D103" s="43"/>
      <c r="E103" s="43"/>
    </row>
  </sheetData>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90625" defaultRowHeight="18" zeroHeight="false" outlineLevelRow="0" outlineLevelCol="0"/>
  <cols>
    <col collapsed="false" customWidth="true" hidden="false" outlineLevel="0" max="2" min="2" style="20" width="37.13"/>
    <col collapsed="false" customWidth="true" hidden="false" outlineLevel="0" max="4" min="3" style="20" width="18.63"/>
    <col collapsed="false" customWidth="true" hidden="false" outlineLevel="0" max="7" min="5" style="20" width="19.75"/>
  </cols>
  <sheetData>
    <row r="2" customFormat="false" ht="18.75" hidden="false" customHeight="true" outlineLevel="0" collapsed="false">
      <c r="D2" s="47" t="s">
        <v>49</v>
      </c>
      <c r="E2" s="47" t="s">
        <v>49</v>
      </c>
      <c r="F2" s="47" t="s">
        <v>49</v>
      </c>
    </row>
    <row r="3" customFormat="false" ht="21.75" hidden="false" customHeight="true" outlineLevel="0" collapsed="false">
      <c r="B3" s="61" t="s">
        <v>192</v>
      </c>
      <c r="C3" s="177" t="s">
        <v>193</v>
      </c>
      <c r="D3" s="177" t="s">
        <v>194</v>
      </c>
      <c r="E3" s="242" t="s">
        <v>195</v>
      </c>
      <c r="F3" s="177" t="s">
        <v>194</v>
      </c>
    </row>
    <row r="4" customFormat="false" ht="31.5" hidden="false" customHeight="true" outlineLevel="0" collapsed="false">
      <c r="B4" s="243"/>
      <c r="C4" s="244" t="s">
        <v>196</v>
      </c>
      <c r="D4" s="245" t="n">
        <f aca="false">B4*11/31</f>
        <v>0</v>
      </c>
      <c r="E4" s="246" t="n">
        <f aca="false">D4*0.15</f>
        <v>0</v>
      </c>
      <c r="F4" s="245" t="n">
        <f aca="false">D4+E4</f>
        <v>0</v>
      </c>
    </row>
    <row r="6" customFormat="false" ht="18" hidden="false" customHeight="true" outlineLevel="0" collapsed="false">
      <c r="B6" s="247" t="s">
        <v>197</v>
      </c>
    </row>
    <row r="7" customFormat="false" ht="18.75" hidden="false" customHeight="true" outlineLevel="0" collapsed="false">
      <c r="D7" s="47"/>
      <c r="E7" s="47" t="s">
        <v>49</v>
      </c>
    </row>
    <row r="8" customFormat="false" ht="19.5" hidden="false" customHeight="true" outlineLevel="0" collapsed="false">
      <c r="B8" s="61" t="s">
        <v>198</v>
      </c>
      <c r="C8" s="177" t="s">
        <v>199</v>
      </c>
      <c r="D8" s="177" t="s">
        <v>200</v>
      </c>
      <c r="E8" s="177" t="s">
        <v>201</v>
      </c>
      <c r="F8" s="242" t="s">
        <v>195</v>
      </c>
      <c r="G8" s="242" t="s">
        <v>202</v>
      </c>
    </row>
    <row r="9" customFormat="false" ht="31.5" hidden="false" customHeight="true" outlineLevel="0" collapsed="false">
      <c r="B9" s="243"/>
      <c r="C9" s="244" t="s">
        <v>196</v>
      </c>
      <c r="D9" s="244" t="s">
        <v>196</v>
      </c>
      <c r="E9" s="248" t="n">
        <f aca="false">B9*4/6</f>
        <v>0</v>
      </c>
      <c r="F9" s="246" t="n">
        <f aca="false">E9*0.15</f>
        <v>0</v>
      </c>
      <c r="G9" s="249" t="n">
        <f aca="false">E9+F9</f>
        <v>0</v>
      </c>
    </row>
    <row r="10" customFormat="false" ht="31.5" hidden="false" customHeight="true" outlineLevel="0" collapsed="false"/>
    <row r="11" customFormat="false" ht="31.5" hidden="false" customHeight="true" outlineLevel="0" collapsed="false">
      <c r="B11" s="247" t="s">
        <v>203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90625" defaultRowHeight="18" zeroHeight="false" outlineLevelRow="0" outlineLevelCol="0"/>
  <cols>
    <col collapsed="false" customWidth="true" hidden="false" outlineLevel="0" max="2" min="2" style="20" width="4.75"/>
    <col collapsed="false" customWidth="true" hidden="false" outlineLevel="0" max="3" min="3" style="20" width="14.5"/>
    <col collapsed="false" customWidth="true" hidden="false" outlineLevel="0" max="11" min="4" style="20" width="18.63"/>
  </cols>
  <sheetData>
    <row r="2" customFormat="false" ht="18.75" hidden="false" customHeight="true" outlineLevel="0" collapsed="false">
      <c r="J2" s="47" t="s">
        <v>49</v>
      </c>
    </row>
    <row r="3" customFormat="false" ht="21.75" hidden="false" customHeight="true" outlineLevel="0" collapsed="false">
      <c r="B3" s="250" t="s">
        <v>204</v>
      </c>
      <c r="C3" s="61" t="s">
        <v>205</v>
      </c>
      <c r="D3" s="177" t="s">
        <v>206</v>
      </c>
      <c r="E3" s="177" t="s">
        <v>207</v>
      </c>
      <c r="F3" s="177" t="s">
        <v>208</v>
      </c>
      <c r="G3" s="177" t="s">
        <v>209</v>
      </c>
      <c r="H3" s="177" t="s">
        <v>210</v>
      </c>
      <c r="I3" s="177" t="s">
        <v>211</v>
      </c>
      <c r="J3" s="177" t="s">
        <v>212</v>
      </c>
    </row>
    <row r="4" customFormat="false" ht="31.5" hidden="false" customHeight="true" outlineLevel="0" collapsed="false">
      <c r="B4" s="251"/>
      <c r="C4" s="252"/>
      <c r="D4" s="244"/>
      <c r="E4" s="244"/>
      <c r="F4" s="244"/>
      <c r="G4" s="244"/>
      <c r="H4" s="244"/>
      <c r="I4" s="244"/>
      <c r="J4" s="244"/>
    </row>
    <row r="5" customFormat="false" ht="31.5" hidden="false" customHeight="true" outlineLevel="0" collapsed="false">
      <c r="B5" s="251"/>
      <c r="C5" s="252"/>
      <c r="D5" s="244"/>
      <c r="E5" s="244"/>
      <c r="F5" s="244"/>
      <c r="G5" s="244"/>
      <c r="H5" s="244"/>
      <c r="I5" s="244"/>
      <c r="J5" s="244"/>
    </row>
    <row r="6" customFormat="false" ht="31.5" hidden="false" customHeight="true" outlineLevel="0" collapsed="false">
      <c r="B6" s="251"/>
      <c r="C6" s="252"/>
      <c r="D6" s="244"/>
      <c r="E6" s="244"/>
      <c r="F6" s="244"/>
      <c r="G6" s="244"/>
      <c r="H6" s="244"/>
      <c r="I6" s="244"/>
      <c r="J6" s="244"/>
    </row>
    <row r="7" customFormat="false" ht="31.5" hidden="false" customHeight="true" outlineLevel="0" collapsed="false">
      <c r="B7" s="251"/>
      <c r="C7" s="252"/>
      <c r="D7" s="244"/>
      <c r="E7" s="244"/>
      <c r="F7" s="244"/>
      <c r="G7" s="244"/>
      <c r="H7" s="244"/>
      <c r="I7" s="244"/>
      <c r="J7" s="244"/>
    </row>
    <row r="8" customFormat="false" ht="31.5" hidden="false" customHeight="true" outlineLevel="0" collapsed="false">
      <c r="B8" s="251"/>
      <c r="C8" s="252"/>
      <c r="D8" s="244"/>
      <c r="E8" s="244"/>
      <c r="F8" s="244"/>
      <c r="G8" s="244"/>
      <c r="H8" s="244"/>
      <c r="I8" s="244"/>
      <c r="J8" s="244"/>
    </row>
    <row r="9" customFormat="false" ht="31.5" hidden="false" customHeight="true" outlineLevel="0" collapsed="false">
      <c r="B9" s="251"/>
      <c r="C9" s="252"/>
      <c r="D9" s="244"/>
      <c r="E9" s="244"/>
      <c r="F9" s="244"/>
      <c r="G9" s="244"/>
      <c r="H9" s="244"/>
      <c r="I9" s="244"/>
      <c r="J9" s="244"/>
    </row>
    <row r="10" customFormat="false" ht="31.5" hidden="false" customHeight="true" outlineLevel="0" collapsed="false">
      <c r="B10" s="186"/>
      <c r="C10" s="186" t="s">
        <v>119</v>
      </c>
      <c r="D10" s="213"/>
      <c r="E10" s="213"/>
      <c r="F10" s="213"/>
      <c r="G10" s="213"/>
      <c r="H10" s="187" t="n">
        <f aca="false">SUM(H6:H9)</f>
        <v>0</v>
      </c>
      <c r="I10" s="187" t="n">
        <f aca="false">SUM(I6:I9)</f>
        <v>0</v>
      </c>
      <c r="J10" s="187" t="n">
        <f aca="false">H10+I10</f>
        <v>0</v>
      </c>
    </row>
    <row r="12" customFormat="false" ht="18" hidden="false" customHeight="true" outlineLevel="0" collapsed="false">
      <c r="C12" s="247" t="s">
        <v>213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25"/>
    <col collapsed="false" customWidth="true" hidden="false" outlineLevel="0" max="5" min="4" style="20" width="18.63"/>
    <col collapsed="false" customWidth="true" hidden="false" outlineLevel="0" max="6" min="6" style="20" width="51.5"/>
  </cols>
  <sheetData>
    <row r="2" customFormat="false" ht="18.75" hidden="false" customHeight="true" outlineLevel="0" collapsed="false">
      <c r="E2" s="47" t="s">
        <v>49</v>
      </c>
    </row>
    <row r="3" customFormat="false" ht="21.75" hidden="false" customHeight="true" outlineLevel="0" collapsed="false">
      <c r="B3" s="61" t="s">
        <v>214</v>
      </c>
      <c r="C3" s="208" t="s">
        <v>215</v>
      </c>
      <c r="D3" s="177" t="s">
        <v>163</v>
      </c>
      <c r="E3" s="177" t="s">
        <v>216</v>
      </c>
      <c r="F3" s="178" t="s">
        <v>217</v>
      </c>
    </row>
    <row r="4" customFormat="false" ht="31.5" hidden="false" customHeight="true" outlineLevel="0" collapsed="false">
      <c r="B4" s="179" t="s">
        <v>23</v>
      </c>
      <c r="C4" s="253" t="s">
        <v>218</v>
      </c>
      <c r="D4" s="89" t="n">
        <v>201000</v>
      </c>
      <c r="E4" s="89" t="n">
        <f aca="false">-D4*0.34</f>
        <v>-68340</v>
      </c>
      <c r="F4" s="254"/>
    </row>
    <row r="5" customFormat="false" ht="31.5" hidden="false" customHeight="true" outlineLevel="0" collapsed="false">
      <c r="B5" s="149" t="s">
        <v>219</v>
      </c>
      <c r="C5" s="255" t="s">
        <v>218</v>
      </c>
      <c r="D5" s="181"/>
      <c r="E5" s="181" t="n">
        <f aca="false">-D5*0.34</f>
        <v>-0</v>
      </c>
      <c r="F5" s="180" t="s">
        <v>220</v>
      </c>
    </row>
    <row r="6" customFormat="false" ht="31.5" hidden="false" customHeight="true" outlineLevel="0" collapsed="false">
      <c r="B6" s="149" t="s">
        <v>221</v>
      </c>
      <c r="C6" s="255" t="s">
        <v>218</v>
      </c>
      <c r="D6" s="181"/>
      <c r="E6" s="181" t="n">
        <f aca="false">-D6*0.34</f>
        <v>-0</v>
      </c>
      <c r="F6" s="180" t="s">
        <v>222</v>
      </c>
    </row>
    <row r="7" customFormat="false" ht="31.5" hidden="false" customHeight="true" outlineLevel="0" collapsed="false">
      <c r="B7" s="149" t="s">
        <v>39</v>
      </c>
      <c r="C7" s="255" t="s">
        <v>218</v>
      </c>
      <c r="D7" s="181"/>
      <c r="E7" s="256" t="s">
        <v>112</v>
      </c>
      <c r="F7" s="180" t="s">
        <v>223</v>
      </c>
    </row>
    <row r="8" customFormat="false" ht="31.5" hidden="false" customHeight="true" outlineLevel="0" collapsed="false">
      <c r="B8" s="149" t="s">
        <v>44</v>
      </c>
      <c r="C8" s="255" t="s">
        <v>218</v>
      </c>
      <c r="D8" s="181"/>
      <c r="E8" s="256" t="s">
        <v>112</v>
      </c>
      <c r="F8" s="180" t="s">
        <v>224</v>
      </c>
    </row>
    <row r="9" customFormat="false" ht="31.5" hidden="false" customHeight="true" outlineLevel="0" collapsed="false">
      <c r="B9" s="149" t="s">
        <v>225</v>
      </c>
      <c r="C9" s="255" t="s">
        <v>218</v>
      </c>
      <c r="D9" s="181"/>
      <c r="E9" s="181" t="n">
        <f aca="false">-D9*0.34</f>
        <v>-0</v>
      </c>
      <c r="F9" s="180" t="s">
        <v>226</v>
      </c>
    </row>
    <row r="10" customFormat="false" ht="31.5" hidden="false" customHeight="true" outlineLevel="0" collapsed="false">
      <c r="B10" s="149" t="s">
        <v>227</v>
      </c>
      <c r="C10" s="255" t="s">
        <v>218</v>
      </c>
      <c r="D10" s="181"/>
      <c r="E10" s="181" t="n">
        <f aca="false">-D10*0.34</f>
        <v>-0</v>
      </c>
      <c r="F10" s="180" t="s">
        <v>228</v>
      </c>
    </row>
    <row r="11" customFormat="false" ht="31.5" hidden="false" customHeight="true" outlineLevel="0" collapsed="false">
      <c r="B11" s="149" t="s">
        <v>229</v>
      </c>
      <c r="C11" s="255" t="s">
        <v>218</v>
      </c>
      <c r="D11" s="181"/>
      <c r="E11" s="181" t="n">
        <f aca="false">-D11*0.34</f>
        <v>-0</v>
      </c>
      <c r="F11" s="180" t="s">
        <v>230</v>
      </c>
    </row>
    <row r="12" customFormat="false" ht="31.5" hidden="false" customHeight="true" outlineLevel="0" collapsed="false">
      <c r="B12" s="149" t="s">
        <v>231</v>
      </c>
      <c r="C12" s="255" t="s">
        <v>218</v>
      </c>
      <c r="D12" s="181"/>
      <c r="E12" s="181" t="n">
        <f aca="false">-D12*0.34</f>
        <v>-0</v>
      </c>
      <c r="F12" s="180" t="s">
        <v>232</v>
      </c>
    </row>
    <row r="13" customFormat="false" ht="31.5" hidden="false" customHeight="true" outlineLevel="0" collapsed="false">
      <c r="B13" s="149"/>
      <c r="C13" s="255"/>
      <c r="D13" s="181"/>
      <c r="E13" s="181" t="n">
        <f aca="false">-D13*0.34</f>
        <v>-0</v>
      </c>
      <c r="F13" s="180"/>
    </row>
    <row r="14" customFormat="false" ht="31.5" hidden="false" customHeight="true" outlineLevel="0" collapsed="false">
      <c r="B14" s="149"/>
      <c r="C14" s="255"/>
      <c r="D14" s="181"/>
      <c r="E14" s="181" t="n">
        <f aca="false">-D14*0.34</f>
        <v>-0</v>
      </c>
      <c r="F14" s="180"/>
    </row>
    <row r="15" customFormat="false" ht="31.5" hidden="false" customHeight="true" outlineLevel="0" collapsed="false">
      <c r="B15" s="149"/>
      <c r="C15" s="255"/>
      <c r="D15" s="181"/>
      <c r="E15" s="181" t="n">
        <f aca="false">-D15*0.34</f>
        <v>-0</v>
      </c>
      <c r="F15" s="180"/>
    </row>
    <row r="16" customFormat="false" ht="31.5" hidden="false" customHeight="true" outlineLevel="0" collapsed="false">
      <c r="B16" s="149"/>
      <c r="C16" s="255"/>
      <c r="D16" s="181"/>
      <c r="E16" s="181" t="n">
        <f aca="false">-D16*0.34</f>
        <v>-0</v>
      </c>
      <c r="F16" s="180"/>
    </row>
    <row r="17" customFormat="false" ht="31.5" hidden="false" customHeight="true" outlineLevel="0" collapsed="false">
      <c r="B17" s="202"/>
      <c r="C17" s="257"/>
      <c r="D17" s="184"/>
      <c r="E17" s="35" t="n">
        <f aca="false">-D17*0.34</f>
        <v>-0</v>
      </c>
      <c r="F17" s="185"/>
    </row>
    <row r="18" customFormat="false" ht="31.5" hidden="false" customHeight="true" outlineLevel="0" collapsed="false">
      <c r="B18" s="186" t="s">
        <v>119</v>
      </c>
      <c r="C18" s="258" t="s">
        <v>112</v>
      </c>
      <c r="D18" s="187" t="n">
        <f aca="false">SUM(D4:D17)</f>
        <v>201000</v>
      </c>
      <c r="E18" s="187" t="n">
        <f aca="false">SUM(E4:E17)</f>
        <v>-68340</v>
      </c>
      <c r="F18" s="259" t="s">
        <v>233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F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6" min="3" style="20" width="16.13"/>
  </cols>
  <sheetData>
    <row r="2" customFormat="false" ht="18.75" hidden="false" customHeight="true" outlineLevel="0" collapsed="false">
      <c r="E2" s="47"/>
      <c r="F2" s="47" t="s">
        <v>49</v>
      </c>
    </row>
    <row r="3" customFormat="false" ht="27.75" hidden="false" customHeight="true" outlineLevel="0" collapsed="false">
      <c r="B3" s="8" t="s">
        <v>5</v>
      </c>
      <c r="C3" s="8"/>
      <c r="D3" s="8"/>
      <c r="E3" s="8"/>
    </row>
    <row r="4" customFormat="false" ht="19.5" hidden="false" customHeight="true" outlineLevel="0" collapsed="false">
      <c r="B4" s="9" t="s">
        <v>6</v>
      </c>
      <c r="C4" s="260" t="s">
        <v>234</v>
      </c>
      <c r="D4" s="11" t="s">
        <v>235</v>
      </c>
      <c r="E4" s="12" t="s">
        <v>236</v>
      </c>
      <c r="F4" s="12" t="s">
        <v>237</v>
      </c>
    </row>
    <row r="5" customFormat="false" ht="22.5" hidden="false" customHeight="true" outlineLevel="0" collapsed="false">
      <c r="B5" s="13" t="s">
        <v>9</v>
      </c>
      <c r="C5" s="14" t="n">
        <f aca="false">SUM(C6:C19)</f>
        <v>226345406</v>
      </c>
      <c r="D5" s="14" t="n">
        <f aca="false">SUM(D6:D19)</f>
        <v>0</v>
      </c>
      <c r="E5" s="15" t="n">
        <f aca="false">C5+D5</f>
        <v>226345406</v>
      </c>
      <c r="F5" s="15" t="n">
        <f aca="false">-D5</f>
        <v>-0</v>
      </c>
    </row>
    <row r="6" customFormat="false" ht="22.5" hidden="false" customHeight="true" outlineLevel="0" collapsed="false">
      <c r="B6" s="16" t="s">
        <v>10</v>
      </c>
      <c r="C6" s="17" t="n">
        <f aca="false">'修正BS(借方)'!E6</f>
        <v>193226490</v>
      </c>
      <c r="D6" s="17"/>
      <c r="E6" s="18" t="n">
        <f aca="false">C6+D6</f>
        <v>193226490</v>
      </c>
      <c r="F6" s="18" t="n">
        <f aca="false">-D6</f>
        <v>-0</v>
      </c>
    </row>
    <row r="7" customFormat="false" ht="22.5" hidden="false" customHeight="true" outlineLevel="0" collapsed="false">
      <c r="B7" s="16" t="s">
        <v>22</v>
      </c>
      <c r="C7" s="17" t="n">
        <f aca="false">'修正BS(借方)'!E7</f>
        <v>20153150</v>
      </c>
      <c r="D7" s="17"/>
      <c r="E7" s="18" t="n">
        <f aca="false">C7+D7</f>
        <v>20153150</v>
      </c>
      <c r="F7" s="18" t="n">
        <f aca="false">-D7</f>
        <v>-0</v>
      </c>
    </row>
    <row r="8" customFormat="false" ht="22.5" hidden="false" customHeight="true" outlineLevel="0" collapsed="false">
      <c r="B8" s="16" t="s">
        <v>23</v>
      </c>
      <c r="C8" s="17" t="n">
        <f aca="false">'修正BS(借方)'!E8</f>
        <v>0</v>
      </c>
      <c r="D8" s="17"/>
      <c r="E8" s="18" t="n">
        <f aca="false">C8+D8</f>
        <v>0</v>
      </c>
      <c r="F8" s="18" t="n">
        <f aca="false">-D8</f>
        <v>-0</v>
      </c>
    </row>
    <row r="9" customFormat="false" ht="22.5" hidden="false" customHeight="true" outlineLevel="0" collapsed="false">
      <c r="B9" s="16" t="s">
        <v>24</v>
      </c>
      <c r="C9" s="17" t="n">
        <f aca="false">'修正BS(借方)'!E9</f>
        <v>204834</v>
      </c>
      <c r="D9" s="17"/>
      <c r="E9" s="18" t="n">
        <f aca="false">C9+D9</f>
        <v>204834</v>
      </c>
      <c r="F9" s="18" t="n">
        <f aca="false">-D9</f>
        <v>-0</v>
      </c>
    </row>
    <row r="10" customFormat="false" ht="22.5" hidden="false" customHeight="true" outlineLevel="0" collapsed="false">
      <c r="B10" s="16" t="s">
        <v>25</v>
      </c>
      <c r="C10" s="17" t="n">
        <f aca="false">'修正BS(借方)'!E10</f>
        <v>24020</v>
      </c>
      <c r="D10" s="17"/>
      <c r="E10" s="18" t="n">
        <f aca="false">C10+D10</f>
        <v>24020</v>
      </c>
      <c r="F10" s="18" t="n">
        <f aca="false">-D10</f>
        <v>-0</v>
      </c>
    </row>
    <row r="11" customFormat="false" ht="22.5" hidden="false" customHeight="true" outlineLevel="0" collapsed="false">
      <c r="B11" s="16" t="s">
        <v>26</v>
      </c>
      <c r="C11" s="17" t="n">
        <f aca="false">'修正BS(借方)'!E11</f>
        <v>12055237</v>
      </c>
      <c r="D11" s="17"/>
      <c r="E11" s="18" t="n">
        <f aca="false">C11+D11</f>
        <v>12055237</v>
      </c>
      <c r="F11" s="18" t="n">
        <f aca="false">-D11</f>
        <v>-0</v>
      </c>
    </row>
    <row r="12" customFormat="false" ht="22.5" hidden="false" customHeight="true" outlineLevel="0" collapsed="false">
      <c r="B12" s="16" t="s">
        <v>28</v>
      </c>
      <c r="C12" s="17" t="n">
        <f aca="false">'修正BS(借方)'!E12</f>
        <v>640475</v>
      </c>
      <c r="D12" s="17"/>
      <c r="E12" s="18" t="n">
        <f aca="false">C12+D12</f>
        <v>640475</v>
      </c>
      <c r="F12" s="18" t="n">
        <f aca="false">-D12</f>
        <v>-0</v>
      </c>
    </row>
    <row r="13" customFormat="false" ht="22.5" hidden="false" customHeight="true" outlineLevel="0" collapsed="false">
      <c r="B13" s="16" t="s">
        <v>29</v>
      </c>
      <c r="C13" s="17" t="n">
        <f aca="false">'修正BS(借方)'!E13</f>
        <v>41200</v>
      </c>
      <c r="D13" s="17"/>
      <c r="E13" s="18" t="n">
        <f aca="false">C13+D13</f>
        <v>41200</v>
      </c>
      <c r="F13" s="18" t="n">
        <f aca="false">-D13</f>
        <v>-0</v>
      </c>
    </row>
    <row r="14" customFormat="false" ht="22.5" hidden="false" customHeight="true" outlineLevel="0" collapsed="false">
      <c r="B14" s="16"/>
      <c r="C14" s="17"/>
      <c r="D14" s="17"/>
      <c r="E14" s="18" t="n">
        <f aca="false">C14+D14</f>
        <v>0</v>
      </c>
      <c r="F14" s="18" t="n">
        <f aca="false">-D14</f>
        <v>-0</v>
      </c>
    </row>
    <row r="15" customFormat="false" ht="22.5" hidden="false" customHeight="true" outlineLevel="0" collapsed="false">
      <c r="B15" s="16"/>
      <c r="C15" s="17"/>
      <c r="D15" s="17"/>
      <c r="E15" s="18" t="n">
        <f aca="false">C15+D15</f>
        <v>0</v>
      </c>
      <c r="F15" s="18" t="n">
        <f aca="false">-D15</f>
        <v>-0</v>
      </c>
    </row>
    <row r="16" customFormat="false" ht="22.5" hidden="false" customHeight="true" outlineLevel="0" collapsed="false">
      <c r="B16" s="16"/>
      <c r="C16" s="17"/>
      <c r="D16" s="17"/>
      <c r="E16" s="18" t="n">
        <f aca="false">C16+D16</f>
        <v>0</v>
      </c>
      <c r="F16" s="18" t="n">
        <f aca="false">-D16</f>
        <v>-0</v>
      </c>
    </row>
    <row r="17" customFormat="false" ht="22.5" hidden="false" customHeight="true" outlineLevel="0" collapsed="false">
      <c r="B17" s="16"/>
      <c r="C17" s="17"/>
      <c r="D17" s="17"/>
      <c r="E17" s="18" t="n">
        <f aca="false">C17+D17</f>
        <v>0</v>
      </c>
      <c r="F17" s="18" t="n">
        <f aca="false">-D17</f>
        <v>-0</v>
      </c>
    </row>
    <row r="18" customFormat="false" ht="22.5" hidden="false" customHeight="true" outlineLevel="0" collapsed="false">
      <c r="B18" s="16"/>
      <c r="C18" s="17"/>
      <c r="D18" s="17"/>
      <c r="E18" s="18" t="n">
        <f aca="false">C18+D18</f>
        <v>0</v>
      </c>
      <c r="F18" s="18" t="n">
        <f aca="false">-D18</f>
        <v>-0</v>
      </c>
    </row>
    <row r="19" customFormat="false" ht="22.5" hidden="false" customHeight="true" outlineLevel="0" collapsed="false">
      <c r="B19" s="30"/>
      <c r="C19" s="55"/>
      <c r="D19" s="55"/>
      <c r="E19" s="18" t="n">
        <f aca="false">C19+D19</f>
        <v>0</v>
      </c>
      <c r="F19" s="18" t="n">
        <f aca="false">-D19</f>
        <v>-0</v>
      </c>
    </row>
    <row r="20" customFormat="false" ht="22.5" hidden="false" customHeight="true" outlineLevel="0" collapsed="false">
      <c r="B20" s="13" t="s">
        <v>31</v>
      </c>
      <c r="C20" s="140" t="n">
        <f aca="false">C21+C35+C46</f>
        <v>323863136</v>
      </c>
      <c r="D20" s="140" t="n">
        <f aca="false">D21+D35+D46</f>
        <v>-319487968</v>
      </c>
      <c r="E20" s="150" t="n">
        <f aca="false">C20+D20</f>
        <v>4375168</v>
      </c>
      <c r="F20" s="150" t="n">
        <f aca="false">-D20</f>
        <v>319487968</v>
      </c>
    </row>
    <row r="21" customFormat="false" ht="22.5" hidden="false" customHeight="true" outlineLevel="0" collapsed="false">
      <c r="B21" s="32" t="s">
        <v>32</v>
      </c>
      <c r="C21" s="34" t="n">
        <f aca="false">SUM(C22:C34)</f>
        <v>1056920</v>
      </c>
      <c r="D21" s="34" t="n">
        <f aca="false">SUM(D22:D34)</f>
        <v>-264868</v>
      </c>
      <c r="E21" s="151" t="n">
        <f aca="false">C21+D21</f>
        <v>792052</v>
      </c>
      <c r="F21" s="151" t="n">
        <f aca="false">-D21</f>
        <v>264868</v>
      </c>
    </row>
    <row r="22" customFormat="false" ht="22.5" hidden="false" customHeight="true" outlineLevel="0" collapsed="false">
      <c r="B22" s="16" t="s">
        <v>33</v>
      </c>
      <c r="C22" s="17" t="n">
        <f aca="false">'修正BS(借方)'!E22</f>
        <v>700993</v>
      </c>
      <c r="D22" s="17"/>
      <c r="E22" s="18" t="n">
        <f aca="false">C22+D22</f>
        <v>700993</v>
      </c>
      <c r="F22" s="18" t="n">
        <f aca="false">-D22</f>
        <v>-0</v>
      </c>
    </row>
    <row r="23" customFormat="false" ht="22.5" hidden="false" customHeight="true" outlineLevel="0" collapsed="false">
      <c r="B23" s="16" t="s">
        <v>34</v>
      </c>
      <c r="C23" s="17" t="n">
        <f aca="false">'修正BS(借方)'!E23</f>
        <v>264868</v>
      </c>
      <c r="D23" s="17" t="n">
        <f aca="false">-C23</f>
        <v>-264868</v>
      </c>
      <c r="E23" s="18" t="n">
        <f aca="false">C23+D23</f>
        <v>0</v>
      </c>
      <c r="F23" s="18" t="n">
        <f aca="false">-D23</f>
        <v>264868</v>
      </c>
    </row>
    <row r="24" customFormat="false" ht="22.5" hidden="false" customHeight="true" outlineLevel="0" collapsed="false">
      <c r="B24" s="16" t="s">
        <v>35</v>
      </c>
      <c r="C24" s="17" t="n">
        <f aca="false">'修正BS(借方)'!E24</f>
        <v>91059</v>
      </c>
      <c r="D24" s="17"/>
      <c r="E24" s="18" t="n">
        <f aca="false">C24+D24</f>
        <v>91059</v>
      </c>
      <c r="F24" s="18" t="n">
        <f aca="false">-D24</f>
        <v>-0</v>
      </c>
    </row>
    <row r="25" customFormat="false" ht="22.5" hidden="false" customHeight="true" outlineLevel="0" collapsed="false">
      <c r="B25" s="16"/>
      <c r="C25" s="17"/>
      <c r="D25" s="17"/>
      <c r="E25" s="18" t="n">
        <f aca="false">C25+D25</f>
        <v>0</v>
      </c>
      <c r="F25" s="18" t="n">
        <f aca="false">-D25</f>
        <v>-0</v>
      </c>
    </row>
    <row r="26" customFormat="false" ht="22.5" hidden="false" customHeight="true" outlineLevel="0" collapsed="false">
      <c r="B26" s="16"/>
      <c r="C26" s="17"/>
      <c r="D26" s="17"/>
      <c r="E26" s="18" t="n">
        <f aca="false">C26+D26</f>
        <v>0</v>
      </c>
      <c r="F26" s="18" t="n">
        <f aca="false">-D26</f>
        <v>-0</v>
      </c>
    </row>
    <row r="27" customFormat="false" ht="22.5" hidden="false" customHeight="true" outlineLevel="0" collapsed="false">
      <c r="B27" s="16"/>
      <c r="C27" s="17"/>
      <c r="D27" s="17"/>
      <c r="E27" s="18" t="n">
        <f aca="false">C27+D27</f>
        <v>0</v>
      </c>
      <c r="F27" s="18" t="n">
        <f aca="false">-D27</f>
        <v>-0</v>
      </c>
    </row>
    <row r="28" customFormat="false" ht="22.5" hidden="false" customHeight="true" outlineLevel="0" collapsed="false">
      <c r="B28" s="16"/>
      <c r="C28" s="17"/>
      <c r="D28" s="17"/>
      <c r="E28" s="18" t="n">
        <f aca="false">C28+D28</f>
        <v>0</v>
      </c>
      <c r="F28" s="18" t="n">
        <f aca="false">-D28</f>
        <v>-0</v>
      </c>
    </row>
    <row r="29" customFormat="false" ht="22.5" hidden="false" customHeight="true" outlineLevel="0" collapsed="false">
      <c r="B29" s="16"/>
      <c r="C29" s="17"/>
      <c r="D29" s="17"/>
      <c r="E29" s="18" t="n">
        <f aca="false">C29+D29</f>
        <v>0</v>
      </c>
      <c r="F29" s="18" t="n">
        <f aca="false">-D29</f>
        <v>-0</v>
      </c>
    </row>
    <row r="30" customFormat="false" ht="22.5" hidden="false" customHeight="true" outlineLevel="0" collapsed="false">
      <c r="B30" s="16"/>
      <c r="C30" s="17"/>
      <c r="D30" s="17"/>
      <c r="E30" s="18" t="n">
        <f aca="false">C30+D30</f>
        <v>0</v>
      </c>
      <c r="F30" s="18" t="n">
        <f aca="false">-D30</f>
        <v>-0</v>
      </c>
    </row>
    <row r="31" customFormat="false" ht="22.5" hidden="false" customHeight="true" outlineLevel="0" collapsed="false">
      <c r="B31" s="16"/>
      <c r="C31" s="17"/>
      <c r="D31" s="17"/>
      <c r="E31" s="18" t="n">
        <f aca="false">C31+D31</f>
        <v>0</v>
      </c>
      <c r="F31" s="18" t="n">
        <f aca="false">-D31</f>
        <v>-0</v>
      </c>
    </row>
    <row r="32" customFormat="false" ht="22.5" hidden="false" customHeight="true" outlineLevel="0" collapsed="false">
      <c r="B32" s="16"/>
      <c r="C32" s="17"/>
      <c r="D32" s="17"/>
      <c r="E32" s="18" t="n">
        <f aca="false">C32+D32</f>
        <v>0</v>
      </c>
      <c r="F32" s="18" t="n">
        <f aca="false">-D32</f>
        <v>-0</v>
      </c>
    </row>
    <row r="33" customFormat="false" ht="22.5" hidden="false" customHeight="true" outlineLevel="0" collapsed="false">
      <c r="B33" s="16"/>
      <c r="C33" s="17"/>
      <c r="D33" s="17"/>
      <c r="E33" s="18" t="n">
        <f aca="false">C33+D33</f>
        <v>0</v>
      </c>
      <c r="F33" s="18" t="n">
        <f aca="false">-D33</f>
        <v>-0</v>
      </c>
    </row>
    <row r="34" customFormat="false" ht="22.5" hidden="false" customHeight="true" outlineLevel="0" collapsed="false">
      <c r="B34" s="30"/>
      <c r="C34" s="55"/>
      <c r="D34" s="55"/>
      <c r="E34" s="18" t="n">
        <f aca="false">C34+D34</f>
        <v>0</v>
      </c>
      <c r="F34" s="18" t="n">
        <f aca="false">-D34</f>
        <v>-0</v>
      </c>
    </row>
    <row r="35" customFormat="false" ht="22.5" hidden="false" customHeight="true" outlineLevel="0" collapsed="false">
      <c r="B35" s="32" t="s">
        <v>36</v>
      </c>
      <c r="C35" s="152" t="n">
        <f aca="false">SUM(C36:C45)</f>
        <v>2112001</v>
      </c>
      <c r="D35" s="153" t="n">
        <f aca="false">SUM(D36:D45)</f>
        <v>0</v>
      </c>
      <c r="E35" s="154" t="n">
        <f aca="false">C35+D35</f>
        <v>2112001</v>
      </c>
      <c r="F35" s="154" t="n">
        <f aca="false">-D35</f>
        <v>-0</v>
      </c>
    </row>
    <row r="36" customFormat="false" ht="21.75" hidden="false" customHeight="true" outlineLevel="0" collapsed="false">
      <c r="B36" s="16" t="s">
        <v>37</v>
      </c>
      <c r="C36" s="17" t="n">
        <f aca="false">'修正BS(借方)'!E36</f>
        <v>2112001</v>
      </c>
      <c r="D36" s="17"/>
      <c r="E36" s="18" t="n">
        <f aca="false">C36+D36</f>
        <v>2112001</v>
      </c>
      <c r="F36" s="18" t="n">
        <f aca="false">-D36</f>
        <v>-0</v>
      </c>
    </row>
    <row r="37" customFormat="false" ht="21.75" hidden="false" customHeight="true" outlineLevel="0" collapsed="false">
      <c r="B37" s="16"/>
      <c r="C37" s="17"/>
      <c r="D37" s="17"/>
      <c r="E37" s="18" t="n">
        <f aca="false">C37+D37</f>
        <v>0</v>
      </c>
      <c r="F37" s="18" t="n">
        <f aca="false">-D37</f>
        <v>-0</v>
      </c>
    </row>
    <row r="38" customFormat="false" ht="21.75" hidden="false" customHeight="true" outlineLevel="0" collapsed="false">
      <c r="B38" s="16"/>
      <c r="C38" s="17"/>
      <c r="D38" s="17"/>
      <c r="E38" s="18" t="n">
        <f aca="false">C38+D38</f>
        <v>0</v>
      </c>
      <c r="F38" s="18" t="n">
        <f aca="false">-D38</f>
        <v>-0</v>
      </c>
    </row>
    <row r="39" customFormat="false" ht="21.75" hidden="false" customHeight="true" outlineLevel="0" collapsed="false">
      <c r="B39" s="16"/>
      <c r="C39" s="17"/>
      <c r="D39" s="17"/>
      <c r="E39" s="18" t="n">
        <f aca="false">C39+D39</f>
        <v>0</v>
      </c>
      <c r="F39" s="18" t="n">
        <f aca="false">-D39</f>
        <v>-0</v>
      </c>
    </row>
    <row r="40" customFormat="false" ht="21.75" hidden="false" customHeight="true" outlineLevel="0" collapsed="false">
      <c r="B40" s="16"/>
      <c r="C40" s="17"/>
      <c r="D40" s="17"/>
      <c r="E40" s="18" t="n">
        <f aca="false">C40+D40</f>
        <v>0</v>
      </c>
      <c r="F40" s="18" t="n">
        <f aca="false">-D40</f>
        <v>-0</v>
      </c>
    </row>
    <row r="41" customFormat="false" ht="21.75" hidden="false" customHeight="true" outlineLevel="0" collapsed="false">
      <c r="B41" s="16"/>
      <c r="C41" s="17"/>
      <c r="D41" s="17"/>
      <c r="E41" s="18" t="n">
        <f aca="false">C41+D41</f>
        <v>0</v>
      </c>
      <c r="F41" s="18" t="n">
        <f aca="false">-D41</f>
        <v>-0</v>
      </c>
    </row>
    <row r="42" customFormat="false" ht="21.75" hidden="false" customHeight="true" outlineLevel="0" collapsed="false">
      <c r="B42" s="16"/>
      <c r="C42" s="17"/>
      <c r="D42" s="17"/>
      <c r="E42" s="18" t="n">
        <f aca="false">C42+D42</f>
        <v>0</v>
      </c>
      <c r="F42" s="18" t="n">
        <f aca="false">-D42</f>
        <v>-0</v>
      </c>
    </row>
    <row r="43" customFormat="false" ht="21.75" hidden="false" customHeight="true" outlineLevel="0" collapsed="false">
      <c r="B43" s="16"/>
      <c r="C43" s="17"/>
      <c r="D43" s="17"/>
      <c r="E43" s="18" t="n">
        <f aca="false">C43+D43</f>
        <v>0</v>
      </c>
      <c r="F43" s="18" t="n">
        <f aca="false">-D43</f>
        <v>-0</v>
      </c>
    </row>
    <row r="44" customFormat="false" ht="21.75" hidden="false" customHeight="true" outlineLevel="0" collapsed="false">
      <c r="B44" s="16"/>
      <c r="C44" s="17"/>
      <c r="D44" s="17"/>
      <c r="E44" s="18" t="n">
        <f aca="false">C44+D44</f>
        <v>0</v>
      </c>
      <c r="F44" s="18" t="n">
        <f aca="false">-D44</f>
        <v>-0</v>
      </c>
    </row>
    <row r="45" customFormat="false" ht="21.75" hidden="false" customHeight="true" outlineLevel="0" collapsed="false">
      <c r="B45" s="30"/>
      <c r="C45" s="55"/>
      <c r="D45" s="55"/>
      <c r="E45" s="18" t="n">
        <f aca="false">C45+D45</f>
        <v>0</v>
      </c>
      <c r="F45" s="18" t="n">
        <f aca="false">-D45</f>
        <v>-0</v>
      </c>
    </row>
    <row r="46" customFormat="false" ht="21.75" hidden="false" customHeight="true" outlineLevel="0" collapsed="false">
      <c r="B46" s="32" t="s">
        <v>38</v>
      </c>
      <c r="C46" s="155" t="n">
        <f aca="false">SUM(C47:C54)</f>
        <v>320694215</v>
      </c>
      <c r="D46" s="156" t="n">
        <f aca="false">SUM(D47:D54)</f>
        <v>-319223100</v>
      </c>
      <c r="E46" s="157" t="n">
        <f aca="false">C46+D46</f>
        <v>1471115</v>
      </c>
      <c r="F46" s="157" t="n">
        <f aca="false">-D46</f>
        <v>319223100</v>
      </c>
    </row>
    <row r="47" customFormat="false" ht="22.5" hidden="false" customHeight="true" outlineLevel="0" collapsed="false">
      <c r="B47" s="158" t="s">
        <v>39</v>
      </c>
      <c r="C47" s="17" t="n">
        <f aca="false">'修正BS(借方)'!E47</f>
        <v>275896334</v>
      </c>
      <c r="D47" s="17" t="n">
        <f aca="false">-C47</f>
        <v>-275896334</v>
      </c>
      <c r="E47" s="18" t="n">
        <f aca="false">C47+D47</f>
        <v>0</v>
      </c>
      <c r="F47" s="18" t="n">
        <f aca="false">-D47</f>
        <v>275896334</v>
      </c>
    </row>
    <row r="48" customFormat="false" ht="22.5" hidden="false" customHeight="true" outlineLevel="0" collapsed="false">
      <c r="B48" s="158" t="s">
        <v>40</v>
      </c>
      <c r="C48" s="17" t="n">
        <f aca="false">'修正BS(借方)'!E48</f>
        <v>30000</v>
      </c>
      <c r="D48" s="17"/>
      <c r="E48" s="18" t="n">
        <f aca="false">C48+D48</f>
        <v>30000</v>
      </c>
      <c r="F48" s="18" t="n">
        <f aca="false">-D48</f>
        <v>-0</v>
      </c>
    </row>
    <row r="49" customFormat="false" ht="22.5" hidden="false" customHeight="true" outlineLevel="0" collapsed="false">
      <c r="B49" s="158" t="s">
        <v>41</v>
      </c>
      <c r="C49" s="17" t="n">
        <f aca="false">'修正BS(借方)'!E49</f>
        <v>50000</v>
      </c>
      <c r="D49" s="17"/>
      <c r="E49" s="18" t="n">
        <f aca="false">C49+D49</f>
        <v>50000</v>
      </c>
      <c r="F49" s="18" t="n">
        <f aca="false">-D49</f>
        <v>-0</v>
      </c>
    </row>
    <row r="50" customFormat="false" ht="22.5" hidden="false" customHeight="true" outlineLevel="0" collapsed="false">
      <c r="B50" s="158" t="s">
        <v>42</v>
      </c>
      <c r="C50" s="17" t="n">
        <f aca="false">'修正BS(借方)'!E50</f>
        <v>1263500</v>
      </c>
      <c r="D50" s="17"/>
      <c r="E50" s="18" t="n">
        <f aca="false">C50+D50</f>
        <v>1263500</v>
      </c>
      <c r="F50" s="18" t="n">
        <f aca="false">-D50</f>
        <v>-0</v>
      </c>
    </row>
    <row r="51" customFormat="false" ht="22.5" hidden="false" customHeight="true" outlineLevel="0" collapsed="false">
      <c r="B51" s="158" t="s">
        <v>43</v>
      </c>
      <c r="C51" s="17" t="n">
        <f aca="false">'修正BS(借方)'!E51</f>
        <v>25040</v>
      </c>
      <c r="D51" s="17"/>
      <c r="E51" s="18" t="n">
        <f aca="false">C51+D51</f>
        <v>25040</v>
      </c>
      <c r="F51" s="18" t="n">
        <f aca="false">-D51</f>
        <v>-0</v>
      </c>
    </row>
    <row r="52" customFormat="false" ht="22.5" hidden="false" customHeight="true" outlineLevel="0" collapsed="false">
      <c r="B52" s="158" t="s">
        <v>44</v>
      </c>
      <c r="C52" s="17" t="n">
        <f aca="false">'修正BS(借方)'!E52</f>
        <v>43326766</v>
      </c>
      <c r="D52" s="17" t="n">
        <f aca="false">-C52</f>
        <v>-43326766</v>
      </c>
      <c r="E52" s="18" t="n">
        <f aca="false">C52+D52</f>
        <v>0</v>
      </c>
      <c r="F52" s="18" t="n">
        <f aca="false">-D52</f>
        <v>43326766</v>
      </c>
    </row>
    <row r="53" customFormat="false" ht="22.5" hidden="false" customHeight="true" outlineLevel="0" collapsed="false">
      <c r="B53" s="158" t="s">
        <v>45</v>
      </c>
      <c r="C53" s="17" t="n">
        <f aca="false">'修正BS(借方)'!E53</f>
        <v>102575</v>
      </c>
      <c r="D53" s="17"/>
      <c r="E53" s="18" t="n">
        <f aca="false">C53+D53</f>
        <v>102575</v>
      </c>
      <c r="F53" s="18" t="n">
        <f aca="false">-D53</f>
        <v>-0</v>
      </c>
    </row>
    <row r="54" customFormat="false" ht="22.5" hidden="false" customHeight="true" outlineLevel="0" collapsed="false">
      <c r="B54" s="158"/>
      <c r="C54" s="17"/>
      <c r="D54" s="17"/>
      <c r="E54" s="18" t="n">
        <f aca="false">C54+D54</f>
        <v>0</v>
      </c>
      <c r="F54" s="18" t="n">
        <f aca="false">-D54</f>
        <v>-0</v>
      </c>
    </row>
    <row r="55" customFormat="false" ht="21.75" hidden="false" customHeight="true" outlineLevel="0" collapsed="false">
      <c r="B55" s="159" t="s">
        <v>46</v>
      </c>
      <c r="C55" s="40" t="n">
        <f aca="false">SUM(C56:C59)</f>
        <v>0</v>
      </c>
      <c r="D55" s="40" t="n">
        <f aca="false">SUM(D56:D59)</f>
        <v>0</v>
      </c>
      <c r="E55" s="160" t="n">
        <f aca="false">C55+D55</f>
        <v>0</v>
      </c>
      <c r="F55" s="160" t="n">
        <f aca="false">-D55</f>
        <v>-0</v>
      </c>
    </row>
    <row r="56" customFormat="false" ht="21.75" hidden="false" customHeight="true" outlineLevel="0" collapsed="false">
      <c r="B56" s="161"/>
      <c r="C56" s="162"/>
      <c r="D56" s="163"/>
      <c r="E56" s="164" t="n">
        <f aca="false">C56+D56</f>
        <v>0</v>
      </c>
      <c r="F56" s="164" t="n">
        <f aca="false">-D56</f>
        <v>-0</v>
      </c>
    </row>
    <row r="57" customFormat="false" ht="21.75" hidden="false" customHeight="true" outlineLevel="0" collapsed="false">
      <c r="B57" s="158"/>
      <c r="C57" s="165"/>
      <c r="D57" s="165"/>
      <c r="E57" s="18" t="n">
        <f aca="false">C57+D57</f>
        <v>0</v>
      </c>
      <c r="F57" s="18" t="n">
        <f aca="false">-D57</f>
        <v>-0</v>
      </c>
    </row>
    <row r="58" customFormat="false" ht="21.75" hidden="false" customHeight="true" outlineLevel="0" collapsed="false">
      <c r="B58" s="158"/>
      <c r="C58" s="165"/>
      <c r="D58" s="165"/>
      <c r="E58" s="18" t="n">
        <f aca="false">C58+D58</f>
        <v>0</v>
      </c>
      <c r="F58" s="18" t="n">
        <f aca="false">-D58</f>
        <v>-0</v>
      </c>
    </row>
    <row r="59" customFormat="false" ht="21.75" hidden="false" customHeight="true" outlineLevel="0" collapsed="false">
      <c r="B59" s="166"/>
      <c r="C59" s="167"/>
      <c r="D59" s="167"/>
      <c r="E59" s="168" t="n">
        <f aca="false">C59+D59</f>
        <v>0</v>
      </c>
      <c r="F59" s="168" t="n">
        <f aca="false">-D59</f>
        <v>-0</v>
      </c>
    </row>
    <row r="60" customFormat="false" ht="21.75" hidden="false" customHeight="true" outlineLevel="0" collapsed="false">
      <c r="B60" s="169" t="s">
        <v>165</v>
      </c>
      <c r="C60" s="170" t="n">
        <f aca="false">'修正BS(借方)'!E60</f>
        <v>0</v>
      </c>
      <c r="D60" s="170"/>
      <c r="E60" s="171" t="n">
        <f aca="false">C60+D60</f>
        <v>0</v>
      </c>
      <c r="F60" s="171" t="n">
        <f aca="false">-D60</f>
        <v>-0</v>
      </c>
    </row>
    <row r="61" customFormat="false" ht="22.5" hidden="false" customHeight="true" outlineLevel="0" collapsed="false">
      <c r="B61" s="41" t="s">
        <v>47</v>
      </c>
      <c r="C61" s="172" t="n">
        <f aca="false">C5+C20+C55+C60</f>
        <v>550208542</v>
      </c>
      <c r="D61" s="172" t="n">
        <f aca="false">D5+D20+D55+D60</f>
        <v>-319487968</v>
      </c>
      <c r="E61" s="173" t="n">
        <f aca="false">C61+D61</f>
        <v>230720574</v>
      </c>
      <c r="F61" s="173" t="n">
        <f aca="false">-D61</f>
        <v>319487968</v>
      </c>
    </row>
    <row r="62" customFormat="false" ht="18" hidden="false" customHeight="true" outlineLevel="0" collapsed="false">
      <c r="C62" s="174"/>
      <c r="D62" s="174"/>
      <c r="E62" s="174"/>
    </row>
    <row r="63" customFormat="false" ht="18" hidden="false" customHeight="true" outlineLevel="0" collapsed="false">
      <c r="C63" s="174"/>
      <c r="D63" s="174"/>
      <c r="E63" s="174"/>
    </row>
    <row r="64" customFormat="false" ht="27.75" hidden="false" customHeight="true" outlineLevel="0" collapsed="false">
      <c r="B64" s="214" t="s">
        <v>50</v>
      </c>
      <c r="C64" s="214"/>
      <c r="D64" s="214"/>
      <c r="E64" s="214"/>
      <c r="F64" s="214"/>
    </row>
    <row r="65" customFormat="false" ht="19.5" hidden="false" customHeight="true" outlineLevel="0" collapsed="false">
      <c r="B65" s="178" t="s">
        <v>6</v>
      </c>
      <c r="C65" s="261" t="s">
        <v>234</v>
      </c>
      <c r="D65" s="216" t="s">
        <v>235</v>
      </c>
      <c r="E65" s="12" t="s">
        <v>236</v>
      </c>
      <c r="F65" s="12" t="s">
        <v>237</v>
      </c>
    </row>
    <row r="66" customFormat="false" ht="22.5" hidden="false" customHeight="true" outlineLevel="0" collapsed="false">
      <c r="B66" s="217" t="s">
        <v>51</v>
      </c>
      <c r="C66" s="95" t="n">
        <f aca="false">SUM(C67:C74)</f>
        <v>70491633</v>
      </c>
      <c r="D66" s="14" t="n">
        <f aca="false">SUM(D67:D74)</f>
        <v>0</v>
      </c>
      <c r="E66" s="15" t="n">
        <f aca="false">C66+D66</f>
        <v>70491633</v>
      </c>
      <c r="F66" s="15" t="n">
        <f aca="false">-D66</f>
        <v>-0</v>
      </c>
    </row>
    <row r="67" customFormat="false" ht="22.5" hidden="false" customHeight="true" outlineLevel="0" collapsed="false">
      <c r="B67" s="104" t="s">
        <v>52</v>
      </c>
      <c r="C67" s="35" t="n">
        <f aca="false">'修正BS(貸方) '!E6</f>
        <v>9644516</v>
      </c>
      <c r="D67" s="52"/>
      <c r="E67" s="18" t="n">
        <f aca="false">C67+D67</f>
        <v>9644516</v>
      </c>
      <c r="F67" s="18" t="n">
        <f aca="false">-D67</f>
        <v>-0</v>
      </c>
    </row>
    <row r="68" customFormat="false" ht="22.5" hidden="false" customHeight="true" outlineLevel="0" collapsed="false">
      <c r="B68" s="104" t="s">
        <v>53</v>
      </c>
      <c r="C68" s="35" t="n">
        <f aca="false">'修正BS(貸方) '!E7</f>
        <v>3947278</v>
      </c>
      <c r="D68" s="52"/>
      <c r="E68" s="18" t="n">
        <f aca="false">C68+D68</f>
        <v>3947278</v>
      </c>
      <c r="F68" s="18" t="n">
        <f aca="false">-D68</f>
        <v>-0</v>
      </c>
    </row>
    <row r="69" customFormat="false" ht="22.5" hidden="false" customHeight="true" outlineLevel="0" collapsed="false">
      <c r="B69" s="104" t="s">
        <v>54</v>
      </c>
      <c r="C69" s="35" t="n">
        <f aca="false">'修正BS(貸方) '!E8</f>
        <v>2929500</v>
      </c>
      <c r="D69" s="52"/>
      <c r="E69" s="18" t="n">
        <f aca="false">C69+D69</f>
        <v>2929500</v>
      </c>
      <c r="F69" s="18" t="n">
        <f aca="false">-D69</f>
        <v>-0</v>
      </c>
    </row>
    <row r="70" customFormat="false" ht="22.5" hidden="false" customHeight="true" outlineLevel="0" collapsed="false">
      <c r="B70" s="104" t="s">
        <v>55</v>
      </c>
      <c r="C70" s="35" t="n">
        <f aca="false">'修正BS(貸方) '!E9</f>
        <v>12017600</v>
      </c>
      <c r="D70" s="52"/>
      <c r="E70" s="18" t="n">
        <f aca="false">C70+D70</f>
        <v>12017600</v>
      </c>
      <c r="F70" s="18" t="n">
        <f aca="false">-D70</f>
        <v>-0</v>
      </c>
    </row>
    <row r="71" customFormat="false" ht="22.5" hidden="false" customHeight="true" outlineLevel="0" collapsed="false">
      <c r="B71" s="104" t="s">
        <v>56</v>
      </c>
      <c r="C71" s="35" t="n">
        <f aca="false">'修正BS(貸方) '!E10</f>
        <v>124739</v>
      </c>
      <c r="D71" s="52"/>
      <c r="E71" s="18" t="n">
        <f aca="false">C71+D71</f>
        <v>124739</v>
      </c>
      <c r="F71" s="18" t="n">
        <f aca="false">-D71</f>
        <v>-0</v>
      </c>
    </row>
    <row r="72" customFormat="false" ht="22.5" hidden="false" customHeight="true" outlineLevel="0" collapsed="false">
      <c r="B72" s="104" t="s">
        <v>58</v>
      </c>
      <c r="C72" s="35" t="n">
        <f aca="false">'修正BS(貸方) '!E11</f>
        <v>41828000</v>
      </c>
      <c r="D72" s="52"/>
      <c r="E72" s="18" t="n">
        <f aca="false">C72+D72</f>
        <v>41828000</v>
      </c>
      <c r="F72" s="18" t="n">
        <f aca="false">-D72</f>
        <v>-0</v>
      </c>
    </row>
    <row r="73" customFormat="false" ht="22.5" hidden="false" customHeight="true" outlineLevel="0" collapsed="false">
      <c r="B73" s="104"/>
      <c r="C73" s="35"/>
      <c r="D73" s="52"/>
      <c r="E73" s="18" t="n">
        <f aca="false">C73+D73</f>
        <v>0</v>
      </c>
      <c r="F73" s="18" t="n">
        <f aca="false">-D73</f>
        <v>-0</v>
      </c>
    </row>
    <row r="74" customFormat="false" ht="22.5" hidden="false" customHeight="true" outlineLevel="0" collapsed="false">
      <c r="B74" s="104"/>
      <c r="C74" s="35"/>
      <c r="D74" s="52"/>
      <c r="E74" s="18" t="n">
        <f aca="false">C74+D74</f>
        <v>0</v>
      </c>
      <c r="F74" s="18" t="n">
        <f aca="false">-D74</f>
        <v>-0</v>
      </c>
    </row>
    <row r="75" customFormat="false" ht="22.5" hidden="false" customHeight="true" outlineLevel="0" collapsed="false">
      <c r="B75" s="217" t="s">
        <v>59</v>
      </c>
      <c r="C75" s="95" t="n">
        <f aca="false">SUM(C76:C80)</f>
        <v>145980000</v>
      </c>
      <c r="D75" s="14" t="n">
        <f aca="false">SUM(D76:D80)</f>
        <v>0</v>
      </c>
      <c r="E75" s="150" t="n">
        <f aca="false">C75+D75</f>
        <v>145980000</v>
      </c>
      <c r="F75" s="150" t="n">
        <f aca="false">-D75</f>
        <v>-0</v>
      </c>
    </row>
    <row r="76" customFormat="false" ht="22.5" hidden="false" customHeight="true" outlineLevel="0" collapsed="false">
      <c r="B76" s="104" t="s">
        <v>60</v>
      </c>
      <c r="C76" s="35" t="n">
        <f aca="false">'修正BS(貸方) '!E19</f>
        <v>145980000</v>
      </c>
      <c r="D76" s="52"/>
      <c r="E76" s="18" t="n">
        <f aca="false">C76+D76</f>
        <v>145980000</v>
      </c>
      <c r="F76" s="18" t="n">
        <f aca="false">-D76</f>
        <v>-0</v>
      </c>
    </row>
    <row r="77" customFormat="false" ht="22.5" hidden="false" customHeight="true" outlineLevel="0" collapsed="false">
      <c r="B77" s="104"/>
      <c r="C77" s="35"/>
      <c r="D77" s="52"/>
      <c r="E77" s="18" t="n">
        <f aca="false">C77+D77</f>
        <v>0</v>
      </c>
      <c r="F77" s="18" t="n">
        <f aca="false">-D77</f>
        <v>-0</v>
      </c>
    </row>
    <row r="78" customFormat="false" ht="22.5" hidden="false" customHeight="true" outlineLevel="0" collapsed="false">
      <c r="B78" s="104"/>
      <c r="C78" s="35"/>
      <c r="D78" s="52"/>
      <c r="E78" s="18" t="n">
        <f aca="false">C78+D78</f>
        <v>0</v>
      </c>
      <c r="F78" s="18" t="n">
        <f aca="false">-D78</f>
        <v>-0</v>
      </c>
    </row>
    <row r="79" customFormat="false" ht="22.5" hidden="false" customHeight="true" outlineLevel="0" collapsed="false">
      <c r="B79" s="104"/>
      <c r="C79" s="35"/>
      <c r="D79" s="52"/>
      <c r="E79" s="18" t="n">
        <f aca="false">C79+D79</f>
        <v>0</v>
      </c>
      <c r="F79" s="18" t="n">
        <f aca="false">-D79</f>
        <v>-0</v>
      </c>
    </row>
    <row r="80" customFormat="false" ht="22.5" hidden="false" customHeight="true" outlineLevel="0" collapsed="false">
      <c r="B80" s="104"/>
      <c r="C80" s="35"/>
      <c r="D80" s="52"/>
      <c r="E80" s="18" t="n">
        <f aca="false">C80+D80</f>
        <v>0</v>
      </c>
      <c r="F80" s="18" t="n">
        <f aca="false">-D80</f>
        <v>-0</v>
      </c>
    </row>
    <row r="81" customFormat="false" ht="22.5" hidden="false" customHeight="true" outlineLevel="0" collapsed="false">
      <c r="B81" s="94" t="s">
        <v>189</v>
      </c>
      <c r="C81" s="140" t="n">
        <v>0</v>
      </c>
      <c r="D81" s="218" t="n">
        <v>0</v>
      </c>
      <c r="E81" s="150" t="n">
        <f aca="false">C81+D81</f>
        <v>0</v>
      </c>
      <c r="F81" s="150" t="n">
        <f aca="false">-D81</f>
        <v>-0</v>
      </c>
    </row>
    <row r="82" customFormat="false" ht="22.5" hidden="false" customHeight="true" outlineLevel="0" collapsed="false">
      <c r="B82" s="219" t="s">
        <v>61</v>
      </c>
      <c r="C82" s="220" t="n">
        <f aca="false">C66+C75+C81</f>
        <v>216471633</v>
      </c>
      <c r="D82" s="57" t="n">
        <f aca="false">D66+D75+D81</f>
        <v>0</v>
      </c>
      <c r="E82" s="221" t="n">
        <f aca="false">C82+D82</f>
        <v>216471633</v>
      </c>
      <c r="F82" s="221" t="n">
        <f aca="false">-D82</f>
        <v>-0</v>
      </c>
    </row>
    <row r="83" customFormat="false" ht="18" hidden="false" customHeight="true" outlineLevel="0" collapsed="false">
      <c r="C83" s="174"/>
      <c r="D83" s="174"/>
      <c r="E83" s="174"/>
    </row>
    <row r="84" customFormat="false" ht="21.75" hidden="false" customHeight="true" outlineLevel="0" collapsed="false">
      <c r="B84" s="223" t="s">
        <v>62</v>
      </c>
      <c r="C84" s="223"/>
      <c r="D84" s="223"/>
      <c r="E84" s="223"/>
      <c r="F84" s="223"/>
    </row>
    <row r="85" customFormat="false" ht="21.75" hidden="false" customHeight="true" outlineLevel="0" collapsed="false">
      <c r="B85" s="217" t="s">
        <v>63</v>
      </c>
      <c r="C85" s="95" t="n">
        <f aca="false">SUM(C86:C87)</f>
        <v>10000000</v>
      </c>
      <c r="D85" s="14" t="n">
        <f aca="false">SUM(D86:D87)</f>
        <v>0</v>
      </c>
      <c r="E85" s="15" t="n">
        <f aca="false">C85+D85</f>
        <v>10000000</v>
      </c>
      <c r="F85" s="15" t="n">
        <f aca="false">-D85</f>
        <v>-0</v>
      </c>
    </row>
    <row r="86" customFormat="false" ht="21.75" hidden="false" customHeight="true" outlineLevel="0" collapsed="false">
      <c r="B86" s="224" t="s">
        <v>64</v>
      </c>
      <c r="C86" s="60" t="n">
        <f aca="false">'修正BS(貸方) '!E36</f>
        <v>10000000</v>
      </c>
      <c r="D86" s="17"/>
      <c r="E86" s="18" t="n">
        <f aca="false">C86+D86</f>
        <v>10000000</v>
      </c>
      <c r="F86" s="18" t="n">
        <f aca="false">-D86</f>
        <v>-0</v>
      </c>
    </row>
    <row r="87" customFormat="false" ht="21.75" hidden="false" customHeight="true" outlineLevel="0" collapsed="false">
      <c r="B87" s="224"/>
      <c r="C87" s="17"/>
      <c r="D87" s="17"/>
      <c r="E87" s="18" t="n">
        <f aca="false">C87+D87</f>
        <v>0</v>
      </c>
      <c r="F87" s="18" t="n">
        <f aca="false">-D87</f>
        <v>-0</v>
      </c>
    </row>
    <row r="88" customFormat="false" ht="21.75" hidden="false" customHeight="true" outlineLevel="0" collapsed="false">
      <c r="B88" s="217" t="s">
        <v>65</v>
      </c>
      <c r="C88" s="140" t="n">
        <v>0</v>
      </c>
      <c r="D88" s="218" t="n">
        <v>0</v>
      </c>
      <c r="E88" s="150" t="n">
        <f aca="false">C88+D88</f>
        <v>0</v>
      </c>
      <c r="F88" s="150" t="n">
        <f aca="false">-D88</f>
        <v>-0</v>
      </c>
    </row>
    <row r="89" customFormat="false" ht="22.5" hidden="false" customHeight="true" outlineLevel="0" collapsed="false">
      <c r="B89" s="217" t="s">
        <v>66</v>
      </c>
      <c r="C89" s="140" t="n">
        <f aca="false">SUM(C90:C91)</f>
        <v>323535909</v>
      </c>
      <c r="D89" s="218" t="n">
        <f aca="false">SUM(D90:D91)</f>
        <v>0</v>
      </c>
      <c r="E89" s="150" t="n">
        <f aca="false">C89+D89</f>
        <v>323535909</v>
      </c>
      <c r="F89" s="150" t="n">
        <f aca="false">-D89</f>
        <v>-0</v>
      </c>
    </row>
    <row r="90" customFormat="false" ht="22.5" hidden="false" customHeight="true" outlineLevel="0" collapsed="false">
      <c r="B90" s="224" t="s">
        <v>67</v>
      </c>
      <c r="C90" s="60" t="n">
        <f aca="false">'修正BS(貸方) '!E44</f>
        <v>323535909</v>
      </c>
      <c r="D90" s="17"/>
      <c r="E90" s="18" t="n">
        <f aca="false">C90+D90</f>
        <v>323535909</v>
      </c>
      <c r="F90" s="18" t="n">
        <f aca="false">-D90</f>
        <v>-0</v>
      </c>
    </row>
    <row r="91" customFormat="false" ht="22.5" hidden="false" customHeight="true" outlineLevel="0" collapsed="false">
      <c r="B91" s="224"/>
      <c r="C91" s="17"/>
      <c r="D91" s="17"/>
      <c r="E91" s="18" t="n">
        <f aca="false">C91+D91</f>
        <v>0</v>
      </c>
      <c r="F91" s="18" t="n">
        <f aca="false">-D91</f>
        <v>-0</v>
      </c>
    </row>
    <row r="92" customFormat="false" ht="22.5" hidden="false" customHeight="true" outlineLevel="0" collapsed="false">
      <c r="B92" s="94" t="s">
        <v>68</v>
      </c>
      <c r="C92" s="140" t="n">
        <v>0</v>
      </c>
      <c r="D92" s="218" t="n">
        <v>0</v>
      </c>
      <c r="E92" s="150" t="n">
        <f aca="false">C92+D92</f>
        <v>0</v>
      </c>
      <c r="F92" s="150" t="n">
        <f aca="false">-D92</f>
        <v>-0</v>
      </c>
    </row>
    <row r="93" customFormat="false" ht="22.5" hidden="false" customHeight="true" outlineLevel="0" collapsed="false">
      <c r="B93" s="94" t="s">
        <v>190</v>
      </c>
      <c r="C93" s="140" t="n">
        <f aca="false">'修正BS(貸方) '!E49</f>
        <v>201000</v>
      </c>
      <c r="D93" s="218"/>
      <c r="E93" s="150" t="n">
        <f aca="false">C93+D93</f>
        <v>201000</v>
      </c>
      <c r="F93" s="150" t="n">
        <f aca="false">-D93</f>
        <v>-0</v>
      </c>
    </row>
    <row r="94" customFormat="false" ht="22.5" hidden="false" customHeight="true" outlineLevel="0" collapsed="false">
      <c r="B94" s="94" t="s">
        <v>238</v>
      </c>
      <c r="C94" s="140" t="n">
        <v>0</v>
      </c>
      <c r="D94" s="218" t="n">
        <f aca="false">分割後BS!D61-D82</f>
        <v>-319487968</v>
      </c>
      <c r="E94" s="150" t="n">
        <f aca="false">C94+D94</f>
        <v>-319487968</v>
      </c>
      <c r="F94" s="150" t="n">
        <f aca="false">-D94</f>
        <v>319487968</v>
      </c>
    </row>
    <row r="95" customFormat="false" ht="22.5" hidden="false" customHeight="true" outlineLevel="0" collapsed="false">
      <c r="B95" s="236" t="s">
        <v>69</v>
      </c>
      <c r="C95" s="237" t="n">
        <f aca="false">C85+C88+C89+C92+C93+C94</f>
        <v>333736909</v>
      </c>
      <c r="D95" s="237" t="n">
        <f aca="false">D85+D88+D89+D92+D93+D94</f>
        <v>-319487968</v>
      </c>
      <c r="E95" s="238" t="n">
        <f aca="false">C95+D95</f>
        <v>14248941</v>
      </c>
      <c r="F95" s="238" t="n">
        <f aca="false">-D95</f>
        <v>319487968</v>
      </c>
    </row>
    <row r="96" customFormat="false" ht="22.5" hidden="false" customHeight="true" outlineLevel="0" collapsed="false">
      <c r="B96" s="239" t="s">
        <v>70</v>
      </c>
      <c r="C96" s="240" t="n">
        <f aca="false">C82+C95</f>
        <v>550208542</v>
      </c>
      <c r="D96" s="240" t="n">
        <f aca="false">D82+D95</f>
        <v>-319487968</v>
      </c>
      <c r="E96" s="241" t="n">
        <f aca="false">C96+D96</f>
        <v>230720574</v>
      </c>
      <c r="F96" s="241" t="n">
        <f aca="false">-D96</f>
        <v>319487968</v>
      </c>
    </row>
    <row r="97" customFormat="false" ht="18" hidden="false" customHeight="true" outlineLevel="0" collapsed="false">
      <c r="C97" s="175"/>
      <c r="D97" s="175"/>
      <c r="E97" s="175"/>
    </row>
    <row r="98" customFormat="false" ht="18" hidden="false" customHeight="true" outlineLevel="0" collapsed="false">
      <c r="B98" s="8" t="s">
        <v>48</v>
      </c>
      <c r="C98" s="173" t="n">
        <f aca="false">ROUND(C96,0)=ROUND(C61,0)</f>
        <v>1</v>
      </c>
      <c r="D98" s="173" t="n">
        <f aca="false">ROUND(D96,0)=ROUND(D61,0)</f>
        <v>1</v>
      </c>
      <c r="E98" s="173" t="n">
        <f aca="false">ROUND(E96,0)=ROUND(E61,0)</f>
        <v>1</v>
      </c>
      <c r="F98" s="173" t="n">
        <f aca="false">ROUND(F96,0)=ROUND(F61,0)</f>
        <v>1</v>
      </c>
    </row>
    <row r="99" customFormat="false" ht="18" hidden="false" customHeight="true" outlineLevel="0" collapsed="false">
      <c r="C99" s="175"/>
      <c r="D99" s="175"/>
      <c r="E99" s="175"/>
    </row>
    <row r="100" customFormat="false" ht="18" hidden="false" customHeight="true" outlineLevel="0" collapsed="false">
      <c r="C100" s="175"/>
      <c r="D100" s="175"/>
      <c r="E100" s="175"/>
    </row>
    <row r="101" customFormat="false" ht="18" hidden="false" customHeight="true" outlineLevel="0" collapsed="false">
      <c r="B101" s="262" t="s">
        <v>239</v>
      </c>
      <c r="C101" s="175"/>
      <c r="D101" s="175"/>
      <c r="E101" s="175"/>
    </row>
    <row r="102" customFormat="false" ht="18" hidden="false" customHeight="true" outlineLevel="0" collapsed="false">
      <c r="B102" s="16" t="s">
        <v>240</v>
      </c>
      <c r="C102" s="175"/>
      <c r="D102" s="175"/>
      <c r="E102" s="175"/>
    </row>
    <row r="103" customFormat="false" ht="18" hidden="false" customHeight="true" outlineLevel="0" collapsed="false">
      <c r="B103" s="16" t="s">
        <v>241</v>
      </c>
      <c r="C103" s="175"/>
      <c r="D103" s="175"/>
      <c r="E103" s="175"/>
    </row>
    <row r="104" customFormat="false" ht="18" hidden="false" customHeight="true" outlineLevel="0" collapsed="false">
      <c r="B104" s="16" t="s">
        <v>242</v>
      </c>
      <c r="C104" s="175"/>
      <c r="D104" s="175"/>
      <c r="E104" s="175"/>
    </row>
    <row r="105" customFormat="false" ht="18" hidden="false" customHeight="true" outlineLevel="0" collapsed="false">
      <c r="B105" s="16" t="s">
        <v>243</v>
      </c>
      <c r="C105" s="175"/>
      <c r="D105" s="175"/>
      <c r="E105" s="175"/>
    </row>
    <row r="106" customFormat="false" ht="18" hidden="false" customHeight="true" outlineLevel="0" collapsed="false">
      <c r="B106" s="16" t="s">
        <v>244</v>
      </c>
      <c r="C106" s="175"/>
      <c r="D106" s="175"/>
      <c r="E106" s="175"/>
    </row>
    <row r="107" customFormat="false" ht="18" hidden="false" customHeight="true" outlineLevel="0" collapsed="false">
      <c r="B107" s="16" t="s">
        <v>245</v>
      </c>
      <c r="C107" s="175"/>
      <c r="D107" s="175"/>
      <c r="E107" s="175"/>
    </row>
    <row r="108" customFormat="false" ht="18" hidden="false" customHeight="true" outlineLevel="0" collapsed="false">
      <c r="B108" s="262" t="s">
        <v>246</v>
      </c>
      <c r="C108" s="175"/>
      <c r="D108" s="175"/>
      <c r="E108" s="175"/>
    </row>
    <row r="109" customFormat="false" ht="18" hidden="false" customHeight="true" outlineLevel="0" collapsed="false">
      <c r="B109" s="16" t="s">
        <v>247</v>
      </c>
      <c r="C109" s="176"/>
      <c r="D109" s="176"/>
      <c r="E109" s="176"/>
    </row>
    <row r="110" customFormat="false" ht="18" hidden="false" customHeight="true" outlineLevel="0" collapsed="false">
      <c r="B110" s="16" t="s">
        <v>248</v>
      </c>
      <c r="C110" s="176"/>
      <c r="D110" s="176"/>
      <c r="E110" s="176"/>
    </row>
    <row r="111" customFormat="false" ht="18" hidden="false" customHeight="true" outlineLevel="0" collapsed="false">
      <c r="B111" s="16" t="s">
        <v>249</v>
      </c>
      <c r="C111" s="176"/>
      <c r="D111" s="176"/>
      <c r="E111" s="176"/>
    </row>
    <row r="112" customFormat="false" ht="18" hidden="false" customHeight="true" outlineLevel="0" collapsed="false">
      <c r="B112" s="16" t="s">
        <v>250</v>
      </c>
      <c r="C112" s="176"/>
      <c r="D112" s="176"/>
      <c r="E112" s="176"/>
    </row>
    <row r="113" customFormat="false" ht="18" hidden="false" customHeight="true" outlineLevel="0" collapsed="false">
      <c r="B113" s="262" t="s">
        <v>251</v>
      </c>
      <c r="C113" s="176"/>
      <c r="D113" s="176"/>
      <c r="E113" s="176"/>
    </row>
    <row r="114" customFormat="false" ht="18" hidden="false" customHeight="true" outlineLevel="0" collapsed="false">
      <c r="B114" s="16" t="s">
        <v>252</v>
      </c>
      <c r="C114" s="176"/>
      <c r="D114" s="176"/>
      <c r="E114" s="176"/>
    </row>
    <row r="115" customFormat="false" ht="18" hidden="false" customHeight="true" outlineLevel="0" collapsed="false">
      <c r="B115" s="16" t="s">
        <v>253</v>
      </c>
      <c r="C115" s="176"/>
      <c r="D115" s="176"/>
      <c r="E115" s="176"/>
    </row>
    <row r="116" customFormat="false" ht="18" hidden="false" customHeight="true" outlineLevel="0" collapsed="false">
      <c r="C116" s="176"/>
      <c r="D116" s="176"/>
      <c r="E116" s="176"/>
    </row>
    <row r="117" customFormat="false" ht="18" hidden="false" customHeight="true" outlineLevel="0" collapsed="false">
      <c r="C117" s="176"/>
      <c r="D117" s="176"/>
      <c r="E117" s="176"/>
    </row>
    <row r="118" customFormat="false" ht="18" hidden="false" customHeight="true" outlineLevel="0" collapsed="false">
      <c r="C118" s="176"/>
      <c r="D118" s="176"/>
      <c r="E118" s="176"/>
    </row>
    <row r="119" customFormat="false" ht="18" hidden="false" customHeight="true" outlineLevel="0" collapsed="false">
      <c r="C119" s="176"/>
      <c r="D119" s="176"/>
      <c r="E119" s="176"/>
    </row>
  </sheetData>
  <mergeCells count="3">
    <mergeCell ref="B3:E3"/>
    <mergeCell ref="B64:F64"/>
    <mergeCell ref="B84:F8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5390625" defaultRowHeight="18" zeroHeight="false" outlineLevelRow="0" outlineLevelCol="0"/>
  <cols>
    <col collapsed="false" customWidth="true" hidden="false" outlineLevel="0" max="3" min="2" style="20" width="27.38"/>
    <col collapsed="false" customWidth="true" hidden="false" outlineLevel="0" max="4" min="4" style="20" width="4.88"/>
    <col collapsed="false" customWidth="true" hidden="false" outlineLevel="0" max="6" min="5" style="20" width="27.38"/>
  </cols>
  <sheetData>
    <row r="2" customFormat="false" ht="18.75" hidden="false" customHeight="true" outlineLevel="0" collapsed="false">
      <c r="C2" s="47"/>
      <c r="F2" s="47" t="s">
        <v>49</v>
      </c>
    </row>
    <row r="3" customFormat="false" ht="21.75" hidden="false" customHeight="true" outlineLevel="0" collapsed="false">
      <c r="B3" s="61" t="s">
        <v>254</v>
      </c>
      <c r="C3" s="177" t="s">
        <v>255</v>
      </c>
      <c r="E3" s="61" t="s">
        <v>256</v>
      </c>
      <c r="F3" s="177" t="s">
        <v>255</v>
      </c>
    </row>
    <row r="4" customFormat="false" ht="31.5" hidden="false" customHeight="true" outlineLevel="0" collapsed="false">
      <c r="B4" s="263" t="s">
        <v>10</v>
      </c>
      <c r="C4" s="244" t="n">
        <f aca="false">'修正BS(借方)'!E6</f>
        <v>193226490</v>
      </c>
      <c r="E4" s="263" t="s">
        <v>58</v>
      </c>
      <c r="F4" s="244" t="n">
        <f aca="false">'修正BS(貸方) '!E11</f>
        <v>41828000</v>
      </c>
    </row>
    <row r="5" customFormat="false" ht="31.5" hidden="false" customHeight="true" outlineLevel="0" collapsed="false">
      <c r="B5" s="264" t="s">
        <v>39</v>
      </c>
      <c r="C5" s="265" t="n">
        <f aca="false">'修正BS(借方)'!E47</f>
        <v>275896334</v>
      </c>
      <c r="E5" s="264" t="s">
        <v>60</v>
      </c>
      <c r="F5" s="265" t="n">
        <f aca="false">'修正BS(貸方) '!E19</f>
        <v>145980000</v>
      </c>
    </row>
    <row r="6" customFormat="false" ht="31.5" hidden="false" customHeight="true" outlineLevel="0" collapsed="false">
      <c r="B6" s="264" t="s">
        <v>44</v>
      </c>
      <c r="C6" s="265" t="n">
        <f aca="false">'修正BS(借方)'!E52</f>
        <v>43326766</v>
      </c>
      <c r="E6" s="264" t="s">
        <v>54</v>
      </c>
      <c r="F6" s="265" t="n">
        <f aca="false">'修正BS(貸方) '!E8</f>
        <v>2929500</v>
      </c>
    </row>
    <row r="7" customFormat="false" ht="31.5" hidden="false" customHeight="true" outlineLevel="0" collapsed="false">
      <c r="B7" s="264"/>
      <c r="C7" s="265"/>
      <c r="E7" s="264"/>
      <c r="F7" s="265"/>
    </row>
    <row r="8" customFormat="false" ht="31.5" hidden="false" customHeight="true" outlineLevel="0" collapsed="false">
      <c r="B8" s="264"/>
      <c r="C8" s="265"/>
      <c r="E8" s="264"/>
      <c r="F8" s="265"/>
    </row>
    <row r="9" customFormat="false" ht="31.5" hidden="false" customHeight="true" outlineLevel="0" collapsed="false">
      <c r="B9" s="264"/>
      <c r="C9" s="265"/>
      <c r="E9" s="264"/>
      <c r="F9" s="265"/>
    </row>
    <row r="10" customFormat="false" ht="31.5" hidden="false" customHeight="true" outlineLevel="0" collapsed="false">
      <c r="B10" s="266"/>
      <c r="C10" s="265"/>
      <c r="E10" s="264"/>
      <c r="F10" s="265"/>
    </row>
    <row r="11" customFormat="false" ht="31.5" hidden="false" customHeight="true" outlineLevel="0" collapsed="false">
      <c r="B11" s="264"/>
      <c r="C11" s="265"/>
      <c r="E11" s="264"/>
      <c r="F11" s="265"/>
    </row>
    <row r="12" customFormat="false" ht="31.5" hidden="false" customHeight="true" outlineLevel="0" collapsed="false">
      <c r="B12" s="266"/>
      <c r="C12" s="267"/>
      <c r="E12" s="266"/>
      <c r="F12" s="267"/>
    </row>
    <row r="13" customFormat="false" ht="31.5" hidden="false" customHeight="true" outlineLevel="0" collapsed="false">
      <c r="B13" s="186" t="s">
        <v>119</v>
      </c>
      <c r="C13" s="268" t="n">
        <f aca="false">SUM(C4:C12)</f>
        <v>512449590</v>
      </c>
      <c r="E13" s="186" t="s">
        <v>119</v>
      </c>
      <c r="F13" s="268" t="n">
        <f aca="false">SUM(F4:F12)</f>
        <v>190737500</v>
      </c>
    </row>
    <row r="14" customFormat="false" ht="18.75" hidden="false" customHeight="true" outlineLevel="0" collapsed="false"/>
    <row r="15" customFormat="false" ht="31.5" hidden="false" customHeight="true" outlineLevel="0" collapsed="false">
      <c r="B15" s="269" t="s">
        <v>257</v>
      </c>
      <c r="C15" s="270" t="n">
        <f aca="false">C13-F13</f>
        <v>321712090</v>
      </c>
      <c r="E15" s="269"/>
      <c r="F15" s="270"/>
    </row>
    <row r="17" customFormat="false" ht="18" hidden="false" customHeight="true" outlineLevel="0" collapsed="false">
      <c r="C17" s="2"/>
      <c r="F17"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1:S73"/>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17" min="3" style="19" width="15"/>
    <col collapsed="false" customWidth="true" hidden="false" outlineLevel="0" max="18" min="18" style="20" width="16.13"/>
    <col collapsed="false" customWidth="true" hidden="false" outlineLevel="0" max="19" min="19" style="20" width="8.75"/>
  </cols>
  <sheetData>
    <row r="1" customFormat="false" ht="18" hidden="false" customHeight="true" outlineLevel="0" collapsed="false">
      <c r="B1" s="19"/>
      <c r="C1" s="2"/>
      <c r="D1" s="2"/>
      <c r="E1" s="2"/>
      <c r="F1" s="2"/>
      <c r="G1" s="2"/>
      <c r="H1" s="2"/>
      <c r="I1" s="2"/>
      <c r="J1" s="2"/>
      <c r="K1" s="2"/>
      <c r="L1" s="2"/>
      <c r="M1" s="2"/>
      <c r="N1" s="2"/>
      <c r="O1" s="2"/>
      <c r="P1" s="2"/>
      <c r="Q1" s="2"/>
    </row>
    <row r="2" customFormat="false" ht="18.75" hidden="false" customHeight="true" outlineLevel="0" collapsed="false">
      <c r="B2" s="2"/>
      <c r="C2" s="46"/>
      <c r="D2" s="2"/>
      <c r="E2" s="2"/>
      <c r="F2" s="46"/>
      <c r="G2" s="2"/>
      <c r="H2" s="2"/>
      <c r="I2" s="46"/>
      <c r="J2" s="2"/>
      <c r="K2" s="47" t="s">
        <v>49</v>
      </c>
      <c r="L2" s="46"/>
      <c r="M2" s="2"/>
      <c r="N2" s="2"/>
      <c r="O2" s="46"/>
      <c r="P2" s="2"/>
      <c r="Q2" s="2"/>
      <c r="S2" s="47"/>
    </row>
    <row r="3" customFormat="false" ht="20.25" hidden="false" customHeight="true" outlineLevel="0" collapsed="false">
      <c r="B3" s="8" t="s">
        <v>6</v>
      </c>
      <c r="C3" s="79" t="str">
        <f aca="false">'BS(借方)'!C4</f>
        <v>24年1月期</v>
      </c>
      <c r="D3" s="79"/>
      <c r="E3" s="79"/>
      <c r="F3" s="79" t="str">
        <f aca="false">'BS(借方)'!D4</f>
        <v>25年1月期</v>
      </c>
      <c r="G3" s="79"/>
      <c r="H3" s="79"/>
      <c r="I3" s="79" t="str">
        <f aca="false">'BS(借方)'!E4</f>
        <v>26年1月期</v>
      </c>
      <c r="J3" s="79"/>
      <c r="K3" s="79"/>
      <c r="L3" s="79" t="str">
        <f aca="false">'BS(借方)'!F4</f>
        <v>●●年●月期</v>
      </c>
      <c r="M3" s="79"/>
      <c r="N3" s="79"/>
      <c r="O3" s="271" t="str">
        <f aca="false">'BS(借方)'!G4</f>
        <v>●●年●月
（●か月TB）</v>
      </c>
      <c r="P3" s="271"/>
      <c r="Q3" s="271"/>
    </row>
    <row r="4" customFormat="false" ht="19.5" hidden="false" customHeight="true" outlineLevel="0" collapsed="false">
      <c r="B4" s="8"/>
      <c r="C4" s="112" t="s">
        <v>72</v>
      </c>
      <c r="D4" s="272" t="s">
        <v>163</v>
      </c>
      <c r="E4" s="273" t="s">
        <v>164</v>
      </c>
      <c r="F4" s="274" t="s">
        <v>72</v>
      </c>
      <c r="G4" s="272" t="s">
        <v>163</v>
      </c>
      <c r="H4" s="273" t="s">
        <v>164</v>
      </c>
      <c r="I4" s="112" t="s">
        <v>72</v>
      </c>
      <c r="J4" s="272" t="s">
        <v>163</v>
      </c>
      <c r="K4" s="273" t="s">
        <v>164</v>
      </c>
      <c r="L4" s="112" t="s">
        <v>72</v>
      </c>
      <c r="M4" s="272" t="s">
        <v>163</v>
      </c>
      <c r="N4" s="273" t="s">
        <v>164</v>
      </c>
      <c r="O4" s="115" t="s">
        <v>72</v>
      </c>
      <c r="P4" s="115" t="s">
        <v>163</v>
      </c>
      <c r="Q4" s="273" t="s">
        <v>164</v>
      </c>
    </row>
    <row r="5" customFormat="false" ht="22.5" hidden="false" customHeight="true" outlineLevel="0" collapsed="false">
      <c r="B5" s="88" t="s">
        <v>74</v>
      </c>
      <c r="C5" s="35" t="n">
        <v>301575965</v>
      </c>
      <c r="D5" s="52"/>
      <c r="E5" s="18" t="n">
        <f aca="false">C5+D5</f>
        <v>301575965</v>
      </c>
      <c r="F5" s="35" t="n">
        <v>285379413</v>
      </c>
      <c r="G5" s="52"/>
      <c r="H5" s="18" t="n">
        <f aca="false">F5+G5</f>
        <v>285379413</v>
      </c>
      <c r="I5" s="35" t="n">
        <v>387747182</v>
      </c>
      <c r="J5" s="52"/>
      <c r="K5" s="18" t="n">
        <f aca="false">I5+J5</f>
        <v>387747182</v>
      </c>
      <c r="L5" s="35"/>
      <c r="M5" s="52"/>
      <c r="N5" s="18" t="n">
        <f aca="false">L5+M5</f>
        <v>0</v>
      </c>
      <c r="O5" s="35"/>
      <c r="P5" s="52"/>
      <c r="Q5" s="18" t="n">
        <f aca="false">O5+P5</f>
        <v>0</v>
      </c>
    </row>
    <row r="6" customFormat="false" ht="22.5" hidden="false" customHeight="true" outlineLevel="0" collapsed="false">
      <c r="B6" s="91" t="s">
        <v>75</v>
      </c>
      <c r="C6" s="35" t="n">
        <v>15179525</v>
      </c>
      <c r="D6" s="52"/>
      <c r="E6" s="18" t="n">
        <f aca="false">C6+D6</f>
        <v>15179525</v>
      </c>
      <c r="F6" s="35" t="n">
        <v>158488638</v>
      </c>
      <c r="G6" s="52"/>
      <c r="H6" s="18" t="n">
        <f aca="false">F6+G6</f>
        <v>158488638</v>
      </c>
      <c r="I6" s="35" t="n">
        <v>34727325</v>
      </c>
      <c r="J6" s="52"/>
      <c r="K6" s="18" t="n">
        <f aca="false">I6+J6</f>
        <v>34727325</v>
      </c>
      <c r="L6" s="35"/>
      <c r="M6" s="52"/>
      <c r="N6" s="18" t="n">
        <f aca="false">L6+M6</f>
        <v>0</v>
      </c>
      <c r="O6" s="35"/>
      <c r="P6" s="52"/>
      <c r="Q6" s="18" t="n">
        <f aca="false">O6+P6</f>
        <v>0</v>
      </c>
    </row>
    <row r="7" customFormat="false" ht="22.5" hidden="false" customHeight="true" outlineLevel="0" collapsed="false">
      <c r="B7" s="91"/>
      <c r="C7" s="35"/>
      <c r="D7" s="52"/>
      <c r="E7" s="18" t="n">
        <f aca="false">C7+D7</f>
        <v>0</v>
      </c>
      <c r="F7" s="35"/>
      <c r="G7" s="52"/>
      <c r="H7" s="18" t="n">
        <f aca="false">F7+G7</f>
        <v>0</v>
      </c>
      <c r="I7" s="35"/>
      <c r="J7" s="52"/>
      <c r="K7" s="18" t="n">
        <f aca="false">I7+J7</f>
        <v>0</v>
      </c>
      <c r="L7" s="35"/>
      <c r="M7" s="52"/>
      <c r="N7" s="18" t="n">
        <f aca="false">L7+M7</f>
        <v>0</v>
      </c>
      <c r="O7" s="35"/>
      <c r="P7" s="52"/>
      <c r="Q7" s="18" t="n">
        <f aca="false">O7+P7</f>
        <v>0</v>
      </c>
    </row>
    <row r="8" customFormat="false" ht="22.5" hidden="false" customHeight="true" outlineLevel="0" collapsed="false">
      <c r="B8" s="92"/>
      <c r="C8" s="37"/>
      <c r="D8" s="54"/>
      <c r="E8" s="168" t="n">
        <f aca="false">C8+D8</f>
        <v>0</v>
      </c>
      <c r="F8" s="37"/>
      <c r="G8" s="54"/>
      <c r="H8" s="168" t="n">
        <f aca="false">F8+G8</f>
        <v>0</v>
      </c>
      <c r="I8" s="37"/>
      <c r="J8" s="54"/>
      <c r="K8" s="168" t="n">
        <f aca="false">I8+J8</f>
        <v>0</v>
      </c>
      <c r="L8" s="37"/>
      <c r="M8" s="54"/>
      <c r="N8" s="168" t="n">
        <f aca="false">L8+M8</f>
        <v>0</v>
      </c>
      <c r="O8" s="37"/>
      <c r="P8" s="54"/>
      <c r="Q8" s="168" t="n">
        <f aca="false">O8+P8</f>
        <v>0</v>
      </c>
    </row>
    <row r="9" customFormat="false" ht="22.5" hidden="false" customHeight="true" outlineLevel="0" collapsed="false">
      <c r="B9" s="94" t="s">
        <v>74</v>
      </c>
      <c r="C9" s="95" t="n">
        <f aca="false">SUM(C5:C8)</f>
        <v>316755490</v>
      </c>
      <c r="D9" s="95" t="n">
        <f aca="false">SUM(D5:D8)</f>
        <v>0</v>
      </c>
      <c r="E9" s="15" t="n">
        <f aca="false">C9+D9</f>
        <v>316755490</v>
      </c>
      <c r="F9" s="95" t="n">
        <f aca="false">SUM(F5:F8)</f>
        <v>443868051</v>
      </c>
      <c r="G9" s="95" t="n">
        <f aca="false">SUM(G5:G8)</f>
        <v>0</v>
      </c>
      <c r="H9" s="15" t="n">
        <f aca="false">F9+G9</f>
        <v>443868051</v>
      </c>
      <c r="I9" s="95" t="n">
        <f aca="false">SUM(I5:I8)</f>
        <v>422474507</v>
      </c>
      <c r="J9" s="95" t="n">
        <f aca="false">SUM(J5:J8)</f>
        <v>0</v>
      </c>
      <c r="K9" s="15" t="n">
        <f aca="false">I9+J9</f>
        <v>422474507</v>
      </c>
      <c r="L9" s="95" t="n">
        <f aca="false">SUM(L5:L8)</f>
        <v>0</v>
      </c>
      <c r="M9" s="95" t="n">
        <f aca="false">SUM(M5:M8)</f>
        <v>0</v>
      </c>
      <c r="N9" s="15" t="n">
        <f aca="false">L9+M9</f>
        <v>0</v>
      </c>
      <c r="O9" s="95" t="n">
        <f aca="false">SUM(O5:O8)</f>
        <v>0</v>
      </c>
      <c r="P9" s="95" t="n">
        <f aca="false">SUM(P5:P8)</f>
        <v>0</v>
      </c>
      <c r="Q9" s="15" t="n">
        <f aca="false">O9+P9</f>
        <v>0</v>
      </c>
    </row>
    <row r="10" customFormat="false" ht="22.5" hidden="false" customHeight="true" outlineLevel="0" collapsed="false">
      <c r="B10" s="97" t="s">
        <v>76</v>
      </c>
      <c r="C10" s="35" t="n">
        <v>3024069</v>
      </c>
      <c r="D10" s="52"/>
      <c r="E10" s="18" t="n">
        <f aca="false">C10+D10</f>
        <v>3024069</v>
      </c>
      <c r="F10" s="35" t="n">
        <v>1426042</v>
      </c>
      <c r="G10" s="52"/>
      <c r="H10" s="18" t="n">
        <f aca="false">F10+G10</f>
        <v>1426042</v>
      </c>
      <c r="I10" s="35" t="n">
        <v>33344623</v>
      </c>
      <c r="J10" s="52"/>
      <c r="K10" s="18" t="n">
        <f aca="false">I10+J10</f>
        <v>33344623</v>
      </c>
      <c r="L10" s="35"/>
      <c r="M10" s="52"/>
      <c r="N10" s="18" t="n">
        <f aca="false">L10+M10</f>
        <v>0</v>
      </c>
      <c r="O10" s="35"/>
      <c r="P10" s="52"/>
      <c r="Q10" s="18" t="n">
        <f aca="false">O10+P10</f>
        <v>0</v>
      </c>
    </row>
    <row r="11" customFormat="false" ht="22.5" hidden="false" customHeight="true" outlineLevel="0" collapsed="false">
      <c r="B11" s="91" t="s">
        <v>77</v>
      </c>
      <c r="C11" s="35" t="n">
        <v>172656708</v>
      </c>
      <c r="D11" s="52"/>
      <c r="E11" s="18" t="n">
        <f aca="false">C11+D11</f>
        <v>172656708</v>
      </c>
      <c r="F11" s="35" t="n">
        <v>237257918</v>
      </c>
      <c r="G11" s="52"/>
      <c r="H11" s="18" t="n">
        <f aca="false">F11+G11</f>
        <v>237257918</v>
      </c>
      <c r="I11" s="35" t="n">
        <v>225575333</v>
      </c>
      <c r="J11" s="52"/>
      <c r="K11" s="18" t="n">
        <f aca="false">I11+J11</f>
        <v>225575333</v>
      </c>
      <c r="L11" s="35"/>
      <c r="M11" s="52"/>
      <c r="N11" s="18" t="n">
        <f aca="false">L11+M11</f>
        <v>0</v>
      </c>
      <c r="O11" s="35"/>
      <c r="P11" s="52"/>
      <c r="Q11" s="18" t="n">
        <f aca="false">O11+P11</f>
        <v>0</v>
      </c>
    </row>
    <row r="12" customFormat="false" ht="22.5" hidden="false" customHeight="true" outlineLevel="0" collapsed="false">
      <c r="B12" s="91" t="s">
        <v>78</v>
      </c>
      <c r="C12" s="35" t="n">
        <v>26573925</v>
      </c>
      <c r="D12" s="52"/>
      <c r="E12" s="18" t="n">
        <f aca="false">C12+D12</f>
        <v>26573925</v>
      </c>
      <c r="F12" s="35" t="n">
        <v>50722738</v>
      </c>
      <c r="G12" s="52"/>
      <c r="H12" s="18" t="n">
        <f aca="false">F12+G12</f>
        <v>50722738</v>
      </c>
      <c r="I12" s="35" t="n">
        <v>21094265</v>
      </c>
      <c r="J12" s="52"/>
      <c r="K12" s="18" t="n">
        <f aca="false">I12+J12</f>
        <v>21094265</v>
      </c>
      <c r="L12" s="35"/>
      <c r="M12" s="52"/>
      <c r="N12" s="18" t="n">
        <f aca="false">L12+M12</f>
        <v>0</v>
      </c>
      <c r="O12" s="35"/>
      <c r="P12" s="52"/>
      <c r="Q12" s="18" t="n">
        <f aca="false">O12+P12</f>
        <v>0</v>
      </c>
    </row>
    <row r="13" customFormat="false" ht="22.5" hidden="false" customHeight="true" outlineLevel="0" collapsed="false">
      <c r="B13" s="91" t="s">
        <v>79</v>
      </c>
      <c r="C13" s="35" t="n">
        <v>6307077</v>
      </c>
      <c r="D13" s="52"/>
      <c r="E13" s="18" t="n">
        <f aca="false">C13+D13</f>
        <v>6307077</v>
      </c>
      <c r="F13" s="35" t="n">
        <v>2327904</v>
      </c>
      <c r="G13" s="52"/>
      <c r="H13" s="18" t="n">
        <f aca="false">F13+G13</f>
        <v>2327904</v>
      </c>
      <c r="I13" s="35" t="n">
        <v>2831360</v>
      </c>
      <c r="J13" s="52"/>
      <c r="K13" s="18" t="n">
        <f aca="false">I13+J13</f>
        <v>2831360</v>
      </c>
      <c r="L13" s="35"/>
      <c r="M13" s="52"/>
      <c r="N13" s="18" t="n">
        <f aca="false">L13+M13</f>
        <v>0</v>
      </c>
      <c r="O13" s="35"/>
      <c r="P13" s="52"/>
      <c r="Q13" s="18" t="n">
        <f aca="false">O13+P13</f>
        <v>0</v>
      </c>
    </row>
    <row r="14" customFormat="false" ht="22.5" hidden="false" customHeight="true" outlineLevel="0" collapsed="false">
      <c r="B14" s="91" t="s">
        <v>80</v>
      </c>
      <c r="C14" s="35" t="n">
        <v>4487974</v>
      </c>
      <c r="D14" s="52"/>
      <c r="E14" s="18" t="n">
        <f aca="false">C14+D14</f>
        <v>4487974</v>
      </c>
      <c r="F14" s="35" t="n">
        <v>13796708</v>
      </c>
      <c r="G14" s="52"/>
      <c r="H14" s="18" t="n">
        <f aca="false">F14+G14</f>
        <v>13796708</v>
      </c>
      <c r="I14" s="35" t="n">
        <v>3637077</v>
      </c>
      <c r="J14" s="52"/>
      <c r="K14" s="18" t="n">
        <f aca="false">I14+J14</f>
        <v>3637077</v>
      </c>
      <c r="L14" s="35"/>
      <c r="M14" s="52"/>
      <c r="N14" s="18" t="n">
        <f aca="false">L14+M14</f>
        <v>0</v>
      </c>
      <c r="O14" s="35"/>
      <c r="P14" s="52"/>
      <c r="Q14" s="18" t="n">
        <f aca="false">O14+P14</f>
        <v>0</v>
      </c>
    </row>
    <row r="15" customFormat="false" ht="22.5" hidden="false" customHeight="true" outlineLevel="0" collapsed="false">
      <c r="B15" s="91" t="s">
        <v>81</v>
      </c>
      <c r="C15" s="35" t="n">
        <v>8299304</v>
      </c>
      <c r="D15" s="52"/>
      <c r="E15" s="18" t="n">
        <f aca="false">C15+D15</f>
        <v>8299304</v>
      </c>
      <c r="F15" s="35" t="n">
        <v>9972324</v>
      </c>
      <c r="G15" s="52"/>
      <c r="H15" s="18" t="n">
        <f aca="false">F15+G15</f>
        <v>9972324</v>
      </c>
      <c r="I15" s="35" t="n">
        <v>5262263</v>
      </c>
      <c r="J15" s="52"/>
      <c r="K15" s="18" t="n">
        <f aca="false">I15+J15</f>
        <v>5262263</v>
      </c>
      <c r="L15" s="35"/>
      <c r="M15" s="52"/>
      <c r="N15" s="18" t="n">
        <f aca="false">L15+M15</f>
        <v>0</v>
      </c>
      <c r="O15" s="35"/>
      <c r="P15" s="52"/>
      <c r="Q15" s="18" t="n">
        <f aca="false">O15+P15</f>
        <v>0</v>
      </c>
    </row>
    <row r="16" customFormat="false" ht="22.5" hidden="false" customHeight="true" outlineLevel="0" collapsed="false">
      <c r="B16" s="91" t="s">
        <v>82</v>
      </c>
      <c r="C16" s="35"/>
      <c r="D16" s="52"/>
      <c r="E16" s="18" t="n">
        <f aca="false">C16+D16</f>
        <v>0</v>
      </c>
      <c r="F16" s="35"/>
      <c r="G16" s="52"/>
      <c r="H16" s="18" t="n">
        <f aca="false">F16+G16</f>
        <v>0</v>
      </c>
      <c r="I16" s="35" t="n">
        <v>-100</v>
      </c>
      <c r="J16" s="52"/>
      <c r="K16" s="18" t="n">
        <f aca="false">I16+J16</f>
        <v>-100</v>
      </c>
      <c r="L16" s="35"/>
      <c r="M16" s="52"/>
      <c r="N16" s="18" t="n">
        <f aca="false">L16+M16</f>
        <v>0</v>
      </c>
      <c r="O16" s="35"/>
      <c r="P16" s="52"/>
      <c r="Q16" s="18" t="n">
        <f aca="false">O16+P16</f>
        <v>0</v>
      </c>
    </row>
    <row r="17" customFormat="false" ht="22.5" hidden="false" customHeight="true" outlineLevel="0" collapsed="false">
      <c r="B17" s="91" t="s">
        <v>83</v>
      </c>
      <c r="C17" s="35" t="n">
        <v>-6722798</v>
      </c>
      <c r="D17" s="52" t="n">
        <f aca="false">-C17</f>
        <v>6722798</v>
      </c>
      <c r="E17" s="18" t="n">
        <f aca="false">C17+D17</f>
        <v>0</v>
      </c>
      <c r="F17" s="35" t="n">
        <v>-17217311</v>
      </c>
      <c r="G17" s="52" t="n">
        <f aca="false">-F17</f>
        <v>17217311</v>
      </c>
      <c r="H17" s="18" t="n">
        <f aca="false">F17+G17</f>
        <v>0</v>
      </c>
      <c r="I17" s="35" t="n">
        <v>-19844732</v>
      </c>
      <c r="J17" s="52" t="n">
        <f aca="false">-I17</f>
        <v>19844732</v>
      </c>
      <c r="K17" s="18" t="n">
        <f aca="false">I17+J17</f>
        <v>0</v>
      </c>
      <c r="L17" s="35"/>
      <c r="M17" s="52"/>
      <c r="N17" s="18" t="n">
        <f aca="false">L17+M17</f>
        <v>0</v>
      </c>
      <c r="O17" s="35"/>
      <c r="P17" s="52"/>
      <c r="Q17" s="18" t="n">
        <f aca="false">O17+P17</f>
        <v>0</v>
      </c>
    </row>
    <row r="18" customFormat="false" ht="22.5" hidden="false" customHeight="true" outlineLevel="0" collapsed="false">
      <c r="B18" s="91" t="s">
        <v>84</v>
      </c>
      <c r="C18" s="35" t="n">
        <v>-1426042</v>
      </c>
      <c r="D18" s="52"/>
      <c r="E18" s="18" t="n">
        <f aca="false">C18+D18</f>
        <v>-1426042</v>
      </c>
      <c r="F18" s="35" t="n">
        <v>-33344623</v>
      </c>
      <c r="G18" s="52"/>
      <c r="H18" s="18" t="n">
        <f aca="false">F18+G18</f>
        <v>-33344623</v>
      </c>
      <c r="I18" s="35" t="n">
        <v>-228854</v>
      </c>
      <c r="J18" s="52"/>
      <c r="K18" s="18" t="n">
        <f aca="false">I18+J18</f>
        <v>-228854</v>
      </c>
      <c r="L18" s="35"/>
      <c r="M18" s="52"/>
      <c r="N18" s="18" t="n">
        <f aca="false">L18+M18</f>
        <v>0</v>
      </c>
      <c r="O18" s="35"/>
      <c r="P18" s="52"/>
      <c r="Q18" s="18" t="n">
        <f aca="false">O18+P18</f>
        <v>0</v>
      </c>
    </row>
    <row r="19" customFormat="false" ht="22.5" hidden="false" customHeight="true" outlineLevel="0" collapsed="false">
      <c r="B19" s="98" t="s">
        <v>85</v>
      </c>
      <c r="C19" s="99" t="n">
        <f aca="false">SUM(C10:C18)</f>
        <v>213200217</v>
      </c>
      <c r="D19" s="99" t="n">
        <f aca="false">SUM(D10:D18)</f>
        <v>6722798</v>
      </c>
      <c r="E19" s="275" t="n">
        <f aca="false">C19+D19</f>
        <v>219923015</v>
      </c>
      <c r="F19" s="99" t="n">
        <f aca="false">SUM(F10:F18)</f>
        <v>264941700</v>
      </c>
      <c r="G19" s="99" t="n">
        <f aca="false">SUM(G10:G18)</f>
        <v>17217311</v>
      </c>
      <c r="H19" s="275" t="n">
        <f aca="false">F19+G19</f>
        <v>282159011</v>
      </c>
      <c r="I19" s="99" t="n">
        <f aca="false">SUM(I10:I18)</f>
        <v>271671235</v>
      </c>
      <c r="J19" s="99" t="n">
        <f aca="false">SUM(J10:J18)</f>
        <v>19844732</v>
      </c>
      <c r="K19" s="275" t="n">
        <f aca="false">I19+J19</f>
        <v>291515967</v>
      </c>
      <c r="L19" s="99" t="n">
        <f aca="false">SUM(L10:L18)</f>
        <v>0</v>
      </c>
      <c r="M19" s="99" t="n">
        <f aca="false">SUM(M10:M18)</f>
        <v>0</v>
      </c>
      <c r="N19" s="275" t="n">
        <f aca="false">L19+M19</f>
        <v>0</v>
      </c>
      <c r="O19" s="99" t="n">
        <f aca="false">SUM(O10:O18)</f>
        <v>0</v>
      </c>
      <c r="P19" s="99" t="n">
        <f aca="false">SUM(P10:P18)</f>
        <v>0</v>
      </c>
      <c r="Q19" s="275" t="n">
        <f aca="false">O19+P19</f>
        <v>0</v>
      </c>
    </row>
    <row r="20" customFormat="false" ht="22.5" hidden="false" customHeight="true" outlineLevel="0" collapsed="false">
      <c r="B20" s="94" t="s">
        <v>86</v>
      </c>
      <c r="C20" s="95" t="n">
        <f aca="false">C9-C19</f>
        <v>103555273</v>
      </c>
      <c r="D20" s="95" t="n">
        <f aca="false">D9-D19</f>
        <v>-6722798</v>
      </c>
      <c r="E20" s="15" t="n">
        <f aca="false">C20+D20</f>
        <v>96832475</v>
      </c>
      <c r="F20" s="95" t="n">
        <f aca="false">F9-F19</f>
        <v>178926351</v>
      </c>
      <c r="G20" s="95" t="n">
        <f aca="false">G9-G19</f>
        <v>-17217311</v>
      </c>
      <c r="H20" s="15" t="n">
        <f aca="false">F20+G20</f>
        <v>161709040</v>
      </c>
      <c r="I20" s="95" t="n">
        <f aca="false">I9-I19</f>
        <v>150803272</v>
      </c>
      <c r="J20" s="95" t="n">
        <f aca="false">J9-J19</f>
        <v>-19844732</v>
      </c>
      <c r="K20" s="15" t="n">
        <f aca="false">I20+J20</f>
        <v>130958540</v>
      </c>
      <c r="L20" s="95" t="n">
        <f aca="false">L9-L19</f>
        <v>0</v>
      </c>
      <c r="M20" s="95" t="n">
        <f aca="false">M9-M19</f>
        <v>0</v>
      </c>
      <c r="N20" s="15" t="n">
        <f aca="false">L20+M20</f>
        <v>0</v>
      </c>
      <c r="O20" s="95" t="n">
        <f aca="false">O9-O19</f>
        <v>0</v>
      </c>
      <c r="P20" s="95" t="n">
        <f aca="false">P9-P19</f>
        <v>0</v>
      </c>
      <c r="Q20" s="15" t="n">
        <f aca="false">O20+P20</f>
        <v>0</v>
      </c>
    </row>
    <row r="21" customFormat="false" ht="22.5" hidden="false" customHeight="true" outlineLevel="0" collapsed="false">
      <c r="B21" s="98" t="s">
        <v>87</v>
      </c>
      <c r="C21" s="101" t="n">
        <f aca="false">修正SGA!C39</f>
        <v>97395979</v>
      </c>
      <c r="D21" s="276" t="n">
        <f aca="false">修正SGA!D39</f>
        <v>-9022600</v>
      </c>
      <c r="E21" s="277" t="n">
        <f aca="false">C21+D21</f>
        <v>88373379</v>
      </c>
      <c r="F21" s="101" t="n">
        <f aca="false">修正SGA!F39</f>
        <v>100735586</v>
      </c>
      <c r="G21" s="276" t="n">
        <f aca="false">修正SGA!G39</f>
        <v>-10915600</v>
      </c>
      <c r="H21" s="277" t="n">
        <f aca="false">F21+G21</f>
        <v>89819986</v>
      </c>
      <c r="I21" s="101" t="n">
        <f aca="false">修正SGA!I39</f>
        <v>92289462</v>
      </c>
      <c r="J21" s="276" t="n">
        <f aca="false">修正SGA!J39</f>
        <v>-14159100</v>
      </c>
      <c r="K21" s="277" t="n">
        <f aca="false">I21+J21</f>
        <v>78130362</v>
      </c>
      <c r="L21" s="101"/>
      <c r="M21" s="276"/>
      <c r="N21" s="277" t="n">
        <f aca="false">L21+M21</f>
        <v>0</v>
      </c>
      <c r="O21" s="101"/>
      <c r="P21" s="276"/>
      <c r="Q21" s="277" t="n">
        <f aca="false">O21+P21</f>
        <v>0</v>
      </c>
    </row>
    <row r="22" customFormat="false" ht="22.5" hidden="false" customHeight="true" outlineLevel="0" collapsed="false">
      <c r="B22" s="94" t="s">
        <v>88</v>
      </c>
      <c r="C22" s="95" t="n">
        <f aca="false">C20- C21</f>
        <v>6159294</v>
      </c>
      <c r="D22" s="95" t="n">
        <f aca="false">D20- D21</f>
        <v>2299802</v>
      </c>
      <c r="E22" s="15" t="n">
        <f aca="false">C22+D22</f>
        <v>8459096</v>
      </c>
      <c r="F22" s="95" t="n">
        <f aca="false">F20- F21</f>
        <v>78190765</v>
      </c>
      <c r="G22" s="95" t="n">
        <f aca="false">G20- G21</f>
        <v>-6301711</v>
      </c>
      <c r="H22" s="15" t="n">
        <f aca="false">F22+G22</f>
        <v>71889054</v>
      </c>
      <c r="I22" s="95" t="n">
        <f aca="false">I20- I21</f>
        <v>58513810</v>
      </c>
      <c r="J22" s="95" t="n">
        <f aca="false">J20- J21</f>
        <v>-5685632</v>
      </c>
      <c r="K22" s="15" t="n">
        <f aca="false">I22+J22</f>
        <v>52828178</v>
      </c>
      <c r="L22" s="95" t="n">
        <f aca="false">L20- L21</f>
        <v>0</v>
      </c>
      <c r="M22" s="95" t="n">
        <f aca="false">M20- M21</f>
        <v>0</v>
      </c>
      <c r="N22" s="15" t="n">
        <f aca="false">L22+M22</f>
        <v>0</v>
      </c>
      <c r="O22" s="95" t="n">
        <f aca="false">O20- O21</f>
        <v>0</v>
      </c>
      <c r="P22" s="95" t="n">
        <f aca="false">P20- P21</f>
        <v>0</v>
      </c>
      <c r="Q22" s="15" t="n">
        <f aca="false">O22+P22</f>
        <v>0</v>
      </c>
    </row>
    <row r="23" customFormat="false" ht="22.5" hidden="false" customHeight="true" outlineLevel="0" collapsed="false">
      <c r="B23" s="98" t="s">
        <v>89</v>
      </c>
      <c r="C23" s="101" t="n">
        <f aca="false">SUM(C24:C29)</f>
        <v>1358290</v>
      </c>
      <c r="D23" s="101" t="n">
        <f aca="false">SUM(D24:D29)</f>
        <v>-1358290</v>
      </c>
      <c r="E23" s="277" t="n">
        <f aca="false">C23+D23</f>
        <v>0</v>
      </c>
      <c r="F23" s="101" t="n">
        <f aca="false">SUM(F24:F29)</f>
        <v>13984344</v>
      </c>
      <c r="G23" s="101" t="n">
        <f aca="false">SUM(G24:G29)</f>
        <v>-13984344</v>
      </c>
      <c r="H23" s="277" t="n">
        <f aca="false">F23+G23</f>
        <v>0</v>
      </c>
      <c r="I23" s="101" t="n">
        <f aca="false">SUM(I24:I29)</f>
        <v>8626001</v>
      </c>
      <c r="J23" s="101" t="n">
        <f aca="false">SUM(J24:J29)</f>
        <v>-8626001</v>
      </c>
      <c r="K23" s="277" t="n">
        <f aca="false">I23+J23</f>
        <v>0</v>
      </c>
      <c r="L23" s="101" t="n">
        <f aca="false">SUM(L24:L29)</f>
        <v>0</v>
      </c>
      <c r="M23" s="101" t="n">
        <f aca="false">SUM(M24:M29)</f>
        <v>0</v>
      </c>
      <c r="N23" s="277" t="n">
        <f aca="false">L23+M23</f>
        <v>0</v>
      </c>
      <c r="O23" s="101" t="n">
        <f aca="false">SUM(O24:O29)</f>
        <v>0</v>
      </c>
      <c r="P23" s="101" t="n">
        <f aca="false">SUM(P24:P29)</f>
        <v>0</v>
      </c>
      <c r="Q23" s="277" t="n">
        <f aca="false">O23+P23</f>
        <v>0</v>
      </c>
    </row>
    <row r="24" customFormat="false" ht="22.5" hidden="false" customHeight="true" outlineLevel="0" collapsed="false">
      <c r="B24" s="103" t="s">
        <v>90</v>
      </c>
      <c r="C24" s="35" t="n">
        <v>101059</v>
      </c>
      <c r="D24" s="52" t="n">
        <f aca="false">-C24</f>
        <v>-101059</v>
      </c>
      <c r="E24" s="18" t="n">
        <f aca="false">C24+D24</f>
        <v>0</v>
      </c>
      <c r="F24" s="35" t="n">
        <v>1035013</v>
      </c>
      <c r="G24" s="52" t="n">
        <f aca="false">-F24</f>
        <v>-1035013</v>
      </c>
      <c r="H24" s="18" t="n">
        <f aca="false">F24+G24</f>
        <v>0</v>
      </c>
      <c r="I24" s="35" t="n">
        <v>326339</v>
      </c>
      <c r="J24" s="52" t="n">
        <f aca="false">-I24</f>
        <v>-326339</v>
      </c>
      <c r="K24" s="18" t="n">
        <f aca="false">I24+J24</f>
        <v>0</v>
      </c>
      <c r="L24" s="35"/>
      <c r="M24" s="52"/>
      <c r="N24" s="18" t="n">
        <f aca="false">L24+M24</f>
        <v>0</v>
      </c>
      <c r="O24" s="35"/>
      <c r="P24" s="52"/>
      <c r="Q24" s="18" t="n">
        <f aca="false">O24+P24</f>
        <v>0</v>
      </c>
    </row>
    <row r="25" customFormat="false" ht="22.5" hidden="false" customHeight="true" outlineLevel="0" collapsed="false">
      <c r="B25" s="104" t="s">
        <v>91</v>
      </c>
      <c r="C25" s="35" t="n">
        <v>712050</v>
      </c>
      <c r="D25" s="52" t="n">
        <f aca="false">-C25</f>
        <v>-712050</v>
      </c>
      <c r="E25" s="18" t="n">
        <f aca="false">C25+D25</f>
        <v>0</v>
      </c>
      <c r="F25" s="35" t="n">
        <v>7151912</v>
      </c>
      <c r="G25" s="52" t="n">
        <f aca="false">-F25</f>
        <v>-7151912</v>
      </c>
      <c r="H25" s="18" t="n">
        <f aca="false">F25+G25</f>
        <v>0</v>
      </c>
      <c r="I25" s="35" t="n">
        <v>7555640</v>
      </c>
      <c r="J25" s="52" t="n">
        <f aca="false">-I25</f>
        <v>-7555640</v>
      </c>
      <c r="K25" s="18" t="n">
        <f aca="false">I25+J25</f>
        <v>0</v>
      </c>
      <c r="L25" s="35"/>
      <c r="M25" s="52"/>
      <c r="N25" s="18" t="n">
        <f aca="false">L25+M25</f>
        <v>0</v>
      </c>
      <c r="O25" s="35"/>
      <c r="P25" s="52"/>
      <c r="Q25" s="18" t="n">
        <f aca="false">O25+P25</f>
        <v>0</v>
      </c>
    </row>
    <row r="26" customFormat="false" ht="22.5" hidden="false" customHeight="true" outlineLevel="0" collapsed="false">
      <c r="B26" s="104" t="s">
        <v>92</v>
      </c>
      <c r="C26" s="35" t="n">
        <v>534000</v>
      </c>
      <c r="D26" s="52" t="n">
        <f aca="false">-C26</f>
        <v>-534000</v>
      </c>
      <c r="E26" s="18" t="n">
        <f aca="false">C26+D26</f>
        <v>0</v>
      </c>
      <c r="F26" s="35" t="n">
        <v>803000</v>
      </c>
      <c r="G26" s="52" t="n">
        <f aca="false">-F26</f>
        <v>-803000</v>
      </c>
      <c r="H26" s="18" t="n">
        <f aca="false">F26+G26</f>
        <v>0</v>
      </c>
      <c r="I26" s="35" t="n">
        <v>246000</v>
      </c>
      <c r="J26" s="52" t="n">
        <f aca="false">-I26</f>
        <v>-246000</v>
      </c>
      <c r="K26" s="18" t="n">
        <f aca="false">I26+J26</f>
        <v>0</v>
      </c>
      <c r="L26" s="35"/>
      <c r="M26" s="52"/>
      <c r="N26" s="18" t="n">
        <f aca="false">L26+M26</f>
        <v>0</v>
      </c>
      <c r="O26" s="35"/>
      <c r="P26" s="52"/>
      <c r="Q26" s="18" t="n">
        <f aca="false">O26+P26</f>
        <v>0</v>
      </c>
    </row>
    <row r="27" customFormat="false" ht="22.5" hidden="false" customHeight="true" outlineLevel="0" collapsed="false">
      <c r="B27" s="104" t="s">
        <v>93</v>
      </c>
      <c r="C27" s="35" t="n">
        <v>2197</v>
      </c>
      <c r="D27" s="52" t="n">
        <f aca="false">-C27</f>
        <v>-2197</v>
      </c>
      <c r="E27" s="18" t="n">
        <f aca="false">C27+D27</f>
        <v>0</v>
      </c>
      <c r="F27" s="35" t="n">
        <v>2195483</v>
      </c>
      <c r="G27" s="52" t="n">
        <f aca="false">-F27</f>
        <v>-2195483</v>
      </c>
      <c r="H27" s="18" t="n">
        <f aca="false">F27+G27</f>
        <v>0</v>
      </c>
      <c r="I27" s="35" t="n">
        <v>216735</v>
      </c>
      <c r="J27" s="52" t="n">
        <f aca="false">-I27</f>
        <v>-216735</v>
      </c>
      <c r="K27" s="18" t="n">
        <f aca="false">I27+J27</f>
        <v>0</v>
      </c>
      <c r="L27" s="35"/>
      <c r="M27" s="52"/>
      <c r="N27" s="18" t="n">
        <f aca="false">L27+M27</f>
        <v>0</v>
      </c>
      <c r="O27" s="35"/>
      <c r="P27" s="52"/>
      <c r="Q27" s="18" t="n">
        <f aca="false">O27+P27</f>
        <v>0</v>
      </c>
    </row>
    <row r="28" customFormat="false" ht="22.5" hidden="false" customHeight="true" outlineLevel="0" collapsed="false">
      <c r="B28" s="104" t="s">
        <v>94</v>
      </c>
      <c r="C28" s="35"/>
      <c r="D28" s="52" t="n">
        <f aca="false">-C28</f>
        <v>-0</v>
      </c>
      <c r="E28" s="18" t="n">
        <f aca="false">C28+D28</f>
        <v>0</v>
      </c>
      <c r="F28" s="35"/>
      <c r="G28" s="52" t="n">
        <f aca="false">-F28</f>
        <v>-0</v>
      </c>
      <c r="H28" s="18" t="n">
        <f aca="false">F28+G28</f>
        <v>0</v>
      </c>
      <c r="I28" s="35" t="n">
        <v>10455</v>
      </c>
      <c r="J28" s="52" t="n">
        <f aca="false">-I28</f>
        <v>-10455</v>
      </c>
      <c r="K28" s="18" t="n">
        <f aca="false">I28+J28</f>
        <v>0</v>
      </c>
      <c r="L28" s="35"/>
      <c r="M28" s="52"/>
      <c r="N28" s="18" t="n">
        <f aca="false">L28+M28</f>
        <v>0</v>
      </c>
      <c r="O28" s="35"/>
      <c r="P28" s="52"/>
      <c r="Q28" s="18" t="n">
        <f aca="false">O28+P28</f>
        <v>0</v>
      </c>
    </row>
    <row r="29" customFormat="false" ht="22.5" hidden="false" customHeight="true" outlineLevel="0" collapsed="false">
      <c r="B29" s="278" t="s">
        <v>95</v>
      </c>
      <c r="C29" s="37" t="n">
        <v>8984</v>
      </c>
      <c r="D29" s="54" t="n">
        <f aca="false">-C29</f>
        <v>-8984</v>
      </c>
      <c r="E29" s="168" t="n">
        <f aca="false">C29+D29</f>
        <v>0</v>
      </c>
      <c r="F29" s="37" t="n">
        <v>2798936</v>
      </c>
      <c r="G29" s="54" t="n">
        <f aca="false">-F29</f>
        <v>-2798936</v>
      </c>
      <c r="H29" s="168" t="n">
        <f aca="false">F29+G29</f>
        <v>0</v>
      </c>
      <c r="I29" s="37" t="n">
        <v>270832</v>
      </c>
      <c r="J29" s="54" t="n">
        <f aca="false">-I29</f>
        <v>-270832</v>
      </c>
      <c r="K29" s="168" t="n">
        <f aca="false">I29+J29</f>
        <v>0</v>
      </c>
      <c r="L29" s="37"/>
      <c r="M29" s="54"/>
      <c r="N29" s="168" t="n">
        <f aca="false">L29+M29</f>
        <v>0</v>
      </c>
      <c r="O29" s="37"/>
      <c r="P29" s="54"/>
      <c r="Q29" s="168" t="n">
        <f aca="false">O29+P29</f>
        <v>0</v>
      </c>
    </row>
    <row r="30" customFormat="false" ht="22.5" hidden="false" customHeight="true" outlineLevel="0" collapsed="false">
      <c r="B30" s="98" t="s">
        <v>96</v>
      </c>
      <c r="C30" s="101" t="n">
        <f aca="false">SUM(C31:C35)</f>
        <v>852015</v>
      </c>
      <c r="D30" s="101" t="n">
        <f aca="false">SUM(D31:D35)</f>
        <v>-852015</v>
      </c>
      <c r="E30" s="277" t="n">
        <f aca="false">C30+D30</f>
        <v>0</v>
      </c>
      <c r="F30" s="101" t="n">
        <f aca="false">SUM(F31:F35)</f>
        <v>2246448</v>
      </c>
      <c r="G30" s="101" t="n">
        <f aca="false">SUM(G31:G35)</f>
        <v>-2246448</v>
      </c>
      <c r="H30" s="277" t="n">
        <f aca="false">F30+G30</f>
        <v>0</v>
      </c>
      <c r="I30" s="101" t="n">
        <f aca="false">SUM(I31:I35)</f>
        <v>2196742</v>
      </c>
      <c r="J30" s="101" t="n">
        <f aca="false">SUM(J31:J35)</f>
        <v>-2196742</v>
      </c>
      <c r="K30" s="277" t="n">
        <f aca="false">I30+J30</f>
        <v>0</v>
      </c>
      <c r="L30" s="101" t="n">
        <f aca="false">SUM(L31:L35)</f>
        <v>0</v>
      </c>
      <c r="M30" s="101" t="n">
        <f aca="false">SUM(M31:M35)</f>
        <v>0</v>
      </c>
      <c r="N30" s="277" t="n">
        <f aca="false">L30+M30</f>
        <v>0</v>
      </c>
      <c r="O30" s="101" t="n">
        <f aca="false">SUM(O31:O35)</f>
        <v>0</v>
      </c>
      <c r="P30" s="101" t="n">
        <f aca="false">SUM(P31:P35)</f>
        <v>0</v>
      </c>
      <c r="Q30" s="277" t="n">
        <f aca="false">O30+P30</f>
        <v>0</v>
      </c>
    </row>
    <row r="31" customFormat="false" ht="22.5" hidden="false" customHeight="true" outlineLevel="0" collapsed="false">
      <c r="B31" s="103" t="s">
        <v>97</v>
      </c>
      <c r="C31" s="35" t="n">
        <v>852015</v>
      </c>
      <c r="D31" s="52" t="n">
        <f aca="false">-C31</f>
        <v>-852015</v>
      </c>
      <c r="E31" s="18" t="n">
        <f aca="false">C31+D31</f>
        <v>0</v>
      </c>
      <c r="F31" s="35" t="n">
        <v>1716559</v>
      </c>
      <c r="G31" s="52" t="n">
        <f aca="false">-F31</f>
        <v>-1716559</v>
      </c>
      <c r="H31" s="18" t="n">
        <f aca="false">F31+G31</f>
        <v>0</v>
      </c>
      <c r="I31" s="35" t="n">
        <v>2196742</v>
      </c>
      <c r="J31" s="52" t="n">
        <f aca="false">-I31</f>
        <v>-2196742</v>
      </c>
      <c r="K31" s="18" t="n">
        <f aca="false">I31+J31</f>
        <v>0</v>
      </c>
      <c r="L31" s="35"/>
      <c r="M31" s="52"/>
      <c r="N31" s="18" t="n">
        <f aca="false">L31+M31</f>
        <v>0</v>
      </c>
      <c r="O31" s="35"/>
      <c r="P31" s="52"/>
      <c r="Q31" s="18" t="n">
        <f aca="false">O31+P31</f>
        <v>0</v>
      </c>
    </row>
    <row r="32" customFormat="false" ht="22.5" hidden="false" customHeight="true" outlineLevel="0" collapsed="false">
      <c r="B32" s="104" t="s">
        <v>98</v>
      </c>
      <c r="C32" s="35"/>
      <c r="D32" s="52" t="n">
        <f aca="false">-C32</f>
        <v>-0</v>
      </c>
      <c r="E32" s="18" t="n">
        <f aca="false">C32+D32</f>
        <v>0</v>
      </c>
      <c r="F32" s="35" t="n">
        <v>529889</v>
      </c>
      <c r="G32" s="52" t="n">
        <f aca="false">-F32</f>
        <v>-529889</v>
      </c>
      <c r="H32" s="18" t="n">
        <f aca="false">F32+G32</f>
        <v>0</v>
      </c>
      <c r="I32" s="35"/>
      <c r="J32" s="52" t="n">
        <f aca="false">-I32</f>
        <v>-0</v>
      </c>
      <c r="K32" s="18" t="n">
        <f aca="false">I32+J32</f>
        <v>0</v>
      </c>
      <c r="L32" s="35"/>
      <c r="M32" s="52"/>
      <c r="N32" s="18" t="n">
        <f aca="false">L32+M32</f>
        <v>0</v>
      </c>
      <c r="O32" s="35"/>
      <c r="P32" s="52"/>
      <c r="Q32" s="18" t="n">
        <f aca="false">O32+P32</f>
        <v>0</v>
      </c>
    </row>
    <row r="33" customFormat="false" ht="22.5" hidden="false" customHeight="true" outlineLevel="0" collapsed="false">
      <c r="B33" s="104"/>
      <c r="C33" s="35"/>
      <c r="D33" s="52"/>
      <c r="E33" s="18" t="n">
        <f aca="false">C33+D33</f>
        <v>0</v>
      </c>
      <c r="F33" s="35"/>
      <c r="G33" s="52"/>
      <c r="H33" s="18" t="n">
        <f aca="false">F33+G33</f>
        <v>0</v>
      </c>
      <c r="I33" s="35"/>
      <c r="J33" s="52"/>
      <c r="K33" s="18" t="n">
        <f aca="false">I33+J33</f>
        <v>0</v>
      </c>
      <c r="L33" s="35"/>
      <c r="M33" s="52"/>
      <c r="N33" s="18" t="n">
        <f aca="false">L33+M33</f>
        <v>0</v>
      </c>
      <c r="O33" s="35"/>
      <c r="P33" s="52"/>
      <c r="Q33" s="18" t="n">
        <f aca="false">O33+P33</f>
        <v>0</v>
      </c>
    </row>
    <row r="34" customFormat="false" ht="22.5" hidden="false" customHeight="true" outlineLevel="0" collapsed="false">
      <c r="B34" s="104"/>
      <c r="C34" s="35"/>
      <c r="D34" s="52"/>
      <c r="E34" s="18" t="n">
        <f aca="false">C34+D34</f>
        <v>0</v>
      </c>
      <c r="F34" s="35"/>
      <c r="G34" s="52"/>
      <c r="H34" s="18" t="n">
        <f aca="false">F34+G34</f>
        <v>0</v>
      </c>
      <c r="I34" s="35"/>
      <c r="J34" s="52"/>
      <c r="K34" s="18" t="n">
        <f aca="false">I34+J34</f>
        <v>0</v>
      </c>
      <c r="L34" s="35"/>
      <c r="M34" s="52"/>
      <c r="N34" s="18" t="n">
        <f aca="false">L34+M34</f>
        <v>0</v>
      </c>
      <c r="O34" s="35"/>
      <c r="P34" s="52"/>
      <c r="Q34" s="18" t="n">
        <f aca="false">O34+P34</f>
        <v>0</v>
      </c>
    </row>
    <row r="35" customFormat="false" ht="22.5" hidden="false" customHeight="true" outlineLevel="0" collapsed="false">
      <c r="B35" s="278"/>
      <c r="C35" s="37"/>
      <c r="D35" s="54"/>
      <c r="E35" s="168" t="n">
        <f aca="false">C35+D35</f>
        <v>0</v>
      </c>
      <c r="F35" s="37"/>
      <c r="G35" s="54"/>
      <c r="H35" s="168" t="n">
        <f aca="false">F35+G35</f>
        <v>0</v>
      </c>
      <c r="I35" s="37"/>
      <c r="J35" s="54"/>
      <c r="K35" s="168" t="n">
        <f aca="false">I35+J35</f>
        <v>0</v>
      </c>
      <c r="L35" s="37"/>
      <c r="M35" s="54"/>
      <c r="N35" s="168" t="n">
        <f aca="false">L35+M35</f>
        <v>0</v>
      </c>
      <c r="O35" s="37"/>
      <c r="P35" s="54"/>
      <c r="Q35" s="168" t="n">
        <f aca="false">O35+P35</f>
        <v>0</v>
      </c>
    </row>
    <row r="36" customFormat="false" ht="22.5" hidden="false" customHeight="true" outlineLevel="0" collapsed="false">
      <c r="B36" s="94" t="s">
        <v>99</v>
      </c>
      <c r="C36" s="95" t="n">
        <f aca="false">C22+C23-C30</f>
        <v>6665569</v>
      </c>
      <c r="D36" s="95" t="n">
        <f aca="false">D22+D23-D30</f>
        <v>1793527</v>
      </c>
      <c r="E36" s="15" t="n">
        <f aca="false">C36+D36</f>
        <v>8459096</v>
      </c>
      <c r="F36" s="95" t="n">
        <f aca="false">F22+F23-F30</f>
        <v>89928661</v>
      </c>
      <c r="G36" s="95" t="n">
        <f aca="false">G22+G23-G30</f>
        <v>-18039607</v>
      </c>
      <c r="H36" s="15" t="n">
        <f aca="false">F36+G36</f>
        <v>71889054</v>
      </c>
      <c r="I36" s="95" t="n">
        <f aca="false">I22+I23-I30</f>
        <v>64943069</v>
      </c>
      <c r="J36" s="95" t="n">
        <f aca="false">J22+J23-J30</f>
        <v>-12114891</v>
      </c>
      <c r="K36" s="15" t="n">
        <f aca="false">I36+J36</f>
        <v>52828178</v>
      </c>
      <c r="L36" s="95" t="n">
        <f aca="false">L22+L23-L30</f>
        <v>0</v>
      </c>
      <c r="M36" s="95" t="n">
        <f aca="false">M22+M23-M30</f>
        <v>0</v>
      </c>
      <c r="N36" s="15" t="n">
        <f aca="false">L36+M36</f>
        <v>0</v>
      </c>
      <c r="O36" s="95" t="n">
        <f aca="false">O22+O23-O30</f>
        <v>0</v>
      </c>
      <c r="P36" s="95" t="n">
        <f aca="false">P22+P23-P30</f>
        <v>0</v>
      </c>
      <c r="Q36" s="15" t="n">
        <f aca="false">O36+P36</f>
        <v>0</v>
      </c>
    </row>
    <row r="37" customFormat="false" ht="22.5" hidden="false" customHeight="true" outlineLevel="0" collapsed="false">
      <c r="B37" s="98" t="s">
        <v>100</v>
      </c>
      <c r="C37" s="99" t="n">
        <f aca="false">SUM(C38:C41)</f>
        <v>0</v>
      </c>
      <c r="D37" s="99" t="n">
        <f aca="false">SUM(D38:D41)</f>
        <v>0</v>
      </c>
      <c r="E37" s="275" t="n">
        <f aca="false">C37+D37</f>
        <v>0</v>
      </c>
      <c r="F37" s="99" t="n">
        <f aca="false">SUM(F38:F41)</f>
        <v>21984310</v>
      </c>
      <c r="G37" s="99" t="n">
        <f aca="false">SUM(G38:G41)</f>
        <v>-21984310</v>
      </c>
      <c r="H37" s="275" t="n">
        <f aca="false">F37+G37</f>
        <v>0</v>
      </c>
      <c r="I37" s="99" t="n">
        <f aca="false">SUM(I38:I41)</f>
        <v>12486495</v>
      </c>
      <c r="J37" s="99" t="n">
        <f aca="false">SUM(J38:J41)</f>
        <v>-12486495</v>
      </c>
      <c r="K37" s="275" t="n">
        <f aca="false">I37+J37</f>
        <v>0</v>
      </c>
      <c r="L37" s="99" t="n">
        <f aca="false">SUM(L38:L41)</f>
        <v>0</v>
      </c>
      <c r="M37" s="99" t="n">
        <f aca="false">SUM(M38:M41)</f>
        <v>0</v>
      </c>
      <c r="N37" s="275" t="n">
        <f aca="false">L37+M37</f>
        <v>0</v>
      </c>
      <c r="O37" s="99" t="n">
        <f aca="false">SUM(O38:O41)</f>
        <v>0</v>
      </c>
      <c r="P37" s="99" t="n">
        <f aca="false">SUM(P38:P41)</f>
        <v>0</v>
      </c>
      <c r="Q37" s="275" t="n">
        <f aca="false">O37+P37</f>
        <v>0</v>
      </c>
    </row>
    <row r="38" customFormat="false" ht="22.5" hidden="false" customHeight="true" outlineLevel="0" collapsed="false">
      <c r="B38" s="104" t="s">
        <v>101</v>
      </c>
      <c r="C38" s="35"/>
      <c r="D38" s="52" t="n">
        <f aca="false">-C38</f>
        <v>-0</v>
      </c>
      <c r="E38" s="18" t="n">
        <f aca="false">C38+D38</f>
        <v>0</v>
      </c>
      <c r="F38" s="35" t="n">
        <v>21984310</v>
      </c>
      <c r="G38" s="52" t="n">
        <f aca="false">-F38</f>
        <v>-21984310</v>
      </c>
      <c r="H38" s="18" t="n">
        <f aca="false">F38+G38</f>
        <v>0</v>
      </c>
      <c r="I38" s="35" t="n">
        <v>12486495</v>
      </c>
      <c r="J38" s="52" t="n">
        <f aca="false">-I38</f>
        <v>-12486495</v>
      </c>
      <c r="K38" s="18" t="n">
        <f aca="false">I38+J38</f>
        <v>0</v>
      </c>
      <c r="L38" s="35"/>
      <c r="M38" s="52"/>
      <c r="N38" s="18" t="n">
        <f aca="false">L38+M38</f>
        <v>0</v>
      </c>
      <c r="O38" s="35"/>
      <c r="P38" s="52"/>
      <c r="Q38" s="18" t="n">
        <f aca="false">O38+P38</f>
        <v>0</v>
      </c>
    </row>
    <row r="39" customFormat="false" ht="22.5" hidden="false" customHeight="true" outlineLevel="0" collapsed="false">
      <c r="B39" s="104"/>
      <c r="C39" s="35"/>
      <c r="D39" s="52"/>
      <c r="E39" s="18" t="n">
        <f aca="false">C39+D39</f>
        <v>0</v>
      </c>
      <c r="F39" s="35"/>
      <c r="G39" s="52"/>
      <c r="H39" s="18" t="n">
        <f aca="false">F39+G39</f>
        <v>0</v>
      </c>
      <c r="I39" s="35"/>
      <c r="J39" s="52"/>
      <c r="K39" s="18" t="n">
        <f aca="false">I39+J39</f>
        <v>0</v>
      </c>
      <c r="L39" s="35"/>
      <c r="M39" s="52"/>
      <c r="N39" s="18" t="n">
        <f aca="false">L39+M39</f>
        <v>0</v>
      </c>
      <c r="O39" s="35"/>
      <c r="P39" s="52"/>
      <c r="Q39" s="18" t="n">
        <f aca="false">O39+P39</f>
        <v>0</v>
      </c>
    </row>
    <row r="40" customFormat="false" ht="22.5" hidden="false" customHeight="true" outlineLevel="0" collapsed="false">
      <c r="B40" s="104"/>
      <c r="C40" s="35"/>
      <c r="D40" s="52"/>
      <c r="E40" s="18" t="n">
        <f aca="false">C40+D40</f>
        <v>0</v>
      </c>
      <c r="F40" s="35"/>
      <c r="G40" s="52"/>
      <c r="H40" s="18" t="n">
        <f aca="false">F40+G40</f>
        <v>0</v>
      </c>
      <c r="I40" s="35"/>
      <c r="J40" s="52"/>
      <c r="K40" s="18" t="n">
        <f aca="false">I40+J40</f>
        <v>0</v>
      </c>
      <c r="L40" s="35"/>
      <c r="M40" s="52"/>
      <c r="N40" s="18" t="n">
        <f aca="false">L40+M40</f>
        <v>0</v>
      </c>
      <c r="O40" s="35"/>
      <c r="P40" s="52"/>
      <c r="Q40" s="18" t="n">
        <f aca="false">O40+P40</f>
        <v>0</v>
      </c>
    </row>
    <row r="41" customFormat="false" ht="22.5" hidden="false" customHeight="true" outlineLevel="0" collapsed="false">
      <c r="B41" s="278"/>
      <c r="C41" s="37"/>
      <c r="D41" s="54"/>
      <c r="E41" s="168" t="n">
        <f aca="false">C41+D41</f>
        <v>0</v>
      </c>
      <c r="F41" s="37"/>
      <c r="G41" s="54"/>
      <c r="H41" s="168" t="n">
        <f aca="false">F41+G41</f>
        <v>0</v>
      </c>
      <c r="I41" s="37"/>
      <c r="J41" s="54"/>
      <c r="K41" s="168" t="n">
        <f aca="false">I41+J41</f>
        <v>0</v>
      </c>
      <c r="L41" s="37"/>
      <c r="M41" s="54"/>
      <c r="N41" s="168" t="n">
        <f aca="false">L41+M41</f>
        <v>0</v>
      </c>
      <c r="O41" s="37"/>
      <c r="P41" s="54"/>
      <c r="Q41" s="168" t="n">
        <f aca="false">O41+P41</f>
        <v>0</v>
      </c>
    </row>
    <row r="42" customFormat="false" ht="22.5" hidden="false" customHeight="true" outlineLevel="0" collapsed="false">
      <c r="B42" s="98" t="s">
        <v>102</v>
      </c>
      <c r="C42" s="99" t="n">
        <f aca="false">SUM(C43:C46)</f>
        <v>11676176</v>
      </c>
      <c r="D42" s="99" t="n">
        <f aca="false">SUM(D43:D46)</f>
        <v>-11676176</v>
      </c>
      <c r="E42" s="277" t="n">
        <f aca="false">C42+D42</f>
        <v>0</v>
      </c>
      <c r="F42" s="99" t="n">
        <f aca="false">SUM(F43:F46)</f>
        <v>50657768</v>
      </c>
      <c r="G42" s="99" t="n">
        <f aca="false">SUM(G43:G46)</f>
        <v>-50657768</v>
      </c>
      <c r="H42" s="277" t="n">
        <f aca="false">F42+G42</f>
        <v>0</v>
      </c>
      <c r="I42" s="99" t="n">
        <f aca="false">SUM(I43:I46)</f>
        <v>25990527</v>
      </c>
      <c r="J42" s="99" t="n">
        <f aca="false">SUM(J43:J46)</f>
        <v>-25990527</v>
      </c>
      <c r="K42" s="277" t="n">
        <f aca="false">I42+J42</f>
        <v>0</v>
      </c>
      <c r="L42" s="99" t="n">
        <f aca="false">SUM(L43:L46)</f>
        <v>0</v>
      </c>
      <c r="M42" s="99" t="n">
        <f aca="false">SUM(M43:M46)</f>
        <v>0</v>
      </c>
      <c r="N42" s="277" t="n">
        <f aca="false">L42+M42</f>
        <v>0</v>
      </c>
      <c r="O42" s="99" t="n">
        <f aca="false">SUM(O43:O46)</f>
        <v>0</v>
      </c>
      <c r="P42" s="99" t="n">
        <f aca="false">SUM(P43:P46)</f>
        <v>0</v>
      </c>
      <c r="Q42" s="277" t="n">
        <f aca="false">O42+P42</f>
        <v>0</v>
      </c>
    </row>
    <row r="43" customFormat="false" ht="22.5" hidden="false" customHeight="true" outlineLevel="0" collapsed="false">
      <c r="B43" s="103" t="s">
        <v>103</v>
      </c>
      <c r="C43" s="35"/>
      <c r="D43" s="52" t="n">
        <f aca="false">-C43</f>
        <v>-0</v>
      </c>
      <c r="E43" s="18" t="n">
        <f aca="false">C43+D43</f>
        <v>0</v>
      </c>
      <c r="F43" s="35" t="n">
        <v>27860505</v>
      </c>
      <c r="G43" s="52" t="n">
        <f aca="false">-F43</f>
        <v>-27860505</v>
      </c>
      <c r="H43" s="18" t="n">
        <f aca="false">F43+G43</f>
        <v>0</v>
      </c>
      <c r="I43" s="35" t="n">
        <v>565843</v>
      </c>
      <c r="J43" s="52" t="n">
        <f aca="false">-I43</f>
        <v>-565843</v>
      </c>
      <c r="K43" s="18" t="n">
        <f aca="false">I43+J43</f>
        <v>0</v>
      </c>
      <c r="L43" s="35"/>
      <c r="M43" s="52"/>
      <c r="N43" s="18" t="n">
        <f aca="false">L43+M43</f>
        <v>0</v>
      </c>
      <c r="O43" s="35"/>
      <c r="P43" s="52"/>
      <c r="Q43" s="18" t="n">
        <f aca="false">O43+P43</f>
        <v>0</v>
      </c>
    </row>
    <row r="44" customFormat="false" ht="22.5" hidden="false" customHeight="true" outlineLevel="0" collapsed="false">
      <c r="B44" s="104" t="s">
        <v>104</v>
      </c>
      <c r="C44" s="35" t="n">
        <v>2</v>
      </c>
      <c r="D44" s="52" t="n">
        <f aca="false">-C44</f>
        <v>-2</v>
      </c>
      <c r="E44" s="18" t="n">
        <f aca="false">C44+D44</f>
        <v>0</v>
      </c>
      <c r="F44" s="35"/>
      <c r="G44" s="52" t="n">
        <f aca="false">-F44</f>
        <v>-0</v>
      </c>
      <c r="H44" s="18" t="n">
        <f aca="false">F44+G44</f>
        <v>0</v>
      </c>
      <c r="I44" s="35"/>
      <c r="J44" s="52" t="n">
        <f aca="false">-I44</f>
        <v>-0</v>
      </c>
      <c r="K44" s="18" t="n">
        <f aca="false">I44+J44</f>
        <v>0</v>
      </c>
      <c r="L44" s="35"/>
      <c r="M44" s="52"/>
      <c r="N44" s="18" t="n">
        <f aca="false">L44+M44</f>
        <v>0</v>
      </c>
      <c r="O44" s="35"/>
      <c r="P44" s="52"/>
      <c r="Q44" s="18" t="n">
        <f aca="false">O44+P44</f>
        <v>0</v>
      </c>
    </row>
    <row r="45" customFormat="false" ht="22.5" hidden="false" customHeight="true" outlineLevel="0" collapsed="false">
      <c r="B45" s="104" t="s">
        <v>105</v>
      </c>
      <c r="C45" s="35" t="n">
        <v>6722798</v>
      </c>
      <c r="D45" s="52" t="n">
        <f aca="false">-C45</f>
        <v>-6722798</v>
      </c>
      <c r="E45" s="18" t="n">
        <f aca="false">C45+D45</f>
        <v>0</v>
      </c>
      <c r="F45" s="35" t="n">
        <v>17217311</v>
      </c>
      <c r="G45" s="52" t="n">
        <f aca="false">-F45</f>
        <v>-17217311</v>
      </c>
      <c r="H45" s="18" t="n">
        <f aca="false">F45+G45</f>
        <v>0</v>
      </c>
      <c r="I45" s="35" t="n">
        <v>19844732</v>
      </c>
      <c r="J45" s="52" t="n">
        <f aca="false">-I45</f>
        <v>-19844732</v>
      </c>
      <c r="K45" s="18" t="n">
        <f aca="false">I45+J45</f>
        <v>0</v>
      </c>
      <c r="L45" s="35"/>
      <c r="M45" s="52"/>
      <c r="N45" s="18" t="n">
        <f aca="false">L45+M45</f>
        <v>0</v>
      </c>
      <c r="O45" s="35"/>
      <c r="P45" s="52"/>
      <c r="Q45" s="18" t="n">
        <f aca="false">O45+P45</f>
        <v>0</v>
      </c>
    </row>
    <row r="46" customFormat="false" ht="22.5" hidden="false" customHeight="true" outlineLevel="0" collapsed="false">
      <c r="B46" s="278" t="s">
        <v>106</v>
      </c>
      <c r="C46" s="37" t="n">
        <v>4953376</v>
      </c>
      <c r="D46" s="54" t="n">
        <f aca="false">-C46</f>
        <v>-4953376</v>
      </c>
      <c r="E46" s="168" t="n">
        <f aca="false">C46+D46</f>
        <v>0</v>
      </c>
      <c r="F46" s="37" t="n">
        <v>5579952</v>
      </c>
      <c r="G46" s="54" t="n">
        <f aca="false">-F46</f>
        <v>-5579952</v>
      </c>
      <c r="H46" s="168" t="n">
        <f aca="false">F46+G46</f>
        <v>0</v>
      </c>
      <c r="I46" s="37" t="n">
        <v>5579952</v>
      </c>
      <c r="J46" s="54" t="n">
        <f aca="false">-I46</f>
        <v>-5579952</v>
      </c>
      <c r="K46" s="168" t="n">
        <f aca="false">I46+J46</f>
        <v>0</v>
      </c>
      <c r="L46" s="37"/>
      <c r="M46" s="54"/>
      <c r="N46" s="168" t="n">
        <f aca="false">L46+M46</f>
        <v>0</v>
      </c>
      <c r="O46" s="37"/>
      <c r="P46" s="54"/>
      <c r="Q46" s="168" t="n">
        <f aca="false">O46+P46</f>
        <v>0</v>
      </c>
    </row>
    <row r="47" customFormat="false" ht="22.5" hidden="false" customHeight="true" outlineLevel="0" collapsed="false">
      <c r="B47" s="94" t="s">
        <v>107</v>
      </c>
      <c r="C47" s="95" t="n">
        <f aca="false">C36+C37-C42</f>
        <v>-5010607</v>
      </c>
      <c r="D47" s="95" t="n">
        <f aca="false">D36+D37-D42</f>
        <v>13469703</v>
      </c>
      <c r="E47" s="15" t="n">
        <f aca="false">C47+D47</f>
        <v>8459096</v>
      </c>
      <c r="F47" s="95" t="n">
        <f aca="false">F36+F37-F42</f>
        <v>61255203</v>
      </c>
      <c r="G47" s="95" t="n">
        <f aca="false">G36+G37-G42</f>
        <v>10633851</v>
      </c>
      <c r="H47" s="15" t="n">
        <f aca="false">F47+G47</f>
        <v>71889054</v>
      </c>
      <c r="I47" s="95" t="n">
        <f aca="false">I36+I37-I42</f>
        <v>51439037</v>
      </c>
      <c r="J47" s="95" t="n">
        <f aca="false">J36+J37-J42</f>
        <v>1389141</v>
      </c>
      <c r="K47" s="15" t="n">
        <f aca="false">I47+J47</f>
        <v>52828178</v>
      </c>
      <c r="L47" s="95" t="n">
        <f aca="false">L36+L37-L42</f>
        <v>0</v>
      </c>
      <c r="M47" s="95" t="n">
        <f aca="false">M36+M37-M42</f>
        <v>0</v>
      </c>
      <c r="N47" s="15" t="n">
        <f aca="false">L47+M47</f>
        <v>0</v>
      </c>
      <c r="O47" s="95" t="n">
        <f aca="false">O36+O37-O42</f>
        <v>0</v>
      </c>
      <c r="P47" s="95" t="n">
        <f aca="false">P36+P37-P42</f>
        <v>0</v>
      </c>
      <c r="Q47" s="15" t="n">
        <f aca="false">O47+P47</f>
        <v>0</v>
      </c>
    </row>
    <row r="48" customFormat="false" ht="22.5" hidden="false" customHeight="true" outlineLevel="0" collapsed="false">
      <c r="B48" s="98" t="s">
        <v>108</v>
      </c>
      <c r="C48" s="99" t="n">
        <f aca="false">SUM(C49:C50)</f>
        <v>159573</v>
      </c>
      <c r="D48" s="99" t="n">
        <f aca="false">SUM(D49:D50)</f>
        <v>0</v>
      </c>
      <c r="E48" s="275" t="n">
        <f aca="false">C48+D48</f>
        <v>159573</v>
      </c>
      <c r="F48" s="99" t="n">
        <f aca="false">SUM(F49:F50)</f>
        <v>20697447</v>
      </c>
      <c r="G48" s="99" t="n">
        <f aca="false">SUM(G49:G50)</f>
        <v>0</v>
      </c>
      <c r="H48" s="275" t="n">
        <f aca="false">F48+G48</f>
        <v>20697447</v>
      </c>
      <c r="I48" s="99" t="n">
        <f aca="false">SUM(I49:I50)</f>
        <v>13808861</v>
      </c>
      <c r="J48" s="99" t="n">
        <f aca="false">SUM(J49:J50)</f>
        <v>0</v>
      </c>
      <c r="K48" s="275" t="n">
        <f aca="false">I48+J48</f>
        <v>13808861</v>
      </c>
      <c r="L48" s="99" t="n">
        <f aca="false">SUM(L49:L50)</f>
        <v>0</v>
      </c>
      <c r="M48" s="99" t="n">
        <f aca="false">SUM(M49:M50)</f>
        <v>0</v>
      </c>
      <c r="N48" s="275" t="n">
        <f aca="false">L48+M48</f>
        <v>0</v>
      </c>
      <c r="O48" s="99" t="n">
        <f aca="false">SUM(O49:O50)</f>
        <v>0</v>
      </c>
      <c r="P48" s="99" t="n">
        <f aca="false">SUM(P49:P50)</f>
        <v>0</v>
      </c>
      <c r="Q48" s="275" t="n">
        <f aca="false">O48+P48</f>
        <v>0</v>
      </c>
    </row>
    <row r="49" customFormat="false" ht="22.5" hidden="false" customHeight="true" outlineLevel="0" collapsed="false">
      <c r="B49" s="104" t="s">
        <v>108</v>
      </c>
      <c r="C49" s="35" t="n">
        <v>159573</v>
      </c>
      <c r="D49" s="52"/>
      <c r="E49" s="18" t="n">
        <f aca="false">C49+D49</f>
        <v>159573</v>
      </c>
      <c r="F49" s="35" t="n">
        <v>20697447</v>
      </c>
      <c r="G49" s="52"/>
      <c r="H49" s="18" t="n">
        <f aca="false">F49+G49</f>
        <v>20697447</v>
      </c>
      <c r="I49" s="35" t="n">
        <v>13808861</v>
      </c>
      <c r="J49" s="52"/>
      <c r="K49" s="18" t="n">
        <f aca="false">I49+J49</f>
        <v>13808861</v>
      </c>
      <c r="L49" s="35"/>
      <c r="M49" s="52"/>
      <c r="N49" s="18" t="n">
        <f aca="false">L49+M49</f>
        <v>0</v>
      </c>
      <c r="O49" s="35"/>
      <c r="P49" s="52"/>
      <c r="Q49" s="18" t="n">
        <f aca="false">O49+P49</f>
        <v>0</v>
      </c>
    </row>
    <row r="50" customFormat="false" ht="22.5" hidden="false" customHeight="true" outlineLevel="0" collapsed="false">
      <c r="B50" s="106"/>
      <c r="C50" s="37"/>
      <c r="D50" s="54"/>
      <c r="E50" s="168" t="n">
        <f aca="false">C50+D50</f>
        <v>0</v>
      </c>
      <c r="F50" s="37"/>
      <c r="G50" s="54"/>
      <c r="H50" s="168" t="n">
        <f aca="false">F50+G50</f>
        <v>0</v>
      </c>
      <c r="I50" s="37"/>
      <c r="J50" s="54"/>
      <c r="K50" s="168" t="n">
        <f aca="false">I50+J50</f>
        <v>0</v>
      </c>
      <c r="L50" s="37"/>
      <c r="M50" s="54"/>
      <c r="N50" s="168" t="n">
        <f aca="false">L50+M50</f>
        <v>0</v>
      </c>
      <c r="O50" s="37"/>
      <c r="P50" s="54"/>
      <c r="Q50" s="168" t="n">
        <f aca="false">O50+P50</f>
        <v>0</v>
      </c>
    </row>
    <row r="51" customFormat="false" ht="22.5" hidden="false" customHeight="true" outlineLevel="0" collapsed="false">
      <c r="B51" s="94" t="s">
        <v>109</v>
      </c>
      <c r="C51" s="95" t="n">
        <f aca="false">C47-C48</f>
        <v>-5170180</v>
      </c>
      <c r="D51" s="95" t="n">
        <f aca="false">D47-D48</f>
        <v>13469703</v>
      </c>
      <c r="E51" s="279" t="n">
        <f aca="false">C51+D51</f>
        <v>8299523</v>
      </c>
      <c r="F51" s="95" t="n">
        <f aca="false">F47-F48</f>
        <v>40557756</v>
      </c>
      <c r="G51" s="95" t="n">
        <f aca="false">G47-G48</f>
        <v>10633851</v>
      </c>
      <c r="H51" s="279" t="n">
        <f aca="false">F51+G51</f>
        <v>51191607</v>
      </c>
      <c r="I51" s="95" t="n">
        <f aca="false">I47-I48</f>
        <v>37630176</v>
      </c>
      <c r="J51" s="95" t="n">
        <f aca="false">J47-J48</f>
        <v>1389141</v>
      </c>
      <c r="K51" s="279" t="n">
        <f aca="false">I51+J51</f>
        <v>39019317</v>
      </c>
      <c r="L51" s="95" t="n">
        <f aca="false">L47-L48</f>
        <v>0</v>
      </c>
      <c r="M51" s="95" t="n">
        <f aca="false">M47-M48</f>
        <v>0</v>
      </c>
      <c r="N51" s="279" t="n">
        <f aca="false">L51+M51</f>
        <v>0</v>
      </c>
      <c r="O51" s="95" t="n">
        <f aca="false">O47-O48</f>
        <v>0</v>
      </c>
      <c r="P51" s="95" t="n">
        <f aca="false">P47-P48</f>
        <v>0</v>
      </c>
      <c r="Q51" s="279" t="n">
        <f aca="false">O51+P51</f>
        <v>0</v>
      </c>
    </row>
    <row r="52" customFormat="false" ht="18" hidden="false" customHeight="true" outlineLevel="0" collapsed="false">
      <c r="C52" s="133"/>
      <c r="D52" s="133"/>
      <c r="E52" s="133" t="n">
        <f aca="false">C52+D52</f>
        <v>0</v>
      </c>
      <c r="F52" s="133"/>
      <c r="G52" s="133"/>
      <c r="H52" s="133" t="n">
        <f aca="false">F52+G52</f>
        <v>0</v>
      </c>
      <c r="I52" s="133"/>
      <c r="J52" s="133"/>
      <c r="K52" s="133" t="n">
        <f aca="false">I52+J52</f>
        <v>0</v>
      </c>
      <c r="L52" s="133"/>
      <c r="M52" s="133"/>
      <c r="N52" s="133" t="n">
        <f aca="false">L52+M52</f>
        <v>0</v>
      </c>
      <c r="O52" s="133"/>
      <c r="P52" s="133"/>
      <c r="Q52" s="133" t="n">
        <f aca="false">O52+P52</f>
        <v>0</v>
      </c>
    </row>
    <row r="53" customFormat="false" ht="18" hidden="false" customHeight="true" outlineLevel="0" collapsed="false">
      <c r="C53" s="133" t="n">
        <v>-5170180</v>
      </c>
      <c r="D53" s="133"/>
      <c r="E53" s="133" t="n">
        <f aca="false">C53+D53</f>
        <v>-5170180</v>
      </c>
      <c r="F53" s="133" t="n">
        <v>40557756</v>
      </c>
      <c r="G53" s="133"/>
      <c r="H53" s="133" t="n">
        <f aca="false">F53+G53</f>
        <v>40557756</v>
      </c>
      <c r="I53" s="133" t="n">
        <v>37630176</v>
      </c>
      <c r="J53" s="133"/>
      <c r="K53" s="133" t="n">
        <f aca="false">I53+J53</f>
        <v>37630176</v>
      </c>
      <c r="L53" s="133"/>
      <c r="M53" s="133"/>
      <c r="N53" s="133" t="n">
        <f aca="false">L53+M53</f>
        <v>0</v>
      </c>
      <c r="O53" s="133"/>
      <c r="P53" s="133"/>
      <c r="Q53" s="133" t="n">
        <f aca="false">O53+P53</f>
        <v>0</v>
      </c>
    </row>
    <row r="54" customFormat="false" ht="18" hidden="false" customHeight="true" outlineLevel="0" collapsed="false">
      <c r="C54" s="133" t="n">
        <f aca="false">C53=C51</f>
        <v>1</v>
      </c>
      <c r="D54" s="133"/>
      <c r="E54" s="133" t="n">
        <f aca="false">C54+D54</f>
        <v>1</v>
      </c>
      <c r="F54" s="133" t="n">
        <f aca="false">F53=F51</f>
        <v>1</v>
      </c>
      <c r="G54" s="133"/>
      <c r="H54" s="133" t="n">
        <f aca="false">F54+G54</f>
        <v>1</v>
      </c>
      <c r="I54" s="133" t="n">
        <f aca="false">I53=I51</f>
        <v>1</v>
      </c>
      <c r="J54" s="133"/>
      <c r="K54" s="133" t="n">
        <f aca="false">I54+J54</f>
        <v>1</v>
      </c>
      <c r="L54" s="133"/>
      <c r="M54" s="133"/>
      <c r="N54" s="133" t="n">
        <f aca="false">L54+M54</f>
        <v>0</v>
      </c>
      <c r="O54" s="133"/>
      <c r="P54" s="133"/>
      <c r="Q54" s="133" t="n">
        <f aca="false">O54+P54</f>
        <v>0</v>
      </c>
    </row>
    <row r="55" customFormat="false" ht="18" hidden="false" customHeight="true" outlineLevel="0" collapsed="false">
      <c r="C55" s="133"/>
      <c r="D55" s="133"/>
      <c r="E55" s="133" t="n">
        <f aca="false">C55+D55</f>
        <v>0</v>
      </c>
      <c r="F55" s="133"/>
      <c r="G55" s="133"/>
      <c r="H55" s="133" t="n">
        <f aca="false">F55+G55</f>
        <v>0</v>
      </c>
      <c r="I55" s="133"/>
      <c r="J55" s="133"/>
      <c r="K55" s="133" t="n">
        <f aca="false">I55+J55</f>
        <v>0</v>
      </c>
      <c r="L55" s="133"/>
      <c r="M55" s="133"/>
      <c r="N55" s="133" t="n">
        <f aca="false">L55+M55</f>
        <v>0</v>
      </c>
      <c r="O55" s="133"/>
      <c r="P55" s="133"/>
      <c r="Q55" s="133" t="n">
        <f aca="false">O55+P55</f>
        <v>0</v>
      </c>
    </row>
    <row r="56" customFormat="false" ht="18" hidden="false" customHeight="true" outlineLevel="0" collapsed="false">
      <c r="C56" s="133"/>
      <c r="D56" s="133"/>
      <c r="E56" s="133" t="n">
        <f aca="false">C56+D56</f>
        <v>0</v>
      </c>
      <c r="F56" s="133"/>
      <c r="G56" s="133"/>
      <c r="H56" s="133" t="n">
        <f aca="false">F56+G56</f>
        <v>0</v>
      </c>
      <c r="I56" s="133"/>
      <c r="J56" s="133"/>
      <c r="K56" s="133" t="n">
        <f aca="false">I56+J56</f>
        <v>0</v>
      </c>
      <c r="L56" s="133"/>
      <c r="M56" s="133"/>
      <c r="N56" s="133" t="n">
        <f aca="false">L56+M56</f>
        <v>0</v>
      </c>
      <c r="O56" s="133"/>
      <c r="P56" s="133"/>
      <c r="Q56" s="133" t="n">
        <f aca="false">O56+P56</f>
        <v>0</v>
      </c>
    </row>
    <row r="57" customFormat="false" ht="18" hidden="false" customHeight="true" outlineLevel="0" collapsed="false">
      <c r="C57" s="133"/>
      <c r="D57" s="133"/>
      <c r="E57" s="133" t="n">
        <f aca="false">C57+D57</f>
        <v>0</v>
      </c>
      <c r="F57" s="133"/>
      <c r="G57" s="133"/>
      <c r="H57" s="133" t="n">
        <f aca="false">F57+G57</f>
        <v>0</v>
      </c>
      <c r="I57" s="133"/>
      <c r="J57" s="133"/>
      <c r="K57" s="133" t="n">
        <f aca="false">I57+J57</f>
        <v>0</v>
      </c>
      <c r="L57" s="133"/>
      <c r="M57" s="133"/>
      <c r="N57" s="133" t="n">
        <f aca="false">L57+M57</f>
        <v>0</v>
      </c>
      <c r="O57" s="133"/>
      <c r="P57" s="133"/>
      <c r="Q57" s="133" t="n">
        <f aca="false">O57+P57</f>
        <v>0</v>
      </c>
    </row>
    <row r="58" customFormat="false" ht="18" hidden="false" customHeight="true" outlineLevel="0" collapsed="false">
      <c r="C58" s="133"/>
      <c r="D58" s="133"/>
      <c r="E58" s="133" t="n">
        <f aca="false">C58+D58</f>
        <v>0</v>
      </c>
      <c r="F58" s="133"/>
      <c r="G58" s="133"/>
      <c r="H58" s="133" t="n">
        <f aca="false">F58+G58</f>
        <v>0</v>
      </c>
      <c r="I58" s="133"/>
      <c r="J58" s="133"/>
      <c r="K58" s="133" t="n">
        <f aca="false">I58+J58</f>
        <v>0</v>
      </c>
      <c r="L58" s="133"/>
      <c r="M58" s="133"/>
      <c r="N58" s="133" t="n">
        <f aca="false">L58+M58</f>
        <v>0</v>
      </c>
      <c r="O58" s="133"/>
      <c r="P58" s="133"/>
      <c r="Q58" s="133" t="n">
        <f aca="false">O58+P58</f>
        <v>0</v>
      </c>
    </row>
    <row r="59" customFormat="false" ht="18" hidden="false" customHeight="true" outlineLevel="0" collapsed="false">
      <c r="C59" s="133"/>
      <c r="D59" s="133"/>
      <c r="E59" s="133" t="n">
        <f aca="false">C59+D59</f>
        <v>0</v>
      </c>
      <c r="F59" s="133"/>
      <c r="G59" s="133"/>
      <c r="H59" s="133" t="n">
        <f aca="false">F59+G59</f>
        <v>0</v>
      </c>
      <c r="I59" s="133"/>
      <c r="J59" s="133"/>
      <c r="K59" s="133" t="n">
        <f aca="false">I59+J59</f>
        <v>0</v>
      </c>
      <c r="L59" s="133"/>
      <c r="M59" s="133"/>
      <c r="N59" s="133" t="n">
        <f aca="false">L59+M59</f>
        <v>0</v>
      </c>
      <c r="O59" s="133"/>
      <c r="P59" s="133"/>
      <c r="Q59" s="133" t="n">
        <f aca="false">O59+P59</f>
        <v>0</v>
      </c>
    </row>
    <row r="60" customFormat="false" ht="18" hidden="false" customHeight="true" outlineLevel="0" collapsed="false">
      <c r="C60" s="133"/>
      <c r="D60" s="133"/>
      <c r="E60" s="133" t="n">
        <f aca="false">C60+D60</f>
        <v>0</v>
      </c>
      <c r="F60" s="133"/>
      <c r="G60" s="133"/>
      <c r="H60" s="133" t="n">
        <f aca="false">F60+G60</f>
        <v>0</v>
      </c>
      <c r="I60" s="133"/>
      <c r="J60" s="133"/>
      <c r="K60" s="133" t="n">
        <f aca="false">I60+J60</f>
        <v>0</v>
      </c>
      <c r="L60" s="133"/>
      <c r="M60" s="133"/>
      <c r="N60" s="133" t="n">
        <f aca="false">L60+M60</f>
        <v>0</v>
      </c>
      <c r="O60" s="133"/>
      <c r="P60" s="133"/>
      <c r="Q60" s="133" t="n">
        <f aca="false">O60+P60</f>
        <v>0</v>
      </c>
    </row>
    <row r="61" customFormat="false" ht="18" hidden="false" customHeight="true" outlineLevel="0" collapsed="false">
      <c r="C61" s="133"/>
      <c r="D61" s="133"/>
      <c r="E61" s="133" t="n">
        <f aca="false">C61+D61</f>
        <v>0</v>
      </c>
      <c r="F61" s="133"/>
      <c r="G61" s="133"/>
      <c r="H61" s="133" t="n">
        <f aca="false">F61+G61</f>
        <v>0</v>
      </c>
      <c r="I61" s="133"/>
      <c r="J61" s="133"/>
      <c r="K61" s="133" t="n">
        <f aca="false">I61+J61</f>
        <v>0</v>
      </c>
      <c r="L61" s="133"/>
      <c r="M61" s="133"/>
      <c r="N61" s="133" t="n">
        <f aca="false">L61+M61</f>
        <v>0</v>
      </c>
      <c r="O61" s="133"/>
      <c r="P61" s="133"/>
      <c r="Q61" s="133" t="n">
        <f aca="false">O61+P61</f>
        <v>0</v>
      </c>
    </row>
    <row r="62" customFormat="false" ht="18" hidden="false" customHeight="true" outlineLevel="0" collapsed="false">
      <c r="C62" s="133"/>
      <c r="D62" s="133"/>
      <c r="E62" s="133" t="n">
        <f aca="false">C62+D62</f>
        <v>0</v>
      </c>
      <c r="F62" s="133"/>
      <c r="G62" s="133"/>
      <c r="H62" s="133" t="n">
        <f aca="false">F62+G62</f>
        <v>0</v>
      </c>
      <c r="I62" s="133"/>
      <c r="J62" s="133"/>
      <c r="K62" s="133" t="n">
        <f aca="false">I62+J62</f>
        <v>0</v>
      </c>
      <c r="L62" s="133"/>
      <c r="M62" s="133"/>
      <c r="N62" s="133" t="n">
        <f aca="false">L62+M62</f>
        <v>0</v>
      </c>
      <c r="O62" s="133"/>
      <c r="P62" s="133"/>
      <c r="Q62" s="133" t="n">
        <f aca="false">O62+P62</f>
        <v>0</v>
      </c>
    </row>
    <row r="63" customFormat="false" ht="18" hidden="false" customHeight="true" outlineLevel="0" collapsed="false">
      <c r="C63" s="133"/>
      <c r="D63" s="133"/>
      <c r="E63" s="133" t="n">
        <f aca="false">C63+D63</f>
        <v>0</v>
      </c>
      <c r="F63" s="133"/>
      <c r="G63" s="133"/>
      <c r="H63" s="133" t="n">
        <f aca="false">F63+G63</f>
        <v>0</v>
      </c>
      <c r="I63" s="133"/>
      <c r="J63" s="133"/>
      <c r="K63" s="133" t="n">
        <f aca="false">I63+J63</f>
        <v>0</v>
      </c>
      <c r="L63" s="133"/>
      <c r="M63" s="133"/>
      <c r="N63" s="133" t="n">
        <f aca="false">L63+M63</f>
        <v>0</v>
      </c>
      <c r="O63" s="133"/>
      <c r="P63" s="133"/>
      <c r="Q63" s="133" t="n">
        <f aca="false">O63+P63</f>
        <v>0</v>
      </c>
    </row>
    <row r="64" customFormat="false" ht="18" hidden="false" customHeight="true" outlineLevel="0" collapsed="false">
      <c r="C64" s="133"/>
      <c r="D64" s="133"/>
      <c r="E64" s="133" t="n">
        <f aca="false">C64+D64</f>
        <v>0</v>
      </c>
      <c r="F64" s="133"/>
      <c r="G64" s="133"/>
      <c r="H64" s="133" t="n">
        <f aca="false">F64+G64</f>
        <v>0</v>
      </c>
      <c r="I64" s="133"/>
      <c r="J64" s="133"/>
      <c r="K64" s="133" t="n">
        <f aca="false">I64+J64</f>
        <v>0</v>
      </c>
      <c r="L64" s="133"/>
      <c r="M64" s="133"/>
      <c r="N64" s="133" t="n">
        <f aca="false">L64+M64</f>
        <v>0</v>
      </c>
      <c r="O64" s="133"/>
      <c r="P64" s="133"/>
      <c r="Q64" s="133" t="n">
        <f aca="false">O64+P64</f>
        <v>0</v>
      </c>
    </row>
    <row r="65" customFormat="false" ht="18" hidden="false" customHeight="true" outlineLevel="0" collapsed="false">
      <c r="C65" s="133"/>
      <c r="D65" s="133"/>
      <c r="E65" s="133" t="n">
        <f aca="false">C65+D65</f>
        <v>0</v>
      </c>
      <c r="F65" s="133"/>
      <c r="G65" s="133"/>
      <c r="H65" s="133" t="n">
        <f aca="false">F65+G65</f>
        <v>0</v>
      </c>
      <c r="I65" s="133"/>
      <c r="J65" s="133"/>
      <c r="K65" s="133" t="n">
        <f aca="false">I65+J65</f>
        <v>0</v>
      </c>
      <c r="L65" s="133"/>
      <c r="M65" s="133"/>
      <c r="N65" s="133" t="n">
        <f aca="false">L65+M65</f>
        <v>0</v>
      </c>
      <c r="O65" s="133"/>
      <c r="P65" s="133"/>
      <c r="Q65" s="133" t="n">
        <f aca="false">O65+P65</f>
        <v>0</v>
      </c>
    </row>
    <row r="66" customFormat="false" ht="18" hidden="false" customHeight="true" outlineLevel="0" collapsed="false">
      <c r="C66" s="133"/>
      <c r="D66" s="133"/>
      <c r="E66" s="133" t="n">
        <f aca="false">C66+D66</f>
        <v>0</v>
      </c>
      <c r="F66" s="133"/>
      <c r="G66" s="133"/>
      <c r="H66" s="133" t="n">
        <f aca="false">F66+G66</f>
        <v>0</v>
      </c>
      <c r="I66" s="133"/>
      <c r="J66" s="133"/>
      <c r="K66" s="133" t="n">
        <f aca="false">I66+J66</f>
        <v>0</v>
      </c>
      <c r="L66" s="133"/>
      <c r="M66" s="133"/>
      <c r="N66" s="133" t="n">
        <f aca="false">L66+M66</f>
        <v>0</v>
      </c>
      <c r="O66" s="133"/>
      <c r="P66" s="133"/>
      <c r="Q66" s="133" t="n">
        <f aca="false">O66+P66</f>
        <v>0</v>
      </c>
    </row>
    <row r="67" customFormat="false" ht="18" hidden="false" customHeight="true" outlineLevel="0" collapsed="false">
      <c r="C67" s="133"/>
      <c r="D67" s="133"/>
      <c r="E67" s="133" t="n">
        <f aca="false">C67+D67</f>
        <v>0</v>
      </c>
      <c r="F67" s="133"/>
      <c r="G67" s="133"/>
      <c r="H67" s="133" t="n">
        <f aca="false">F67+G67</f>
        <v>0</v>
      </c>
      <c r="I67" s="133"/>
      <c r="J67" s="133"/>
      <c r="K67" s="133" t="n">
        <f aca="false">I67+J67</f>
        <v>0</v>
      </c>
      <c r="L67" s="133"/>
      <c r="M67" s="133"/>
      <c r="N67" s="133" t="n">
        <f aca="false">L67+M67</f>
        <v>0</v>
      </c>
      <c r="O67" s="133"/>
      <c r="P67" s="133"/>
      <c r="Q67" s="133" t="n">
        <f aca="false">O67+P67</f>
        <v>0</v>
      </c>
    </row>
    <row r="68" customFormat="false" ht="18" hidden="false" customHeight="true" outlineLevel="0" collapsed="false">
      <c r="C68" s="133"/>
      <c r="D68" s="133"/>
      <c r="E68" s="133" t="n">
        <f aca="false">C68+D68</f>
        <v>0</v>
      </c>
      <c r="F68" s="133"/>
      <c r="G68" s="133"/>
      <c r="H68" s="133" t="n">
        <f aca="false">F68+G68</f>
        <v>0</v>
      </c>
      <c r="I68" s="133"/>
      <c r="J68" s="133"/>
      <c r="K68" s="133" t="n">
        <f aca="false">I68+J68</f>
        <v>0</v>
      </c>
      <c r="L68" s="133"/>
      <c r="M68" s="133"/>
      <c r="N68" s="133" t="n">
        <f aca="false">L68+M68</f>
        <v>0</v>
      </c>
      <c r="O68" s="133"/>
      <c r="P68" s="133"/>
      <c r="Q68" s="133" t="n">
        <f aca="false">O68+P68</f>
        <v>0</v>
      </c>
    </row>
    <row r="69" customFormat="false" ht="18" hidden="false" customHeight="true" outlineLevel="0" collapsed="false">
      <c r="C69" s="133"/>
      <c r="D69" s="133"/>
      <c r="E69" s="133" t="n">
        <f aca="false">C69+D69</f>
        <v>0</v>
      </c>
      <c r="F69" s="133"/>
      <c r="G69" s="133"/>
      <c r="H69" s="133" t="n">
        <f aca="false">F69+G69</f>
        <v>0</v>
      </c>
      <c r="I69" s="133"/>
      <c r="J69" s="133"/>
      <c r="K69" s="133" t="n">
        <f aca="false">I69+J69</f>
        <v>0</v>
      </c>
      <c r="L69" s="133"/>
      <c r="M69" s="133"/>
      <c r="N69" s="133" t="n">
        <f aca="false">L69+M69</f>
        <v>0</v>
      </c>
      <c r="O69" s="133"/>
      <c r="P69" s="133"/>
      <c r="Q69" s="133" t="n">
        <f aca="false">O69+P69</f>
        <v>0</v>
      </c>
    </row>
    <row r="70" customFormat="false" ht="18" hidden="false" customHeight="true" outlineLevel="0" collapsed="false">
      <c r="C70" s="133"/>
      <c r="D70" s="133"/>
      <c r="E70" s="133" t="n">
        <f aca="false">C70+D70</f>
        <v>0</v>
      </c>
      <c r="F70" s="133"/>
      <c r="G70" s="133"/>
      <c r="H70" s="133" t="n">
        <f aca="false">F70+G70</f>
        <v>0</v>
      </c>
      <c r="I70" s="133"/>
      <c r="J70" s="133"/>
      <c r="K70" s="133" t="n">
        <f aca="false">I70+J70</f>
        <v>0</v>
      </c>
      <c r="L70" s="133"/>
      <c r="M70" s="133"/>
      <c r="N70" s="133" t="n">
        <f aca="false">L70+M70</f>
        <v>0</v>
      </c>
      <c r="O70" s="133"/>
      <c r="P70" s="133"/>
      <c r="Q70" s="133" t="n">
        <f aca="false">O70+P70</f>
        <v>0</v>
      </c>
    </row>
    <row r="71" customFormat="false" ht="18" hidden="false" customHeight="true" outlineLevel="0" collapsed="false">
      <c r="C71" s="133"/>
      <c r="D71" s="133"/>
      <c r="E71" s="133" t="n">
        <f aca="false">C71+D71</f>
        <v>0</v>
      </c>
      <c r="F71" s="133"/>
      <c r="G71" s="133"/>
      <c r="H71" s="133" t="n">
        <f aca="false">F71+G71</f>
        <v>0</v>
      </c>
      <c r="I71" s="133"/>
      <c r="J71" s="133"/>
      <c r="K71" s="133" t="n">
        <f aca="false">I71+J71</f>
        <v>0</v>
      </c>
      <c r="L71" s="133"/>
      <c r="M71" s="133"/>
      <c r="N71" s="133" t="n">
        <f aca="false">L71+M71</f>
        <v>0</v>
      </c>
      <c r="O71" s="133"/>
      <c r="P71" s="133"/>
      <c r="Q71" s="133" t="n">
        <f aca="false">O71+P71</f>
        <v>0</v>
      </c>
    </row>
    <row r="72" customFormat="false" ht="18" hidden="false" customHeight="true" outlineLevel="0" collapsed="false">
      <c r="E72" s="133" t="n">
        <f aca="false">C72+D72</f>
        <v>0</v>
      </c>
      <c r="H72" s="133" t="n">
        <f aca="false">F72+G72</f>
        <v>0</v>
      </c>
      <c r="K72" s="133" t="n">
        <f aca="false">I72+J72</f>
        <v>0</v>
      </c>
      <c r="N72" s="133" t="n">
        <f aca="false">L72+M72</f>
        <v>0</v>
      </c>
      <c r="Q72" s="133" t="n">
        <f aca="false">O72+P72</f>
        <v>0</v>
      </c>
    </row>
    <row r="73" customFormat="false" ht="18" hidden="false" customHeight="true" outlineLevel="0" collapsed="false">
      <c r="E73" s="133" t="n">
        <f aca="false">C73+D73</f>
        <v>0</v>
      </c>
      <c r="H73" s="133" t="n">
        <f aca="false">F73+G73</f>
        <v>0</v>
      </c>
      <c r="K73" s="133" t="n">
        <f aca="false">I73+J73</f>
        <v>0</v>
      </c>
      <c r="N73" s="133" t="n">
        <f aca="false">L73+M73</f>
        <v>0</v>
      </c>
      <c r="Q73" s="133" t="n">
        <f aca="false">O73+P73</f>
        <v>0</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34" t="s">
        <v>6</v>
      </c>
      <c r="C3" s="280" t="str">
        <f aca="false">'BS(借方)'!C4</f>
        <v>24年1月期</v>
      </c>
      <c r="D3" s="280"/>
      <c r="E3" s="280"/>
      <c r="F3" s="280" t="str">
        <f aca="false">'BS(借方)'!D4</f>
        <v>25年1月期</v>
      </c>
      <c r="G3" s="280"/>
      <c r="H3" s="280"/>
      <c r="I3" s="280" t="str">
        <f aca="false">'BS(借方)'!E4</f>
        <v>26年1月期</v>
      </c>
      <c r="J3" s="280"/>
      <c r="K3" s="280"/>
      <c r="L3" s="280" t="str">
        <f aca="false">'BS(借方)'!F4</f>
        <v>●●年●月期</v>
      </c>
      <c r="M3" s="280"/>
      <c r="N3" s="280"/>
      <c r="O3" s="281" t="str">
        <f aca="false">'BS(借方)'!F4</f>
        <v>●●年●月期</v>
      </c>
      <c r="P3" s="281"/>
      <c r="Q3" s="281"/>
    </row>
    <row r="4" customFormat="false" ht="19.5" hidden="false" customHeight="true" outlineLevel="0" collapsed="false">
      <c r="B4" s="134"/>
      <c r="C4" s="112" t="s">
        <v>72</v>
      </c>
      <c r="D4" s="272" t="s">
        <v>163</v>
      </c>
      <c r="E4" s="273" t="s">
        <v>164</v>
      </c>
      <c r="F4" s="112" t="s">
        <v>72</v>
      </c>
      <c r="G4" s="272" t="s">
        <v>163</v>
      </c>
      <c r="H4" s="273" t="s">
        <v>164</v>
      </c>
      <c r="I4" s="112" t="s">
        <v>72</v>
      </c>
      <c r="J4" s="272" t="s">
        <v>163</v>
      </c>
      <c r="K4" s="273" t="s">
        <v>164</v>
      </c>
      <c r="L4" s="112" t="s">
        <v>72</v>
      </c>
      <c r="M4" s="272" t="s">
        <v>163</v>
      </c>
      <c r="N4" s="273" t="s">
        <v>164</v>
      </c>
      <c r="O4" s="115" t="s">
        <v>72</v>
      </c>
      <c r="P4" s="282" t="s">
        <v>163</v>
      </c>
      <c r="Q4" s="273" t="s">
        <v>164</v>
      </c>
    </row>
    <row r="5" customFormat="false" ht="22.5" hidden="false" customHeight="true" outlineLevel="0" collapsed="false">
      <c r="B5" s="283" t="s">
        <v>123</v>
      </c>
      <c r="C5" s="35" t="n">
        <v>1104000</v>
      </c>
      <c r="D5" s="17" t="n">
        <f aca="false">12000000-C5</f>
        <v>10896000</v>
      </c>
      <c r="E5" s="18" t="n">
        <f aca="false">C5+D5</f>
        <v>12000000</v>
      </c>
      <c r="F5" s="35" t="n">
        <v>1104000</v>
      </c>
      <c r="G5" s="17" t="n">
        <f aca="false">12000000-F5</f>
        <v>10896000</v>
      </c>
      <c r="H5" s="18" t="n">
        <f aca="false">F5+G5</f>
        <v>12000000</v>
      </c>
      <c r="I5" s="35" t="n">
        <v>4094000</v>
      </c>
      <c r="J5" s="17" t="n">
        <f aca="false">12000000-I5</f>
        <v>7906000</v>
      </c>
      <c r="K5" s="18" t="n">
        <f aca="false">I5+J5</f>
        <v>12000000</v>
      </c>
      <c r="L5" s="35"/>
      <c r="M5" s="17"/>
      <c r="N5" s="18" t="n">
        <f aca="false">L5+M5</f>
        <v>0</v>
      </c>
      <c r="O5" s="35"/>
      <c r="P5" s="17"/>
      <c r="Q5" s="18" t="n">
        <f aca="false">O5+P5</f>
        <v>0</v>
      </c>
    </row>
    <row r="6" customFormat="false" ht="22.5" hidden="false" customHeight="true" outlineLevel="0" collapsed="false">
      <c r="B6" s="91" t="s">
        <v>124</v>
      </c>
      <c r="C6" s="52" t="n">
        <v>18000000</v>
      </c>
      <c r="D6" s="17" t="n">
        <f aca="false">-C6</f>
        <v>-18000000</v>
      </c>
      <c r="E6" s="18" t="n">
        <f aca="false">C6+D6</f>
        <v>0</v>
      </c>
      <c r="F6" s="52" t="n">
        <v>20000000</v>
      </c>
      <c r="G6" s="17" t="n">
        <f aca="false">-F6</f>
        <v>-20000000</v>
      </c>
      <c r="H6" s="18" t="n">
        <f aca="false">F6+G6</f>
        <v>0</v>
      </c>
      <c r="I6" s="52" t="n">
        <v>20000000</v>
      </c>
      <c r="J6" s="17" t="n">
        <f aca="false">-I6</f>
        <v>-20000000</v>
      </c>
      <c r="K6" s="18" t="n">
        <f aca="false">I6+J6</f>
        <v>0</v>
      </c>
      <c r="L6" s="52"/>
      <c r="M6" s="17"/>
      <c r="N6" s="18" t="n">
        <f aca="false">L6+M6</f>
        <v>0</v>
      </c>
      <c r="O6" s="52"/>
      <c r="P6" s="17"/>
      <c r="Q6" s="18" t="n">
        <f aca="false">O6+P6</f>
        <v>0</v>
      </c>
    </row>
    <row r="7" customFormat="false" ht="22.5" hidden="false" customHeight="true" outlineLevel="0" collapsed="false">
      <c r="B7" s="91" t="s">
        <v>125</v>
      </c>
      <c r="C7" s="52" t="n">
        <v>33649484</v>
      </c>
      <c r="D7" s="17"/>
      <c r="E7" s="18" t="n">
        <f aca="false">C7+D7</f>
        <v>33649484</v>
      </c>
      <c r="F7" s="52" t="n">
        <v>29811105</v>
      </c>
      <c r="G7" s="17"/>
      <c r="H7" s="18" t="n">
        <f aca="false">F7+G7</f>
        <v>29811105</v>
      </c>
      <c r="I7" s="52" t="n">
        <v>27938525</v>
      </c>
      <c r="J7" s="17"/>
      <c r="K7" s="18" t="n">
        <f aca="false">I7+J7</f>
        <v>27938525</v>
      </c>
      <c r="L7" s="52"/>
      <c r="M7" s="17"/>
      <c r="N7" s="18" t="n">
        <f aca="false">L7+M7</f>
        <v>0</v>
      </c>
      <c r="O7" s="52"/>
      <c r="P7" s="17"/>
      <c r="Q7" s="18" t="n">
        <f aca="false">O7+P7</f>
        <v>0</v>
      </c>
    </row>
    <row r="8" customFormat="false" ht="22.5" hidden="false" customHeight="true" outlineLevel="0" collapsed="false">
      <c r="B8" s="91" t="s">
        <v>126</v>
      </c>
      <c r="C8" s="52" t="n">
        <v>2538750</v>
      </c>
      <c r="D8" s="17"/>
      <c r="E8" s="18" t="n">
        <f aca="false">C8+D8</f>
        <v>2538750</v>
      </c>
      <c r="F8" s="52" t="n">
        <v>6544740</v>
      </c>
      <c r="G8" s="17"/>
      <c r="H8" s="18" t="n">
        <f aca="false">F8+G8</f>
        <v>6544740</v>
      </c>
      <c r="I8" s="52" t="n">
        <v>299000</v>
      </c>
      <c r="J8" s="17"/>
      <c r="K8" s="18" t="n">
        <f aca="false">I8+J8</f>
        <v>299000</v>
      </c>
      <c r="L8" s="52"/>
      <c r="M8" s="17"/>
      <c r="N8" s="18" t="n">
        <f aca="false">L8+M8</f>
        <v>0</v>
      </c>
      <c r="O8" s="52"/>
      <c r="P8" s="17"/>
      <c r="Q8" s="18" t="n">
        <f aca="false">O8+P8</f>
        <v>0</v>
      </c>
    </row>
    <row r="9" customFormat="false" ht="22.5" hidden="false" customHeight="true" outlineLevel="0" collapsed="false">
      <c r="B9" s="91" t="s">
        <v>127</v>
      </c>
      <c r="C9" s="52" t="n">
        <v>4064600</v>
      </c>
      <c r="D9" s="17"/>
      <c r="E9" s="18" t="n">
        <f aca="false">C9+D9</f>
        <v>4064600</v>
      </c>
      <c r="F9" s="52"/>
      <c r="G9" s="17"/>
      <c r="H9" s="18" t="n">
        <f aca="false">F9+G9</f>
        <v>0</v>
      </c>
      <c r="I9" s="52" t="n">
        <v>6079177</v>
      </c>
      <c r="J9" s="17"/>
      <c r="K9" s="18" t="n">
        <f aca="false">I9+J9</f>
        <v>6079177</v>
      </c>
      <c r="L9" s="52"/>
      <c r="M9" s="17"/>
      <c r="N9" s="18" t="n">
        <f aca="false">L9+M9</f>
        <v>0</v>
      </c>
      <c r="O9" s="52"/>
      <c r="P9" s="17"/>
      <c r="Q9" s="18" t="n">
        <f aca="false">O9+P9</f>
        <v>0</v>
      </c>
    </row>
    <row r="10" customFormat="false" ht="22.5" hidden="false" customHeight="true" outlineLevel="0" collapsed="false">
      <c r="B10" s="91" t="s">
        <v>128</v>
      </c>
      <c r="C10" s="52" t="n">
        <v>6407318</v>
      </c>
      <c r="D10" s="17" t="n">
        <f aca="false">(D5+D6)*0.15</f>
        <v>-1065600</v>
      </c>
      <c r="E10" s="18" t="n">
        <f aca="false">C10+D10</f>
        <v>5341718</v>
      </c>
      <c r="F10" s="52" t="n">
        <v>6394777</v>
      </c>
      <c r="G10" s="17" t="n">
        <f aca="false">(G5+G6)*0.15</f>
        <v>-1365600</v>
      </c>
      <c r="H10" s="18" t="n">
        <f aca="false">F10+G10</f>
        <v>5029177</v>
      </c>
      <c r="I10" s="52" t="n">
        <v>6366731</v>
      </c>
      <c r="J10" s="17" t="n">
        <f aca="false">(J5+J6)*0.15</f>
        <v>-1814100</v>
      </c>
      <c r="K10" s="18" t="n">
        <f aca="false">I10+J10</f>
        <v>4552631</v>
      </c>
      <c r="L10" s="52"/>
      <c r="M10" s="17"/>
      <c r="N10" s="18" t="n">
        <f aca="false">L10+M10</f>
        <v>0</v>
      </c>
      <c r="O10" s="52"/>
      <c r="P10" s="17"/>
      <c r="Q10" s="18" t="n">
        <f aca="false">O10+P10</f>
        <v>0</v>
      </c>
    </row>
    <row r="11" customFormat="false" ht="22.5" hidden="false" customHeight="true" outlineLevel="0" collapsed="false">
      <c r="B11" s="91" t="s">
        <v>129</v>
      </c>
      <c r="C11" s="52" t="n">
        <v>1932474</v>
      </c>
      <c r="D11" s="17"/>
      <c r="E11" s="18" t="n">
        <f aca="false">C11+D11</f>
        <v>1932474</v>
      </c>
      <c r="F11" s="52" t="n">
        <v>422087</v>
      </c>
      <c r="G11" s="17"/>
      <c r="H11" s="18" t="n">
        <f aca="false">F11+G11</f>
        <v>422087</v>
      </c>
      <c r="I11" s="52" t="n">
        <v>705804</v>
      </c>
      <c r="J11" s="17"/>
      <c r="K11" s="18" t="n">
        <f aca="false">I11+J11</f>
        <v>705804</v>
      </c>
      <c r="L11" s="52"/>
      <c r="M11" s="17"/>
      <c r="N11" s="18" t="n">
        <f aca="false">L11+M11</f>
        <v>0</v>
      </c>
      <c r="O11" s="52"/>
      <c r="P11" s="17"/>
      <c r="Q11" s="18" t="n">
        <f aca="false">O11+P11</f>
        <v>0</v>
      </c>
    </row>
    <row r="12" customFormat="false" ht="22.5" hidden="false" customHeight="true" outlineLevel="0" collapsed="false">
      <c r="B12" s="91" t="s">
        <v>130</v>
      </c>
      <c r="C12" s="52" t="n">
        <v>280000</v>
      </c>
      <c r="D12" s="17"/>
      <c r="E12" s="18" t="n">
        <f aca="false">C12+D12</f>
        <v>280000</v>
      </c>
      <c r="F12" s="52" t="n">
        <v>1480000</v>
      </c>
      <c r="G12" s="17"/>
      <c r="H12" s="18" t="n">
        <f aca="false">F12+G12</f>
        <v>1480000</v>
      </c>
      <c r="I12" s="52"/>
      <c r="J12" s="17"/>
      <c r="K12" s="18" t="n">
        <f aca="false">I12+J12</f>
        <v>0</v>
      </c>
      <c r="L12" s="52"/>
      <c r="M12" s="17"/>
      <c r="N12" s="18" t="n">
        <f aca="false">L12+M12</f>
        <v>0</v>
      </c>
      <c r="O12" s="52"/>
      <c r="P12" s="17"/>
      <c r="Q12" s="18" t="n">
        <f aca="false">O12+P12</f>
        <v>0</v>
      </c>
    </row>
    <row r="13" customFormat="false" ht="22.5" hidden="false" customHeight="true" outlineLevel="0" collapsed="false">
      <c r="B13" s="91" t="s">
        <v>131</v>
      </c>
      <c r="C13" s="52" t="n">
        <v>9235586</v>
      </c>
      <c r="D13" s="17"/>
      <c r="E13" s="18" t="n">
        <f aca="false">C13+D13</f>
        <v>9235586</v>
      </c>
      <c r="F13" s="52" t="n">
        <v>13487346</v>
      </c>
      <c r="G13" s="17"/>
      <c r="H13" s="18" t="n">
        <f aca="false">F13+G13</f>
        <v>13487346</v>
      </c>
      <c r="I13" s="52" t="n">
        <v>7104880</v>
      </c>
      <c r="J13" s="17"/>
      <c r="K13" s="18" t="n">
        <f aca="false">I13+J13</f>
        <v>7104880</v>
      </c>
      <c r="L13" s="52"/>
      <c r="M13" s="17"/>
      <c r="N13" s="18" t="n">
        <f aca="false">L13+M13</f>
        <v>0</v>
      </c>
      <c r="O13" s="52"/>
      <c r="P13" s="17"/>
      <c r="Q13" s="18" t="n">
        <f aca="false">O13+P13</f>
        <v>0</v>
      </c>
    </row>
    <row r="14" customFormat="false" ht="22.5" hidden="false" customHeight="true" outlineLevel="0" collapsed="false">
      <c r="B14" s="91" t="s">
        <v>132</v>
      </c>
      <c r="C14" s="52" t="n">
        <v>152187</v>
      </c>
      <c r="D14" s="17"/>
      <c r="E14" s="18" t="n">
        <f aca="false">C14+D14</f>
        <v>152187</v>
      </c>
      <c r="F14" s="52" t="n">
        <v>142619</v>
      </c>
      <c r="G14" s="17"/>
      <c r="H14" s="18" t="n">
        <f aca="false">F14+G14</f>
        <v>142619</v>
      </c>
      <c r="I14" s="52" t="n">
        <v>841073</v>
      </c>
      <c r="J14" s="17"/>
      <c r="K14" s="18" t="n">
        <f aca="false">I14+J14</f>
        <v>841073</v>
      </c>
      <c r="L14" s="52"/>
      <c r="M14" s="17"/>
      <c r="N14" s="18" t="n">
        <f aca="false">L14+M14</f>
        <v>0</v>
      </c>
      <c r="O14" s="52"/>
      <c r="P14" s="17"/>
      <c r="Q14" s="18" t="n">
        <f aca="false">O14+P14</f>
        <v>0</v>
      </c>
    </row>
    <row r="15" customFormat="false" ht="22.5" hidden="false" customHeight="true" outlineLevel="0" collapsed="false">
      <c r="B15" s="91" t="s">
        <v>133</v>
      </c>
      <c r="C15" s="52" t="n">
        <v>1440144</v>
      </c>
      <c r="D15" s="17"/>
      <c r="E15" s="18" t="n">
        <f aca="false">C15+D15</f>
        <v>1440144</v>
      </c>
      <c r="F15" s="52" t="n">
        <v>1738203</v>
      </c>
      <c r="G15" s="17"/>
      <c r="H15" s="18" t="n">
        <f aca="false">F15+G15</f>
        <v>1738203</v>
      </c>
      <c r="I15" s="52" t="n">
        <v>2336230</v>
      </c>
      <c r="J15" s="17"/>
      <c r="K15" s="18" t="n">
        <f aca="false">I15+J15</f>
        <v>2336230</v>
      </c>
      <c r="L15" s="52"/>
      <c r="M15" s="17"/>
      <c r="N15" s="18" t="n">
        <f aca="false">L15+M15</f>
        <v>0</v>
      </c>
      <c r="O15" s="52"/>
      <c r="P15" s="17"/>
      <c r="Q15" s="18" t="n">
        <f aca="false">O15+P15</f>
        <v>0</v>
      </c>
    </row>
    <row r="16" customFormat="false" ht="22.5" hidden="false" customHeight="true" outlineLevel="0" collapsed="false">
      <c r="B16" s="91" t="s">
        <v>134</v>
      </c>
      <c r="C16" s="52" t="n">
        <v>211518</v>
      </c>
      <c r="D16" s="17"/>
      <c r="E16" s="18" t="n">
        <f aca="false">C16+D16</f>
        <v>211518</v>
      </c>
      <c r="F16" s="52" t="n">
        <v>214892</v>
      </c>
      <c r="G16" s="17"/>
      <c r="H16" s="18" t="n">
        <f aca="false">F16+G16</f>
        <v>214892</v>
      </c>
      <c r="I16" s="52" t="n">
        <v>284369</v>
      </c>
      <c r="J16" s="17"/>
      <c r="K16" s="18" t="n">
        <f aca="false">I16+J16</f>
        <v>284369</v>
      </c>
      <c r="L16" s="52"/>
      <c r="M16" s="17"/>
      <c r="N16" s="18" t="n">
        <f aca="false">L16+M16</f>
        <v>0</v>
      </c>
      <c r="O16" s="52"/>
      <c r="P16" s="17"/>
      <c r="Q16" s="18" t="n">
        <f aca="false">O16+P16</f>
        <v>0</v>
      </c>
    </row>
    <row r="17" customFormat="false" ht="22.5" hidden="false" customHeight="true" outlineLevel="0" collapsed="false">
      <c r="B17" s="91" t="s">
        <v>135</v>
      </c>
      <c r="C17" s="52" t="n">
        <v>645511</v>
      </c>
      <c r="D17" s="17"/>
      <c r="E17" s="18" t="n">
        <f aca="false">C17+D17</f>
        <v>645511</v>
      </c>
      <c r="F17" s="52" t="n">
        <v>2129949</v>
      </c>
      <c r="G17" s="17"/>
      <c r="H17" s="18" t="n">
        <f aca="false">F17+G17</f>
        <v>2129949</v>
      </c>
      <c r="I17" s="52" t="n">
        <v>1018914</v>
      </c>
      <c r="J17" s="17"/>
      <c r="K17" s="18" t="n">
        <f aca="false">I17+J17</f>
        <v>1018914</v>
      </c>
      <c r="L17" s="52"/>
      <c r="M17" s="17"/>
      <c r="N17" s="18" t="n">
        <f aca="false">L17+M17</f>
        <v>0</v>
      </c>
      <c r="O17" s="52"/>
      <c r="P17" s="17"/>
      <c r="Q17" s="18" t="n">
        <f aca="false">O17+P17</f>
        <v>0</v>
      </c>
    </row>
    <row r="18" customFormat="false" ht="22.5" hidden="false" customHeight="true" outlineLevel="0" collapsed="false">
      <c r="B18" s="91" t="s">
        <v>136</v>
      </c>
      <c r="C18" s="52" t="n">
        <v>1416425</v>
      </c>
      <c r="D18" s="17"/>
      <c r="E18" s="18" t="n">
        <f aca="false">C18+D18</f>
        <v>1416425</v>
      </c>
      <c r="F18" s="52" t="n">
        <v>1506325</v>
      </c>
      <c r="G18" s="17"/>
      <c r="H18" s="18" t="n">
        <f aca="false">F18+G18</f>
        <v>1506325</v>
      </c>
      <c r="I18" s="52" t="n">
        <v>1506831</v>
      </c>
      <c r="J18" s="17"/>
      <c r="K18" s="18" t="n">
        <f aca="false">I18+J18</f>
        <v>1506831</v>
      </c>
      <c r="L18" s="52"/>
      <c r="M18" s="17"/>
      <c r="N18" s="18" t="n">
        <f aca="false">L18+M18</f>
        <v>0</v>
      </c>
      <c r="O18" s="52"/>
      <c r="P18" s="17"/>
      <c r="Q18" s="18" t="n">
        <f aca="false">O18+P18</f>
        <v>0</v>
      </c>
    </row>
    <row r="19" customFormat="false" ht="22.5" hidden="false" customHeight="true" outlineLevel="0" collapsed="false">
      <c r="B19" s="91" t="s">
        <v>137</v>
      </c>
      <c r="C19" s="52" t="n">
        <v>65128</v>
      </c>
      <c r="D19" s="17"/>
      <c r="E19" s="18" t="n">
        <f aca="false">C19+D19</f>
        <v>65128</v>
      </c>
      <c r="F19" s="52"/>
      <c r="G19" s="17"/>
      <c r="H19" s="18" t="n">
        <f aca="false">F19+G19</f>
        <v>0</v>
      </c>
      <c r="I19" s="52"/>
      <c r="J19" s="17"/>
      <c r="K19" s="18" t="n">
        <f aca="false">I19+J19</f>
        <v>0</v>
      </c>
      <c r="L19" s="52"/>
      <c r="M19" s="17"/>
      <c r="N19" s="18" t="n">
        <f aca="false">L19+M19</f>
        <v>0</v>
      </c>
      <c r="O19" s="52"/>
      <c r="P19" s="17"/>
      <c r="Q19" s="18" t="n">
        <f aca="false">O19+P19</f>
        <v>0</v>
      </c>
    </row>
    <row r="20" customFormat="false" ht="22.5" hidden="false" customHeight="true" outlineLevel="0" collapsed="false">
      <c r="B20" s="91" t="s">
        <v>138</v>
      </c>
      <c r="C20" s="52" t="n">
        <v>1145535</v>
      </c>
      <c r="D20" s="17"/>
      <c r="E20" s="18" t="n">
        <f aca="false">C20+D20</f>
        <v>1145535</v>
      </c>
      <c r="F20" s="52" t="n">
        <v>1700793</v>
      </c>
      <c r="G20" s="17"/>
      <c r="H20" s="18" t="n">
        <f aca="false">F20+G20</f>
        <v>1700793</v>
      </c>
      <c r="I20" s="52" t="n">
        <v>1195194</v>
      </c>
      <c r="J20" s="17"/>
      <c r="K20" s="18" t="n">
        <f aca="false">I20+J20</f>
        <v>1195194</v>
      </c>
      <c r="L20" s="52"/>
      <c r="M20" s="17"/>
      <c r="N20" s="18" t="n">
        <f aca="false">L20+M20</f>
        <v>0</v>
      </c>
      <c r="O20" s="52"/>
      <c r="P20" s="17"/>
      <c r="Q20" s="18" t="n">
        <f aca="false">O20+P20</f>
        <v>0</v>
      </c>
    </row>
    <row r="21" customFormat="false" ht="22.5" hidden="false" customHeight="true" outlineLevel="0" collapsed="false">
      <c r="B21" s="91" t="s">
        <v>139</v>
      </c>
      <c r="C21" s="52" t="n">
        <v>44900</v>
      </c>
      <c r="D21" s="17"/>
      <c r="E21" s="18" t="n">
        <f aca="false">C21+D21</f>
        <v>44900</v>
      </c>
      <c r="F21" s="52" t="n">
        <v>190064</v>
      </c>
      <c r="G21" s="17"/>
      <c r="H21" s="18" t="n">
        <f aca="false">F21+G21</f>
        <v>190064</v>
      </c>
      <c r="I21" s="52"/>
      <c r="J21" s="17"/>
      <c r="K21" s="18" t="n">
        <f aca="false">I21+J21</f>
        <v>0</v>
      </c>
      <c r="L21" s="52"/>
      <c r="M21" s="17"/>
      <c r="N21" s="18" t="n">
        <f aca="false">L21+M21</f>
        <v>0</v>
      </c>
      <c r="O21" s="52"/>
      <c r="P21" s="17"/>
      <c r="Q21" s="18" t="n">
        <f aca="false">O21+P21</f>
        <v>0</v>
      </c>
    </row>
    <row r="22" customFormat="false" ht="22.5" hidden="false" customHeight="true" outlineLevel="0" collapsed="false">
      <c r="B22" s="91" t="s">
        <v>140</v>
      </c>
      <c r="C22" s="52" t="n">
        <v>394299</v>
      </c>
      <c r="D22" s="17"/>
      <c r="E22" s="18" t="n">
        <f aca="false">C22+D22</f>
        <v>394299</v>
      </c>
      <c r="F22" s="52" t="n">
        <v>403021</v>
      </c>
      <c r="G22" s="17"/>
      <c r="H22" s="18" t="n">
        <f aca="false">F22+G22</f>
        <v>403021</v>
      </c>
      <c r="I22" s="52" t="n">
        <v>412583</v>
      </c>
      <c r="J22" s="17"/>
      <c r="K22" s="18" t="n">
        <f aca="false">I22+J22</f>
        <v>412583</v>
      </c>
      <c r="L22" s="52"/>
      <c r="M22" s="17"/>
      <c r="N22" s="18" t="n">
        <f aca="false">L22+M22</f>
        <v>0</v>
      </c>
      <c r="O22" s="52"/>
      <c r="P22" s="17"/>
      <c r="Q22" s="18" t="n">
        <f aca="false">O22+P22</f>
        <v>0</v>
      </c>
    </row>
    <row r="23" customFormat="false" ht="22.5" hidden="false" customHeight="true" outlineLevel="0" collapsed="false">
      <c r="B23" s="91" t="s">
        <v>141</v>
      </c>
      <c r="C23" s="52" t="n">
        <v>57450</v>
      </c>
      <c r="D23" s="17"/>
      <c r="E23" s="18" t="n">
        <f aca="false">C23+D23</f>
        <v>57450</v>
      </c>
      <c r="F23" s="52" t="n">
        <v>36000</v>
      </c>
      <c r="G23" s="17"/>
      <c r="H23" s="18" t="n">
        <f aca="false">F23+G23</f>
        <v>36000</v>
      </c>
      <c r="I23" s="52" t="n">
        <v>48000</v>
      </c>
      <c r="J23" s="17"/>
      <c r="K23" s="18" t="n">
        <f aca="false">I23+J23</f>
        <v>48000</v>
      </c>
      <c r="L23" s="52"/>
      <c r="M23" s="17"/>
      <c r="N23" s="18" t="n">
        <f aca="false">L23+M23</f>
        <v>0</v>
      </c>
      <c r="O23" s="52"/>
      <c r="P23" s="17"/>
      <c r="Q23" s="18" t="n">
        <f aca="false">O23+P23</f>
        <v>0</v>
      </c>
    </row>
    <row r="24" customFormat="false" ht="22.5" hidden="false" customHeight="true" outlineLevel="0" collapsed="false">
      <c r="B24" s="91" t="s">
        <v>142</v>
      </c>
      <c r="C24" s="52" t="n">
        <v>3167934</v>
      </c>
      <c r="D24" s="17"/>
      <c r="E24" s="18" t="n">
        <f aca="false">C24+D24</f>
        <v>3167934</v>
      </c>
      <c r="F24" s="52" t="n">
        <v>3674031</v>
      </c>
      <c r="G24" s="17"/>
      <c r="H24" s="18" t="n">
        <f aca="false">F24+G24</f>
        <v>3674031</v>
      </c>
      <c r="I24" s="52" t="n">
        <v>1179313</v>
      </c>
      <c r="J24" s="17"/>
      <c r="K24" s="18" t="n">
        <f aca="false">I24+J24</f>
        <v>1179313</v>
      </c>
      <c r="L24" s="52"/>
      <c r="M24" s="17"/>
      <c r="N24" s="18" t="n">
        <f aca="false">L24+M24</f>
        <v>0</v>
      </c>
      <c r="O24" s="52"/>
      <c r="P24" s="17"/>
      <c r="Q24" s="18" t="n">
        <f aca="false">O24+P24</f>
        <v>0</v>
      </c>
    </row>
    <row r="25" customFormat="false" ht="22.5" hidden="false" customHeight="true" outlineLevel="0" collapsed="false">
      <c r="B25" s="91" t="s">
        <v>143</v>
      </c>
      <c r="C25" s="52" t="n">
        <v>650214</v>
      </c>
      <c r="D25" s="17"/>
      <c r="E25" s="18" t="n">
        <f aca="false">C25+D25</f>
        <v>650214</v>
      </c>
      <c r="F25" s="52" t="n">
        <v>478916</v>
      </c>
      <c r="G25" s="17"/>
      <c r="H25" s="18" t="n">
        <f aca="false">F25+G25</f>
        <v>478916</v>
      </c>
      <c r="I25" s="52" t="n">
        <v>716759</v>
      </c>
      <c r="J25" s="17"/>
      <c r="K25" s="18" t="n">
        <f aca="false">I25+J25</f>
        <v>716759</v>
      </c>
      <c r="L25" s="52"/>
      <c r="M25" s="17"/>
      <c r="N25" s="18" t="n">
        <f aca="false">L25+M25</f>
        <v>0</v>
      </c>
      <c r="O25" s="52"/>
      <c r="P25" s="17"/>
      <c r="Q25" s="18" t="n">
        <f aca="false">O25+P25</f>
        <v>0</v>
      </c>
    </row>
    <row r="26" customFormat="false" ht="22.5" hidden="false" customHeight="true" outlineLevel="0" collapsed="false">
      <c r="B26" s="91" t="s">
        <v>144</v>
      </c>
      <c r="C26" s="52" t="n">
        <v>5430000</v>
      </c>
      <c r="D26" s="17"/>
      <c r="E26" s="18" t="n">
        <f aca="false">C26+D26</f>
        <v>5430000</v>
      </c>
      <c r="F26" s="52" t="n">
        <v>5430000</v>
      </c>
      <c r="G26" s="17"/>
      <c r="H26" s="18" t="n">
        <f aca="false">F26+G26</f>
        <v>5430000</v>
      </c>
      <c r="I26" s="52" t="n">
        <v>5500911</v>
      </c>
      <c r="J26" s="17"/>
      <c r="K26" s="18" t="n">
        <f aca="false">I26+J26</f>
        <v>5500911</v>
      </c>
      <c r="L26" s="52"/>
      <c r="M26" s="17"/>
      <c r="N26" s="18" t="n">
        <f aca="false">L26+M26</f>
        <v>0</v>
      </c>
      <c r="O26" s="52"/>
      <c r="P26" s="17"/>
      <c r="Q26" s="18" t="n">
        <f aca="false">O26+P26</f>
        <v>0</v>
      </c>
    </row>
    <row r="27" customFormat="false" ht="22.5" hidden="false" customHeight="true" outlineLevel="0" collapsed="false">
      <c r="B27" s="91" t="s">
        <v>145</v>
      </c>
      <c r="C27" s="52" t="n">
        <v>131200</v>
      </c>
      <c r="D27" s="17"/>
      <c r="E27" s="18" t="n">
        <f aca="false">C27+D27</f>
        <v>131200</v>
      </c>
      <c r="F27" s="52" t="n">
        <v>160920</v>
      </c>
      <c r="G27" s="17"/>
      <c r="H27" s="18" t="n">
        <f aca="false">F27+G27</f>
        <v>160920</v>
      </c>
      <c r="I27" s="52" t="n">
        <v>147510</v>
      </c>
      <c r="J27" s="17"/>
      <c r="K27" s="18" t="n">
        <f aca="false">I27+J27</f>
        <v>147510</v>
      </c>
      <c r="L27" s="52"/>
      <c r="M27" s="17"/>
      <c r="N27" s="18" t="n">
        <f aca="false">L27+M27</f>
        <v>0</v>
      </c>
      <c r="O27" s="52"/>
      <c r="P27" s="17"/>
      <c r="Q27" s="18" t="n">
        <f aca="false">O27+P27</f>
        <v>0</v>
      </c>
    </row>
    <row r="28" customFormat="false" ht="22.5" hidden="false" customHeight="true" outlineLevel="0" collapsed="false">
      <c r="B28" s="91" t="s">
        <v>146</v>
      </c>
      <c r="C28" s="52" t="n">
        <v>709690</v>
      </c>
      <c r="D28" s="17"/>
      <c r="E28" s="18" t="n">
        <f aca="false">C28+D28</f>
        <v>709690</v>
      </c>
      <c r="F28" s="52" t="n">
        <v>1090090</v>
      </c>
      <c r="G28" s="17"/>
      <c r="H28" s="18" t="n">
        <f aca="false">F28+G28</f>
        <v>1090090</v>
      </c>
      <c r="I28" s="52" t="n">
        <v>735330</v>
      </c>
      <c r="J28" s="17"/>
      <c r="K28" s="18" t="n">
        <f aca="false">I28+J28</f>
        <v>735330</v>
      </c>
      <c r="L28" s="52"/>
      <c r="M28" s="17"/>
      <c r="N28" s="18" t="n">
        <f aca="false">L28+M28</f>
        <v>0</v>
      </c>
      <c r="O28" s="52"/>
      <c r="P28" s="17"/>
      <c r="Q28" s="18" t="n">
        <f aca="false">O28+P28</f>
        <v>0</v>
      </c>
    </row>
    <row r="29" customFormat="false" ht="22.5" hidden="false" customHeight="true" outlineLevel="0" collapsed="false">
      <c r="B29" s="91" t="s">
        <v>147</v>
      </c>
      <c r="C29" s="52" t="n">
        <v>234840</v>
      </c>
      <c r="D29" s="17"/>
      <c r="E29" s="18" t="n">
        <f aca="false">C29+D29</f>
        <v>234840</v>
      </c>
      <c r="F29" s="52" t="n">
        <v>175360</v>
      </c>
      <c r="G29" s="17"/>
      <c r="H29" s="18" t="n">
        <f aca="false">F29+G29</f>
        <v>175360</v>
      </c>
      <c r="I29" s="52" t="n">
        <v>269084</v>
      </c>
      <c r="J29" s="17"/>
      <c r="K29" s="18" t="n">
        <f aca="false">I29+J29</f>
        <v>269084</v>
      </c>
      <c r="L29" s="52"/>
      <c r="M29" s="17"/>
      <c r="N29" s="18" t="n">
        <f aca="false">L29+M29</f>
        <v>0</v>
      </c>
      <c r="O29" s="52"/>
      <c r="P29" s="17"/>
      <c r="Q29" s="18" t="n">
        <f aca="false">O29+P29</f>
        <v>0</v>
      </c>
    </row>
    <row r="30" customFormat="false" ht="22.5" hidden="false" customHeight="true" outlineLevel="0" collapsed="false">
      <c r="B30" s="91" t="s">
        <v>148</v>
      </c>
      <c r="C30" s="52" t="n">
        <v>755000</v>
      </c>
      <c r="D30" s="17"/>
      <c r="E30" s="18" t="n">
        <f aca="false">C30+D30</f>
        <v>755000</v>
      </c>
      <c r="F30" s="52" t="n">
        <v>755000</v>
      </c>
      <c r="G30" s="17"/>
      <c r="H30" s="18" t="n">
        <f aca="false">F30+G30</f>
        <v>755000</v>
      </c>
      <c r="I30" s="52" t="n">
        <v>762000</v>
      </c>
      <c r="J30" s="17"/>
      <c r="K30" s="18" t="n">
        <f aca="false">I30+J30</f>
        <v>762000</v>
      </c>
      <c r="L30" s="52"/>
      <c r="M30" s="17"/>
      <c r="N30" s="18" t="n">
        <f aca="false">L30+M30</f>
        <v>0</v>
      </c>
      <c r="O30" s="52"/>
      <c r="P30" s="17"/>
      <c r="Q30" s="18" t="n">
        <f aca="false">O30+P30</f>
        <v>0</v>
      </c>
    </row>
    <row r="31" customFormat="false" ht="22.5" hidden="false" customHeight="true" outlineLevel="0" collapsed="false">
      <c r="B31" s="91" t="s">
        <v>149</v>
      </c>
      <c r="C31" s="52" t="n">
        <v>50000</v>
      </c>
      <c r="D31" s="17" t="n">
        <f aca="false">-C31</f>
        <v>-50000</v>
      </c>
      <c r="E31" s="18" t="n">
        <f aca="false">C31+D31</f>
        <v>0</v>
      </c>
      <c r="F31" s="52" t="n">
        <v>200000</v>
      </c>
      <c r="G31" s="17" t="n">
        <f aca="false">-F31</f>
        <v>-200000</v>
      </c>
      <c r="H31" s="18" t="n">
        <f aca="false">F31+G31</f>
        <v>0</v>
      </c>
      <c r="I31" s="52" t="n">
        <v>50000</v>
      </c>
      <c r="J31" s="17" t="n">
        <f aca="false">-I31</f>
        <v>-50000</v>
      </c>
      <c r="K31" s="18" t="n">
        <f aca="false">I31+J31</f>
        <v>0</v>
      </c>
      <c r="L31" s="52"/>
      <c r="M31" s="17"/>
      <c r="N31" s="18" t="n">
        <f aca="false">L31+M31</f>
        <v>0</v>
      </c>
      <c r="O31" s="52"/>
      <c r="P31" s="17"/>
      <c r="Q31" s="18" t="n">
        <f aca="false">O31+P31</f>
        <v>0</v>
      </c>
    </row>
    <row r="32" customFormat="false" ht="22.5" hidden="false" customHeight="true" outlineLevel="0" collapsed="false">
      <c r="B32" s="91" t="s">
        <v>150</v>
      </c>
      <c r="C32" s="52" t="n">
        <v>174503</v>
      </c>
      <c r="D32" s="17"/>
      <c r="E32" s="18" t="n">
        <f aca="false">C32+D32</f>
        <v>174503</v>
      </c>
      <c r="F32" s="52" t="n">
        <v>574824</v>
      </c>
      <c r="G32" s="17"/>
      <c r="H32" s="18" t="n">
        <f aca="false">F32+G32</f>
        <v>574824</v>
      </c>
      <c r="I32" s="52" t="n">
        <v>170367</v>
      </c>
      <c r="J32" s="17"/>
      <c r="K32" s="18" t="n">
        <f aca="false">I32+J32</f>
        <v>170367</v>
      </c>
      <c r="L32" s="52"/>
      <c r="M32" s="17"/>
      <c r="N32" s="18" t="n">
        <f aca="false">L32+M32</f>
        <v>0</v>
      </c>
      <c r="O32" s="52"/>
      <c r="P32" s="17"/>
      <c r="Q32" s="18" t="n">
        <f aca="false">O32+P32</f>
        <v>0</v>
      </c>
    </row>
    <row r="33" customFormat="false" ht="22.5" hidden="false" customHeight="true" outlineLevel="0" collapsed="false">
      <c r="B33" s="91" t="s">
        <v>151</v>
      </c>
      <c r="C33" s="52" t="n">
        <v>881300</v>
      </c>
      <c r="D33" s="17"/>
      <c r="E33" s="18" t="n">
        <f aca="false">C33+D33</f>
        <v>881300</v>
      </c>
      <c r="F33" s="52" t="n">
        <v>644524</v>
      </c>
      <c r="G33" s="17"/>
      <c r="H33" s="18" t="n">
        <f aca="false">F33+G33</f>
        <v>644524</v>
      </c>
      <c r="I33" s="52" t="n">
        <v>1182673</v>
      </c>
      <c r="J33" s="17"/>
      <c r="K33" s="18" t="n">
        <f aca="false">I33+J33</f>
        <v>1182673</v>
      </c>
      <c r="L33" s="52"/>
      <c r="M33" s="17"/>
      <c r="N33" s="18" t="n">
        <f aca="false">L33+M33</f>
        <v>0</v>
      </c>
      <c r="O33" s="52"/>
      <c r="P33" s="17"/>
      <c r="Q33" s="18" t="n">
        <f aca="false">O33+P33</f>
        <v>0</v>
      </c>
    </row>
    <row r="34" customFormat="false" ht="22.5" hidden="false" customHeight="true" outlineLevel="0" collapsed="false">
      <c r="B34" s="91" t="s">
        <v>152</v>
      </c>
      <c r="C34" s="52" t="n">
        <v>803000</v>
      </c>
      <c r="D34" s="17" t="n">
        <f aca="false">-C34</f>
        <v>-803000</v>
      </c>
      <c r="E34" s="18" t="n">
        <f aca="false">C34+D34</f>
        <v>0</v>
      </c>
      <c r="F34" s="52" t="n">
        <v>246000</v>
      </c>
      <c r="G34" s="17" t="n">
        <f aca="false">-F34</f>
        <v>-246000</v>
      </c>
      <c r="H34" s="18" t="n">
        <f aca="false">F34+G34</f>
        <v>0</v>
      </c>
      <c r="I34" s="52" t="n">
        <v>201000</v>
      </c>
      <c r="J34" s="17" t="n">
        <f aca="false">-I34</f>
        <v>-201000</v>
      </c>
      <c r="K34" s="18" t="n">
        <f aca="false">I34+J34</f>
        <v>0</v>
      </c>
      <c r="L34" s="52"/>
      <c r="M34" s="17"/>
      <c r="N34" s="18" t="n">
        <f aca="false">L34+M34</f>
        <v>0</v>
      </c>
      <c r="O34" s="52"/>
      <c r="P34" s="17"/>
      <c r="Q34" s="18" t="n">
        <f aca="false">O34+P34</f>
        <v>0</v>
      </c>
    </row>
    <row r="35" customFormat="false" ht="22.5" hidden="false" customHeight="true" outlineLevel="0" collapsed="false">
      <c r="B35" s="91" t="s">
        <v>153</v>
      </c>
      <c r="C35" s="52" t="n">
        <v>1622989</v>
      </c>
      <c r="D35" s="17"/>
      <c r="E35" s="18" t="n">
        <f aca="false">C35+D35</f>
        <v>1622989</v>
      </c>
      <c r="F35" s="52"/>
      <c r="G35" s="17"/>
      <c r="H35" s="18" t="n">
        <f aca="false">F35+G35</f>
        <v>0</v>
      </c>
      <c r="I35" s="52" t="n">
        <v>1143204</v>
      </c>
      <c r="J35" s="17"/>
      <c r="K35" s="18" t="n">
        <f aca="false">I35+J35</f>
        <v>1143204</v>
      </c>
      <c r="L35" s="52"/>
      <c r="M35" s="17"/>
      <c r="N35" s="18" t="n">
        <f aca="false">L35+M35</f>
        <v>0</v>
      </c>
      <c r="O35" s="52"/>
      <c r="P35" s="17"/>
      <c r="Q35" s="18" t="n">
        <f aca="false">O35+P35</f>
        <v>0</v>
      </c>
    </row>
    <row r="36" customFormat="false" ht="22.5" hidden="false" customHeight="true" outlineLevel="0" collapsed="false">
      <c r="B36" s="91"/>
      <c r="C36" s="52"/>
      <c r="D36" s="17"/>
      <c r="E36" s="18" t="n">
        <f aca="false">C36+D36</f>
        <v>0</v>
      </c>
      <c r="F36" s="52"/>
      <c r="G36" s="17"/>
      <c r="H36" s="18" t="n">
        <f aca="false">F36+G36</f>
        <v>0</v>
      </c>
      <c r="I36" s="52"/>
      <c r="J36" s="17"/>
      <c r="K36" s="18" t="n">
        <f aca="false">I36+J36</f>
        <v>0</v>
      </c>
      <c r="L36" s="52"/>
      <c r="M36" s="17"/>
      <c r="N36" s="18" t="n">
        <f aca="false">L36+M36</f>
        <v>0</v>
      </c>
      <c r="O36" s="52"/>
      <c r="P36" s="17"/>
      <c r="Q36" s="18" t="n">
        <f aca="false">O36+P36</f>
        <v>0</v>
      </c>
    </row>
    <row r="37" customFormat="false" ht="22.5" hidden="false" customHeight="true" outlineLevel="0" collapsed="false">
      <c r="B37" s="91"/>
      <c r="C37" s="52"/>
      <c r="D37" s="17"/>
      <c r="E37" s="18" t="n">
        <f aca="false">C37+D37</f>
        <v>0</v>
      </c>
      <c r="F37" s="52"/>
      <c r="G37" s="17"/>
      <c r="H37" s="18" t="n">
        <f aca="false">F37+G37</f>
        <v>0</v>
      </c>
      <c r="I37" s="52"/>
      <c r="J37" s="17"/>
      <c r="K37" s="18" t="n">
        <f aca="false">I37+J37</f>
        <v>0</v>
      </c>
      <c r="L37" s="52"/>
      <c r="M37" s="17"/>
      <c r="N37" s="18" t="n">
        <f aca="false">L37+M37</f>
        <v>0</v>
      </c>
      <c r="O37" s="52"/>
      <c r="P37" s="17"/>
      <c r="Q37" s="18" t="n">
        <f aca="false">O37+P37</f>
        <v>0</v>
      </c>
    </row>
    <row r="38" customFormat="false" ht="22.5" hidden="false" customHeight="true" outlineLevel="0" collapsed="false">
      <c r="B38" s="91"/>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137" t="s">
        <v>154</v>
      </c>
      <c r="C39" s="95" t="n">
        <f aca="false">SUM(C5:C38)</f>
        <v>97395979</v>
      </c>
      <c r="D39" s="95" t="n">
        <f aca="false">SUM(D5:D38)</f>
        <v>-9022600</v>
      </c>
      <c r="E39" s="284" t="n">
        <f aca="false">C39+D39</f>
        <v>88373379</v>
      </c>
      <c r="F39" s="95" t="n">
        <f aca="false">SUM(F5:F38)</f>
        <v>100735586</v>
      </c>
      <c r="G39" s="95" t="n">
        <f aca="false">SUM(G5:G38)</f>
        <v>-10915600</v>
      </c>
      <c r="H39" s="284" t="n">
        <f aca="false">F39+G39</f>
        <v>89819986</v>
      </c>
      <c r="I39" s="95" t="n">
        <f aca="false">SUM(I5:I38)</f>
        <v>92289462</v>
      </c>
      <c r="J39" s="95" t="n">
        <f aca="false">SUM(J5:J38)</f>
        <v>-14159100</v>
      </c>
      <c r="K39" s="284" t="n">
        <f aca="false">I39+J39</f>
        <v>78130362</v>
      </c>
      <c r="L39" s="95" t="n">
        <f aca="false">SUM(L5:L38)</f>
        <v>0</v>
      </c>
      <c r="M39" s="95" t="n">
        <f aca="false">SUM(M5:M38)</f>
        <v>0</v>
      </c>
      <c r="N39" s="284" t="n">
        <f aca="false">L39+M39</f>
        <v>0</v>
      </c>
      <c r="O39" s="95" t="n">
        <f aca="false">SUM(O5:O38)</f>
        <v>0</v>
      </c>
      <c r="P39" s="95" t="n">
        <f aca="false">SUM(P5:P38)</f>
        <v>0</v>
      </c>
      <c r="Q39" s="284" t="n">
        <f aca="false">O39+P39</f>
        <v>0</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4"/>
  <sheetViews>
    <sheetView showFormulas="false" showGridLines="false" showRowColHeaders="true" showZeros="true" rightToLeft="false" tabSelected="false" showOutlineSymbols="true" defaultGridColor="true" view="normal" topLeftCell="A2" colorId="64" zoomScale="63" zoomScaleNormal="63" zoomScalePageLayoutView="100" workbookViewId="0">
      <pane xSplit="0" ySplit="3" topLeftCell="A5" activePane="bottomLeft" state="frozen"/>
      <selection pane="topLeft" activeCell="A2" activeCellId="0" sqref="A2"/>
      <selection pane="bottomLeft" activeCell="O17" activeCellId="0" sqref="O1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10" t="s">
        <v>6</v>
      </c>
      <c r="C3" s="280" t="str">
        <f aca="false">'BS(借方)'!C4</f>
        <v>24年1月期</v>
      </c>
      <c r="D3" s="280"/>
      <c r="E3" s="280"/>
      <c r="F3" s="280" t="str">
        <f aca="false">'BS(借方)'!D4</f>
        <v>25年1月期</v>
      </c>
      <c r="G3" s="280"/>
      <c r="H3" s="280"/>
      <c r="I3" s="280" t="str">
        <f aca="false">'BS(借方)'!E4</f>
        <v>26年1月期</v>
      </c>
      <c r="J3" s="280"/>
      <c r="K3" s="280"/>
      <c r="L3" s="280" t="str">
        <f aca="false">'BS(借方)'!F4</f>
        <v>●●年●月期</v>
      </c>
      <c r="M3" s="280"/>
      <c r="N3" s="280"/>
      <c r="O3" s="281" t="str">
        <f aca="false">'BS(借方)'!G4</f>
        <v>●●年●月
（●か月TB）</v>
      </c>
      <c r="P3" s="281"/>
      <c r="Q3" s="281"/>
    </row>
    <row r="4" customFormat="false" ht="19.5" hidden="false" customHeight="true" outlineLevel="0" collapsed="false">
      <c r="B4" s="110"/>
      <c r="C4" s="112" t="s">
        <v>72</v>
      </c>
      <c r="D4" s="272" t="s">
        <v>163</v>
      </c>
      <c r="E4" s="273" t="s">
        <v>164</v>
      </c>
      <c r="F4" s="112" t="s">
        <v>72</v>
      </c>
      <c r="G4" s="272" t="s">
        <v>163</v>
      </c>
      <c r="H4" s="273" t="s">
        <v>164</v>
      </c>
      <c r="I4" s="112" t="s">
        <v>72</v>
      </c>
      <c r="J4" s="272" t="s">
        <v>163</v>
      </c>
      <c r="K4" s="273" t="s">
        <v>164</v>
      </c>
      <c r="L4" s="112" t="s">
        <v>72</v>
      </c>
      <c r="M4" s="272" t="s">
        <v>163</v>
      </c>
      <c r="N4" s="273" t="s">
        <v>164</v>
      </c>
      <c r="O4" s="115" t="s">
        <v>72</v>
      </c>
      <c r="P4" s="282" t="s">
        <v>163</v>
      </c>
      <c r="Q4" s="273" t="s">
        <v>164</v>
      </c>
    </row>
    <row r="5" customFormat="false" ht="22.5" hidden="false" customHeight="true" outlineLevel="0" collapsed="false">
      <c r="B5" s="136" t="s">
        <v>258</v>
      </c>
      <c r="C5" s="35" t="n">
        <v>500000</v>
      </c>
      <c r="D5" s="17" t="n">
        <v>-500000</v>
      </c>
      <c r="E5" s="18" t="n">
        <f aca="false">C5+D5</f>
        <v>0</v>
      </c>
      <c r="F5" s="35" t="n">
        <v>500000</v>
      </c>
      <c r="G5" s="17" t="n">
        <v>-500000</v>
      </c>
      <c r="H5" s="18" t="n">
        <f aca="false">F5+G5</f>
        <v>0</v>
      </c>
      <c r="I5" s="35" t="n">
        <v>500000</v>
      </c>
      <c r="J5" s="17" t="n">
        <v>-500000</v>
      </c>
      <c r="K5" s="18" t="n">
        <f aca="false">I5+J5</f>
        <v>0</v>
      </c>
      <c r="L5" s="35" t="n">
        <v>500000</v>
      </c>
      <c r="M5" s="17" t="n">
        <v>-500000</v>
      </c>
      <c r="N5" s="18" t="n">
        <f aca="false">L5+M5</f>
        <v>0</v>
      </c>
      <c r="O5" s="35" t="n">
        <v>500000</v>
      </c>
      <c r="P5" s="17" t="n">
        <v>-500000</v>
      </c>
      <c r="Q5" s="18" t="n">
        <f aca="false">O5+P5</f>
        <v>0</v>
      </c>
    </row>
    <row r="6" customFormat="false" ht="22.5" hidden="false" customHeight="true" outlineLevel="0" collapsed="false">
      <c r="B6" s="91" t="s">
        <v>259</v>
      </c>
      <c r="C6" s="52"/>
      <c r="D6" s="17"/>
      <c r="E6" s="18" t="n">
        <f aca="false">C6+D6</f>
        <v>0</v>
      </c>
      <c r="F6" s="52"/>
      <c r="G6" s="17"/>
      <c r="H6" s="18" t="n">
        <f aca="false">F6+G6</f>
        <v>0</v>
      </c>
      <c r="I6" s="52"/>
      <c r="J6" s="17"/>
      <c r="K6" s="18" t="n">
        <f aca="false">I6+J6</f>
        <v>0</v>
      </c>
      <c r="L6" s="52"/>
      <c r="M6" s="17"/>
      <c r="N6" s="18" t="n">
        <f aca="false">L6+M6</f>
        <v>0</v>
      </c>
      <c r="O6" s="52"/>
      <c r="P6" s="17"/>
      <c r="Q6" s="18" t="n">
        <f aca="false">O6+P6</f>
        <v>0</v>
      </c>
    </row>
    <row r="7" customFormat="false" ht="22.5" hidden="false" customHeight="true" outlineLevel="0" collapsed="false">
      <c r="B7" s="91" t="s">
        <v>260</v>
      </c>
      <c r="C7" s="52"/>
      <c r="D7" s="17"/>
      <c r="E7" s="18" t="n">
        <f aca="false">C7+D7</f>
        <v>0</v>
      </c>
      <c r="F7" s="52"/>
      <c r="G7" s="17"/>
      <c r="H7" s="18" t="n">
        <f aca="false">F7+G7</f>
        <v>0</v>
      </c>
      <c r="I7" s="52"/>
      <c r="J7" s="17"/>
      <c r="K7" s="18" t="n">
        <f aca="false">I7+J7</f>
        <v>0</v>
      </c>
      <c r="L7" s="52"/>
      <c r="M7" s="17"/>
      <c r="N7" s="18" t="n">
        <f aca="false">L7+M7</f>
        <v>0</v>
      </c>
      <c r="O7" s="52"/>
      <c r="P7" s="17"/>
      <c r="Q7" s="18" t="n">
        <f aca="false">O7+P7</f>
        <v>0</v>
      </c>
    </row>
    <row r="8" customFormat="false" ht="22.5" hidden="false" customHeight="true" outlineLevel="0" collapsed="false">
      <c r="B8" s="91" t="s">
        <v>261</v>
      </c>
      <c r="C8" s="52"/>
      <c r="D8" s="17"/>
      <c r="E8" s="18" t="n">
        <f aca="false">C8+D8</f>
        <v>0</v>
      </c>
      <c r="F8" s="52"/>
      <c r="G8" s="17"/>
      <c r="H8" s="18" t="n">
        <f aca="false">F8+G8</f>
        <v>0</v>
      </c>
      <c r="I8" s="52"/>
      <c r="J8" s="17"/>
      <c r="K8" s="18" t="n">
        <f aca="false">I8+J8</f>
        <v>0</v>
      </c>
      <c r="L8" s="52"/>
      <c r="M8" s="17"/>
      <c r="N8" s="18" t="n">
        <f aca="false">L8+M8</f>
        <v>0</v>
      </c>
      <c r="O8" s="52"/>
      <c r="P8" s="17"/>
      <c r="Q8" s="18" t="n">
        <f aca="false">O8+P8</f>
        <v>0</v>
      </c>
    </row>
    <row r="9" customFormat="false" ht="22.5" hidden="false" customHeight="true" outlineLevel="0" collapsed="false">
      <c r="B9" s="91"/>
      <c r="C9" s="52"/>
      <c r="D9" s="17"/>
      <c r="E9" s="18" t="n">
        <f aca="false">C9+D9</f>
        <v>0</v>
      </c>
      <c r="F9" s="52"/>
      <c r="G9" s="17"/>
      <c r="H9" s="18" t="n">
        <f aca="false">F9+G9</f>
        <v>0</v>
      </c>
      <c r="I9" s="52"/>
      <c r="J9" s="17"/>
      <c r="K9" s="18" t="n">
        <f aca="false">I9+J9</f>
        <v>0</v>
      </c>
      <c r="L9" s="52"/>
      <c r="M9" s="17"/>
      <c r="N9" s="18" t="n">
        <f aca="false">L9+M9</f>
        <v>0</v>
      </c>
      <c r="O9" s="52"/>
      <c r="P9" s="17"/>
      <c r="Q9" s="18" t="n">
        <f aca="false">O9+P9</f>
        <v>0</v>
      </c>
    </row>
    <row r="10" customFormat="false" ht="22.5" hidden="false" customHeight="true" outlineLevel="0" collapsed="false">
      <c r="B10" s="92"/>
      <c r="C10" s="37"/>
      <c r="D10" s="55"/>
      <c r="E10" s="18" t="n">
        <f aca="false">C10+D10</f>
        <v>0</v>
      </c>
      <c r="F10" s="37"/>
      <c r="G10" s="55"/>
      <c r="H10" s="18" t="n">
        <f aca="false">F10+G10</f>
        <v>0</v>
      </c>
      <c r="I10" s="37"/>
      <c r="J10" s="55"/>
      <c r="K10" s="18" t="n">
        <f aca="false">I10+J10</f>
        <v>0</v>
      </c>
      <c r="L10" s="37"/>
      <c r="M10" s="55"/>
      <c r="N10" s="18" t="n">
        <f aca="false">L10+M10</f>
        <v>0</v>
      </c>
      <c r="O10" s="37"/>
      <c r="P10" s="55"/>
      <c r="Q10" s="18" t="n">
        <f aca="false">O10+P10</f>
        <v>0</v>
      </c>
    </row>
    <row r="11" customFormat="false" ht="22.5" hidden="false" customHeight="true" outlineLevel="0" collapsed="false">
      <c r="B11" s="123" t="s">
        <v>113</v>
      </c>
      <c r="C11" s="95" t="n">
        <f aca="false">SUM(C5:C10)</f>
        <v>500000</v>
      </c>
      <c r="D11" s="95" t="n">
        <f aca="false">SUM(D5:D10)</f>
        <v>-500000</v>
      </c>
      <c r="E11" s="150" t="n">
        <f aca="false">C11+D11</f>
        <v>0</v>
      </c>
      <c r="F11" s="95" t="n">
        <f aca="false">SUM(F5:F10)</f>
        <v>500000</v>
      </c>
      <c r="G11" s="95" t="n">
        <f aca="false">SUM(G5:G10)</f>
        <v>-500000</v>
      </c>
      <c r="H11" s="150" t="n">
        <f aca="false">F11+G11</f>
        <v>0</v>
      </c>
      <c r="I11" s="95" t="n">
        <f aca="false">SUM(I5:I10)</f>
        <v>500000</v>
      </c>
      <c r="J11" s="95" t="n">
        <f aca="false">SUM(J5:J10)</f>
        <v>-500000</v>
      </c>
      <c r="K11" s="150" t="n">
        <f aca="false">I11+J11</f>
        <v>0</v>
      </c>
      <c r="L11" s="95" t="n">
        <f aca="false">SUM(L5:L10)</f>
        <v>500000</v>
      </c>
      <c r="M11" s="95" t="n">
        <f aca="false">SUM(M5:M10)</f>
        <v>-500000</v>
      </c>
      <c r="N11" s="150" t="n">
        <f aca="false">L11+M11</f>
        <v>0</v>
      </c>
      <c r="O11" s="95" t="n">
        <f aca="false">SUM(O5:O10)</f>
        <v>500000</v>
      </c>
      <c r="P11" s="95" t="n">
        <f aca="false">SUM(P5:P10)</f>
        <v>-500000</v>
      </c>
      <c r="Q11" s="150" t="n">
        <f aca="false">O11+P11</f>
        <v>0</v>
      </c>
    </row>
    <row r="12" customFormat="false" ht="22.5" hidden="false" customHeight="true" outlineLevel="0" collapsed="false">
      <c r="B12" s="136"/>
      <c r="C12" s="35"/>
      <c r="D12" s="17"/>
      <c r="E12" s="18" t="n">
        <f aca="false">C12+D12</f>
        <v>0</v>
      </c>
      <c r="F12" s="35"/>
      <c r="G12" s="17"/>
      <c r="H12" s="18" t="n">
        <f aca="false">F12+G12</f>
        <v>0</v>
      </c>
      <c r="I12" s="35"/>
      <c r="J12" s="17"/>
      <c r="K12" s="18" t="n">
        <f aca="false">I12+J12</f>
        <v>0</v>
      </c>
      <c r="L12" s="35"/>
      <c r="M12" s="17"/>
      <c r="N12" s="18" t="n">
        <f aca="false">L12+M12</f>
        <v>0</v>
      </c>
      <c r="O12" s="35"/>
      <c r="P12" s="17"/>
      <c r="Q12" s="18" t="n">
        <f aca="false">O12+P12</f>
        <v>0</v>
      </c>
    </row>
    <row r="13" customFormat="false" ht="22.5" hidden="false" customHeight="true" outlineLevel="0" collapsed="false">
      <c r="B13" s="91"/>
      <c r="C13" s="52"/>
      <c r="D13" s="17"/>
      <c r="E13" s="18" t="n">
        <f aca="false">C13+D13</f>
        <v>0</v>
      </c>
      <c r="F13" s="52"/>
      <c r="G13" s="17"/>
      <c r="H13" s="18" t="n">
        <f aca="false">F13+G13</f>
        <v>0</v>
      </c>
      <c r="I13" s="52"/>
      <c r="J13" s="17"/>
      <c r="K13" s="18" t="n">
        <f aca="false">I13+J13</f>
        <v>0</v>
      </c>
      <c r="L13" s="52"/>
      <c r="M13" s="17"/>
      <c r="N13" s="18" t="n">
        <f aca="false">L13+M13</f>
        <v>0</v>
      </c>
      <c r="O13" s="52"/>
      <c r="P13" s="17"/>
      <c r="Q13" s="18" t="n">
        <f aca="false">O13+P13</f>
        <v>0</v>
      </c>
    </row>
    <row r="14" customFormat="false" ht="22.5" hidden="false" customHeight="true" outlineLevel="0" collapsed="false">
      <c r="B14" s="91"/>
      <c r="C14" s="52"/>
      <c r="D14" s="17"/>
      <c r="E14" s="18" t="n">
        <f aca="false">C14+D14</f>
        <v>0</v>
      </c>
      <c r="F14" s="52"/>
      <c r="G14" s="17"/>
      <c r="H14" s="18" t="n">
        <f aca="false">F14+G14</f>
        <v>0</v>
      </c>
      <c r="I14" s="52"/>
      <c r="J14" s="17"/>
      <c r="K14" s="18" t="n">
        <f aca="false">I14+J14</f>
        <v>0</v>
      </c>
      <c r="L14" s="52"/>
      <c r="M14" s="17"/>
      <c r="N14" s="18" t="n">
        <f aca="false">L14+M14</f>
        <v>0</v>
      </c>
      <c r="O14" s="52"/>
      <c r="P14" s="17"/>
      <c r="Q14" s="18" t="n">
        <f aca="false">O14+P14</f>
        <v>0</v>
      </c>
    </row>
    <row r="15" customFormat="false" ht="22.5" hidden="false" customHeight="true" outlineLevel="0" collapsed="false">
      <c r="B15" s="91"/>
      <c r="C15" s="52"/>
      <c r="D15" s="17"/>
      <c r="E15" s="18" t="n">
        <f aca="false">C15+D15</f>
        <v>0</v>
      </c>
      <c r="F15" s="52"/>
      <c r="G15" s="17"/>
      <c r="H15" s="18" t="n">
        <f aca="false">F15+G15</f>
        <v>0</v>
      </c>
      <c r="I15" s="52"/>
      <c r="J15" s="17"/>
      <c r="K15" s="18" t="n">
        <f aca="false">I15+J15</f>
        <v>0</v>
      </c>
      <c r="L15" s="52"/>
      <c r="M15" s="17"/>
      <c r="N15" s="18" t="n">
        <f aca="false">L15+M15</f>
        <v>0</v>
      </c>
      <c r="O15" s="52"/>
      <c r="P15" s="17"/>
      <c r="Q15" s="18" t="n">
        <f aca="false">O15+P15</f>
        <v>0</v>
      </c>
    </row>
    <row r="16" customFormat="false" ht="22.5" hidden="false" customHeight="true" outlineLevel="0" collapsed="false">
      <c r="B16" s="91"/>
      <c r="C16" s="52"/>
      <c r="D16" s="17"/>
      <c r="E16" s="18" t="n">
        <f aca="false">C16+D16</f>
        <v>0</v>
      </c>
      <c r="F16" s="52"/>
      <c r="G16" s="17"/>
      <c r="H16" s="18" t="n">
        <f aca="false">F16+G16</f>
        <v>0</v>
      </c>
      <c r="I16" s="52"/>
      <c r="J16" s="17"/>
      <c r="K16" s="18" t="n">
        <f aca="false">I16+J16</f>
        <v>0</v>
      </c>
      <c r="L16" s="52"/>
      <c r="M16" s="17"/>
      <c r="N16" s="18" t="n">
        <f aca="false">L16+M16</f>
        <v>0</v>
      </c>
      <c r="O16" s="52"/>
      <c r="P16" s="17"/>
      <c r="Q16" s="18" t="n">
        <f aca="false">O16+P16</f>
        <v>0</v>
      </c>
    </row>
    <row r="17" customFormat="false" ht="22.5" hidden="false" customHeight="true" outlineLevel="0" collapsed="false">
      <c r="B17" s="92"/>
      <c r="C17" s="37"/>
      <c r="D17" s="55"/>
      <c r="E17" s="18" t="n">
        <f aca="false">C17+D17</f>
        <v>0</v>
      </c>
      <c r="F17" s="37"/>
      <c r="G17" s="55"/>
      <c r="H17" s="18" t="n">
        <f aca="false">F17+G17</f>
        <v>0</v>
      </c>
      <c r="I17" s="37"/>
      <c r="J17" s="55"/>
      <c r="K17" s="18" t="n">
        <f aca="false">I17+J17</f>
        <v>0</v>
      </c>
      <c r="L17" s="37"/>
      <c r="M17" s="55"/>
      <c r="N17" s="18" t="n">
        <f aca="false">L17+M17</f>
        <v>0</v>
      </c>
      <c r="O17" s="37"/>
      <c r="P17" s="55"/>
      <c r="Q17" s="18" t="n">
        <f aca="false">O17+P17</f>
        <v>0</v>
      </c>
    </row>
    <row r="18" customFormat="false" ht="22.5" hidden="false" customHeight="true" outlineLevel="0" collapsed="false">
      <c r="B18" s="123" t="s">
        <v>114</v>
      </c>
      <c r="C18" s="95" t="n">
        <f aca="false">SUM(C12:C17)</f>
        <v>0</v>
      </c>
      <c r="D18" s="95" t="n">
        <f aca="false">SUM(D12:D17)</f>
        <v>0</v>
      </c>
      <c r="E18" s="150" t="n">
        <f aca="false">C18+D18</f>
        <v>0</v>
      </c>
      <c r="F18" s="95" t="n">
        <f aca="false">SUM(F12:F17)</f>
        <v>0</v>
      </c>
      <c r="G18" s="95" t="n">
        <f aca="false">SUM(G12:G17)</f>
        <v>0</v>
      </c>
      <c r="H18" s="150" t="n">
        <f aca="false">F18+G18</f>
        <v>0</v>
      </c>
      <c r="I18" s="95" t="n">
        <f aca="false">SUM(I12:I17)</f>
        <v>0</v>
      </c>
      <c r="J18" s="95" t="n">
        <f aca="false">SUM(J12:J17)</f>
        <v>0</v>
      </c>
      <c r="K18" s="150" t="n">
        <f aca="false">I18+J18</f>
        <v>0</v>
      </c>
      <c r="L18" s="95" t="n">
        <f aca="false">SUM(L12:L17)</f>
        <v>0</v>
      </c>
      <c r="M18" s="95" t="n">
        <f aca="false">SUM(M12:M17)</f>
        <v>0</v>
      </c>
      <c r="N18" s="150" t="n">
        <f aca="false">L18+M18</f>
        <v>0</v>
      </c>
      <c r="O18" s="95" t="n">
        <f aca="false">SUM(O12:O17)</f>
        <v>0</v>
      </c>
      <c r="P18" s="95" t="n">
        <f aca="false">SUM(P12:P17)</f>
        <v>0</v>
      </c>
      <c r="Q18" s="150" t="n">
        <f aca="false">O18+P18</f>
        <v>0</v>
      </c>
    </row>
    <row r="19" customFormat="false" ht="22.5" hidden="false" customHeight="true" outlineLevel="0" collapsed="false">
      <c r="B19" s="136"/>
      <c r="C19" s="35"/>
      <c r="D19" s="17"/>
      <c r="E19" s="18" t="n">
        <f aca="false">C19+D19</f>
        <v>0</v>
      </c>
      <c r="F19" s="35"/>
      <c r="G19" s="17"/>
      <c r="H19" s="18" t="n">
        <f aca="false">F19+G19</f>
        <v>0</v>
      </c>
      <c r="I19" s="35"/>
      <c r="J19" s="17"/>
      <c r="K19" s="18" t="n">
        <f aca="false">I19+J19</f>
        <v>0</v>
      </c>
      <c r="L19" s="35"/>
      <c r="M19" s="17"/>
      <c r="N19" s="18" t="n">
        <f aca="false">L19+M19</f>
        <v>0</v>
      </c>
      <c r="O19" s="35"/>
      <c r="P19" s="17"/>
      <c r="Q19" s="18" t="n">
        <f aca="false">O19+P19</f>
        <v>0</v>
      </c>
    </row>
    <row r="20" customFormat="false" ht="22.5" hidden="false" customHeight="true" outlineLevel="0" collapsed="false">
      <c r="B20" s="91"/>
      <c r="C20" s="52"/>
      <c r="D20" s="17"/>
      <c r="E20" s="18" t="n">
        <f aca="false">C20+D20</f>
        <v>0</v>
      </c>
      <c r="F20" s="52"/>
      <c r="G20" s="17"/>
      <c r="H20" s="18" t="n">
        <f aca="false">F20+G20</f>
        <v>0</v>
      </c>
      <c r="I20" s="52"/>
      <c r="J20" s="17"/>
      <c r="K20" s="18" t="n">
        <f aca="false">I20+J20</f>
        <v>0</v>
      </c>
      <c r="L20" s="52"/>
      <c r="M20" s="17"/>
      <c r="N20" s="18" t="n">
        <f aca="false">L20+M20</f>
        <v>0</v>
      </c>
      <c r="O20" s="52"/>
      <c r="P20" s="17"/>
      <c r="Q20" s="18" t="n">
        <f aca="false">O20+P20</f>
        <v>0</v>
      </c>
    </row>
    <row r="21" customFormat="false" ht="22.5" hidden="false" customHeight="true" outlineLevel="0" collapsed="false">
      <c r="B21" s="91"/>
      <c r="C21" s="52"/>
      <c r="D21" s="17"/>
      <c r="E21" s="18" t="n">
        <f aca="false">C21+D21</f>
        <v>0</v>
      </c>
      <c r="F21" s="52"/>
      <c r="G21" s="17"/>
      <c r="H21" s="18" t="n">
        <f aca="false">F21+G21</f>
        <v>0</v>
      </c>
      <c r="I21" s="52"/>
      <c r="J21" s="17"/>
      <c r="K21" s="18" t="n">
        <f aca="false">I21+J21</f>
        <v>0</v>
      </c>
      <c r="L21" s="52"/>
      <c r="M21" s="17"/>
      <c r="N21" s="18" t="n">
        <f aca="false">L21+M21</f>
        <v>0</v>
      </c>
      <c r="O21" s="52"/>
      <c r="P21" s="17"/>
      <c r="Q21" s="18" t="n">
        <f aca="false">O21+P21</f>
        <v>0</v>
      </c>
    </row>
    <row r="22" customFormat="false" ht="22.5" hidden="false" customHeight="true" outlineLevel="0" collapsed="false">
      <c r="B22" s="91"/>
      <c r="C22" s="52"/>
      <c r="D22" s="17"/>
      <c r="E22" s="18" t="n">
        <f aca="false">C22+D22</f>
        <v>0</v>
      </c>
      <c r="F22" s="52"/>
      <c r="G22" s="17"/>
      <c r="H22" s="18" t="n">
        <f aca="false">F22+G22</f>
        <v>0</v>
      </c>
      <c r="I22" s="52"/>
      <c r="J22" s="17"/>
      <c r="K22" s="18" t="n">
        <f aca="false">I22+J22</f>
        <v>0</v>
      </c>
      <c r="L22" s="52"/>
      <c r="M22" s="17"/>
      <c r="N22" s="18" t="n">
        <f aca="false">L22+M22</f>
        <v>0</v>
      </c>
      <c r="O22" s="52"/>
      <c r="P22" s="17"/>
      <c r="Q22" s="18" t="n">
        <f aca="false">O22+P22</f>
        <v>0</v>
      </c>
    </row>
    <row r="23" customFormat="false" ht="22.5" hidden="false" customHeight="true" outlineLevel="0" collapsed="false">
      <c r="B23" s="91"/>
      <c r="C23" s="52"/>
      <c r="D23" s="17"/>
      <c r="E23" s="18" t="n">
        <f aca="false">C23+D23</f>
        <v>0</v>
      </c>
      <c r="F23" s="52"/>
      <c r="G23" s="17"/>
      <c r="H23" s="18" t="n">
        <f aca="false">F23+G23</f>
        <v>0</v>
      </c>
      <c r="I23" s="52"/>
      <c r="J23" s="17"/>
      <c r="K23" s="18" t="n">
        <f aca="false">I23+J23</f>
        <v>0</v>
      </c>
      <c r="L23" s="52"/>
      <c r="M23" s="17"/>
      <c r="N23" s="18" t="n">
        <f aca="false">L23+M23</f>
        <v>0</v>
      </c>
      <c r="O23" s="52"/>
      <c r="P23" s="17"/>
      <c r="Q23" s="18" t="n">
        <f aca="false">O23+P23</f>
        <v>0</v>
      </c>
    </row>
    <row r="24" customFormat="false" ht="22.5" hidden="false" customHeight="true" outlineLevel="0" collapsed="false">
      <c r="B24" s="92"/>
      <c r="C24" s="37"/>
      <c r="D24" s="55"/>
      <c r="E24" s="18" t="n">
        <f aca="false">C24+D24</f>
        <v>0</v>
      </c>
      <c r="F24" s="37"/>
      <c r="G24" s="55"/>
      <c r="H24" s="18" t="n">
        <f aca="false">F24+G24</f>
        <v>0</v>
      </c>
      <c r="I24" s="37"/>
      <c r="J24" s="55"/>
      <c r="K24" s="18" t="n">
        <f aca="false">I24+J24</f>
        <v>0</v>
      </c>
      <c r="L24" s="37"/>
      <c r="M24" s="55"/>
      <c r="N24" s="18" t="n">
        <f aca="false">L24+M24</f>
        <v>0</v>
      </c>
      <c r="O24" s="37"/>
      <c r="P24" s="55"/>
      <c r="Q24" s="18" t="n">
        <f aca="false">O24+P24</f>
        <v>0</v>
      </c>
    </row>
    <row r="25" customFormat="false" ht="22.5" hidden="false" customHeight="true" outlineLevel="0" collapsed="false">
      <c r="B25" s="123" t="s">
        <v>115</v>
      </c>
      <c r="C25" s="95" t="n">
        <f aca="false">SUM(C19:C24)</f>
        <v>0</v>
      </c>
      <c r="D25" s="95" t="n">
        <f aca="false">SUM(D19:D24)</f>
        <v>0</v>
      </c>
      <c r="E25" s="150" t="n">
        <f aca="false">C25+D25</f>
        <v>0</v>
      </c>
      <c r="F25" s="95" t="n">
        <f aca="false">SUM(F19:F24)</f>
        <v>0</v>
      </c>
      <c r="G25" s="95" t="n">
        <f aca="false">SUM(G19:G24)</f>
        <v>0</v>
      </c>
      <c r="H25" s="150" t="n">
        <f aca="false">F25+G25</f>
        <v>0</v>
      </c>
      <c r="I25" s="95" t="n">
        <f aca="false">SUM(I19:I24)</f>
        <v>0</v>
      </c>
      <c r="J25" s="95" t="n">
        <f aca="false">SUM(J19:J24)</f>
        <v>0</v>
      </c>
      <c r="K25" s="150" t="n">
        <f aca="false">I25+J25</f>
        <v>0</v>
      </c>
      <c r="L25" s="95" t="n">
        <f aca="false">SUM(L19:L24)</f>
        <v>0</v>
      </c>
      <c r="M25" s="95" t="n">
        <f aca="false">SUM(M19:M24)</f>
        <v>0</v>
      </c>
      <c r="N25" s="150" t="n">
        <f aca="false">L25+M25</f>
        <v>0</v>
      </c>
      <c r="O25" s="95" t="n">
        <f aca="false">SUM(O19:O24)</f>
        <v>0</v>
      </c>
      <c r="P25" s="95" t="n">
        <f aca="false">SUM(P19:P24)</f>
        <v>0</v>
      </c>
      <c r="Q25" s="150" t="n">
        <f aca="false">O25+P25</f>
        <v>0</v>
      </c>
    </row>
    <row r="26" customFormat="false" ht="22.5" hidden="false" customHeight="true" outlineLevel="0" collapsed="false">
      <c r="B26" s="136"/>
      <c r="C26" s="35"/>
      <c r="D26" s="17"/>
      <c r="E26" s="18" t="n">
        <f aca="false">C26+D26</f>
        <v>0</v>
      </c>
      <c r="F26" s="35"/>
      <c r="G26" s="17"/>
      <c r="H26" s="18" t="n">
        <f aca="false">F26+G26</f>
        <v>0</v>
      </c>
      <c r="I26" s="35"/>
      <c r="J26" s="17"/>
      <c r="K26" s="18" t="n">
        <f aca="false">I26+J26</f>
        <v>0</v>
      </c>
      <c r="L26" s="35"/>
      <c r="M26" s="17"/>
      <c r="N26" s="18" t="n">
        <f aca="false">L26+M26</f>
        <v>0</v>
      </c>
      <c r="O26" s="35"/>
      <c r="P26" s="17"/>
      <c r="Q26" s="18" t="n">
        <f aca="false">O26+P26</f>
        <v>0</v>
      </c>
    </row>
    <row r="27" customFormat="false" ht="22.5" hidden="false" customHeight="true" outlineLevel="0" collapsed="false">
      <c r="B27" s="91"/>
      <c r="C27" s="52"/>
      <c r="D27" s="17"/>
      <c r="E27" s="18" t="n">
        <f aca="false">C27+D27</f>
        <v>0</v>
      </c>
      <c r="F27" s="52"/>
      <c r="G27" s="17"/>
      <c r="H27" s="18" t="n">
        <f aca="false">F27+G27</f>
        <v>0</v>
      </c>
      <c r="I27" s="52"/>
      <c r="J27" s="17"/>
      <c r="K27" s="18" t="n">
        <f aca="false">I27+J27</f>
        <v>0</v>
      </c>
      <c r="L27" s="52"/>
      <c r="M27" s="17"/>
      <c r="N27" s="18" t="n">
        <f aca="false">L27+M27</f>
        <v>0</v>
      </c>
      <c r="O27" s="52"/>
      <c r="P27" s="17"/>
      <c r="Q27" s="18" t="n">
        <f aca="false">O27+P27</f>
        <v>0</v>
      </c>
    </row>
    <row r="28" customFormat="false" ht="22.5" hidden="false" customHeight="true" outlineLevel="0" collapsed="false">
      <c r="B28" s="91"/>
      <c r="C28" s="52"/>
      <c r="D28" s="17"/>
      <c r="E28" s="18" t="n">
        <f aca="false">C28+D28</f>
        <v>0</v>
      </c>
      <c r="F28" s="52"/>
      <c r="G28" s="17"/>
      <c r="H28" s="18" t="n">
        <f aca="false">F28+G28</f>
        <v>0</v>
      </c>
      <c r="I28" s="52"/>
      <c r="J28" s="17"/>
      <c r="K28" s="18" t="n">
        <f aca="false">I28+J28</f>
        <v>0</v>
      </c>
      <c r="L28" s="52"/>
      <c r="M28" s="17"/>
      <c r="N28" s="18" t="n">
        <f aca="false">L28+M28</f>
        <v>0</v>
      </c>
      <c r="O28" s="52"/>
      <c r="P28" s="17"/>
      <c r="Q28" s="18" t="n">
        <f aca="false">O28+P28</f>
        <v>0</v>
      </c>
    </row>
    <row r="29" customFormat="false" ht="22.5" hidden="false" customHeight="true" outlineLevel="0" collapsed="false">
      <c r="B29" s="91"/>
      <c r="C29" s="52"/>
      <c r="D29" s="17"/>
      <c r="E29" s="18" t="n">
        <f aca="false">C29+D29</f>
        <v>0</v>
      </c>
      <c r="F29" s="52"/>
      <c r="G29" s="17"/>
      <c r="H29" s="18" t="n">
        <f aca="false">F29+G29</f>
        <v>0</v>
      </c>
      <c r="I29" s="52"/>
      <c r="J29" s="17"/>
      <c r="K29" s="18" t="n">
        <f aca="false">I29+J29</f>
        <v>0</v>
      </c>
      <c r="L29" s="52"/>
      <c r="M29" s="17"/>
      <c r="N29" s="18" t="n">
        <f aca="false">L29+M29</f>
        <v>0</v>
      </c>
      <c r="O29" s="52"/>
      <c r="P29" s="17"/>
      <c r="Q29" s="18" t="n">
        <f aca="false">O29+P29</f>
        <v>0</v>
      </c>
    </row>
    <row r="30" customFormat="false" ht="22.5" hidden="false" customHeight="true" outlineLevel="0" collapsed="false">
      <c r="B30" s="91"/>
      <c r="C30" s="52"/>
      <c r="D30" s="17"/>
      <c r="E30" s="18" t="n">
        <f aca="false">C30+D30</f>
        <v>0</v>
      </c>
      <c r="F30" s="52"/>
      <c r="G30" s="17"/>
      <c r="H30" s="18" t="n">
        <f aca="false">F30+G30</f>
        <v>0</v>
      </c>
      <c r="I30" s="52"/>
      <c r="J30" s="17"/>
      <c r="K30" s="18" t="n">
        <f aca="false">I30+J30</f>
        <v>0</v>
      </c>
      <c r="L30" s="52"/>
      <c r="M30" s="17"/>
      <c r="N30" s="18" t="n">
        <f aca="false">L30+M30</f>
        <v>0</v>
      </c>
      <c r="O30" s="52"/>
      <c r="P30" s="17"/>
      <c r="Q30" s="18" t="n">
        <f aca="false">O30+P30</f>
        <v>0</v>
      </c>
    </row>
    <row r="31" customFormat="false" ht="22.5" hidden="false" customHeight="true" outlineLevel="0" collapsed="false">
      <c r="B31" s="91"/>
      <c r="C31" s="52"/>
      <c r="D31" s="17"/>
      <c r="E31" s="18" t="n">
        <f aca="false">C31+D31</f>
        <v>0</v>
      </c>
      <c r="F31" s="52"/>
      <c r="G31" s="17"/>
      <c r="H31" s="18" t="n">
        <f aca="false">F31+G31</f>
        <v>0</v>
      </c>
      <c r="I31" s="52"/>
      <c r="J31" s="17"/>
      <c r="K31" s="18" t="n">
        <f aca="false">I31+J31</f>
        <v>0</v>
      </c>
      <c r="L31" s="52"/>
      <c r="M31" s="17"/>
      <c r="N31" s="18" t="n">
        <f aca="false">L31+M31</f>
        <v>0</v>
      </c>
      <c r="O31" s="52"/>
      <c r="P31" s="17"/>
      <c r="Q31" s="18" t="n">
        <f aca="false">O31+P31</f>
        <v>0</v>
      </c>
    </row>
    <row r="32" customFormat="false" ht="22.5" hidden="false" customHeight="true" outlineLevel="0" collapsed="false">
      <c r="B32" s="91"/>
      <c r="C32" s="52"/>
      <c r="D32" s="17"/>
      <c r="E32" s="18" t="n">
        <f aca="false">C32+D32</f>
        <v>0</v>
      </c>
      <c r="F32" s="52"/>
      <c r="G32" s="17"/>
      <c r="H32" s="18" t="n">
        <f aca="false">F32+G32</f>
        <v>0</v>
      </c>
      <c r="I32" s="52"/>
      <c r="J32" s="17"/>
      <c r="K32" s="18" t="n">
        <f aca="false">I32+J32</f>
        <v>0</v>
      </c>
      <c r="L32" s="52"/>
      <c r="M32" s="17"/>
      <c r="N32" s="18" t="n">
        <f aca="false">L32+M32</f>
        <v>0</v>
      </c>
      <c r="O32" s="52"/>
      <c r="P32" s="17"/>
      <c r="Q32" s="18" t="n">
        <f aca="false">O32+P32</f>
        <v>0</v>
      </c>
    </row>
    <row r="33" customFormat="false" ht="22.5" hidden="false" customHeight="true" outlineLevel="0" collapsed="false">
      <c r="B33" s="91"/>
      <c r="C33" s="52"/>
      <c r="D33" s="17"/>
      <c r="E33" s="18" t="n">
        <f aca="false">C33+D33</f>
        <v>0</v>
      </c>
      <c r="F33" s="52"/>
      <c r="G33" s="17"/>
      <c r="H33" s="18" t="n">
        <f aca="false">F33+G33</f>
        <v>0</v>
      </c>
      <c r="I33" s="52"/>
      <c r="J33" s="17"/>
      <c r="K33" s="18" t="n">
        <f aca="false">I33+J33</f>
        <v>0</v>
      </c>
      <c r="L33" s="52"/>
      <c r="M33" s="17"/>
      <c r="N33" s="18" t="n">
        <f aca="false">L33+M33</f>
        <v>0</v>
      </c>
      <c r="O33" s="52"/>
      <c r="P33" s="17"/>
      <c r="Q33" s="18" t="n">
        <f aca="false">O33+P33</f>
        <v>0</v>
      </c>
    </row>
    <row r="34" customFormat="false" ht="22.5" hidden="false" customHeight="true" outlineLevel="0" collapsed="false">
      <c r="B34" s="91"/>
      <c r="C34" s="52"/>
      <c r="D34" s="17"/>
      <c r="E34" s="18" t="n">
        <f aca="false">C34+D34</f>
        <v>0</v>
      </c>
      <c r="F34" s="52"/>
      <c r="G34" s="17"/>
      <c r="H34" s="18" t="n">
        <f aca="false">F34+G34</f>
        <v>0</v>
      </c>
      <c r="I34" s="52"/>
      <c r="J34" s="17"/>
      <c r="K34" s="18" t="n">
        <f aca="false">I34+J34</f>
        <v>0</v>
      </c>
      <c r="L34" s="52"/>
      <c r="M34" s="17"/>
      <c r="N34" s="18" t="n">
        <f aca="false">L34+M34</f>
        <v>0</v>
      </c>
      <c r="O34" s="52"/>
      <c r="P34" s="17"/>
      <c r="Q34" s="18" t="n">
        <f aca="false">O34+P34</f>
        <v>0</v>
      </c>
    </row>
    <row r="35" customFormat="false" ht="22.5" hidden="false" customHeight="true" outlineLevel="0" collapsed="false">
      <c r="B35" s="92"/>
      <c r="C35" s="37"/>
      <c r="D35" s="55"/>
      <c r="E35" s="18" t="n">
        <f aca="false">C35+D35</f>
        <v>0</v>
      </c>
      <c r="F35" s="37"/>
      <c r="G35" s="55"/>
      <c r="H35" s="18" t="n">
        <f aca="false">F35+G35</f>
        <v>0</v>
      </c>
      <c r="I35" s="37"/>
      <c r="J35" s="55"/>
      <c r="K35" s="18" t="n">
        <f aca="false">I35+J35</f>
        <v>0</v>
      </c>
      <c r="L35" s="37"/>
      <c r="M35" s="55"/>
      <c r="N35" s="18" t="n">
        <f aca="false">L35+M35</f>
        <v>0</v>
      </c>
      <c r="O35" s="37"/>
      <c r="P35" s="55"/>
      <c r="Q35" s="18" t="n">
        <f aca="false">O35+P35</f>
        <v>0</v>
      </c>
    </row>
    <row r="36" customFormat="false" ht="22.5" hidden="false" customHeight="true" outlineLevel="0" collapsed="false">
      <c r="B36" s="123" t="s">
        <v>116</v>
      </c>
      <c r="C36" s="95" t="n">
        <f aca="false">SUM(C26:C35)</f>
        <v>0</v>
      </c>
      <c r="D36" s="95" t="n">
        <f aca="false">SUM(D26:D35)</f>
        <v>0</v>
      </c>
      <c r="E36" s="285" t="n">
        <f aca="false">C36+D36</f>
        <v>0</v>
      </c>
      <c r="F36" s="95" t="n">
        <f aca="false">SUM(F26:F35)</f>
        <v>0</v>
      </c>
      <c r="G36" s="95" t="n">
        <f aca="false">SUM(G26:G35)</f>
        <v>0</v>
      </c>
      <c r="H36" s="285" t="n">
        <f aca="false">F36+G36</f>
        <v>0</v>
      </c>
      <c r="I36" s="95" t="n">
        <f aca="false">SUM(I26:I35)</f>
        <v>0</v>
      </c>
      <c r="J36" s="95" t="n">
        <f aca="false">SUM(J26:J35)</f>
        <v>0</v>
      </c>
      <c r="K36" s="285" t="n">
        <f aca="false">I36+J36</f>
        <v>0</v>
      </c>
      <c r="L36" s="95" t="n">
        <f aca="false">SUM(L26:L35)</f>
        <v>0</v>
      </c>
      <c r="M36" s="95" t="n">
        <f aca="false">SUM(M26:M35)</f>
        <v>0</v>
      </c>
      <c r="N36" s="285" t="n">
        <f aca="false">L36+M36</f>
        <v>0</v>
      </c>
      <c r="O36" s="95" t="n">
        <f aca="false">SUM(O26:O35)</f>
        <v>0</v>
      </c>
      <c r="P36" s="95" t="n">
        <f aca="false">SUM(P26:P35)</f>
        <v>0</v>
      </c>
      <c r="Q36" s="285" t="n">
        <f aca="false">O36+P36</f>
        <v>0</v>
      </c>
    </row>
    <row r="37" customFormat="false" ht="22.5" hidden="false" customHeight="true" outlineLevel="0" collapsed="false">
      <c r="B37" s="125" t="s">
        <v>117</v>
      </c>
      <c r="C37" s="95" t="n">
        <f aca="false">C11+C18+C25+C36</f>
        <v>500000</v>
      </c>
      <c r="D37" s="95" t="n">
        <f aca="false">D11+D18+D25+D36</f>
        <v>-500000</v>
      </c>
      <c r="E37" s="150" t="n">
        <f aca="false">C37+D37</f>
        <v>0</v>
      </c>
      <c r="F37" s="95" t="n">
        <f aca="false">F11+F18+F25+F36</f>
        <v>500000</v>
      </c>
      <c r="G37" s="95" t="n">
        <f aca="false">G11+G18+G25+G36</f>
        <v>-500000</v>
      </c>
      <c r="H37" s="150" t="n">
        <f aca="false">F37+G37</f>
        <v>0</v>
      </c>
      <c r="I37" s="95" t="n">
        <f aca="false">I11+I18+I25+I36</f>
        <v>500000</v>
      </c>
      <c r="J37" s="95" t="n">
        <f aca="false">J11+J18+J25+J36</f>
        <v>-500000</v>
      </c>
      <c r="K37" s="150" t="n">
        <f aca="false">I37+J37</f>
        <v>0</v>
      </c>
      <c r="L37" s="95" t="n">
        <f aca="false">L11+L18+L25+L36</f>
        <v>500000</v>
      </c>
      <c r="M37" s="95" t="n">
        <f aca="false">M11+M18+M25+M36</f>
        <v>-500000</v>
      </c>
      <c r="N37" s="150" t="n">
        <f aca="false">L37+M37</f>
        <v>0</v>
      </c>
      <c r="O37" s="95" t="n">
        <f aca="false">O11+O18+O25+O36</f>
        <v>500000</v>
      </c>
      <c r="P37" s="95" t="n">
        <f aca="false">P11+P18+P25+P36</f>
        <v>-500000</v>
      </c>
      <c r="Q37" s="150" t="n">
        <f aca="false">O37+P37</f>
        <v>0</v>
      </c>
    </row>
    <row r="38" customFormat="false" ht="22.5" hidden="false" customHeight="true" outlineLevel="0" collapsed="false">
      <c r="B38" s="126" t="s">
        <v>118</v>
      </c>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94" t="s">
        <v>119</v>
      </c>
      <c r="C39" s="95" t="n">
        <f aca="false">SUM(C37:C38)</f>
        <v>500000</v>
      </c>
      <c r="D39" s="95" t="n">
        <f aca="false">SUM(D37:D38)</f>
        <v>-500000</v>
      </c>
      <c r="E39" s="150" t="n">
        <f aca="false">C39+D39</f>
        <v>0</v>
      </c>
      <c r="F39" s="95" t="n">
        <f aca="false">SUM(F37:F38)</f>
        <v>500000</v>
      </c>
      <c r="G39" s="95" t="n">
        <f aca="false">SUM(G37:G38)</f>
        <v>-500000</v>
      </c>
      <c r="H39" s="150" t="n">
        <f aca="false">F39+G39</f>
        <v>0</v>
      </c>
      <c r="I39" s="95" t="n">
        <f aca="false">SUM(I37:I38)</f>
        <v>500000</v>
      </c>
      <c r="J39" s="95" t="n">
        <f aca="false">SUM(J37:J38)</f>
        <v>-500000</v>
      </c>
      <c r="K39" s="150" t="n">
        <f aca="false">I39+J39</f>
        <v>0</v>
      </c>
      <c r="L39" s="95" t="n">
        <f aca="false">SUM(L37:L38)</f>
        <v>500000</v>
      </c>
      <c r="M39" s="95" t="n">
        <f aca="false">SUM(M37:M38)</f>
        <v>-500000</v>
      </c>
      <c r="N39" s="150" t="n">
        <f aca="false">L39+M39</f>
        <v>0</v>
      </c>
      <c r="O39" s="95" t="n">
        <f aca="false">SUM(O37:O38)</f>
        <v>500000</v>
      </c>
      <c r="P39" s="95" t="n">
        <f aca="false">SUM(P37:P38)</f>
        <v>-500000</v>
      </c>
      <c r="Q39" s="150" t="n">
        <f aca="false">O39+P39</f>
        <v>0</v>
      </c>
    </row>
    <row r="40" customFormat="false" ht="22.5" hidden="false" customHeight="true" outlineLevel="0" collapsed="false">
      <c r="B40" s="127" t="s">
        <v>120</v>
      </c>
      <c r="C40" s="130"/>
      <c r="D40" s="286"/>
      <c r="E40" s="287" t="n">
        <f aca="false">C40+D40</f>
        <v>0</v>
      </c>
      <c r="F40" s="130"/>
      <c r="G40" s="286"/>
      <c r="H40" s="287" t="n">
        <f aca="false">F40+G40</f>
        <v>0</v>
      </c>
      <c r="I40" s="130"/>
      <c r="J40" s="286"/>
      <c r="K40" s="287" t="n">
        <f aca="false">I40+J40</f>
        <v>0</v>
      </c>
      <c r="L40" s="130"/>
      <c r="M40" s="286"/>
      <c r="N40" s="287" t="n">
        <f aca="false">L40+M40</f>
        <v>0</v>
      </c>
      <c r="O40" s="130"/>
      <c r="P40" s="286"/>
      <c r="Q40" s="287" t="n">
        <f aca="false">O40+P40</f>
        <v>0</v>
      </c>
    </row>
    <row r="41" customFormat="false" ht="22.5" hidden="false" customHeight="true" outlineLevel="0" collapsed="false">
      <c r="B41" s="94" t="s">
        <v>121</v>
      </c>
      <c r="C41" s="95" t="n">
        <f aca="false">C39-C40</f>
        <v>500000</v>
      </c>
      <c r="D41" s="95" t="n">
        <f aca="false">D39-D40</f>
        <v>-500000</v>
      </c>
      <c r="E41" s="284" t="n">
        <f aca="false">C41+D41</f>
        <v>0</v>
      </c>
      <c r="F41" s="95" t="n">
        <f aca="false">F39-F40</f>
        <v>500000</v>
      </c>
      <c r="G41" s="95" t="n">
        <f aca="false">G39-G40</f>
        <v>-500000</v>
      </c>
      <c r="H41" s="284" t="n">
        <f aca="false">F41+G41</f>
        <v>0</v>
      </c>
      <c r="I41" s="95" t="n">
        <f aca="false">I39-I40</f>
        <v>500000</v>
      </c>
      <c r="J41" s="95" t="n">
        <f aca="false">J39-J40</f>
        <v>-500000</v>
      </c>
      <c r="K41" s="284" t="n">
        <f aca="false">I41+J41</f>
        <v>0</v>
      </c>
      <c r="L41" s="95" t="n">
        <f aca="false">L39-L40</f>
        <v>500000</v>
      </c>
      <c r="M41" s="95" t="n">
        <f aca="false">M39-M40</f>
        <v>-500000</v>
      </c>
      <c r="N41" s="284" t="n">
        <f aca="false">L41+M41</f>
        <v>0</v>
      </c>
      <c r="O41" s="95" t="n">
        <f aca="false">O39-O40</f>
        <v>500000</v>
      </c>
      <c r="P41" s="95" t="n">
        <f aca="false">P39-P40</f>
        <v>-500000</v>
      </c>
      <c r="Q41" s="284" t="n">
        <f aca="false">O41+P41</f>
        <v>0</v>
      </c>
    </row>
    <row r="42" customFormat="false" ht="18" hidden="false" customHeight="true" outlineLevel="0" collapsed="false">
      <c r="C42" s="43"/>
      <c r="D42" s="43"/>
      <c r="E42" s="43"/>
      <c r="F42" s="43"/>
      <c r="G42" s="43"/>
      <c r="H42" s="43"/>
      <c r="I42" s="43"/>
      <c r="J42" s="43"/>
      <c r="K42" s="43"/>
      <c r="L42" s="43"/>
      <c r="M42" s="43"/>
      <c r="N42" s="43"/>
      <c r="O42" s="43"/>
      <c r="P42" s="43"/>
      <c r="Q42" s="43"/>
    </row>
    <row r="43" customFormat="false" ht="18" hidden="false" customHeight="true" outlineLevel="0" collapsed="false">
      <c r="C43" s="43"/>
      <c r="D43" s="43"/>
      <c r="E43" s="43"/>
      <c r="F43" s="43"/>
      <c r="G43" s="43"/>
      <c r="H43" s="43"/>
      <c r="I43" s="43"/>
      <c r="J43" s="43"/>
      <c r="K43" s="43"/>
      <c r="L43" s="43"/>
      <c r="M43" s="43"/>
      <c r="N43" s="43"/>
      <c r="O43" s="43"/>
      <c r="P43" s="43"/>
      <c r="Q43" s="43"/>
    </row>
    <row r="44" customFormat="false" ht="18" hidden="false" customHeight="true" outlineLevel="0" collapsed="false">
      <c r="C44" s="43"/>
      <c r="D44" s="43"/>
      <c r="E44" s="43"/>
      <c r="F44" s="43"/>
      <c r="G44" s="43"/>
      <c r="H44" s="43"/>
      <c r="I44" s="43"/>
      <c r="J44" s="43"/>
      <c r="K44" s="43"/>
      <c r="L44" s="43"/>
      <c r="M44" s="43"/>
      <c r="N44" s="43"/>
      <c r="O44" s="43"/>
      <c r="P44" s="43"/>
      <c r="Q44" s="4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B6" activeCellId="0" sqref="B6"/>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3" min="10" style="20" width="20.25"/>
  </cols>
  <sheetData>
    <row r="2" customFormat="false" ht="18.75" hidden="false" customHeight="true" outlineLevel="0" collapsed="false">
      <c r="C2" s="47" t="s">
        <v>49</v>
      </c>
      <c r="H2" s="47" t="s">
        <v>49</v>
      </c>
      <c r="M2" s="47" t="s">
        <v>49</v>
      </c>
    </row>
    <row r="3" customFormat="false" ht="21.75" hidden="false" customHeight="true" outlineLevel="0" collapsed="false">
      <c r="B3" s="61" t="str">
        <f aca="false">修正PL!I3</f>
        <v>26年1月期</v>
      </c>
      <c r="C3" s="177" t="s">
        <v>255</v>
      </c>
      <c r="E3" s="61"/>
      <c r="F3" s="61" t="str">
        <f aca="false">修正PL!C3</f>
        <v>24年1月期</v>
      </c>
      <c r="G3" s="61" t="str">
        <f aca="false">修正PL!F3</f>
        <v>25年1月期</v>
      </c>
      <c r="H3" s="61" t="str">
        <f aca="false">修正PL!I3</f>
        <v>26年1月期</v>
      </c>
      <c r="J3" s="61" t="s">
        <v>262</v>
      </c>
      <c r="K3" s="250" t="s">
        <v>263</v>
      </c>
      <c r="L3" s="250" t="s">
        <v>264</v>
      </c>
      <c r="M3" s="250" t="s">
        <v>265</v>
      </c>
    </row>
    <row r="4" s="288" customFormat="true" ht="31.5" hidden="false" customHeight="true" outlineLevel="0" collapsed="false">
      <c r="B4" s="179" t="s">
        <v>266</v>
      </c>
      <c r="C4" s="89" t="n">
        <f aca="false">'BS (貸方)'!E50</f>
        <v>333535909</v>
      </c>
      <c r="E4" s="179" t="s">
        <v>267</v>
      </c>
      <c r="F4" s="89" t="n">
        <f aca="false">修正PL!C22</f>
        <v>6159294</v>
      </c>
      <c r="G4" s="89" t="n">
        <f aca="false">修正PL!F22</f>
        <v>78190765</v>
      </c>
      <c r="H4" s="89" t="n">
        <f aca="false">修正PL!I22</f>
        <v>58513810</v>
      </c>
      <c r="J4" s="289" t="s">
        <v>268</v>
      </c>
      <c r="K4" s="290" t="n">
        <f aca="false">C7</f>
        <v>333668569</v>
      </c>
      <c r="L4" s="290"/>
      <c r="M4" s="290"/>
    </row>
    <row r="5" s="288" customFormat="true" ht="31.5" hidden="false" customHeight="true" outlineLevel="0" collapsed="false">
      <c r="B5" s="145" t="s">
        <v>163</v>
      </c>
      <c r="C5" s="181" t="n">
        <f aca="false">'修正BS(貸方) '!D52</f>
        <v>201000</v>
      </c>
      <c r="E5" s="145" t="s">
        <v>163</v>
      </c>
      <c r="F5" s="181" t="n">
        <f aca="false">修正PL!D22</f>
        <v>2299802</v>
      </c>
      <c r="G5" s="181" t="n">
        <f aca="false">修正PL!G22</f>
        <v>-6301711</v>
      </c>
      <c r="H5" s="181" t="n">
        <f aca="false">修正PL!J22</f>
        <v>-5685632</v>
      </c>
      <c r="J5" s="158" t="s">
        <v>269</v>
      </c>
      <c r="K5" s="35" t="n">
        <f aca="false">H10*1</f>
        <v>32783932.104</v>
      </c>
      <c r="L5" s="227" t="n">
        <f aca="false">H10*2</f>
        <v>65567864.208</v>
      </c>
      <c r="M5" s="227" t="n">
        <f aca="false">H10*3</f>
        <v>98351796.312</v>
      </c>
    </row>
    <row r="6" s="288" customFormat="true" ht="31.5" hidden="false" customHeight="true" outlineLevel="0" collapsed="false">
      <c r="B6" s="145" t="s">
        <v>270</v>
      </c>
      <c r="C6" s="181" t="n">
        <f aca="false">-C5*0.34</f>
        <v>-68340</v>
      </c>
      <c r="E6" s="291" t="s">
        <v>271</v>
      </c>
      <c r="F6" s="140" t="n">
        <f aca="false">SUM(F4:F5)</f>
        <v>8459096</v>
      </c>
      <c r="G6" s="140" t="n">
        <f aca="false">SUM(G4:G5)</f>
        <v>71889054</v>
      </c>
      <c r="H6" s="140" t="n">
        <f aca="false">SUM(H4:H5)</f>
        <v>52828178</v>
      </c>
      <c r="J6" s="292" t="s">
        <v>272</v>
      </c>
      <c r="K6" s="293" t="n">
        <f aca="false">K4+K5</f>
        <v>366452501.104</v>
      </c>
      <c r="L6" s="293" t="n">
        <f aca="false">K4+L5</f>
        <v>399236433.208</v>
      </c>
      <c r="M6" s="294" t="n">
        <f aca="false">K4+M5</f>
        <v>432020365.312</v>
      </c>
    </row>
    <row r="7" s="288" customFormat="true" ht="31.5" hidden="false" customHeight="true" outlineLevel="0" collapsed="false">
      <c r="B7" s="186" t="s">
        <v>268</v>
      </c>
      <c r="C7" s="187" t="n">
        <f aca="false">SUM(C4:C6)</f>
        <v>333668569</v>
      </c>
      <c r="E7" s="145" t="s">
        <v>273</v>
      </c>
      <c r="F7" s="181" t="n">
        <f aca="false">-F6*0.34</f>
        <v>-2876092.64</v>
      </c>
      <c r="G7" s="181" t="n">
        <f aca="false">-G6*0.34</f>
        <v>-24442278.36</v>
      </c>
      <c r="H7" s="181" t="n">
        <f aca="false">-H6*0.34</f>
        <v>-17961580.52</v>
      </c>
    </row>
    <row r="8" s="288" customFormat="true" ht="31.5" hidden="false" customHeight="true" outlineLevel="0" collapsed="false">
      <c r="E8" s="295" t="s">
        <v>274</v>
      </c>
      <c r="F8" s="187" t="n">
        <f aca="false">SUM(F6:F7)</f>
        <v>5583003.36</v>
      </c>
      <c r="G8" s="187" t="n">
        <f aca="false">SUM(G6:G7)</f>
        <v>47446775.64</v>
      </c>
      <c r="H8" s="187" t="n">
        <f aca="false">SUM(H6:H7)</f>
        <v>34866597.48</v>
      </c>
    </row>
    <row r="9" s="288" customFormat="true" ht="15" hidden="false" customHeight="true" outlineLevel="0" collapsed="false"/>
    <row r="10" s="288" customFormat="true" ht="31.5" hidden="false" customHeight="true" outlineLevel="0" collapsed="false">
      <c r="G10" s="296" t="s">
        <v>275</v>
      </c>
      <c r="H10" s="187" t="n">
        <f aca="false">(H8*0.5+G8*0.3+F8*0.2)</f>
        <v>32783932.104</v>
      </c>
    </row>
  </sheetData>
  <mergeCells count="1">
    <mergeCell ref="K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0" min="10" style="20" width="26"/>
    <col collapsed="false" customWidth="true" hidden="false" outlineLevel="0" max="13" min="11" style="20" width="20.25"/>
  </cols>
  <sheetData>
    <row r="2" customFormat="false" ht="18.75" hidden="false" customHeight="true" outlineLevel="0" collapsed="false">
      <c r="C2" s="47" t="s">
        <v>49</v>
      </c>
      <c r="H2" s="47" t="s">
        <v>49</v>
      </c>
      <c r="M2" s="47" t="s">
        <v>49</v>
      </c>
    </row>
    <row r="3" customFormat="false" ht="21.75" hidden="false" customHeight="true" outlineLevel="0" collapsed="false">
      <c r="B3" s="61" t="str">
        <f aca="false">PL!G3</f>
        <v>26年1月期</v>
      </c>
      <c r="C3" s="177" t="s">
        <v>255</v>
      </c>
      <c r="E3" s="61"/>
      <c r="F3" s="61" t="str">
        <f aca="false">修正PL!C3</f>
        <v>24年1月期</v>
      </c>
      <c r="G3" s="61" t="str">
        <f aca="false">修正PL!F3</f>
        <v>25年1月期</v>
      </c>
      <c r="H3" s="61" t="str">
        <f aca="false">修正PL!I3</f>
        <v>26年1月期</v>
      </c>
      <c r="J3" s="61" t="s">
        <v>276</v>
      </c>
      <c r="K3" s="250" t="s">
        <v>265</v>
      </c>
      <c r="L3" s="250" t="s">
        <v>277</v>
      </c>
      <c r="M3" s="250" t="s">
        <v>278</v>
      </c>
    </row>
    <row r="4" s="288" customFormat="true" ht="31.5" hidden="false" customHeight="true" outlineLevel="0" collapsed="false">
      <c r="B4" s="297" t="s">
        <v>279</v>
      </c>
      <c r="C4" s="89" t="n">
        <f aca="false">ネットキャッシュ!C13</f>
        <v>512449590</v>
      </c>
      <c r="E4" s="179" t="s">
        <v>267</v>
      </c>
      <c r="F4" s="89" t="n">
        <f aca="false">修正PL!C22</f>
        <v>6159294</v>
      </c>
      <c r="G4" s="89" t="n">
        <f aca="false">修正PL!F22</f>
        <v>78190765</v>
      </c>
      <c r="H4" s="89" t="n">
        <f aca="false">修正PL!I22</f>
        <v>58513810</v>
      </c>
      <c r="J4" s="298" t="s">
        <v>280</v>
      </c>
      <c r="K4" s="299" t="n">
        <f aca="false">H10*3</f>
        <v>151900734.3</v>
      </c>
      <c r="L4" s="300" t="n">
        <f aca="false">H10*4</f>
        <v>202534312.4</v>
      </c>
      <c r="M4" s="300" t="n">
        <f aca="false">H10*5</f>
        <v>253167890.5</v>
      </c>
    </row>
    <row r="5" s="288" customFormat="true" ht="31.5" hidden="false" customHeight="true" outlineLevel="0" collapsed="false">
      <c r="B5" s="301" t="s">
        <v>281</v>
      </c>
      <c r="C5" s="181" t="n">
        <f aca="false">ネットキャッシュ!F13</f>
        <v>190737500</v>
      </c>
      <c r="E5" s="145" t="s">
        <v>163</v>
      </c>
      <c r="F5" s="181" t="n">
        <f aca="false">修正PL!D22</f>
        <v>2299802</v>
      </c>
      <c r="G5" s="181" t="n">
        <f aca="false">修正PL!G22</f>
        <v>-6301711</v>
      </c>
      <c r="H5" s="181" t="n">
        <f aca="false">修正PL!J22</f>
        <v>-5685632</v>
      </c>
      <c r="J5" s="149" t="s">
        <v>282</v>
      </c>
      <c r="K5" s="299" t="n">
        <f aca="false">-K4*0.3</f>
        <v>-45570220.29</v>
      </c>
      <c r="L5" s="299" t="n">
        <f aca="false">-L4*0.3</f>
        <v>-60760293.72</v>
      </c>
      <c r="M5" s="299" t="n">
        <f aca="false">-M4*0.3</f>
        <v>-75950367.15</v>
      </c>
    </row>
    <row r="6" s="288" customFormat="true" ht="31.5" hidden="false" customHeight="true" outlineLevel="0" collapsed="false">
      <c r="B6" s="186" t="s">
        <v>257</v>
      </c>
      <c r="C6" s="187" t="n">
        <f aca="false">C4-C5</f>
        <v>321712090</v>
      </c>
      <c r="E6" s="291" t="s">
        <v>271</v>
      </c>
      <c r="F6" s="140" t="n">
        <f aca="false">SUM(F4:F5)</f>
        <v>8459096</v>
      </c>
      <c r="G6" s="140" t="n">
        <f aca="false">SUM(G4:G5)</f>
        <v>71889054</v>
      </c>
      <c r="H6" s="140" t="n">
        <f aca="false">SUM(H4:H5)</f>
        <v>52828178</v>
      </c>
      <c r="J6" s="158" t="str">
        <f aca="false">B6</f>
        <v>ネットキャッシュ</v>
      </c>
      <c r="K6" s="302" t="n">
        <f aca="false">C6</f>
        <v>321712090</v>
      </c>
      <c r="L6" s="302"/>
      <c r="M6" s="302"/>
    </row>
    <row r="7" s="288" customFormat="true" ht="31.5" hidden="false" customHeight="true" outlineLevel="0" collapsed="false">
      <c r="E7" s="145" t="s">
        <v>151</v>
      </c>
      <c r="F7" s="181" t="n">
        <f aca="false">修正SGA!E33</f>
        <v>881300</v>
      </c>
      <c r="G7" s="181" t="n">
        <f aca="false">修正SGA!H33</f>
        <v>644524</v>
      </c>
      <c r="H7" s="181" t="n">
        <f aca="false">修正SGA!K33</f>
        <v>1182673</v>
      </c>
      <c r="J7" s="292" t="s">
        <v>272</v>
      </c>
      <c r="K7" s="293" t="n">
        <f aca="false">SUM(K4:K6)</f>
        <v>428042604.01</v>
      </c>
      <c r="L7" s="293" t="n">
        <f aca="false">SUM(L4:L5)+K6</f>
        <v>463486108.68</v>
      </c>
      <c r="M7" s="294" t="n">
        <f aca="false">SUM(M4:M5)+K6</f>
        <v>498929613.35</v>
      </c>
    </row>
    <row r="8" s="288" customFormat="true" ht="31.5" hidden="false" customHeight="true" outlineLevel="0" collapsed="false">
      <c r="E8" s="303" t="s">
        <v>283</v>
      </c>
      <c r="F8" s="187" t="n">
        <f aca="false">SUM(F6:F7)</f>
        <v>9340396</v>
      </c>
      <c r="G8" s="187" t="n">
        <f aca="false">SUM(G6:G7)</f>
        <v>72533578</v>
      </c>
      <c r="H8" s="187" t="n">
        <f aca="false">SUM(H6:H7)</f>
        <v>54010851</v>
      </c>
    </row>
    <row r="9" s="288" customFormat="true" ht="15" hidden="false" customHeight="true" outlineLevel="0" collapsed="false"/>
    <row r="10" s="288" customFormat="true" ht="31.5" hidden="false" customHeight="true" outlineLevel="0" collapsed="false">
      <c r="G10" s="296" t="s">
        <v>284</v>
      </c>
      <c r="H10" s="187" t="n">
        <f aca="false">(H8*0.5+G8*0.3+F8*0.2)</f>
        <v>50633578.1</v>
      </c>
    </row>
  </sheetData>
  <mergeCells count="1">
    <mergeCell ref="K6:M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8" zeroHeight="false" outlineLevelRow="0" outlineLevelCol="0"/>
  <cols>
    <col collapsed="false" customWidth="true" hidden="false" outlineLevel="0" max="2" min="2" style="20" width="36.63"/>
    <col collapsed="false" customWidth="true" hidden="false" outlineLevel="0" max="3" min="3" style="20" width="18.63"/>
    <col collapsed="false" customWidth="true" hidden="false" outlineLevel="0" max="4" min="4" style="20" width="55.13"/>
    <col collapsed="false" customWidth="true" hidden="false" outlineLevel="0" max="5" min="5" style="20" width="18.63"/>
  </cols>
  <sheetData>
    <row r="2" customFormat="false" ht="18.75" hidden="false" customHeight="true" outlineLevel="0" collapsed="false">
      <c r="E2" s="47" t="s">
        <v>49</v>
      </c>
    </row>
    <row r="3" customFormat="false" ht="21.75" hidden="false" customHeight="true" outlineLevel="0" collapsed="false">
      <c r="B3" s="61" t="s">
        <v>285</v>
      </c>
      <c r="C3" s="208" t="s">
        <v>286</v>
      </c>
      <c r="D3" s="208" t="s">
        <v>287</v>
      </c>
      <c r="E3" s="304" t="s">
        <v>288</v>
      </c>
    </row>
    <row r="4" customFormat="false" ht="31.5" hidden="false" customHeight="true" outlineLevel="0" collapsed="false">
      <c r="B4" s="179" t="s">
        <v>289</v>
      </c>
      <c r="C4" s="305" t="s">
        <v>290</v>
      </c>
      <c r="D4" s="305" t="s">
        <v>291</v>
      </c>
      <c r="E4" s="306"/>
    </row>
    <row r="5" customFormat="false" ht="31.5" hidden="false" customHeight="true" outlineLevel="0" collapsed="false">
      <c r="B5" s="149" t="s">
        <v>292</v>
      </c>
      <c r="C5" s="307" t="s">
        <v>293</v>
      </c>
      <c r="D5" s="307" t="s">
        <v>294</v>
      </c>
      <c r="E5" s="308"/>
    </row>
    <row r="6" customFormat="false" ht="31.5" hidden="false" customHeight="true" outlineLevel="0" collapsed="false">
      <c r="B6" s="149" t="s">
        <v>295</v>
      </c>
      <c r="C6" s="307" t="s">
        <v>296</v>
      </c>
      <c r="D6" s="307" t="s">
        <v>297</v>
      </c>
      <c r="E6" s="308"/>
    </row>
    <row r="7" customFormat="false" ht="31.5" hidden="false" customHeight="true" outlineLevel="0" collapsed="false">
      <c r="B7" s="149" t="s">
        <v>298</v>
      </c>
      <c r="C7" s="307" t="s">
        <v>299</v>
      </c>
      <c r="D7" s="307" t="s">
        <v>300</v>
      </c>
      <c r="E7" s="308"/>
    </row>
    <row r="8" customFormat="false" ht="31.5" hidden="false" customHeight="true" outlineLevel="0" collapsed="false">
      <c r="B8" s="149" t="s">
        <v>301</v>
      </c>
      <c r="C8" s="307" t="s">
        <v>302</v>
      </c>
      <c r="D8" s="309" t="s">
        <v>303</v>
      </c>
      <c r="E8" s="308"/>
    </row>
    <row r="9" customFormat="false" ht="31.5" hidden="false" customHeight="true" outlineLevel="0" collapsed="false">
      <c r="B9" s="149" t="s">
        <v>304</v>
      </c>
      <c r="C9" s="307" t="s">
        <v>305</v>
      </c>
      <c r="D9" s="307" t="s">
        <v>306</v>
      </c>
      <c r="E9" s="308"/>
    </row>
    <row r="10" customFormat="false" ht="31.5" hidden="false" customHeight="true" outlineLevel="0" collapsed="false">
      <c r="B10" s="149" t="s">
        <v>307</v>
      </c>
      <c r="C10" s="307" t="s">
        <v>302</v>
      </c>
      <c r="D10" s="307" t="s">
        <v>308</v>
      </c>
      <c r="E10" s="308"/>
    </row>
    <row r="11" customFormat="false" ht="31.5" hidden="false" customHeight="true" outlineLevel="0" collapsed="false">
      <c r="B11" s="149" t="s">
        <v>309</v>
      </c>
      <c r="C11" s="307" t="s">
        <v>310</v>
      </c>
      <c r="D11" s="307" t="s">
        <v>311</v>
      </c>
      <c r="E11" s="308"/>
    </row>
    <row r="12" customFormat="false" ht="31.5" hidden="false" customHeight="true" outlineLevel="0" collapsed="false">
      <c r="B12" s="149" t="s">
        <v>312</v>
      </c>
      <c r="C12" s="307" t="s">
        <v>299</v>
      </c>
      <c r="D12" s="307" t="s">
        <v>313</v>
      </c>
      <c r="E12" s="308"/>
    </row>
    <row r="13" customFormat="false" ht="31.5" hidden="false" customHeight="true" outlineLevel="0" collapsed="false">
      <c r="B13" s="158" t="s">
        <v>314</v>
      </c>
      <c r="C13" s="310" t="s">
        <v>290</v>
      </c>
      <c r="D13" s="310" t="s">
        <v>315</v>
      </c>
      <c r="E13" s="311"/>
    </row>
    <row r="14" customFormat="false" ht="31.5" hidden="false" customHeight="true" outlineLevel="0" collapsed="false">
      <c r="B14" s="312"/>
      <c r="C14" s="312"/>
      <c r="D14" s="313" t="s">
        <v>316</v>
      </c>
      <c r="E14" s="314" t="str">
        <f aca="false">IFERROR(AVERAGE(E4:E13),"-")</f>
        <v>-</v>
      </c>
    </row>
    <row r="15" customFormat="false" ht="31.5" hidden="false" customHeight="true" outlineLevel="0" collapsed="false">
      <c r="B15" s="315"/>
      <c r="C15" s="315"/>
      <c r="D15" s="316" t="s">
        <v>317</v>
      </c>
      <c r="E15" s="317" t="str">
        <f aca="false">IFERROR(MEDIAN(E4:E13),"-")</f>
        <v>-</v>
      </c>
    </row>
    <row r="16" customFormat="false" ht="31.5" hidden="false" customHeight="true" outlineLevel="0" collapsed="false"/>
    <row r="17" customFormat="false" ht="31.5" hidden="false" customHeight="true" outlineLevel="0" collapsed="false">
      <c r="B17" s="247" t="s">
        <v>318</v>
      </c>
    </row>
    <row r="18" customFormat="false" ht="15" hidden="false" customHeight="true" outlineLevel="0" collapsed="false">
      <c r="B18" s="247" t="s">
        <v>319</v>
      </c>
    </row>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75" defaultRowHeight="18.75" zeroHeight="false" outlineLevelRow="0" outlineLevelCol="0"/>
  <cols>
    <col collapsed="false" customWidth="false" hidden="false" outlineLevel="0" max="1" min="1" style="318" width="8.75"/>
    <col collapsed="false" customWidth="true" hidden="false" outlineLevel="0" max="2" min="2" style="318" width="17.13"/>
    <col collapsed="false" customWidth="true" hidden="false" outlineLevel="0" max="3" min="3" style="318" width="58.75"/>
    <col collapsed="false" customWidth="false" hidden="false" outlineLevel="0" max="16384" min="4" style="318" width="8.75"/>
  </cols>
  <sheetData>
    <row r="2" customFormat="false" ht="19.5" hidden="false" customHeight="true" outlineLevel="0" collapsed="false">
      <c r="B2" s="61" t="s">
        <v>320</v>
      </c>
      <c r="C2" s="177" t="s">
        <v>321</v>
      </c>
    </row>
    <row r="3" customFormat="false" ht="22.5" hidden="false" customHeight="true" outlineLevel="0" collapsed="false">
      <c r="B3" s="289" t="s">
        <v>322</v>
      </c>
      <c r="C3" s="319" t="s">
        <v>323</v>
      </c>
    </row>
    <row r="4" customFormat="false" ht="22.5" hidden="false" customHeight="true" outlineLevel="0" collapsed="false">
      <c r="B4" s="145" t="s">
        <v>324</v>
      </c>
      <c r="C4" s="320" t="s">
        <v>325</v>
      </c>
    </row>
    <row r="5" customFormat="false" ht="57" hidden="false" customHeight="true" outlineLevel="0" collapsed="false">
      <c r="B5" s="145" t="s">
        <v>326</v>
      </c>
      <c r="C5" s="321" t="s">
        <v>327</v>
      </c>
    </row>
    <row r="6" customFormat="false" ht="22.5" hidden="false" customHeight="true" outlineLevel="0" collapsed="false">
      <c r="B6" s="145" t="s">
        <v>328</v>
      </c>
      <c r="C6" s="322" t="s">
        <v>329</v>
      </c>
    </row>
    <row r="7" customFormat="false" ht="22.5" hidden="false" customHeight="true" outlineLevel="0" collapsed="false">
      <c r="B7" s="145" t="s">
        <v>64</v>
      </c>
      <c r="C7" s="322" t="s">
        <v>330</v>
      </c>
    </row>
    <row r="8" customFormat="false" ht="22.5" hidden="false" customHeight="true" outlineLevel="0" collapsed="false">
      <c r="B8" s="145" t="s">
        <v>331</v>
      </c>
      <c r="C8" s="320" t="s">
        <v>332</v>
      </c>
    </row>
    <row r="9" customFormat="false" ht="39" hidden="false" customHeight="true" outlineLevel="0" collapsed="false">
      <c r="B9" s="145" t="s">
        <v>333</v>
      </c>
      <c r="C9" s="321" t="s">
        <v>334</v>
      </c>
    </row>
    <row r="10" customFormat="false" ht="22.5" hidden="false" customHeight="true" outlineLevel="0" collapsed="false">
      <c r="B10" s="145" t="s">
        <v>287</v>
      </c>
      <c r="C10" s="320" t="s">
        <v>335</v>
      </c>
    </row>
    <row r="11" customFormat="false" ht="22.5" hidden="false" customHeight="true" outlineLevel="0" collapsed="false">
      <c r="B11" s="145" t="s">
        <v>336</v>
      </c>
      <c r="C11" s="322" t="s">
        <v>337</v>
      </c>
    </row>
    <row r="12" customFormat="false" ht="22.5" hidden="false" customHeight="true" outlineLevel="0" collapsed="false">
      <c r="B12" s="145" t="s">
        <v>338</v>
      </c>
      <c r="C12" s="320" t="s">
        <v>339</v>
      </c>
    </row>
    <row r="13" customFormat="false" ht="22.5" hidden="false" customHeight="true" outlineLevel="0" collapsed="false">
      <c r="B13" s="145" t="s">
        <v>74</v>
      </c>
      <c r="C13" s="322" t="s">
        <v>340</v>
      </c>
    </row>
    <row r="14" customFormat="false" ht="22.5" hidden="false" customHeight="true" outlineLevel="0" collapsed="false">
      <c r="B14" s="145" t="s">
        <v>341</v>
      </c>
      <c r="C14" s="322" t="s">
        <v>342</v>
      </c>
    </row>
    <row r="15" customFormat="false" ht="22.5" hidden="false" customHeight="true" outlineLevel="0" collapsed="false">
      <c r="B15" s="145" t="s">
        <v>343</v>
      </c>
      <c r="C15" s="320" t="s">
        <v>344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8"/>
  <sheetViews>
    <sheetView showFormulas="false" showGridLines="false" showRowColHeaders="true" showZeros="true" rightToLeft="false" tabSelected="false" showOutlineSymbols="true" defaultGridColor="true" view="normal" topLeftCell="A1" colorId="64" zoomScale="107" zoomScaleNormal="107" zoomScalePageLayoutView="100" workbookViewId="0">
      <selection pane="topLeft" activeCell="B18" activeCellId="0" sqref="B18"/>
    </sheetView>
  </sheetViews>
  <sheetFormatPr defaultColWidth="8.75" defaultRowHeight="18.75" zeroHeight="false" outlineLevelRow="0" outlineLevelCol="0"/>
  <cols>
    <col collapsed="false" customWidth="false" hidden="false" outlineLevel="0" max="1" min="1" style="318" width="8.75"/>
    <col collapsed="false" customWidth="true" hidden="false" outlineLevel="0" max="2" min="2" style="318" width="24"/>
    <col collapsed="false" customWidth="true" hidden="false" outlineLevel="0" max="7" min="3" style="318" width="19.75"/>
    <col collapsed="false" customWidth="false" hidden="false" outlineLevel="0" max="16384" min="8" style="318" width="8.75"/>
  </cols>
  <sheetData>
    <row r="2" customFormat="false" ht="18.75" hidden="false" customHeight="true" outlineLevel="0" collapsed="false">
      <c r="E2" s="47" t="s">
        <v>49</v>
      </c>
    </row>
    <row r="3" customFormat="false" ht="19.5" hidden="false" customHeight="true" outlineLevel="0" collapsed="false">
      <c r="B3" s="323"/>
      <c r="C3" s="324" t="s">
        <v>345</v>
      </c>
      <c r="D3" s="324" t="s">
        <v>346</v>
      </c>
      <c r="E3" s="324" t="s">
        <v>347</v>
      </c>
      <c r="F3" s="325" t="s">
        <v>348</v>
      </c>
      <c r="G3" s="326" t="s">
        <v>349</v>
      </c>
    </row>
    <row r="4" customFormat="false" ht="22.5" hidden="false" customHeight="true" outlineLevel="0" collapsed="false">
      <c r="B4" s="179" t="s">
        <v>74</v>
      </c>
      <c r="C4" s="89" t="n">
        <f aca="false">PL!C11</f>
        <v>316755490</v>
      </c>
      <c r="D4" s="89" t="n">
        <f aca="false">PL!E11</f>
        <v>443868051</v>
      </c>
      <c r="E4" s="89" t="n">
        <f aca="false">PL!G11</f>
        <v>422474507</v>
      </c>
      <c r="F4" s="89" t="n">
        <f aca="false">PL!I11</f>
        <v>0</v>
      </c>
      <c r="G4" s="89" t="n">
        <f aca="false">PL!K11</f>
        <v>0</v>
      </c>
      <c r="I4" s="327"/>
    </row>
    <row r="5" s="328" customFormat="true" ht="22.5" hidden="false" customHeight="true" outlineLevel="0" collapsed="false">
      <c r="B5" s="329" t="s">
        <v>350</v>
      </c>
      <c r="C5" s="330" t="s">
        <v>112</v>
      </c>
      <c r="D5" s="330" t="n">
        <f aca="false">IFERROR(D4/C4,"")</f>
        <v>1.40129552608544</v>
      </c>
      <c r="E5" s="330" t="n">
        <f aca="false">IFERROR(E4/D4,"")</f>
        <v>0.951802018749036</v>
      </c>
      <c r="F5" s="330" t="n">
        <f aca="false">IFERROR(F4/E4,"")</f>
        <v>0</v>
      </c>
      <c r="G5" s="330" t="s">
        <v>112</v>
      </c>
    </row>
    <row r="6" customFormat="false" ht="22.5" hidden="false" customHeight="true" outlineLevel="0" collapsed="false">
      <c r="B6" s="331" t="s">
        <v>86</v>
      </c>
      <c r="C6" s="35" t="n">
        <f aca="false">PL!C22</f>
        <v>103555273</v>
      </c>
      <c r="D6" s="35" t="n">
        <f aca="false">PL!E22</f>
        <v>178926351</v>
      </c>
      <c r="E6" s="35" t="n">
        <f aca="false">PL!G22</f>
        <v>150803272</v>
      </c>
      <c r="F6" s="35" t="n">
        <f aca="false">PL!I22</f>
        <v>0</v>
      </c>
      <c r="G6" s="35" t="n">
        <f aca="false">PL!K22</f>
        <v>0</v>
      </c>
    </row>
    <row r="7" s="328" customFormat="true" ht="22.5" hidden="false" customHeight="true" outlineLevel="0" collapsed="false">
      <c r="B7" s="329" t="s">
        <v>351</v>
      </c>
      <c r="C7" s="330" t="n">
        <f aca="false">IFERROR(C6/C4,"")</f>
        <v>0.326924950850891</v>
      </c>
      <c r="D7" s="330" t="n">
        <f aca="false">IFERROR(D6/D4,"")</f>
        <v>0.403107073367621</v>
      </c>
      <c r="E7" s="330" t="n">
        <f aca="false">IFERROR(E6/E4,"")</f>
        <v>0.356952359257975</v>
      </c>
      <c r="F7" s="330" t="str">
        <f aca="false">IFERROR(F6/F4,"")</f>
        <v/>
      </c>
      <c r="G7" s="330" t="str">
        <f aca="false">IFERROR(G6/G4,"")</f>
        <v/>
      </c>
    </row>
    <row r="8" customFormat="false" ht="22.5" hidden="false" customHeight="true" outlineLevel="0" collapsed="false">
      <c r="B8" s="331" t="s">
        <v>88</v>
      </c>
      <c r="C8" s="35" t="n">
        <f aca="false">PL!C24</f>
        <v>6159294</v>
      </c>
      <c r="D8" s="35" t="n">
        <f aca="false">PL!E24</f>
        <v>78190765</v>
      </c>
      <c r="E8" s="35" t="n">
        <f aca="false">PL!G24</f>
        <v>58513810</v>
      </c>
      <c r="F8" s="35" t="n">
        <f aca="false">PL!I24</f>
        <v>0</v>
      </c>
      <c r="G8" s="227" t="n">
        <f aca="false">PL!K24</f>
        <v>0</v>
      </c>
    </row>
    <row r="9" s="328" customFormat="true" ht="22.5" hidden="false" customHeight="true" outlineLevel="0" collapsed="false">
      <c r="B9" s="329" t="s">
        <v>351</v>
      </c>
      <c r="C9" s="330" t="n">
        <f aca="false">IFERROR(C8/C4,"")</f>
        <v>0.0194449478997191</v>
      </c>
      <c r="D9" s="330" t="n">
        <f aca="false">IFERROR(D8/D4,"")</f>
        <v>0.176157677543681</v>
      </c>
      <c r="E9" s="330" t="n">
        <f aca="false">IFERROR(E8/E4,"")</f>
        <v>0.138502581884781</v>
      </c>
      <c r="F9" s="330" t="str">
        <f aca="false">IFERROR(F8/F4,"")</f>
        <v/>
      </c>
      <c r="G9" s="330" t="str">
        <f aca="false">IFERROR(G8/G4,"")</f>
        <v/>
      </c>
    </row>
    <row r="10" customFormat="false" ht="22.5" hidden="false" customHeight="true" outlineLevel="0" collapsed="false">
      <c r="B10" s="331" t="s">
        <v>99</v>
      </c>
      <c r="C10" s="35" t="n">
        <f aca="false">PL!C41</f>
        <v>6665569</v>
      </c>
      <c r="D10" s="35" t="n">
        <f aca="false">PL!E41</f>
        <v>89928661</v>
      </c>
      <c r="E10" s="35" t="n">
        <f aca="false">PL!G41</f>
        <v>64943069</v>
      </c>
      <c r="F10" s="35" t="n">
        <f aca="false">PL!I41</f>
        <v>0</v>
      </c>
      <c r="G10" s="227" t="n">
        <f aca="false">PL!K41</f>
        <v>0</v>
      </c>
    </row>
    <row r="11" s="328" customFormat="true" ht="22.5" hidden="false" customHeight="true" outlineLevel="0" collapsed="false">
      <c r="B11" s="329" t="s">
        <v>351</v>
      </c>
      <c r="C11" s="330" t="n">
        <f aca="false">IFERROR(C10/C4,"")</f>
        <v>0.0210432627387137</v>
      </c>
      <c r="D11" s="330" t="n">
        <f aca="false">IFERROR(D10/D4,"")</f>
        <v>0.202602239105513</v>
      </c>
      <c r="E11" s="330" t="n">
        <f aca="false">IFERROR(E10/E4,"")</f>
        <v>0.153720681186569</v>
      </c>
      <c r="F11" s="330" t="str">
        <f aca="false">IFERROR(F10/F4,"")</f>
        <v/>
      </c>
      <c r="G11" s="330" t="str">
        <f aca="false">IFERROR(G10/G4,"")</f>
        <v/>
      </c>
    </row>
    <row r="12" customFormat="false" ht="22.5" hidden="false" customHeight="true" outlineLevel="0" collapsed="false">
      <c r="B12" s="331" t="s">
        <v>109</v>
      </c>
      <c r="C12" s="35" t="n">
        <f aca="false">PL!C61</f>
        <v>-5170180</v>
      </c>
      <c r="D12" s="35" t="n">
        <f aca="false">PL!E61</f>
        <v>40557756</v>
      </c>
      <c r="E12" s="35" t="n">
        <f aca="false">PL!G61</f>
        <v>37630176</v>
      </c>
      <c r="F12" s="35" t="n">
        <f aca="false">PL!I61</f>
        <v>0</v>
      </c>
      <c r="G12" s="227" t="n">
        <f aca="false">PL!K61</f>
        <v>0</v>
      </c>
    </row>
    <row r="13" s="328" customFormat="true" ht="22.5" hidden="false" customHeight="true" outlineLevel="0" collapsed="false">
      <c r="B13" s="329" t="s">
        <v>351</v>
      </c>
      <c r="C13" s="330" t="n">
        <f aca="false">IFERROR(C12/C4,"")</f>
        <v>-0.0163223058896312</v>
      </c>
      <c r="D13" s="330" t="n">
        <f aca="false">IFERROR(D12/D4,"")</f>
        <v>0.0913734518819873</v>
      </c>
      <c r="E13" s="330" t="n">
        <f aca="false">IFERROR(E12/E4,"")</f>
        <v>0.0890708797252943</v>
      </c>
      <c r="F13" s="330" t="str">
        <f aca="false">IFERROR(F12/F4,"")</f>
        <v/>
      </c>
      <c r="G13" s="330" t="str">
        <f aca="false">IFERROR(G12/G4,"")</f>
        <v/>
      </c>
    </row>
    <row r="14" customFormat="false" ht="14.25" hidden="false" customHeight="true" outlineLevel="0" collapsed="false">
      <c r="C14" s="174"/>
      <c r="D14" s="174"/>
      <c r="E14" s="174"/>
      <c r="F14" s="174"/>
      <c r="G14" s="174"/>
    </row>
    <row r="15" customFormat="false" ht="22.5" hidden="false" customHeight="true" outlineLevel="0" collapsed="false">
      <c r="B15" s="145" t="s">
        <v>151</v>
      </c>
      <c r="C15" s="332" t="n">
        <v>881300</v>
      </c>
      <c r="D15" s="332" t="n">
        <v>644524</v>
      </c>
      <c r="E15" s="332" t="n">
        <v>1182673</v>
      </c>
      <c r="F15" s="332" t="n">
        <v>0</v>
      </c>
      <c r="G15" s="332" t="n">
        <v>0</v>
      </c>
      <c r="I15" s="2"/>
    </row>
    <row r="16" customFormat="false" ht="15" hidden="false" customHeight="true" outlineLevel="0" collapsed="false">
      <c r="C16" s="17"/>
      <c r="D16" s="17"/>
      <c r="E16" s="17"/>
      <c r="F16" s="17"/>
      <c r="G16" s="17"/>
    </row>
    <row r="17" customFormat="false" ht="19.5" hidden="false" customHeight="true" outlineLevel="0" collapsed="false">
      <c r="B17" s="94" t="s">
        <v>352</v>
      </c>
      <c r="C17" s="333" t="n">
        <f aca="false">SUM(C18:C27)</f>
        <v>2299802</v>
      </c>
      <c r="D17" s="333" t="n">
        <f aca="false">SUM(D18:D27)</f>
        <v>-6301711</v>
      </c>
      <c r="E17" s="333" t="n">
        <f aca="false">SUM(E18:E27)</f>
        <v>-5685632</v>
      </c>
      <c r="F17" s="333" t="n">
        <f aca="false">SUM(F18:F27)</f>
        <v>0</v>
      </c>
      <c r="G17" s="333" t="n">
        <f aca="false">SUM(G18:G27)</f>
        <v>0</v>
      </c>
    </row>
    <row r="18" customFormat="false" ht="22.5" hidden="false" customHeight="true" outlineLevel="0" collapsed="false">
      <c r="B18" s="334" t="s">
        <v>353</v>
      </c>
      <c r="C18" s="335" t="n">
        <f aca="false">SGA!C6+SGA!C7</f>
        <v>19104000</v>
      </c>
      <c r="D18" s="335" t="n">
        <f aca="false">SGA!E6+SGA!E7</f>
        <v>21104000</v>
      </c>
      <c r="E18" s="335" t="n">
        <f aca="false">SGA!G6+SGA!G7</f>
        <v>24094000</v>
      </c>
      <c r="F18" s="335"/>
      <c r="G18" s="335"/>
      <c r="I18" s="2"/>
    </row>
    <row r="19" customFormat="false" ht="22.5" hidden="false" customHeight="true" outlineLevel="0" collapsed="false">
      <c r="B19" s="336" t="s">
        <v>354</v>
      </c>
      <c r="C19" s="337" t="n">
        <v>-12000000</v>
      </c>
      <c r="D19" s="338" t="n">
        <v>-12000000</v>
      </c>
      <c r="E19" s="338" t="n">
        <v>-12000000</v>
      </c>
      <c r="F19" s="338"/>
      <c r="G19" s="338"/>
    </row>
    <row r="20" customFormat="false" ht="22.5" hidden="false" customHeight="true" outlineLevel="0" collapsed="false">
      <c r="B20" s="336" t="s">
        <v>355</v>
      </c>
      <c r="C20" s="338" t="n">
        <f aca="false">(C18+C19)*0.15</f>
        <v>1065600</v>
      </c>
      <c r="D20" s="338" t="n">
        <f aca="false">(D18+D19)*0.15</f>
        <v>1365600</v>
      </c>
      <c r="E20" s="338" t="n">
        <f aca="false">(E18+E19)*0.15</f>
        <v>1814100</v>
      </c>
      <c r="F20" s="338" t="n">
        <f aca="false">(F18+F19)*0.15</f>
        <v>0</v>
      </c>
      <c r="G20" s="338" t="n">
        <f aca="false">(G18+G19)*0.15</f>
        <v>0</v>
      </c>
    </row>
    <row r="21" customFormat="false" ht="22.5" hidden="false" customHeight="true" outlineLevel="0" collapsed="false">
      <c r="B21" s="336" t="s">
        <v>152</v>
      </c>
      <c r="C21" s="338" t="n">
        <f aca="false">SGA!C35</f>
        <v>803000</v>
      </c>
      <c r="D21" s="338" t="n">
        <f aca="false">SGA!E35</f>
        <v>246000</v>
      </c>
      <c r="E21" s="338" t="n">
        <f aca="false">SGA!G35</f>
        <v>201000</v>
      </c>
      <c r="F21" s="338"/>
      <c r="G21" s="338"/>
    </row>
    <row r="22" customFormat="false" ht="22.5" hidden="false" customHeight="true" outlineLevel="0" collapsed="false">
      <c r="B22" s="336" t="s">
        <v>149</v>
      </c>
      <c r="C22" s="338" t="n">
        <f aca="false">SGA!C32</f>
        <v>50000</v>
      </c>
      <c r="D22" s="338" t="n">
        <f aca="false">SGA!E32</f>
        <v>200000</v>
      </c>
      <c r="E22" s="338" t="n">
        <f aca="false">SGA!G32</f>
        <v>50000</v>
      </c>
      <c r="F22" s="338"/>
      <c r="G22" s="338"/>
    </row>
    <row r="23" customFormat="false" ht="22.5" hidden="false" customHeight="true" outlineLevel="0" collapsed="false">
      <c r="B23" s="336" t="s">
        <v>356</v>
      </c>
      <c r="C23" s="338" t="n">
        <f aca="false">PL!C19</f>
        <v>-6722798</v>
      </c>
      <c r="D23" s="338" t="n">
        <f aca="false">PL!E19</f>
        <v>-17217311</v>
      </c>
      <c r="E23" s="338" t="n">
        <f aca="false">PL!G19</f>
        <v>-19844732</v>
      </c>
      <c r="F23" s="338"/>
      <c r="G23" s="338"/>
    </row>
    <row r="24" customFormat="false" ht="22.5" hidden="false" customHeight="true" outlineLevel="0" collapsed="false">
      <c r="B24" s="336"/>
      <c r="C24" s="338"/>
      <c r="D24" s="338"/>
      <c r="E24" s="338"/>
      <c r="F24" s="338"/>
      <c r="G24" s="338"/>
    </row>
    <row r="25" customFormat="false" ht="22.5" hidden="false" customHeight="true" outlineLevel="0" collapsed="false">
      <c r="B25" s="336"/>
      <c r="C25" s="338"/>
      <c r="D25" s="338"/>
      <c r="E25" s="338"/>
      <c r="F25" s="338"/>
      <c r="G25" s="338"/>
    </row>
    <row r="26" customFormat="false" ht="22.5" hidden="false" customHeight="true" outlineLevel="0" collapsed="false">
      <c r="B26" s="336"/>
      <c r="C26" s="338"/>
      <c r="D26" s="338"/>
      <c r="E26" s="338"/>
      <c r="F26" s="338"/>
      <c r="G26" s="338"/>
    </row>
    <row r="27" customFormat="false" ht="22.5" hidden="false" customHeight="true" outlineLevel="0" collapsed="false">
      <c r="B27" s="339"/>
      <c r="C27" s="340"/>
      <c r="D27" s="340"/>
      <c r="E27" s="340"/>
      <c r="F27" s="340"/>
      <c r="G27" s="340"/>
    </row>
    <row r="28" customFormat="false" ht="22.5" hidden="true" customHeight="true" outlineLevel="0" collapsed="false">
      <c r="B28" s="341"/>
      <c r="C28" s="35"/>
      <c r="D28" s="35"/>
      <c r="E28" s="35"/>
      <c r="F28" s="35"/>
      <c r="G28" s="35"/>
    </row>
    <row r="29" customFormat="false" ht="22.5" hidden="true" customHeight="true" outlineLevel="0" collapsed="false">
      <c r="B29" s="341"/>
      <c r="C29" s="35"/>
      <c r="D29" s="35"/>
      <c r="E29" s="35"/>
      <c r="F29" s="35"/>
      <c r="G29" s="35"/>
    </row>
    <row r="30" customFormat="false" ht="22.5" hidden="true" customHeight="true" outlineLevel="0" collapsed="false">
      <c r="B30" s="341"/>
      <c r="C30" s="35"/>
      <c r="D30" s="35"/>
      <c r="E30" s="35"/>
      <c r="F30" s="35"/>
      <c r="G30" s="35"/>
    </row>
    <row r="31" customFormat="false" ht="22.5" hidden="true" customHeight="true" outlineLevel="0" collapsed="false">
      <c r="B31" s="341"/>
      <c r="C31" s="35"/>
      <c r="D31" s="35"/>
      <c r="E31" s="52"/>
      <c r="F31" s="52"/>
      <c r="G31" s="52"/>
    </row>
    <row r="32" customFormat="false" ht="22.5" hidden="true" customHeight="true" outlineLevel="0" collapsed="false">
      <c r="B32" s="341"/>
      <c r="C32" s="35"/>
      <c r="D32" s="35"/>
      <c r="E32" s="52"/>
      <c r="F32" s="52"/>
      <c r="G32" s="52"/>
    </row>
    <row r="33" customFormat="false" ht="22.5" hidden="true" customHeight="true" outlineLevel="0" collapsed="false">
      <c r="B33" s="341"/>
      <c r="C33" s="35"/>
      <c r="D33" s="35"/>
      <c r="E33" s="52"/>
      <c r="F33" s="52"/>
      <c r="G33" s="52"/>
    </row>
    <row r="34" customFormat="false" ht="22.5" hidden="true" customHeight="true" outlineLevel="0" collapsed="false">
      <c r="B34" s="341"/>
      <c r="C34" s="35"/>
      <c r="D34" s="35"/>
      <c r="E34" s="52"/>
      <c r="F34" s="52"/>
      <c r="G34" s="52"/>
    </row>
    <row r="35" customFormat="false" ht="22.5" hidden="true" customHeight="true" outlineLevel="0" collapsed="false">
      <c r="B35" s="341"/>
      <c r="C35" s="35"/>
      <c r="D35" s="35"/>
      <c r="E35" s="52"/>
      <c r="F35" s="52"/>
      <c r="G35" s="52"/>
    </row>
    <row r="36" customFormat="false" ht="15" hidden="false" customHeight="true" outlineLevel="0" collapsed="false">
      <c r="C36" s="174"/>
      <c r="D36" s="174"/>
      <c r="E36" s="174"/>
      <c r="F36" s="174"/>
      <c r="G36" s="174"/>
    </row>
    <row r="37" s="342" customFormat="true" ht="21" hidden="false" customHeight="true" outlineLevel="0" collapsed="false">
      <c r="B37" s="343" t="s">
        <v>341</v>
      </c>
      <c r="C37" s="344" t="n">
        <f aca="false">C8+C15+C17</f>
        <v>9340396</v>
      </c>
      <c r="D37" s="344" t="n">
        <f aca="false">D8+D15+D17</f>
        <v>72533578</v>
      </c>
      <c r="E37" s="344" t="n">
        <f aca="false">E8+E15+E17</f>
        <v>54010851</v>
      </c>
      <c r="F37" s="344" t="n">
        <f aca="false">F8+F15+F17</f>
        <v>0</v>
      </c>
      <c r="G37" s="344" t="n">
        <f aca="false">G8+G15+G17</f>
        <v>0</v>
      </c>
    </row>
    <row r="38" customFormat="false" ht="19.5" hidden="false" customHeight="true" outlineLevel="0" collapsed="false">
      <c r="B38" s="345"/>
      <c r="C38" s="346"/>
      <c r="D38" s="346"/>
      <c r="E38" s="346"/>
      <c r="F38" s="346"/>
      <c r="G38" s="346"/>
    </row>
    <row r="39" customFormat="false" ht="18.75" hidden="false" customHeight="true" outlineLevel="0" collapsed="false">
      <c r="C39" s="174"/>
      <c r="D39" s="174"/>
      <c r="E39" s="174"/>
      <c r="F39" s="174"/>
      <c r="G39" s="174"/>
    </row>
    <row r="40" customFormat="false" ht="18.75" hidden="false" customHeight="true" outlineLevel="0" collapsed="false">
      <c r="B40" s="347"/>
      <c r="C40" s="348"/>
      <c r="D40" s="349"/>
      <c r="E40" s="349"/>
      <c r="F40" s="349"/>
      <c r="G40" s="349"/>
    </row>
    <row r="41" customFormat="false" ht="18.75" hidden="false" customHeight="true" outlineLevel="0" collapsed="false">
      <c r="B41" s="347"/>
      <c r="C41" s="348"/>
      <c r="D41" s="349"/>
      <c r="E41" s="349"/>
      <c r="F41" s="349"/>
      <c r="G41" s="349"/>
    </row>
    <row r="42" customFormat="false" ht="18.75" hidden="false" customHeight="true" outlineLevel="0" collapsed="false">
      <c r="B42" s="347"/>
      <c r="C42" s="348"/>
      <c r="D42" s="349"/>
      <c r="E42" s="349"/>
      <c r="F42" s="349"/>
      <c r="G42" s="349"/>
    </row>
    <row r="43" customFormat="false" ht="18.75" hidden="false" customHeight="true" outlineLevel="0" collapsed="false">
      <c r="B43" s="347"/>
      <c r="C43" s="348"/>
      <c r="D43" s="349"/>
      <c r="E43" s="349"/>
      <c r="F43" s="349"/>
      <c r="G43" s="349"/>
    </row>
    <row r="44" customFormat="false" ht="18.75" hidden="false" customHeight="true" outlineLevel="0" collapsed="false">
      <c r="B44" s="347"/>
      <c r="C44" s="348"/>
      <c r="D44" s="349"/>
      <c r="E44" s="349"/>
      <c r="F44" s="349"/>
      <c r="G44" s="349"/>
    </row>
    <row r="45" customFormat="false" ht="18.75" hidden="false" customHeight="true" outlineLevel="0" collapsed="false">
      <c r="B45" s="347"/>
      <c r="C45" s="350"/>
      <c r="D45" s="351"/>
      <c r="E45" s="351"/>
      <c r="F45" s="351"/>
      <c r="G45" s="351"/>
    </row>
    <row r="46" customFormat="false" ht="18.75" hidden="false" customHeight="true" outlineLevel="0" collapsed="false">
      <c r="B46" s="347"/>
      <c r="C46" s="350"/>
      <c r="D46" s="351"/>
      <c r="E46" s="351"/>
      <c r="F46" s="351"/>
      <c r="G46" s="351"/>
    </row>
    <row r="47" customFormat="false" ht="18.75" hidden="false" customHeight="true" outlineLevel="0" collapsed="false">
      <c r="B47" s="347"/>
      <c r="C47" s="352"/>
      <c r="D47" s="347"/>
      <c r="E47" s="347"/>
      <c r="F47" s="347"/>
      <c r="G47" s="347"/>
    </row>
    <row r="48" customFormat="false" ht="18.75" hidden="false" customHeight="true" outlineLevel="0" collapsed="false">
      <c r="B48" s="347"/>
      <c r="C48" s="352"/>
      <c r="D48" s="347"/>
      <c r="E48" s="347"/>
      <c r="F48" s="347"/>
      <c r="G48" s="34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75" defaultRowHeight="18.75" zeroHeight="false" outlineLevelRow="0" outlineLevelCol="0"/>
  <cols>
    <col collapsed="false" customWidth="false" hidden="false" outlineLevel="0" max="1" min="1" style="318" width="8.75"/>
    <col collapsed="false" customWidth="true" hidden="false" outlineLevel="0" max="3" min="2" style="318" width="16.13"/>
    <col collapsed="false" customWidth="true" hidden="false" outlineLevel="0" max="4" min="4" style="318" width="1.13"/>
    <col collapsed="false" customWidth="true" hidden="false" outlineLevel="0" max="6" min="5" style="318" width="16.13"/>
    <col collapsed="false" customWidth="false" hidden="false" outlineLevel="0" max="16384" min="7" style="318" width="8.75"/>
  </cols>
  <sheetData>
    <row r="2" customFormat="false" ht="18.75" hidden="false" customHeight="true" outlineLevel="0" collapsed="false">
      <c r="F2" s="47" t="s">
        <v>49</v>
      </c>
    </row>
    <row r="3" customFormat="false" ht="19.5" hidden="false" customHeight="true" outlineLevel="0" collapsed="false">
      <c r="B3" s="353" t="s">
        <v>347</v>
      </c>
      <c r="C3" s="353"/>
      <c r="D3" s="353"/>
      <c r="E3" s="353"/>
      <c r="F3" s="353"/>
    </row>
    <row r="4" customFormat="false" ht="22.5" hidden="false" customHeight="true" outlineLevel="0" collapsed="false">
      <c r="B4" s="354" t="s">
        <v>357</v>
      </c>
      <c r="C4" s="355" t="n">
        <f aca="false">SUM(C5:C10)</f>
        <v>226144406</v>
      </c>
      <c r="D4" s="356"/>
      <c r="E4" s="357" t="s">
        <v>358</v>
      </c>
      <c r="F4" s="358" t="n">
        <f aca="false">SUM(F5:F10)</f>
        <v>70491633</v>
      </c>
    </row>
    <row r="5" customFormat="false" ht="22.5" hidden="false" customHeight="true" outlineLevel="0" collapsed="false">
      <c r="B5" s="359" t="s">
        <v>359</v>
      </c>
      <c r="C5" s="29" t="n">
        <v>193226490</v>
      </c>
      <c r="D5" s="360"/>
      <c r="E5" s="361" t="s">
        <v>360</v>
      </c>
      <c r="F5" s="362" t="n">
        <v>9644516</v>
      </c>
    </row>
    <row r="6" customFormat="false" ht="22.5" hidden="false" customHeight="true" outlineLevel="0" collapsed="false">
      <c r="B6" s="363" t="s">
        <v>361</v>
      </c>
      <c r="C6" s="222" t="n">
        <v>19952150</v>
      </c>
      <c r="D6" s="364"/>
      <c r="E6" s="365" t="s">
        <v>362</v>
      </c>
      <c r="F6" s="366" t="n">
        <v>41828000</v>
      </c>
    </row>
    <row r="7" customFormat="false" ht="22.5" hidden="false" customHeight="true" outlineLevel="0" collapsed="false">
      <c r="B7" s="363" t="s">
        <v>363</v>
      </c>
      <c r="C7" s="222" t="n">
        <v>228854</v>
      </c>
      <c r="D7" s="364"/>
      <c r="E7" s="365" t="s">
        <v>53</v>
      </c>
      <c r="F7" s="366" t="n">
        <v>3947278</v>
      </c>
    </row>
    <row r="8" customFormat="false" ht="22.5" hidden="false" customHeight="true" outlineLevel="0" collapsed="false">
      <c r="B8" s="363" t="s">
        <v>29</v>
      </c>
      <c r="C8" s="222" t="n">
        <v>41200</v>
      </c>
      <c r="D8" s="364"/>
      <c r="E8" s="365" t="s">
        <v>364</v>
      </c>
      <c r="F8" s="366" t="n">
        <v>2929500</v>
      </c>
    </row>
    <row r="9" customFormat="false" ht="22.5" hidden="false" customHeight="true" outlineLevel="0" collapsed="false">
      <c r="B9" s="363" t="s">
        <v>365</v>
      </c>
      <c r="C9" s="222" t="n">
        <v>12695712</v>
      </c>
      <c r="D9" s="364"/>
      <c r="E9" s="365" t="s">
        <v>56</v>
      </c>
      <c r="F9" s="366" t="n">
        <v>124739</v>
      </c>
    </row>
    <row r="10" customFormat="false" ht="22.5" hidden="false" customHeight="true" outlineLevel="0" collapsed="false">
      <c r="B10" s="359" t="s">
        <v>366</v>
      </c>
      <c r="C10" s="29" t="n">
        <v>0</v>
      </c>
      <c r="D10" s="360"/>
      <c r="E10" s="361" t="s">
        <v>366</v>
      </c>
      <c r="F10" s="362" t="n">
        <v>12017600</v>
      </c>
    </row>
    <row r="11" customFormat="false" ht="22.5" hidden="false" customHeight="true" outlineLevel="0" collapsed="false">
      <c r="B11" s="357" t="s">
        <v>367</v>
      </c>
      <c r="C11" s="367" t="n">
        <f aca="false">SUM(C12:C20)</f>
        <v>323863136</v>
      </c>
      <c r="D11" s="360"/>
      <c r="E11" s="357" t="s">
        <v>368</v>
      </c>
      <c r="F11" s="368" t="n">
        <f aca="false">SUM(F12:F14)</f>
        <v>145980000</v>
      </c>
    </row>
    <row r="12" customFormat="false" ht="22.5" hidden="false" customHeight="true" outlineLevel="0" collapsed="false">
      <c r="B12" s="363" t="s">
        <v>369</v>
      </c>
      <c r="C12" s="222" t="n">
        <v>0</v>
      </c>
      <c r="D12" s="364"/>
      <c r="E12" s="365" t="s">
        <v>60</v>
      </c>
      <c r="F12" s="366" t="n">
        <v>145980000</v>
      </c>
    </row>
    <row r="13" customFormat="false" ht="22.5" hidden="false" customHeight="true" outlineLevel="0" collapsed="false">
      <c r="B13" s="363" t="s">
        <v>370</v>
      </c>
      <c r="C13" s="222" t="n">
        <v>700993</v>
      </c>
      <c r="D13" s="364"/>
      <c r="E13" s="365" t="s">
        <v>371</v>
      </c>
      <c r="F13" s="366" t="n">
        <v>0</v>
      </c>
    </row>
    <row r="14" customFormat="false" ht="22.5" hidden="false" customHeight="true" outlineLevel="0" collapsed="false">
      <c r="B14" s="363" t="s">
        <v>35</v>
      </c>
      <c r="C14" s="222" t="n">
        <v>91059</v>
      </c>
      <c r="D14" s="364"/>
      <c r="E14" s="365" t="s">
        <v>366</v>
      </c>
      <c r="F14" s="366" t="n">
        <v>0</v>
      </c>
    </row>
    <row r="15" customFormat="false" ht="22.5" hidden="false" customHeight="true" outlineLevel="0" collapsed="false">
      <c r="B15" s="363" t="s">
        <v>372</v>
      </c>
      <c r="C15" s="222" t="n">
        <v>0</v>
      </c>
      <c r="D15" s="364"/>
      <c r="E15" s="369" t="s">
        <v>61</v>
      </c>
      <c r="F15" s="370" t="n">
        <f aca="false">F4+F11</f>
        <v>216471633</v>
      </c>
    </row>
    <row r="16" customFormat="false" ht="22.5" hidden="false" customHeight="true" outlineLevel="0" collapsed="false">
      <c r="B16" s="363" t="s">
        <v>37</v>
      </c>
      <c r="C16" s="222" t="n">
        <v>2112001</v>
      </c>
      <c r="D16" s="364"/>
      <c r="E16" s="365"/>
      <c r="F16" s="366"/>
    </row>
    <row r="17" customFormat="false" ht="22.5" hidden="false" customHeight="true" outlineLevel="0" collapsed="false">
      <c r="B17" s="363" t="s">
        <v>373</v>
      </c>
      <c r="C17" s="222" t="n">
        <v>0</v>
      </c>
      <c r="D17" s="364"/>
      <c r="E17" s="365" t="n">
        <v>10000000</v>
      </c>
      <c r="F17" s="366"/>
    </row>
    <row r="18" customFormat="false" ht="22.5" hidden="false" customHeight="true" outlineLevel="0" collapsed="false">
      <c r="B18" s="363" t="s">
        <v>44</v>
      </c>
      <c r="C18" s="222" t="n">
        <v>43326766</v>
      </c>
      <c r="D18" s="364"/>
      <c r="E18" s="365" t="n">
        <v>323535909</v>
      </c>
      <c r="F18" s="366"/>
    </row>
    <row r="19" customFormat="false" ht="22.5" hidden="false" customHeight="true" outlineLevel="0" collapsed="false">
      <c r="B19" s="363" t="s">
        <v>39</v>
      </c>
      <c r="C19" s="222" t="n">
        <v>275896334</v>
      </c>
      <c r="D19" s="364"/>
      <c r="E19" s="365" t="n">
        <v>0</v>
      </c>
      <c r="F19" s="366"/>
    </row>
    <row r="20" customFormat="false" ht="22.5" hidden="false" customHeight="true" outlineLevel="0" collapsed="false">
      <c r="B20" s="363" t="s">
        <v>366</v>
      </c>
      <c r="C20" s="222" t="n">
        <v>1735983</v>
      </c>
      <c r="D20" s="364"/>
      <c r="E20" s="371" t="s">
        <v>69</v>
      </c>
      <c r="F20" s="372" t="n">
        <f aca="false">SUM(F16:F19)</f>
        <v>0</v>
      </c>
    </row>
    <row r="21" customFormat="false" ht="22.5" hidden="false" customHeight="true" outlineLevel="0" collapsed="false">
      <c r="B21" s="371" t="s">
        <v>47</v>
      </c>
      <c r="C21" s="373" t="n">
        <f aca="false">C4+C11</f>
        <v>550007542</v>
      </c>
      <c r="D21" s="364"/>
      <c r="E21" s="371" t="s">
        <v>70</v>
      </c>
      <c r="F21" s="372" t="n">
        <f aca="false">F15+F20</f>
        <v>216471633</v>
      </c>
    </row>
    <row r="22" customFormat="false" ht="18.75" hidden="false" customHeight="true" outlineLevel="0" collapsed="false">
      <c r="C22" s="374"/>
      <c r="F22" s="374"/>
    </row>
    <row r="23" customFormat="false" ht="18.75" hidden="false" customHeight="true" outlineLevel="0" collapsed="false">
      <c r="C23" s="374"/>
      <c r="F23" s="374"/>
    </row>
    <row r="24" customFormat="false" ht="18.75" hidden="false" customHeight="true" outlineLevel="0" collapsed="false">
      <c r="C24" s="374"/>
      <c r="F24" s="374"/>
    </row>
    <row r="25" customFormat="false" ht="18.75" hidden="false" customHeight="true" outlineLevel="0" collapsed="false">
      <c r="C25" s="374"/>
      <c r="F25" s="374"/>
    </row>
    <row r="26" customFormat="false" ht="18.75" hidden="false" customHeight="true" outlineLevel="0" collapsed="false">
      <c r="C26" s="374"/>
      <c r="F26" s="374"/>
    </row>
    <row r="27" customFormat="false" ht="18.75" hidden="false" customHeight="true" outlineLevel="0" collapsed="false">
      <c r="C27" s="374"/>
      <c r="F27" s="374"/>
    </row>
    <row r="28" customFormat="false" ht="18.75" hidden="false" customHeight="true" outlineLevel="0" collapsed="false">
      <c r="C28" s="374"/>
      <c r="F28" s="374"/>
    </row>
    <row r="29" customFormat="false" ht="18.75" hidden="false" customHeight="true" outlineLevel="0" collapsed="false">
      <c r="C29" s="374"/>
      <c r="F29" s="374"/>
    </row>
    <row r="30" customFormat="false" ht="18.75" hidden="false" customHeight="true" outlineLevel="0" collapsed="false">
      <c r="C30" s="374"/>
      <c r="F30" s="374"/>
    </row>
    <row r="31" customFormat="false" ht="18.75" hidden="false" customHeight="true" outlineLevel="0" collapsed="false">
      <c r="C31" s="374"/>
      <c r="F31" s="374"/>
    </row>
    <row r="32" customFormat="false" ht="18.75" hidden="false" customHeight="true" outlineLevel="0" collapsed="false">
      <c r="C32" s="374"/>
      <c r="F32" s="374"/>
    </row>
    <row r="33" customFormat="false" ht="18.75" hidden="false" customHeight="true" outlineLevel="0" collapsed="false">
      <c r="C33" s="374"/>
      <c r="F33" s="374"/>
    </row>
    <row r="34" customFormat="false" ht="18.75" hidden="false" customHeight="true" outlineLevel="0" collapsed="false">
      <c r="C34" s="374"/>
      <c r="F34" s="374"/>
    </row>
    <row r="35" customFormat="false" ht="18.75" hidden="false" customHeight="true" outlineLevel="0" collapsed="false">
      <c r="C35" s="374"/>
      <c r="F35" s="374"/>
    </row>
    <row r="36" customFormat="false" ht="18.75" hidden="false" customHeight="true" outlineLevel="0" collapsed="false">
      <c r="C36" s="374"/>
      <c r="F36" s="374"/>
    </row>
    <row r="37" customFormat="false" ht="18.75" hidden="false" customHeight="true" outlineLevel="0" collapsed="false">
      <c r="C37" s="374"/>
      <c r="F37" s="374"/>
    </row>
    <row r="38" customFormat="false" ht="18.75" hidden="false" customHeight="true" outlineLevel="0" collapsed="false">
      <c r="C38" s="374"/>
      <c r="F38" s="374"/>
    </row>
    <row r="39" customFormat="false" ht="18.75" hidden="false" customHeight="true" outlineLevel="0" collapsed="false">
      <c r="F39" s="374"/>
    </row>
    <row r="40" customFormat="false" ht="18.75" hidden="false" customHeight="true" outlineLevel="0" collapsed="false">
      <c r="F40" s="374"/>
    </row>
    <row r="41" customFormat="false" ht="18.75" hidden="false" customHeight="true" outlineLevel="0" collapsed="false">
      <c r="F41" s="374"/>
    </row>
    <row r="42" customFormat="false" ht="18.75" hidden="false" customHeight="true" outlineLevel="0" collapsed="false">
      <c r="F42" s="374"/>
    </row>
    <row r="43" customFormat="false" ht="18.75" hidden="false" customHeight="true" outlineLevel="0" collapsed="false">
      <c r="F43" s="374"/>
    </row>
    <row r="44" customFormat="false" ht="18.75" hidden="false" customHeight="true" outlineLevel="0" collapsed="false">
      <c r="F44" s="374"/>
    </row>
    <row r="45" customFormat="false" ht="18.75" hidden="false" customHeight="true" outlineLevel="0" collapsed="false">
      <c r="F45" s="374"/>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 defaultRowHeight="18.75" zeroHeight="false" outlineLevelRow="0" outlineLevelCol="0"/>
  <cols>
    <col collapsed="false" customWidth="true" hidden="false" outlineLevel="0" max="1" min="1" style="318" width="3.75"/>
    <col collapsed="false" customWidth="true" hidden="false" outlineLevel="0" max="2" min="2" style="318" width="4.38"/>
    <col collapsed="false" customWidth="true" hidden="false" outlineLevel="0" max="4" min="3" style="318" width="30.38"/>
    <col collapsed="false" customWidth="true" hidden="false" outlineLevel="0" max="5" min="5" style="318" width="16.13"/>
    <col collapsed="false" customWidth="true" hidden="false" outlineLevel="0" max="6" min="6" style="318" width="19.13"/>
    <col collapsed="false" customWidth="true" hidden="false" outlineLevel="0" max="7" min="7" style="318" width="11.5"/>
    <col collapsed="false" customWidth="true" hidden="false" outlineLevel="0" max="8" min="8" style="318" width="8.5"/>
    <col collapsed="false" customWidth="true" hidden="false" outlineLevel="0" max="9" min="9" style="318" width="11.5"/>
    <col collapsed="false" customWidth="true" hidden="false" outlineLevel="0" max="10" min="10" style="318" width="8.5"/>
    <col collapsed="false" customWidth="true" hidden="false" outlineLevel="0" max="11" min="11" style="318" width="11.5"/>
    <col collapsed="false" customWidth="true" hidden="false" outlineLevel="0" max="12" min="12" style="318" width="8.5"/>
    <col collapsed="false" customWidth="true" hidden="false" outlineLevel="0" max="13" min="13" style="318" width="31.5"/>
    <col collapsed="false" customWidth="false" hidden="false" outlineLevel="0" max="16384" min="14" style="318" width="8.75"/>
  </cols>
  <sheetData>
    <row r="2" customFormat="false" ht="18.75" hidden="false" customHeight="true" outlineLevel="0" collapsed="false">
      <c r="L2" s="47" t="s">
        <v>49</v>
      </c>
    </row>
    <row r="3" customFormat="false" ht="18.75" hidden="false" customHeight="true" outlineLevel="0" collapsed="false">
      <c r="B3" s="81" t="s">
        <v>204</v>
      </c>
      <c r="C3" s="24" t="s">
        <v>374</v>
      </c>
      <c r="D3" s="24" t="s">
        <v>375</v>
      </c>
      <c r="E3" s="24" t="s">
        <v>324</v>
      </c>
      <c r="F3" s="24" t="s">
        <v>376</v>
      </c>
      <c r="G3" s="24" t="s">
        <v>345</v>
      </c>
      <c r="H3" s="24"/>
      <c r="I3" s="24" t="s">
        <v>346</v>
      </c>
      <c r="J3" s="24"/>
      <c r="K3" s="24" t="s">
        <v>347</v>
      </c>
      <c r="L3" s="24"/>
      <c r="M3" s="110" t="s">
        <v>217</v>
      </c>
    </row>
    <row r="4" customFormat="false" ht="18.75" hidden="false" customHeight="true" outlineLevel="0" collapsed="false">
      <c r="B4" s="81"/>
      <c r="C4" s="81"/>
      <c r="D4" s="81"/>
      <c r="E4" s="81"/>
      <c r="F4" s="81"/>
      <c r="G4" s="112" t="s">
        <v>74</v>
      </c>
      <c r="H4" s="112" t="s">
        <v>377</v>
      </c>
      <c r="I4" s="112" t="s">
        <v>74</v>
      </c>
      <c r="J4" s="112" t="s">
        <v>377</v>
      </c>
      <c r="K4" s="112" t="s">
        <v>74</v>
      </c>
      <c r="L4" s="112" t="s">
        <v>377</v>
      </c>
      <c r="M4" s="110"/>
    </row>
    <row r="5" customFormat="false" ht="23.25" hidden="false" customHeight="true" outlineLevel="0" collapsed="false">
      <c r="B5" s="375" t="n">
        <v>1</v>
      </c>
      <c r="C5" s="320" t="s">
        <v>378</v>
      </c>
      <c r="D5" s="320" t="s">
        <v>379</v>
      </c>
      <c r="E5" s="320" t="s">
        <v>380</v>
      </c>
      <c r="F5" s="320" t="s">
        <v>381</v>
      </c>
      <c r="G5" s="376" t="n">
        <v>33801606</v>
      </c>
      <c r="H5" s="93" t="n">
        <f aca="false">IFERROR(G5/G$16,"-")</f>
        <v>0.106711981535032</v>
      </c>
      <c r="I5" s="376" t="n">
        <v>109941383</v>
      </c>
      <c r="J5" s="93" t="n">
        <f aca="false">IFERROR(I5/I$16,"-")</f>
        <v>0.247689336396956</v>
      </c>
      <c r="K5" s="376" t="n">
        <v>202068680</v>
      </c>
      <c r="L5" s="93" t="n">
        <f aca="false">IFERROR(K5/K$16,"-")</f>
        <v>0.4782979248497</v>
      </c>
      <c r="M5" s="38"/>
    </row>
    <row r="6" customFormat="false" ht="23.25" hidden="false" customHeight="true" outlineLevel="0" collapsed="false">
      <c r="B6" s="377" t="n">
        <v>2</v>
      </c>
      <c r="C6" s="320" t="s">
        <v>382</v>
      </c>
      <c r="D6" s="320" t="s">
        <v>379</v>
      </c>
      <c r="E6" s="320" t="s">
        <v>380</v>
      </c>
      <c r="F6" s="320" t="s">
        <v>381</v>
      </c>
      <c r="G6" s="376" t="n">
        <v>84036762</v>
      </c>
      <c r="H6" s="93" t="n">
        <f aca="false">IFERROR(G6/G$16,"-")</f>
        <v>0.265304831812071</v>
      </c>
      <c r="I6" s="376" t="n">
        <v>69227005</v>
      </c>
      <c r="J6" s="93" t="n">
        <f aca="false">IFERROR(I6/I$16,"-")</f>
        <v>0.15596302739978</v>
      </c>
      <c r="K6" s="376" t="n">
        <v>60264237</v>
      </c>
      <c r="L6" s="93" t="n">
        <f aca="false">IFERROR(K6/K$16,"-")</f>
        <v>0.142645854368676</v>
      </c>
      <c r="M6" s="378"/>
    </row>
    <row r="7" customFormat="false" ht="23.25" hidden="false" customHeight="true" outlineLevel="0" collapsed="false">
      <c r="B7" s="379" t="n">
        <v>3</v>
      </c>
      <c r="C7" s="320" t="s">
        <v>383</v>
      </c>
      <c r="D7" s="320" t="s">
        <v>379</v>
      </c>
      <c r="E7" s="320" t="s">
        <v>380</v>
      </c>
      <c r="F7" s="320" t="s">
        <v>381</v>
      </c>
      <c r="G7" s="376" t="n">
        <v>28015124</v>
      </c>
      <c r="H7" s="93" t="n">
        <f aca="false">IFERROR(G7/G$16,"-")</f>
        <v>0.0884440045537964</v>
      </c>
      <c r="I7" s="376" t="n">
        <v>36032647</v>
      </c>
      <c r="J7" s="93" t="n">
        <f aca="false">IFERROR(I7/I$16,"-")</f>
        <v>0.081178735254365</v>
      </c>
      <c r="K7" s="376" t="n">
        <v>43807641</v>
      </c>
      <c r="L7" s="93" t="n">
        <f aca="false">IFERROR(K7/K$16,"-")</f>
        <v>0.103692980935297</v>
      </c>
      <c r="M7" s="378"/>
    </row>
    <row r="8" customFormat="false" ht="23.25" hidden="false" customHeight="true" outlineLevel="0" collapsed="false">
      <c r="B8" s="377" t="n">
        <v>4</v>
      </c>
      <c r="C8" s="320" t="s">
        <v>384</v>
      </c>
      <c r="D8" s="320" t="s">
        <v>379</v>
      </c>
      <c r="E8" s="320" t="s">
        <v>380</v>
      </c>
      <c r="F8" s="320" t="s">
        <v>381</v>
      </c>
      <c r="G8" s="376" t="s">
        <v>112</v>
      </c>
      <c r="H8" s="93" t="str">
        <f aca="false">IFERROR(G8/G$16,"-")</f>
        <v>-</v>
      </c>
      <c r="I8" s="376" t="s">
        <v>112</v>
      </c>
      <c r="J8" s="93" t="str">
        <f aca="false">IFERROR(I8/I$16,"-")</f>
        <v>-</v>
      </c>
      <c r="K8" s="376" t="n">
        <v>42545792</v>
      </c>
      <c r="L8" s="93" t="n">
        <f aca="false">IFERROR(K8/K$16,"-")</f>
        <v>0.100706175864003</v>
      </c>
      <c r="M8" s="378"/>
    </row>
    <row r="9" customFormat="false" ht="23.25" hidden="false" customHeight="true" outlineLevel="0" collapsed="false">
      <c r="B9" s="379" t="n">
        <v>5</v>
      </c>
      <c r="C9" s="320" t="s">
        <v>385</v>
      </c>
      <c r="D9" s="320" t="s">
        <v>386</v>
      </c>
      <c r="E9" s="320" t="s">
        <v>380</v>
      </c>
      <c r="F9" s="320" t="s">
        <v>381</v>
      </c>
      <c r="G9" s="376" t="n">
        <v>15179525</v>
      </c>
      <c r="H9" s="93" t="n">
        <f aca="false">IFERROR(G9/G$16,"-")</f>
        <v>0.0479219002644595</v>
      </c>
      <c r="I9" s="376" t="n">
        <v>69086138</v>
      </c>
      <c r="J9" s="93" t="n">
        <f aca="false">IFERROR(I9/I$16,"-")</f>
        <v>0.155645665067252</v>
      </c>
      <c r="K9" s="376" t="n">
        <v>33677325</v>
      </c>
      <c r="L9" s="93" t="n">
        <f aca="false">IFERROR(K9/K$16,"-")</f>
        <v>0.0797144548179803</v>
      </c>
      <c r="M9" s="378"/>
    </row>
    <row r="10" customFormat="false" ht="23.25" hidden="false" customHeight="true" outlineLevel="0" collapsed="false">
      <c r="B10" s="377" t="n">
        <v>6</v>
      </c>
      <c r="C10" s="320" t="s">
        <v>387</v>
      </c>
      <c r="D10" s="320" t="s">
        <v>379</v>
      </c>
      <c r="E10" s="320" t="s">
        <v>380</v>
      </c>
      <c r="F10" s="320" t="s">
        <v>381</v>
      </c>
      <c r="G10" s="376" t="n">
        <v>34096085</v>
      </c>
      <c r="H10" s="93" t="n">
        <f aca="false">IFERROR(G10/G$16,"-")</f>
        <v>0.107641654450883</v>
      </c>
      <c r="I10" s="376" t="n">
        <v>24321530</v>
      </c>
      <c r="J10" s="93" t="n">
        <f aca="false">IFERROR(I10/I$16,"-")</f>
        <v>0.0547945046849069</v>
      </c>
      <c r="K10" s="376" t="n">
        <v>19081708</v>
      </c>
      <c r="L10" s="93" t="n">
        <f aca="false">IFERROR(K10/K$16,"-")</f>
        <v>0.0451665311961652</v>
      </c>
      <c r="M10" s="378"/>
    </row>
    <row r="11" customFormat="false" ht="23.25" hidden="false" customHeight="true" outlineLevel="0" collapsed="false">
      <c r="B11" s="379" t="n">
        <v>7</v>
      </c>
      <c r="C11" s="320" t="s">
        <v>388</v>
      </c>
      <c r="D11" s="320" t="s">
        <v>379</v>
      </c>
      <c r="E11" s="320" t="s">
        <v>380</v>
      </c>
      <c r="F11" s="320" t="s">
        <v>381</v>
      </c>
      <c r="G11" s="376" t="n">
        <v>54354381</v>
      </c>
      <c r="H11" s="93" t="n">
        <f aca="false">IFERROR(G11/G$16,"-")</f>
        <v>0.171597281549879</v>
      </c>
      <c r="I11" s="376" t="n">
        <v>16120455</v>
      </c>
      <c r="J11" s="93" t="n">
        <f aca="false">IFERROR(I11/I$16,"-")</f>
        <v>0.0363181241895691</v>
      </c>
      <c r="K11" s="376" t="n">
        <v>12358967</v>
      </c>
      <c r="L11" s="93" t="n">
        <f aca="false">IFERROR(K11/K$16,"-")</f>
        <v>0.0292537580261618</v>
      </c>
      <c r="M11" s="378"/>
    </row>
    <row r="12" customFormat="false" ht="23.25" hidden="false" customHeight="true" outlineLevel="0" collapsed="false">
      <c r="B12" s="377" t="n">
        <v>8</v>
      </c>
      <c r="C12" s="320" t="s">
        <v>389</v>
      </c>
      <c r="D12" s="320" t="s">
        <v>379</v>
      </c>
      <c r="E12" s="320" t="s">
        <v>380</v>
      </c>
      <c r="F12" s="320" t="s">
        <v>381</v>
      </c>
      <c r="G12" s="376" t="n">
        <v>3877760</v>
      </c>
      <c r="H12" s="93" t="n">
        <f aca="false">IFERROR(G12/G$16,"-")</f>
        <v>0.0122421240433749</v>
      </c>
      <c r="I12" s="376" t="s">
        <v>112</v>
      </c>
      <c r="J12" s="93" t="str">
        <f aca="false">IFERROR(I12/I$16,"-")</f>
        <v>-</v>
      </c>
      <c r="K12" s="376" t="n">
        <v>2050323</v>
      </c>
      <c r="L12" s="93" t="n">
        <f aca="false">IFERROR(K12/K$16,"-")</f>
        <v>0.00485312833325586</v>
      </c>
      <c r="M12" s="378"/>
    </row>
    <row r="13" customFormat="false" ht="23.25" hidden="false" customHeight="true" outlineLevel="0" collapsed="false">
      <c r="B13" s="379" t="n">
        <v>9</v>
      </c>
      <c r="C13" s="320" t="s">
        <v>390</v>
      </c>
      <c r="D13" s="320" t="s">
        <v>379</v>
      </c>
      <c r="E13" s="320" t="s">
        <v>380</v>
      </c>
      <c r="F13" s="320" t="s">
        <v>381</v>
      </c>
      <c r="G13" s="376" t="s">
        <v>112</v>
      </c>
      <c r="H13" s="93" t="str">
        <f aca="false">IFERROR(G13/G$16,"-")</f>
        <v>-</v>
      </c>
      <c r="I13" s="376" t="n">
        <v>10179051</v>
      </c>
      <c r="J13" s="93" t="n">
        <f aca="false">IFERROR(I13/I$16,"-")</f>
        <v>0.0229326057080869</v>
      </c>
      <c r="K13" s="376" t="n">
        <v>1636230</v>
      </c>
      <c r="L13" s="93" t="n">
        <f aca="false">IFERROR(K13/K$16,"-")</f>
        <v>0.00387296741670616</v>
      </c>
      <c r="M13" s="378"/>
    </row>
    <row r="14" customFormat="false" ht="23.25" hidden="false" customHeight="true" outlineLevel="0" collapsed="false">
      <c r="B14" s="377" t="n">
        <v>10</v>
      </c>
      <c r="C14" s="320" t="s">
        <v>391</v>
      </c>
      <c r="D14" s="320" t="s">
        <v>379</v>
      </c>
      <c r="E14" s="320" t="s">
        <v>380</v>
      </c>
      <c r="F14" s="320" t="s">
        <v>381</v>
      </c>
      <c r="G14" s="376" t="s">
        <v>112</v>
      </c>
      <c r="H14" s="93" t="str">
        <f aca="false">IFERROR(G14/G$16,"-")</f>
        <v>-</v>
      </c>
      <c r="I14" s="376" t="s">
        <v>112</v>
      </c>
      <c r="J14" s="93" t="str">
        <f aca="false">IFERROR(I14/I$16,"-")</f>
        <v>-</v>
      </c>
      <c r="K14" s="376" t="n">
        <v>1525462</v>
      </c>
      <c r="L14" s="93" t="n">
        <f aca="false">IFERROR(K14/K$16,"-")</f>
        <v>0.00361077881558425</v>
      </c>
      <c r="M14" s="378"/>
    </row>
    <row r="15" customFormat="false" ht="23.25" hidden="false" customHeight="true" outlineLevel="0" collapsed="false">
      <c r="B15" s="380"/>
      <c r="C15" s="381" t="s">
        <v>392</v>
      </c>
      <c r="D15" s="381"/>
      <c r="E15" s="381"/>
      <c r="F15" s="381"/>
      <c r="G15" s="376" t="n">
        <v>63394247</v>
      </c>
      <c r="H15" s="93" t="n">
        <f aca="false">IFERROR(G15/G$16,"-")</f>
        <v>0.200136221790505</v>
      </c>
      <c r="I15" s="376" t="n">
        <v>108959842</v>
      </c>
      <c r="J15" s="93" t="n">
        <f aca="false">IFERROR(I15/I$16,"-")</f>
        <v>0.245478001299084</v>
      </c>
      <c r="K15" s="376" t="n">
        <v>3458142</v>
      </c>
      <c r="L15" s="93" t="n">
        <f aca="false">IFERROR(K15/K$16,"-")</f>
        <v>0.00818544537647097</v>
      </c>
      <c r="M15" s="382" t="s">
        <v>393</v>
      </c>
    </row>
    <row r="16" customFormat="false" ht="23.25" hidden="false" customHeight="true" outlineLevel="0" collapsed="false">
      <c r="B16" s="383"/>
      <c r="C16" s="384" t="s">
        <v>119</v>
      </c>
      <c r="D16" s="384"/>
      <c r="E16" s="384"/>
      <c r="F16" s="384"/>
      <c r="G16" s="385" t="n">
        <f aca="false">SUM(G5:G15)</f>
        <v>316755490</v>
      </c>
      <c r="H16" s="386" t="s">
        <v>112</v>
      </c>
      <c r="I16" s="385" t="n">
        <f aca="false">SUM(I5:I15)</f>
        <v>443868051</v>
      </c>
      <c r="J16" s="386" t="s">
        <v>112</v>
      </c>
      <c r="K16" s="385" t="n">
        <f aca="false">SUM(K5:K15)</f>
        <v>422474507</v>
      </c>
      <c r="L16" s="386" t="s">
        <v>112</v>
      </c>
      <c r="M16" s="50"/>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 defaultRowHeight="18.75" zeroHeight="false" outlineLevelRow="0" outlineLevelCol="0"/>
  <cols>
    <col collapsed="false" customWidth="true" hidden="false" outlineLevel="0" max="1" min="1" style="318" width="3.75"/>
    <col collapsed="false" customWidth="true" hidden="false" outlineLevel="0" max="2" min="2" style="318" width="4.38"/>
    <col collapsed="false" customWidth="true" hidden="false" outlineLevel="0" max="4" min="3" style="318" width="30.38"/>
    <col collapsed="false" customWidth="true" hidden="false" outlineLevel="0" max="5" min="5" style="318" width="16.13"/>
    <col collapsed="false" customWidth="true" hidden="false" outlineLevel="0" max="6" min="6" style="318" width="11.5"/>
    <col collapsed="false" customWidth="true" hidden="false" outlineLevel="0" max="7" min="7" style="318" width="8.5"/>
    <col collapsed="false" customWidth="true" hidden="false" outlineLevel="0" max="8" min="8" style="318" width="11.5"/>
    <col collapsed="false" customWidth="true" hidden="false" outlineLevel="0" max="9" min="9" style="318" width="8.5"/>
    <col collapsed="false" customWidth="true" hidden="false" outlineLevel="0" max="10" min="10" style="318" width="11.5"/>
    <col collapsed="false" customWidth="true" hidden="false" outlineLevel="0" max="11" min="11" style="318" width="8.5"/>
    <col collapsed="false" customWidth="true" hidden="false" outlineLevel="0" max="12" min="12" style="318" width="31.5"/>
    <col collapsed="false" customWidth="false" hidden="false" outlineLevel="0" max="16384" min="13" style="318" width="8.75"/>
  </cols>
  <sheetData>
    <row r="2" customFormat="false" ht="18.75" hidden="false" customHeight="true" outlineLevel="0" collapsed="false">
      <c r="K2" s="47" t="s">
        <v>49</v>
      </c>
    </row>
    <row r="3" customFormat="false" ht="18.75" hidden="false" customHeight="true" outlineLevel="0" collapsed="false">
      <c r="B3" s="81" t="s">
        <v>204</v>
      </c>
      <c r="C3" s="24" t="s">
        <v>394</v>
      </c>
      <c r="D3" s="24" t="s">
        <v>395</v>
      </c>
      <c r="E3" s="24" t="s">
        <v>324</v>
      </c>
      <c r="F3" s="24" t="s">
        <v>345</v>
      </c>
      <c r="G3" s="24"/>
      <c r="H3" s="24" t="s">
        <v>346</v>
      </c>
      <c r="I3" s="24"/>
      <c r="J3" s="24" t="s">
        <v>347</v>
      </c>
      <c r="K3" s="24"/>
      <c r="L3" s="110" t="s">
        <v>217</v>
      </c>
    </row>
    <row r="4" customFormat="false" ht="18.75" hidden="false" customHeight="true" outlineLevel="0" collapsed="false">
      <c r="B4" s="81"/>
      <c r="C4" s="81"/>
      <c r="D4" s="81"/>
      <c r="E4" s="81"/>
      <c r="F4" s="112" t="s">
        <v>396</v>
      </c>
      <c r="G4" s="112" t="s">
        <v>377</v>
      </c>
      <c r="H4" s="112" t="s">
        <v>396</v>
      </c>
      <c r="I4" s="112" t="s">
        <v>377</v>
      </c>
      <c r="J4" s="112" t="s">
        <v>396</v>
      </c>
      <c r="K4" s="112" t="s">
        <v>377</v>
      </c>
      <c r="L4" s="110"/>
    </row>
    <row r="5" customFormat="false" ht="23.25" hidden="false" customHeight="true" outlineLevel="0" collapsed="false">
      <c r="B5" s="375" t="n">
        <v>1</v>
      </c>
      <c r="C5" s="320" t="s">
        <v>397</v>
      </c>
      <c r="D5" s="320" t="s">
        <v>398</v>
      </c>
      <c r="E5" s="320"/>
      <c r="F5" s="376" t="n">
        <v>96294830</v>
      </c>
      <c r="G5" s="93" t="n">
        <f aca="false">IFERROR(F5/F$16,"-")</f>
        <v>0.469037217763437</v>
      </c>
      <c r="H5" s="376" t="n">
        <v>172075524</v>
      </c>
      <c r="I5" s="93" t="n">
        <f aca="false">IFERROR(H5/H$16,"-")</f>
        <v>0.545382638406457</v>
      </c>
      <c r="J5" s="376" t="n">
        <v>122908613</v>
      </c>
      <c r="K5" s="93" t="n">
        <f aca="false">IFERROR(J5/J$16,"-")</f>
        <v>0.411474030771039</v>
      </c>
      <c r="L5" s="38"/>
    </row>
    <row r="6" customFormat="false" ht="23.25" hidden="false" customHeight="true" outlineLevel="0" collapsed="false">
      <c r="B6" s="377" t="n">
        <v>2</v>
      </c>
      <c r="C6" s="320" t="s">
        <v>397</v>
      </c>
      <c r="D6" s="320" t="s">
        <v>399</v>
      </c>
      <c r="E6" s="320"/>
      <c r="F6" s="376" t="s">
        <v>112</v>
      </c>
      <c r="G6" s="93" t="str">
        <f aca="false">IFERROR(F6/F$16,"-")</f>
        <v>-</v>
      </c>
      <c r="H6" s="376" t="s">
        <v>112</v>
      </c>
      <c r="I6" s="93" t="str">
        <f aca="false">IFERROR(H6/H$16,"-")</f>
        <v>-</v>
      </c>
      <c r="J6" s="376" t="n">
        <v>33755639</v>
      </c>
      <c r="K6" s="93" t="n">
        <f aca="false">IFERROR(J6/J$16,"-")</f>
        <v>0.113007286483512</v>
      </c>
      <c r="L6" s="382"/>
    </row>
    <row r="7" customFormat="false" ht="23.25" hidden="false" customHeight="true" outlineLevel="0" collapsed="false">
      <c r="B7" s="379" t="n">
        <v>3</v>
      </c>
      <c r="C7" s="320" t="s">
        <v>397</v>
      </c>
      <c r="D7" s="320" t="s">
        <v>400</v>
      </c>
      <c r="E7" s="320"/>
      <c r="F7" s="376" t="s">
        <v>112</v>
      </c>
      <c r="G7" s="93" t="str">
        <f aca="false">IFERROR(F7/F$16,"-")</f>
        <v>-</v>
      </c>
      <c r="H7" s="376" t="s">
        <v>112</v>
      </c>
      <c r="I7" s="93" t="str">
        <f aca="false">IFERROR(H7/H$16,"-")</f>
        <v>-</v>
      </c>
      <c r="J7" s="376" t="n">
        <v>30943171</v>
      </c>
      <c r="K7" s="93" t="n">
        <f aca="false">IFERROR(J7/J$16,"-")</f>
        <v>0.103591692928855</v>
      </c>
      <c r="L7" s="382"/>
    </row>
    <row r="8" customFormat="false" ht="23.25" hidden="false" customHeight="true" outlineLevel="0" collapsed="false">
      <c r="B8" s="377" t="n">
        <v>4</v>
      </c>
      <c r="C8" s="320" t="s">
        <v>397</v>
      </c>
      <c r="D8" s="320" t="s">
        <v>401</v>
      </c>
      <c r="E8" s="320"/>
      <c r="F8" s="376" t="n">
        <v>40487005</v>
      </c>
      <c r="G8" s="93" t="n">
        <f aca="false">IFERROR(F8/F$16,"-")</f>
        <v>0.197205937024598</v>
      </c>
      <c r="H8" s="376" t="n">
        <v>24487628</v>
      </c>
      <c r="I8" s="93" t="n">
        <f aca="false">IFERROR(H8/H$16,"-")</f>
        <v>0.0776120092881764</v>
      </c>
      <c r="J8" s="376" t="n">
        <v>27083161</v>
      </c>
      <c r="K8" s="93" t="n">
        <f aca="false">IFERROR(J8/J$16,"-")</f>
        <v>0.0906691333559431</v>
      </c>
      <c r="L8" s="382"/>
    </row>
    <row r="9" customFormat="false" ht="23.25" hidden="false" customHeight="true" outlineLevel="0" collapsed="false">
      <c r="B9" s="379" t="n">
        <v>5</v>
      </c>
      <c r="C9" s="320" t="s">
        <v>397</v>
      </c>
      <c r="D9" s="320" t="s">
        <v>402</v>
      </c>
      <c r="E9" s="320"/>
      <c r="F9" s="376" t="n">
        <v>11236641</v>
      </c>
      <c r="G9" s="93" t="n">
        <f aca="false">IFERROR(F9/F$16,"-")</f>
        <v>0.0547319397276735</v>
      </c>
      <c r="H9" s="376" t="n">
        <v>19689920</v>
      </c>
      <c r="I9" s="93" t="n">
        <f aca="false">IFERROR(H9/H$16,"-")</f>
        <v>0.0624059730866318</v>
      </c>
      <c r="J9" s="376" t="n">
        <v>24773941</v>
      </c>
      <c r="K9" s="93" t="n">
        <f aca="false">IFERROR(J9/J$16,"-")</f>
        <v>0.0829383158148071</v>
      </c>
      <c r="L9" s="382"/>
    </row>
    <row r="10" customFormat="false" ht="23.25" hidden="false" customHeight="true" outlineLevel="0" collapsed="false">
      <c r="B10" s="377" t="n">
        <v>6</v>
      </c>
      <c r="C10" s="320" t="s">
        <v>397</v>
      </c>
      <c r="D10" s="320" t="s">
        <v>403</v>
      </c>
      <c r="E10" s="320"/>
      <c r="F10" s="376" t="s">
        <v>112</v>
      </c>
      <c r="G10" s="93" t="str">
        <f aca="false">IFERROR(F10/F$16,"-")</f>
        <v>-</v>
      </c>
      <c r="H10" s="376" t="n">
        <v>17563377</v>
      </c>
      <c r="I10" s="93" t="n">
        <f aca="false">IFERROR(H10/H$16,"-")</f>
        <v>0.0556660277122694</v>
      </c>
      <c r="J10" s="376" t="n">
        <v>10979527</v>
      </c>
      <c r="K10" s="93" t="n">
        <f aca="false">IFERROR(J10/J$16,"-")</f>
        <v>0.0367573119603054</v>
      </c>
      <c r="L10" s="382"/>
    </row>
    <row r="11" customFormat="false" ht="23.25" hidden="false" customHeight="true" outlineLevel="0" collapsed="false">
      <c r="B11" s="379" t="n">
        <v>7</v>
      </c>
      <c r="C11" s="320" t="s">
        <v>397</v>
      </c>
      <c r="D11" s="320" t="s">
        <v>404</v>
      </c>
      <c r="E11" s="320"/>
      <c r="F11" s="376" t="s">
        <v>112</v>
      </c>
      <c r="G11" s="93" t="str">
        <f aca="false">IFERROR(F11/F$16,"-")</f>
        <v>-</v>
      </c>
      <c r="H11" s="376" t="s">
        <v>112</v>
      </c>
      <c r="I11" s="93" t="str">
        <f aca="false">IFERROR(H11/H$16,"-")</f>
        <v>-</v>
      </c>
      <c r="J11" s="376" t="n">
        <v>7582630</v>
      </c>
      <c r="K11" s="93" t="n">
        <f aca="false">IFERROR(J11/J$16,"-")</f>
        <v>0.0253851642597692</v>
      </c>
      <c r="L11" s="382"/>
    </row>
    <row r="12" customFormat="false" ht="23.25" hidden="false" customHeight="true" outlineLevel="0" collapsed="false">
      <c r="B12" s="377" t="n">
        <v>8</v>
      </c>
      <c r="C12" s="320" t="s">
        <v>397</v>
      </c>
      <c r="D12" s="320" t="s">
        <v>405</v>
      </c>
      <c r="E12" s="320"/>
      <c r="F12" s="376" t="s">
        <v>112</v>
      </c>
      <c r="G12" s="93" t="str">
        <f aca="false">IFERROR(F12/F$16,"-")</f>
        <v>-</v>
      </c>
      <c r="H12" s="376" t="s">
        <v>112</v>
      </c>
      <c r="I12" s="93" t="str">
        <f aca="false">IFERROR(H12/H$16,"-")</f>
        <v>-</v>
      </c>
      <c r="J12" s="376" t="n">
        <v>5271200</v>
      </c>
      <c r="K12" s="93" t="n">
        <f aca="false">IFERROR(J12/J$16,"-")</f>
        <v>0.0176469480702732</v>
      </c>
      <c r="L12" s="382"/>
    </row>
    <row r="13" customFormat="false" ht="23.25" hidden="false" customHeight="true" outlineLevel="0" collapsed="false">
      <c r="B13" s="379" t="n">
        <v>9</v>
      </c>
      <c r="C13" s="320" t="s">
        <v>397</v>
      </c>
      <c r="D13" s="320" t="s">
        <v>406</v>
      </c>
      <c r="E13" s="320"/>
      <c r="F13" s="376" t="n">
        <v>678755</v>
      </c>
      <c r="G13" s="93" t="n">
        <f aca="false">IFERROR(F13/F$16,"-")</f>
        <v>0.00330611058499217</v>
      </c>
      <c r="H13" s="376" t="n">
        <v>2689881</v>
      </c>
      <c r="I13" s="93" t="n">
        <f aca="false">IFERROR(H13/H$16,"-")</f>
        <v>0.00852541002158679</v>
      </c>
      <c r="J13" s="376" t="n">
        <v>5225159</v>
      </c>
      <c r="K13" s="93" t="n">
        <f aca="false">IFERROR(J13/J$16,"-")</f>
        <v>0.0174928117946427</v>
      </c>
      <c r="L13" s="382"/>
    </row>
    <row r="14" customFormat="false" ht="23.25" hidden="false" customHeight="true" outlineLevel="0" collapsed="false">
      <c r="B14" s="377" t="n">
        <v>10</v>
      </c>
      <c r="C14" s="320" t="s">
        <v>397</v>
      </c>
      <c r="D14" s="320" t="s">
        <v>407</v>
      </c>
      <c r="E14" s="320"/>
      <c r="F14" s="376" t="n">
        <v>14347622</v>
      </c>
      <c r="G14" s="93" t="n">
        <f aca="false">IFERROR(F14/F$16,"-")</f>
        <v>0.0698850468337862</v>
      </c>
      <c r="H14" s="376" t="n">
        <v>23586066</v>
      </c>
      <c r="I14" s="93" t="n">
        <f aca="false">IFERROR(H14/H$16,"-")</f>
        <v>0.0747545647730169</v>
      </c>
      <c r="J14" s="376" t="n">
        <v>4906753</v>
      </c>
      <c r="K14" s="93" t="n">
        <f aca="false">IFERROR(J14/J$16,"-")</f>
        <v>0.0164268506952225</v>
      </c>
      <c r="L14" s="382"/>
    </row>
    <row r="15" customFormat="false" ht="23.25" hidden="false" customHeight="true" outlineLevel="0" collapsed="false">
      <c r="B15" s="289"/>
      <c r="C15" s="381" t="s">
        <v>408</v>
      </c>
      <c r="D15" s="381"/>
      <c r="E15" s="381"/>
      <c r="F15" s="376" t="n">
        <v>42258322</v>
      </c>
      <c r="G15" s="93" t="n">
        <f aca="false">IFERROR(F15/F$16,"-")</f>
        <v>0.205833748065513</v>
      </c>
      <c r="H15" s="376" t="n">
        <v>55420992</v>
      </c>
      <c r="I15" s="93" t="n">
        <f aca="false">IFERROR(H15/H$16,"-")</f>
        <v>0.175653376711862</v>
      </c>
      <c r="J15" s="376" t="n">
        <v>25273414</v>
      </c>
      <c r="K15" s="93" t="n">
        <f aca="false">IFERROR(J15/J$16,"-")</f>
        <v>0.0846104538656311</v>
      </c>
      <c r="L15" s="382" t="s">
        <v>409</v>
      </c>
    </row>
    <row r="16" customFormat="false" ht="23.25" hidden="false" customHeight="true" outlineLevel="0" collapsed="false">
      <c r="B16" s="383"/>
      <c r="C16" s="384" t="s">
        <v>119</v>
      </c>
      <c r="D16" s="384"/>
      <c r="E16" s="384"/>
      <c r="F16" s="385" t="n">
        <f aca="false">SUM(F5:F15)</f>
        <v>205303175</v>
      </c>
      <c r="G16" s="386" t="s">
        <v>112</v>
      </c>
      <c r="H16" s="385" t="n">
        <f aca="false">SUM(H5:H15)</f>
        <v>315513388</v>
      </c>
      <c r="I16" s="386" t="s">
        <v>112</v>
      </c>
      <c r="J16" s="385" t="n">
        <f aca="false">SUM(J5:J15)</f>
        <v>298703208</v>
      </c>
      <c r="K16" s="386" t="s">
        <v>112</v>
      </c>
      <c r="L16" s="50"/>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 defaultRowHeight="18.75" zeroHeight="false" outlineLevelRow="0" outlineLevelCol="0"/>
  <cols>
    <col collapsed="false" customWidth="true" hidden="false" outlineLevel="0" max="1" min="1" style="318" width="3.75"/>
    <col collapsed="false" customWidth="true" hidden="false" outlineLevel="0" max="2" min="2" style="318" width="4.38"/>
    <col collapsed="false" customWidth="true" hidden="false" outlineLevel="0" max="4" min="3" style="318" width="30.38"/>
    <col collapsed="false" customWidth="true" hidden="false" outlineLevel="0" max="5" min="5" style="318" width="16.13"/>
    <col collapsed="false" customWidth="true" hidden="false" outlineLevel="0" max="6" min="6" style="318" width="19.13"/>
    <col collapsed="false" customWidth="true" hidden="false" outlineLevel="0" max="7" min="7" style="318" width="11.5"/>
    <col collapsed="false" customWidth="true" hidden="false" outlineLevel="0" max="8" min="8" style="318" width="8.5"/>
    <col collapsed="false" customWidth="true" hidden="false" outlineLevel="0" max="9" min="9" style="318" width="11.5"/>
    <col collapsed="false" customWidth="true" hidden="false" outlineLevel="0" max="10" min="10" style="318" width="8.5"/>
    <col collapsed="false" customWidth="true" hidden="false" outlineLevel="0" max="11" min="11" style="318" width="11.5"/>
    <col collapsed="false" customWidth="true" hidden="false" outlineLevel="0" max="12" min="12" style="318" width="8.5"/>
    <col collapsed="false" customWidth="true" hidden="false" outlineLevel="0" max="13" min="13" style="318" width="31.5"/>
    <col collapsed="false" customWidth="false" hidden="false" outlineLevel="0" max="16384" min="14" style="318" width="8.75"/>
  </cols>
  <sheetData>
    <row r="2" customFormat="false" ht="18.75" hidden="false" customHeight="true" outlineLevel="0" collapsed="false">
      <c r="L2" s="47" t="s">
        <v>49</v>
      </c>
    </row>
    <row r="3" customFormat="false" ht="18.75" hidden="false" customHeight="true" outlineLevel="0" collapsed="false">
      <c r="B3" s="81" t="s">
        <v>204</v>
      </c>
      <c r="C3" s="24" t="s">
        <v>410</v>
      </c>
      <c r="D3" s="24" t="s">
        <v>411</v>
      </c>
      <c r="E3" s="24" t="s">
        <v>324</v>
      </c>
      <c r="F3" s="24" t="s">
        <v>376</v>
      </c>
      <c r="G3" s="24" t="s">
        <v>345</v>
      </c>
      <c r="H3" s="24"/>
      <c r="I3" s="24" t="s">
        <v>346</v>
      </c>
      <c r="J3" s="24"/>
      <c r="K3" s="24" t="s">
        <v>347</v>
      </c>
      <c r="L3" s="24"/>
      <c r="M3" s="110" t="s">
        <v>217</v>
      </c>
    </row>
    <row r="4" customFormat="false" ht="18.75" hidden="false" customHeight="true" outlineLevel="0" collapsed="false">
      <c r="B4" s="81"/>
      <c r="C4" s="81"/>
      <c r="D4" s="81"/>
      <c r="E4" s="81"/>
      <c r="F4" s="81"/>
      <c r="G4" s="112" t="s">
        <v>412</v>
      </c>
      <c r="H4" s="112" t="s">
        <v>377</v>
      </c>
      <c r="I4" s="112" t="s">
        <v>412</v>
      </c>
      <c r="J4" s="112" t="s">
        <v>377</v>
      </c>
      <c r="K4" s="112" t="s">
        <v>412</v>
      </c>
      <c r="L4" s="112" t="s">
        <v>377</v>
      </c>
      <c r="M4" s="110"/>
    </row>
    <row r="5" customFormat="false" ht="23.25" hidden="false" customHeight="true" outlineLevel="0" collapsed="false">
      <c r="B5" s="375"/>
      <c r="C5" s="320" t="s">
        <v>413</v>
      </c>
      <c r="D5" s="320"/>
      <c r="E5" s="320"/>
      <c r="F5" s="320"/>
      <c r="G5" s="376"/>
      <c r="H5" s="93" t="str">
        <f aca="false">IFERROR(G5/G$16,"-")</f>
        <v>-</v>
      </c>
      <c r="I5" s="376"/>
      <c r="J5" s="93" t="str">
        <f aca="false">IFERROR(I5/I$16,"-")</f>
        <v>-</v>
      </c>
      <c r="K5" s="376"/>
      <c r="L5" s="93" t="str">
        <f aca="false">IFERROR(K5/K$16,"-")</f>
        <v>-</v>
      </c>
      <c r="M5" s="38"/>
    </row>
    <row r="6" customFormat="false" ht="23.25" hidden="false" customHeight="true" outlineLevel="0" collapsed="false">
      <c r="B6" s="377"/>
      <c r="C6" s="320"/>
      <c r="D6" s="320"/>
      <c r="E6" s="320"/>
      <c r="F6" s="320"/>
      <c r="G6" s="376"/>
      <c r="H6" s="93" t="str">
        <f aca="false">IFERROR(G6/G$16,"-")</f>
        <v>-</v>
      </c>
      <c r="I6" s="376"/>
      <c r="J6" s="93" t="str">
        <f aca="false">IFERROR(I6/I$16,"-")</f>
        <v>-</v>
      </c>
      <c r="K6" s="376"/>
      <c r="L6" s="93" t="str">
        <f aca="false">IFERROR(K6/K$16,"-")</f>
        <v>-</v>
      </c>
      <c r="M6" s="382"/>
    </row>
    <row r="7" customFormat="false" ht="23.25" hidden="false" customHeight="true" outlineLevel="0" collapsed="false">
      <c r="B7" s="379"/>
      <c r="C7" s="320"/>
      <c r="D7" s="320"/>
      <c r="E7" s="320"/>
      <c r="F7" s="320"/>
      <c r="G7" s="376"/>
      <c r="H7" s="93" t="str">
        <f aca="false">IFERROR(G7/G$16,"-")</f>
        <v>-</v>
      </c>
      <c r="I7" s="376"/>
      <c r="J7" s="93" t="str">
        <f aca="false">IFERROR(I7/I$16,"-")</f>
        <v>-</v>
      </c>
      <c r="K7" s="376"/>
      <c r="L7" s="93" t="str">
        <f aca="false">IFERROR(K7/K$16,"-")</f>
        <v>-</v>
      </c>
      <c r="M7" s="382"/>
    </row>
    <row r="8" customFormat="false" ht="23.25" hidden="false" customHeight="true" outlineLevel="0" collapsed="false">
      <c r="B8" s="377"/>
      <c r="C8" s="320"/>
      <c r="D8" s="320"/>
      <c r="E8" s="320"/>
      <c r="F8" s="320"/>
      <c r="G8" s="376"/>
      <c r="H8" s="93" t="str">
        <f aca="false">IFERROR(G8/G$16,"-")</f>
        <v>-</v>
      </c>
      <c r="I8" s="376"/>
      <c r="J8" s="93" t="str">
        <f aca="false">IFERROR(I8/I$16,"-")</f>
        <v>-</v>
      </c>
      <c r="K8" s="376"/>
      <c r="L8" s="93" t="str">
        <f aca="false">IFERROR(K8/K$16,"-")</f>
        <v>-</v>
      </c>
      <c r="M8" s="382"/>
    </row>
    <row r="9" customFormat="false" ht="23.25" hidden="false" customHeight="true" outlineLevel="0" collapsed="false">
      <c r="B9" s="379"/>
      <c r="C9" s="320"/>
      <c r="D9" s="320"/>
      <c r="E9" s="320"/>
      <c r="F9" s="320"/>
      <c r="G9" s="376"/>
      <c r="H9" s="93" t="str">
        <f aca="false">IFERROR(G9/G$16,"-")</f>
        <v>-</v>
      </c>
      <c r="I9" s="376"/>
      <c r="J9" s="93" t="str">
        <f aca="false">IFERROR(I9/I$16,"-")</f>
        <v>-</v>
      </c>
      <c r="K9" s="376"/>
      <c r="L9" s="93" t="str">
        <f aca="false">IFERROR(K9/K$16,"-")</f>
        <v>-</v>
      </c>
      <c r="M9" s="382"/>
    </row>
    <row r="10" customFormat="false" ht="23.25" hidden="false" customHeight="true" outlineLevel="0" collapsed="false">
      <c r="B10" s="377"/>
      <c r="C10" s="320"/>
      <c r="D10" s="320"/>
      <c r="E10" s="320"/>
      <c r="F10" s="320"/>
      <c r="G10" s="376"/>
      <c r="H10" s="93" t="str">
        <f aca="false">IFERROR(G10/G$16,"-")</f>
        <v>-</v>
      </c>
      <c r="I10" s="376"/>
      <c r="J10" s="93" t="str">
        <f aca="false">IFERROR(I10/I$16,"-")</f>
        <v>-</v>
      </c>
      <c r="K10" s="376"/>
      <c r="L10" s="93" t="str">
        <f aca="false">IFERROR(K10/K$16,"-")</f>
        <v>-</v>
      </c>
      <c r="M10" s="382"/>
    </row>
    <row r="11" customFormat="false" ht="23.25" hidden="false" customHeight="true" outlineLevel="0" collapsed="false">
      <c r="B11" s="379"/>
      <c r="C11" s="320"/>
      <c r="D11" s="320"/>
      <c r="E11" s="320"/>
      <c r="F11" s="320"/>
      <c r="G11" s="376"/>
      <c r="H11" s="93" t="str">
        <f aca="false">IFERROR(G11/G$16,"-")</f>
        <v>-</v>
      </c>
      <c r="I11" s="376"/>
      <c r="J11" s="93" t="str">
        <f aca="false">IFERROR(I11/I$16,"-")</f>
        <v>-</v>
      </c>
      <c r="K11" s="376"/>
      <c r="L11" s="93" t="str">
        <f aca="false">IFERROR(K11/K$16,"-")</f>
        <v>-</v>
      </c>
      <c r="M11" s="382"/>
    </row>
    <row r="12" customFormat="false" ht="23.25" hidden="false" customHeight="true" outlineLevel="0" collapsed="false">
      <c r="B12" s="377"/>
      <c r="C12" s="320"/>
      <c r="D12" s="320"/>
      <c r="E12" s="320"/>
      <c r="F12" s="320"/>
      <c r="G12" s="376"/>
      <c r="H12" s="93" t="str">
        <f aca="false">IFERROR(G12/G$16,"-")</f>
        <v>-</v>
      </c>
      <c r="I12" s="376"/>
      <c r="J12" s="93" t="str">
        <f aca="false">IFERROR(I12/I$16,"-")</f>
        <v>-</v>
      </c>
      <c r="K12" s="376"/>
      <c r="L12" s="93" t="str">
        <f aca="false">IFERROR(K12/K$16,"-")</f>
        <v>-</v>
      </c>
      <c r="M12" s="382"/>
    </row>
    <row r="13" customFormat="false" ht="23.25" hidden="false" customHeight="true" outlineLevel="0" collapsed="false">
      <c r="B13" s="379"/>
      <c r="C13" s="320"/>
      <c r="D13" s="320"/>
      <c r="E13" s="320"/>
      <c r="F13" s="320"/>
      <c r="G13" s="376"/>
      <c r="H13" s="93" t="str">
        <f aca="false">IFERROR(G13/G$16,"-")</f>
        <v>-</v>
      </c>
      <c r="I13" s="376"/>
      <c r="J13" s="93" t="str">
        <f aca="false">IFERROR(I13/I$16,"-")</f>
        <v>-</v>
      </c>
      <c r="K13" s="376"/>
      <c r="L13" s="93" t="str">
        <f aca="false">IFERROR(K13/K$16,"-")</f>
        <v>-</v>
      </c>
      <c r="M13" s="382"/>
    </row>
    <row r="14" customFormat="false" ht="23.25" hidden="false" customHeight="true" outlineLevel="0" collapsed="false">
      <c r="B14" s="377"/>
      <c r="C14" s="320"/>
      <c r="D14" s="320"/>
      <c r="E14" s="320"/>
      <c r="F14" s="320"/>
      <c r="G14" s="376"/>
      <c r="H14" s="93" t="str">
        <f aca="false">IFERROR(G14/G$16,"-")</f>
        <v>-</v>
      </c>
      <c r="I14" s="376"/>
      <c r="J14" s="93" t="str">
        <f aca="false">IFERROR(I14/I$16,"-")</f>
        <v>-</v>
      </c>
      <c r="K14" s="376"/>
      <c r="L14" s="93" t="str">
        <f aca="false">IFERROR(K14/K$16,"-")</f>
        <v>-</v>
      </c>
      <c r="M14" s="382"/>
    </row>
    <row r="15" customFormat="false" ht="23.25" hidden="false" customHeight="true" outlineLevel="0" collapsed="false">
      <c r="B15" s="380"/>
      <c r="C15" s="387"/>
      <c r="D15" s="387"/>
      <c r="E15" s="387"/>
      <c r="F15" s="387"/>
      <c r="G15" s="376"/>
      <c r="H15" s="93" t="str">
        <f aca="false">IFERROR(G15/G$16,"-")</f>
        <v>-</v>
      </c>
      <c r="I15" s="376"/>
      <c r="J15" s="93" t="str">
        <f aca="false">IFERROR(I15/I$16,"-")</f>
        <v>-</v>
      </c>
      <c r="K15" s="376"/>
      <c r="L15" s="93" t="str">
        <f aca="false">IFERROR(K15/K$16,"-")</f>
        <v>-</v>
      </c>
      <c r="M15" s="382"/>
    </row>
    <row r="16" customFormat="false" ht="23.25" hidden="false" customHeight="true" outlineLevel="0" collapsed="false">
      <c r="B16" s="383"/>
      <c r="C16" s="384" t="s">
        <v>119</v>
      </c>
      <c r="D16" s="384"/>
      <c r="E16" s="384"/>
      <c r="F16" s="384"/>
      <c r="G16" s="385"/>
      <c r="H16" s="386" t="s">
        <v>112</v>
      </c>
      <c r="I16" s="385"/>
      <c r="J16" s="386" t="s">
        <v>112</v>
      </c>
      <c r="K16" s="385"/>
      <c r="L16" s="386" t="s">
        <v>112</v>
      </c>
      <c r="M16" s="50"/>
    </row>
  </sheetData>
  <mergeCells count="10">
    <mergeCell ref="B3:B4"/>
    <mergeCell ref="C3:C4"/>
    <mergeCell ref="D3:D4"/>
    <mergeCell ref="E3:E4"/>
    <mergeCell ref="F3:F4"/>
    <mergeCell ref="G3:H3"/>
    <mergeCell ref="I3:J3"/>
    <mergeCell ref="K3:L3"/>
    <mergeCell ref="M3:M4"/>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75" defaultRowHeight="18.75" zeroHeight="false" outlineLevelRow="0" outlineLevelCol="0"/>
  <cols>
    <col collapsed="false" customWidth="true" hidden="false" outlineLevel="0" max="1" min="1" style="318" width="3.75"/>
    <col collapsed="false" customWidth="true" hidden="false" outlineLevel="0" max="2" min="2" style="318" width="4.38"/>
    <col collapsed="false" customWidth="true" hidden="false" outlineLevel="0" max="3" min="3" style="318" width="21.75"/>
    <col collapsed="false" customWidth="true" hidden="false" outlineLevel="0" max="7" min="4" style="318" width="19"/>
    <col collapsed="false" customWidth="true" hidden="false" outlineLevel="0" max="8" min="8" style="318" width="31.5"/>
    <col collapsed="false" customWidth="false" hidden="false" outlineLevel="0" max="16384" min="9" style="318" width="8.75"/>
  </cols>
  <sheetData>
    <row r="2" customFormat="false" ht="18.75" hidden="false" customHeight="true" outlineLevel="0" collapsed="false">
      <c r="E2" s="47" t="s">
        <v>49</v>
      </c>
    </row>
    <row r="3" customFormat="false" ht="18.75" hidden="false" customHeight="true" outlineLevel="0" collapsed="false">
      <c r="B3" s="81" t="s">
        <v>204</v>
      </c>
      <c r="C3" s="24" t="s">
        <v>205</v>
      </c>
      <c r="D3" s="24" t="s">
        <v>414</v>
      </c>
      <c r="E3" s="388" t="s">
        <v>415</v>
      </c>
      <c r="F3" s="24" t="s">
        <v>416</v>
      </c>
      <c r="G3" s="24" t="s">
        <v>417</v>
      </c>
      <c r="H3" s="110" t="s">
        <v>217</v>
      </c>
    </row>
    <row r="4" customFormat="false" ht="18.75" hidden="false" customHeight="true" outlineLevel="0" collapsed="false">
      <c r="B4" s="81"/>
      <c r="C4" s="81"/>
      <c r="D4" s="81"/>
      <c r="E4" s="81"/>
      <c r="F4" s="81"/>
      <c r="G4" s="81"/>
      <c r="H4" s="110"/>
    </row>
    <row r="5" customFormat="false" ht="23.25" hidden="false" customHeight="true" outlineLevel="0" collapsed="false">
      <c r="B5" s="375"/>
      <c r="C5" s="320" t="s">
        <v>418</v>
      </c>
      <c r="D5" s="320"/>
      <c r="E5" s="31"/>
      <c r="F5" s="389"/>
      <c r="G5" s="93" t="str">
        <f aca="false">IFERROR(F5/$F$15,"-")</f>
        <v>-</v>
      </c>
      <c r="H5" s="38"/>
    </row>
    <row r="6" customFormat="false" ht="23.25" hidden="false" customHeight="true" outlineLevel="0" collapsed="false">
      <c r="B6" s="377"/>
      <c r="C6" s="320"/>
      <c r="D6" s="320"/>
      <c r="E6" s="31"/>
      <c r="F6" s="389"/>
      <c r="G6" s="93" t="str">
        <f aca="false">IFERROR(F6/$F$15,"-")</f>
        <v>-</v>
      </c>
      <c r="H6" s="382"/>
    </row>
    <row r="7" customFormat="false" ht="23.25" hidden="false" customHeight="true" outlineLevel="0" collapsed="false">
      <c r="B7" s="379"/>
      <c r="C7" s="320"/>
      <c r="D7" s="320"/>
      <c r="E7" s="31"/>
      <c r="F7" s="389"/>
      <c r="G7" s="93" t="str">
        <f aca="false">IFERROR(F7/$F$15,"-")</f>
        <v>-</v>
      </c>
      <c r="H7" s="382"/>
    </row>
    <row r="8" customFormat="false" ht="23.25" hidden="false" customHeight="true" outlineLevel="0" collapsed="false">
      <c r="B8" s="377"/>
      <c r="C8" s="320"/>
      <c r="D8" s="320"/>
      <c r="E8" s="31"/>
      <c r="F8" s="389"/>
      <c r="G8" s="93" t="str">
        <f aca="false">IFERROR(F8/$F$15,"-")</f>
        <v>-</v>
      </c>
      <c r="H8" s="382"/>
    </row>
    <row r="9" customFormat="false" ht="23.25" hidden="false" customHeight="true" outlineLevel="0" collapsed="false">
      <c r="B9" s="379"/>
      <c r="C9" s="320"/>
      <c r="D9" s="320"/>
      <c r="E9" s="31"/>
      <c r="F9" s="389"/>
      <c r="G9" s="93" t="str">
        <f aca="false">IFERROR(F9/$F$15,"-")</f>
        <v>-</v>
      </c>
      <c r="H9" s="382"/>
    </row>
    <row r="10" customFormat="false" ht="23.25" hidden="false" customHeight="true" outlineLevel="0" collapsed="false">
      <c r="B10" s="377"/>
      <c r="C10" s="320"/>
      <c r="D10" s="320"/>
      <c r="E10" s="31"/>
      <c r="F10" s="389"/>
      <c r="G10" s="93" t="str">
        <f aca="false">IFERROR(F10/$F$15,"-")</f>
        <v>-</v>
      </c>
      <c r="H10" s="382"/>
    </row>
    <row r="11" customFormat="false" ht="23.25" hidden="false" customHeight="true" outlineLevel="0" collapsed="false">
      <c r="B11" s="379"/>
      <c r="C11" s="320"/>
      <c r="D11" s="320"/>
      <c r="E11" s="31"/>
      <c r="F11" s="389"/>
      <c r="G11" s="93" t="str">
        <f aca="false">IFERROR(F11/$F$15,"-")</f>
        <v>-</v>
      </c>
      <c r="H11" s="382"/>
    </row>
    <row r="12" customFormat="false" ht="23.25" hidden="false" customHeight="true" outlineLevel="0" collapsed="false">
      <c r="B12" s="377"/>
      <c r="C12" s="320"/>
      <c r="D12" s="320"/>
      <c r="E12" s="31"/>
      <c r="F12" s="389"/>
      <c r="G12" s="93" t="str">
        <f aca="false">IFERROR(F12/$F$15,"-")</f>
        <v>-</v>
      </c>
      <c r="H12" s="382"/>
    </row>
    <row r="13" customFormat="false" ht="23.25" hidden="false" customHeight="true" outlineLevel="0" collapsed="false">
      <c r="B13" s="379"/>
      <c r="C13" s="320"/>
      <c r="D13" s="320"/>
      <c r="E13" s="31"/>
      <c r="F13" s="389"/>
      <c r="G13" s="93" t="str">
        <f aca="false">IFERROR(F13/$F$15,"-")</f>
        <v>-</v>
      </c>
      <c r="H13" s="382"/>
    </row>
    <row r="14" customFormat="false" ht="23.25" hidden="false" customHeight="true" outlineLevel="0" collapsed="false">
      <c r="B14" s="377"/>
      <c r="C14" s="320"/>
      <c r="D14" s="320"/>
      <c r="E14" s="31"/>
      <c r="F14" s="389"/>
      <c r="G14" s="93" t="str">
        <f aca="false">IFERROR(F14/$F$15,"-")</f>
        <v>-</v>
      </c>
      <c r="H14" s="382"/>
    </row>
    <row r="15" customFormat="false" ht="23.25" hidden="false" customHeight="true" outlineLevel="0" collapsed="false">
      <c r="B15" s="390"/>
      <c r="C15" s="391" t="s">
        <v>119</v>
      </c>
      <c r="D15" s="391"/>
      <c r="E15" s="392" t="n">
        <f aca="false">SUM(E5:E14)</f>
        <v>0</v>
      </c>
      <c r="F15" s="393" t="n">
        <f aca="false">SUM(F5:F14)</f>
        <v>0</v>
      </c>
      <c r="G15" s="96" t="str">
        <f aca="false">IFERROR(F15/$F$15,"-")</f>
        <v>-</v>
      </c>
      <c r="H15" s="50"/>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75" defaultRowHeight="18.75" zeroHeight="false" outlineLevelRow="0" outlineLevelCol="0"/>
  <cols>
    <col collapsed="false" customWidth="true" hidden="false" outlineLevel="0" max="1" min="1" style="318" width="3.75"/>
    <col collapsed="false" customWidth="true" hidden="false" outlineLevel="0" max="2" min="2" style="318" width="4.38"/>
    <col collapsed="false" customWidth="true" hidden="false" outlineLevel="0" max="3" min="3" style="318" width="21.75"/>
    <col collapsed="false" customWidth="true" hidden="false" outlineLevel="0" max="6" min="4" style="318" width="16.38"/>
    <col collapsed="false" customWidth="true" hidden="false" outlineLevel="0" max="8" min="7" style="318" width="36.75"/>
    <col collapsed="false" customWidth="false" hidden="false" outlineLevel="0" max="16384" min="9" style="318" width="8.75"/>
  </cols>
  <sheetData>
    <row r="2" customFormat="false" ht="18.75" hidden="false" customHeight="true" outlineLevel="0" collapsed="false">
      <c r="F2" s="47" t="s">
        <v>49</v>
      </c>
      <c r="G2" s="47"/>
    </row>
    <row r="3" customFormat="false" ht="18.75" hidden="false" customHeight="true" outlineLevel="0" collapsed="false">
      <c r="B3" s="81" t="s">
        <v>204</v>
      </c>
      <c r="C3" s="24" t="s">
        <v>205</v>
      </c>
      <c r="D3" s="24" t="s">
        <v>414</v>
      </c>
      <c r="E3" s="24" t="s">
        <v>419</v>
      </c>
      <c r="F3" s="388" t="s">
        <v>415</v>
      </c>
      <c r="G3" s="388" t="s">
        <v>420</v>
      </c>
      <c r="H3" s="110" t="s">
        <v>217</v>
      </c>
    </row>
    <row r="4" customFormat="false" ht="18.75" hidden="false" customHeight="true" outlineLevel="0" collapsed="false">
      <c r="B4" s="81"/>
      <c r="C4" s="81"/>
      <c r="D4" s="81"/>
      <c r="E4" s="81"/>
      <c r="F4" s="81"/>
      <c r="G4" s="81"/>
      <c r="H4" s="110"/>
    </row>
    <row r="5" customFormat="false" ht="23.25" hidden="false" customHeight="true" outlineLevel="0" collapsed="false">
      <c r="B5" s="375" t="n">
        <v>1</v>
      </c>
      <c r="C5" s="320" t="s">
        <v>421</v>
      </c>
      <c r="D5" s="320" t="s">
        <v>422</v>
      </c>
      <c r="E5" s="320" t="s">
        <v>423</v>
      </c>
      <c r="F5" s="31" t="n">
        <v>21104000</v>
      </c>
      <c r="G5" s="394" t="s">
        <v>424</v>
      </c>
      <c r="H5" s="38" t="s">
        <v>425</v>
      </c>
    </row>
    <row r="6" customFormat="false" ht="23.25" hidden="false" customHeight="true" outlineLevel="0" collapsed="false">
      <c r="B6" s="377" t="n">
        <v>2</v>
      </c>
      <c r="C6" s="320" t="s">
        <v>426</v>
      </c>
      <c r="D6" s="320" t="s">
        <v>427</v>
      </c>
      <c r="E6" s="320" t="s">
        <v>428</v>
      </c>
      <c r="F6" s="31" t="n">
        <v>1788000</v>
      </c>
      <c r="G6" s="395" t="s">
        <v>380</v>
      </c>
      <c r="H6" s="382" t="s">
        <v>429</v>
      </c>
    </row>
    <row r="7" customFormat="false" ht="23.25" hidden="false" customHeight="true" outlineLevel="0" collapsed="false">
      <c r="B7" s="379" t="n">
        <v>3</v>
      </c>
      <c r="C7" s="320" t="s">
        <v>430</v>
      </c>
      <c r="D7" s="320" t="s">
        <v>427</v>
      </c>
      <c r="E7" s="320" t="s">
        <v>428</v>
      </c>
      <c r="F7" s="31" t="n">
        <v>1800000</v>
      </c>
      <c r="G7" s="395" t="s">
        <v>380</v>
      </c>
      <c r="H7" s="382" t="s">
        <v>429</v>
      </c>
    </row>
    <row r="8" customFormat="false" ht="23.25" hidden="false" customHeight="true" outlineLevel="0" collapsed="false">
      <c r="B8" s="377"/>
      <c r="C8" s="320"/>
      <c r="D8" s="320"/>
      <c r="E8" s="320"/>
      <c r="F8" s="396"/>
      <c r="G8" s="395"/>
      <c r="H8" s="382"/>
    </row>
    <row r="9" customFormat="false" ht="23.25" hidden="true" customHeight="true" outlineLevel="0" collapsed="false">
      <c r="B9" s="397"/>
      <c r="C9" s="320"/>
      <c r="D9" s="320"/>
      <c r="E9" s="320"/>
      <c r="F9" s="31"/>
      <c r="G9" s="395"/>
      <c r="H9" s="382"/>
    </row>
    <row r="10" customFormat="false" ht="23.25" hidden="true" customHeight="true" outlineLevel="0" collapsed="false">
      <c r="B10" s="398"/>
      <c r="C10" s="320"/>
      <c r="D10" s="320"/>
      <c r="E10" s="320"/>
      <c r="F10" s="31"/>
      <c r="G10" s="395"/>
      <c r="H10" s="382"/>
    </row>
    <row r="11" customFormat="false" ht="23.25" hidden="true" customHeight="true" outlineLevel="0" collapsed="false">
      <c r="B11" s="397"/>
      <c r="C11" s="320"/>
      <c r="D11" s="320"/>
      <c r="E11" s="320"/>
      <c r="F11" s="31"/>
      <c r="G11" s="395"/>
      <c r="H11" s="382"/>
    </row>
    <row r="12" customFormat="false" ht="23.25" hidden="true" customHeight="true" outlineLevel="0" collapsed="false">
      <c r="B12" s="398"/>
      <c r="C12" s="320"/>
      <c r="D12" s="320"/>
      <c r="E12" s="320"/>
      <c r="F12" s="31"/>
      <c r="G12" s="395"/>
      <c r="H12" s="382"/>
    </row>
    <row r="13" customFormat="false" ht="23.25" hidden="true" customHeight="true" outlineLevel="0" collapsed="false">
      <c r="B13" s="397"/>
      <c r="C13" s="320"/>
      <c r="D13" s="320"/>
      <c r="E13" s="320"/>
      <c r="F13" s="31"/>
      <c r="G13" s="395"/>
      <c r="H13" s="382"/>
    </row>
    <row r="14" customFormat="false" ht="23.25" hidden="true" customHeight="true" outlineLevel="0" collapsed="false">
      <c r="B14" s="398"/>
      <c r="C14" s="320"/>
      <c r="D14" s="320"/>
      <c r="E14" s="320"/>
      <c r="F14" s="31"/>
      <c r="G14" s="395"/>
      <c r="H14" s="382"/>
    </row>
    <row r="15" customFormat="false" ht="23.25" hidden="false" customHeight="true" outlineLevel="0" collapsed="false">
      <c r="B15" s="390"/>
      <c r="C15" s="391" t="s">
        <v>119</v>
      </c>
      <c r="D15" s="391"/>
      <c r="E15" s="391"/>
      <c r="F15" s="392" t="n">
        <f aca="false">SUM(F5:F14)</f>
        <v>24692000</v>
      </c>
      <c r="G15" s="399"/>
      <c r="H15" s="50"/>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5390625" defaultRowHeight="18" zeroHeight="false" outlineLevelRow="0" outlineLevelCol="0"/>
  <cols>
    <col collapsed="false" customWidth="true" hidden="false" outlineLevel="0" max="2" min="2" style="1" width="6"/>
    <col collapsed="false" customWidth="true" hidden="false" outlineLevel="0" max="5" min="3" style="400" width="13.5"/>
    <col collapsed="false" customWidth="true" hidden="false" outlineLevel="0" max="6" min="6" style="400" width="6.63"/>
    <col collapsed="false" customWidth="true" hidden="false" outlineLevel="0" max="7" min="7" style="401" width="13.5"/>
    <col collapsed="false" customWidth="true" hidden="false" outlineLevel="0" max="8" min="8" style="401" width="14.38"/>
    <col collapsed="false" customWidth="true" hidden="false" outlineLevel="0" max="9" min="9" style="402" width="13.5"/>
    <col collapsed="false" customWidth="true" hidden="false" outlineLevel="0" max="10" min="10" style="402" width="14.38"/>
    <col collapsed="false" customWidth="true" hidden="false" outlineLevel="0" max="12" min="11" style="403" width="13.5"/>
    <col collapsed="false" customWidth="true" hidden="false" outlineLevel="0" max="16" min="13" style="20" width="16.13"/>
    <col collapsed="false" customWidth="true" hidden="false" outlineLevel="0" max="17" min="17" style="20" width="55.5"/>
  </cols>
  <sheetData>
    <row r="1" customFormat="false" ht="18" hidden="false" customHeight="true" outlineLevel="0" collapsed="false">
      <c r="K1" s="2"/>
      <c r="L1" s="2"/>
    </row>
    <row r="2" customFormat="false" ht="18" hidden="false" customHeight="true" outlineLevel="0" collapsed="false">
      <c r="F2" s="404" t="s">
        <v>431</v>
      </c>
      <c r="G2" s="405" t="n">
        <v>46053</v>
      </c>
      <c r="K2" s="2"/>
      <c r="L2" s="2"/>
    </row>
    <row r="3" customFormat="false" ht="18" hidden="false" customHeight="true" outlineLevel="0" collapsed="false">
      <c r="G3" s="401" t="s">
        <v>432</v>
      </c>
      <c r="I3" s="401" t="s">
        <v>432</v>
      </c>
      <c r="K3" s="2"/>
      <c r="L3" s="2"/>
    </row>
    <row r="4" customFormat="false" ht="39" hidden="false" customHeight="true" outlineLevel="0" collapsed="false">
      <c r="B4" s="250" t="s">
        <v>204</v>
      </c>
      <c r="C4" s="406" t="s">
        <v>205</v>
      </c>
      <c r="D4" s="208" t="s">
        <v>433</v>
      </c>
      <c r="E4" s="208" t="s">
        <v>434</v>
      </c>
      <c r="F4" s="208" t="s">
        <v>435</v>
      </c>
      <c r="G4" s="406" t="s">
        <v>436</v>
      </c>
      <c r="H4" s="407" t="s">
        <v>437</v>
      </c>
      <c r="I4" s="408" t="s">
        <v>438</v>
      </c>
      <c r="J4" s="409" t="s">
        <v>439</v>
      </c>
      <c r="K4" s="177" t="s">
        <v>440</v>
      </c>
      <c r="L4" s="177" t="s">
        <v>414</v>
      </c>
      <c r="M4" s="177" t="s">
        <v>441</v>
      </c>
      <c r="N4" s="177" t="s">
        <v>442</v>
      </c>
      <c r="O4" s="177" t="s">
        <v>443</v>
      </c>
      <c r="P4" s="177" t="s">
        <v>444</v>
      </c>
      <c r="Q4" s="178" t="s">
        <v>217</v>
      </c>
    </row>
    <row r="5" customFormat="false" ht="22.5" hidden="false" customHeight="true" outlineLevel="0" collapsed="false">
      <c r="B5" s="379" t="n">
        <v>1</v>
      </c>
      <c r="C5" s="410"/>
      <c r="D5" s="410" t="s">
        <v>445</v>
      </c>
      <c r="E5" s="411" t="s">
        <v>446</v>
      </c>
      <c r="F5" s="411" t="s">
        <v>447</v>
      </c>
      <c r="G5" s="412" t="n">
        <v>30897</v>
      </c>
      <c r="H5" s="413" t="n">
        <f aca="false">ROUNDDOWN(($G$2-G5)/365,0)</f>
        <v>41</v>
      </c>
      <c r="I5" s="412" t="n">
        <v>41730</v>
      </c>
      <c r="J5" s="413" t="n">
        <f aca="false">ROUNDDOWN(($G$2-I5)/365,0)</f>
        <v>11</v>
      </c>
      <c r="K5" s="319" t="s">
        <v>448</v>
      </c>
      <c r="L5" s="319" t="s">
        <v>449</v>
      </c>
      <c r="M5" s="414" t="n">
        <v>464600</v>
      </c>
      <c r="N5" s="414" t="n">
        <v>0</v>
      </c>
      <c r="O5" s="414" t="n">
        <v>1691608</v>
      </c>
      <c r="P5" s="415" t="n">
        <v>6820808</v>
      </c>
      <c r="Q5" s="416"/>
    </row>
    <row r="6" customFormat="false" ht="22.5" hidden="false" customHeight="true" outlineLevel="0" collapsed="false">
      <c r="B6" s="417" t="n">
        <v>2</v>
      </c>
      <c r="C6" s="418"/>
      <c r="D6" s="418" t="s">
        <v>450</v>
      </c>
      <c r="E6" s="419" t="s">
        <v>446</v>
      </c>
      <c r="F6" s="419" t="s">
        <v>451</v>
      </c>
      <c r="G6" s="420" t="n">
        <v>31097</v>
      </c>
      <c r="H6" s="413" t="n">
        <f aca="false">ROUNDDOWN(($G$2-G6)/365,0)</f>
        <v>40</v>
      </c>
      <c r="I6" s="421" t="n">
        <v>42217</v>
      </c>
      <c r="J6" s="413" t="n">
        <f aca="false">ROUNDDOWN(($G$2-I6)/365,0)</f>
        <v>10</v>
      </c>
      <c r="K6" s="320" t="s">
        <v>448</v>
      </c>
      <c r="L6" s="320" t="s">
        <v>452</v>
      </c>
      <c r="M6" s="422" t="n">
        <v>413400</v>
      </c>
      <c r="N6" s="422" t="n">
        <v>0</v>
      </c>
      <c r="O6" s="422" t="n">
        <v>772645</v>
      </c>
      <c r="P6" s="389" t="n">
        <v>5349445</v>
      </c>
      <c r="Q6" s="423"/>
    </row>
    <row r="7" customFormat="false" ht="22.5" hidden="false" customHeight="true" outlineLevel="0" collapsed="false">
      <c r="B7" s="379" t="n">
        <v>3</v>
      </c>
      <c r="C7" s="419"/>
      <c r="D7" s="418" t="s">
        <v>453</v>
      </c>
      <c r="E7" s="419" t="s">
        <v>446</v>
      </c>
      <c r="F7" s="419" t="s">
        <v>451</v>
      </c>
      <c r="G7" s="420" t="n">
        <v>34789</v>
      </c>
      <c r="H7" s="413" t="n">
        <f aca="false">ROUNDDOWN(($G$2-G7)/365,0)</f>
        <v>30</v>
      </c>
      <c r="I7" s="421" t="n">
        <v>42828</v>
      </c>
      <c r="J7" s="413" t="n">
        <f aca="false">ROUNDDOWN(($G$2-I7)/365,0)</f>
        <v>8</v>
      </c>
      <c r="K7" s="320" t="s">
        <v>448</v>
      </c>
      <c r="L7" s="320" t="s">
        <v>448</v>
      </c>
      <c r="M7" s="422" t="n">
        <v>229500</v>
      </c>
      <c r="N7" s="422" t="n">
        <v>0</v>
      </c>
      <c r="O7" s="422" t="n">
        <v>0</v>
      </c>
      <c r="P7" s="389" t="n">
        <v>316929</v>
      </c>
      <c r="Q7" s="423" t="s">
        <v>454</v>
      </c>
    </row>
    <row r="8" customFormat="false" ht="22.5" hidden="false" customHeight="true" outlineLevel="0" collapsed="false">
      <c r="B8" s="417" t="n">
        <v>4</v>
      </c>
      <c r="C8" s="419"/>
      <c r="D8" s="418" t="s">
        <v>455</v>
      </c>
      <c r="E8" s="419" t="s">
        <v>446</v>
      </c>
      <c r="F8" s="419" t="s">
        <v>451</v>
      </c>
      <c r="G8" s="420" t="n">
        <v>36308</v>
      </c>
      <c r="H8" s="413" t="n">
        <f aca="false">ROUNDDOWN(($G$2-G8)/365,0)</f>
        <v>26</v>
      </c>
      <c r="I8" s="421" t="n">
        <v>44531</v>
      </c>
      <c r="J8" s="413" t="n">
        <f aca="false">ROUNDDOWN(($G$2-I8)/365,0)</f>
        <v>4</v>
      </c>
      <c r="K8" s="320" t="s">
        <v>448</v>
      </c>
      <c r="L8" s="320" t="s">
        <v>456</v>
      </c>
      <c r="M8" s="422" t="n">
        <v>347800</v>
      </c>
      <c r="N8" s="422" t="n">
        <v>0</v>
      </c>
      <c r="O8" s="422" t="n">
        <v>1610718</v>
      </c>
      <c r="P8" s="389" t="n">
        <v>5506318</v>
      </c>
      <c r="Q8" s="423"/>
    </row>
    <row r="9" customFormat="false" ht="22.5" hidden="false" customHeight="true" outlineLevel="0" collapsed="false">
      <c r="B9" s="379" t="n">
        <v>5</v>
      </c>
      <c r="C9" s="419"/>
      <c r="D9" s="418" t="s">
        <v>457</v>
      </c>
      <c r="E9" s="419" t="s">
        <v>446</v>
      </c>
      <c r="F9" s="419" t="s">
        <v>451</v>
      </c>
      <c r="G9" s="420" t="n">
        <v>38389</v>
      </c>
      <c r="H9" s="413" t="n">
        <f aca="false">ROUNDDOWN(($G$2-G9)/365,0)</f>
        <v>20</v>
      </c>
      <c r="I9" s="421" t="n">
        <v>45748</v>
      </c>
      <c r="J9" s="413" t="n">
        <f aca="false">ROUNDDOWN(($G$2-I9)/365,0)</f>
        <v>0</v>
      </c>
      <c r="K9" s="320" t="s">
        <v>448</v>
      </c>
      <c r="L9" s="320" t="s">
        <v>448</v>
      </c>
      <c r="M9" s="422" t="n">
        <v>262480</v>
      </c>
      <c r="N9" s="422" t="n">
        <v>0</v>
      </c>
      <c r="O9" s="422" t="n">
        <v>305343</v>
      </c>
      <c r="P9" s="389" t="n">
        <v>3230303</v>
      </c>
      <c r="Q9" s="423"/>
    </row>
    <row r="10" customFormat="false" ht="22.5" hidden="false" customHeight="true" outlineLevel="0" collapsed="false">
      <c r="B10" s="417" t="n">
        <v>6</v>
      </c>
      <c r="C10" s="419"/>
      <c r="D10" s="418" t="s">
        <v>458</v>
      </c>
      <c r="E10" s="419" t="s">
        <v>446</v>
      </c>
      <c r="F10" s="419" t="s">
        <v>451</v>
      </c>
      <c r="G10" s="420" t="n">
        <v>36793</v>
      </c>
      <c r="H10" s="413" t="n">
        <f aca="false">ROUNDDOWN(($G$2-G10)/365,0)</f>
        <v>25</v>
      </c>
      <c r="I10" s="421" t="n">
        <v>45809</v>
      </c>
      <c r="J10" s="413" t="n">
        <f aca="false">ROUNDDOWN(($G$2-I10)/365,0)</f>
        <v>0</v>
      </c>
      <c r="K10" s="320" t="s">
        <v>459</v>
      </c>
      <c r="L10" s="320" t="s">
        <v>459</v>
      </c>
      <c r="M10" s="422" t="n">
        <v>275600</v>
      </c>
      <c r="N10" s="422" t="n">
        <v>0</v>
      </c>
      <c r="O10" s="422" t="n">
        <v>305343</v>
      </c>
      <c r="P10" s="389" t="n">
        <v>3312345</v>
      </c>
      <c r="Q10" s="423"/>
    </row>
    <row r="11" customFormat="false" ht="22.5" hidden="false" customHeight="true" outlineLevel="0" collapsed="false">
      <c r="B11" s="379" t="n">
        <v>7</v>
      </c>
      <c r="C11" s="419"/>
      <c r="D11" s="418" t="s">
        <v>460</v>
      </c>
      <c r="E11" s="419" t="s">
        <v>446</v>
      </c>
      <c r="F11" s="419" t="s">
        <v>451</v>
      </c>
      <c r="G11" s="420" t="n">
        <v>36257</v>
      </c>
      <c r="H11" s="413" t="n">
        <f aca="false">ROUNDDOWN(($G$2-G11)/365,0)</f>
        <v>26</v>
      </c>
      <c r="I11" s="421" t="n">
        <v>46113</v>
      </c>
      <c r="J11" s="413" t="n">
        <f aca="false">ROUNDDOWN(($G$2-I11)/365,0)</f>
        <v>-0</v>
      </c>
      <c r="K11" s="320" t="s">
        <v>459</v>
      </c>
      <c r="L11" s="320" t="s">
        <v>459</v>
      </c>
      <c r="M11" s="422" t="n">
        <v>315000</v>
      </c>
      <c r="N11" s="422" t="n">
        <v>0</v>
      </c>
      <c r="O11" s="422" t="n">
        <v>0</v>
      </c>
      <c r="P11" s="389" t="n">
        <v>630000</v>
      </c>
      <c r="Q11" s="423" t="s">
        <v>461</v>
      </c>
    </row>
    <row r="12" customFormat="false" ht="22.5" hidden="false" customHeight="true" outlineLevel="0" collapsed="false">
      <c r="B12" s="417"/>
      <c r="C12" s="419"/>
      <c r="D12" s="419"/>
      <c r="E12" s="419"/>
      <c r="F12" s="419"/>
      <c r="G12" s="424"/>
      <c r="H12" s="413" t="n">
        <f aca="false">ROUNDDOWN(($G$2-G12)/365,0)</f>
        <v>126</v>
      </c>
      <c r="I12" s="389"/>
      <c r="J12" s="413" t="n">
        <f aca="false">ROUNDDOWN(($G$2-I12)/365,0)</f>
        <v>126</v>
      </c>
      <c r="K12" s="320"/>
      <c r="L12" s="320"/>
      <c r="M12" s="422"/>
      <c r="N12" s="422"/>
      <c r="O12" s="422"/>
      <c r="P12" s="389"/>
      <c r="Q12" s="423"/>
    </row>
    <row r="13" customFormat="false" ht="22.5" hidden="false" customHeight="true" outlineLevel="0" collapsed="false">
      <c r="B13" s="379"/>
      <c r="C13" s="419"/>
      <c r="D13" s="419"/>
      <c r="E13" s="419"/>
      <c r="F13" s="419"/>
      <c r="G13" s="424"/>
      <c r="H13" s="413" t="n">
        <f aca="false">ROUNDDOWN(($G$2-G13)/365,0)</f>
        <v>126</v>
      </c>
      <c r="I13" s="389"/>
      <c r="J13" s="413" t="n">
        <f aca="false">ROUNDDOWN(($G$2-I13)/365,0)</f>
        <v>126</v>
      </c>
      <c r="K13" s="320"/>
      <c r="L13" s="320"/>
      <c r="M13" s="422"/>
      <c r="N13" s="422"/>
      <c r="O13" s="422"/>
      <c r="P13" s="389"/>
      <c r="Q13" s="423"/>
    </row>
    <row r="14" customFormat="false" ht="22.5" hidden="false" customHeight="true" outlineLevel="0" collapsed="false">
      <c r="B14" s="417"/>
      <c r="C14" s="419"/>
      <c r="D14" s="419"/>
      <c r="E14" s="419"/>
      <c r="F14" s="419"/>
      <c r="G14" s="424"/>
      <c r="H14" s="413" t="n">
        <f aca="false">ROUNDDOWN(($G$2-G14)/365,0)</f>
        <v>126</v>
      </c>
      <c r="I14" s="389"/>
      <c r="J14" s="413" t="n">
        <f aca="false">ROUNDDOWN(($G$2-I14)/365,0)</f>
        <v>126</v>
      </c>
      <c r="K14" s="320"/>
      <c r="L14" s="320"/>
      <c r="M14" s="422"/>
      <c r="N14" s="422"/>
      <c r="O14" s="422"/>
      <c r="P14" s="389"/>
      <c r="Q14" s="423"/>
    </row>
    <row r="15" customFormat="false" ht="22.5" hidden="false" customHeight="true" outlineLevel="0" collapsed="false">
      <c r="B15" s="379"/>
      <c r="C15" s="419"/>
      <c r="D15" s="419"/>
      <c r="E15" s="419"/>
      <c r="F15" s="419"/>
      <c r="G15" s="424"/>
      <c r="H15" s="413" t="n">
        <f aca="false">ROUNDDOWN(($G$2-G15)/365,0)</f>
        <v>126</v>
      </c>
      <c r="I15" s="389"/>
      <c r="J15" s="413" t="n">
        <f aca="false">ROUNDDOWN(($G$2-I15)/365,0)</f>
        <v>126</v>
      </c>
      <c r="K15" s="320"/>
      <c r="L15" s="320"/>
      <c r="M15" s="422"/>
      <c r="N15" s="422"/>
      <c r="O15" s="422"/>
      <c r="P15" s="389"/>
      <c r="Q15" s="423"/>
    </row>
    <row r="16" customFormat="false" ht="22.5" hidden="false" customHeight="true" outlineLevel="0" collapsed="false">
      <c r="B16" s="417"/>
      <c r="C16" s="419"/>
      <c r="D16" s="419"/>
      <c r="E16" s="419"/>
      <c r="F16" s="419"/>
      <c r="G16" s="424"/>
      <c r="H16" s="413" t="n">
        <f aca="false">ROUNDDOWN(($G$2-G16)/365,0)</f>
        <v>126</v>
      </c>
      <c r="I16" s="389"/>
      <c r="J16" s="413" t="n">
        <f aca="false">ROUNDDOWN(($G$2-I16)/365,0)</f>
        <v>126</v>
      </c>
      <c r="K16" s="320"/>
      <c r="L16" s="320"/>
      <c r="M16" s="422"/>
      <c r="N16" s="422"/>
      <c r="O16" s="422"/>
      <c r="P16" s="389"/>
      <c r="Q16" s="423"/>
    </row>
    <row r="17" customFormat="false" ht="22.5" hidden="false" customHeight="true" outlineLevel="0" collapsed="false">
      <c r="B17" s="379"/>
      <c r="C17" s="419"/>
      <c r="D17" s="419"/>
      <c r="E17" s="419"/>
      <c r="F17" s="419"/>
      <c r="G17" s="424"/>
      <c r="H17" s="413" t="n">
        <f aca="false">ROUNDDOWN(($G$2-G17)/365,0)</f>
        <v>126</v>
      </c>
      <c r="I17" s="389"/>
      <c r="J17" s="413" t="n">
        <f aca="false">ROUNDDOWN(($G$2-I17)/365,0)</f>
        <v>126</v>
      </c>
      <c r="K17" s="320"/>
      <c r="L17" s="320"/>
      <c r="M17" s="422"/>
      <c r="N17" s="422"/>
      <c r="O17" s="422"/>
      <c r="P17" s="389"/>
      <c r="Q17" s="423"/>
    </row>
    <row r="18" customFormat="false" ht="22.5" hidden="false" customHeight="true" outlineLevel="0" collapsed="false">
      <c r="B18" s="417"/>
      <c r="C18" s="419"/>
      <c r="D18" s="419"/>
      <c r="E18" s="419"/>
      <c r="F18" s="419"/>
      <c r="G18" s="424"/>
      <c r="H18" s="413" t="n">
        <f aca="false">ROUNDDOWN(($G$2-G18)/365,0)</f>
        <v>126</v>
      </c>
      <c r="I18" s="389"/>
      <c r="J18" s="413" t="n">
        <f aca="false">ROUNDDOWN(($G$2-I18)/365,0)</f>
        <v>126</v>
      </c>
      <c r="K18" s="320"/>
      <c r="L18" s="320"/>
      <c r="M18" s="422"/>
      <c r="N18" s="422"/>
      <c r="O18" s="422"/>
      <c r="P18" s="389"/>
      <c r="Q18" s="423"/>
    </row>
    <row r="19" customFormat="false" ht="22.5" hidden="false" customHeight="true" outlineLevel="0" collapsed="false">
      <c r="B19" s="379"/>
      <c r="C19" s="419"/>
      <c r="D19" s="419"/>
      <c r="E19" s="419"/>
      <c r="F19" s="419"/>
      <c r="G19" s="424"/>
      <c r="H19" s="413" t="n">
        <f aca="false">ROUNDDOWN(($G$2-G19)/365,0)</f>
        <v>126</v>
      </c>
      <c r="I19" s="389"/>
      <c r="J19" s="413" t="n">
        <f aca="false">ROUNDDOWN(($G$2-I19)/365,0)</f>
        <v>126</v>
      </c>
      <c r="K19" s="320"/>
      <c r="L19" s="320"/>
      <c r="M19" s="422"/>
      <c r="N19" s="422"/>
      <c r="O19" s="422"/>
      <c r="P19" s="389"/>
      <c r="Q19" s="423"/>
    </row>
    <row r="20" customFormat="false" ht="22.5" hidden="false" customHeight="true" outlineLevel="0" collapsed="false">
      <c r="B20" s="417"/>
      <c r="C20" s="419"/>
      <c r="D20" s="419"/>
      <c r="E20" s="419"/>
      <c r="F20" s="419"/>
      <c r="G20" s="424"/>
      <c r="H20" s="413" t="n">
        <f aca="false">ROUNDDOWN(($G$2-G20)/365,0)</f>
        <v>126</v>
      </c>
      <c r="I20" s="389"/>
      <c r="J20" s="413" t="n">
        <f aca="false">ROUNDDOWN(($G$2-I20)/365,0)</f>
        <v>126</v>
      </c>
      <c r="K20" s="320"/>
      <c r="L20" s="320"/>
      <c r="M20" s="422"/>
      <c r="N20" s="422"/>
      <c r="O20" s="422"/>
      <c r="P20" s="389"/>
      <c r="Q20" s="423"/>
    </row>
    <row r="21" customFormat="false" ht="22.5" hidden="false" customHeight="true" outlineLevel="0" collapsed="false">
      <c r="B21" s="379"/>
      <c r="C21" s="419"/>
      <c r="D21" s="419"/>
      <c r="E21" s="419"/>
      <c r="F21" s="419"/>
      <c r="G21" s="424"/>
      <c r="H21" s="413" t="n">
        <f aca="false">ROUNDDOWN(($G$2-G21)/365,0)</f>
        <v>126</v>
      </c>
      <c r="I21" s="389"/>
      <c r="J21" s="413" t="n">
        <f aca="false">ROUNDDOWN(($G$2-I21)/365,0)</f>
        <v>126</v>
      </c>
      <c r="K21" s="320"/>
      <c r="L21" s="320"/>
      <c r="M21" s="422"/>
      <c r="N21" s="422"/>
      <c r="O21" s="422"/>
      <c r="P21" s="389"/>
      <c r="Q21" s="423"/>
    </row>
    <row r="22" customFormat="false" ht="22.5" hidden="false" customHeight="true" outlineLevel="0" collapsed="false">
      <c r="B22" s="417"/>
      <c r="C22" s="419"/>
      <c r="D22" s="419"/>
      <c r="E22" s="419"/>
      <c r="F22" s="419"/>
      <c r="G22" s="424"/>
      <c r="H22" s="413" t="n">
        <f aca="false">ROUNDDOWN(($G$2-G22)/365,0)</f>
        <v>126</v>
      </c>
      <c r="I22" s="389"/>
      <c r="J22" s="413" t="n">
        <f aca="false">ROUNDDOWN(($G$2-I22)/365,0)</f>
        <v>126</v>
      </c>
      <c r="K22" s="320"/>
      <c r="L22" s="320"/>
      <c r="M22" s="422"/>
      <c r="N22" s="422"/>
      <c r="O22" s="422"/>
      <c r="P22" s="389"/>
      <c r="Q22" s="423"/>
    </row>
    <row r="23" customFormat="false" ht="22.5" hidden="false" customHeight="true" outlineLevel="0" collapsed="false">
      <c r="B23" s="379"/>
      <c r="C23" s="419"/>
      <c r="D23" s="419"/>
      <c r="E23" s="419"/>
      <c r="F23" s="419"/>
      <c r="G23" s="424"/>
      <c r="H23" s="413" t="n">
        <f aca="false">ROUNDDOWN(($G$2-G23)/365,0)</f>
        <v>126</v>
      </c>
      <c r="I23" s="389"/>
      <c r="J23" s="413" t="n">
        <f aca="false">ROUNDDOWN(($G$2-I23)/365,0)</f>
        <v>126</v>
      </c>
      <c r="K23" s="320"/>
      <c r="L23" s="320"/>
      <c r="M23" s="422"/>
      <c r="N23" s="422"/>
      <c r="O23" s="422"/>
      <c r="P23" s="389"/>
      <c r="Q23" s="423"/>
    </row>
    <row r="24" customFormat="false" ht="22.5" hidden="false" customHeight="true" outlineLevel="0" collapsed="false">
      <c r="B24" s="417"/>
      <c r="C24" s="419"/>
      <c r="D24" s="419"/>
      <c r="E24" s="419"/>
      <c r="F24" s="419"/>
      <c r="G24" s="424"/>
      <c r="H24" s="413" t="n">
        <f aca="false">ROUNDDOWN(($G$2-G24)/365,0)</f>
        <v>126</v>
      </c>
      <c r="I24" s="389"/>
      <c r="J24" s="413" t="n">
        <f aca="false">ROUNDDOWN(($G$2-I24)/365,0)</f>
        <v>126</v>
      </c>
      <c r="K24" s="320"/>
      <c r="L24" s="320"/>
      <c r="M24" s="422"/>
      <c r="N24" s="422"/>
      <c r="O24" s="422"/>
      <c r="P24" s="389"/>
      <c r="Q24" s="423"/>
    </row>
    <row r="25" customFormat="false" ht="22.5" hidden="false" customHeight="true" outlineLevel="0" collapsed="false">
      <c r="B25" s="379"/>
      <c r="C25" s="419"/>
      <c r="D25" s="419"/>
      <c r="E25" s="419"/>
      <c r="F25" s="419"/>
      <c r="G25" s="424"/>
      <c r="H25" s="413" t="n">
        <f aca="false">ROUNDDOWN(($G$2-G25)/365,0)</f>
        <v>126</v>
      </c>
      <c r="I25" s="389"/>
      <c r="J25" s="413" t="n">
        <f aca="false">ROUNDDOWN(($G$2-I25)/365,0)</f>
        <v>126</v>
      </c>
      <c r="K25" s="320"/>
      <c r="L25" s="320"/>
      <c r="M25" s="422"/>
      <c r="N25" s="422"/>
      <c r="O25" s="422"/>
      <c r="P25" s="389"/>
      <c r="Q25" s="423"/>
    </row>
    <row r="26" customFormat="false" ht="22.5" hidden="false" customHeight="true" outlineLevel="0" collapsed="false">
      <c r="B26" s="417" t="n">
        <v>22</v>
      </c>
      <c r="C26" s="419"/>
      <c r="D26" s="419"/>
      <c r="E26" s="419"/>
      <c r="F26" s="419"/>
      <c r="G26" s="424"/>
      <c r="H26" s="413" t="n">
        <f aca="false">ROUNDDOWN(($G$2-G26)/365,0)</f>
        <v>126</v>
      </c>
      <c r="I26" s="389"/>
      <c r="J26" s="413" t="n">
        <f aca="false">ROUNDDOWN(($G$2-I26)/365,0)</f>
        <v>126</v>
      </c>
      <c r="K26" s="320"/>
      <c r="L26" s="320"/>
      <c r="M26" s="422"/>
      <c r="N26" s="422"/>
      <c r="O26" s="422"/>
      <c r="P26" s="389"/>
      <c r="Q26" s="423"/>
    </row>
    <row r="27" customFormat="false" ht="22.5" hidden="false" customHeight="true" outlineLevel="0" collapsed="false">
      <c r="B27" s="379" t="n">
        <v>23</v>
      </c>
      <c r="C27" s="419"/>
      <c r="D27" s="419"/>
      <c r="E27" s="419"/>
      <c r="F27" s="419"/>
      <c r="G27" s="424"/>
      <c r="H27" s="413" t="n">
        <f aca="false">ROUNDDOWN(($G$2-G27)/365,0)</f>
        <v>126</v>
      </c>
      <c r="I27" s="389"/>
      <c r="J27" s="413" t="n">
        <f aca="false">ROUNDDOWN(($G$2-I27)/365,0)</f>
        <v>126</v>
      </c>
      <c r="K27" s="320"/>
      <c r="L27" s="320"/>
      <c r="M27" s="422"/>
      <c r="N27" s="422"/>
      <c r="O27" s="422"/>
      <c r="P27" s="389"/>
      <c r="Q27" s="423"/>
    </row>
    <row r="28" customFormat="false" ht="22.5" hidden="false" customHeight="true" outlineLevel="0" collapsed="false">
      <c r="B28" s="417" t="n">
        <v>24</v>
      </c>
      <c r="C28" s="419"/>
      <c r="D28" s="419"/>
      <c r="E28" s="419"/>
      <c r="F28" s="419"/>
      <c r="G28" s="424"/>
      <c r="H28" s="413" t="n">
        <f aca="false">ROUNDDOWN(($G$2-G28)/365,0)</f>
        <v>126</v>
      </c>
      <c r="I28" s="389"/>
      <c r="J28" s="413" t="n">
        <f aca="false">ROUNDDOWN(($G$2-I28)/365,0)</f>
        <v>126</v>
      </c>
      <c r="K28" s="320"/>
      <c r="L28" s="320"/>
      <c r="M28" s="422"/>
      <c r="N28" s="422"/>
      <c r="O28" s="422"/>
      <c r="P28" s="389"/>
      <c r="Q28" s="423"/>
    </row>
    <row r="29" customFormat="false" ht="22.5" hidden="false" customHeight="true" outlineLevel="0" collapsed="false">
      <c r="B29" s="379" t="n">
        <v>25</v>
      </c>
      <c r="C29" s="419"/>
      <c r="D29" s="419"/>
      <c r="E29" s="419"/>
      <c r="F29" s="419"/>
      <c r="G29" s="424"/>
      <c r="H29" s="413" t="n">
        <f aca="false">ROUNDDOWN(($G$2-G29)/365,0)</f>
        <v>126</v>
      </c>
      <c r="I29" s="389"/>
      <c r="J29" s="413" t="n">
        <f aca="false">ROUNDDOWN(($G$2-I29)/365,0)</f>
        <v>126</v>
      </c>
      <c r="K29" s="320"/>
      <c r="L29" s="320"/>
      <c r="M29" s="422"/>
      <c r="N29" s="422"/>
      <c r="O29" s="422"/>
      <c r="P29" s="389"/>
      <c r="Q29" s="423"/>
    </row>
    <row r="30" customFormat="false" ht="22.5" hidden="false" customHeight="true" outlineLevel="0" collapsed="false">
      <c r="B30" s="417" t="n">
        <v>26</v>
      </c>
      <c r="C30" s="419"/>
      <c r="D30" s="419"/>
      <c r="E30" s="419"/>
      <c r="F30" s="419"/>
      <c r="G30" s="424"/>
      <c r="H30" s="413" t="n">
        <f aca="false">ROUNDDOWN(($G$2-G30)/365,0)</f>
        <v>126</v>
      </c>
      <c r="I30" s="389"/>
      <c r="J30" s="413" t="n">
        <f aca="false">ROUNDDOWN(($G$2-I30)/365,0)</f>
        <v>126</v>
      </c>
      <c r="K30" s="320"/>
      <c r="L30" s="320"/>
      <c r="M30" s="422"/>
      <c r="N30" s="422"/>
      <c r="O30" s="422"/>
      <c r="P30" s="389"/>
      <c r="Q30" s="423"/>
    </row>
    <row r="31" customFormat="false" ht="22.5" hidden="false" customHeight="true" outlineLevel="0" collapsed="false">
      <c r="B31" s="379" t="n">
        <v>27</v>
      </c>
      <c r="C31" s="425"/>
      <c r="D31" s="425"/>
      <c r="E31" s="425"/>
      <c r="F31" s="425"/>
      <c r="G31" s="424"/>
      <c r="H31" s="413" t="n">
        <f aca="false">ROUNDDOWN(($G$2-G31)/365,0)</f>
        <v>126</v>
      </c>
      <c r="I31" s="389"/>
      <c r="J31" s="413" t="n">
        <f aca="false">ROUNDDOWN(($G$2-I31)/365,0)</f>
        <v>126</v>
      </c>
      <c r="K31" s="320"/>
      <c r="L31" s="320"/>
      <c r="M31" s="422"/>
      <c r="N31" s="422"/>
      <c r="O31" s="422"/>
      <c r="P31" s="389"/>
      <c r="Q31" s="426"/>
    </row>
    <row r="32" customFormat="false" ht="22.5" hidden="false" customHeight="true" outlineLevel="0" collapsed="false">
      <c r="B32" s="417" t="n">
        <v>28</v>
      </c>
      <c r="C32" s="425"/>
      <c r="D32" s="425"/>
      <c r="E32" s="425"/>
      <c r="F32" s="425"/>
      <c r="G32" s="427"/>
      <c r="H32" s="413" t="n">
        <f aca="false">ROUNDDOWN(($G$2-G32)/365,0)</f>
        <v>126</v>
      </c>
      <c r="I32" s="389"/>
      <c r="J32" s="413" t="n">
        <f aca="false">ROUNDDOWN(($G$2-I32)/365,0)</f>
        <v>126</v>
      </c>
      <c r="K32" s="320"/>
      <c r="L32" s="320"/>
      <c r="M32" s="422"/>
      <c r="N32" s="422"/>
      <c r="O32" s="422"/>
      <c r="P32" s="389"/>
      <c r="Q32" s="426"/>
    </row>
    <row r="33" customFormat="false" ht="22.5" hidden="false" customHeight="true" outlineLevel="0" collapsed="false">
      <c r="B33" s="379" t="n">
        <v>29</v>
      </c>
      <c r="C33" s="425"/>
      <c r="D33" s="425"/>
      <c r="E33" s="425"/>
      <c r="F33" s="425"/>
      <c r="G33" s="427"/>
      <c r="H33" s="413" t="n">
        <f aca="false">ROUNDDOWN(($G$2-G33)/365,0)</f>
        <v>126</v>
      </c>
      <c r="I33" s="389"/>
      <c r="J33" s="413" t="n">
        <f aca="false">ROUNDDOWN(($G$2-I33)/365,0)</f>
        <v>126</v>
      </c>
      <c r="K33" s="320"/>
      <c r="L33" s="320"/>
      <c r="M33" s="422"/>
      <c r="N33" s="422"/>
      <c r="O33" s="422"/>
      <c r="P33" s="389"/>
      <c r="Q33" s="426"/>
    </row>
    <row r="34" customFormat="false" ht="22.5" hidden="false" customHeight="true" outlineLevel="0" collapsed="false">
      <c r="B34" s="417" t="n">
        <v>30</v>
      </c>
      <c r="C34" s="425"/>
      <c r="D34" s="425"/>
      <c r="E34" s="425"/>
      <c r="F34" s="425"/>
      <c r="G34" s="427"/>
      <c r="H34" s="413" t="n">
        <f aca="false">ROUNDDOWN(($G$2-G34)/365,0)</f>
        <v>126</v>
      </c>
      <c r="I34" s="389"/>
      <c r="J34" s="413" t="n">
        <f aca="false">ROUNDDOWN(($G$2-I34)/365,0)</f>
        <v>126</v>
      </c>
      <c r="K34" s="320"/>
      <c r="L34" s="320"/>
      <c r="M34" s="422"/>
      <c r="N34" s="422"/>
      <c r="O34" s="422"/>
      <c r="P34" s="389"/>
      <c r="Q34" s="42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75" defaultRowHeight="18.75" zeroHeight="false" outlineLevelRow="0" outlineLevelCol="0"/>
  <cols>
    <col collapsed="false" customWidth="false" hidden="false" outlineLevel="0" max="1" min="1" style="318" width="8.75"/>
    <col collapsed="false" customWidth="true" hidden="false" outlineLevel="0" max="2" min="2" style="318" width="41.75"/>
    <col collapsed="false" customWidth="true" hidden="false" outlineLevel="0" max="3" min="3" style="318" width="16.13"/>
    <col collapsed="false" customWidth="true" hidden="false" outlineLevel="0" max="6" min="4" style="318" width="13.25"/>
    <col collapsed="false" customWidth="true" hidden="false" outlineLevel="0" max="7" min="7" style="318" width="55.5"/>
    <col collapsed="false" customWidth="false" hidden="false" outlineLevel="0" max="16384" min="8" style="318" width="8.75"/>
  </cols>
  <sheetData>
    <row r="2" customFormat="false" ht="39" hidden="false" customHeight="true" outlineLevel="0" collapsed="false">
      <c r="B2" s="61" t="s">
        <v>286</v>
      </c>
      <c r="C2" s="177" t="s">
        <v>462</v>
      </c>
      <c r="D2" s="409" t="s">
        <v>463</v>
      </c>
      <c r="E2" s="409" t="s">
        <v>464</v>
      </c>
      <c r="F2" s="409" t="s">
        <v>465</v>
      </c>
      <c r="G2" s="178" t="s">
        <v>466</v>
      </c>
    </row>
    <row r="3" customFormat="false" ht="39" hidden="false" customHeight="true" outlineLevel="0" collapsed="false">
      <c r="B3" s="428" t="s">
        <v>325</v>
      </c>
      <c r="C3" s="429" t="s">
        <v>467</v>
      </c>
      <c r="D3" s="430" t="s">
        <v>468</v>
      </c>
      <c r="E3" s="431" t="n">
        <v>458409</v>
      </c>
      <c r="F3" s="431" t="n">
        <v>1263500</v>
      </c>
      <c r="G3" s="432" t="s">
        <v>380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75" defaultRowHeight="18.75" zeroHeight="false" outlineLevelRow="0" outlineLevelCol="0"/>
  <cols>
    <col collapsed="false" customWidth="false" hidden="false" outlineLevel="0" max="1" min="1" style="318" width="8.75"/>
    <col collapsed="false" customWidth="true" hidden="false" outlineLevel="0" max="2" min="2" style="318" width="10.25"/>
    <col collapsed="false" customWidth="true" hidden="false" outlineLevel="0" max="3" min="3" style="318" width="16.13"/>
    <col collapsed="false" customWidth="true" hidden="false" outlineLevel="0" max="4" min="4" style="318" width="21.13"/>
    <col collapsed="false" customWidth="true" hidden="false" outlineLevel="0" max="5" min="5" style="433" width="16.5"/>
    <col collapsed="false" customWidth="true" hidden="false" outlineLevel="0" max="6" min="6" style="318" width="11.25"/>
    <col collapsed="false" customWidth="true" hidden="false" outlineLevel="0" max="7" min="7" style="318" width="20.38"/>
    <col collapsed="false" customWidth="true" hidden="false" outlineLevel="0" max="9" min="8" style="175" width="13.38"/>
    <col collapsed="false" customWidth="true" hidden="true" outlineLevel="0" max="10" min="10" style="175" width="13.38"/>
    <col collapsed="false" customWidth="true" hidden="false" outlineLevel="0" max="11" min="11" style="318" width="34.13"/>
    <col collapsed="false" customWidth="false" hidden="false" outlineLevel="0" max="16384" min="12" style="318" width="8.75"/>
  </cols>
  <sheetData>
    <row r="1" s="2" customFormat="true" ht="18.75" hidden="false" customHeight="true" outlineLevel="0" collapsed="false">
      <c r="A1" s="318"/>
      <c r="B1" s="318"/>
      <c r="C1" s="318"/>
      <c r="D1" s="318"/>
      <c r="E1" s="176"/>
      <c r="F1" s="318"/>
      <c r="G1" s="318"/>
      <c r="H1" s="318"/>
      <c r="I1" s="2" t="s">
        <v>469</v>
      </c>
    </row>
    <row r="2" s="2" customFormat="true" ht="18.75" hidden="false" customHeight="true" outlineLevel="0" collapsed="false">
      <c r="B2" s="342"/>
      <c r="C2" s="342"/>
      <c r="E2" s="176"/>
    </row>
    <row r="3" s="2" customFormat="true" ht="39" hidden="false" customHeight="true" outlineLevel="0" collapsed="false">
      <c r="B3" s="208" t="s">
        <v>470</v>
      </c>
      <c r="C3" s="208" t="s">
        <v>321</v>
      </c>
      <c r="D3" s="409" t="s">
        <v>471</v>
      </c>
      <c r="E3" s="409" t="s">
        <v>472</v>
      </c>
      <c r="F3" s="409" t="s">
        <v>473</v>
      </c>
      <c r="G3" s="409" t="s">
        <v>474</v>
      </c>
      <c r="H3" s="409" t="s">
        <v>475</v>
      </c>
      <c r="I3" s="409" t="s">
        <v>476</v>
      </c>
      <c r="J3" s="409" t="s">
        <v>477</v>
      </c>
      <c r="K3" s="178" t="s">
        <v>217</v>
      </c>
    </row>
    <row r="4" s="2" customFormat="true" ht="22.5" hidden="false" customHeight="true" outlineLevel="0" collapsed="false">
      <c r="B4" s="434"/>
      <c r="C4" s="435" t="s">
        <v>478</v>
      </c>
      <c r="D4" s="435"/>
      <c r="E4" s="436"/>
      <c r="F4" s="435"/>
      <c r="G4" s="437"/>
      <c r="H4" s="438"/>
      <c r="I4" s="438"/>
      <c r="J4" s="438"/>
      <c r="K4" s="439"/>
    </row>
    <row r="5" s="2" customFormat="true" ht="22.5" hidden="false" customHeight="true" outlineLevel="0" collapsed="false">
      <c r="C5" s="440"/>
      <c r="D5" s="440"/>
      <c r="E5" s="441"/>
      <c r="F5" s="440"/>
      <c r="G5" s="437"/>
      <c r="H5" s="442"/>
      <c r="I5" s="442"/>
      <c r="J5" s="442"/>
      <c r="K5" s="439"/>
    </row>
    <row r="6" s="2" customFormat="true" ht="58.5" hidden="false" customHeight="true" outlineLevel="0" collapsed="false">
      <c r="C6" s="320"/>
      <c r="D6" s="320"/>
      <c r="E6" s="443"/>
      <c r="F6" s="321"/>
      <c r="G6" s="444"/>
      <c r="H6" s="31"/>
      <c r="I6" s="31"/>
      <c r="J6" s="396"/>
      <c r="K6" s="445"/>
    </row>
    <row r="7" s="2" customFormat="true" ht="22.5" hidden="false" customHeight="true" outlineLevel="0" collapsed="false">
      <c r="B7" s="434"/>
      <c r="C7" s="435"/>
      <c r="D7" s="435"/>
      <c r="E7" s="436"/>
      <c r="F7" s="435"/>
      <c r="G7" s="437"/>
      <c r="H7" s="438"/>
      <c r="I7" s="438"/>
      <c r="J7" s="438"/>
      <c r="K7" s="439"/>
    </row>
    <row r="8" s="2" customFormat="true" ht="48" hidden="false" customHeight="true" outlineLevel="0" collapsed="false">
      <c r="C8" s="320"/>
      <c r="D8" s="320"/>
      <c r="E8" s="443"/>
      <c r="F8" s="321"/>
      <c r="G8" s="444"/>
      <c r="H8" s="31"/>
      <c r="I8" s="31"/>
      <c r="J8" s="396"/>
      <c r="K8" s="445"/>
    </row>
    <row r="9" s="2" customFormat="true" ht="22.5" hidden="false" customHeight="true" outlineLevel="0" collapsed="false">
      <c r="B9" s="446"/>
      <c r="C9" s="446"/>
      <c r="D9" s="320"/>
      <c r="E9" s="447"/>
      <c r="F9" s="320"/>
      <c r="G9" s="444"/>
      <c r="H9" s="31"/>
      <c r="I9" s="31"/>
      <c r="J9" s="31"/>
      <c r="K9" s="445"/>
    </row>
    <row r="10" s="2" customFormat="true" ht="22.5" hidden="false" customHeight="true" outlineLevel="0" collapsed="false">
      <c r="B10" s="446"/>
      <c r="C10" s="446"/>
      <c r="D10" s="320"/>
      <c r="E10" s="447"/>
      <c r="F10" s="320"/>
      <c r="G10" s="444"/>
      <c r="H10" s="31"/>
      <c r="I10" s="31"/>
      <c r="J10" s="31"/>
      <c r="K10" s="445"/>
    </row>
    <row r="11" s="2" customFormat="true" ht="22.5" hidden="false" customHeight="true" outlineLevel="0" collapsed="false">
      <c r="B11" s="446"/>
      <c r="C11" s="446"/>
      <c r="D11" s="320"/>
      <c r="E11" s="447"/>
      <c r="F11" s="320"/>
      <c r="G11" s="444"/>
      <c r="H11" s="31"/>
      <c r="I11" s="31"/>
      <c r="J11" s="31"/>
      <c r="K11" s="445"/>
    </row>
    <row r="12" s="2" customFormat="true" ht="18.75" hidden="false" customHeight="true" outlineLevel="0" collapsed="false">
      <c r="E12" s="433"/>
      <c r="H12" s="175"/>
      <c r="I12" s="175"/>
      <c r="J12" s="175"/>
    </row>
    <row r="13" s="2" customFormat="true" ht="18.75" hidden="false" customHeight="true" outlineLevel="0" collapsed="false">
      <c r="E13" s="433"/>
      <c r="H13" s="175"/>
      <c r="I13" s="175"/>
      <c r="J13" s="175"/>
    </row>
    <row r="14" s="2" customFormat="true" ht="18.75" hidden="false" customHeight="true" outlineLevel="0" collapsed="false">
      <c r="B14" s="342"/>
      <c r="C14" s="342"/>
      <c r="E14" s="176"/>
    </row>
    <row r="15" s="2" customFormat="true" ht="39" hidden="false" customHeight="true" outlineLevel="0" collapsed="false">
      <c r="B15" s="208"/>
      <c r="C15" s="208"/>
      <c r="D15" s="409"/>
      <c r="E15" s="448"/>
      <c r="F15" s="409"/>
      <c r="G15" s="409"/>
      <c r="H15" s="409"/>
      <c r="I15" s="409"/>
      <c r="J15" s="409"/>
      <c r="K15" s="178"/>
    </row>
    <row r="16" s="2" customFormat="true" ht="22.5" hidden="false" customHeight="true" outlineLevel="0" collapsed="false">
      <c r="B16" s="449"/>
      <c r="C16" s="319"/>
      <c r="D16" s="319"/>
      <c r="E16" s="450"/>
      <c r="F16" s="319"/>
      <c r="G16" s="430"/>
      <c r="H16" s="431"/>
      <c r="I16" s="431"/>
      <c r="J16" s="431"/>
      <c r="K16" s="451"/>
    </row>
    <row r="17" s="2" customFormat="true" ht="22.5" hidden="false" customHeight="true" outlineLevel="0" collapsed="false">
      <c r="C17" s="320"/>
      <c r="D17" s="320"/>
      <c r="E17" s="447"/>
      <c r="F17" s="320"/>
      <c r="G17" s="430"/>
      <c r="H17" s="31"/>
      <c r="I17" s="31"/>
      <c r="J17" s="31"/>
      <c r="K17" s="451"/>
    </row>
    <row r="18" s="2" customFormat="true" ht="45" hidden="false" customHeight="true" outlineLevel="0" collapsed="false">
      <c r="C18" s="320"/>
      <c r="D18" s="320"/>
      <c r="E18" s="443"/>
      <c r="F18" s="321"/>
      <c r="G18" s="444"/>
      <c r="H18" s="31"/>
      <c r="I18" s="31"/>
      <c r="J18" s="396"/>
      <c r="K18" s="445"/>
    </row>
    <row r="19" s="2" customFormat="true" ht="22.5" hidden="false" customHeight="true" outlineLevel="0" collapsed="false">
      <c r="B19" s="446"/>
      <c r="C19" s="446"/>
      <c r="D19" s="320"/>
      <c r="E19" s="447"/>
      <c r="F19" s="320"/>
      <c r="G19" s="444"/>
      <c r="H19" s="31"/>
      <c r="I19" s="31"/>
      <c r="J19" s="31"/>
      <c r="K19" s="445"/>
    </row>
    <row r="20" s="2" customFormat="true" ht="22.5" hidden="false" customHeight="true" outlineLevel="0" collapsed="false">
      <c r="B20" s="446"/>
      <c r="C20" s="446"/>
      <c r="D20" s="320"/>
      <c r="E20" s="447"/>
      <c r="F20" s="320"/>
      <c r="G20" s="444"/>
      <c r="H20" s="31"/>
      <c r="I20" s="31"/>
      <c r="J20" s="31"/>
      <c r="K20" s="445"/>
    </row>
    <row r="21" s="2" customFormat="true" ht="22.5" hidden="false" customHeight="true" outlineLevel="0" collapsed="false">
      <c r="B21" s="446"/>
      <c r="C21" s="446"/>
      <c r="D21" s="320"/>
      <c r="E21" s="447"/>
      <c r="F21" s="320"/>
      <c r="G21" s="444"/>
      <c r="H21" s="31"/>
      <c r="I21" s="31"/>
      <c r="J21" s="31"/>
      <c r="K21" s="445"/>
    </row>
    <row r="22" s="2" customFormat="true" ht="18.75" hidden="false" customHeight="true" outlineLevel="0" collapsed="false">
      <c r="E22" s="433"/>
      <c r="H22" s="175"/>
      <c r="I22" s="175"/>
      <c r="J22" s="175"/>
    </row>
    <row r="23" s="2" customFormat="true" ht="18.75" hidden="false" customHeight="true" outlineLevel="0" collapsed="false">
      <c r="E23" s="433"/>
      <c r="H23" s="175"/>
      <c r="I23" s="175"/>
      <c r="J23" s="175"/>
    </row>
    <row r="24" s="2" customFormat="true" ht="18.75" hidden="false" customHeight="true" outlineLevel="0" collapsed="false">
      <c r="E24" s="433"/>
      <c r="H24" s="175"/>
      <c r="I24" s="175"/>
      <c r="J24" s="175"/>
    </row>
    <row r="25" s="2" customFormat="true" ht="18.75" hidden="false" customHeight="true" outlineLevel="0" collapsed="false">
      <c r="E25" s="433"/>
      <c r="H25" s="175"/>
      <c r="I25" s="175"/>
      <c r="J25" s="175"/>
    </row>
    <row r="26" s="2" customFormat="true" ht="18.75" hidden="false" customHeight="true" outlineLevel="0" collapsed="false">
      <c r="E26" s="433"/>
      <c r="H26" s="175"/>
      <c r="I26" s="175"/>
      <c r="J26" s="175"/>
    </row>
    <row r="27" s="2" customFormat="true" ht="18.75" hidden="false" customHeight="true" outlineLevel="0" collapsed="false">
      <c r="E27" s="433"/>
      <c r="H27" s="175"/>
      <c r="I27" s="175"/>
      <c r="J27" s="175"/>
    </row>
    <row r="28" s="2" customFormat="true" ht="18.75" hidden="false" customHeight="true" outlineLevel="0" collapsed="false">
      <c r="E28" s="433"/>
      <c r="H28" s="175"/>
      <c r="I28" s="175"/>
      <c r="J28" s="175"/>
    </row>
    <row r="29" s="2" customFormat="true" ht="18.75" hidden="false" customHeight="true" outlineLevel="0" collapsed="false">
      <c r="E29" s="433"/>
      <c r="H29" s="175"/>
      <c r="I29" s="175"/>
      <c r="J29" s="175"/>
    </row>
    <row r="30" s="2" customFormat="true" ht="18.75" hidden="false" customHeight="true" outlineLevel="0" collapsed="false">
      <c r="E30" s="433"/>
      <c r="H30" s="175"/>
      <c r="I30" s="175"/>
      <c r="J30" s="175"/>
    </row>
    <row r="31" s="2" customFormat="true" ht="18.75" hidden="false" customHeight="true" outlineLevel="0" collapsed="false">
      <c r="E31" s="433"/>
      <c r="H31" s="175"/>
      <c r="I31" s="175"/>
      <c r="J31" s="175"/>
    </row>
    <row r="32" s="2" customFormat="true" ht="18.75" hidden="false" customHeight="true" outlineLevel="0" collapsed="false">
      <c r="E32" s="433"/>
      <c r="H32" s="175"/>
      <c r="I32" s="175"/>
      <c r="J32" s="175"/>
    </row>
    <row r="33" s="2" customFormat="true" ht="18.75" hidden="false" customHeight="true" outlineLevel="0" collapsed="false">
      <c r="E33" s="433"/>
      <c r="H33" s="175"/>
      <c r="I33" s="175"/>
      <c r="J33" s="175"/>
    </row>
    <row r="34" s="2" customFormat="true" ht="18.75" hidden="false" customHeight="true" outlineLevel="0" collapsed="false">
      <c r="E34" s="433"/>
      <c r="H34" s="175"/>
      <c r="I34" s="175"/>
      <c r="J34" s="175"/>
    </row>
    <row r="35" s="2" customFormat="true" ht="18.75" hidden="false" customHeight="true" outlineLevel="0" collapsed="false">
      <c r="E35" s="433"/>
      <c r="H35" s="175"/>
      <c r="I35" s="175"/>
      <c r="J35" s="175"/>
    </row>
    <row r="36" s="2" customFormat="true" ht="18.75" hidden="false" customHeight="true" outlineLevel="0" collapsed="false">
      <c r="E36" s="433"/>
      <c r="H36" s="175"/>
      <c r="I36" s="175"/>
      <c r="J36" s="175"/>
    </row>
    <row r="37" s="2" customFormat="true" ht="18.75" hidden="false" customHeight="true" outlineLevel="0" collapsed="false">
      <c r="E37" s="433"/>
      <c r="H37" s="175"/>
      <c r="I37" s="175"/>
      <c r="J37" s="175"/>
    </row>
    <row r="38" s="2" customFormat="true" ht="18.75" hidden="false" customHeight="true" outlineLevel="0" collapsed="false">
      <c r="E38" s="433"/>
      <c r="H38" s="175"/>
      <c r="I38" s="175"/>
      <c r="J38" s="175"/>
    </row>
    <row r="39" s="2" customFormat="true" ht="18.75" hidden="false" customHeight="true" outlineLevel="0" collapsed="false">
      <c r="E39" s="433"/>
      <c r="H39" s="175"/>
      <c r="I39" s="175"/>
      <c r="J39" s="175"/>
    </row>
    <row r="40" s="2" customFormat="true" ht="18.75" hidden="false" customHeight="true" outlineLevel="0" collapsed="false">
      <c r="E40" s="433"/>
      <c r="H40" s="175"/>
      <c r="I40" s="175"/>
      <c r="J40" s="175"/>
    </row>
    <row r="41" s="2" customFormat="true" ht="18.75" hidden="false" customHeight="true" outlineLevel="0" collapsed="false">
      <c r="E41" s="433"/>
      <c r="H41" s="175"/>
      <c r="I41" s="175"/>
      <c r="J41" s="175"/>
    </row>
    <row r="42" s="2" customFormat="true" ht="18.75" hidden="false" customHeight="true" outlineLevel="0" collapsed="false">
      <c r="E42" s="433"/>
      <c r="H42" s="175"/>
      <c r="I42" s="175"/>
      <c r="J42" s="175"/>
    </row>
    <row r="43" s="2" customFormat="true" ht="18.75" hidden="false" customHeight="true" outlineLevel="0" collapsed="false">
      <c r="E43" s="433"/>
      <c r="H43" s="175"/>
      <c r="I43" s="175"/>
      <c r="J43" s="175"/>
    </row>
    <row r="44" s="2" customFormat="true" ht="18.75" hidden="false" customHeight="true" outlineLevel="0" collapsed="false">
      <c r="E44" s="433"/>
      <c r="H44" s="175"/>
      <c r="I44" s="175"/>
      <c r="J44" s="175"/>
    </row>
    <row r="45" s="2" customFormat="true" ht="18.75" hidden="false" customHeight="true" outlineLevel="0" collapsed="false">
      <c r="E45" s="433"/>
      <c r="H45" s="175"/>
      <c r="I45" s="175"/>
      <c r="J45" s="175"/>
    </row>
    <row r="46" s="2" customFormat="true" ht="18.75" hidden="false" customHeight="true" outlineLevel="0" collapsed="false">
      <c r="E46" s="433"/>
      <c r="H46" s="175"/>
      <c r="I46" s="175"/>
      <c r="J46" s="175"/>
    </row>
    <row r="47" s="2" customFormat="true" ht="18.75" hidden="false" customHeight="true" outlineLevel="0" collapsed="false">
      <c r="E47" s="433"/>
      <c r="H47" s="175"/>
      <c r="I47" s="175"/>
      <c r="J47" s="175"/>
    </row>
    <row r="48" s="2" customFormat="true" ht="18.75" hidden="false" customHeight="true" outlineLevel="0" collapsed="false">
      <c r="E48" s="433"/>
      <c r="H48" s="175"/>
      <c r="I48" s="175"/>
      <c r="J48" s="175"/>
    </row>
    <row r="49" s="2" customFormat="true" ht="18.75" hidden="false" customHeight="true" outlineLevel="0" collapsed="false">
      <c r="E49" s="433"/>
      <c r="H49" s="175"/>
      <c r="I49" s="175"/>
      <c r="J49" s="175"/>
    </row>
    <row r="50" s="2" customFormat="true" ht="18.75" hidden="false" customHeight="true" outlineLevel="0" collapsed="false">
      <c r="E50" s="433"/>
      <c r="H50" s="175"/>
      <c r="I50" s="175"/>
      <c r="J50" s="175"/>
    </row>
    <row r="51" s="2" customFormat="true" ht="18.75" hidden="false" customHeight="true" outlineLevel="0" collapsed="false">
      <c r="E51" s="433"/>
      <c r="H51" s="175"/>
      <c r="I51" s="175"/>
      <c r="J51" s="175"/>
    </row>
    <row r="52" s="2" customFormat="true" ht="18.75" hidden="false" customHeight="true" outlineLevel="0" collapsed="false">
      <c r="E52" s="433"/>
      <c r="H52" s="175"/>
      <c r="I52" s="175"/>
      <c r="J52" s="175"/>
    </row>
    <row r="53" s="2" customFormat="true" ht="18.75" hidden="false" customHeight="true" outlineLevel="0" collapsed="false">
      <c r="E53" s="433"/>
      <c r="H53" s="175"/>
      <c r="I53" s="175"/>
      <c r="J53" s="175"/>
    </row>
    <row r="54" s="2" customFormat="true" ht="18.75" hidden="false" customHeight="true" outlineLevel="0" collapsed="false">
      <c r="E54" s="433"/>
      <c r="H54" s="175"/>
      <c r="I54" s="175"/>
      <c r="J54" s="175"/>
    </row>
    <row r="55" s="2" customFormat="true" ht="18.75" hidden="false" customHeight="true" outlineLevel="0" collapsed="false">
      <c r="E55" s="433"/>
      <c r="H55" s="175"/>
      <c r="I55" s="175"/>
      <c r="J55" s="175"/>
    </row>
    <row r="56" s="2" customFormat="true" ht="18.75" hidden="false" customHeight="true" outlineLevel="0" collapsed="false">
      <c r="E56" s="433"/>
      <c r="H56" s="175"/>
      <c r="I56" s="175"/>
      <c r="J56" s="175"/>
    </row>
    <row r="57" s="2" customFormat="true" ht="18.75" hidden="false" customHeight="true" outlineLevel="0" collapsed="false">
      <c r="E57" s="433"/>
      <c r="H57" s="175"/>
      <c r="I57" s="175"/>
      <c r="J57" s="175"/>
    </row>
    <row r="58" s="2" customFormat="true" ht="18.75" hidden="false" customHeight="true" outlineLevel="0" collapsed="false">
      <c r="E58" s="433"/>
      <c r="H58" s="175"/>
      <c r="I58" s="175"/>
      <c r="J58" s="175"/>
    </row>
    <row r="59" s="2" customFormat="true" ht="18.75" hidden="false" customHeight="true" outlineLevel="0" collapsed="false">
      <c r="E59" s="433"/>
      <c r="H59" s="175"/>
      <c r="I59" s="175"/>
      <c r="J59" s="175"/>
    </row>
    <row r="60" s="2" customFormat="true" ht="18.75" hidden="false" customHeight="true" outlineLevel="0" collapsed="false">
      <c r="E60" s="433"/>
      <c r="H60" s="175"/>
      <c r="I60" s="175"/>
      <c r="J60" s="175"/>
    </row>
    <row r="61" s="2" customFormat="true" ht="18.75" hidden="false" customHeight="true" outlineLevel="0" collapsed="false">
      <c r="E61" s="433"/>
      <c r="H61" s="175"/>
      <c r="I61" s="175"/>
      <c r="J61" s="175"/>
    </row>
    <row r="62" s="2" customFormat="true" ht="18.75" hidden="false" customHeight="true" outlineLevel="0" collapsed="false">
      <c r="E62" s="433"/>
      <c r="H62" s="175"/>
      <c r="I62" s="175"/>
      <c r="J62" s="175"/>
    </row>
    <row r="63" s="2" customFormat="true" ht="18.75" hidden="false" customHeight="true" outlineLevel="0" collapsed="false">
      <c r="E63" s="433"/>
      <c r="H63" s="175"/>
      <c r="I63" s="175"/>
      <c r="J63" s="175"/>
    </row>
    <row r="64" s="2" customFormat="true" ht="18.75" hidden="false" customHeight="true" outlineLevel="0" collapsed="false">
      <c r="E64" s="433"/>
      <c r="H64" s="175"/>
      <c r="I64" s="175"/>
      <c r="J64" s="175"/>
    </row>
    <row r="65" s="2" customFormat="true" ht="18.75" hidden="false" customHeight="true" outlineLevel="0" collapsed="false">
      <c r="E65" s="433"/>
      <c r="H65" s="175"/>
      <c r="I65" s="175"/>
      <c r="J65" s="175"/>
    </row>
    <row r="66" s="2" customFormat="true" ht="18.75" hidden="false" customHeight="true" outlineLevel="0" collapsed="false">
      <c r="E66" s="433"/>
      <c r="H66" s="175"/>
      <c r="I66" s="175"/>
      <c r="J66" s="175"/>
    </row>
    <row r="67" s="2" customFormat="true" ht="18.75" hidden="false" customHeight="true" outlineLevel="0" collapsed="false">
      <c r="E67" s="433"/>
      <c r="H67" s="175"/>
      <c r="I67" s="175"/>
      <c r="J67" s="175"/>
    </row>
    <row r="68" s="2" customFormat="true" ht="18.75" hidden="false" customHeight="true" outlineLevel="0" collapsed="false">
      <c r="E68" s="433"/>
      <c r="H68" s="175"/>
      <c r="I68" s="175"/>
      <c r="J68" s="175"/>
    </row>
    <row r="69" s="2" customFormat="true" ht="18.75" hidden="false" customHeight="true" outlineLevel="0" collapsed="false">
      <c r="E69" s="433"/>
      <c r="H69" s="175"/>
      <c r="I69" s="175"/>
      <c r="J69" s="175"/>
    </row>
    <row r="70" s="2" customFormat="true" ht="18.75" hidden="false" customHeight="true" outlineLevel="0" collapsed="false">
      <c r="E70" s="433"/>
      <c r="H70" s="175"/>
      <c r="I70" s="175"/>
      <c r="J70" s="175"/>
    </row>
    <row r="71" s="2" customFormat="true" ht="18.75" hidden="false" customHeight="true" outlineLevel="0" collapsed="false">
      <c r="E71" s="433"/>
      <c r="H71" s="175"/>
      <c r="I71" s="175"/>
      <c r="J71" s="175"/>
    </row>
    <row r="72" s="2" customFormat="true" ht="18.75" hidden="false" customHeight="true" outlineLevel="0" collapsed="false">
      <c r="E72" s="433"/>
      <c r="H72" s="175"/>
      <c r="I72" s="175"/>
      <c r="J72" s="175"/>
    </row>
    <row r="73" s="2" customFormat="true" ht="18.75" hidden="false" customHeight="true" outlineLevel="0" collapsed="false">
      <c r="E73" s="433"/>
      <c r="H73" s="175"/>
      <c r="I73" s="175"/>
      <c r="J73" s="175"/>
    </row>
    <row r="74" s="2" customFormat="true" ht="18.75" hidden="false" customHeight="true" outlineLevel="0" collapsed="false">
      <c r="E74" s="433"/>
      <c r="H74" s="175"/>
      <c r="I74" s="175"/>
      <c r="J74" s="175"/>
    </row>
    <row r="75" s="2" customFormat="true" ht="18.75" hidden="false" customHeight="true" outlineLevel="0" collapsed="false">
      <c r="E75" s="433"/>
      <c r="H75" s="175"/>
      <c r="I75" s="175"/>
      <c r="J75" s="175"/>
    </row>
    <row r="76" s="2" customFormat="true" ht="18.75" hidden="false" customHeight="true" outlineLevel="0" collapsed="false">
      <c r="E76" s="433"/>
      <c r="H76" s="175"/>
      <c r="I76" s="175"/>
      <c r="J76" s="175"/>
    </row>
    <row r="77" s="2" customFormat="true" ht="18.75" hidden="false" customHeight="true" outlineLevel="0" collapsed="false">
      <c r="E77" s="433"/>
      <c r="H77" s="175"/>
      <c r="I77" s="175"/>
      <c r="J77" s="175"/>
    </row>
    <row r="78" s="2" customFormat="true" ht="18.75" hidden="false" customHeight="true" outlineLevel="0" collapsed="false">
      <c r="E78" s="433"/>
      <c r="H78" s="175"/>
      <c r="I78" s="175"/>
      <c r="J78" s="175"/>
    </row>
    <row r="79" s="2" customFormat="true" ht="18.75" hidden="false" customHeight="true" outlineLevel="0" collapsed="false">
      <c r="E79" s="433"/>
      <c r="H79" s="175"/>
      <c r="I79" s="175"/>
      <c r="J79" s="175"/>
    </row>
    <row r="80" s="2" customFormat="true" ht="18.75" hidden="false" customHeight="true" outlineLevel="0" collapsed="false">
      <c r="E80" s="433"/>
      <c r="H80" s="175"/>
      <c r="I80" s="175"/>
      <c r="J80" s="175"/>
    </row>
    <row r="81" s="2" customFormat="true" ht="18.75" hidden="false" customHeight="true" outlineLevel="0" collapsed="false">
      <c r="E81" s="433"/>
      <c r="H81" s="175"/>
      <c r="I81" s="175"/>
      <c r="J81" s="175"/>
    </row>
    <row r="82" s="2" customFormat="true" ht="18.75" hidden="false" customHeight="true" outlineLevel="0" collapsed="false">
      <c r="E82" s="433"/>
      <c r="H82" s="175"/>
      <c r="I82" s="175"/>
      <c r="J82" s="175"/>
    </row>
    <row r="83" s="2" customFormat="true" ht="18.75" hidden="false" customHeight="true" outlineLevel="0" collapsed="false">
      <c r="E83" s="433"/>
      <c r="H83" s="175"/>
      <c r="I83" s="175"/>
      <c r="J83" s="175"/>
    </row>
    <row r="84" s="2" customFormat="true" ht="18.75" hidden="false" customHeight="true" outlineLevel="0" collapsed="false">
      <c r="E84" s="433"/>
      <c r="H84" s="175"/>
      <c r="I84" s="175"/>
      <c r="J84" s="175"/>
    </row>
    <row r="85" s="2" customFormat="true" ht="18.75" hidden="false" customHeight="true" outlineLevel="0" collapsed="false">
      <c r="E85" s="433"/>
      <c r="H85" s="175"/>
      <c r="I85" s="175"/>
      <c r="J85" s="175"/>
    </row>
    <row r="86" s="2" customFormat="true" ht="18.75" hidden="false" customHeight="true" outlineLevel="0" collapsed="false">
      <c r="E86" s="433"/>
      <c r="H86" s="175"/>
      <c r="I86" s="175"/>
      <c r="J86" s="175"/>
    </row>
    <row r="87" s="2" customFormat="true" ht="18.75" hidden="false" customHeight="true" outlineLevel="0" collapsed="false">
      <c r="E87" s="433"/>
      <c r="H87" s="175"/>
      <c r="I87" s="175"/>
      <c r="J87" s="175"/>
    </row>
    <row r="88" s="2" customFormat="true" ht="18.75" hidden="false" customHeight="true" outlineLevel="0" collapsed="false">
      <c r="E88" s="433"/>
      <c r="H88" s="175"/>
      <c r="I88" s="175"/>
      <c r="J88" s="175"/>
    </row>
    <row r="89" s="2" customFormat="true" ht="18.75" hidden="false" customHeight="true" outlineLevel="0" collapsed="false">
      <c r="E89" s="433"/>
      <c r="H89" s="175"/>
      <c r="I89" s="175"/>
      <c r="J89" s="175"/>
    </row>
    <row r="90" s="2" customFormat="true" ht="18.75" hidden="false" customHeight="true" outlineLevel="0" collapsed="false">
      <c r="E90" s="433"/>
      <c r="H90" s="175"/>
      <c r="I90" s="175"/>
      <c r="J90" s="175"/>
    </row>
    <row r="91" s="2" customFormat="true" ht="18.75" hidden="false" customHeight="true" outlineLevel="0" collapsed="false">
      <c r="E91" s="433"/>
      <c r="H91" s="175"/>
      <c r="I91" s="175"/>
      <c r="J91" s="175"/>
    </row>
    <row r="92" s="2" customFormat="true" ht="18.75" hidden="false" customHeight="true" outlineLevel="0" collapsed="false">
      <c r="E92" s="433"/>
      <c r="H92" s="175"/>
      <c r="I92" s="175"/>
      <c r="J92" s="175"/>
    </row>
    <row r="93" s="2" customFormat="true" ht="18.75" hidden="false" customHeight="true" outlineLevel="0" collapsed="false">
      <c r="E93" s="433"/>
      <c r="H93" s="175"/>
      <c r="I93" s="175"/>
      <c r="J93" s="175"/>
    </row>
    <row r="94" s="2" customFormat="true" ht="18.75" hidden="false" customHeight="true" outlineLevel="0" collapsed="false">
      <c r="E94" s="433"/>
      <c r="H94" s="175"/>
      <c r="I94" s="175"/>
      <c r="J94" s="175"/>
    </row>
    <row r="95" s="2" customFormat="true" ht="18.75" hidden="false" customHeight="true" outlineLevel="0" collapsed="false">
      <c r="E95" s="433"/>
      <c r="H95" s="175"/>
      <c r="I95" s="175"/>
      <c r="J95" s="175"/>
    </row>
    <row r="96" s="2" customFormat="true" ht="18.75" hidden="false" customHeight="true" outlineLevel="0" collapsed="false">
      <c r="E96" s="433"/>
      <c r="H96" s="175"/>
      <c r="I96" s="175"/>
      <c r="J96" s="175"/>
    </row>
    <row r="97" s="2" customFormat="true" ht="18.75" hidden="false" customHeight="true" outlineLevel="0" collapsed="false">
      <c r="E97" s="433"/>
      <c r="H97" s="175"/>
      <c r="I97" s="175"/>
      <c r="J97" s="175"/>
    </row>
    <row r="98" s="2" customFormat="true" ht="18.75" hidden="false" customHeight="true" outlineLevel="0" collapsed="false">
      <c r="E98" s="433"/>
      <c r="H98" s="175"/>
      <c r="I98" s="175"/>
      <c r="J98" s="175"/>
    </row>
    <row r="99" s="2" customFormat="true" ht="18.75" hidden="false" customHeight="true" outlineLevel="0" collapsed="false">
      <c r="E99" s="433"/>
      <c r="H99" s="175"/>
      <c r="I99" s="175"/>
      <c r="J99" s="175"/>
    </row>
    <row r="100" s="2" customFormat="true" ht="18.75" hidden="false" customHeight="true" outlineLevel="0" collapsed="false">
      <c r="E100" s="433"/>
      <c r="H100" s="175"/>
      <c r="I100" s="175"/>
      <c r="J100" s="175"/>
    </row>
    <row r="101" s="2" customFormat="true" ht="18.75" hidden="false" customHeight="true" outlineLevel="0" collapsed="false">
      <c r="E101" s="433"/>
      <c r="H101" s="175"/>
      <c r="I101" s="175"/>
      <c r="J101" s="175"/>
    </row>
    <row r="102" s="2" customFormat="true" ht="18.75" hidden="false" customHeight="true" outlineLevel="0" collapsed="false">
      <c r="E102" s="433"/>
      <c r="H102" s="175"/>
      <c r="I102" s="175"/>
      <c r="J102" s="175"/>
    </row>
    <row r="103" s="2" customFormat="true" ht="18.75" hidden="false" customHeight="true" outlineLevel="0" collapsed="false">
      <c r="E103" s="433"/>
      <c r="H103" s="175"/>
      <c r="I103" s="175"/>
      <c r="J103" s="175"/>
    </row>
    <row r="104" s="2" customFormat="true" ht="18.75" hidden="false" customHeight="true" outlineLevel="0" collapsed="false">
      <c r="E104" s="433"/>
      <c r="H104" s="175"/>
      <c r="I104" s="175"/>
      <c r="J104" s="175"/>
    </row>
    <row r="105" s="2" customFormat="true" ht="18.75" hidden="false" customHeight="true" outlineLevel="0" collapsed="false">
      <c r="E105" s="433"/>
      <c r="H105" s="175"/>
      <c r="I105" s="175"/>
      <c r="J105" s="175"/>
    </row>
    <row r="106" s="2" customFormat="true" ht="18.75" hidden="false" customHeight="true" outlineLevel="0" collapsed="false">
      <c r="E106" s="433"/>
      <c r="H106" s="175"/>
      <c r="I106" s="175"/>
      <c r="J106" s="175"/>
    </row>
    <row r="107" s="2" customFormat="true" ht="18.75" hidden="false" customHeight="true" outlineLevel="0" collapsed="false">
      <c r="E107" s="433"/>
      <c r="H107" s="175"/>
      <c r="I107" s="175"/>
      <c r="J107" s="175"/>
    </row>
    <row r="108" s="2" customFormat="true" ht="18.75" hidden="false" customHeight="true" outlineLevel="0" collapsed="false">
      <c r="E108" s="433"/>
      <c r="H108" s="175"/>
      <c r="I108" s="175"/>
      <c r="J108" s="175"/>
    </row>
    <row r="109" s="2" customFormat="true" ht="18.75" hidden="false" customHeight="true" outlineLevel="0" collapsed="false">
      <c r="E109" s="433"/>
      <c r="H109" s="175"/>
      <c r="I109" s="175"/>
      <c r="J109" s="175"/>
    </row>
    <row r="110" s="2" customFormat="true" ht="18.75" hidden="false" customHeight="true" outlineLevel="0" collapsed="false">
      <c r="E110" s="433"/>
      <c r="H110" s="175"/>
      <c r="I110" s="175"/>
      <c r="J110" s="175"/>
    </row>
    <row r="111" s="2" customFormat="true" ht="18.75" hidden="false" customHeight="true" outlineLevel="0" collapsed="false">
      <c r="E111" s="433"/>
      <c r="H111" s="175"/>
      <c r="I111" s="175"/>
      <c r="J111" s="175"/>
    </row>
    <row r="112" s="2" customFormat="true" ht="18.75" hidden="false" customHeight="true" outlineLevel="0" collapsed="false">
      <c r="E112" s="433"/>
      <c r="H112" s="175"/>
      <c r="I112" s="175"/>
      <c r="J112" s="175"/>
    </row>
    <row r="113" s="2" customFormat="true" ht="18.75" hidden="false" customHeight="true" outlineLevel="0" collapsed="false">
      <c r="E113" s="433"/>
      <c r="H113" s="175"/>
      <c r="I113" s="175"/>
      <c r="J113" s="175"/>
    </row>
    <row r="114" s="2" customFormat="true" ht="18.75" hidden="false" customHeight="true" outlineLevel="0" collapsed="false">
      <c r="E114" s="433"/>
      <c r="H114" s="175"/>
      <c r="I114" s="175"/>
      <c r="J114" s="175"/>
    </row>
    <row r="115" s="2" customFormat="true" ht="18.75" hidden="false" customHeight="true" outlineLevel="0" collapsed="false">
      <c r="E115" s="433"/>
      <c r="H115" s="175"/>
      <c r="I115" s="175"/>
      <c r="J115" s="175"/>
    </row>
    <row r="116" s="2" customFormat="true" ht="18.75" hidden="false" customHeight="true" outlineLevel="0" collapsed="false">
      <c r="E116" s="433"/>
      <c r="H116" s="175"/>
      <c r="I116" s="175"/>
      <c r="J116" s="175"/>
    </row>
    <row r="117" s="2" customFormat="true" ht="18.75" hidden="false" customHeight="true" outlineLevel="0" collapsed="false">
      <c r="E117" s="433"/>
      <c r="H117" s="175"/>
      <c r="I117" s="175"/>
      <c r="J117" s="175"/>
    </row>
    <row r="118" s="2" customFormat="true" ht="18.75" hidden="false" customHeight="true" outlineLevel="0" collapsed="false">
      <c r="E118" s="433"/>
      <c r="H118" s="175"/>
      <c r="I118" s="175"/>
      <c r="J118" s="175"/>
    </row>
    <row r="119" s="2" customFormat="true" ht="18.75" hidden="false" customHeight="true" outlineLevel="0" collapsed="false">
      <c r="E119" s="433"/>
      <c r="H119" s="175"/>
      <c r="I119" s="175"/>
      <c r="J119" s="175"/>
    </row>
    <row r="120" s="2" customFormat="true" ht="18.75" hidden="false" customHeight="true" outlineLevel="0" collapsed="false">
      <c r="E120" s="433"/>
      <c r="H120" s="175"/>
      <c r="I120" s="175"/>
      <c r="J120" s="175"/>
    </row>
    <row r="121" s="2" customFormat="true" ht="18.75" hidden="false" customHeight="true" outlineLevel="0" collapsed="false">
      <c r="E121" s="433"/>
      <c r="H121" s="175"/>
      <c r="I121" s="175"/>
      <c r="J121" s="175"/>
    </row>
    <row r="122" s="2" customFormat="true" ht="18.75" hidden="false" customHeight="true" outlineLevel="0" collapsed="false">
      <c r="E122" s="433"/>
      <c r="H122" s="175"/>
      <c r="I122" s="175"/>
      <c r="J122" s="175"/>
    </row>
    <row r="123" s="2" customFormat="true" ht="18.75" hidden="false" customHeight="true" outlineLevel="0" collapsed="false">
      <c r="E123" s="433"/>
      <c r="H123" s="175"/>
      <c r="I123" s="175"/>
      <c r="J123" s="175"/>
    </row>
    <row r="124" s="2" customFormat="true" ht="18.75" hidden="false" customHeight="true" outlineLevel="0" collapsed="false">
      <c r="E124" s="433"/>
      <c r="H124" s="175"/>
      <c r="I124" s="175"/>
      <c r="J124" s="175"/>
    </row>
    <row r="125" s="2" customFormat="true" ht="18.75" hidden="false" customHeight="true" outlineLevel="0" collapsed="false">
      <c r="E125" s="433"/>
      <c r="H125" s="175"/>
      <c r="I125" s="175"/>
      <c r="J125" s="175"/>
    </row>
    <row r="126" s="2" customFormat="true" ht="18.75" hidden="false" customHeight="true" outlineLevel="0" collapsed="false">
      <c r="E126" s="433"/>
      <c r="H126" s="175"/>
      <c r="I126" s="175"/>
      <c r="J126" s="175"/>
    </row>
    <row r="127" s="2" customFormat="true" ht="18.75" hidden="false" customHeight="true" outlineLevel="0" collapsed="false">
      <c r="E127" s="433"/>
      <c r="H127" s="175"/>
      <c r="I127" s="175"/>
      <c r="J127" s="175"/>
    </row>
    <row r="128" s="2" customFormat="true" ht="18.75" hidden="false" customHeight="true" outlineLevel="0" collapsed="false">
      <c r="E128" s="433"/>
      <c r="H128" s="175"/>
      <c r="I128" s="175"/>
      <c r="J128" s="175"/>
    </row>
    <row r="129" s="2" customFormat="true" ht="18.75" hidden="false" customHeight="true" outlineLevel="0" collapsed="false">
      <c r="E129" s="433"/>
      <c r="H129" s="175"/>
      <c r="I129" s="175"/>
      <c r="J129" s="175"/>
    </row>
    <row r="130" s="2" customFormat="true" ht="18.75" hidden="false" customHeight="true" outlineLevel="0" collapsed="false">
      <c r="E130" s="433"/>
      <c r="H130" s="175"/>
      <c r="I130" s="175"/>
      <c r="J130" s="175"/>
    </row>
    <row r="131" s="2" customFormat="true" ht="18.75" hidden="false" customHeight="true" outlineLevel="0" collapsed="false">
      <c r="E131" s="433"/>
      <c r="H131" s="175"/>
      <c r="I131" s="175"/>
      <c r="J131" s="175"/>
    </row>
    <row r="132" s="2" customFormat="true" ht="18.75" hidden="false" customHeight="true" outlineLevel="0" collapsed="false">
      <c r="E132" s="433"/>
      <c r="H132" s="175"/>
      <c r="I132" s="175"/>
      <c r="J132" s="175"/>
    </row>
    <row r="133" s="2" customFormat="true" ht="18.75" hidden="false" customHeight="true" outlineLevel="0" collapsed="false">
      <c r="E133" s="433"/>
      <c r="H133" s="175"/>
      <c r="I133" s="175"/>
      <c r="J133" s="175"/>
    </row>
    <row r="134" s="2" customFormat="true" ht="18.75" hidden="false" customHeight="true" outlineLevel="0" collapsed="false">
      <c r="E134" s="433"/>
      <c r="H134" s="175"/>
      <c r="I134" s="175"/>
      <c r="J134" s="175"/>
    </row>
    <row r="135" s="2" customFormat="true" ht="18.75" hidden="false" customHeight="true" outlineLevel="0" collapsed="false">
      <c r="E135" s="433"/>
      <c r="H135" s="175"/>
      <c r="I135" s="175"/>
      <c r="J135" s="175"/>
    </row>
    <row r="136" s="2" customFormat="true" ht="18.75" hidden="false" customHeight="true" outlineLevel="0" collapsed="false">
      <c r="E136" s="433"/>
      <c r="H136" s="175"/>
      <c r="I136" s="175"/>
      <c r="J136" s="175"/>
    </row>
    <row r="137" s="2" customFormat="true" ht="18.75" hidden="false" customHeight="true" outlineLevel="0" collapsed="false">
      <c r="E137" s="433"/>
      <c r="H137" s="175"/>
      <c r="I137" s="175"/>
      <c r="J137" s="175"/>
    </row>
    <row r="138" s="2" customFormat="true" ht="18.75" hidden="false" customHeight="true" outlineLevel="0" collapsed="false">
      <c r="E138" s="433"/>
      <c r="H138" s="175"/>
      <c r="I138" s="175"/>
      <c r="J138" s="175"/>
    </row>
    <row r="139" s="2" customFormat="true" ht="18.75" hidden="false" customHeight="true" outlineLevel="0" collapsed="false">
      <c r="E139" s="433"/>
      <c r="H139" s="175"/>
      <c r="I139" s="175"/>
      <c r="J139" s="175"/>
    </row>
    <row r="140" s="2" customFormat="true" ht="18.75" hidden="false" customHeight="true" outlineLevel="0" collapsed="false">
      <c r="E140" s="433"/>
      <c r="H140" s="175"/>
      <c r="I140" s="175"/>
      <c r="J140" s="175"/>
    </row>
    <row r="141" s="2" customFormat="true" ht="18.75" hidden="false" customHeight="true" outlineLevel="0" collapsed="false">
      <c r="E141" s="433"/>
      <c r="H141" s="175"/>
      <c r="I141" s="175"/>
      <c r="J141" s="175"/>
    </row>
    <row r="142" s="2" customFormat="true" ht="18.75" hidden="false" customHeight="true" outlineLevel="0" collapsed="false">
      <c r="E142" s="433"/>
      <c r="H142" s="175"/>
      <c r="I142" s="175"/>
      <c r="J142" s="175"/>
    </row>
    <row r="143" s="2" customFormat="true" ht="18.75" hidden="false" customHeight="true" outlineLevel="0" collapsed="false">
      <c r="E143" s="433"/>
      <c r="H143" s="175"/>
      <c r="I143" s="175"/>
      <c r="J143" s="175"/>
    </row>
    <row r="144" s="2" customFormat="true" ht="18.75" hidden="false" customHeight="true" outlineLevel="0" collapsed="false">
      <c r="E144" s="433"/>
      <c r="H144" s="175"/>
      <c r="I144" s="175"/>
      <c r="J144" s="175"/>
    </row>
    <row r="145" s="2" customFormat="true" ht="18.75" hidden="false" customHeight="true" outlineLevel="0" collapsed="false">
      <c r="E145" s="433"/>
      <c r="H145" s="175"/>
      <c r="I145" s="175"/>
      <c r="J145" s="175"/>
    </row>
    <row r="146" s="2" customFormat="true" ht="18.75" hidden="false" customHeight="true" outlineLevel="0" collapsed="false">
      <c r="E146" s="433"/>
      <c r="H146" s="175"/>
      <c r="I146" s="175"/>
      <c r="J146" s="175"/>
    </row>
    <row r="147" s="2" customFormat="true" ht="18.75" hidden="false" customHeight="true" outlineLevel="0" collapsed="false">
      <c r="E147" s="433"/>
      <c r="H147" s="175"/>
      <c r="I147" s="175"/>
      <c r="J147" s="175"/>
    </row>
    <row r="148" s="2" customFormat="true" ht="18.75" hidden="false" customHeight="true" outlineLevel="0" collapsed="false">
      <c r="E148" s="433"/>
      <c r="H148" s="175"/>
      <c r="I148" s="175"/>
      <c r="J148" s="175"/>
    </row>
    <row r="149" s="2" customFormat="true" ht="18.75" hidden="false" customHeight="true" outlineLevel="0" collapsed="false">
      <c r="E149" s="433"/>
      <c r="H149" s="175"/>
      <c r="I149" s="175"/>
      <c r="J149" s="175"/>
    </row>
    <row r="150" s="2" customFormat="true" ht="18.75" hidden="false" customHeight="true" outlineLevel="0" collapsed="false">
      <c r="E150" s="433"/>
      <c r="H150" s="175"/>
      <c r="I150" s="175"/>
      <c r="J150" s="175"/>
    </row>
    <row r="151" s="2" customFormat="true" ht="18.75" hidden="false" customHeight="true" outlineLevel="0" collapsed="false">
      <c r="E151" s="433"/>
      <c r="H151" s="175"/>
      <c r="I151" s="175"/>
      <c r="J151" s="175"/>
    </row>
    <row r="152" s="2" customFormat="true" ht="18.75" hidden="false" customHeight="true" outlineLevel="0" collapsed="false">
      <c r="E152" s="433"/>
      <c r="H152" s="175"/>
      <c r="I152" s="175"/>
      <c r="J152" s="175"/>
    </row>
    <row r="153" s="2" customFormat="true" ht="18.75" hidden="false" customHeight="true" outlineLevel="0" collapsed="false">
      <c r="E153" s="433"/>
      <c r="H153" s="175"/>
      <c r="I153" s="175"/>
      <c r="J153" s="175"/>
    </row>
    <row r="154" s="2" customFormat="true" ht="18.75" hidden="false" customHeight="true" outlineLevel="0" collapsed="false">
      <c r="E154" s="433"/>
      <c r="H154" s="175"/>
      <c r="I154" s="175"/>
      <c r="J154" s="175"/>
    </row>
    <row r="155" s="2" customFormat="true" ht="18.75" hidden="false" customHeight="true" outlineLevel="0" collapsed="false">
      <c r="E155" s="433"/>
      <c r="H155" s="175"/>
      <c r="I155" s="175"/>
      <c r="J155" s="175"/>
    </row>
    <row r="156" s="2" customFormat="true" ht="18.75" hidden="false" customHeight="true" outlineLevel="0" collapsed="false">
      <c r="E156" s="433"/>
      <c r="H156" s="175"/>
      <c r="I156" s="175"/>
      <c r="J156" s="175"/>
    </row>
    <row r="157" s="2" customFormat="true" ht="18.75" hidden="false" customHeight="true" outlineLevel="0" collapsed="false">
      <c r="E157" s="433"/>
      <c r="H157" s="175"/>
      <c r="I157" s="175"/>
      <c r="J157" s="175"/>
    </row>
    <row r="158" s="2" customFormat="true" ht="18.75" hidden="false" customHeight="true" outlineLevel="0" collapsed="false">
      <c r="E158" s="433"/>
      <c r="H158" s="175"/>
      <c r="I158" s="175"/>
      <c r="J158" s="175"/>
    </row>
    <row r="159" s="2" customFormat="true" ht="18.75" hidden="false" customHeight="true" outlineLevel="0" collapsed="false">
      <c r="E159" s="433"/>
      <c r="H159" s="175"/>
      <c r="I159" s="175"/>
      <c r="J159" s="175"/>
    </row>
    <row r="160" s="2" customFormat="true" ht="18.75" hidden="false" customHeight="true" outlineLevel="0" collapsed="false">
      <c r="E160" s="433"/>
      <c r="H160" s="175"/>
      <c r="I160" s="175"/>
      <c r="J160" s="175"/>
    </row>
    <row r="161" s="2" customFormat="true" ht="18.75" hidden="false" customHeight="true" outlineLevel="0" collapsed="false">
      <c r="E161" s="433"/>
      <c r="H161" s="175"/>
      <c r="I161" s="175"/>
      <c r="J161" s="175"/>
    </row>
    <row r="162" s="2" customFormat="true" ht="18.75" hidden="false" customHeight="true" outlineLevel="0" collapsed="false">
      <c r="E162" s="433"/>
      <c r="H162" s="175"/>
      <c r="I162" s="175"/>
      <c r="J162" s="175"/>
    </row>
    <row r="163" s="2" customFormat="true" ht="18.75" hidden="false" customHeight="true" outlineLevel="0" collapsed="false">
      <c r="E163" s="433"/>
      <c r="H163" s="175"/>
      <c r="I163" s="175"/>
      <c r="J163" s="175"/>
    </row>
    <row r="164" s="2" customFormat="true" ht="18.75" hidden="false" customHeight="true" outlineLevel="0" collapsed="false">
      <c r="E164" s="433"/>
      <c r="H164" s="175"/>
      <c r="I164" s="175"/>
      <c r="J164" s="175"/>
    </row>
    <row r="165" s="2" customFormat="true" ht="18.75" hidden="false" customHeight="true" outlineLevel="0" collapsed="false">
      <c r="E165" s="433"/>
      <c r="H165" s="175"/>
      <c r="I165" s="175"/>
      <c r="J165" s="175"/>
    </row>
    <row r="166" s="2" customFormat="true" ht="18.75" hidden="false" customHeight="true" outlineLevel="0" collapsed="false">
      <c r="E166" s="433"/>
      <c r="H166" s="175"/>
      <c r="I166" s="175"/>
      <c r="J166" s="175"/>
    </row>
    <row r="167" s="2" customFormat="true" ht="18.75" hidden="false" customHeight="true" outlineLevel="0" collapsed="false">
      <c r="E167" s="433"/>
      <c r="H167" s="175"/>
      <c r="I167" s="175"/>
      <c r="J167" s="175"/>
    </row>
    <row r="168" s="2" customFormat="true" ht="18.75" hidden="false" customHeight="true" outlineLevel="0" collapsed="false">
      <c r="E168" s="433"/>
      <c r="H168" s="175"/>
      <c r="I168" s="175"/>
      <c r="J168" s="175"/>
    </row>
    <row r="169" s="2" customFormat="true" ht="18.75" hidden="false" customHeight="true" outlineLevel="0" collapsed="false">
      <c r="E169" s="433"/>
      <c r="H169" s="175"/>
      <c r="I169" s="175"/>
      <c r="J169" s="175"/>
    </row>
    <row r="170" s="2" customFormat="true" ht="18.75" hidden="false" customHeight="true" outlineLevel="0" collapsed="false">
      <c r="E170" s="433"/>
      <c r="H170" s="175"/>
      <c r="I170" s="175"/>
      <c r="J170" s="175"/>
    </row>
    <row r="171" s="2" customFormat="true" ht="18.75" hidden="false" customHeight="true" outlineLevel="0" collapsed="false">
      <c r="E171" s="433"/>
      <c r="H171" s="175"/>
      <c r="I171" s="175"/>
      <c r="J171" s="175"/>
    </row>
    <row r="172" s="2" customFormat="true" ht="18.75" hidden="false" customHeight="true" outlineLevel="0" collapsed="false">
      <c r="E172" s="433"/>
      <c r="H172" s="175"/>
      <c r="I172" s="175"/>
      <c r="J172" s="175"/>
    </row>
    <row r="173" s="2" customFormat="true" ht="18.75" hidden="false" customHeight="true" outlineLevel="0" collapsed="false">
      <c r="E173" s="433"/>
      <c r="H173" s="175"/>
      <c r="I173" s="175"/>
      <c r="J173" s="175"/>
    </row>
    <row r="174" s="2" customFormat="true" ht="18.75" hidden="false" customHeight="true" outlineLevel="0" collapsed="false">
      <c r="E174" s="433"/>
      <c r="H174" s="175"/>
      <c r="I174" s="175"/>
      <c r="J174" s="175"/>
    </row>
    <row r="175" s="2" customFormat="true" ht="18.75" hidden="false" customHeight="true" outlineLevel="0" collapsed="false">
      <c r="E175" s="433"/>
      <c r="H175" s="175"/>
      <c r="I175" s="175"/>
      <c r="J175" s="175"/>
    </row>
    <row r="176" s="2" customFormat="true" ht="18.75" hidden="false" customHeight="true" outlineLevel="0" collapsed="false">
      <c r="E176" s="433"/>
      <c r="H176" s="175"/>
      <c r="I176" s="175"/>
      <c r="J176" s="175"/>
    </row>
    <row r="177" s="2" customFormat="true" ht="18.75" hidden="false" customHeight="true" outlineLevel="0" collapsed="false">
      <c r="E177" s="433"/>
      <c r="H177" s="175"/>
      <c r="I177" s="175"/>
      <c r="J177" s="175"/>
    </row>
    <row r="178" s="2" customFormat="true" ht="18.75" hidden="false" customHeight="true" outlineLevel="0" collapsed="false">
      <c r="E178" s="433"/>
      <c r="H178" s="175"/>
      <c r="I178" s="175"/>
      <c r="J178" s="175"/>
    </row>
    <row r="179" s="2" customFormat="true" ht="18.75" hidden="false" customHeight="true" outlineLevel="0" collapsed="false">
      <c r="E179" s="433"/>
      <c r="H179" s="175"/>
      <c r="I179" s="175"/>
      <c r="J179" s="175"/>
    </row>
    <row r="180" s="2" customFormat="true" ht="18.75" hidden="false" customHeight="true" outlineLevel="0" collapsed="false">
      <c r="E180" s="433"/>
      <c r="H180" s="175"/>
      <c r="I180" s="175"/>
      <c r="J180" s="175"/>
    </row>
    <row r="181" s="2" customFormat="true" ht="18.75" hidden="false" customHeight="true" outlineLevel="0" collapsed="false">
      <c r="E181" s="433"/>
      <c r="H181" s="175"/>
      <c r="I181" s="175"/>
      <c r="J181" s="175"/>
    </row>
    <row r="182" s="2" customFormat="true" ht="18.75" hidden="false" customHeight="true" outlineLevel="0" collapsed="false">
      <c r="E182" s="433"/>
      <c r="H182" s="175"/>
      <c r="I182" s="175"/>
      <c r="J182" s="175"/>
    </row>
    <row r="183" s="2" customFormat="true" ht="18.75" hidden="false" customHeight="true" outlineLevel="0" collapsed="false">
      <c r="E183" s="433"/>
      <c r="H183" s="175"/>
      <c r="I183" s="175"/>
      <c r="J183" s="175"/>
    </row>
    <row r="184" s="2" customFormat="true" ht="18.75" hidden="false" customHeight="true" outlineLevel="0" collapsed="false">
      <c r="E184" s="433"/>
      <c r="H184" s="175"/>
      <c r="I184" s="175"/>
      <c r="J184" s="175"/>
    </row>
    <row r="185" s="2" customFormat="true" ht="18.75" hidden="false" customHeight="true" outlineLevel="0" collapsed="false">
      <c r="E185" s="433"/>
      <c r="H185" s="175"/>
      <c r="I185" s="175"/>
      <c r="J185" s="175"/>
    </row>
    <row r="186" s="2" customFormat="true" ht="18.75" hidden="false" customHeight="true" outlineLevel="0" collapsed="false">
      <c r="E186" s="433"/>
      <c r="H186" s="175"/>
      <c r="I186" s="175"/>
      <c r="J186" s="175"/>
    </row>
    <row r="187" s="2" customFormat="true" ht="18.75" hidden="false" customHeight="true" outlineLevel="0" collapsed="false">
      <c r="E187" s="433"/>
      <c r="H187" s="175"/>
      <c r="I187" s="175"/>
      <c r="J187" s="175"/>
    </row>
    <row r="188" s="2" customFormat="true" ht="18.75" hidden="false" customHeight="true" outlineLevel="0" collapsed="false">
      <c r="E188" s="433"/>
      <c r="H188" s="175"/>
      <c r="I188" s="175"/>
      <c r="J188" s="175"/>
    </row>
    <row r="189" s="2" customFormat="true" ht="18.75" hidden="false" customHeight="true" outlineLevel="0" collapsed="false">
      <c r="E189" s="433"/>
      <c r="H189" s="175"/>
      <c r="I189" s="175"/>
      <c r="J189" s="175"/>
    </row>
    <row r="190" s="2" customFormat="true" ht="18.75" hidden="false" customHeight="true" outlineLevel="0" collapsed="false">
      <c r="E190" s="433"/>
      <c r="H190" s="175"/>
      <c r="I190" s="175"/>
      <c r="J190" s="175"/>
    </row>
    <row r="191" s="2" customFormat="true" ht="18.75" hidden="false" customHeight="true" outlineLevel="0" collapsed="false">
      <c r="E191" s="433"/>
      <c r="H191" s="175"/>
      <c r="I191" s="175"/>
      <c r="J191" s="175"/>
    </row>
    <row r="192" s="2" customFormat="true" ht="18.75" hidden="false" customHeight="true" outlineLevel="0" collapsed="false">
      <c r="E192" s="433"/>
      <c r="H192" s="175"/>
      <c r="I192" s="175"/>
      <c r="J192" s="175"/>
    </row>
    <row r="193" s="2" customFormat="true" ht="18.75" hidden="false" customHeight="true" outlineLevel="0" collapsed="false">
      <c r="E193" s="433"/>
      <c r="H193" s="175"/>
      <c r="I193" s="175"/>
      <c r="J193" s="175"/>
    </row>
    <row r="194" s="2" customFormat="true" ht="18.75" hidden="false" customHeight="true" outlineLevel="0" collapsed="false">
      <c r="E194" s="433"/>
      <c r="H194" s="175"/>
      <c r="I194" s="175"/>
      <c r="J194" s="175"/>
    </row>
    <row r="195" s="2" customFormat="true" ht="18.75" hidden="false" customHeight="true" outlineLevel="0" collapsed="false">
      <c r="E195" s="433"/>
      <c r="H195" s="175"/>
      <c r="I195" s="175"/>
      <c r="J195" s="175"/>
    </row>
    <row r="196" s="2" customFormat="true" ht="18.75" hidden="false" customHeight="true" outlineLevel="0" collapsed="false">
      <c r="E196" s="433"/>
      <c r="H196" s="175"/>
      <c r="I196" s="175"/>
      <c r="J196" s="175"/>
    </row>
    <row r="197" s="2" customFormat="true" ht="18.75" hidden="false" customHeight="true" outlineLevel="0" collapsed="false">
      <c r="E197" s="433"/>
      <c r="H197" s="175"/>
      <c r="I197" s="175"/>
      <c r="J197" s="175"/>
    </row>
    <row r="198" s="2" customFormat="true" ht="18.75" hidden="false" customHeight="true" outlineLevel="0" collapsed="false">
      <c r="E198" s="433"/>
      <c r="H198" s="175"/>
      <c r="I198" s="175"/>
      <c r="J198" s="175"/>
    </row>
    <row r="199" s="2" customFormat="true" ht="18.75" hidden="false" customHeight="true" outlineLevel="0" collapsed="false">
      <c r="E199" s="433"/>
      <c r="H199" s="175"/>
      <c r="I199" s="175"/>
      <c r="J199" s="175"/>
    </row>
    <row r="200" s="2" customFormat="true" ht="18.75" hidden="false" customHeight="true" outlineLevel="0" collapsed="false">
      <c r="E200" s="433"/>
      <c r="H200" s="175"/>
      <c r="I200" s="175"/>
      <c r="J200" s="175"/>
    </row>
    <row r="201" s="2" customFormat="true" ht="18.75" hidden="false" customHeight="true" outlineLevel="0" collapsed="false">
      <c r="E201" s="433"/>
      <c r="H201" s="175"/>
      <c r="I201" s="175"/>
      <c r="J201" s="175"/>
    </row>
    <row r="202" s="2" customFormat="true" ht="18.75" hidden="false" customHeight="true" outlineLevel="0" collapsed="false">
      <c r="E202" s="433"/>
      <c r="H202" s="175"/>
      <c r="I202" s="175"/>
      <c r="J202" s="175"/>
    </row>
    <row r="203" s="2" customFormat="true" ht="18.75" hidden="false" customHeight="true" outlineLevel="0" collapsed="false">
      <c r="E203" s="433"/>
      <c r="H203" s="175"/>
      <c r="I203" s="175"/>
      <c r="J203" s="175"/>
    </row>
    <row r="204" s="2" customFormat="true" ht="18.75" hidden="false" customHeight="true" outlineLevel="0" collapsed="false">
      <c r="E204" s="433"/>
      <c r="H204" s="175"/>
      <c r="I204" s="175"/>
      <c r="J204" s="175"/>
    </row>
    <row r="205" s="2" customFormat="true" ht="18.75" hidden="false" customHeight="true" outlineLevel="0" collapsed="false">
      <c r="E205" s="433"/>
      <c r="H205" s="175"/>
      <c r="I205" s="175"/>
      <c r="J205" s="175"/>
    </row>
    <row r="206" s="2" customFormat="true" ht="18.75" hidden="false" customHeight="true" outlineLevel="0" collapsed="false">
      <c r="E206" s="433"/>
      <c r="H206" s="175"/>
      <c r="I206" s="175"/>
      <c r="J206" s="175"/>
    </row>
    <row r="207" s="2" customFormat="true" ht="18.75" hidden="false" customHeight="true" outlineLevel="0" collapsed="false">
      <c r="E207" s="433"/>
      <c r="H207" s="175"/>
      <c r="I207" s="175"/>
      <c r="J207" s="175"/>
    </row>
    <row r="208" s="2" customFormat="true" ht="18.75" hidden="false" customHeight="true" outlineLevel="0" collapsed="false">
      <c r="E208" s="433"/>
      <c r="H208" s="175"/>
      <c r="I208" s="175"/>
      <c r="J208" s="175"/>
    </row>
    <row r="209" s="2" customFormat="true" ht="18.75" hidden="false" customHeight="true" outlineLevel="0" collapsed="false">
      <c r="E209" s="433"/>
      <c r="H209" s="175"/>
      <c r="I209" s="175"/>
      <c r="J209" s="175"/>
    </row>
    <row r="210" s="2" customFormat="true" ht="18.75" hidden="false" customHeight="true" outlineLevel="0" collapsed="false">
      <c r="E210" s="433"/>
      <c r="H210" s="175"/>
      <c r="I210" s="175"/>
      <c r="J210" s="175"/>
    </row>
    <row r="211" s="2" customFormat="true" ht="18.75" hidden="false" customHeight="true" outlineLevel="0" collapsed="false">
      <c r="E211" s="433"/>
      <c r="H211" s="175"/>
      <c r="I211" s="175"/>
      <c r="J211" s="175"/>
    </row>
    <row r="212" s="2" customFormat="true" ht="18.75" hidden="false" customHeight="true" outlineLevel="0" collapsed="false">
      <c r="E212" s="433"/>
      <c r="H212" s="175"/>
      <c r="I212" s="175"/>
      <c r="J212" s="175"/>
    </row>
    <row r="213" s="2" customFormat="true" ht="18.75" hidden="false" customHeight="true" outlineLevel="0" collapsed="false">
      <c r="E213" s="433"/>
      <c r="H213" s="175"/>
      <c r="I213" s="175"/>
      <c r="J213" s="175"/>
    </row>
    <row r="214" s="2" customFormat="true" ht="18.75" hidden="false" customHeight="true" outlineLevel="0" collapsed="false">
      <c r="E214" s="433"/>
      <c r="H214" s="175"/>
      <c r="I214" s="175"/>
      <c r="J214" s="175"/>
    </row>
    <row r="215" s="2" customFormat="true" ht="18.75" hidden="false" customHeight="true" outlineLevel="0" collapsed="false">
      <c r="E215" s="433"/>
      <c r="H215" s="175"/>
      <c r="I215" s="175"/>
      <c r="J215" s="175"/>
    </row>
    <row r="216" s="2" customFormat="true" ht="18.75" hidden="false" customHeight="true" outlineLevel="0" collapsed="false">
      <c r="E216" s="433"/>
      <c r="H216" s="175"/>
      <c r="I216" s="175"/>
      <c r="J216" s="175"/>
    </row>
    <row r="217" s="2" customFormat="true" ht="18.75" hidden="false" customHeight="true" outlineLevel="0" collapsed="false">
      <c r="E217" s="433"/>
      <c r="H217" s="175"/>
      <c r="I217" s="175"/>
      <c r="J217" s="175"/>
    </row>
    <row r="218" s="2" customFormat="true" ht="18.75" hidden="false" customHeight="true" outlineLevel="0" collapsed="false">
      <c r="E218" s="433"/>
      <c r="H218" s="175"/>
      <c r="I218" s="175"/>
      <c r="J218" s="175"/>
    </row>
    <row r="219" s="2" customFormat="true" ht="18.75" hidden="false" customHeight="true" outlineLevel="0" collapsed="false">
      <c r="E219" s="433"/>
      <c r="H219" s="175"/>
      <c r="I219" s="175"/>
      <c r="J219" s="175"/>
    </row>
    <row r="220" s="2" customFormat="true" ht="18.75" hidden="false" customHeight="true" outlineLevel="0" collapsed="false">
      <c r="E220" s="433"/>
      <c r="H220" s="175"/>
      <c r="I220" s="175"/>
      <c r="J220" s="175"/>
    </row>
    <row r="221" s="2" customFormat="true" ht="18.75" hidden="false" customHeight="true" outlineLevel="0" collapsed="false">
      <c r="E221" s="433"/>
      <c r="H221" s="175"/>
      <c r="I221" s="175"/>
      <c r="J221" s="175"/>
    </row>
    <row r="222" s="2" customFormat="true" ht="18.75" hidden="false" customHeight="true" outlineLevel="0" collapsed="false">
      <c r="E222" s="433"/>
      <c r="H222" s="175"/>
      <c r="I222" s="175"/>
      <c r="J222" s="175"/>
    </row>
    <row r="223" s="2" customFormat="true" ht="18.75" hidden="false" customHeight="true" outlineLevel="0" collapsed="false">
      <c r="E223" s="433"/>
      <c r="H223" s="175"/>
      <c r="I223" s="175"/>
      <c r="J223" s="175"/>
    </row>
    <row r="224" s="2" customFormat="true" ht="18.75" hidden="false" customHeight="true" outlineLevel="0" collapsed="false">
      <c r="E224" s="433"/>
      <c r="H224" s="175"/>
      <c r="I224" s="175"/>
      <c r="J224" s="175"/>
    </row>
    <row r="225" s="2" customFormat="true" ht="18.75" hidden="false" customHeight="true" outlineLevel="0" collapsed="false">
      <c r="E225" s="433"/>
      <c r="H225" s="175"/>
      <c r="I225" s="175"/>
      <c r="J225" s="175"/>
    </row>
    <row r="226" s="2" customFormat="true" ht="18.75" hidden="false" customHeight="true" outlineLevel="0" collapsed="false">
      <c r="E226" s="433"/>
      <c r="H226" s="175"/>
      <c r="I226" s="175"/>
      <c r="J226" s="175"/>
    </row>
    <row r="227" s="2" customFormat="true" ht="18.75" hidden="false" customHeight="true" outlineLevel="0" collapsed="false">
      <c r="E227" s="433"/>
      <c r="H227" s="175"/>
      <c r="I227" s="175"/>
      <c r="J227" s="175"/>
    </row>
    <row r="228" s="2" customFormat="true" ht="18.75" hidden="false" customHeight="true" outlineLevel="0" collapsed="false">
      <c r="E228" s="433"/>
      <c r="H228" s="175"/>
      <c r="I228" s="175"/>
      <c r="J228" s="175"/>
    </row>
    <row r="229" s="2" customFormat="true" ht="18.75" hidden="false" customHeight="true" outlineLevel="0" collapsed="false">
      <c r="E229" s="433"/>
      <c r="H229" s="175"/>
      <c r="I229" s="175"/>
      <c r="J229" s="175"/>
    </row>
    <row r="230" s="2" customFormat="true" ht="18.75" hidden="false" customHeight="true" outlineLevel="0" collapsed="false">
      <c r="E230" s="433"/>
      <c r="H230" s="175"/>
      <c r="I230" s="175"/>
      <c r="J230" s="175"/>
    </row>
    <row r="231" s="2" customFormat="true" ht="18.75" hidden="false" customHeight="true" outlineLevel="0" collapsed="false">
      <c r="E231" s="433"/>
      <c r="H231" s="175"/>
      <c r="I231" s="175"/>
      <c r="J231" s="175"/>
    </row>
    <row r="232" s="2" customFormat="true" ht="18.75" hidden="false" customHeight="true" outlineLevel="0" collapsed="false">
      <c r="E232" s="433"/>
      <c r="H232" s="175"/>
      <c r="I232" s="175"/>
      <c r="J232" s="175"/>
    </row>
    <row r="233" s="2" customFormat="true" ht="18.75" hidden="false" customHeight="true" outlineLevel="0" collapsed="false">
      <c r="E233" s="433"/>
      <c r="H233" s="175"/>
      <c r="I233" s="175"/>
      <c r="J233" s="175"/>
    </row>
    <row r="234" s="2" customFormat="true" ht="18.75" hidden="false" customHeight="true" outlineLevel="0" collapsed="false">
      <c r="E234" s="433"/>
      <c r="H234" s="175"/>
      <c r="I234" s="175"/>
      <c r="J234" s="175"/>
    </row>
    <row r="235" s="2" customFormat="true" ht="18.75" hidden="false" customHeight="true" outlineLevel="0" collapsed="false">
      <c r="E235" s="433"/>
      <c r="H235" s="175"/>
      <c r="I235" s="175"/>
      <c r="J235" s="175"/>
    </row>
    <row r="236" s="2" customFormat="true" ht="18.75" hidden="false" customHeight="true" outlineLevel="0" collapsed="false">
      <c r="E236" s="433"/>
      <c r="H236" s="175"/>
      <c r="I236" s="175"/>
      <c r="J236" s="175"/>
    </row>
    <row r="237" s="2" customFormat="true" ht="18.75" hidden="false" customHeight="true" outlineLevel="0" collapsed="false">
      <c r="E237" s="433"/>
      <c r="H237" s="175"/>
      <c r="I237" s="175"/>
      <c r="J237" s="175"/>
    </row>
    <row r="238" s="2" customFormat="true" ht="18.75" hidden="false" customHeight="true" outlineLevel="0" collapsed="false">
      <c r="E238" s="433"/>
      <c r="H238" s="175"/>
      <c r="I238" s="175"/>
      <c r="J238" s="175"/>
    </row>
    <row r="239" s="2" customFormat="true" ht="18.75" hidden="false" customHeight="true" outlineLevel="0" collapsed="false">
      <c r="E239" s="433"/>
      <c r="H239" s="175"/>
      <c r="I239" s="175"/>
      <c r="J239" s="175"/>
    </row>
    <row r="240" s="2" customFormat="true" ht="18.75" hidden="false" customHeight="true" outlineLevel="0" collapsed="false">
      <c r="E240" s="433"/>
      <c r="H240" s="175"/>
      <c r="I240" s="175"/>
      <c r="J240" s="175"/>
    </row>
    <row r="241" s="2" customFormat="true" ht="18.75" hidden="false" customHeight="true" outlineLevel="0" collapsed="false">
      <c r="E241" s="433"/>
      <c r="H241" s="175"/>
      <c r="I241" s="175"/>
      <c r="J241" s="175"/>
    </row>
    <row r="242" s="2" customFormat="true" ht="18.75" hidden="false" customHeight="true" outlineLevel="0" collapsed="false">
      <c r="E242" s="433"/>
      <c r="H242" s="175"/>
      <c r="I242" s="175"/>
      <c r="J242" s="175"/>
    </row>
    <row r="243" s="2" customFormat="true" ht="18.75" hidden="false" customHeight="true" outlineLevel="0" collapsed="false">
      <c r="E243" s="433"/>
      <c r="H243" s="175"/>
      <c r="I243" s="175"/>
      <c r="J243" s="175"/>
    </row>
    <row r="244" s="2" customFormat="true" ht="18.75" hidden="false" customHeight="true" outlineLevel="0" collapsed="false">
      <c r="E244" s="433"/>
      <c r="H244" s="175"/>
      <c r="I244" s="175"/>
      <c r="J244" s="175"/>
    </row>
    <row r="245" s="2" customFormat="true" ht="18.75" hidden="false" customHeight="true" outlineLevel="0" collapsed="false">
      <c r="E245" s="433"/>
      <c r="H245" s="175"/>
      <c r="I245" s="175"/>
      <c r="J245" s="175"/>
    </row>
    <row r="246" s="2" customFormat="true" ht="18.75" hidden="false" customHeight="true" outlineLevel="0" collapsed="false">
      <c r="E246" s="433"/>
      <c r="H246" s="175"/>
      <c r="I246" s="175"/>
      <c r="J246" s="175"/>
    </row>
    <row r="247" s="2" customFormat="true" ht="18.75" hidden="false" customHeight="true" outlineLevel="0" collapsed="false">
      <c r="E247" s="433"/>
      <c r="H247" s="175"/>
      <c r="I247" s="175"/>
      <c r="J247" s="175"/>
    </row>
    <row r="248" s="2" customFormat="true" ht="18.75" hidden="false" customHeight="true" outlineLevel="0" collapsed="false">
      <c r="E248" s="433"/>
      <c r="H248" s="175"/>
      <c r="I248" s="175"/>
      <c r="J248" s="175"/>
    </row>
    <row r="249" s="2" customFormat="true" ht="18.75" hidden="false" customHeight="true" outlineLevel="0" collapsed="false">
      <c r="E249" s="433"/>
      <c r="H249" s="175"/>
      <c r="I249" s="175"/>
      <c r="J249" s="175"/>
    </row>
    <row r="250" s="2" customFormat="true" ht="18.75" hidden="false" customHeight="true" outlineLevel="0" collapsed="false">
      <c r="E250" s="433"/>
      <c r="H250" s="175"/>
      <c r="I250" s="175"/>
      <c r="J250" s="175"/>
    </row>
    <row r="251" s="2" customFormat="true" ht="18.75" hidden="false" customHeight="true" outlineLevel="0" collapsed="false">
      <c r="E251" s="433"/>
      <c r="H251" s="175"/>
      <c r="I251" s="175"/>
      <c r="J251" s="175"/>
    </row>
    <row r="252" s="2" customFormat="true" ht="18.75" hidden="false" customHeight="true" outlineLevel="0" collapsed="false">
      <c r="E252" s="433"/>
      <c r="H252" s="175"/>
      <c r="I252" s="175"/>
      <c r="J252" s="175"/>
    </row>
    <row r="253" s="2" customFormat="true" ht="18.75" hidden="false" customHeight="true" outlineLevel="0" collapsed="false">
      <c r="E253" s="433"/>
      <c r="H253" s="175"/>
      <c r="I253" s="175"/>
      <c r="J253" s="175"/>
    </row>
    <row r="254" s="2" customFormat="true" ht="18.75" hidden="false" customHeight="true" outlineLevel="0" collapsed="false">
      <c r="E254" s="433"/>
      <c r="H254" s="175"/>
      <c r="I254" s="175"/>
      <c r="J254" s="175"/>
    </row>
    <row r="255" s="2" customFormat="true" ht="18.75" hidden="false" customHeight="true" outlineLevel="0" collapsed="false">
      <c r="E255" s="433"/>
      <c r="H255" s="175"/>
      <c r="I255" s="175"/>
      <c r="J255" s="175"/>
    </row>
    <row r="256" s="2" customFormat="true" ht="18.75" hidden="false" customHeight="true" outlineLevel="0" collapsed="false">
      <c r="E256" s="433"/>
      <c r="H256" s="175"/>
      <c r="I256" s="175"/>
      <c r="J256" s="175"/>
    </row>
    <row r="257" s="2" customFormat="true" ht="18.75" hidden="false" customHeight="true" outlineLevel="0" collapsed="false">
      <c r="E257" s="433"/>
      <c r="H257" s="175"/>
      <c r="I257" s="175"/>
      <c r="J257" s="175"/>
    </row>
    <row r="258" s="2" customFormat="true" ht="18.75" hidden="false" customHeight="true" outlineLevel="0" collapsed="false">
      <c r="E258" s="433"/>
      <c r="H258" s="175"/>
      <c r="I258" s="175"/>
      <c r="J258" s="175"/>
    </row>
    <row r="259" s="2" customFormat="true" ht="18.75" hidden="false" customHeight="true" outlineLevel="0" collapsed="false">
      <c r="E259" s="433"/>
      <c r="H259" s="175"/>
      <c r="I259" s="175"/>
      <c r="J259" s="175"/>
    </row>
    <row r="260" s="2" customFormat="true" ht="18.75" hidden="false" customHeight="true" outlineLevel="0" collapsed="false">
      <c r="E260" s="433"/>
      <c r="H260" s="175"/>
      <c r="I260" s="175"/>
      <c r="J260" s="175"/>
    </row>
    <row r="261" s="2" customFormat="true" ht="18.75" hidden="false" customHeight="true" outlineLevel="0" collapsed="false">
      <c r="E261" s="433"/>
      <c r="H261" s="175"/>
      <c r="I261" s="175"/>
      <c r="J261" s="175"/>
    </row>
    <row r="262" s="2" customFormat="true" ht="18.75" hidden="false" customHeight="true" outlineLevel="0" collapsed="false">
      <c r="E262" s="433"/>
      <c r="H262" s="175"/>
      <c r="I262" s="175"/>
      <c r="J262" s="175"/>
    </row>
    <row r="263" s="2" customFormat="true" ht="18.75" hidden="false" customHeight="true" outlineLevel="0" collapsed="false">
      <c r="E263" s="433"/>
      <c r="H263" s="175"/>
      <c r="I263" s="175"/>
      <c r="J263" s="175"/>
    </row>
    <row r="264" s="2" customFormat="true" ht="18.75" hidden="false" customHeight="true" outlineLevel="0" collapsed="false">
      <c r="E264" s="433"/>
      <c r="H264" s="175"/>
      <c r="I264" s="175"/>
      <c r="J264" s="175"/>
    </row>
    <row r="265" s="2" customFormat="true" ht="18.75" hidden="false" customHeight="true" outlineLevel="0" collapsed="false">
      <c r="E265" s="433"/>
      <c r="H265" s="175"/>
      <c r="I265" s="175"/>
      <c r="J265" s="175"/>
    </row>
    <row r="266" s="2" customFormat="true" ht="18.75" hidden="false" customHeight="true" outlineLevel="0" collapsed="false">
      <c r="E266" s="433"/>
      <c r="H266" s="175"/>
      <c r="I266" s="175"/>
      <c r="J266" s="175"/>
    </row>
    <row r="267" s="2" customFormat="true" ht="18.75" hidden="false" customHeight="true" outlineLevel="0" collapsed="false">
      <c r="E267" s="433"/>
      <c r="H267" s="175"/>
      <c r="I267" s="175"/>
      <c r="J267" s="175"/>
    </row>
    <row r="268" s="2" customFormat="true" ht="18.75" hidden="false" customHeight="true" outlineLevel="0" collapsed="false">
      <c r="E268" s="433"/>
      <c r="H268" s="175"/>
      <c r="I268" s="175"/>
      <c r="J268" s="175"/>
    </row>
    <row r="269" s="2" customFormat="true" ht="18.75" hidden="false" customHeight="true" outlineLevel="0" collapsed="false">
      <c r="E269" s="433"/>
      <c r="H269" s="175"/>
      <c r="I269" s="175"/>
      <c r="J269" s="175"/>
    </row>
    <row r="270" s="2" customFormat="true" ht="18.75" hidden="false" customHeight="true" outlineLevel="0" collapsed="false">
      <c r="E270" s="433"/>
      <c r="H270" s="175"/>
      <c r="I270" s="175"/>
      <c r="J270" s="175"/>
    </row>
    <row r="271" s="2" customFormat="true" ht="18.75" hidden="false" customHeight="true" outlineLevel="0" collapsed="false">
      <c r="E271" s="433"/>
      <c r="H271" s="175"/>
      <c r="I271" s="175"/>
      <c r="J271" s="175"/>
    </row>
    <row r="272" s="2" customFormat="true" ht="18.75" hidden="false" customHeight="true" outlineLevel="0" collapsed="false">
      <c r="E272" s="433"/>
      <c r="H272" s="175"/>
      <c r="I272" s="175"/>
      <c r="J272" s="175"/>
    </row>
    <row r="273" s="2" customFormat="true" ht="18.75" hidden="false" customHeight="true" outlineLevel="0" collapsed="false">
      <c r="E273" s="433"/>
      <c r="H273" s="175"/>
      <c r="I273" s="175"/>
      <c r="J273" s="175"/>
    </row>
    <row r="274" s="2" customFormat="true" ht="18.75" hidden="false" customHeight="true" outlineLevel="0" collapsed="false">
      <c r="E274" s="433"/>
      <c r="H274" s="175"/>
      <c r="I274" s="175"/>
      <c r="J274" s="175"/>
    </row>
    <row r="275" s="2" customFormat="true" ht="18.75" hidden="false" customHeight="true" outlineLevel="0" collapsed="false">
      <c r="E275" s="433"/>
      <c r="H275" s="175"/>
      <c r="I275" s="175"/>
      <c r="J275" s="175"/>
    </row>
    <row r="276" s="2" customFormat="true" ht="18.75" hidden="false" customHeight="true" outlineLevel="0" collapsed="false">
      <c r="E276" s="433"/>
      <c r="H276" s="175"/>
      <c r="I276" s="175"/>
      <c r="J276" s="175"/>
    </row>
    <row r="277" s="2" customFormat="true" ht="18.75" hidden="false" customHeight="true" outlineLevel="0" collapsed="false">
      <c r="E277" s="433"/>
      <c r="H277" s="175"/>
      <c r="I277" s="175"/>
      <c r="J277" s="175"/>
    </row>
    <row r="278" s="2" customFormat="true" ht="18.75" hidden="false" customHeight="true" outlineLevel="0" collapsed="false">
      <c r="E278" s="433"/>
      <c r="H278" s="175"/>
      <c r="I278" s="175"/>
      <c r="J278" s="175"/>
    </row>
    <row r="279" s="2" customFormat="true" ht="18.75" hidden="false" customHeight="true" outlineLevel="0" collapsed="false">
      <c r="E279" s="433"/>
      <c r="H279" s="175"/>
      <c r="I279" s="175"/>
      <c r="J279" s="175"/>
    </row>
    <row r="280" s="2" customFormat="true" ht="18.75" hidden="false" customHeight="true" outlineLevel="0" collapsed="false">
      <c r="E280" s="433"/>
      <c r="H280" s="175"/>
      <c r="I280" s="175"/>
      <c r="J280" s="175"/>
    </row>
    <row r="281" s="2" customFormat="true" ht="18.75" hidden="false" customHeight="true" outlineLevel="0" collapsed="false">
      <c r="E281" s="433"/>
      <c r="H281" s="175"/>
      <c r="I281" s="175"/>
      <c r="J281" s="175"/>
    </row>
    <row r="282" s="2" customFormat="true" ht="18.75" hidden="false" customHeight="true" outlineLevel="0" collapsed="false">
      <c r="E282" s="433"/>
      <c r="H282" s="175"/>
      <c r="I282" s="175"/>
      <c r="J282" s="175"/>
    </row>
    <row r="283" s="2" customFormat="true" ht="18.75" hidden="false" customHeight="true" outlineLevel="0" collapsed="false">
      <c r="E283" s="433"/>
      <c r="H283" s="175"/>
      <c r="I283" s="175"/>
      <c r="J283" s="175"/>
    </row>
    <row r="284" s="2" customFormat="true" ht="18.75" hidden="false" customHeight="true" outlineLevel="0" collapsed="false">
      <c r="E284" s="433"/>
      <c r="H284" s="175"/>
      <c r="I284" s="175"/>
      <c r="J284" s="175"/>
    </row>
    <row r="285" s="2" customFormat="true" ht="18.75" hidden="false" customHeight="true" outlineLevel="0" collapsed="false">
      <c r="E285" s="433"/>
      <c r="H285" s="175"/>
      <c r="I285" s="175"/>
      <c r="J285" s="175"/>
    </row>
    <row r="286" s="2" customFormat="true" ht="18.75" hidden="false" customHeight="true" outlineLevel="0" collapsed="false">
      <c r="E286" s="433"/>
      <c r="H286" s="175"/>
      <c r="I286" s="175"/>
      <c r="J286" s="175"/>
    </row>
    <row r="287" s="2" customFormat="true" ht="18.75" hidden="false" customHeight="true" outlineLevel="0" collapsed="false">
      <c r="E287" s="433"/>
      <c r="H287" s="175"/>
      <c r="I287" s="175"/>
      <c r="J287" s="175"/>
    </row>
    <row r="288" s="2" customFormat="true" ht="18.75" hidden="false" customHeight="true" outlineLevel="0" collapsed="false">
      <c r="E288" s="433"/>
      <c r="H288" s="175"/>
      <c r="I288" s="175"/>
      <c r="J288" s="175"/>
    </row>
    <row r="289" s="2" customFormat="true" ht="18.75" hidden="false" customHeight="true" outlineLevel="0" collapsed="false">
      <c r="E289" s="433"/>
      <c r="H289" s="175"/>
      <c r="I289" s="175"/>
      <c r="J289" s="175"/>
    </row>
    <row r="290" s="2" customFormat="true" ht="18.75" hidden="false" customHeight="true" outlineLevel="0" collapsed="false">
      <c r="E290" s="433"/>
      <c r="H290" s="175"/>
      <c r="I290" s="175"/>
      <c r="J290" s="175"/>
    </row>
    <row r="291" s="2" customFormat="true" ht="18.75" hidden="false" customHeight="true" outlineLevel="0" collapsed="false">
      <c r="E291" s="433"/>
      <c r="H291" s="175"/>
      <c r="I291" s="175"/>
      <c r="J291" s="175"/>
    </row>
    <row r="292" s="2" customFormat="true" ht="18.75" hidden="false" customHeight="true" outlineLevel="0" collapsed="false">
      <c r="E292" s="433"/>
      <c r="H292" s="175"/>
      <c r="I292" s="175"/>
      <c r="J292" s="175"/>
    </row>
    <row r="293" s="2" customFormat="true" ht="18.75" hidden="false" customHeight="true" outlineLevel="0" collapsed="false">
      <c r="E293" s="433"/>
      <c r="H293" s="175"/>
      <c r="I293" s="175"/>
      <c r="J293" s="175"/>
    </row>
    <row r="294" s="2" customFormat="true" ht="18.75" hidden="false" customHeight="true" outlineLevel="0" collapsed="false">
      <c r="E294" s="433"/>
      <c r="H294" s="175"/>
      <c r="I294" s="175"/>
      <c r="J294" s="175"/>
    </row>
    <row r="295" s="2" customFormat="true" ht="18.75" hidden="false" customHeight="true" outlineLevel="0" collapsed="false">
      <c r="E295" s="433"/>
      <c r="H295" s="175"/>
      <c r="I295" s="175"/>
      <c r="J295" s="175"/>
    </row>
    <row r="296" s="2" customFormat="true" ht="18.75" hidden="false" customHeight="true" outlineLevel="0" collapsed="false">
      <c r="E296" s="433"/>
      <c r="H296" s="175"/>
      <c r="I296" s="175"/>
      <c r="J296" s="175"/>
    </row>
    <row r="297" s="2" customFormat="true" ht="18.75" hidden="false" customHeight="true" outlineLevel="0" collapsed="false">
      <c r="E297" s="433"/>
      <c r="H297" s="175"/>
      <c r="I297" s="175"/>
      <c r="J297" s="175"/>
    </row>
    <row r="298" s="2" customFormat="true" ht="18.75" hidden="false" customHeight="true" outlineLevel="0" collapsed="false">
      <c r="E298" s="433"/>
      <c r="H298" s="175"/>
      <c r="I298" s="175"/>
      <c r="J298" s="175"/>
    </row>
    <row r="299" s="2" customFormat="true" ht="18.75" hidden="false" customHeight="true" outlineLevel="0" collapsed="false">
      <c r="E299" s="433"/>
      <c r="H299" s="175"/>
      <c r="I299" s="175"/>
      <c r="J299" s="175"/>
    </row>
    <row r="300" s="2" customFormat="true" ht="18.75" hidden="false" customHeight="true" outlineLevel="0" collapsed="false">
      <c r="E300" s="433"/>
      <c r="H300" s="175"/>
      <c r="I300" s="175"/>
      <c r="J300" s="175"/>
    </row>
    <row r="301" s="2" customFormat="true" ht="18.75" hidden="false" customHeight="true" outlineLevel="0" collapsed="false">
      <c r="E301" s="433"/>
      <c r="H301" s="175"/>
      <c r="I301" s="175"/>
      <c r="J301" s="175"/>
    </row>
    <row r="302" s="2" customFormat="true" ht="18.75" hidden="false" customHeight="true" outlineLevel="0" collapsed="false">
      <c r="E302" s="433"/>
      <c r="H302" s="175"/>
      <c r="I302" s="175"/>
      <c r="J302" s="175"/>
    </row>
    <row r="303" s="2" customFormat="true" ht="18.75" hidden="false" customHeight="true" outlineLevel="0" collapsed="false">
      <c r="E303" s="433"/>
      <c r="H303" s="175"/>
      <c r="I303" s="175"/>
      <c r="J303" s="175"/>
    </row>
    <row r="304" s="2" customFormat="true" ht="18.75" hidden="false" customHeight="true" outlineLevel="0" collapsed="false">
      <c r="E304" s="433"/>
      <c r="H304" s="175"/>
      <c r="I304" s="175"/>
      <c r="J304" s="175"/>
    </row>
    <row r="305" s="2" customFormat="true" ht="18.75" hidden="false" customHeight="true" outlineLevel="0" collapsed="false">
      <c r="E305" s="433"/>
      <c r="H305" s="175"/>
      <c r="I305" s="175"/>
      <c r="J305" s="175"/>
    </row>
    <row r="306" s="2" customFormat="true" ht="18.75" hidden="false" customHeight="true" outlineLevel="0" collapsed="false">
      <c r="E306" s="433"/>
      <c r="H306" s="175"/>
      <c r="I306" s="175"/>
      <c r="J306" s="175"/>
    </row>
    <row r="307" s="2" customFormat="true" ht="18.75" hidden="false" customHeight="true" outlineLevel="0" collapsed="false">
      <c r="E307" s="433"/>
      <c r="H307" s="175"/>
      <c r="I307" s="175"/>
      <c r="J307" s="175"/>
    </row>
    <row r="308" s="2" customFormat="true" ht="18.75" hidden="false" customHeight="true" outlineLevel="0" collapsed="false">
      <c r="E308" s="433"/>
      <c r="H308" s="175"/>
      <c r="I308" s="175"/>
      <c r="J308" s="175"/>
    </row>
    <row r="309" s="2" customFormat="true" ht="18.75" hidden="false" customHeight="true" outlineLevel="0" collapsed="false">
      <c r="E309" s="433"/>
      <c r="H309" s="175"/>
      <c r="I309" s="175"/>
      <c r="J309" s="175"/>
    </row>
    <row r="310" s="2" customFormat="true" ht="18.75" hidden="false" customHeight="true" outlineLevel="0" collapsed="false">
      <c r="E310" s="433"/>
      <c r="H310" s="175"/>
      <c r="I310" s="175"/>
      <c r="J310" s="175"/>
    </row>
    <row r="311" s="2" customFormat="true" ht="18.75" hidden="false" customHeight="true" outlineLevel="0" collapsed="false">
      <c r="E311" s="433"/>
      <c r="H311" s="175"/>
      <c r="I311" s="175"/>
      <c r="J311" s="175"/>
    </row>
    <row r="312" s="2" customFormat="true" ht="18.75" hidden="false" customHeight="true" outlineLevel="0" collapsed="false">
      <c r="E312" s="433"/>
      <c r="H312" s="175"/>
      <c r="I312" s="175"/>
      <c r="J312" s="175"/>
    </row>
    <row r="313" s="2" customFormat="true" ht="18.75" hidden="false" customHeight="true" outlineLevel="0" collapsed="false">
      <c r="E313" s="433"/>
      <c r="H313" s="175"/>
      <c r="I313" s="175"/>
      <c r="J313" s="175"/>
    </row>
    <row r="314" s="2" customFormat="true" ht="18.75" hidden="false" customHeight="true" outlineLevel="0" collapsed="false">
      <c r="E314" s="433"/>
      <c r="H314" s="175"/>
      <c r="I314" s="175"/>
      <c r="J314" s="175"/>
    </row>
    <row r="315" s="2" customFormat="true" ht="18.75" hidden="false" customHeight="true" outlineLevel="0" collapsed="false">
      <c r="E315" s="433"/>
      <c r="H315" s="175"/>
      <c r="I315" s="175"/>
      <c r="J315" s="175"/>
    </row>
    <row r="316" s="2" customFormat="true" ht="18.75" hidden="false" customHeight="true" outlineLevel="0" collapsed="false">
      <c r="E316" s="433"/>
      <c r="H316" s="175"/>
      <c r="I316" s="175"/>
      <c r="J316" s="175"/>
    </row>
    <row r="317" s="2" customFormat="true" ht="18.75" hidden="false" customHeight="true" outlineLevel="0" collapsed="false">
      <c r="E317" s="433"/>
      <c r="H317" s="175"/>
      <c r="I317" s="175"/>
      <c r="J317" s="175"/>
    </row>
    <row r="318" s="2" customFormat="true" ht="18.75" hidden="false" customHeight="true" outlineLevel="0" collapsed="false">
      <c r="E318" s="433"/>
      <c r="H318" s="175"/>
      <c r="I318" s="175"/>
      <c r="J318" s="175"/>
    </row>
    <row r="319" s="2" customFormat="true" ht="18.75" hidden="false" customHeight="true" outlineLevel="0" collapsed="false">
      <c r="E319" s="433"/>
      <c r="H319" s="175"/>
      <c r="I319" s="175"/>
      <c r="J319" s="175"/>
    </row>
    <row r="320" s="2" customFormat="true" ht="18.75" hidden="false" customHeight="true" outlineLevel="0" collapsed="false">
      <c r="E320" s="433"/>
      <c r="H320" s="175"/>
      <c r="I320" s="175"/>
      <c r="J320" s="175"/>
    </row>
    <row r="321" s="2" customFormat="true" ht="18.75" hidden="false" customHeight="true" outlineLevel="0" collapsed="false">
      <c r="E321" s="433"/>
      <c r="H321" s="175"/>
      <c r="I321" s="175"/>
      <c r="J321" s="175"/>
    </row>
    <row r="322" s="2" customFormat="true" ht="18.75" hidden="false" customHeight="true" outlineLevel="0" collapsed="false">
      <c r="E322" s="433"/>
      <c r="H322" s="175"/>
      <c r="I322" s="175"/>
      <c r="J322" s="175"/>
    </row>
    <row r="323" s="2" customFormat="true" ht="18.75" hidden="false" customHeight="true" outlineLevel="0" collapsed="false">
      <c r="E323" s="433"/>
      <c r="H323" s="175"/>
      <c r="I323" s="175"/>
      <c r="J323" s="175"/>
    </row>
    <row r="324" s="2" customFormat="true" ht="18.75" hidden="false" customHeight="true" outlineLevel="0" collapsed="false">
      <c r="E324" s="433"/>
      <c r="H324" s="175"/>
      <c r="I324" s="175"/>
      <c r="J324" s="175"/>
    </row>
    <row r="325" s="2" customFormat="true" ht="18.75" hidden="false" customHeight="true" outlineLevel="0" collapsed="false">
      <c r="E325" s="433"/>
      <c r="H325" s="175"/>
      <c r="I325" s="175"/>
      <c r="J325" s="175"/>
    </row>
    <row r="326" s="2" customFormat="true" ht="18.75" hidden="false" customHeight="true" outlineLevel="0" collapsed="false">
      <c r="E326" s="433"/>
      <c r="H326" s="175"/>
      <c r="I326" s="175"/>
      <c r="J326" s="175"/>
    </row>
    <row r="327" s="2" customFormat="true" ht="18.75" hidden="false" customHeight="true" outlineLevel="0" collapsed="false">
      <c r="E327" s="433"/>
      <c r="H327" s="175"/>
      <c r="I327" s="175"/>
      <c r="J327" s="175"/>
    </row>
    <row r="328" s="2" customFormat="true" ht="18.75" hidden="false" customHeight="true" outlineLevel="0" collapsed="false">
      <c r="E328" s="433"/>
      <c r="H328" s="175"/>
      <c r="I328" s="175"/>
      <c r="J328" s="175"/>
    </row>
    <row r="329" s="2" customFormat="true" ht="18.75" hidden="false" customHeight="true" outlineLevel="0" collapsed="false">
      <c r="E329" s="433"/>
      <c r="H329" s="175"/>
      <c r="I329" s="175"/>
      <c r="J329" s="175"/>
    </row>
    <row r="330" s="2" customFormat="true" ht="18.75" hidden="false" customHeight="true" outlineLevel="0" collapsed="false">
      <c r="E330" s="433"/>
      <c r="H330" s="175"/>
      <c r="I330" s="175"/>
      <c r="J330" s="175"/>
    </row>
    <row r="331" s="2" customFormat="true" ht="18.75" hidden="false" customHeight="true" outlineLevel="0" collapsed="false">
      <c r="E331" s="433"/>
      <c r="H331" s="175"/>
      <c r="I331" s="175"/>
      <c r="J331" s="175"/>
    </row>
    <row r="332" s="2" customFormat="true" ht="18.75" hidden="false" customHeight="true" outlineLevel="0" collapsed="false">
      <c r="E332" s="433"/>
      <c r="H332" s="175"/>
      <c r="I332" s="175"/>
      <c r="J332" s="175"/>
    </row>
    <row r="333" s="2" customFormat="true" ht="18.75" hidden="false" customHeight="true" outlineLevel="0" collapsed="false">
      <c r="E333" s="433"/>
      <c r="H333" s="175"/>
      <c r="I333" s="175"/>
      <c r="J333" s="175"/>
    </row>
    <row r="334" s="2" customFormat="true" ht="18.75" hidden="false" customHeight="true" outlineLevel="0" collapsed="false">
      <c r="E334" s="433"/>
      <c r="H334" s="175"/>
      <c r="I334" s="175"/>
      <c r="J334" s="175"/>
    </row>
    <row r="335" s="2" customFormat="true" ht="18.75" hidden="false" customHeight="true" outlineLevel="0" collapsed="false">
      <c r="E335" s="433"/>
      <c r="H335" s="175"/>
      <c r="I335" s="175"/>
      <c r="J335" s="175"/>
    </row>
    <row r="336" s="2" customFormat="true" ht="18.75" hidden="false" customHeight="true" outlineLevel="0" collapsed="false">
      <c r="E336" s="433"/>
      <c r="H336" s="175"/>
      <c r="I336" s="175"/>
      <c r="J336" s="175"/>
    </row>
    <row r="337" s="2" customFormat="true" ht="18.75" hidden="false" customHeight="true" outlineLevel="0" collapsed="false">
      <c r="E337" s="433"/>
      <c r="H337" s="175"/>
      <c r="I337" s="175"/>
      <c r="J337" s="175"/>
    </row>
    <row r="338" s="2" customFormat="true" ht="18.75" hidden="false" customHeight="true" outlineLevel="0" collapsed="false">
      <c r="E338" s="433"/>
      <c r="H338" s="175"/>
      <c r="I338" s="175"/>
      <c r="J338" s="175"/>
    </row>
    <row r="339" s="2" customFormat="true" ht="18.75" hidden="false" customHeight="true" outlineLevel="0" collapsed="false">
      <c r="E339" s="433"/>
      <c r="H339" s="175"/>
      <c r="I339" s="175"/>
      <c r="J339" s="175"/>
    </row>
    <row r="340" s="2" customFormat="true" ht="18.75" hidden="false" customHeight="true" outlineLevel="0" collapsed="false">
      <c r="E340" s="433"/>
      <c r="H340" s="175"/>
      <c r="I340" s="175"/>
      <c r="J340" s="175"/>
    </row>
    <row r="341" s="2" customFormat="true" ht="18.75" hidden="false" customHeight="true" outlineLevel="0" collapsed="false">
      <c r="E341" s="433"/>
      <c r="H341" s="175"/>
      <c r="I341" s="175"/>
      <c r="J341" s="175"/>
    </row>
    <row r="342" s="2" customFormat="true" ht="18.75" hidden="false" customHeight="true" outlineLevel="0" collapsed="false">
      <c r="E342" s="433"/>
      <c r="H342" s="175"/>
      <c r="I342" s="175"/>
      <c r="J342" s="175"/>
    </row>
    <row r="343" s="2" customFormat="true" ht="18.75" hidden="false" customHeight="true" outlineLevel="0" collapsed="false">
      <c r="E343" s="433"/>
      <c r="H343" s="175"/>
      <c r="I343" s="175"/>
      <c r="J343" s="175"/>
    </row>
    <row r="344" s="2" customFormat="true" ht="18.75" hidden="false" customHeight="true" outlineLevel="0" collapsed="false">
      <c r="E344" s="433"/>
      <c r="H344" s="175"/>
      <c r="I344" s="175"/>
      <c r="J344" s="175"/>
    </row>
    <row r="345" s="2" customFormat="true" ht="18.75" hidden="false" customHeight="true" outlineLevel="0" collapsed="false">
      <c r="E345" s="433"/>
      <c r="H345" s="175"/>
      <c r="I345" s="175"/>
      <c r="J345" s="175"/>
    </row>
    <row r="346" s="2" customFormat="true" ht="18.75" hidden="false" customHeight="true" outlineLevel="0" collapsed="false">
      <c r="E346" s="433"/>
      <c r="H346" s="175"/>
      <c r="I346" s="175"/>
      <c r="J346" s="175"/>
    </row>
    <row r="347" s="2" customFormat="true" ht="18.75" hidden="false" customHeight="true" outlineLevel="0" collapsed="false">
      <c r="E347" s="433"/>
      <c r="H347" s="175"/>
      <c r="I347" s="175"/>
      <c r="J347" s="175"/>
    </row>
    <row r="348" s="2" customFormat="true" ht="18.75" hidden="false" customHeight="true" outlineLevel="0" collapsed="false">
      <c r="E348" s="433"/>
      <c r="H348" s="175"/>
      <c r="I348" s="175"/>
      <c r="J348" s="175"/>
    </row>
    <row r="349" s="2" customFormat="true" ht="18.75" hidden="false" customHeight="true" outlineLevel="0" collapsed="false">
      <c r="E349" s="433"/>
      <c r="H349" s="175"/>
      <c r="I349" s="175"/>
      <c r="J349" s="175"/>
    </row>
    <row r="350" s="2" customFormat="true" ht="18.75" hidden="false" customHeight="true" outlineLevel="0" collapsed="false">
      <c r="E350" s="433"/>
      <c r="H350" s="175"/>
      <c r="I350" s="175"/>
      <c r="J350" s="175"/>
    </row>
    <row r="351" s="2" customFormat="true" ht="18.75" hidden="false" customHeight="true" outlineLevel="0" collapsed="false">
      <c r="E351" s="433"/>
      <c r="H351" s="175"/>
      <c r="I351" s="175"/>
      <c r="J351" s="175"/>
    </row>
    <row r="352" s="2" customFormat="true" ht="18.75" hidden="false" customHeight="true" outlineLevel="0" collapsed="false">
      <c r="E352" s="433"/>
      <c r="H352" s="175"/>
      <c r="I352" s="175"/>
      <c r="J352" s="175"/>
    </row>
    <row r="353" s="2" customFormat="true" ht="18.75" hidden="false" customHeight="true" outlineLevel="0" collapsed="false">
      <c r="E353" s="433"/>
      <c r="H353" s="175"/>
      <c r="I353" s="175"/>
      <c r="J353" s="175"/>
    </row>
    <row r="354" s="2" customFormat="true" ht="18.75" hidden="false" customHeight="true" outlineLevel="0" collapsed="false">
      <c r="E354" s="433"/>
      <c r="H354" s="175"/>
      <c r="I354" s="175"/>
      <c r="J354" s="175"/>
    </row>
    <row r="355" s="2" customFormat="true" ht="18.75" hidden="false" customHeight="true" outlineLevel="0" collapsed="false">
      <c r="E355" s="433"/>
      <c r="H355" s="175"/>
      <c r="I355" s="175"/>
      <c r="J355" s="175"/>
    </row>
    <row r="356" s="2" customFormat="true" ht="18.75" hidden="false" customHeight="true" outlineLevel="0" collapsed="false">
      <c r="E356" s="433"/>
      <c r="H356" s="175"/>
      <c r="I356" s="175"/>
      <c r="J356" s="175"/>
    </row>
    <row r="357" s="2" customFormat="true" ht="18.75" hidden="false" customHeight="true" outlineLevel="0" collapsed="false">
      <c r="E357" s="433"/>
      <c r="H357" s="175"/>
      <c r="I357" s="175"/>
      <c r="J357" s="175"/>
    </row>
    <row r="358" s="2" customFormat="true" ht="18.75" hidden="false" customHeight="true" outlineLevel="0" collapsed="false">
      <c r="E358" s="433"/>
      <c r="H358" s="175"/>
      <c r="I358" s="175"/>
      <c r="J358" s="175"/>
    </row>
    <row r="359" s="2" customFormat="true" ht="18.75" hidden="false" customHeight="true" outlineLevel="0" collapsed="false">
      <c r="E359" s="433"/>
      <c r="H359" s="175"/>
      <c r="I359" s="175"/>
      <c r="J359" s="175"/>
    </row>
    <row r="360" s="2" customFormat="true" ht="18.75" hidden="false" customHeight="true" outlineLevel="0" collapsed="false">
      <c r="E360" s="433"/>
      <c r="H360" s="175"/>
      <c r="I360" s="175"/>
      <c r="J360" s="175"/>
    </row>
    <row r="361" s="2" customFormat="true" ht="18.75" hidden="false" customHeight="true" outlineLevel="0" collapsed="false">
      <c r="E361" s="433"/>
      <c r="H361" s="175"/>
      <c r="I361" s="175"/>
      <c r="J361" s="175"/>
    </row>
    <row r="362" s="2" customFormat="true" ht="18.75" hidden="false" customHeight="true" outlineLevel="0" collapsed="false">
      <c r="E362" s="433"/>
      <c r="H362" s="175"/>
      <c r="I362" s="175"/>
      <c r="J362" s="175"/>
    </row>
    <row r="363" s="2" customFormat="true" ht="18.75" hidden="false" customHeight="true" outlineLevel="0" collapsed="false">
      <c r="E363" s="433"/>
      <c r="H363" s="175"/>
      <c r="I363" s="175"/>
      <c r="J363" s="175"/>
    </row>
    <row r="364" s="2" customFormat="true" ht="18.75" hidden="false" customHeight="true" outlineLevel="0" collapsed="false">
      <c r="E364" s="433"/>
      <c r="H364" s="175"/>
      <c r="I364" s="175"/>
      <c r="J364" s="175"/>
    </row>
    <row r="365" s="2" customFormat="true" ht="18.75" hidden="false" customHeight="true" outlineLevel="0" collapsed="false">
      <c r="E365" s="433"/>
      <c r="H365" s="175"/>
      <c r="I365" s="175"/>
      <c r="J365" s="175"/>
    </row>
    <row r="366" s="2" customFormat="true" ht="18.75" hidden="false" customHeight="true" outlineLevel="0" collapsed="false">
      <c r="E366" s="433"/>
      <c r="H366" s="175"/>
      <c r="I366" s="175"/>
      <c r="J366" s="175"/>
    </row>
    <row r="367" s="2" customFormat="true" ht="18.75" hidden="false" customHeight="true" outlineLevel="0" collapsed="false">
      <c r="E367" s="433"/>
      <c r="H367" s="175"/>
      <c r="I367" s="175"/>
      <c r="J367" s="175"/>
    </row>
    <row r="368" s="2" customFormat="true" ht="18.75" hidden="false" customHeight="true" outlineLevel="0" collapsed="false">
      <c r="E368" s="433"/>
      <c r="H368" s="175"/>
      <c r="I368" s="175"/>
      <c r="J368" s="175"/>
    </row>
    <row r="369" s="2" customFormat="true" ht="18.75" hidden="false" customHeight="true" outlineLevel="0" collapsed="false">
      <c r="E369" s="433"/>
      <c r="H369" s="175"/>
      <c r="I369" s="175"/>
      <c r="J369" s="175"/>
    </row>
    <row r="370" s="2" customFormat="true" ht="18.75" hidden="false" customHeight="true" outlineLevel="0" collapsed="false">
      <c r="E370" s="433"/>
      <c r="H370" s="175"/>
      <c r="I370" s="175"/>
      <c r="J370" s="175"/>
    </row>
    <row r="371" s="2" customFormat="true" ht="18.75" hidden="false" customHeight="true" outlineLevel="0" collapsed="false">
      <c r="E371" s="433"/>
      <c r="H371" s="175"/>
      <c r="I371" s="175"/>
      <c r="J371" s="175"/>
    </row>
    <row r="372" s="2" customFormat="true" ht="18.75" hidden="false" customHeight="true" outlineLevel="0" collapsed="false">
      <c r="E372" s="433"/>
      <c r="H372" s="175"/>
      <c r="I372" s="175"/>
      <c r="J372" s="175"/>
    </row>
    <row r="373" s="2" customFormat="true" ht="18.75" hidden="false" customHeight="true" outlineLevel="0" collapsed="false">
      <c r="E373" s="433"/>
      <c r="H373" s="175"/>
      <c r="I373" s="175"/>
      <c r="J373" s="175"/>
    </row>
    <row r="374" s="2" customFormat="true" ht="18.75" hidden="false" customHeight="true" outlineLevel="0" collapsed="false">
      <c r="E374" s="433"/>
      <c r="H374" s="175"/>
      <c r="I374" s="175"/>
      <c r="J374" s="175"/>
    </row>
    <row r="375" s="2" customFormat="true" ht="18.75" hidden="false" customHeight="true" outlineLevel="0" collapsed="false">
      <c r="E375" s="433"/>
      <c r="H375" s="175"/>
      <c r="I375" s="175"/>
      <c r="J375" s="175"/>
    </row>
    <row r="376" s="2" customFormat="true" ht="18.75" hidden="false" customHeight="true" outlineLevel="0" collapsed="false">
      <c r="E376" s="433"/>
      <c r="H376" s="175"/>
      <c r="I376" s="175"/>
      <c r="J376" s="175"/>
    </row>
    <row r="377" s="2" customFormat="true" ht="18.75" hidden="false" customHeight="true" outlineLevel="0" collapsed="false">
      <c r="E377" s="433"/>
      <c r="H377" s="175"/>
      <c r="I377" s="175"/>
      <c r="J377" s="175"/>
    </row>
    <row r="378" s="2" customFormat="true" ht="18.75" hidden="false" customHeight="true" outlineLevel="0" collapsed="false">
      <c r="E378" s="433"/>
      <c r="H378" s="175"/>
      <c r="I378" s="175"/>
      <c r="J378" s="175"/>
    </row>
    <row r="379" s="2" customFormat="true" ht="18.75" hidden="false" customHeight="true" outlineLevel="0" collapsed="false">
      <c r="E379" s="433"/>
      <c r="H379" s="175"/>
      <c r="I379" s="175"/>
      <c r="J379" s="175"/>
    </row>
    <row r="380" s="2" customFormat="true" ht="18.75" hidden="false" customHeight="true" outlineLevel="0" collapsed="false">
      <c r="E380" s="433"/>
      <c r="H380" s="175"/>
      <c r="I380" s="175"/>
      <c r="J380" s="175"/>
    </row>
    <row r="381" s="2" customFormat="true" ht="18.75" hidden="false" customHeight="true" outlineLevel="0" collapsed="false">
      <c r="E381" s="433"/>
      <c r="H381" s="175"/>
      <c r="I381" s="175"/>
      <c r="J381" s="175"/>
    </row>
    <row r="382" s="2" customFormat="true" ht="18.75" hidden="false" customHeight="true" outlineLevel="0" collapsed="false">
      <c r="E382" s="433"/>
      <c r="H382" s="175"/>
      <c r="I382" s="175"/>
      <c r="J382" s="175"/>
    </row>
    <row r="383" s="2" customFormat="true" ht="18.75" hidden="false" customHeight="true" outlineLevel="0" collapsed="false">
      <c r="E383" s="433"/>
      <c r="H383" s="175"/>
      <c r="I383" s="175"/>
      <c r="J383" s="175"/>
    </row>
    <row r="384" s="2" customFormat="true" ht="18.75" hidden="false" customHeight="true" outlineLevel="0" collapsed="false">
      <c r="E384" s="433"/>
      <c r="H384" s="175"/>
      <c r="I384" s="175"/>
      <c r="J384" s="175"/>
    </row>
    <row r="385" s="2" customFormat="true" ht="18.75" hidden="false" customHeight="true" outlineLevel="0" collapsed="false">
      <c r="E385" s="433"/>
      <c r="H385" s="175"/>
      <c r="I385" s="175"/>
      <c r="J385" s="175"/>
    </row>
    <row r="386" s="2" customFormat="true" ht="18.75" hidden="false" customHeight="true" outlineLevel="0" collapsed="false">
      <c r="E386" s="433"/>
      <c r="H386" s="175"/>
      <c r="I386" s="175"/>
      <c r="J386" s="175"/>
    </row>
    <row r="387" s="2" customFormat="true" ht="18.75" hidden="false" customHeight="true" outlineLevel="0" collapsed="false">
      <c r="E387" s="433"/>
      <c r="H387" s="175"/>
      <c r="I387" s="175"/>
      <c r="J387" s="175"/>
    </row>
    <row r="388" s="2" customFormat="true" ht="18.75" hidden="false" customHeight="true" outlineLevel="0" collapsed="false">
      <c r="E388" s="433"/>
      <c r="H388" s="175"/>
      <c r="I388" s="175"/>
      <c r="J388" s="175"/>
    </row>
    <row r="389" s="2" customFormat="true" ht="18.75" hidden="false" customHeight="true" outlineLevel="0" collapsed="false">
      <c r="E389" s="433"/>
      <c r="H389" s="175"/>
      <c r="I389" s="175"/>
      <c r="J389" s="175"/>
    </row>
    <row r="390" s="2" customFormat="true" ht="18.75" hidden="false" customHeight="true" outlineLevel="0" collapsed="false">
      <c r="E390" s="433"/>
      <c r="H390" s="175"/>
      <c r="I390" s="175"/>
      <c r="J390" s="175"/>
    </row>
    <row r="391" s="2" customFormat="true" ht="18.75" hidden="false" customHeight="true" outlineLevel="0" collapsed="false">
      <c r="E391" s="433"/>
      <c r="H391" s="175"/>
      <c r="I391" s="175"/>
      <c r="J391" s="175"/>
    </row>
    <row r="392" s="2" customFormat="true" ht="18.75" hidden="false" customHeight="true" outlineLevel="0" collapsed="false">
      <c r="E392" s="433"/>
      <c r="H392" s="175"/>
      <c r="I392" s="175"/>
      <c r="J392" s="175"/>
    </row>
    <row r="393" s="2" customFormat="true" ht="18.75" hidden="false" customHeight="true" outlineLevel="0" collapsed="false">
      <c r="E393" s="433"/>
      <c r="H393" s="175"/>
      <c r="I393" s="175"/>
      <c r="J393" s="175"/>
    </row>
    <row r="394" s="2" customFormat="true" ht="18.75" hidden="false" customHeight="true" outlineLevel="0" collapsed="false">
      <c r="E394" s="433"/>
      <c r="H394" s="175"/>
      <c r="I394" s="175"/>
      <c r="J394" s="175"/>
    </row>
    <row r="395" s="2" customFormat="true" ht="18.75" hidden="false" customHeight="true" outlineLevel="0" collapsed="false">
      <c r="E395" s="433"/>
      <c r="H395" s="175"/>
      <c r="I395" s="175"/>
      <c r="J395" s="175"/>
    </row>
    <row r="396" s="2" customFormat="true" ht="18.75" hidden="false" customHeight="true" outlineLevel="0" collapsed="false">
      <c r="E396" s="433"/>
      <c r="H396" s="175"/>
      <c r="I396" s="175"/>
      <c r="J396" s="175"/>
    </row>
    <row r="397" s="2" customFormat="true" ht="18.75" hidden="false" customHeight="true" outlineLevel="0" collapsed="false">
      <c r="E397" s="433"/>
      <c r="H397" s="175"/>
      <c r="I397" s="175"/>
      <c r="J397" s="175"/>
    </row>
    <row r="398" s="2" customFormat="true" ht="18.75" hidden="false" customHeight="true" outlineLevel="0" collapsed="false">
      <c r="E398" s="433"/>
      <c r="H398" s="175"/>
      <c r="I398" s="175"/>
      <c r="J398" s="175"/>
    </row>
    <row r="399" s="2" customFormat="true" ht="18.75" hidden="false" customHeight="true" outlineLevel="0" collapsed="false">
      <c r="E399" s="433"/>
      <c r="H399" s="175"/>
      <c r="I399" s="175"/>
      <c r="J399" s="175"/>
    </row>
    <row r="400" s="2" customFormat="true" ht="18.75" hidden="false" customHeight="true" outlineLevel="0" collapsed="false">
      <c r="E400" s="433"/>
      <c r="H400" s="175"/>
      <c r="I400" s="175"/>
      <c r="J400" s="175"/>
    </row>
    <row r="401" s="2" customFormat="true" ht="18.75" hidden="false" customHeight="true" outlineLevel="0" collapsed="false">
      <c r="E401" s="433"/>
      <c r="H401" s="175"/>
      <c r="I401" s="175"/>
      <c r="J401" s="175"/>
    </row>
    <row r="402" s="2" customFormat="true" ht="18.75" hidden="false" customHeight="true" outlineLevel="0" collapsed="false">
      <c r="E402" s="433"/>
      <c r="H402" s="175"/>
      <c r="I402" s="175"/>
      <c r="J402" s="175"/>
    </row>
    <row r="403" s="2" customFormat="true" ht="18.75" hidden="false" customHeight="true" outlineLevel="0" collapsed="false">
      <c r="E403" s="433"/>
      <c r="H403" s="175"/>
      <c r="I403" s="175"/>
      <c r="J403" s="175"/>
    </row>
    <row r="404" s="2" customFormat="true" ht="18.75" hidden="false" customHeight="true" outlineLevel="0" collapsed="false">
      <c r="E404" s="433"/>
      <c r="H404" s="175"/>
      <c r="I404" s="175"/>
      <c r="J404" s="175"/>
    </row>
    <row r="405" s="2" customFormat="true" ht="18.75" hidden="false" customHeight="true" outlineLevel="0" collapsed="false">
      <c r="E405" s="433"/>
      <c r="H405" s="175"/>
      <c r="I405" s="175"/>
      <c r="J405" s="175"/>
    </row>
    <row r="406" s="2" customFormat="true" ht="18.75" hidden="false" customHeight="true" outlineLevel="0" collapsed="false">
      <c r="E406" s="433"/>
      <c r="H406" s="175"/>
      <c r="I406" s="175"/>
      <c r="J406" s="175"/>
    </row>
    <row r="407" s="2" customFormat="true" ht="18.75" hidden="false" customHeight="true" outlineLevel="0" collapsed="false">
      <c r="E407" s="433"/>
      <c r="H407" s="175"/>
      <c r="I407" s="175"/>
      <c r="J407" s="175"/>
    </row>
    <row r="408" s="2" customFormat="true" ht="18.75" hidden="false" customHeight="true" outlineLevel="0" collapsed="false">
      <c r="E408" s="433"/>
      <c r="H408" s="175"/>
      <c r="I408" s="175"/>
      <c r="J408" s="175"/>
    </row>
    <row r="409" s="2" customFormat="true" ht="18.75" hidden="false" customHeight="true" outlineLevel="0" collapsed="false">
      <c r="E409" s="433"/>
      <c r="H409" s="175"/>
      <c r="I409" s="175"/>
      <c r="J409" s="175"/>
    </row>
    <row r="410" s="2" customFormat="true" ht="18.75" hidden="false" customHeight="true" outlineLevel="0" collapsed="false">
      <c r="E410" s="433"/>
      <c r="H410" s="175"/>
      <c r="I410" s="175"/>
      <c r="J410" s="175"/>
    </row>
    <row r="411" s="2" customFormat="true" ht="18.75" hidden="false" customHeight="true" outlineLevel="0" collapsed="false">
      <c r="E411" s="433"/>
      <c r="H411" s="175"/>
      <c r="I411" s="175"/>
      <c r="J411" s="175"/>
    </row>
    <row r="412" s="2" customFormat="true" ht="18.75" hidden="false" customHeight="true" outlineLevel="0" collapsed="false">
      <c r="E412" s="433"/>
      <c r="H412" s="175"/>
      <c r="I412" s="175"/>
      <c r="J412" s="175"/>
    </row>
    <row r="413" s="2" customFormat="true" ht="18.75" hidden="false" customHeight="true" outlineLevel="0" collapsed="false">
      <c r="E413" s="433"/>
      <c r="H413" s="175"/>
      <c r="I413" s="175"/>
      <c r="J413" s="175"/>
    </row>
    <row r="414" s="2" customFormat="true" ht="18.75" hidden="false" customHeight="true" outlineLevel="0" collapsed="false">
      <c r="E414" s="433"/>
      <c r="H414" s="175"/>
      <c r="I414" s="175"/>
      <c r="J414" s="175"/>
    </row>
    <row r="415" s="2" customFormat="true" ht="18.75" hidden="false" customHeight="true" outlineLevel="0" collapsed="false">
      <c r="E415" s="433"/>
      <c r="H415" s="175"/>
      <c r="I415" s="175"/>
      <c r="J415" s="175"/>
    </row>
    <row r="416" s="2" customFormat="true" ht="18.75" hidden="false" customHeight="true" outlineLevel="0" collapsed="false">
      <c r="E416" s="433"/>
      <c r="H416" s="175"/>
      <c r="I416" s="175"/>
      <c r="J416" s="175"/>
    </row>
    <row r="417" s="2" customFormat="true" ht="18.75" hidden="false" customHeight="true" outlineLevel="0" collapsed="false">
      <c r="E417" s="433"/>
      <c r="H417" s="175"/>
      <c r="I417" s="175"/>
      <c r="J417" s="175"/>
    </row>
    <row r="418" s="2" customFormat="true" ht="18.75" hidden="false" customHeight="true" outlineLevel="0" collapsed="false">
      <c r="E418" s="433"/>
      <c r="H418" s="175"/>
      <c r="I418" s="175"/>
      <c r="J418" s="175"/>
    </row>
    <row r="419" s="2" customFormat="true" ht="18.75" hidden="false" customHeight="true" outlineLevel="0" collapsed="false">
      <c r="E419" s="433"/>
      <c r="H419" s="175"/>
      <c r="I419" s="175"/>
      <c r="J419" s="175"/>
    </row>
    <row r="420" s="2" customFormat="true" ht="18.75" hidden="false" customHeight="true" outlineLevel="0" collapsed="false">
      <c r="E420" s="433"/>
      <c r="H420" s="175"/>
      <c r="I420" s="175"/>
      <c r="J420" s="175"/>
    </row>
    <row r="421" s="2" customFormat="true" ht="18.75" hidden="false" customHeight="true" outlineLevel="0" collapsed="false">
      <c r="E421" s="433"/>
      <c r="H421" s="175"/>
      <c r="I421" s="175"/>
      <c r="J421" s="175"/>
    </row>
    <row r="422" s="2" customFormat="true" ht="18.75" hidden="false" customHeight="true" outlineLevel="0" collapsed="false">
      <c r="E422" s="433"/>
      <c r="H422" s="175"/>
      <c r="I422" s="175"/>
      <c r="J422" s="175"/>
    </row>
    <row r="423" s="2" customFormat="true" ht="18.75" hidden="false" customHeight="true" outlineLevel="0" collapsed="false">
      <c r="E423" s="433"/>
      <c r="H423" s="175"/>
      <c r="I423" s="175"/>
      <c r="J423" s="175"/>
    </row>
    <row r="424" s="2" customFormat="true" ht="18.75" hidden="false" customHeight="true" outlineLevel="0" collapsed="false">
      <c r="E424" s="433"/>
      <c r="H424" s="175"/>
      <c r="I424" s="175"/>
      <c r="J424" s="175"/>
    </row>
    <row r="425" s="2" customFormat="true" ht="18.75" hidden="false" customHeight="true" outlineLevel="0" collapsed="false">
      <c r="E425" s="433"/>
      <c r="H425" s="175"/>
      <c r="I425" s="175"/>
      <c r="J425" s="175"/>
    </row>
    <row r="426" s="2" customFormat="true" ht="18.75" hidden="false" customHeight="true" outlineLevel="0" collapsed="false">
      <c r="E426" s="433"/>
      <c r="H426" s="175"/>
      <c r="I426" s="175"/>
      <c r="J426" s="175"/>
    </row>
    <row r="427" s="2" customFormat="true" ht="18.75" hidden="false" customHeight="true" outlineLevel="0" collapsed="false">
      <c r="E427" s="433"/>
      <c r="H427" s="175"/>
      <c r="I427" s="175"/>
      <c r="J427" s="175"/>
    </row>
    <row r="428" s="2" customFormat="true" ht="18.75" hidden="false" customHeight="true" outlineLevel="0" collapsed="false">
      <c r="E428" s="433"/>
      <c r="H428" s="175"/>
      <c r="I428" s="175"/>
      <c r="J428" s="175"/>
    </row>
    <row r="429" s="2" customFormat="true" ht="18.75" hidden="false" customHeight="true" outlineLevel="0" collapsed="false">
      <c r="E429" s="433"/>
      <c r="H429" s="175"/>
      <c r="I429" s="175"/>
      <c r="J429" s="175"/>
    </row>
    <row r="430" s="2" customFormat="true" ht="18.75" hidden="false" customHeight="true" outlineLevel="0" collapsed="false">
      <c r="E430" s="433"/>
      <c r="H430" s="175"/>
      <c r="I430" s="175"/>
      <c r="J430" s="175"/>
    </row>
    <row r="431" s="2" customFormat="true" ht="18.75" hidden="false" customHeight="true" outlineLevel="0" collapsed="false">
      <c r="E431" s="433"/>
      <c r="H431" s="175"/>
      <c r="I431" s="175"/>
      <c r="J431" s="175"/>
    </row>
    <row r="432" s="2" customFormat="true" ht="18.75" hidden="false" customHeight="true" outlineLevel="0" collapsed="false">
      <c r="E432" s="433"/>
      <c r="H432" s="175"/>
      <c r="I432" s="175"/>
      <c r="J432" s="175"/>
    </row>
    <row r="433" s="2" customFormat="true" ht="18.75" hidden="false" customHeight="true" outlineLevel="0" collapsed="false">
      <c r="E433" s="433"/>
      <c r="H433" s="175"/>
      <c r="I433" s="175"/>
      <c r="J433" s="175"/>
    </row>
    <row r="434" s="2" customFormat="true" ht="18.75" hidden="false" customHeight="true" outlineLevel="0" collapsed="false">
      <c r="E434" s="433"/>
      <c r="H434" s="175"/>
      <c r="I434" s="175"/>
      <c r="J434" s="175"/>
    </row>
    <row r="435" s="2" customFormat="true" ht="18.75" hidden="false" customHeight="true" outlineLevel="0" collapsed="false">
      <c r="E435" s="433"/>
      <c r="H435" s="175"/>
      <c r="I435" s="175"/>
      <c r="J435" s="175"/>
    </row>
    <row r="436" s="2" customFormat="true" ht="18.75" hidden="false" customHeight="true" outlineLevel="0" collapsed="false">
      <c r="E436" s="433"/>
      <c r="H436" s="175"/>
      <c r="I436" s="175"/>
      <c r="J436" s="175"/>
    </row>
    <row r="437" s="2" customFormat="true" ht="18.75" hidden="false" customHeight="true" outlineLevel="0" collapsed="false">
      <c r="E437" s="433"/>
      <c r="H437" s="175"/>
      <c r="I437" s="175"/>
      <c r="J437" s="175"/>
    </row>
    <row r="438" s="2" customFormat="true" ht="18.75" hidden="false" customHeight="true" outlineLevel="0" collapsed="false">
      <c r="E438" s="433"/>
      <c r="H438" s="175"/>
      <c r="I438" s="175"/>
      <c r="J438" s="175"/>
    </row>
    <row r="439" s="2" customFormat="true" ht="18.75" hidden="false" customHeight="true" outlineLevel="0" collapsed="false">
      <c r="E439" s="433"/>
      <c r="H439" s="175"/>
      <c r="I439" s="175"/>
      <c r="J439" s="175"/>
    </row>
    <row r="440" s="2" customFormat="true" ht="18.75" hidden="false" customHeight="true" outlineLevel="0" collapsed="false">
      <c r="E440" s="433"/>
      <c r="H440" s="175"/>
      <c r="I440" s="175"/>
      <c r="J440" s="175"/>
    </row>
    <row r="441" s="2" customFormat="true" ht="18.75" hidden="false" customHeight="true" outlineLevel="0" collapsed="false">
      <c r="E441" s="433"/>
      <c r="H441" s="175"/>
      <c r="I441" s="175"/>
      <c r="J441" s="175"/>
    </row>
    <row r="442" s="2" customFormat="true" ht="18.75" hidden="false" customHeight="true" outlineLevel="0" collapsed="false">
      <c r="E442" s="433"/>
      <c r="H442" s="175"/>
      <c r="I442" s="175"/>
      <c r="J442" s="175"/>
    </row>
    <row r="443" s="2" customFormat="true" ht="18.75" hidden="false" customHeight="true" outlineLevel="0" collapsed="false">
      <c r="E443" s="433"/>
      <c r="H443" s="175"/>
      <c r="I443" s="175"/>
      <c r="J443" s="175"/>
    </row>
    <row r="444" s="2" customFormat="true" ht="18.75" hidden="false" customHeight="true" outlineLevel="0" collapsed="false">
      <c r="E444" s="433"/>
      <c r="H444" s="175"/>
      <c r="I444" s="175"/>
      <c r="J444" s="175"/>
    </row>
    <row r="445" s="2" customFormat="true" ht="18.75" hidden="false" customHeight="true" outlineLevel="0" collapsed="false">
      <c r="E445" s="433"/>
      <c r="H445" s="175"/>
      <c r="I445" s="175"/>
      <c r="J445" s="175"/>
    </row>
    <row r="446" s="2" customFormat="true" ht="18.75" hidden="false" customHeight="true" outlineLevel="0" collapsed="false">
      <c r="E446" s="433"/>
      <c r="H446" s="175"/>
      <c r="I446" s="175"/>
      <c r="J446" s="175"/>
    </row>
    <row r="447" s="2" customFormat="true" ht="18.75" hidden="false" customHeight="true" outlineLevel="0" collapsed="false">
      <c r="E447" s="433"/>
      <c r="H447" s="175"/>
      <c r="I447" s="175"/>
      <c r="J447" s="175"/>
    </row>
    <row r="448" s="2" customFormat="true" ht="18.75" hidden="false" customHeight="true" outlineLevel="0" collapsed="false">
      <c r="E448" s="433"/>
      <c r="H448" s="175"/>
      <c r="I448" s="175"/>
      <c r="J448" s="175"/>
    </row>
    <row r="449" s="2" customFormat="true" ht="18.75" hidden="false" customHeight="true" outlineLevel="0" collapsed="false">
      <c r="E449" s="433"/>
      <c r="H449" s="175"/>
      <c r="I449" s="175"/>
      <c r="J449" s="175"/>
    </row>
    <row r="450" s="2" customFormat="true" ht="18.75" hidden="false" customHeight="true" outlineLevel="0" collapsed="false">
      <c r="E450" s="433"/>
      <c r="H450" s="175"/>
      <c r="I450" s="175"/>
      <c r="J450" s="175"/>
    </row>
    <row r="451" s="2" customFormat="true" ht="18.75" hidden="false" customHeight="true" outlineLevel="0" collapsed="false">
      <c r="E451" s="433"/>
      <c r="H451" s="175"/>
      <c r="I451" s="175"/>
      <c r="J451" s="175"/>
    </row>
    <row r="452" s="2" customFormat="true" ht="18.75" hidden="false" customHeight="true" outlineLevel="0" collapsed="false">
      <c r="E452" s="433"/>
      <c r="H452" s="175"/>
      <c r="I452" s="175"/>
      <c r="J452" s="175"/>
    </row>
    <row r="453" s="2" customFormat="true" ht="18.75" hidden="false" customHeight="true" outlineLevel="0" collapsed="false">
      <c r="E453" s="433"/>
      <c r="H453" s="175"/>
      <c r="I453" s="175"/>
      <c r="J453" s="175"/>
    </row>
    <row r="454" s="2" customFormat="true" ht="18.75" hidden="false" customHeight="true" outlineLevel="0" collapsed="false">
      <c r="E454" s="433"/>
      <c r="H454" s="175"/>
      <c r="I454" s="175"/>
      <c r="J454" s="175"/>
    </row>
    <row r="455" s="2" customFormat="true" ht="18.75" hidden="false" customHeight="true" outlineLevel="0" collapsed="false">
      <c r="E455" s="433"/>
      <c r="H455" s="175"/>
      <c r="I455" s="175"/>
      <c r="J455" s="175"/>
    </row>
    <row r="456" s="2" customFormat="true" ht="18.75" hidden="false" customHeight="true" outlineLevel="0" collapsed="false">
      <c r="E456" s="433"/>
      <c r="H456" s="175"/>
      <c r="I456" s="175"/>
      <c r="J456" s="175"/>
    </row>
    <row r="457" s="2" customFormat="true" ht="18.75" hidden="false" customHeight="true" outlineLevel="0" collapsed="false">
      <c r="E457" s="433"/>
      <c r="H457" s="175"/>
      <c r="I457" s="175"/>
      <c r="J457" s="175"/>
    </row>
    <row r="458" s="2" customFormat="true" ht="18.75" hidden="false" customHeight="true" outlineLevel="0" collapsed="false">
      <c r="E458" s="433"/>
      <c r="H458" s="175"/>
      <c r="I458" s="175"/>
      <c r="J458" s="175"/>
    </row>
    <row r="459" s="2" customFormat="true" ht="18.75" hidden="false" customHeight="true" outlineLevel="0" collapsed="false">
      <c r="E459" s="433"/>
      <c r="H459" s="175"/>
      <c r="I459" s="175"/>
      <c r="J459" s="175"/>
    </row>
    <row r="460" s="2" customFormat="true" ht="18.75" hidden="false" customHeight="true" outlineLevel="0" collapsed="false">
      <c r="E460" s="433"/>
      <c r="H460" s="175"/>
      <c r="I460" s="175"/>
      <c r="J460" s="175"/>
    </row>
    <row r="461" s="2" customFormat="true" ht="18.75" hidden="false" customHeight="true" outlineLevel="0" collapsed="false">
      <c r="E461" s="433"/>
      <c r="H461" s="175"/>
      <c r="I461" s="175"/>
      <c r="J461" s="175"/>
    </row>
    <row r="462" s="2" customFormat="true" ht="18.75" hidden="false" customHeight="true" outlineLevel="0" collapsed="false">
      <c r="E462" s="433"/>
      <c r="H462" s="175"/>
      <c r="I462" s="175"/>
      <c r="J462" s="175"/>
    </row>
    <row r="463" s="2" customFormat="true" ht="18.75" hidden="false" customHeight="true" outlineLevel="0" collapsed="false">
      <c r="E463" s="433"/>
      <c r="H463" s="175"/>
      <c r="I463" s="175"/>
      <c r="J463" s="175"/>
    </row>
    <row r="464" s="2" customFormat="true" ht="18.75" hidden="false" customHeight="true" outlineLevel="0" collapsed="false">
      <c r="E464" s="433"/>
      <c r="H464" s="175"/>
      <c r="I464" s="175"/>
      <c r="J464" s="175"/>
    </row>
    <row r="465" s="2" customFormat="true" ht="18.75" hidden="false" customHeight="true" outlineLevel="0" collapsed="false">
      <c r="E465" s="433"/>
      <c r="H465" s="175"/>
      <c r="I465" s="175"/>
      <c r="J465" s="175"/>
    </row>
    <row r="466" s="2" customFormat="true" ht="18.75" hidden="false" customHeight="true" outlineLevel="0" collapsed="false">
      <c r="E466" s="433"/>
      <c r="H466" s="175"/>
      <c r="I466" s="175"/>
      <c r="J466" s="175"/>
    </row>
    <row r="467" s="2" customFormat="true" ht="18.75" hidden="false" customHeight="true" outlineLevel="0" collapsed="false">
      <c r="E467" s="433"/>
      <c r="H467" s="175"/>
      <c r="I467" s="175"/>
      <c r="J467" s="175"/>
    </row>
    <row r="468" s="2" customFormat="true" ht="18.75" hidden="false" customHeight="true" outlineLevel="0" collapsed="false">
      <c r="E468" s="433"/>
      <c r="H468" s="175"/>
      <c r="I468" s="175"/>
      <c r="J468" s="175"/>
    </row>
    <row r="469" s="2" customFormat="true" ht="18.75" hidden="false" customHeight="true" outlineLevel="0" collapsed="false">
      <c r="E469" s="433"/>
      <c r="H469" s="175"/>
      <c r="I469" s="175"/>
      <c r="J469" s="175"/>
    </row>
    <row r="470" s="2" customFormat="true" ht="18.75" hidden="false" customHeight="true" outlineLevel="0" collapsed="false">
      <c r="E470" s="433"/>
      <c r="H470" s="175"/>
      <c r="I470" s="175"/>
      <c r="J470" s="175"/>
    </row>
    <row r="471" s="2" customFormat="true" ht="18.75" hidden="false" customHeight="true" outlineLevel="0" collapsed="false">
      <c r="E471" s="433"/>
      <c r="H471" s="175"/>
      <c r="I471" s="175"/>
      <c r="J471" s="175"/>
    </row>
    <row r="472" s="2" customFormat="true" ht="18.75" hidden="false" customHeight="true" outlineLevel="0" collapsed="false">
      <c r="E472" s="433"/>
      <c r="H472" s="175"/>
      <c r="I472" s="175"/>
      <c r="J472" s="175"/>
    </row>
    <row r="473" s="2" customFormat="true" ht="18.75" hidden="false" customHeight="true" outlineLevel="0" collapsed="false">
      <c r="E473" s="433"/>
      <c r="H473" s="175"/>
      <c r="I473" s="175"/>
      <c r="J473" s="175"/>
    </row>
    <row r="474" s="2" customFormat="true" ht="18.75" hidden="false" customHeight="true" outlineLevel="0" collapsed="false">
      <c r="E474" s="433"/>
      <c r="H474" s="175"/>
      <c r="I474" s="175"/>
      <c r="J474" s="175"/>
    </row>
    <row r="475" s="2" customFormat="true" ht="18.75" hidden="false" customHeight="true" outlineLevel="0" collapsed="false">
      <c r="E475" s="433"/>
      <c r="H475" s="175"/>
      <c r="I475" s="175"/>
      <c r="J475" s="175"/>
    </row>
    <row r="476" s="2" customFormat="true" ht="18.75" hidden="false" customHeight="true" outlineLevel="0" collapsed="false">
      <c r="E476" s="433"/>
      <c r="H476" s="175"/>
      <c r="I476" s="175"/>
      <c r="J476" s="175"/>
    </row>
    <row r="477" s="2" customFormat="true" ht="18.75" hidden="false" customHeight="true" outlineLevel="0" collapsed="false">
      <c r="E477" s="433"/>
      <c r="H477" s="175"/>
      <c r="I477" s="175"/>
      <c r="J477" s="175"/>
    </row>
    <row r="478" s="2" customFormat="true" ht="18.75" hidden="false" customHeight="true" outlineLevel="0" collapsed="false">
      <c r="E478" s="433"/>
      <c r="H478" s="175"/>
      <c r="I478" s="175"/>
      <c r="J478" s="175"/>
    </row>
    <row r="479" s="2" customFormat="true" ht="18.75" hidden="false" customHeight="true" outlineLevel="0" collapsed="false">
      <c r="E479" s="433"/>
      <c r="H479" s="175"/>
      <c r="I479" s="175"/>
      <c r="J479" s="175"/>
    </row>
    <row r="480" s="2" customFormat="true" ht="18.75" hidden="false" customHeight="true" outlineLevel="0" collapsed="false">
      <c r="E480" s="433"/>
      <c r="H480" s="175"/>
      <c r="I480" s="175"/>
      <c r="J480" s="175"/>
    </row>
    <row r="481" s="2" customFormat="true" ht="18.75" hidden="false" customHeight="true" outlineLevel="0" collapsed="false">
      <c r="E481" s="433"/>
      <c r="H481" s="175"/>
      <c r="I481" s="175"/>
      <c r="J481" s="175"/>
    </row>
    <row r="482" s="2" customFormat="true" ht="18.75" hidden="false" customHeight="true" outlineLevel="0" collapsed="false">
      <c r="E482" s="433"/>
      <c r="H482" s="175"/>
      <c r="I482" s="175"/>
      <c r="J482" s="175"/>
    </row>
    <row r="483" s="2" customFormat="true" ht="18.75" hidden="false" customHeight="true" outlineLevel="0" collapsed="false">
      <c r="E483" s="433"/>
      <c r="H483" s="175"/>
      <c r="I483" s="175"/>
      <c r="J483" s="175"/>
    </row>
    <row r="484" s="2" customFormat="true" ht="18.75" hidden="false" customHeight="true" outlineLevel="0" collapsed="false">
      <c r="E484" s="433"/>
      <c r="H484" s="175"/>
      <c r="I484" s="175"/>
      <c r="J484" s="175"/>
    </row>
    <row r="485" s="2" customFormat="true" ht="18.75" hidden="false" customHeight="true" outlineLevel="0" collapsed="false">
      <c r="E485" s="433"/>
      <c r="H485" s="175"/>
      <c r="I485" s="175"/>
      <c r="J485" s="175"/>
    </row>
    <row r="486" s="2" customFormat="true" ht="18.75" hidden="false" customHeight="true" outlineLevel="0" collapsed="false">
      <c r="E486" s="433"/>
      <c r="H486" s="175"/>
      <c r="I486" s="175"/>
      <c r="J486" s="175"/>
    </row>
    <row r="487" s="2" customFormat="true" ht="18.75" hidden="false" customHeight="true" outlineLevel="0" collapsed="false">
      <c r="E487" s="433"/>
      <c r="H487" s="175"/>
      <c r="I487" s="175"/>
      <c r="J487" s="175"/>
    </row>
    <row r="488" s="2" customFormat="true" ht="18.75" hidden="false" customHeight="true" outlineLevel="0" collapsed="false">
      <c r="E488" s="433"/>
      <c r="H488" s="175"/>
      <c r="I488" s="175"/>
      <c r="J488" s="175"/>
    </row>
    <row r="489" s="2" customFormat="true" ht="18.75" hidden="false" customHeight="true" outlineLevel="0" collapsed="false">
      <c r="E489" s="433"/>
      <c r="H489" s="175"/>
      <c r="I489" s="175"/>
      <c r="J489" s="175"/>
    </row>
    <row r="490" s="2" customFormat="true" ht="18.75" hidden="false" customHeight="true" outlineLevel="0" collapsed="false">
      <c r="E490" s="433"/>
      <c r="H490" s="175"/>
      <c r="I490" s="175"/>
      <c r="J490" s="175"/>
    </row>
    <row r="491" s="2" customFormat="true" ht="18.75" hidden="false" customHeight="true" outlineLevel="0" collapsed="false">
      <c r="E491" s="433"/>
      <c r="H491" s="175"/>
      <c r="I491" s="175"/>
      <c r="J491" s="175"/>
    </row>
    <row r="492" s="2" customFormat="true" ht="18.75" hidden="false" customHeight="true" outlineLevel="0" collapsed="false">
      <c r="E492" s="433"/>
      <c r="H492" s="175"/>
      <c r="I492" s="175"/>
      <c r="J492" s="175"/>
    </row>
    <row r="493" s="2" customFormat="true" ht="18.75" hidden="false" customHeight="true" outlineLevel="0" collapsed="false">
      <c r="E493" s="433"/>
      <c r="H493" s="175"/>
      <c r="I493" s="175"/>
      <c r="J493" s="175"/>
    </row>
    <row r="494" s="2" customFormat="true" ht="18.75" hidden="false" customHeight="true" outlineLevel="0" collapsed="false">
      <c r="E494" s="433"/>
      <c r="H494" s="175"/>
      <c r="I494" s="175"/>
      <c r="J494" s="175"/>
    </row>
    <row r="495" s="2" customFormat="true" ht="18.75" hidden="false" customHeight="true" outlineLevel="0" collapsed="false">
      <c r="E495" s="433"/>
      <c r="H495" s="175"/>
      <c r="I495" s="175"/>
      <c r="J495" s="175"/>
    </row>
    <row r="496" s="2" customFormat="true" ht="18.75" hidden="false" customHeight="true" outlineLevel="0" collapsed="false">
      <c r="E496" s="433"/>
      <c r="H496" s="175"/>
      <c r="I496" s="175"/>
      <c r="J496" s="175"/>
    </row>
    <row r="497" s="2" customFormat="true" ht="18.75" hidden="false" customHeight="true" outlineLevel="0" collapsed="false">
      <c r="E497" s="433"/>
      <c r="H497" s="175"/>
      <c r="I497" s="175"/>
      <c r="J497" s="175"/>
    </row>
    <row r="498" s="2" customFormat="true" ht="18.75" hidden="false" customHeight="true" outlineLevel="0" collapsed="false">
      <c r="E498" s="433"/>
      <c r="H498" s="175"/>
      <c r="I498" s="175"/>
      <c r="J498" s="175"/>
    </row>
    <row r="499" s="2" customFormat="true" ht="18.75" hidden="false" customHeight="true" outlineLevel="0" collapsed="false">
      <c r="E499" s="433"/>
      <c r="H499" s="175"/>
      <c r="I499" s="175"/>
      <c r="J499" s="175"/>
    </row>
    <row r="500" s="2" customFormat="true" ht="18.75" hidden="false" customHeight="true" outlineLevel="0" collapsed="false">
      <c r="E500" s="433"/>
      <c r="H500" s="175"/>
      <c r="I500" s="175"/>
      <c r="J500" s="175"/>
    </row>
    <row r="501" s="2" customFormat="true" ht="18.75" hidden="false" customHeight="true" outlineLevel="0" collapsed="false">
      <c r="E501" s="433"/>
      <c r="H501" s="175"/>
      <c r="I501" s="175"/>
      <c r="J501" s="175"/>
    </row>
    <row r="502" s="2" customFormat="true" ht="18.75" hidden="false" customHeight="true" outlineLevel="0" collapsed="false">
      <c r="E502" s="433"/>
      <c r="H502" s="175"/>
      <c r="I502" s="175"/>
      <c r="J502" s="175"/>
    </row>
    <row r="503" s="2" customFormat="true" ht="18.75" hidden="false" customHeight="true" outlineLevel="0" collapsed="false">
      <c r="E503" s="433"/>
      <c r="H503" s="175"/>
      <c r="I503" s="175"/>
      <c r="J503" s="175"/>
    </row>
    <row r="504" s="2" customFormat="true" ht="18.75" hidden="false" customHeight="true" outlineLevel="0" collapsed="false">
      <c r="E504" s="433"/>
      <c r="H504" s="175"/>
      <c r="I504" s="175"/>
      <c r="J504" s="175"/>
    </row>
    <row r="505" s="2" customFormat="true" ht="18.75" hidden="false" customHeight="true" outlineLevel="0" collapsed="false">
      <c r="E505" s="433"/>
      <c r="H505" s="175"/>
      <c r="I505" s="175"/>
      <c r="J505" s="175"/>
    </row>
    <row r="506" s="2" customFormat="true" ht="18.75" hidden="false" customHeight="true" outlineLevel="0" collapsed="false">
      <c r="E506" s="433"/>
      <c r="H506" s="175"/>
      <c r="I506" s="175"/>
      <c r="J506" s="175"/>
    </row>
    <row r="507" s="2" customFormat="true" ht="18.75" hidden="false" customHeight="true" outlineLevel="0" collapsed="false">
      <c r="E507" s="433"/>
      <c r="H507" s="175"/>
      <c r="I507" s="175"/>
      <c r="J507" s="175"/>
    </row>
    <row r="508" s="2" customFormat="true" ht="18.75" hidden="false" customHeight="true" outlineLevel="0" collapsed="false">
      <c r="E508" s="433"/>
      <c r="H508" s="175"/>
      <c r="I508" s="175"/>
      <c r="J508" s="175"/>
    </row>
    <row r="509" s="2" customFormat="true" ht="18.75" hidden="false" customHeight="true" outlineLevel="0" collapsed="false">
      <c r="E509" s="433"/>
      <c r="H509" s="175"/>
      <c r="I509" s="175"/>
      <c r="J509" s="175"/>
    </row>
    <row r="510" s="2" customFormat="true" ht="18.75" hidden="false" customHeight="true" outlineLevel="0" collapsed="false">
      <c r="E510" s="433"/>
      <c r="H510" s="175"/>
      <c r="I510" s="175"/>
      <c r="J510" s="175"/>
    </row>
    <row r="511" s="2" customFormat="true" ht="18.75" hidden="false" customHeight="true" outlineLevel="0" collapsed="false">
      <c r="E511" s="433"/>
      <c r="H511" s="175"/>
      <c r="I511" s="175"/>
      <c r="J511" s="175"/>
    </row>
    <row r="512" s="2" customFormat="true" ht="18.75" hidden="false" customHeight="true" outlineLevel="0" collapsed="false">
      <c r="E512" s="433"/>
      <c r="H512" s="175"/>
      <c r="I512" s="175"/>
      <c r="J512" s="175"/>
    </row>
    <row r="513" s="2" customFormat="true" ht="18.75" hidden="false" customHeight="true" outlineLevel="0" collapsed="false">
      <c r="E513" s="433"/>
      <c r="H513" s="175"/>
      <c r="I513" s="175"/>
      <c r="J513" s="175"/>
    </row>
    <row r="514" s="2" customFormat="true" ht="18.75" hidden="false" customHeight="true" outlineLevel="0" collapsed="false">
      <c r="E514" s="433"/>
      <c r="H514" s="175"/>
      <c r="I514" s="175"/>
      <c r="J514" s="175"/>
    </row>
    <row r="515" s="2" customFormat="true" ht="18.75" hidden="false" customHeight="true" outlineLevel="0" collapsed="false">
      <c r="E515" s="433"/>
      <c r="H515" s="175"/>
      <c r="I515" s="175"/>
      <c r="J515" s="175"/>
    </row>
    <row r="516" s="2" customFormat="true" ht="18.75" hidden="false" customHeight="true" outlineLevel="0" collapsed="false">
      <c r="E516" s="433"/>
      <c r="H516" s="175"/>
      <c r="I516" s="175"/>
      <c r="J516" s="175"/>
    </row>
    <row r="517" s="2" customFormat="true" ht="18.75" hidden="false" customHeight="true" outlineLevel="0" collapsed="false">
      <c r="E517" s="433"/>
      <c r="H517" s="175"/>
      <c r="I517" s="175"/>
      <c r="J517" s="175"/>
    </row>
    <row r="518" s="2" customFormat="true" ht="18.75" hidden="false" customHeight="true" outlineLevel="0" collapsed="false">
      <c r="E518" s="433"/>
      <c r="H518" s="175"/>
      <c r="I518" s="175"/>
      <c r="J518" s="175"/>
    </row>
    <row r="519" s="2" customFormat="true" ht="18.75" hidden="false" customHeight="true" outlineLevel="0" collapsed="false">
      <c r="E519" s="433"/>
      <c r="H519" s="175"/>
      <c r="I519" s="175"/>
      <c r="J519" s="175"/>
    </row>
    <row r="520" s="2" customFormat="true" ht="18.75" hidden="false" customHeight="true" outlineLevel="0" collapsed="false">
      <c r="E520" s="433"/>
      <c r="H520" s="175"/>
      <c r="I520" s="175"/>
      <c r="J520" s="175"/>
    </row>
    <row r="521" s="2" customFormat="true" ht="18.75" hidden="false" customHeight="true" outlineLevel="0" collapsed="false">
      <c r="E521" s="433"/>
      <c r="H521" s="175"/>
      <c r="I521" s="175"/>
      <c r="J521" s="175"/>
    </row>
    <row r="522" s="2" customFormat="true" ht="18.75" hidden="false" customHeight="true" outlineLevel="0" collapsed="false">
      <c r="E522" s="433"/>
      <c r="H522" s="175"/>
      <c r="I522" s="175"/>
      <c r="J522" s="175"/>
    </row>
    <row r="523" s="2" customFormat="true" ht="18.75" hidden="false" customHeight="true" outlineLevel="0" collapsed="false">
      <c r="E523" s="433"/>
      <c r="H523" s="175"/>
      <c r="I523" s="175"/>
      <c r="J523" s="175"/>
    </row>
    <row r="524" s="2" customFormat="true" ht="18.75" hidden="false" customHeight="true" outlineLevel="0" collapsed="false">
      <c r="E524" s="433"/>
      <c r="H524" s="175"/>
      <c r="I524" s="175"/>
      <c r="J524" s="175"/>
    </row>
    <row r="525" s="2" customFormat="true" ht="18.75" hidden="false" customHeight="true" outlineLevel="0" collapsed="false">
      <c r="E525" s="433"/>
      <c r="H525" s="175"/>
      <c r="I525" s="175"/>
      <c r="J525" s="175"/>
    </row>
    <row r="526" s="2" customFormat="true" ht="18.75" hidden="false" customHeight="true" outlineLevel="0" collapsed="false">
      <c r="E526" s="433"/>
      <c r="H526" s="175"/>
      <c r="I526" s="175"/>
      <c r="J526" s="175"/>
    </row>
    <row r="527" s="2" customFormat="true" ht="18.75" hidden="false" customHeight="true" outlineLevel="0" collapsed="false">
      <c r="E527" s="433"/>
      <c r="H527" s="175"/>
      <c r="I527" s="175"/>
      <c r="J527" s="175"/>
    </row>
    <row r="528" s="2" customFormat="true" ht="18.75" hidden="false" customHeight="true" outlineLevel="0" collapsed="false">
      <c r="E528" s="433"/>
      <c r="H528" s="175"/>
      <c r="I528" s="175"/>
      <c r="J528" s="175"/>
    </row>
    <row r="529" s="2" customFormat="true" ht="18.75" hidden="false" customHeight="true" outlineLevel="0" collapsed="false">
      <c r="E529" s="433"/>
      <c r="H529" s="175"/>
      <c r="I529" s="175"/>
      <c r="J529" s="175"/>
    </row>
    <row r="530" s="2" customFormat="true" ht="18.75" hidden="false" customHeight="true" outlineLevel="0" collapsed="false">
      <c r="E530" s="433"/>
      <c r="H530" s="175"/>
      <c r="I530" s="175"/>
      <c r="J530" s="175"/>
    </row>
    <row r="531" s="2" customFormat="true" ht="18.75" hidden="false" customHeight="true" outlineLevel="0" collapsed="false">
      <c r="E531" s="433"/>
      <c r="H531" s="175"/>
      <c r="I531" s="175"/>
      <c r="J531" s="175"/>
    </row>
    <row r="532" s="2" customFormat="true" ht="18.75" hidden="false" customHeight="true" outlineLevel="0" collapsed="false">
      <c r="E532" s="433"/>
      <c r="H532" s="175"/>
      <c r="I532" s="175"/>
      <c r="J532" s="175"/>
    </row>
    <row r="533" s="2" customFormat="true" ht="18.75" hidden="false" customHeight="true" outlineLevel="0" collapsed="false">
      <c r="E533" s="433"/>
      <c r="H533" s="175"/>
      <c r="I533" s="175"/>
      <c r="J533" s="175"/>
    </row>
    <row r="534" s="2" customFormat="true" ht="18.75" hidden="false" customHeight="true" outlineLevel="0" collapsed="false">
      <c r="E534" s="433"/>
      <c r="H534" s="175"/>
      <c r="I534" s="175"/>
      <c r="J534" s="175"/>
    </row>
    <row r="535" s="2" customFormat="true" ht="18.75" hidden="false" customHeight="true" outlineLevel="0" collapsed="false">
      <c r="E535" s="433"/>
      <c r="H535" s="175"/>
      <c r="I535" s="175"/>
      <c r="J535" s="175"/>
    </row>
    <row r="536" s="2" customFormat="true" ht="18.75" hidden="false" customHeight="true" outlineLevel="0" collapsed="false">
      <c r="E536" s="433"/>
      <c r="H536" s="175"/>
      <c r="I536" s="175"/>
      <c r="J536" s="175"/>
    </row>
    <row r="537" s="2" customFormat="true" ht="18.75" hidden="false" customHeight="true" outlineLevel="0" collapsed="false">
      <c r="E537" s="433"/>
      <c r="H537" s="175"/>
      <c r="I537" s="175"/>
      <c r="J537" s="175"/>
    </row>
    <row r="538" s="2" customFormat="true" ht="18.75" hidden="false" customHeight="true" outlineLevel="0" collapsed="false">
      <c r="E538" s="433"/>
      <c r="H538" s="175"/>
      <c r="I538" s="175"/>
      <c r="J538" s="175"/>
    </row>
    <row r="539" s="2" customFormat="true" ht="18.75" hidden="false" customHeight="true" outlineLevel="0" collapsed="false">
      <c r="E539" s="433"/>
      <c r="H539" s="175"/>
      <c r="I539" s="175"/>
      <c r="J539" s="175"/>
    </row>
    <row r="540" s="2" customFormat="true" ht="18.75" hidden="false" customHeight="true" outlineLevel="0" collapsed="false">
      <c r="E540" s="433"/>
      <c r="H540" s="175"/>
      <c r="I540" s="175"/>
      <c r="J540" s="175"/>
    </row>
    <row r="541" s="2" customFormat="true" ht="18.75" hidden="false" customHeight="true" outlineLevel="0" collapsed="false">
      <c r="E541" s="433"/>
      <c r="H541" s="175"/>
      <c r="I541" s="175"/>
      <c r="J541" s="175"/>
    </row>
    <row r="542" s="2" customFormat="true" ht="18.75" hidden="false" customHeight="true" outlineLevel="0" collapsed="false">
      <c r="E542" s="433"/>
      <c r="H542" s="175"/>
      <c r="I542" s="175"/>
      <c r="J542" s="175"/>
    </row>
    <row r="543" s="2" customFormat="true" ht="18.75" hidden="false" customHeight="true" outlineLevel="0" collapsed="false">
      <c r="E543" s="433"/>
      <c r="H543" s="175"/>
      <c r="I543" s="175"/>
      <c r="J543" s="175"/>
    </row>
    <row r="544" s="2" customFormat="true" ht="18.75" hidden="false" customHeight="true" outlineLevel="0" collapsed="false">
      <c r="E544" s="433"/>
      <c r="H544" s="175"/>
      <c r="I544" s="175"/>
      <c r="J544" s="175"/>
    </row>
    <row r="545" s="2" customFormat="true" ht="18.75" hidden="false" customHeight="true" outlineLevel="0" collapsed="false">
      <c r="E545" s="433"/>
      <c r="H545" s="175"/>
      <c r="I545" s="175"/>
      <c r="J545" s="175"/>
    </row>
    <row r="546" s="2" customFormat="true" ht="18.75" hidden="false" customHeight="true" outlineLevel="0" collapsed="false">
      <c r="E546" s="433"/>
      <c r="H546" s="175"/>
      <c r="I546" s="175"/>
      <c r="J546" s="175"/>
    </row>
    <row r="547" s="2" customFormat="true" ht="18.75" hidden="false" customHeight="true" outlineLevel="0" collapsed="false">
      <c r="E547" s="433"/>
      <c r="H547" s="175"/>
      <c r="I547" s="175"/>
      <c r="J547" s="175"/>
    </row>
    <row r="548" s="2" customFormat="true" ht="18.75" hidden="false" customHeight="true" outlineLevel="0" collapsed="false">
      <c r="E548" s="433"/>
      <c r="H548" s="175"/>
      <c r="I548" s="175"/>
      <c r="J548" s="175"/>
    </row>
    <row r="549" s="2" customFormat="true" ht="18.75" hidden="false" customHeight="true" outlineLevel="0" collapsed="false">
      <c r="E549" s="433"/>
      <c r="H549" s="175"/>
      <c r="I549" s="175"/>
      <c r="J549" s="175"/>
    </row>
    <row r="550" s="2" customFormat="true" ht="18.75" hidden="false" customHeight="true" outlineLevel="0" collapsed="false">
      <c r="E550" s="433"/>
      <c r="H550" s="175"/>
      <c r="I550" s="175"/>
      <c r="J550" s="175"/>
    </row>
    <row r="551" s="2" customFormat="true" ht="18.75" hidden="false" customHeight="true" outlineLevel="0" collapsed="false">
      <c r="E551" s="433"/>
      <c r="H551" s="175"/>
      <c r="I551" s="175"/>
      <c r="J551" s="175"/>
    </row>
    <row r="552" s="2" customFormat="true" ht="18.75" hidden="false" customHeight="true" outlineLevel="0" collapsed="false">
      <c r="E552" s="433"/>
      <c r="H552" s="175"/>
      <c r="I552" s="175"/>
      <c r="J552" s="175"/>
    </row>
    <row r="553" s="2" customFormat="true" ht="18.75" hidden="false" customHeight="true" outlineLevel="0" collapsed="false">
      <c r="E553" s="433"/>
      <c r="H553" s="175"/>
      <c r="I553" s="175"/>
      <c r="J553" s="175"/>
    </row>
    <row r="554" s="2" customFormat="true" ht="18.75" hidden="false" customHeight="true" outlineLevel="0" collapsed="false">
      <c r="E554" s="433"/>
      <c r="H554" s="175"/>
      <c r="I554" s="175"/>
      <c r="J554" s="175"/>
    </row>
    <row r="555" s="2" customFormat="true" ht="18.75" hidden="false" customHeight="true" outlineLevel="0" collapsed="false">
      <c r="E555" s="433"/>
      <c r="H555" s="175"/>
      <c r="I555" s="175"/>
      <c r="J555" s="175"/>
    </row>
    <row r="556" s="2" customFormat="true" ht="18.75" hidden="false" customHeight="true" outlineLevel="0" collapsed="false">
      <c r="E556" s="433"/>
      <c r="H556" s="175"/>
      <c r="I556" s="175"/>
      <c r="J556" s="175"/>
    </row>
    <row r="557" s="2" customFormat="true" ht="18.75" hidden="false" customHeight="true" outlineLevel="0" collapsed="false">
      <c r="E557" s="433"/>
      <c r="H557" s="175"/>
      <c r="I557" s="175"/>
      <c r="J557" s="175"/>
    </row>
    <row r="558" s="2" customFormat="true" ht="18.75" hidden="false" customHeight="true" outlineLevel="0" collapsed="false">
      <c r="E558" s="433"/>
      <c r="H558" s="175"/>
      <c r="I558" s="175"/>
      <c r="J558" s="175"/>
    </row>
    <row r="559" s="2" customFormat="true" ht="18.75" hidden="false" customHeight="true" outlineLevel="0" collapsed="false">
      <c r="E559" s="433"/>
      <c r="H559" s="175"/>
      <c r="I559" s="175"/>
      <c r="J559" s="175"/>
    </row>
    <row r="560" s="2" customFormat="true" ht="18.75" hidden="false" customHeight="true" outlineLevel="0" collapsed="false">
      <c r="E560" s="433"/>
      <c r="H560" s="175"/>
      <c r="I560" s="175"/>
      <c r="J560" s="175"/>
    </row>
    <row r="561" s="2" customFormat="true" ht="18.75" hidden="false" customHeight="true" outlineLevel="0" collapsed="false">
      <c r="E561" s="433"/>
      <c r="H561" s="175"/>
      <c r="I561" s="175"/>
      <c r="J561" s="175"/>
    </row>
    <row r="562" s="2" customFormat="true" ht="18.75" hidden="false" customHeight="true" outlineLevel="0" collapsed="false">
      <c r="E562" s="433"/>
      <c r="H562" s="175"/>
      <c r="I562" s="175"/>
      <c r="J562" s="175"/>
    </row>
    <row r="563" s="2" customFormat="true" ht="18.75" hidden="false" customHeight="true" outlineLevel="0" collapsed="false">
      <c r="E563" s="433"/>
      <c r="H563" s="175"/>
      <c r="I563" s="175"/>
      <c r="J563" s="175"/>
    </row>
    <row r="564" s="2" customFormat="true" ht="18.75" hidden="false" customHeight="true" outlineLevel="0" collapsed="false">
      <c r="E564" s="433"/>
      <c r="H564" s="175"/>
      <c r="I564" s="175"/>
      <c r="J564" s="175"/>
    </row>
    <row r="565" s="2" customFormat="true" ht="18.75" hidden="false" customHeight="true" outlineLevel="0" collapsed="false">
      <c r="E565" s="433"/>
      <c r="H565" s="175"/>
      <c r="I565" s="175"/>
      <c r="J565" s="175"/>
    </row>
    <row r="566" s="2" customFormat="true" ht="18.75" hidden="false" customHeight="true" outlineLevel="0" collapsed="false">
      <c r="E566" s="433"/>
      <c r="H566" s="175"/>
      <c r="I566" s="175"/>
      <c r="J566" s="175"/>
    </row>
    <row r="567" s="2" customFormat="true" ht="18.75" hidden="false" customHeight="true" outlineLevel="0" collapsed="false">
      <c r="E567" s="433"/>
      <c r="H567" s="175"/>
      <c r="I567" s="175"/>
      <c r="J567" s="175"/>
    </row>
    <row r="568" s="2" customFormat="true" ht="18.75" hidden="false" customHeight="true" outlineLevel="0" collapsed="false">
      <c r="E568" s="433"/>
      <c r="H568" s="175"/>
      <c r="I568" s="175"/>
      <c r="J568" s="175"/>
    </row>
    <row r="569" s="2" customFormat="true" ht="18.75" hidden="false" customHeight="true" outlineLevel="0" collapsed="false">
      <c r="E569" s="433"/>
      <c r="H569" s="175"/>
      <c r="I569" s="175"/>
      <c r="J569" s="175"/>
    </row>
    <row r="570" s="2" customFormat="true" ht="18.75" hidden="false" customHeight="true" outlineLevel="0" collapsed="false">
      <c r="E570" s="433"/>
      <c r="H570" s="175"/>
      <c r="I570" s="175"/>
      <c r="J570" s="175"/>
    </row>
    <row r="571" s="2" customFormat="true" ht="18.75" hidden="false" customHeight="true" outlineLevel="0" collapsed="false">
      <c r="E571" s="433"/>
      <c r="H571" s="175"/>
      <c r="I571" s="175"/>
      <c r="J571" s="175"/>
    </row>
    <row r="572" s="2" customFormat="true" ht="18.75" hidden="false" customHeight="true" outlineLevel="0" collapsed="false">
      <c r="E572" s="433"/>
      <c r="H572" s="175"/>
      <c r="I572" s="175"/>
      <c r="J572" s="175"/>
    </row>
    <row r="573" s="2" customFormat="true" ht="18.75" hidden="false" customHeight="true" outlineLevel="0" collapsed="false">
      <c r="E573" s="433"/>
      <c r="H573" s="175"/>
      <c r="I573" s="175"/>
      <c r="J573" s="175"/>
    </row>
    <row r="574" s="2" customFormat="true" ht="18.75" hidden="false" customHeight="true" outlineLevel="0" collapsed="false">
      <c r="E574" s="433"/>
      <c r="H574" s="175"/>
      <c r="I574" s="175"/>
      <c r="J574" s="175"/>
    </row>
    <row r="575" s="2" customFormat="true" ht="18.75" hidden="false" customHeight="true" outlineLevel="0" collapsed="false">
      <c r="E575" s="433"/>
      <c r="H575" s="175"/>
      <c r="I575" s="175"/>
      <c r="J575" s="175"/>
    </row>
    <row r="576" s="2" customFormat="true" ht="18.75" hidden="false" customHeight="true" outlineLevel="0" collapsed="false">
      <c r="E576" s="433"/>
      <c r="H576" s="175"/>
      <c r="I576" s="175"/>
      <c r="J576" s="175"/>
    </row>
    <row r="577" s="2" customFormat="true" ht="18.75" hidden="false" customHeight="true" outlineLevel="0" collapsed="false">
      <c r="E577" s="433"/>
      <c r="H577" s="175"/>
      <c r="I577" s="175"/>
      <c r="J577" s="175"/>
    </row>
    <row r="578" s="2" customFormat="true" ht="18.75" hidden="false" customHeight="true" outlineLevel="0" collapsed="false">
      <c r="E578" s="433"/>
      <c r="H578" s="175"/>
      <c r="I578" s="175"/>
      <c r="J578" s="175"/>
    </row>
    <row r="579" s="2" customFormat="true" ht="18.75" hidden="false" customHeight="true" outlineLevel="0" collapsed="false">
      <c r="E579" s="433"/>
      <c r="H579" s="175"/>
      <c r="I579" s="175"/>
      <c r="J579" s="175"/>
    </row>
    <row r="580" s="2" customFormat="true" ht="18.75" hidden="false" customHeight="true" outlineLevel="0" collapsed="false">
      <c r="E580" s="433"/>
      <c r="H580" s="175"/>
      <c r="I580" s="175"/>
      <c r="J580" s="175"/>
    </row>
    <row r="581" s="2" customFormat="true" ht="18.75" hidden="false" customHeight="true" outlineLevel="0" collapsed="false">
      <c r="E581" s="433"/>
      <c r="H581" s="175"/>
      <c r="I581" s="175"/>
      <c r="J581" s="175"/>
    </row>
    <row r="582" s="2" customFormat="true" ht="18.75" hidden="false" customHeight="true" outlineLevel="0" collapsed="false">
      <c r="E582" s="433"/>
      <c r="H582" s="175"/>
      <c r="I582" s="175"/>
      <c r="J582" s="175"/>
    </row>
    <row r="583" s="2" customFormat="true" ht="18.75" hidden="false" customHeight="true" outlineLevel="0" collapsed="false">
      <c r="E583" s="433"/>
      <c r="H583" s="175"/>
      <c r="I583" s="175"/>
      <c r="J583" s="175"/>
    </row>
    <row r="584" s="2" customFormat="true" ht="18.75" hidden="false" customHeight="true" outlineLevel="0" collapsed="false">
      <c r="E584" s="433"/>
      <c r="H584" s="175"/>
      <c r="I584" s="175"/>
      <c r="J584" s="175"/>
    </row>
    <row r="585" s="2" customFormat="true" ht="18.75" hidden="false" customHeight="true" outlineLevel="0" collapsed="false">
      <c r="E585" s="433"/>
      <c r="H585" s="175"/>
      <c r="I585" s="175"/>
      <c r="J585" s="175"/>
    </row>
    <row r="586" s="2" customFormat="true" ht="18.75" hidden="false" customHeight="true" outlineLevel="0" collapsed="false">
      <c r="E586" s="433"/>
      <c r="H586" s="175"/>
      <c r="I586" s="175"/>
      <c r="J586" s="175"/>
    </row>
    <row r="587" s="2" customFormat="true" ht="18.75" hidden="false" customHeight="true" outlineLevel="0" collapsed="false">
      <c r="E587" s="433"/>
      <c r="H587" s="175"/>
      <c r="I587" s="175"/>
      <c r="J587" s="175"/>
    </row>
    <row r="588" s="2" customFormat="true" ht="18.75" hidden="false" customHeight="true" outlineLevel="0" collapsed="false">
      <c r="E588" s="433"/>
      <c r="H588" s="175"/>
      <c r="I588" s="175"/>
      <c r="J588" s="175"/>
    </row>
    <row r="589" s="2" customFormat="true" ht="18.75" hidden="false" customHeight="true" outlineLevel="0" collapsed="false">
      <c r="E589" s="433"/>
      <c r="H589" s="175"/>
      <c r="I589" s="175"/>
      <c r="J589" s="175"/>
    </row>
    <row r="590" s="2" customFormat="true" ht="18.75" hidden="false" customHeight="true" outlineLevel="0" collapsed="false">
      <c r="E590" s="433"/>
      <c r="H590" s="175"/>
      <c r="I590" s="175"/>
      <c r="J590" s="175"/>
    </row>
    <row r="591" s="2" customFormat="true" ht="18.75" hidden="false" customHeight="true" outlineLevel="0" collapsed="false">
      <c r="E591" s="433"/>
      <c r="H591" s="175"/>
      <c r="I591" s="175"/>
      <c r="J591" s="175"/>
    </row>
    <row r="592" s="2" customFormat="true" ht="18.75" hidden="false" customHeight="true" outlineLevel="0" collapsed="false">
      <c r="E592" s="433"/>
      <c r="H592" s="175"/>
      <c r="I592" s="175"/>
      <c r="J592" s="175"/>
    </row>
    <row r="593" s="2" customFormat="true" ht="18.75" hidden="false" customHeight="true" outlineLevel="0" collapsed="false">
      <c r="E593" s="433"/>
      <c r="H593" s="175"/>
      <c r="I593" s="175"/>
      <c r="J593" s="175"/>
    </row>
    <row r="594" s="2" customFormat="true" ht="18.75" hidden="false" customHeight="true" outlineLevel="0" collapsed="false">
      <c r="E594" s="433"/>
      <c r="H594" s="175"/>
      <c r="I594" s="175"/>
      <c r="J594" s="175"/>
    </row>
    <row r="595" s="2" customFormat="true" ht="18.75" hidden="false" customHeight="true" outlineLevel="0" collapsed="false">
      <c r="E595" s="433"/>
      <c r="H595" s="175"/>
      <c r="I595" s="175"/>
      <c r="J595" s="175"/>
    </row>
    <row r="596" s="2" customFormat="true" ht="18.75" hidden="false" customHeight="true" outlineLevel="0" collapsed="false">
      <c r="E596" s="433"/>
      <c r="H596" s="175"/>
      <c r="I596" s="175"/>
      <c r="J596" s="175"/>
    </row>
    <row r="597" s="2" customFormat="true" ht="18.75" hidden="false" customHeight="true" outlineLevel="0" collapsed="false">
      <c r="E597" s="433"/>
      <c r="H597" s="175"/>
      <c r="I597" s="175"/>
      <c r="J597" s="175"/>
    </row>
    <row r="598" s="2" customFormat="true" ht="18.75" hidden="false" customHeight="true" outlineLevel="0" collapsed="false">
      <c r="E598" s="433"/>
      <c r="H598" s="175"/>
      <c r="I598" s="175"/>
      <c r="J598" s="175"/>
    </row>
    <row r="599" s="2" customFormat="true" ht="18.75" hidden="false" customHeight="true" outlineLevel="0" collapsed="false">
      <c r="E599" s="433"/>
      <c r="H599" s="175"/>
      <c r="I599" s="175"/>
      <c r="J599" s="175"/>
    </row>
    <row r="600" s="2" customFormat="true" ht="18.75" hidden="false" customHeight="true" outlineLevel="0" collapsed="false">
      <c r="E600" s="433"/>
      <c r="H600" s="175"/>
      <c r="I600" s="175"/>
      <c r="J600" s="175"/>
    </row>
    <row r="601" s="2" customFormat="true" ht="18.75" hidden="false" customHeight="true" outlineLevel="0" collapsed="false">
      <c r="E601" s="433"/>
      <c r="H601" s="175"/>
      <c r="I601" s="175"/>
      <c r="J601" s="175"/>
    </row>
    <row r="602" s="2" customFormat="true" ht="18.75" hidden="false" customHeight="true" outlineLevel="0" collapsed="false">
      <c r="E602" s="433"/>
      <c r="H602" s="175"/>
      <c r="I602" s="175"/>
      <c r="J602" s="175"/>
    </row>
    <row r="603" s="2" customFormat="true" ht="18.75" hidden="false" customHeight="true" outlineLevel="0" collapsed="false">
      <c r="E603" s="433"/>
      <c r="H603" s="175"/>
      <c r="I603" s="175"/>
      <c r="J603" s="175"/>
    </row>
    <row r="604" s="2" customFormat="true" ht="18.75" hidden="false" customHeight="true" outlineLevel="0" collapsed="false">
      <c r="E604" s="433"/>
      <c r="H604" s="175"/>
      <c r="I604" s="175"/>
      <c r="J604" s="175"/>
    </row>
    <row r="605" s="2" customFormat="true" ht="18.75" hidden="false" customHeight="true" outlineLevel="0" collapsed="false">
      <c r="E605" s="433"/>
      <c r="H605" s="175"/>
      <c r="I605" s="175"/>
      <c r="J605" s="175"/>
    </row>
    <row r="606" s="2" customFormat="true" ht="18.75" hidden="false" customHeight="true" outlineLevel="0" collapsed="false">
      <c r="E606" s="433"/>
      <c r="H606" s="175"/>
      <c r="I606" s="175"/>
      <c r="J606" s="175"/>
    </row>
    <row r="607" s="2" customFormat="true" ht="18.75" hidden="false" customHeight="true" outlineLevel="0" collapsed="false">
      <c r="E607" s="433"/>
      <c r="H607" s="175"/>
      <c r="I607" s="175"/>
      <c r="J607" s="175"/>
    </row>
    <row r="608" s="2" customFormat="true" ht="18.75" hidden="false" customHeight="true" outlineLevel="0" collapsed="false">
      <c r="E608" s="433"/>
      <c r="H608" s="175"/>
      <c r="I608" s="175"/>
      <c r="J608" s="175"/>
    </row>
    <row r="609" s="2" customFormat="true" ht="18.75" hidden="false" customHeight="true" outlineLevel="0" collapsed="false">
      <c r="E609" s="433"/>
      <c r="H609" s="175"/>
      <c r="I609" s="175"/>
      <c r="J609" s="175"/>
    </row>
    <row r="610" s="2" customFormat="true" ht="18.75" hidden="false" customHeight="true" outlineLevel="0" collapsed="false">
      <c r="E610" s="433"/>
      <c r="H610" s="175"/>
      <c r="I610" s="175"/>
      <c r="J610" s="175"/>
    </row>
    <row r="611" s="2" customFormat="true" ht="18.75" hidden="false" customHeight="true" outlineLevel="0" collapsed="false">
      <c r="E611" s="433"/>
      <c r="H611" s="175"/>
      <c r="I611" s="175"/>
      <c r="J611" s="175"/>
    </row>
    <row r="612" s="2" customFormat="true" ht="18.75" hidden="false" customHeight="true" outlineLevel="0" collapsed="false">
      <c r="E612" s="433"/>
      <c r="H612" s="175"/>
      <c r="I612" s="175"/>
      <c r="J612" s="175"/>
    </row>
    <row r="613" s="2" customFormat="true" ht="18.75" hidden="false" customHeight="true" outlineLevel="0" collapsed="false">
      <c r="E613" s="433"/>
      <c r="H613" s="175"/>
      <c r="I613" s="175"/>
      <c r="J613" s="175"/>
    </row>
    <row r="614" s="2" customFormat="true" ht="18.75" hidden="false" customHeight="true" outlineLevel="0" collapsed="false">
      <c r="E614" s="433"/>
      <c r="H614" s="175"/>
      <c r="I614" s="175"/>
      <c r="J614" s="175"/>
    </row>
    <row r="615" s="2" customFormat="true" ht="18.75" hidden="false" customHeight="true" outlineLevel="0" collapsed="false">
      <c r="E615" s="433"/>
      <c r="H615" s="175"/>
      <c r="I615" s="175"/>
      <c r="J615" s="175"/>
    </row>
    <row r="616" s="2" customFormat="true" ht="18.75" hidden="false" customHeight="true" outlineLevel="0" collapsed="false">
      <c r="E616" s="433"/>
      <c r="H616" s="175"/>
      <c r="I616" s="175"/>
      <c r="J616" s="175"/>
    </row>
    <row r="617" s="2" customFormat="true" ht="18.75" hidden="false" customHeight="true" outlineLevel="0" collapsed="false">
      <c r="E617" s="433"/>
      <c r="H617" s="175"/>
      <c r="I617" s="175"/>
      <c r="J617" s="175"/>
    </row>
    <row r="618" s="2" customFormat="true" ht="18.75" hidden="false" customHeight="true" outlineLevel="0" collapsed="false">
      <c r="E618" s="433"/>
      <c r="H618" s="175"/>
      <c r="I618" s="175"/>
      <c r="J618" s="175"/>
    </row>
    <row r="619" s="2" customFormat="true" ht="18.75" hidden="false" customHeight="true" outlineLevel="0" collapsed="false">
      <c r="E619" s="433"/>
      <c r="H619" s="175"/>
      <c r="I619" s="175"/>
      <c r="J619" s="175"/>
    </row>
    <row r="620" s="2" customFormat="true" ht="18.75" hidden="false" customHeight="true" outlineLevel="0" collapsed="false">
      <c r="E620" s="433"/>
      <c r="H620" s="175"/>
      <c r="I620" s="175"/>
      <c r="J620" s="175"/>
    </row>
    <row r="621" s="2" customFormat="true" ht="18.75" hidden="false" customHeight="true" outlineLevel="0" collapsed="false">
      <c r="E621" s="433"/>
      <c r="H621" s="175"/>
      <c r="I621" s="175"/>
      <c r="J621" s="175"/>
    </row>
    <row r="622" s="2" customFormat="true" ht="18.75" hidden="false" customHeight="true" outlineLevel="0" collapsed="false">
      <c r="E622" s="433"/>
      <c r="H622" s="175"/>
      <c r="I622" s="175"/>
      <c r="J622" s="175"/>
    </row>
    <row r="623" s="2" customFormat="true" ht="18.75" hidden="false" customHeight="true" outlineLevel="0" collapsed="false">
      <c r="E623" s="433"/>
      <c r="H623" s="175"/>
      <c r="I623" s="175"/>
      <c r="J623" s="175"/>
    </row>
    <row r="624" s="2" customFormat="true" ht="18.75" hidden="false" customHeight="true" outlineLevel="0" collapsed="false">
      <c r="E624" s="433"/>
      <c r="H624" s="175"/>
      <c r="I624" s="175"/>
      <c r="J624" s="175"/>
    </row>
    <row r="625" s="2" customFormat="true" ht="18.75" hidden="false" customHeight="true" outlineLevel="0" collapsed="false">
      <c r="E625" s="433"/>
      <c r="H625" s="175"/>
      <c r="I625" s="175"/>
      <c r="J625" s="175"/>
    </row>
    <row r="626" s="2" customFormat="true" ht="18.75" hidden="false" customHeight="true" outlineLevel="0" collapsed="false">
      <c r="E626" s="433"/>
      <c r="H626" s="175"/>
      <c r="I626" s="175"/>
      <c r="J626" s="175"/>
    </row>
    <row r="627" s="2" customFormat="true" ht="18.75" hidden="false" customHeight="true" outlineLevel="0" collapsed="false">
      <c r="E627" s="433"/>
      <c r="H627" s="175"/>
      <c r="I627" s="175"/>
      <c r="J627" s="175"/>
    </row>
    <row r="628" s="2" customFormat="true" ht="18.75" hidden="false" customHeight="true" outlineLevel="0" collapsed="false">
      <c r="E628" s="433"/>
      <c r="H628" s="175"/>
      <c r="I628" s="175"/>
      <c r="J628" s="175"/>
    </row>
    <row r="629" s="2" customFormat="true" ht="18.75" hidden="false" customHeight="true" outlineLevel="0" collapsed="false">
      <c r="E629" s="433"/>
      <c r="H629" s="175"/>
      <c r="I629" s="175"/>
      <c r="J629" s="175"/>
    </row>
    <row r="630" s="2" customFormat="true" ht="18.75" hidden="false" customHeight="true" outlineLevel="0" collapsed="false">
      <c r="E630" s="433"/>
      <c r="H630" s="175"/>
      <c r="I630" s="175"/>
      <c r="J630" s="175"/>
    </row>
    <row r="631" s="2" customFormat="true" ht="18.75" hidden="false" customHeight="true" outlineLevel="0" collapsed="false">
      <c r="E631" s="433"/>
      <c r="H631" s="175"/>
      <c r="I631" s="175"/>
      <c r="J631" s="175"/>
    </row>
    <row r="632" s="2" customFormat="true" ht="18.75" hidden="false" customHeight="true" outlineLevel="0" collapsed="false">
      <c r="E632" s="433"/>
      <c r="H632" s="175"/>
      <c r="I632" s="175"/>
      <c r="J632" s="175"/>
    </row>
    <row r="633" s="2" customFormat="true" ht="18.75" hidden="false" customHeight="true" outlineLevel="0" collapsed="false">
      <c r="E633" s="433"/>
      <c r="H633" s="175"/>
      <c r="I633" s="175"/>
      <c r="J633" s="175"/>
    </row>
    <row r="634" s="2" customFormat="true" ht="18.75" hidden="false" customHeight="true" outlineLevel="0" collapsed="false">
      <c r="E634" s="433"/>
      <c r="H634" s="175"/>
      <c r="I634" s="175"/>
      <c r="J634" s="175"/>
    </row>
    <row r="635" s="2" customFormat="true" ht="18.75" hidden="false" customHeight="true" outlineLevel="0" collapsed="false">
      <c r="E635" s="433"/>
      <c r="H635" s="175"/>
      <c r="I635" s="175"/>
      <c r="J635" s="175"/>
    </row>
    <row r="636" s="2" customFormat="true" ht="18.75" hidden="false" customHeight="true" outlineLevel="0" collapsed="false">
      <c r="E636" s="433"/>
      <c r="H636" s="175"/>
      <c r="I636" s="175"/>
      <c r="J636" s="175"/>
    </row>
    <row r="637" s="2" customFormat="true" ht="18.75" hidden="false" customHeight="true" outlineLevel="0" collapsed="false">
      <c r="E637" s="433"/>
      <c r="H637" s="175"/>
      <c r="I637" s="175"/>
      <c r="J637" s="175"/>
    </row>
    <row r="638" s="2" customFormat="true" ht="18.75" hidden="false" customHeight="true" outlineLevel="0" collapsed="false">
      <c r="E638" s="433"/>
      <c r="H638" s="175"/>
      <c r="I638" s="175"/>
      <c r="J638" s="175"/>
    </row>
    <row r="639" s="2" customFormat="true" ht="18.75" hidden="false" customHeight="true" outlineLevel="0" collapsed="false">
      <c r="E639" s="433"/>
      <c r="H639" s="175"/>
      <c r="I639" s="175"/>
      <c r="J639" s="175"/>
    </row>
    <row r="640" s="2" customFormat="true" ht="18.75" hidden="false" customHeight="true" outlineLevel="0" collapsed="false">
      <c r="E640" s="433"/>
      <c r="H640" s="175"/>
      <c r="I640" s="175"/>
      <c r="J640" s="175"/>
    </row>
    <row r="641" s="2" customFormat="true" ht="18.75" hidden="false" customHeight="true" outlineLevel="0" collapsed="false">
      <c r="E641" s="433"/>
      <c r="H641" s="175"/>
      <c r="I641" s="175"/>
      <c r="J641" s="175"/>
    </row>
    <row r="642" s="2" customFormat="true" ht="18.75" hidden="false" customHeight="true" outlineLevel="0" collapsed="false">
      <c r="E642" s="433"/>
      <c r="H642" s="175"/>
      <c r="I642" s="175"/>
      <c r="J642" s="175"/>
    </row>
    <row r="643" s="2" customFormat="true" ht="18.75" hidden="false" customHeight="true" outlineLevel="0" collapsed="false">
      <c r="E643" s="433"/>
      <c r="H643" s="175"/>
      <c r="I643" s="175"/>
      <c r="J643" s="175"/>
    </row>
    <row r="644" s="2" customFormat="true" ht="18.75" hidden="false" customHeight="true" outlineLevel="0" collapsed="false">
      <c r="E644" s="433"/>
      <c r="H644" s="175"/>
      <c r="I644" s="175"/>
      <c r="J644" s="175"/>
    </row>
    <row r="645" s="2" customFormat="true" ht="18.75" hidden="false" customHeight="true" outlineLevel="0" collapsed="false">
      <c r="E645" s="433"/>
      <c r="H645" s="175"/>
      <c r="I645" s="175"/>
      <c r="J645" s="175"/>
    </row>
    <row r="646" s="2" customFormat="true" ht="18.75" hidden="false" customHeight="true" outlineLevel="0" collapsed="false">
      <c r="E646" s="433"/>
      <c r="H646" s="175"/>
      <c r="I646" s="175"/>
      <c r="J646" s="175"/>
    </row>
    <row r="647" s="2" customFormat="true" ht="18.75" hidden="false" customHeight="true" outlineLevel="0" collapsed="false">
      <c r="E647" s="433"/>
      <c r="H647" s="175"/>
      <c r="I647" s="175"/>
      <c r="J647" s="175"/>
    </row>
    <row r="648" s="2" customFormat="true" ht="18.75" hidden="false" customHeight="true" outlineLevel="0" collapsed="false">
      <c r="E648" s="433"/>
      <c r="H648" s="175"/>
      <c r="I648" s="175"/>
      <c r="J648" s="175"/>
    </row>
    <row r="649" s="2" customFormat="true" ht="18.75" hidden="false" customHeight="true" outlineLevel="0" collapsed="false">
      <c r="E649" s="433"/>
      <c r="H649" s="175"/>
      <c r="I649" s="175"/>
      <c r="J649" s="175"/>
    </row>
    <row r="650" s="2" customFormat="true" ht="18.75" hidden="false" customHeight="true" outlineLevel="0" collapsed="false">
      <c r="E650" s="433"/>
      <c r="H650" s="175"/>
      <c r="I650" s="175"/>
      <c r="J650" s="175"/>
    </row>
    <row r="651" s="2" customFormat="true" ht="18.75" hidden="false" customHeight="true" outlineLevel="0" collapsed="false">
      <c r="E651" s="433"/>
      <c r="H651" s="175"/>
      <c r="I651" s="175"/>
      <c r="J651" s="175"/>
    </row>
    <row r="652" s="2" customFormat="true" ht="18.75" hidden="false" customHeight="true" outlineLevel="0" collapsed="false">
      <c r="E652" s="433"/>
      <c r="H652" s="175"/>
      <c r="I652" s="175"/>
      <c r="J652" s="175"/>
    </row>
    <row r="653" s="2" customFormat="true" ht="18.75" hidden="false" customHeight="true" outlineLevel="0" collapsed="false">
      <c r="E653" s="433"/>
      <c r="H653" s="175"/>
      <c r="I653" s="175"/>
      <c r="J653" s="175"/>
    </row>
    <row r="654" s="2" customFormat="true" ht="18.75" hidden="false" customHeight="true" outlineLevel="0" collapsed="false">
      <c r="E654" s="433"/>
      <c r="H654" s="175"/>
      <c r="I654" s="175"/>
      <c r="J654" s="175"/>
    </row>
    <row r="655" s="2" customFormat="true" ht="18.75" hidden="false" customHeight="true" outlineLevel="0" collapsed="false">
      <c r="E655" s="433"/>
      <c r="H655" s="175"/>
      <c r="I655" s="175"/>
      <c r="J655" s="175"/>
    </row>
    <row r="656" s="2" customFormat="true" ht="18.75" hidden="false" customHeight="true" outlineLevel="0" collapsed="false">
      <c r="E656" s="433"/>
      <c r="H656" s="175"/>
      <c r="I656" s="175"/>
      <c r="J656" s="175"/>
    </row>
    <row r="657" s="2" customFormat="true" ht="18.75" hidden="false" customHeight="true" outlineLevel="0" collapsed="false">
      <c r="E657" s="433"/>
      <c r="H657" s="175"/>
      <c r="I657" s="175"/>
      <c r="J657" s="175"/>
    </row>
    <row r="658" s="2" customFormat="true" ht="18.75" hidden="false" customHeight="true" outlineLevel="0" collapsed="false">
      <c r="E658" s="433"/>
      <c r="H658" s="175"/>
      <c r="I658" s="175"/>
      <c r="J658" s="175"/>
    </row>
    <row r="659" s="2" customFormat="true" ht="18.75" hidden="false" customHeight="true" outlineLevel="0" collapsed="false">
      <c r="E659" s="433"/>
      <c r="H659" s="175"/>
      <c r="I659" s="175"/>
      <c r="J659" s="175"/>
    </row>
    <row r="660" s="2" customFormat="true" ht="18.75" hidden="false" customHeight="true" outlineLevel="0" collapsed="false">
      <c r="E660" s="433"/>
      <c r="H660" s="175"/>
      <c r="I660" s="175"/>
      <c r="J660" s="175"/>
    </row>
    <row r="661" s="2" customFormat="true" ht="18.75" hidden="false" customHeight="true" outlineLevel="0" collapsed="false">
      <c r="E661" s="433"/>
      <c r="H661" s="175"/>
      <c r="I661" s="175"/>
      <c r="J661" s="175"/>
    </row>
    <row r="662" s="2" customFormat="true" ht="18.75" hidden="false" customHeight="true" outlineLevel="0" collapsed="false">
      <c r="E662" s="433"/>
      <c r="H662" s="175"/>
      <c r="I662" s="175"/>
      <c r="J662" s="175"/>
    </row>
    <row r="663" s="2" customFormat="true" ht="18.75" hidden="false" customHeight="true" outlineLevel="0" collapsed="false">
      <c r="E663" s="433"/>
      <c r="H663" s="175"/>
      <c r="I663" s="175"/>
      <c r="J663" s="175"/>
    </row>
    <row r="664" s="2" customFormat="true" ht="18.75" hidden="false" customHeight="true" outlineLevel="0" collapsed="false">
      <c r="E664" s="433"/>
      <c r="H664" s="175"/>
      <c r="I664" s="175"/>
      <c r="J664" s="175"/>
    </row>
    <row r="665" s="2" customFormat="true" ht="18.75" hidden="false" customHeight="true" outlineLevel="0" collapsed="false">
      <c r="E665" s="433"/>
      <c r="H665" s="175"/>
      <c r="I665" s="175"/>
      <c r="J665" s="175"/>
    </row>
    <row r="666" s="2" customFormat="true" ht="18.75" hidden="false" customHeight="true" outlineLevel="0" collapsed="false">
      <c r="E666" s="433"/>
      <c r="H666" s="175"/>
      <c r="I666" s="175"/>
      <c r="J666" s="175"/>
    </row>
    <row r="667" s="2" customFormat="true" ht="18.75" hidden="false" customHeight="true" outlineLevel="0" collapsed="false">
      <c r="E667" s="433"/>
      <c r="H667" s="175"/>
      <c r="I667" s="175"/>
      <c r="J667" s="175"/>
    </row>
    <row r="668" s="2" customFormat="true" ht="18.75" hidden="false" customHeight="true" outlineLevel="0" collapsed="false">
      <c r="E668" s="433"/>
      <c r="H668" s="175"/>
      <c r="I668" s="175"/>
      <c r="J668" s="175"/>
    </row>
    <row r="669" s="2" customFormat="true" ht="18.75" hidden="false" customHeight="true" outlineLevel="0" collapsed="false">
      <c r="E669" s="433"/>
      <c r="H669" s="175"/>
      <c r="I669" s="175"/>
      <c r="J669" s="175"/>
    </row>
    <row r="670" s="2" customFormat="true" ht="18.75" hidden="false" customHeight="true" outlineLevel="0" collapsed="false">
      <c r="E670" s="433"/>
      <c r="H670" s="175"/>
      <c r="I670" s="175"/>
      <c r="J670" s="175"/>
    </row>
    <row r="671" s="2" customFormat="true" ht="18.75" hidden="false" customHeight="true" outlineLevel="0" collapsed="false">
      <c r="E671" s="433"/>
      <c r="H671" s="175"/>
      <c r="I671" s="175"/>
      <c r="J671" s="175"/>
    </row>
    <row r="672" s="2" customFormat="true" ht="18.75" hidden="false" customHeight="true" outlineLevel="0" collapsed="false">
      <c r="E672" s="433"/>
      <c r="H672" s="175"/>
      <c r="I672" s="175"/>
      <c r="J672" s="175"/>
    </row>
    <row r="673" s="2" customFormat="true" ht="18.75" hidden="false" customHeight="true" outlineLevel="0" collapsed="false">
      <c r="E673" s="433"/>
      <c r="H673" s="175"/>
      <c r="I673" s="175"/>
      <c r="J673" s="175"/>
    </row>
    <row r="674" s="2" customFormat="true" ht="18.75" hidden="false" customHeight="true" outlineLevel="0" collapsed="false">
      <c r="E674" s="433"/>
      <c r="H674" s="175"/>
      <c r="I674" s="175"/>
      <c r="J674" s="175"/>
    </row>
    <row r="675" s="2" customFormat="true" ht="18.75" hidden="false" customHeight="true" outlineLevel="0" collapsed="false">
      <c r="E675" s="433"/>
      <c r="H675" s="175"/>
      <c r="I675" s="175"/>
      <c r="J675" s="175"/>
    </row>
    <row r="676" s="2" customFormat="true" ht="18.75" hidden="false" customHeight="true" outlineLevel="0" collapsed="false">
      <c r="E676" s="433"/>
      <c r="H676" s="175"/>
      <c r="I676" s="175"/>
      <c r="J676" s="175"/>
    </row>
    <row r="677" s="2" customFormat="true" ht="18.75" hidden="false" customHeight="true" outlineLevel="0" collapsed="false">
      <c r="E677" s="433"/>
      <c r="H677" s="175"/>
      <c r="I677" s="175"/>
      <c r="J677" s="175"/>
    </row>
    <row r="678" s="2" customFormat="true" ht="18.75" hidden="false" customHeight="true" outlineLevel="0" collapsed="false">
      <c r="E678" s="433"/>
      <c r="H678" s="175"/>
      <c r="I678" s="175"/>
      <c r="J678" s="175"/>
    </row>
    <row r="679" s="2" customFormat="true" ht="18.75" hidden="false" customHeight="true" outlineLevel="0" collapsed="false">
      <c r="E679" s="433"/>
      <c r="H679" s="175"/>
      <c r="I679" s="175"/>
      <c r="J679" s="175"/>
    </row>
    <row r="680" s="2" customFormat="true" ht="18.75" hidden="false" customHeight="true" outlineLevel="0" collapsed="false">
      <c r="E680" s="433"/>
      <c r="H680" s="175"/>
      <c r="I680" s="175"/>
      <c r="J680" s="175"/>
    </row>
    <row r="681" s="2" customFormat="true" ht="18.75" hidden="false" customHeight="true" outlineLevel="0" collapsed="false">
      <c r="E681" s="433"/>
      <c r="H681" s="175"/>
      <c r="I681" s="175"/>
      <c r="J681" s="175"/>
    </row>
    <row r="682" s="2" customFormat="true" ht="18.75" hidden="false" customHeight="true" outlineLevel="0" collapsed="false">
      <c r="E682" s="433"/>
      <c r="H682" s="175"/>
      <c r="I682" s="175"/>
      <c r="J682" s="175"/>
    </row>
    <row r="683" s="2" customFormat="true" ht="18.75" hidden="false" customHeight="true" outlineLevel="0" collapsed="false">
      <c r="E683" s="433"/>
      <c r="H683" s="175"/>
      <c r="I683" s="175"/>
      <c r="J683" s="175"/>
    </row>
    <row r="684" s="2" customFormat="true" ht="18.75" hidden="false" customHeight="true" outlineLevel="0" collapsed="false">
      <c r="E684" s="433"/>
      <c r="H684" s="175"/>
      <c r="I684" s="175"/>
      <c r="J684" s="175"/>
    </row>
    <row r="685" s="2" customFormat="true" ht="18.75" hidden="false" customHeight="true" outlineLevel="0" collapsed="false">
      <c r="E685" s="433"/>
      <c r="H685" s="175"/>
      <c r="I685" s="175"/>
      <c r="J685" s="175"/>
    </row>
    <row r="686" s="2" customFormat="true" ht="18.75" hidden="false" customHeight="true" outlineLevel="0" collapsed="false">
      <c r="E686" s="433"/>
      <c r="H686" s="175"/>
      <c r="I686" s="175"/>
      <c r="J686" s="175"/>
    </row>
    <row r="687" s="2" customFormat="true" ht="18.75" hidden="false" customHeight="true" outlineLevel="0" collapsed="false">
      <c r="E687" s="433"/>
      <c r="H687" s="175"/>
      <c r="I687" s="175"/>
      <c r="J687" s="175"/>
    </row>
    <row r="688" s="2" customFormat="true" ht="18.75" hidden="false" customHeight="true" outlineLevel="0" collapsed="false">
      <c r="E688" s="433"/>
      <c r="H688" s="175"/>
      <c r="I688" s="175"/>
      <c r="J688" s="175"/>
    </row>
    <row r="689" s="2" customFormat="true" ht="18.75" hidden="false" customHeight="true" outlineLevel="0" collapsed="false">
      <c r="E689" s="433"/>
      <c r="H689" s="175"/>
      <c r="I689" s="175"/>
      <c r="J689" s="175"/>
    </row>
    <row r="690" s="2" customFormat="true" ht="18.75" hidden="false" customHeight="true" outlineLevel="0" collapsed="false">
      <c r="E690" s="433"/>
      <c r="H690" s="175"/>
      <c r="I690" s="175"/>
      <c r="J690" s="175"/>
    </row>
    <row r="691" s="2" customFormat="true" ht="18.75" hidden="false" customHeight="true" outlineLevel="0" collapsed="false">
      <c r="E691" s="433"/>
      <c r="H691" s="175"/>
      <c r="I691" s="175"/>
      <c r="J691" s="175"/>
    </row>
    <row r="692" s="2" customFormat="true" ht="18.75" hidden="false" customHeight="true" outlineLevel="0" collapsed="false">
      <c r="E692" s="433"/>
      <c r="H692" s="175"/>
      <c r="I692" s="175"/>
      <c r="J692" s="175"/>
    </row>
    <row r="693" s="2" customFormat="true" ht="18.75" hidden="false" customHeight="true" outlineLevel="0" collapsed="false">
      <c r="E693" s="433"/>
      <c r="H693" s="175"/>
      <c r="I693" s="175"/>
      <c r="J693" s="175"/>
    </row>
    <row r="694" s="2" customFormat="true" ht="18.75" hidden="false" customHeight="true" outlineLevel="0" collapsed="false">
      <c r="E694" s="433"/>
      <c r="H694" s="175"/>
      <c r="I694" s="175"/>
      <c r="J694" s="175"/>
    </row>
    <row r="695" s="2" customFormat="true" ht="18.75" hidden="false" customHeight="true" outlineLevel="0" collapsed="false">
      <c r="E695" s="433"/>
      <c r="H695" s="175"/>
      <c r="I695" s="175"/>
      <c r="J695" s="175"/>
    </row>
    <row r="696" s="2" customFormat="true" ht="18.75" hidden="false" customHeight="true" outlineLevel="0" collapsed="false">
      <c r="E696" s="433"/>
      <c r="H696" s="175"/>
      <c r="I696" s="175"/>
      <c r="J696" s="175"/>
    </row>
    <row r="697" s="2" customFormat="true" ht="18.75" hidden="false" customHeight="true" outlineLevel="0" collapsed="false">
      <c r="E697" s="433"/>
      <c r="H697" s="175"/>
      <c r="I697" s="175"/>
      <c r="J697" s="175"/>
    </row>
    <row r="698" s="2" customFormat="true" ht="18.75" hidden="false" customHeight="true" outlineLevel="0" collapsed="false">
      <c r="E698" s="433"/>
      <c r="H698" s="175"/>
      <c r="I698" s="175"/>
      <c r="J698" s="175"/>
    </row>
    <row r="699" s="2" customFormat="true" ht="18.75" hidden="false" customHeight="true" outlineLevel="0" collapsed="false">
      <c r="E699" s="433"/>
      <c r="H699" s="175"/>
      <c r="I699" s="175"/>
      <c r="J699" s="175"/>
    </row>
    <row r="700" s="2" customFormat="true" ht="18.75" hidden="false" customHeight="true" outlineLevel="0" collapsed="false">
      <c r="E700" s="433"/>
      <c r="H700" s="175"/>
      <c r="I700" s="175"/>
      <c r="J700" s="175"/>
    </row>
    <row r="701" s="2" customFormat="true" ht="18.75" hidden="false" customHeight="true" outlineLevel="0" collapsed="false">
      <c r="E701" s="433"/>
      <c r="H701" s="175"/>
      <c r="I701" s="175"/>
      <c r="J701" s="175"/>
    </row>
    <row r="702" s="2" customFormat="true" ht="18.75" hidden="false" customHeight="true" outlineLevel="0" collapsed="false">
      <c r="E702" s="433"/>
      <c r="H702" s="175"/>
      <c r="I702" s="175"/>
      <c r="J702" s="175"/>
    </row>
    <row r="703" s="2" customFormat="true" ht="18.75" hidden="false" customHeight="true" outlineLevel="0" collapsed="false">
      <c r="E703" s="433"/>
      <c r="H703" s="175"/>
      <c r="I703" s="175"/>
      <c r="J703" s="175"/>
    </row>
    <row r="704" s="2" customFormat="true" ht="18.75" hidden="false" customHeight="true" outlineLevel="0" collapsed="false">
      <c r="E704" s="433"/>
      <c r="H704" s="175"/>
      <c r="I704" s="175"/>
      <c r="J704" s="175"/>
    </row>
    <row r="705" s="2" customFormat="true" ht="18.75" hidden="false" customHeight="true" outlineLevel="0" collapsed="false">
      <c r="E705" s="433"/>
      <c r="H705" s="175"/>
      <c r="I705" s="175"/>
      <c r="J705" s="175"/>
    </row>
    <row r="706" s="2" customFormat="true" ht="18.75" hidden="false" customHeight="true" outlineLevel="0" collapsed="false">
      <c r="E706" s="433"/>
      <c r="H706" s="175"/>
      <c r="I706" s="175"/>
      <c r="J706" s="175"/>
    </row>
    <row r="707" s="2" customFormat="true" ht="18.75" hidden="false" customHeight="true" outlineLevel="0" collapsed="false">
      <c r="E707" s="433"/>
      <c r="H707" s="175"/>
      <c r="I707" s="175"/>
      <c r="J707" s="175"/>
    </row>
    <row r="708" s="2" customFormat="true" ht="18.75" hidden="false" customHeight="true" outlineLevel="0" collapsed="false">
      <c r="E708" s="433"/>
      <c r="H708" s="175"/>
      <c r="I708" s="175"/>
      <c r="J708" s="175"/>
    </row>
    <row r="709" s="2" customFormat="true" ht="18.75" hidden="false" customHeight="true" outlineLevel="0" collapsed="false">
      <c r="E709" s="433"/>
      <c r="H709" s="175"/>
      <c r="I709" s="175"/>
      <c r="J709" s="175"/>
    </row>
    <row r="710" s="2" customFormat="true" ht="18.75" hidden="false" customHeight="true" outlineLevel="0" collapsed="false">
      <c r="E710" s="433"/>
      <c r="H710" s="175"/>
      <c r="I710" s="175"/>
      <c r="J710" s="175"/>
    </row>
    <row r="711" s="2" customFormat="true" ht="18.75" hidden="false" customHeight="true" outlineLevel="0" collapsed="false">
      <c r="E711" s="433"/>
      <c r="H711" s="175"/>
      <c r="I711" s="175"/>
      <c r="J711" s="175"/>
    </row>
    <row r="712" s="2" customFormat="true" ht="18.75" hidden="false" customHeight="true" outlineLevel="0" collapsed="false">
      <c r="E712" s="433"/>
      <c r="H712" s="175"/>
      <c r="I712" s="175"/>
      <c r="J712" s="175"/>
    </row>
    <row r="713" s="2" customFormat="true" ht="18.75" hidden="false" customHeight="true" outlineLevel="0" collapsed="false">
      <c r="E713" s="433"/>
      <c r="H713" s="175"/>
      <c r="I713" s="175"/>
      <c r="J713" s="175"/>
    </row>
    <row r="714" s="2" customFormat="true" ht="18.75" hidden="false" customHeight="true" outlineLevel="0" collapsed="false">
      <c r="E714" s="433"/>
      <c r="H714" s="175"/>
      <c r="I714" s="175"/>
      <c r="J714" s="175"/>
    </row>
    <row r="715" s="2" customFormat="true" ht="18.75" hidden="false" customHeight="true" outlineLevel="0" collapsed="false">
      <c r="E715" s="433"/>
      <c r="H715" s="175"/>
      <c r="I715" s="175"/>
      <c r="J715" s="175"/>
    </row>
    <row r="716" s="2" customFormat="true" ht="18.75" hidden="false" customHeight="true" outlineLevel="0" collapsed="false">
      <c r="E716" s="433"/>
      <c r="H716" s="175"/>
      <c r="I716" s="175"/>
      <c r="J716" s="175"/>
    </row>
    <row r="717" s="2" customFormat="true" ht="18.75" hidden="false" customHeight="true" outlineLevel="0" collapsed="false">
      <c r="E717" s="433"/>
      <c r="H717" s="175"/>
      <c r="I717" s="175"/>
      <c r="J717" s="175"/>
    </row>
    <row r="718" s="2" customFormat="true" ht="18.75" hidden="false" customHeight="true" outlineLevel="0" collapsed="false">
      <c r="E718" s="433"/>
      <c r="H718" s="175"/>
      <c r="I718" s="175"/>
      <c r="J718" s="175"/>
    </row>
    <row r="719" s="2" customFormat="true" ht="18.75" hidden="false" customHeight="true" outlineLevel="0" collapsed="false">
      <c r="E719" s="433"/>
      <c r="H719" s="175"/>
      <c r="I719" s="175"/>
      <c r="J719" s="175"/>
    </row>
    <row r="720" s="2" customFormat="true" ht="18.75" hidden="false" customHeight="true" outlineLevel="0" collapsed="false">
      <c r="E720" s="433"/>
      <c r="H720" s="175"/>
      <c r="I720" s="175"/>
      <c r="J720" s="175"/>
    </row>
    <row r="721" s="2" customFormat="true" ht="18.75" hidden="false" customHeight="true" outlineLevel="0" collapsed="false">
      <c r="E721" s="433"/>
      <c r="H721" s="175"/>
      <c r="I721" s="175"/>
      <c r="J721" s="175"/>
    </row>
    <row r="722" s="2" customFormat="true" ht="18.75" hidden="false" customHeight="true" outlineLevel="0" collapsed="false">
      <c r="E722" s="433"/>
      <c r="H722" s="175"/>
      <c r="I722" s="175"/>
      <c r="J722" s="175"/>
    </row>
    <row r="723" s="2" customFormat="true" ht="18.75" hidden="false" customHeight="true" outlineLevel="0" collapsed="false">
      <c r="E723" s="433"/>
      <c r="H723" s="175"/>
      <c r="I723" s="175"/>
      <c r="J723" s="175"/>
    </row>
    <row r="724" s="2" customFormat="true" ht="18.75" hidden="false" customHeight="true" outlineLevel="0" collapsed="false">
      <c r="E724" s="433"/>
      <c r="H724" s="175"/>
      <c r="I724" s="175"/>
      <c r="J724" s="175"/>
    </row>
    <row r="725" s="2" customFormat="true" ht="18.75" hidden="false" customHeight="true" outlineLevel="0" collapsed="false">
      <c r="E725" s="433"/>
      <c r="H725" s="175"/>
      <c r="I725" s="175"/>
      <c r="J725" s="175"/>
    </row>
    <row r="726" s="2" customFormat="true" ht="18.75" hidden="false" customHeight="true" outlineLevel="0" collapsed="false">
      <c r="E726" s="433"/>
      <c r="H726" s="175"/>
      <c r="I726" s="175"/>
      <c r="J726" s="175"/>
    </row>
    <row r="727" s="2" customFormat="true" ht="18.75" hidden="false" customHeight="true" outlineLevel="0" collapsed="false">
      <c r="E727" s="433"/>
      <c r="H727" s="175"/>
      <c r="I727" s="175"/>
      <c r="J727" s="175"/>
    </row>
    <row r="728" s="2" customFormat="true" ht="18.75" hidden="false" customHeight="true" outlineLevel="0" collapsed="false">
      <c r="E728" s="433"/>
      <c r="H728" s="175"/>
      <c r="I728" s="175"/>
      <c r="J728" s="175"/>
    </row>
    <row r="729" s="2" customFormat="true" ht="18.75" hidden="false" customHeight="true" outlineLevel="0" collapsed="false">
      <c r="E729" s="433"/>
      <c r="H729" s="175"/>
      <c r="I729" s="175"/>
      <c r="J729" s="175"/>
    </row>
    <row r="730" s="2" customFormat="true" ht="18.75" hidden="false" customHeight="true" outlineLevel="0" collapsed="false">
      <c r="E730" s="433"/>
      <c r="H730" s="175"/>
      <c r="I730" s="175"/>
      <c r="J730" s="175"/>
    </row>
    <row r="731" s="2" customFormat="true" ht="18.75" hidden="false" customHeight="true" outlineLevel="0" collapsed="false">
      <c r="E731" s="433"/>
      <c r="H731" s="175"/>
      <c r="I731" s="175"/>
      <c r="J731" s="175"/>
    </row>
    <row r="732" s="2" customFormat="true" ht="18.75" hidden="false" customHeight="true" outlineLevel="0" collapsed="false">
      <c r="E732" s="433"/>
      <c r="H732" s="175"/>
      <c r="I732" s="175"/>
      <c r="J732" s="175"/>
    </row>
    <row r="733" s="2" customFormat="true" ht="18.75" hidden="false" customHeight="true" outlineLevel="0" collapsed="false">
      <c r="E733" s="433"/>
      <c r="H733" s="175"/>
      <c r="I733" s="175"/>
      <c r="J733" s="175"/>
    </row>
    <row r="734" s="2" customFormat="true" ht="18.75" hidden="false" customHeight="true" outlineLevel="0" collapsed="false">
      <c r="E734" s="433"/>
      <c r="H734" s="175"/>
      <c r="I734" s="175"/>
      <c r="J734" s="175"/>
    </row>
    <row r="735" s="2" customFormat="true" ht="18.75" hidden="false" customHeight="true" outlineLevel="0" collapsed="false">
      <c r="E735" s="433"/>
      <c r="H735" s="175"/>
      <c r="I735" s="175"/>
      <c r="J735" s="175"/>
    </row>
    <row r="736" s="2" customFormat="true" ht="18.75" hidden="false" customHeight="true" outlineLevel="0" collapsed="false">
      <c r="E736" s="433"/>
      <c r="H736" s="175"/>
      <c r="I736" s="175"/>
      <c r="J736" s="175"/>
    </row>
    <row r="737" s="2" customFormat="true" ht="18.75" hidden="false" customHeight="true" outlineLevel="0" collapsed="false">
      <c r="E737" s="433"/>
      <c r="H737" s="175"/>
      <c r="I737" s="175"/>
      <c r="J737" s="175"/>
    </row>
    <row r="738" s="2" customFormat="true" ht="18.75" hidden="false" customHeight="true" outlineLevel="0" collapsed="false">
      <c r="E738" s="433"/>
      <c r="H738" s="175"/>
      <c r="I738" s="175"/>
      <c r="J738" s="175"/>
    </row>
    <row r="739" s="2" customFormat="true" ht="18.75" hidden="false" customHeight="true" outlineLevel="0" collapsed="false">
      <c r="E739" s="433"/>
      <c r="H739" s="175"/>
      <c r="I739" s="175"/>
      <c r="J739" s="175"/>
    </row>
    <row r="740" s="2" customFormat="true" ht="18.75" hidden="false" customHeight="true" outlineLevel="0" collapsed="false">
      <c r="E740" s="433"/>
      <c r="H740" s="175"/>
      <c r="I740" s="175"/>
      <c r="J740" s="175"/>
    </row>
    <row r="741" s="2" customFormat="true" ht="18.75" hidden="false" customHeight="true" outlineLevel="0" collapsed="false">
      <c r="E741" s="433"/>
      <c r="H741" s="175"/>
      <c r="I741" s="175"/>
      <c r="J741" s="175"/>
    </row>
    <row r="742" s="2" customFormat="true" ht="18.75" hidden="false" customHeight="true" outlineLevel="0" collapsed="false">
      <c r="E742" s="433"/>
      <c r="H742" s="175"/>
      <c r="I742" s="175"/>
      <c r="J742" s="175"/>
    </row>
    <row r="743" s="2" customFormat="true" ht="18.75" hidden="false" customHeight="true" outlineLevel="0" collapsed="false">
      <c r="E743" s="433"/>
      <c r="H743" s="175"/>
      <c r="I743" s="175"/>
      <c r="J743" s="175"/>
    </row>
    <row r="744" s="2" customFormat="true" ht="18.75" hidden="false" customHeight="true" outlineLevel="0" collapsed="false">
      <c r="E744" s="433"/>
      <c r="H744" s="175"/>
      <c r="I744" s="175"/>
      <c r="J744" s="175"/>
    </row>
    <row r="745" s="2" customFormat="true" ht="18.75" hidden="false" customHeight="true" outlineLevel="0" collapsed="false">
      <c r="E745" s="433"/>
      <c r="H745" s="175"/>
      <c r="I745" s="175"/>
      <c r="J745" s="175"/>
    </row>
    <row r="746" s="2" customFormat="true" ht="18.75" hidden="false" customHeight="true" outlineLevel="0" collapsed="false">
      <c r="E746" s="433"/>
      <c r="H746" s="175"/>
      <c r="I746" s="175"/>
      <c r="J746" s="175"/>
    </row>
    <row r="747" s="2" customFormat="true" ht="18.75" hidden="false" customHeight="true" outlineLevel="0" collapsed="false">
      <c r="E747" s="433"/>
      <c r="H747" s="175"/>
      <c r="I747" s="175"/>
      <c r="J747" s="175"/>
    </row>
    <row r="748" s="2" customFormat="true" ht="18.75" hidden="false" customHeight="true" outlineLevel="0" collapsed="false">
      <c r="E748" s="433"/>
      <c r="H748" s="175"/>
      <c r="I748" s="175"/>
      <c r="J748" s="175"/>
    </row>
    <row r="749" s="2" customFormat="true" ht="18.75" hidden="false" customHeight="true" outlineLevel="0" collapsed="false">
      <c r="E749" s="433"/>
      <c r="H749" s="175"/>
      <c r="I749" s="175"/>
      <c r="J749" s="175"/>
    </row>
    <row r="750" s="2" customFormat="true" ht="18.75" hidden="false" customHeight="true" outlineLevel="0" collapsed="false">
      <c r="E750" s="433"/>
      <c r="H750" s="175"/>
      <c r="I750" s="175"/>
      <c r="J750" s="175"/>
    </row>
    <row r="751" s="2" customFormat="true" ht="18.75" hidden="false" customHeight="true" outlineLevel="0" collapsed="false">
      <c r="E751" s="433"/>
      <c r="H751" s="175"/>
      <c r="I751" s="175"/>
      <c r="J751" s="175"/>
    </row>
    <row r="752" s="2" customFormat="true" ht="18.75" hidden="false" customHeight="true" outlineLevel="0" collapsed="false">
      <c r="E752" s="433"/>
      <c r="H752" s="175"/>
      <c r="I752" s="175"/>
      <c r="J752" s="175"/>
    </row>
    <row r="753" s="2" customFormat="true" ht="18.75" hidden="false" customHeight="true" outlineLevel="0" collapsed="false">
      <c r="E753" s="433"/>
      <c r="H753" s="175"/>
      <c r="I753" s="175"/>
      <c r="J753" s="175"/>
    </row>
    <row r="754" s="2" customFormat="true" ht="18.75" hidden="false" customHeight="true" outlineLevel="0" collapsed="false">
      <c r="E754" s="433"/>
      <c r="H754" s="175"/>
      <c r="I754" s="175"/>
      <c r="J754" s="175"/>
    </row>
    <row r="755" s="2" customFormat="true" ht="18.75" hidden="false" customHeight="true" outlineLevel="0" collapsed="false">
      <c r="E755" s="433"/>
      <c r="H755" s="175"/>
      <c r="I755" s="175"/>
      <c r="J755" s="175"/>
    </row>
    <row r="756" s="2" customFormat="true" ht="18.75" hidden="false" customHeight="true" outlineLevel="0" collapsed="false">
      <c r="E756" s="433"/>
      <c r="H756" s="175"/>
      <c r="I756" s="175"/>
      <c r="J756" s="175"/>
    </row>
    <row r="757" s="2" customFormat="true" ht="18.75" hidden="false" customHeight="true" outlineLevel="0" collapsed="false">
      <c r="E757" s="433"/>
      <c r="H757" s="175"/>
      <c r="I757" s="175"/>
      <c r="J757" s="175"/>
    </row>
    <row r="758" s="2" customFormat="true" ht="18.75" hidden="false" customHeight="true" outlineLevel="0" collapsed="false">
      <c r="E758" s="433"/>
      <c r="H758" s="175"/>
      <c r="I758" s="175"/>
      <c r="J758" s="175"/>
    </row>
    <row r="759" s="2" customFormat="true" ht="18.75" hidden="false" customHeight="true" outlineLevel="0" collapsed="false">
      <c r="E759" s="433"/>
      <c r="H759" s="175"/>
      <c r="I759" s="175"/>
      <c r="J759" s="175"/>
    </row>
    <row r="760" s="2" customFormat="true" ht="18.75" hidden="false" customHeight="true" outlineLevel="0" collapsed="false">
      <c r="E760" s="433"/>
      <c r="H760" s="175"/>
      <c r="I760" s="175"/>
      <c r="J760" s="175"/>
    </row>
    <row r="761" s="2" customFormat="true" ht="18.75" hidden="false" customHeight="true" outlineLevel="0" collapsed="false">
      <c r="E761" s="433"/>
      <c r="H761" s="175"/>
      <c r="I761" s="175"/>
      <c r="J761" s="175"/>
    </row>
    <row r="762" s="2" customFormat="true" ht="18.75" hidden="false" customHeight="true" outlineLevel="0" collapsed="false">
      <c r="E762" s="433"/>
      <c r="H762" s="175"/>
      <c r="I762" s="175"/>
      <c r="J762" s="175"/>
    </row>
    <row r="763" s="2" customFormat="true" ht="18.75" hidden="false" customHeight="true" outlineLevel="0" collapsed="false">
      <c r="E763" s="433"/>
      <c r="H763" s="175"/>
      <c r="I763" s="175"/>
      <c r="J763" s="175"/>
    </row>
    <row r="764" s="2" customFormat="true" ht="18.75" hidden="false" customHeight="true" outlineLevel="0" collapsed="false">
      <c r="E764" s="433"/>
      <c r="H764" s="175"/>
      <c r="I764" s="175"/>
      <c r="J764" s="175"/>
    </row>
    <row r="765" s="2" customFormat="true" ht="18.75" hidden="false" customHeight="true" outlineLevel="0" collapsed="false">
      <c r="E765" s="433"/>
      <c r="H765" s="175"/>
      <c r="I765" s="175"/>
      <c r="J765" s="175"/>
    </row>
    <row r="766" s="2" customFormat="true" ht="18.75" hidden="false" customHeight="true" outlineLevel="0" collapsed="false">
      <c r="E766" s="433"/>
      <c r="H766" s="175"/>
      <c r="I766" s="175"/>
      <c r="J766" s="175"/>
    </row>
    <row r="767" s="2" customFormat="true" ht="18.75" hidden="false" customHeight="true" outlineLevel="0" collapsed="false">
      <c r="E767" s="433"/>
      <c r="H767" s="175"/>
      <c r="I767" s="175"/>
      <c r="J767" s="175"/>
    </row>
    <row r="768" s="2" customFormat="true" ht="18.75" hidden="false" customHeight="true" outlineLevel="0" collapsed="false">
      <c r="E768" s="433"/>
      <c r="H768" s="175"/>
      <c r="I768" s="175"/>
      <c r="J768" s="175"/>
    </row>
    <row r="769" s="2" customFormat="true" ht="18.75" hidden="false" customHeight="true" outlineLevel="0" collapsed="false">
      <c r="E769" s="433"/>
      <c r="H769" s="175"/>
      <c r="I769" s="175"/>
      <c r="J769" s="175"/>
    </row>
    <row r="770" s="2" customFormat="true" ht="18.75" hidden="false" customHeight="true" outlineLevel="0" collapsed="false">
      <c r="E770" s="433"/>
      <c r="H770" s="175"/>
      <c r="I770" s="175"/>
      <c r="J770" s="175"/>
    </row>
    <row r="771" s="2" customFormat="true" ht="18.75" hidden="false" customHeight="true" outlineLevel="0" collapsed="false">
      <c r="E771" s="433"/>
      <c r="H771" s="175"/>
      <c r="I771" s="175"/>
      <c r="J771" s="175"/>
    </row>
    <row r="772" s="2" customFormat="true" ht="18.75" hidden="false" customHeight="true" outlineLevel="0" collapsed="false">
      <c r="E772" s="433"/>
      <c r="H772" s="175"/>
      <c r="I772" s="175"/>
      <c r="J772" s="175"/>
    </row>
    <row r="773" s="2" customFormat="true" ht="18.75" hidden="false" customHeight="true" outlineLevel="0" collapsed="false">
      <c r="E773" s="433"/>
      <c r="H773" s="175"/>
      <c r="I773" s="175"/>
      <c r="J773" s="175"/>
    </row>
    <row r="774" s="2" customFormat="true" ht="18.75" hidden="false" customHeight="true" outlineLevel="0" collapsed="false">
      <c r="E774" s="433"/>
      <c r="H774" s="175"/>
      <c r="I774" s="175"/>
      <c r="J774" s="175"/>
    </row>
    <row r="775" s="2" customFormat="true" ht="18.75" hidden="false" customHeight="true" outlineLevel="0" collapsed="false">
      <c r="E775" s="433"/>
      <c r="H775" s="175"/>
      <c r="I775" s="175"/>
      <c r="J775" s="175"/>
    </row>
    <row r="776" s="2" customFormat="true" ht="18.75" hidden="false" customHeight="true" outlineLevel="0" collapsed="false">
      <c r="E776" s="433"/>
      <c r="H776" s="175"/>
      <c r="I776" s="175"/>
      <c r="J776" s="175"/>
    </row>
    <row r="777" s="2" customFormat="true" ht="18.75" hidden="false" customHeight="true" outlineLevel="0" collapsed="false">
      <c r="E777" s="433"/>
      <c r="H777" s="175"/>
      <c r="I777" s="175"/>
      <c r="J777" s="175"/>
    </row>
    <row r="778" s="2" customFormat="true" ht="18.75" hidden="false" customHeight="true" outlineLevel="0" collapsed="false">
      <c r="E778" s="433"/>
      <c r="H778" s="175"/>
      <c r="I778" s="175"/>
      <c r="J778" s="175"/>
    </row>
    <row r="779" s="2" customFormat="true" ht="18.75" hidden="false" customHeight="true" outlineLevel="0" collapsed="false">
      <c r="E779" s="433"/>
      <c r="H779" s="175"/>
      <c r="I779" s="175"/>
      <c r="J779" s="175"/>
    </row>
    <row r="780" s="2" customFormat="true" ht="18.75" hidden="false" customHeight="true" outlineLevel="0" collapsed="false">
      <c r="E780" s="433"/>
      <c r="H780" s="175"/>
      <c r="I780" s="175"/>
      <c r="J780" s="175"/>
    </row>
    <row r="781" s="2" customFormat="true" ht="18.75" hidden="false" customHeight="true" outlineLevel="0" collapsed="false">
      <c r="E781" s="433"/>
      <c r="H781" s="175"/>
      <c r="I781" s="175"/>
      <c r="J781" s="175"/>
    </row>
    <row r="782" s="2" customFormat="true" ht="18.75" hidden="false" customHeight="true" outlineLevel="0" collapsed="false">
      <c r="E782" s="433"/>
      <c r="H782" s="175"/>
      <c r="I782" s="175"/>
      <c r="J782" s="175"/>
    </row>
    <row r="783" s="2" customFormat="true" ht="18.75" hidden="false" customHeight="true" outlineLevel="0" collapsed="false">
      <c r="E783" s="433"/>
      <c r="H783" s="175"/>
      <c r="I783" s="175"/>
      <c r="J783" s="175"/>
    </row>
    <row r="784" s="2" customFormat="true" ht="18.75" hidden="false" customHeight="true" outlineLevel="0" collapsed="false">
      <c r="E784" s="433"/>
      <c r="H784" s="175"/>
      <c r="I784" s="175"/>
      <c r="J784" s="175"/>
    </row>
    <row r="785" s="2" customFormat="true" ht="18.75" hidden="false" customHeight="true" outlineLevel="0" collapsed="false">
      <c r="E785" s="433"/>
      <c r="H785" s="175"/>
      <c r="I785" s="175"/>
      <c r="J785" s="175"/>
    </row>
    <row r="786" s="2" customFormat="true" ht="18.75" hidden="false" customHeight="true" outlineLevel="0" collapsed="false">
      <c r="E786" s="433"/>
      <c r="H786" s="175"/>
      <c r="I786" s="175"/>
      <c r="J786" s="175"/>
    </row>
    <row r="787" s="2" customFormat="true" ht="18.75" hidden="false" customHeight="true" outlineLevel="0" collapsed="false">
      <c r="E787" s="433"/>
      <c r="H787" s="175"/>
      <c r="I787" s="175"/>
      <c r="J787" s="175"/>
    </row>
    <row r="788" s="2" customFormat="true" ht="18.75" hidden="false" customHeight="true" outlineLevel="0" collapsed="false">
      <c r="E788" s="433"/>
      <c r="H788" s="175"/>
      <c r="I788" s="175"/>
      <c r="J788" s="175"/>
    </row>
    <row r="789" s="2" customFormat="true" ht="18.75" hidden="false" customHeight="true" outlineLevel="0" collapsed="false">
      <c r="E789" s="433"/>
      <c r="H789" s="175"/>
      <c r="I789" s="175"/>
      <c r="J789" s="175"/>
    </row>
    <row r="790" s="2" customFormat="true" ht="18.75" hidden="false" customHeight="true" outlineLevel="0" collapsed="false">
      <c r="E790" s="433"/>
      <c r="H790" s="175"/>
      <c r="I790" s="175"/>
      <c r="J790" s="175"/>
    </row>
    <row r="791" s="2" customFormat="true" ht="18.75" hidden="false" customHeight="true" outlineLevel="0" collapsed="false">
      <c r="E791" s="433"/>
      <c r="H791" s="175"/>
      <c r="I791" s="175"/>
      <c r="J791" s="175"/>
    </row>
    <row r="792" s="2" customFormat="true" ht="18.75" hidden="false" customHeight="true" outlineLevel="0" collapsed="false">
      <c r="E792" s="433"/>
      <c r="H792" s="175"/>
      <c r="I792" s="175"/>
      <c r="J792" s="175"/>
    </row>
    <row r="793" s="2" customFormat="true" ht="18.75" hidden="false" customHeight="true" outlineLevel="0" collapsed="false">
      <c r="E793" s="433"/>
      <c r="H793" s="175"/>
      <c r="I793" s="175"/>
      <c r="J793" s="175"/>
    </row>
    <row r="794" s="2" customFormat="true" ht="18.75" hidden="false" customHeight="true" outlineLevel="0" collapsed="false">
      <c r="E794" s="433"/>
      <c r="H794" s="175"/>
      <c r="I794" s="175"/>
      <c r="J794" s="175"/>
    </row>
    <row r="795" s="2" customFormat="true" ht="18.75" hidden="false" customHeight="true" outlineLevel="0" collapsed="false">
      <c r="E795" s="433"/>
      <c r="H795" s="175"/>
      <c r="I795" s="175"/>
      <c r="J795" s="175"/>
    </row>
    <row r="796" s="2" customFormat="true" ht="18.75" hidden="false" customHeight="true" outlineLevel="0" collapsed="false">
      <c r="E796" s="433"/>
      <c r="H796" s="175"/>
      <c r="I796" s="175"/>
      <c r="J796" s="175"/>
    </row>
    <row r="797" s="2" customFormat="true" ht="18.75" hidden="false" customHeight="true" outlineLevel="0" collapsed="false">
      <c r="E797" s="433"/>
      <c r="H797" s="175"/>
      <c r="I797" s="175"/>
      <c r="J797" s="175"/>
    </row>
    <row r="798" s="2" customFormat="true" ht="18.75" hidden="false" customHeight="true" outlineLevel="0" collapsed="false">
      <c r="E798" s="433"/>
      <c r="H798" s="175"/>
      <c r="I798" s="175"/>
      <c r="J798" s="175"/>
    </row>
    <row r="799" s="2" customFormat="true" ht="18.75" hidden="false" customHeight="true" outlineLevel="0" collapsed="false">
      <c r="E799" s="433"/>
      <c r="H799" s="175"/>
      <c r="I799" s="175"/>
      <c r="J799" s="175"/>
    </row>
    <row r="800" s="2" customFormat="true" ht="18.75" hidden="false" customHeight="true" outlineLevel="0" collapsed="false">
      <c r="E800" s="433"/>
      <c r="H800" s="175"/>
      <c r="I800" s="175"/>
      <c r="J800" s="175"/>
    </row>
    <row r="801" s="2" customFormat="true" ht="18.75" hidden="false" customHeight="true" outlineLevel="0" collapsed="false">
      <c r="E801" s="433"/>
      <c r="H801" s="175"/>
      <c r="I801" s="175"/>
      <c r="J801" s="175"/>
    </row>
    <row r="802" s="2" customFormat="true" ht="18.75" hidden="false" customHeight="true" outlineLevel="0" collapsed="false">
      <c r="E802" s="433"/>
      <c r="H802" s="175"/>
      <c r="I802" s="175"/>
      <c r="J802" s="175"/>
    </row>
    <row r="803" s="2" customFormat="true" ht="18.75" hidden="false" customHeight="true" outlineLevel="0" collapsed="false">
      <c r="E803" s="433"/>
      <c r="H803" s="175"/>
      <c r="I803" s="175"/>
      <c r="J803" s="175"/>
    </row>
    <row r="804" s="2" customFormat="true" ht="18.75" hidden="false" customHeight="true" outlineLevel="0" collapsed="false">
      <c r="E804" s="433"/>
      <c r="H804" s="175"/>
      <c r="I804" s="175"/>
      <c r="J804" s="175"/>
    </row>
    <row r="805" s="2" customFormat="true" ht="18.75" hidden="false" customHeight="true" outlineLevel="0" collapsed="false">
      <c r="E805" s="433"/>
      <c r="H805" s="175"/>
      <c r="I805" s="175"/>
      <c r="J805" s="175"/>
    </row>
    <row r="806" s="2" customFormat="true" ht="18.75" hidden="false" customHeight="true" outlineLevel="0" collapsed="false">
      <c r="E806" s="433"/>
      <c r="H806" s="175"/>
      <c r="I806" s="175"/>
      <c r="J806" s="175"/>
    </row>
    <row r="807" s="2" customFormat="true" ht="18.75" hidden="false" customHeight="true" outlineLevel="0" collapsed="false">
      <c r="E807" s="433"/>
      <c r="H807" s="175"/>
      <c r="I807" s="175"/>
      <c r="J807" s="175"/>
    </row>
    <row r="808" s="2" customFormat="true" ht="18.75" hidden="false" customHeight="true" outlineLevel="0" collapsed="false">
      <c r="E808" s="433"/>
      <c r="H808" s="175"/>
      <c r="I808" s="175"/>
      <c r="J808" s="175"/>
    </row>
    <row r="809" s="2" customFormat="true" ht="18.75" hidden="false" customHeight="true" outlineLevel="0" collapsed="false">
      <c r="E809" s="433"/>
      <c r="H809" s="175"/>
      <c r="I809" s="175"/>
      <c r="J809" s="175"/>
    </row>
    <row r="810" s="2" customFormat="true" ht="18.75" hidden="false" customHeight="true" outlineLevel="0" collapsed="false">
      <c r="E810" s="433"/>
      <c r="H810" s="175"/>
      <c r="I810" s="175"/>
      <c r="J810" s="175"/>
    </row>
    <row r="811" s="2" customFormat="true" ht="18.75" hidden="false" customHeight="true" outlineLevel="0" collapsed="false">
      <c r="E811" s="433"/>
      <c r="H811" s="175"/>
      <c r="I811" s="175"/>
      <c r="J811" s="175"/>
    </row>
    <row r="812" s="2" customFormat="true" ht="18.75" hidden="false" customHeight="true" outlineLevel="0" collapsed="false">
      <c r="E812" s="433"/>
      <c r="H812" s="175"/>
      <c r="I812" s="175"/>
      <c r="J812" s="175"/>
    </row>
    <row r="813" s="2" customFormat="true" ht="18.75" hidden="false" customHeight="true" outlineLevel="0" collapsed="false">
      <c r="E813" s="433"/>
      <c r="H813" s="175"/>
      <c r="I813" s="175"/>
      <c r="J813" s="175"/>
    </row>
    <row r="814" s="2" customFormat="true" ht="18.75" hidden="false" customHeight="true" outlineLevel="0" collapsed="false">
      <c r="E814" s="433"/>
      <c r="H814" s="175"/>
      <c r="I814" s="175"/>
      <c r="J814" s="175"/>
    </row>
    <row r="815" s="2" customFormat="true" ht="18.75" hidden="false" customHeight="true" outlineLevel="0" collapsed="false">
      <c r="E815" s="433"/>
      <c r="H815" s="175"/>
      <c r="I815" s="175"/>
      <c r="J815" s="175"/>
    </row>
    <row r="816" s="2" customFormat="true" ht="18.75" hidden="false" customHeight="true" outlineLevel="0" collapsed="false">
      <c r="E816" s="433"/>
      <c r="H816" s="175"/>
      <c r="I816" s="175"/>
      <c r="J816" s="175"/>
    </row>
    <row r="817" s="2" customFormat="true" ht="18.75" hidden="false" customHeight="true" outlineLevel="0" collapsed="false">
      <c r="E817" s="433"/>
      <c r="H817" s="175"/>
      <c r="I817" s="175"/>
      <c r="J817" s="175"/>
    </row>
    <row r="818" s="2" customFormat="true" ht="18.75" hidden="false" customHeight="true" outlineLevel="0" collapsed="false">
      <c r="E818" s="433"/>
      <c r="H818" s="175"/>
      <c r="I818" s="175"/>
      <c r="J818" s="175"/>
    </row>
    <row r="819" s="2" customFormat="true" ht="18.75" hidden="false" customHeight="true" outlineLevel="0" collapsed="false">
      <c r="E819" s="433"/>
      <c r="H819" s="175"/>
      <c r="I819" s="175"/>
      <c r="J819" s="175"/>
    </row>
    <row r="820" s="2" customFormat="true" ht="18.75" hidden="false" customHeight="true" outlineLevel="0" collapsed="false">
      <c r="E820" s="433"/>
      <c r="H820" s="175"/>
      <c r="I820" s="175"/>
      <c r="J820" s="175"/>
    </row>
    <row r="821" s="2" customFormat="true" ht="18.75" hidden="false" customHeight="true" outlineLevel="0" collapsed="false">
      <c r="E821" s="433"/>
      <c r="H821" s="175"/>
      <c r="I821" s="175"/>
      <c r="J821" s="175"/>
    </row>
    <row r="822" s="2" customFormat="true" ht="18.75" hidden="false" customHeight="true" outlineLevel="0" collapsed="false">
      <c r="E822" s="433"/>
      <c r="H822" s="175"/>
      <c r="I822" s="175"/>
      <c r="J822" s="175"/>
    </row>
    <row r="823" s="2" customFormat="true" ht="18.75" hidden="false" customHeight="true" outlineLevel="0" collapsed="false">
      <c r="E823" s="433"/>
      <c r="H823" s="175"/>
      <c r="I823" s="175"/>
      <c r="J823" s="175"/>
    </row>
    <row r="824" s="2" customFormat="true" ht="18.75" hidden="false" customHeight="true" outlineLevel="0" collapsed="false">
      <c r="E824" s="433"/>
      <c r="H824" s="175"/>
      <c r="I824" s="175"/>
      <c r="J824" s="175"/>
    </row>
    <row r="825" s="2" customFormat="true" ht="18.75" hidden="false" customHeight="true" outlineLevel="0" collapsed="false">
      <c r="E825" s="433"/>
      <c r="H825" s="175"/>
      <c r="I825" s="175"/>
      <c r="J825" s="175"/>
    </row>
    <row r="826" s="2" customFormat="true" ht="18.75" hidden="false" customHeight="true" outlineLevel="0" collapsed="false">
      <c r="E826" s="433"/>
      <c r="H826" s="175"/>
      <c r="I826" s="175"/>
      <c r="J826" s="175"/>
    </row>
    <row r="827" s="2" customFormat="true" ht="18.75" hidden="false" customHeight="true" outlineLevel="0" collapsed="false">
      <c r="E827" s="433"/>
      <c r="H827" s="175"/>
      <c r="I827" s="175"/>
      <c r="J827" s="175"/>
    </row>
    <row r="828" s="2" customFormat="true" ht="18.75" hidden="false" customHeight="true" outlineLevel="0" collapsed="false">
      <c r="E828" s="433"/>
      <c r="H828" s="175"/>
      <c r="I828" s="175"/>
      <c r="J828" s="175"/>
    </row>
    <row r="829" s="2" customFormat="true" ht="18.75" hidden="false" customHeight="true" outlineLevel="0" collapsed="false">
      <c r="E829" s="433"/>
      <c r="H829" s="175"/>
      <c r="I829" s="175"/>
      <c r="J829" s="175"/>
    </row>
    <row r="830" s="2" customFormat="true" ht="18.75" hidden="false" customHeight="true" outlineLevel="0" collapsed="false">
      <c r="E830" s="433"/>
      <c r="H830" s="175"/>
      <c r="I830" s="175"/>
      <c r="J830" s="175"/>
    </row>
    <row r="831" s="2" customFormat="true" ht="18.75" hidden="false" customHeight="true" outlineLevel="0" collapsed="false">
      <c r="E831" s="433"/>
      <c r="H831" s="175"/>
      <c r="I831" s="175"/>
      <c r="J831" s="175"/>
    </row>
    <row r="832" s="2" customFormat="true" ht="18.75" hidden="false" customHeight="true" outlineLevel="0" collapsed="false">
      <c r="E832" s="433"/>
      <c r="H832" s="175"/>
      <c r="I832" s="175"/>
      <c r="J832" s="175"/>
    </row>
    <row r="833" s="2" customFormat="true" ht="18.75" hidden="false" customHeight="true" outlineLevel="0" collapsed="false">
      <c r="E833" s="433"/>
      <c r="H833" s="175"/>
      <c r="I833" s="175"/>
      <c r="J833" s="175"/>
    </row>
    <row r="834" s="2" customFormat="true" ht="18.75" hidden="false" customHeight="true" outlineLevel="0" collapsed="false">
      <c r="E834" s="433"/>
      <c r="H834" s="175"/>
      <c r="I834" s="175"/>
      <c r="J834" s="175"/>
    </row>
    <row r="835" s="2" customFormat="true" ht="18.75" hidden="false" customHeight="true" outlineLevel="0" collapsed="false">
      <c r="E835" s="433"/>
      <c r="H835" s="175"/>
      <c r="I835" s="175"/>
      <c r="J835" s="175"/>
    </row>
    <row r="836" s="2" customFormat="true" ht="18.75" hidden="false" customHeight="true" outlineLevel="0" collapsed="false">
      <c r="E836" s="433"/>
      <c r="H836" s="175"/>
      <c r="I836" s="175"/>
      <c r="J836" s="175"/>
    </row>
    <row r="837" s="2" customFormat="true" ht="18.75" hidden="false" customHeight="true" outlineLevel="0" collapsed="false">
      <c r="E837" s="433"/>
      <c r="H837" s="175"/>
      <c r="I837" s="175"/>
      <c r="J837" s="175"/>
    </row>
    <row r="838" s="2" customFormat="true" ht="18.75" hidden="false" customHeight="true" outlineLevel="0" collapsed="false">
      <c r="E838" s="433"/>
      <c r="H838" s="175"/>
      <c r="I838" s="175"/>
      <c r="J838" s="175"/>
    </row>
    <row r="839" s="2" customFormat="true" ht="18.75" hidden="false" customHeight="true" outlineLevel="0" collapsed="false">
      <c r="E839" s="433"/>
      <c r="H839" s="175"/>
      <c r="I839" s="175"/>
      <c r="J839" s="175"/>
    </row>
    <row r="840" s="2" customFormat="true" ht="18.75" hidden="false" customHeight="true" outlineLevel="0" collapsed="false">
      <c r="E840" s="433"/>
      <c r="H840" s="175"/>
      <c r="I840" s="175"/>
      <c r="J840" s="175"/>
    </row>
    <row r="841" s="2" customFormat="true" ht="18.75" hidden="false" customHeight="true" outlineLevel="0" collapsed="false">
      <c r="E841" s="433"/>
      <c r="H841" s="175"/>
      <c r="I841" s="175"/>
      <c r="J841" s="175"/>
    </row>
    <row r="842" s="2" customFormat="true" ht="18.75" hidden="false" customHeight="true" outlineLevel="0" collapsed="false">
      <c r="E842" s="433"/>
      <c r="H842" s="175"/>
      <c r="I842" s="175"/>
      <c r="J842" s="175"/>
    </row>
    <row r="843" s="2" customFormat="true" ht="18.75" hidden="false" customHeight="true" outlineLevel="0" collapsed="false">
      <c r="E843" s="433"/>
      <c r="H843" s="175"/>
      <c r="I843" s="175"/>
      <c r="J843" s="175"/>
    </row>
    <row r="844" s="2" customFormat="true" ht="18.75" hidden="false" customHeight="true" outlineLevel="0" collapsed="false">
      <c r="E844" s="433"/>
      <c r="H844" s="175"/>
      <c r="I844" s="175"/>
      <c r="J844" s="175"/>
    </row>
    <row r="845" s="2" customFormat="true" ht="18.75" hidden="false" customHeight="true" outlineLevel="0" collapsed="false">
      <c r="E845" s="433"/>
      <c r="H845" s="175"/>
      <c r="I845" s="175"/>
      <c r="J845" s="175"/>
    </row>
    <row r="846" s="2" customFormat="true" ht="18.75" hidden="false" customHeight="true" outlineLevel="0" collapsed="false">
      <c r="E846" s="433"/>
      <c r="H846" s="175"/>
      <c r="I846" s="175"/>
      <c r="J846" s="175"/>
    </row>
    <row r="847" s="2" customFormat="true" ht="18.75" hidden="false" customHeight="true" outlineLevel="0" collapsed="false">
      <c r="E847" s="433"/>
      <c r="H847" s="175"/>
      <c r="I847" s="175"/>
      <c r="J847" s="175"/>
    </row>
    <row r="848" s="2" customFormat="true" ht="18.75" hidden="false" customHeight="true" outlineLevel="0" collapsed="false">
      <c r="E848" s="433"/>
      <c r="H848" s="175"/>
      <c r="I848" s="175"/>
      <c r="J848" s="175"/>
    </row>
    <row r="849" s="2" customFormat="true" ht="18.75" hidden="false" customHeight="true" outlineLevel="0" collapsed="false">
      <c r="E849" s="433"/>
      <c r="H849" s="175"/>
      <c r="I849" s="175"/>
      <c r="J849" s="175"/>
    </row>
    <row r="850" s="2" customFormat="true" ht="18.75" hidden="false" customHeight="true" outlineLevel="0" collapsed="false">
      <c r="E850" s="433"/>
      <c r="H850" s="175"/>
      <c r="I850" s="175"/>
      <c r="J850" s="175"/>
    </row>
    <row r="851" s="2" customFormat="true" ht="18.75" hidden="false" customHeight="true" outlineLevel="0" collapsed="false">
      <c r="E851" s="433"/>
      <c r="H851" s="175"/>
      <c r="I851" s="175"/>
      <c r="J851" s="175"/>
    </row>
    <row r="852" s="2" customFormat="true" ht="18.75" hidden="false" customHeight="true" outlineLevel="0" collapsed="false">
      <c r="E852" s="433"/>
      <c r="H852" s="175"/>
      <c r="I852" s="175"/>
      <c r="J852" s="175"/>
    </row>
    <row r="853" s="2" customFormat="true" ht="18.75" hidden="false" customHeight="true" outlineLevel="0" collapsed="false">
      <c r="E853" s="433"/>
      <c r="H853" s="175"/>
      <c r="I853" s="175"/>
      <c r="J853" s="175"/>
    </row>
    <row r="854" s="2" customFormat="true" ht="18.75" hidden="false" customHeight="true" outlineLevel="0" collapsed="false">
      <c r="E854" s="433"/>
      <c r="H854" s="175"/>
      <c r="I854" s="175"/>
      <c r="J854" s="175"/>
    </row>
    <row r="855" s="2" customFormat="true" ht="18.75" hidden="false" customHeight="true" outlineLevel="0" collapsed="false">
      <c r="E855" s="433"/>
      <c r="H855" s="175"/>
      <c r="I855" s="175"/>
      <c r="J855" s="175"/>
    </row>
    <row r="856" s="2" customFormat="true" ht="18.75" hidden="false" customHeight="true" outlineLevel="0" collapsed="false">
      <c r="E856" s="433"/>
      <c r="H856" s="175"/>
      <c r="I856" s="175"/>
      <c r="J856" s="175"/>
    </row>
    <row r="857" s="2" customFormat="true" ht="18.75" hidden="false" customHeight="true" outlineLevel="0" collapsed="false">
      <c r="E857" s="433"/>
      <c r="H857" s="175"/>
      <c r="I857" s="175"/>
      <c r="J857" s="175"/>
    </row>
    <row r="858" s="2" customFormat="true" ht="18.75" hidden="false" customHeight="true" outlineLevel="0" collapsed="false">
      <c r="E858" s="433"/>
      <c r="H858" s="175"/>
      <c r="I858" s="175"/>
      <c r="J858" s="175"/>
    </row>
    <row r="859" s="2" customFormat="true" ht="18.75" hidden="false" customHeight="true" outlineLevel="0" collapsed="false">
      <c r="E859" s="433"/>
      <c r="H859" s="175"/>
      <c r="I859" s="175"/>
      <c r="J859" s="175"/>
    </row>
    <row r="860" s="2" customFormat="true" ht="18.75" hidden="false" customHeight="true" outlineLevel="0" collapsed="false">
      <c r="E860" s="433"/>
      <c r="H860" s="175"/>
      <c r="I860" s="175"/>
      <c r="J860" s="175"/>
    </row>
    <row r="861" s="2" customFormat="true" ht="18.75" hidden="false" customHeight="true" outlineLevel="0" collapsed="false">
      <c r="E861" s="433"/>
      <c r="H861" s="175"/>
      <c r="I861" s="175"/>
      <c r="J861" s="175"/>
    </row>
    <row r="862" s="2" customFormat="true" ht="18.75" hidden="false" customHeight="true" outlineLevel="0" collapsed="false">
      <c r="E862" s="433"/>
      <c r="H862" s="175"/>
      <c r="I862" s="175"/>
      <c r="J862" s="175"/>
    </row>
    <row r="863" s="2" customFormat="true" ht="18.75" hidden="false" customHeight="true" outlineLevel="0" collapsed="false">
      <c r="E863" s="433"/>
      <c r="H863" s="175"/>
      <c r="I863" s="175"/>
      <c r="J863" s="175"/>
    </row>
    <row r="864" s="2" customFormat="true" ht="18.75" hidden="false" customHeight="true" outlineLevel="0" collapsed="false">
      <c r="E864" s="433"/>
      <c r="H864" s="175"/>
      <c r="I864" s="175"/>
      <c r="J864" s="175"/>
    </row>
    <row r="865" s="2" customFormat="true" ht="18.75" hidden="false" customHeight="true" outlineLevel="0" collapsed="false">
      <c r="E865" s="433"/>
      <c r="H865" s="175"/>
      <c r="I865" s="175"/>
      <c r="J865" s="175"/>
    </row>
    <row r="866" s="2" customFormat="true" ht="18.75" hidden="false" customHeight="true" outlineLevel="0" collapsed="false">
      <c r="E866" s="433"/>
      <c r="H866" s="175"/>
      <c r="I866" s="175"/>
      <c r="J866" s="175"/>
    </row>
    <row r="867" s="2" customFormat="true" ht="18.75" hidden="false" customHeight="true" outlineLevel="0" collapsed="false">
      <c r="E867" s="433"/>
      <c r="H867" s="175"/>
      <c r="I867" s="175"/>
      <c r="J867" s="175"/>
    </row>
    <row r="868" s="2" customFormat="true" ht="18.75" hidden="false" customHeight="true" outlineLevel="0" collapsed="false">
      <c r="E868" s="433"/>
      <c r="H868" s="175"/>
      <c r="I868" s="175"/>
      <c r="J868" s="175"/>
    </row>
    <row r="869" s="2" customFormat="true" ht="18.75" hidden="false" customHeight="true" outlineLevel="0" collapsed="false">
      <c r="E869" s="433"/>
      <c r="H869" s="175"/>
      <c r="I869" s="175"/>
      <c r="J869" s="175"/>
    </row>
    <row r="870" s="2" customFormat="true" ht="18.75" hidden="false" customHeight="true" outlineLevel="0" collapsed="false">
      <c r="E870" s="433"/>
      <c r="H870" s="175"/>
      <c r="I870" s="175"/>
      <c r="J870" s="175"/>
    </row>
    <row r="871" s="2" customFormat="true" ht="18.75" hidden="false" customHeight="true" outlineLevel="0" collapsed="false">
      <c r="E871" s="433"/>
      <c r="H871" s="175"/>
      <c r="I871" s="175"/>
      <c r="J871" s="175"/>
    </row>
    <row r="872" s="2" customFormat="true" ht="18.75" hidden="false" customHeight="true" outlineLevel="0" collapsed="false">
      <c r="E872" s="433"/>
      <c r="H872" s="175"/>
      <c r="I872" s="175"/>
      <c r="J872" s="175"/>
    </row>
    <row r="873" s="2" customFormat="true" ht="18.75" hidden="false" customHeight="true" outlineLevel="0" collapsed="false">
      <c r="E873" s="433"/>
      <c r="H873" s="175"/>
      <c r="I873" s="175"/>
      <c r="J873" s="175"/>
    </row>
    <row r="874" s="2" customFormat="true" ht="18.75" hidden="false" customHeight="true" outlineLevel="0" collapsed="false">
      <c r="E874" s="433"/>
      <c r="H874" s="175"/>
      <c r="I874" s="175"/>
      <c r="J874" s="175"/>
    </row>
    <row r="875" s="2" customFormat="true" ht="18.75" hidden="false" customHeight="true" outlineLevel="0" collapsed="false">
      <c r="E875" s="433"/>
      <c r="H875" s="175"/>
      <c r="I875" s="175"/>
      <c r="J875" s="175"/>
    </row>
    <row r="876" s="2" customFormat="true" ht="18.75" hidden="false" customHeight="true" outlineLevel="0" collapsed="false">
      <c r="E876" s="433"/>
      <c r="H876" s="175"/>
      <c r="I876" s="175"/>
      <c r="J876" s="175"/>
    </row>
    <row r="877" s="2" customFormat="true" ht="18.75" hidden="false" customHeight="true" outlineLevel="0" collapsed="false">
      <c r="E877" s="433"/>
      <c r="H877" s="175"/>
      <c r="I877" s="175"/>
      <c r="J877" s="175"/>
    </row>
    <row r="878" s="2" customFormat="true" ht="18.75" hidden="false" customHeight="true" outlineLevel="0" collapsed="false">
      <c r="E878" s="433"/>
      <c r="H878" s="175"/>
      <c r="I878" s="175"/>
      <c r="J878" s="175"/>
    </row>
    <row r="879" s="2" customFormat="true" ht="18.75" hidden="false" customHeight="true" outlineLevel="0" collapsed="false">
      <c r="E879" s="433"/>
      <c r="H879" s="175"/>
      <c r="I879" s="175"/>
      <c r="J879" s="175"/>
    </row>
    <row r="880" s="2" customFormat="true" ht="18.75" hidden="false" customHeight="true" outlineLevel="0" collapsed="false">
      <c r="E880" s="433"/>
      <c r="H880" s="175"/>
      <c r="I880" s="175"/>
      <c r="J880" s="175"/>
    </row>
    <row r="881" s="2" customFormat="true" ht="18.75" hidden="false" customHeight="true" outlineLevel="0" collapsed="false">
      <c r="E881" s="433"/>
      <c r="H881" s="175"/>
      <c r="I881" s="175"/>
      <c r="J881" s="175"/>
    </row>
    <row r="882" s="2" customFormat="true" ht="18.75" hidden="false" customHeight="true" outlineLevel="0" collapsed="false">
      <c r="E882" s="433"/>
      <c r="H882" s="175"/>
      <c r="I882" s="175"/>
      <c r="J882" s="175"/>
    </row>
    <row r="883" s="2" customFormat="true" ht="18.75" hidden="false" customHeight="true" outlineLevel="0" collapsed="false">
      <c r="E883" s="433"/>
      <c r="H883" s="175"/>
      <c r="I883" s="175"/>
      <c r="J883" s="175"/>
    </row>
    <row r="884" s="2" customFormat="true" ht="18.75" hidden="false" customHeight="true" outlineLevel="0" collapsed="false">
      <c r="E884" s="433"/>
      <c r="H884" s="175"/>
      <c r="I884" s="175"/>
      <c r="J884" s="175"/>
    </row>
    <row r="885" s="2" customFormat="true" ht="18.75" hidden="false" customHeight="true" outlineLevel="0" collapsed="false">
      <c r="E885" s="433"/>
      <c r="H885" s="175"/>
      <c r="I885" s="175"/>
      <c r="J885" s="175"/>
    </row>
    <row r="886" s="2" customFormat="true" ht="18.75" hidden="false" customHeight="true" outlineLevel="0" collapsed="false">
      <c r="E886" s="433"/>
      <c r="H886" s="175"/>
      <c r="I886" s="175"/>
      <c r="J886" s="175"/>
    </row>
    <row r="887" s="2" customFormat="true" ht="18.75" hidden="false" customHeight="true" outlineLevel="0" collapsed="false">
      <c r="E887" s="433"/>
      <c r="H887" s="175"/>
      <c r="I887" s="175"/>
      <c r="J887" s="175"/>
    </row>
    <row r="888" s="2" customFormat="true" ht="18.75" hidden="false" customHeight="true" outlineLevel="0" collapsed="false">
      <c r="E888" s="433"/>
      <c r="H888" s="175"/>
      <c r="I888" s="175"/>
      <c r="J888" s="175"/>
    </row>
    <row r="889" s="2" customFormat="true" ht="18.75" hidden="false" customHeight="true" outlineLevel="0" collapsed="false">
      <c r="E889" s="433"/>
      <c r="H889" s="175"/>
      <c r="I889" s="175"/>
      <c r="J889" s="175"/>
    </row>
    <row r="890" s="2" customFormat="true" ht="18.75" hidden="false" customHeight="true" outlineLevel="0" collapsed="false">
      <c r="E890" s="433"/>
      <c r="H890" s="175"/>
      <c r="I890" s="175"/>
      <c r="J890" s="175"/>
    </row>
    <row r="891" s="2" customFormat="true" ht="18.75" hidden="false" customHeight="true" outlineLevel="0" collapsed="false">
      <c r="E891" s="433"/>
      <c r="H891" s="175"/>
      <c r="I891" s="175"/>
      <c r="J891" s="175"/>
    </row>
    <row r="892" s="2" customFormat="true" ht="18.75" hidden="false" customHeight="true" outlineLevel="0" collapsed="false">
      <c r="E892" s="433"/>
      <c r="H892" s="175"/>
      <c r="I892" s="175"/>
      <c r="J892" s="175"/>
    </row>
    <row r="893" s="2" customFormat="true" ht="18.75" hidden="false" customHeight="true" outlineLevel="0" collapsed="false">
      <c r="E893" s="433"/>
      <c r="H893" s="175"/>
      <c r="I893" s="175"/>
      <c r="J893" s="175"/>
    </row>
    <row r="894" s="2" customFormat="true" ht="18.75" hidden="false" customHeight="true" outlineLevel="0" collapsed="false">
      <c r="E894" s="433"/>
      <c r="H894" s="175"/>
      <c r="I894" s="175"/>
      <c r="J894" s="175"/>
    </row>
    <row r="895" s="2" customFormat="true" ht="18.75" hidden="false" customHeight="true" outlineLevel="0" collapsed="false">
      <c r="E895" s="433"/>
      <c r="H895" s="175"/>
      <c r="I895" s="175"/>
      <c r="J895" s="175"/>
    </row>
    <row r="896" s="2" customFormat="true" ht="18.75" hidden="false" customHeight="true" outlineLevel="0" collapsed="false">
      <c r="E896" s="433"/>
      <c r="H896" s="175"/>
      <c r="I896" s="175"/>
      <c r="J896" s="175"/>
    </row>
    <row r="897" s="2" customFormat="true" ht="18.75" hidden="false" customHeight="true" outlineLevel="0" collapsed="false">
      <c r="E897" s="433"/>
      <c r="H897" s="175"/>
      <c r="I897" s="175"/>
      <c r="J897" s="175"/>
    </row>
    <row r="898" s="2" customFormat="true" ht="18.75" hidden="false" customHeight="true" outlineLevel="0" collapsed="false">
      <c r="E898" s="433"/>
      <c r="H898" s="175"/>
      <c r="I898" s="175"/>
      <c r="J898" s="175"/>
    </row>
    <row r="899" s="2" customFormat="true" ht="18.75" hidden="false" customHeight="true" outlineLevel="0" collapsed="false">
      <c r="E899" s="433"/>
      <c r="H899" s="175"/>
      <c r="I899" s="175"/>
      <c r="J899" s="175"/>
    </row>
    <row r="900" s="2" customFormat="true" ht="18.75" hidden="false" customHeight="true" outlineLevel="0" collapsed="false">
      <c r="E900" s="433"/>
      <c r="H900" s="175"/>
      <c r="I900" s="175"/>
      <c r="J900" s="175"/>
    </row>
    <row r="901" s="2" customFormat="true" ht="18.75" hidden="false" customHeight="true" outlineLevel="0" collapsed="false">
      <c r="E901" s="433"/>
      <c r="H901" s="175"/>
      <c r="I901" s="175"/>
      <c r="J901" s="175"/>
    </row>
    <row r="902" s="2" customFormat="true" ht="18.75" hidden="false" customHeight="true" outlineLevel="0" collapsed="false">
      <c r="E902" s="433"/>
      <c r="H902" s="175"/>
      <c r="I902" s="175"/>
      <c r="J902" s="175"/>
    </row>
    <row r="903" s="2" customFormat="true" ht="18.75" hidden="false" customHeight="true" outlineLevel="0" collapsed="false">
      <c r="E903" s="433"/>
      <c r="H903" s="175"/>
      <c r="I903" s="175"/>
      <c r="J903" s="175"/>
    </row>
    <row r="904" s="2" customFormat="true" ht="18.75" hidden="false" customHeight="true" outlineLevel="0" collapsed="false">
      <c r="E904" s="433"/>
      <c r="H904" s="175"/>
      <c r="I904" s="175"/>
      <c r="J904" s="175"/>
    </row>
    <row r="905" s="2" customFormat="true" ht="18.75" hidden="false" customHeight="true" outlineLevel="0" collapsed="false">
      <c r="E905" s="433"/>
      <c r="H905" s="175"/>
      <c r="I905" s="175"/>
      <c r="J905" s="175"/>
    </row>
    <row r="906" s="2" customFormat="true" ht="18.75" hidden="false" customHeight="true" outlineLevel="0" collapsed="false">
      <c r="E906" s="433"/>
      <c r="H906" s="175"/>
      <c r="I906" s="175"/>
      <c r="J906" s="175"/>
    </row>
    <row r="907" s="2" customFormat="true" ht="18.75" hidden="false" customHeight="true" outlineLevel="0" collapsed="false">
      <c r="E907" s="433"/>
      <c r="H907" s="175"/>
      <c r="I907" s="175"/>
      <c r="J907" s="175"/>
    </row>
    <row r="908" s="2" customFormat="true" ht="18.75" hidden="false" customHeight="true" outlineLevel="0" collapsed="false">
      <c r="E908" s="433"/>
      <c r="H908" s="175"/>
      <c r="I908" s="175"/>
      <c r="J908" s="175"/>
    </row>
    <row r="909" s="2" customFormat="true" ht="18.75" hidden="false" customHeight="true" outlineLevel="0" collapsed="false">
      <c r="E909" s="433"/>
      <c r="H909" s="175"/>
      <c r="I909" s="175"/>
      <c r="J909" s="175"/>
    </row>
    <row r="910" s="2" customFormat="true" ht="18.75" hidden="false" customHeight="true" outlineLevel="0" collapsed="false">
      <c r="E910" s="433"/>
      <c r="H910" s="175"/>
      <c r="I910" s="175"/>
      <c r="J910" s="175"/>
    </row>
    <row r="911" s="2" customFormat="true" ht="18.75" hidden="false" customHeight="true" outlineLevel="0" collapsed="false">
      <c r="E911" s="433"/>
      <c r="H911" s="175"/>
      <c r="I911" s="175"/>
      <c r="J911" s="175"/>
    </row>
    <row r="912" s="2" customFormat="true" ht="18.75" hidden="false" customHeight="true" outlineLevel="0" collapsed="false">
      <c r="E912" s="433"/>
      <c r="H912" s="175"/>
      <c r="I912" s="175"/>
      <c r="J912" s="175"/>
    </row>
    <row r="913" s="2" customFormat="true" ht="18.75" hidden="false" customHeight="true" outlineLevel="0" collapsed="false">
      <c r="E913" s="433"/>
      <c r="H913" s="175"/>
      <c r="I913" s="175"/>
      <c r="J913" s="175"/>
    </row>
    <row r="914" s="2" customFormat="true" ht="18.75" hidden="false" customHeight="true" outlineLevel="0" collapsed="false">
      <c r="E914" s="433"/>
      <c r="H914" s="175"/>
      <c r="I914" s="175"/>
      <c r="J914" s="175"/>
    </row>
    <row r="915" s="2" customFormat="true" ht="18.75" hidden="false" customHeight="true" outlineLevel="0" collapsed="false">
      <c r="E915" s="433"/>
      <c r="H915" s="175"/>
      <c r="I915" s="175"/>
      <c r="J915" s="175"/>
    </row>
    <row r="916" s="2" customFormat="true" ht="18.75" hidden="false" customHeight="true" outlineLevel="0" collapsed="false">
      <c r="E916" s="433"/>
      <c r="H916" s="175"/>
      <c r="I916" s="175"/>
      <c r="J916" s="175"/>
    </row>
    <row r="917" s="2" customFormat="true" ht="18.75" hidden="false" customHeight="true" outlineLevel="0" collapsed="false">
      <c r="E917" s="433"/>
      <c r="H917" s="175"/>
      <c r="I917" s="175"/>
      <c r="J917" s="175"/>
    </row>
    <row r="918" s="2" customFormat="true" ht="18.75" hidden="false" customHeight="true" outlineLevel="0" collapsed="false">
      <c r="E918" s="433"/>
      <c r="H918" s="175"/>
      <c r="I918" s="175"/>
      <c r="J918" s="175"/>
    </row>
    <row r="919" s="2" customFormat="true" ht="18.75" hidden="false" customHeight="true" outlineLevel="0" collapsed="false">
      <c r="E919" s="433"/>
      <c r="H919" s="175"/>
      <c r="I919" s="175"/>
      <c r="J919" s="175"/>
    </row>
    <row r="920" s="2" customFormat="true" ht="18.75" hidden="false" customHeight="true" outlineLevel="0" collapsed="false">
      <c r="E920" s="433"/>
      <c r="H920" s="175"/>
      <c r="I920" s="175"/>
      <c r="J920" s="175"/>
    </row>
    <row r="921" s="2" customFormat="true" ht="18.75" hidden="false" customHeight="true" outlineLevel="0" collapsed="false">
      <c r="E921" s="433"/>
      <c r="H921" s="175"/>
      <c r="I921" s="175"/>
      <c r="J921" s="175"/>
    </row>
    <row r="922" s="2" customFormat="true" ht="18.75" hidden="false" customHeight="true" outlineLevel="0" collapsed="false">
      <c r="E922" s="433"/>
      <c r="H922" s="175"/>
      <c r="I922" s="175"/>
      <c r="J922" s="175"/>
    </row>
    <row r="923" s="2" customFormat="true" ht="18.75" hidden="false" customHeight="true" outlineLevel="0" collapsed="false">
      <c r="E923" s="433"/>
      <c r="H923" s="175"/>
      <c r="I923" s="175"/>
      <c r="J923" s="175"/>
    </row>
    <row r="924" s="2" customFormat="true" ht="18.75" hidden="false" customHeight="true" outlineLevel="0" collapsed="false">
      <c r="E924" s="433"/>
      <c r="H924" s="175"/>
      <c r="I924" s="175"/>
      <c r="J924" s="175"/>
    </row>
    <row r="925" s="2" customFormat="true" ht="18.75" hidden="false" customHeight="true" outlineLevel="0" collapsed="false">
      <c r="E925" s="433"/>
      <c r="H925" s="175"/>
      <c r="I925" s="175"/>
      <c r="J925" s="175"/>
    </row>
    <row r="926" s="2" customFormat="true" ht="18.75" hidden="false" customHeight="true" outlineLevel="0" collapsed="false">
      <c r="E926" s="433"/>
      <c r="H926" s="175"/>
      <c r="I926" s="175"/>
      <c r="J926" s="175"/>
    </row>
    <row r="927" s="2" customFormat="true" ht="18.75" hidden="false" customHeight="true" outlineLevel="0" collapsed="false">
      <c r="E927" s="433"/>
      <c r="H927" s="175"/>
      <c r="I927" s="175"/>
      <c r="J927" s="175"/>
    </row>
    <row r="928" s="2" customFormat="true" ht="18.75" hidden="false" customHeight="true" outlineLevel="0" collapsed="false">
      <c r="E928" s="433"/>
      <c r="H928" s="175"/>
      <c r="I928" s="175"/>
      <c r="J928" s="175"/>
    </row>
    <row r="929" s="2" customFormat="true" ht="18.75" hidden="false" customHeight="true" outlineLevel="0" collapsed="false">
      <c r="E929" s="433"/>
      <c r="H929" s="175"/>
      <c r="I929" s="175"/>
      <c r="J929" s="175"/>
    </row>
    <row r="930" s="2" customFormat="true" ht="18.75" hidden="false" customHeight="true" outlineLevel="0" collapsed="false">
      <c r="E930" s="433"/>
      <c r="H930" s="175"/>
      <c r="I930" s="175"/>
      <c r="J930" s="175"/>
    </row>
    <row r="931" s="2" customFormat="true" ht="18.75" hidden="false" customHeight="true" outlineLevel="0" collapsed="false">
      <c r="E931" s="433"/>
      <c r="H931" s="175"/>
      <c r="I931" s="175"/>
      <c r="J931" s="175"/>
    </row>
    <row r="932" s="2" customFormat="true" ht="18.75" hidden="false" customHeight="true" outlineLevel="0" collapsed="false">
      <c r="E932" s="433"/>
      <c r="H932" s="175"/>
      <c r="I932" s="175"/>
      <c r="J932" s="175"/>
    </row>
    <row r="933" s="2" customFormat="true" ht="18.75" hidden="false" customHeight="true" outlineLevel="0" collapsed="false">
      <c r="E933" s="433"/>
      <c r="H933" s="175"/>
      <c r="I933" s="175"/>
      <c r="J933" s="175"/>
    </row>
    <row r="934" s="2" customFormat="true" ht="18.75" hidden="false" customHeight="true" outlineLevel="0" collapsed="false">
      <c r="E934" s="433"/>
      <c r="H934" s="175"/>
      <c r="I934" s="175"/>
      <c r="J934" s="175"/>
    </row>
    <row r="935" s="2" customFormat="true" ht="18.75" hidden="false" customHeight="true" outlineLevel="0" collapsed="false">
      <c r="E935" s="433"/>
      <c r="H935" s="175"/>
      <c r="I935" s="175"/>
      <c r="J935" s="175"/>
    </row>
    <row r="936" s="2" customFormat="true" ht="18.75" hidden="false" customHeight="true" outlineLevel="0" collapsed="false">
      <c r="E936" s="433"/>
      <c r="H936" s="175"/>
      <c r="I936" s="175"/>
      <c r="J936" s="175"/>
    </row>
    <row r="937" s="2" customFormat="true" ht="18.75" hidden="false" customHeight="true" outlineLevel="0" collapsed="false">
      <c r="E937" s="433"/>
      <c r="H937" s="175"/>
      <c r="I937" s="175"/>
      <c r="J937" s="175"/>
    </row>
    <row r="938" s="2" customFormat="true" ht="18.75" hidden="false" customHeight="true" outlineLevel="0" collapsed="false">
      <c r="E938" s="433"/>
      <c r="H938" s="175"/>
      <c r="I938" s="175"/>
      <c r="J938" s="175"/>
    </row>
    <row r="939" s="2" customFormat="true" ht="18.75" hidden="false" customHeight="true" outlineLevel="0" collapsed="false">
      <c r="E939" s="433"/>
      <c r="H939" s="175"/>
      <c r="I939" s="175"/>
      <c r="J939" s="175"/>
    </row>
    <row r="940" s="2" customFormat="true" ht="18.75" hidden="false" customHeight="true" outlineLevel="0" collapsed="false">
      <c r="E940" s="433"/>
      <c r="H940" s="175"/>
      <c r="I940" s="175"/>
      <c r="J940" s="175"/>
    </row>
    <row r="941" s="2" customFormat="true" ht="18.75" hidden="false" customHeight="true" outlineLevel="0" collapsed="false">
      <c r="E941" s="433"/>
      <c r="H941" s="175"/>
      <c r="I941" s="175"/>
      <c r="J941" s="175"/>
    </row>
    <row r="942" s="2" customFormat="true" ht="18.75" hidden="false" customHeight="true" outlineLevel="0" collapsed="false">
      <c r="E942" s="433"/>
      <c r="H942" s="175"/>
      <c r="I942" s="175"/>
      <c r="J942" s="175"/>
    </row>
    <row r="943" s="2" customFormat="true" ht="18.75" hidden="false" customHeight="true" outlineLevel="0" collapsed="false">
      <c r="E943" s="433"/>
      <c r="H943" s="175"/>
      <c r="I943" s="175"/>
      <c r="J943" s="175"/>
    </row>
    <row r="944" s="2" customFormat="true" ht="18.75" hidden="false" customHeight="true" outlineLevel="0" collapsed="false">
      <c r="E944" s="433"/>
      <c r="H944" s="175"/>
      <c r="I944" s="175"/>
      <c r="J944" s="175"/>
    </row>
    <row r="945" s="2" customFormat="true" ht="18.75" hidden="false" customHeight="true" outlineLevel="0" collapsed="false">
      <c r="E945" s="433"/>
      <c r="H945" s="175"/>
      <c r="I945" s="175"/>
      <c r="J945" s="175"/>
    </row>
    <row r="946" s="2" customFormat="true" ht="18.75" hidden="false" customHeight="true" outlineLevel="0" collapsed="false">
      <c r="E946" s="433"/>
      <c r="H946" s="175"/>
      <c r="I946" s="175"/>
      <c r="J946" s="175"/>
    </row>
    <row r="947" s="2" customFormat="true" ht="18.75" hidden="false" customHeight="true" outlineLevel="0" collapsed="false">
      <c r="E947" s="433"/>
      <c r="H947" s="175"/>
      <c r="I947" s="175"/>
      <c r="J947" s="175"/>
    </row>
    <row r="948" s="2" customFormat="true" ht="18.75" hidden="false" customHeight="true" outlineLevel="0" collapsed="false">
      <c r="E948" s="433"/>
      <c r="H948" s="175"/>
      <c r="I948" s="175"/>
      <c r="J948" s="175"/>
    </row>
    <row r="949" s="2" customFormat="true" ht="18.75" hidden="false" customHeight="true" outlineLevel="0" collapsed="false">
      <c r="E949" s="433"/>
      <c r="H949" s="175"/>
      <c r="I949" s="175"/>
      <c r="J949" s="175"/>
    </row>
    <row r="950" s="2" customFormat="true" ht="18.75" hidden="false" customHeight="true" outlineLevel="0" collapsed="false">
      <c r="E950" s="433"/>
      <c r="H950" s="175"/>
      <c r="I950" s="175"/>
      <c r="J950" s="175"/>
    </row>
    <row r="951" s="2" customFormat="true" ht="18.75" hidden="false" customHeight="true" outlineLevel="0" collapsed="false">
      <c r="E951" s="433"/>
      <c r="H951" s="175"/>
      <c r="I951" s="175"/>
      <c r="J951" s="175"/>
    </row>
    <row r="952" s="2" customFormat="true" ht="18.75" hidden="false" customHeight="true" outlineLevel="0" collapsed="false">
      <c r="E952" s="433"/>
      <c r="H952" s="175"/>
      <c r="I952" s="175"/>
      <c r="J952" s="175"/>
    </row>
    <row r="953" s="2" customFormat="true" ht="18.75" hidden="false" customHeight="true" outlineLevel="0" collapsed="false">
      <c r="E953" s="433"/>
      <c r="H953" s="175"/>
      <c r="I953" s="175"/>
      <c r="J953" s="175"/>
    </row>
    <row r="954" s="2" customFormat="true" ht="18.75" hidden="false" customHeight="true" outlineLevel="0" collapsed="false">
      <c r="E954" s="433"/>
      <c r="H954" s="175"/>
      <c r="I954" s="175"/>
      <c r="J954" s="175"/>
    </row>
    <row r="955" s="2" customFormat="true" ht="18.75" hidden="false" customHeight="true" outlineLevel="0" collapsed="false">
      <c r="E955" s="433"/>
      <c r="H955" s="175"/>
      <c r="I955" s="175"/>
      <c r="J955" s="175"/>
    </row>
    <row r="956" s="2" customFormat="true" ht="18.75" hidden="false" customHeight="true" outlineLevel="0" collapsed="false">
      <c r="E956" s="433"/>
      <c r="H956" s="175"/>
      <c r="I956" s="175"/>
      <c r="J956" s="175"/>
    </row>
    <row r="957" s="2" customFormat="true" ht="18.75" hidden="false" customHeight="true" outlineLevel="0" collapsed="false">
      <c r="E957" s="433"/>
      <c r="H957" s="175"/>
      <c r="I957" s="175"/>
      <c r="J957" s="175"/>
    </row>
    <row r="958" s="2" customFormat="true" ht="18.75" hidden="false" customHeight="true" outlineLevel="0" collapsed="false">
      <c r="E958" s="433"/>
      <c r="H958" s="175"/>
      <c r="I958" s="175"/>
      <c r="J958" s="175"/>
    </row>
    <row r="959" s="2" customFormat="true" ht="18.75" hidden="false" customHeight="true" outlineLevel="0" collapsed="false">
      <c r="E959" s="433"/>
      <c r="H959" s="175"/>
      <c r="I959" s="175"/>
      <c r="J959" s="175"/>
    </row>
    <row r="960" s="2" customFormat="true" ht="18.75" hidden="false" customHeight="true" outlineLevel="0" collapsed="false">
      <c r="E960" s="433"/>
      <c r="H960" s="175"/>
      <c r="I960" s="175"/>
      <c r="J960" s="175"/>
    </row>
    <row r="961" s="2" customFormat="true" ht="18.75" hidden="false" customHeight="true" outlineLevel="0" collapsed="false">
      <c r="E961" s="433"/>
      <c r="H961" s="175"/>
      <c r="I961" s="175"/>
      <c r="J961" s="175"/>
    </row>
    <row r="962" s="2" customFormat="true" ht="18.75" hidden="false" customHeight="true" outlineLevel="0" collapsed="false">
      <c r="E962" s="433"/>
      <c r="H962" s="175"/>
      <c r="I962" s="175"/>
      <c r="J962" s="175"/>
    </row>
    <row r="963" s="2" customFormat="true" ht="18.75" hidden="false" customHeight="true" outlineLevel="0" collapsed="false">
      <c r="E963" s="433"/>
      <c r="H963" s="175"/>
      <c r="I963" s="175"/>
      <c r="J963" s="175"/>
    </row>
    <row r="964" s="2" customFormat="true" ht="18.75" hidden="false" customHeight="true" outlineLevel="0" collapsed="false">
      <c r="E964" s="433"/>
      <c r="H964" s="175"/>
      <c r="I964" s="175"/>
      <c r="J964" s="175"/>
    </row>
    <row r="965" s="2" customFormat="true" ht="18.75" hidden="false" customHeight="true" outlineLevel="0" collapsed="false">
      <c r="E965" s="433"/>
      <c r="H965" s="175"/>
      <c r="I965" s="175"/>
      <c r="J965" s="175"/>
    </row>
    <row r="966" s="2" customFormat="true" ht="18.75" hidden="false" customHeight="true" outlineLevel="0" collapsed="false">
      <c r="E966" s="433"/>
      <c r="H966" s="175"/>
      <c r="I966" s="175"/>
      <c r="J966" s="175"/>
    </row>
    <row r="967" s="2" customFormat="true" ht="18.75" hidden="false" customHeight="true" outlineLevel="0" collapsed="false">
      <c r="E967" s="433"/>
      <c r="H967" s="175"/>
      <c r="I967" s="175"/>
      <c r="J967" s="175"/>
    </row>
    <row r="968" s="2" customFormat="true" ht="18.75" hidden="false" customHeight="true" outlineLevel="0" collapsed="false">
      <c r="E968" s="433"/>
      <c r="H968" s="175"/>
      <c r="I968" s="175"/>
      <c r="J968" s="175"/>
    </row>
    <row r="969" s="2" customFormat="true" ht="18.75" hidden="false" customHeight="true" outlineLevel="0" collapsed="false">
      <c r="E969" s="433"/>
      <c r="H969" s="175"/>
      <c r="I969" s="175"/>
      <c r="J969" s="175"/>
    </row>
    <row r="970" s="2" customFormat="true" ht="18.75" hidden="false" customHeight="true" outlineLevel="0" collapsed="false">
      <c r="E970" s="433"/>
      <c r="H970" s="175"/>
      <c r="I970" s="175"/>
      <c r="J970" s="175"/>
    </row>
    <row r="971" s="2" customFormat="true" ht="18.75" hidden="false" customHeight="true" outlineLevel="0" collapsed="false">
      <c r="E971" s="433"/>
      <c r="H971" s="175"/>
      <c r="I971" s="175"/>
      <c r="J971" s="175"/>
    </row>
    <row r="972" s="2" customFormat="true" ht="18.75" hidden="false" customHeight="true" outlineLevel="0" collapsed="false">
      <c r="E972" s="433"/>
      <c r="H972" s="175"/>
      <c r="I972" s="175"/>
      <c r="J972" s="175"/>
    </row>
    <row r="973" s="2" customFormat="true" ht="18.75" hidden="false" customHeight="true" outlineLevel="0" collapsed="false">
      <c r="E973" s="433"/>
      <c r="H973" s="175"/>
      <c r="I973" s="175"/>
      <c r="J973" s="175"/>
    </row>
    <row r="974" s="2" customFormat="true" ht="18.75" hidden="false" customHeight="true" outlineLevel="0" collapsed="false">
      <c r="E974" s="433"/>
      <c r="H974" s="175"/>
      <c r="I974" s="175"/>
      <c r="J974" s="175"/>
    </row>
    <row r="975" s="2" customFormat="true" ht="18.75" hidden="false" customHeight="true" outlineLevel="0" collapsed="false">
      <c r="E975" s="433"/>
      <c r="H975" s="175"/>
      <c r="I975" s="175"/>
      <c r="J975" s="175"/>
    </row>
    <row r="976" s="2" customFormat="true" ht="18.75" hidden="false" customHeight="true" outlineLevel="0" collapsed="false">
      <c r="E976" s="433"/>
      <c r="H976" s="175"/>
      <c r="I976" s="175"/>
      <c r="J976" s="175"/>
    </row>
    <row r="977" s="2" customFormat="true" ht="18.75" hidden="false" customHeight="true" outlineLevel="0" collapsed="false">
      <c r="E977" s="433"/>
      <c r="H977" s="175"/>
      <c r="I977" s="175"/>
      <c r="J977" s="175"/>
    </row>
    <row r="978" s="2" customFormat="true" ht="18.75" hidden="false" customHeight="true" outlineLevel="0" collapsed="false">
      <c r="E978" s="433"/>
      <c r="H978" s="175"/>
      <c r="I978" s="175"/>
      <c r="J978" s="175"/>
    </row>
    <row r="979" s="2" customFormat="true" ht="18.75" hidden="false" customHeight="true" outlineLevel="0" collapsed="false">
      <c r="E979" s="433"/>
      <c r="H979" s="175"/>
      <c r="I979" s="175"/>
      <c r="J979" s="175"/>
    </row>
    <row r="980" s="2" customFormat="true" ht="18.75" hidden="false" customHeight="true" outlineLevel="0" collapsed="false">
      <c r="E980" s="433"/>
      <c r="H980" s="175"/>
      <c r="I980" s="175"/>
      <c r="J980" s="175"/>
    </row>
    <row r="981" s="2" customFormat="true" ht="18.75" hidden="false" customHeight="true" outlineLevel="0" collapsed="false">
      <c r="E981" s="433"/>
      <c r="H981" s="175"/>
      <c r="I981" s="175"/>
      <c r="J981" s="175"/>
    </row>
    <row r="982" s="2" customFormat="true" ht="18.75" hidden="false" customHeight="true" outlineLevel="0" collapsed="false">
      <c r="E982" s="433"/>
      <c r="H982" s="175"/>
      <c r="I982" s="175"/>
      <c r="J982" s="175"/>
    </row>
    <row r="983" s="2" customFormat="true" ht="18.75" hidden="false" customHeight="true" outlineLevel="0" collapsed="false">
      <c r="E983" s="433"/>
      <c r="H983" s="175"/>
      <c r="I983" s="175"/>
      <c r="J983" s="175"/>
    </row>
    <row r="984" s="2" customFormat="true" ht="18.75" hidden="false" customHeight="true" outlineLevel="0" collapsed="false">
      <c r="E984" s="433"/>
      <c r="H984" s="175"/>
      <c r="I984" s="175"/>
      <c r="J984" s="175"/>
    </row>
    <row r="985" s="2" customFormat="true" ht="18.75" hidden="false" customHeight="true" outlineLevel="0" collapsed="false">
      <c r="E985" s="433"/>
      <c r="H985" s="175"/>
      <c r="I985" s="175"/>
      <c r="J985" s="175"/>
    </row>
    <row r="986" s="2" customFormat="true" ht="18.75" hidden="false" customHeight="true" outlineLevel="0" collapsed="false">
      <c r="E986" s="433"/>
      <c r="H986" s="175"/>
      <c r="I986" s="175"/>
      <c r="J986" s="175"/>
    </row>
    <row r="987" s="2" customFormat="true" ht="18.75" hidden="false" customHeight="true" outlineLevel="0" collapsed="false">
      <c r="E987" s="433"/>
      <c r="H987" s="175"/>
      <c r="I987" s="175"/>
      <c r="J987" s="175"/>
    </row>
    <row r="988" s="2" customFormat="true" ht="18.75" hidden="false" customHeight="true" outlineLevel="0" collapsed="false">
      <c r="E988" s="433"/>
      <c r="H988" s="175"/>
      <c r="I988" s="175"/>
      <c r="J988" s="175"/>
    </row>
    <row r="989" s="2" customFormat="true" ht="18.75" hidden="false" customHeight="true" outlineLevel="0" collapsed="false">
      <c r="E989" s="433"/>
      <c r="H989" s="175"/>
      <c r="I989" s="175"/>
      <c r="J989" s="175"/>
    </row>
    <row r="990" s="2" customFormat="true" ht="18.75" hidden="false" customHeight="true" outlineLevel="0" collapsed="false">
      <c r="E990" s="433"/>
      <c r="H990" s="175"/>
      <c r="I990" s="175"/>
      <c r="J990" s="175"/>
    </row>
    <row r="991" s="2" customFormat="true" ht="18.75" hidden="false" customHeight="true" outlineLevel="0" collapsed="false">
      <c r="E991" s="433"/>
      <c r="H991" s="175"/>
      <c r="I991" s="175"/>
      <c r="J991" s="175"/>
    </row>
    <row r="992" s="2" customFormat="true" ht="18.75" hidden="false" customHeight="true" outlineLevel="0" collapsed="false">
      <c r="E992" s="433"/>
      <c r="H992" s="175"/>
      <c r="I992" s="175"/>
      <c r="J992" s="175"/>
    </row>
    <row r="993" s="2" customFormat="true" ht="18.75" hidden="false" customHeight="true" outlineLevel="0" collapsed="false">
      <c r="E993" s="433"/>
      <c r="H993" s="175"/>
      <c r="I993" s="175"/>
      <c r="J993" s="175"/>
    </row>
    <row r="994" s="2" customFormat="true" ht="18.75" hidden="false" customHeight="true" outlineLevel="0" collapsed="false">
      <c r="E994" s="433"/>
      <c r="H994" s="175"/>
      <c r="I994" s="175"/>
      <c r="J994" s="175"/>
    </row>
    <row r="995" s="2" customFormat="true" ht="18.75" hidden="false" customHeight="true" outlineLevel="0" collapsed="false">
      <c r="E995" s="433"/>
      <c r="H995" s="175"/>
      <c r="I995" s="175"/>
      <c r="J995" s="175"/>
    </row>
    <row r="996" s="2" customFormat="true" ht="18.75" hidden="false" customHeight="true" outlineLevel="0" collapsed="false">
      <c r="E996" s="433"/>
      <c r="H996" s="175"/>
      <c r="I996" s="175"/>
      <c r="J996" s="175"/>
    </row>
    <row r="997" s="2" customFormat="true" ht="18.75" hidden="false" customHeight="true" outlineLevel="0" collapsed="false">
      <c r="E997" s="433"/>
      <c r="H997" s="175"/>
      <c r="I997" s="175"/>
      <c r="J997" s="175"/>
    </row>
    <row r="998" s="2" customFormat="true" ht="18.75" hidden="false" customHeight="true" outlineLevel="0" collapsed="false">
      <c r="E998" s="433"/>
      <c r="H998" s="175"/>
      <c r="I998" s="175"/>
      <c r="J998" s="175"/>
    </row>
    <row r="999" s="2" customFormat="true" ht="18.75" hidden="false" customHeight="true" outlineLevel="0" collapsed="false">
      <c r="E999" s="433"/>
      <c r="H999" s="175"/>
      <c r="I999" s="175"/>
      <c r="J999" s="175"/>
    </row>
    <row r="1000" s="2" customFormat="true" ht="18.75" hidden="false" customHeight="true" outlineLevel="0" collapsed="false">
      <c r="E1000" s="433"/>
      <c r="H1000" s="175"/>
      <c r="I1000" s="175"/>
      <c r="J1000" s="175"/>
    </row>
    <row r="1001" s="2" customFormat="true" ht="18.75" hidden="false" customHeight="true" outlineLevel="0" collapsed="false">
      <c r="E1001" s="433"/>
      <c r="H1001" s="175"/>
      <c r="I1001" s="175"/>
      <c r="J1001" s="175"/>
    </row>
    <row r="1002" s="2" customFormat="true" ht="18.75" hidden="false" customHeight="true" outlineLevel="0" collapsed="false">
      <c r="E1002" s="433"/>
      <c r="H1002" s="175"/>
      <c r="I1002" s="175"/>
      <c r="J1002" s="175"/>
    </row>
    <row r="1003" s="2" customFormat="true" ht="18.75" hidden="false" customHeight="true" outlineLevel="0" collapsed="false">
      <c r="E1003" s="433"/>
      <c r="H1003" s="175"/>
      <c r="I1003" s="175"/>
      <c r="J1003" s="175"/>
    </row>
    <row r="1004" s="2" customFormat="true" ht="18.75" hidden="false" customHeight="true" outlineLevel="0" collapsed="false">
      <c r="E1004" s="433"/>
      <c r="H1004" s="175"/>
      <c r="I1004" s="175"/>
      <c r="J1004" s="175"/>
    </row>
    <row r="1005" s="2" customFormat="true" ht="18.75" hidden="false" customHeight="true" outlineLevel="0" collapsed="false">
      <c r="E1005" s="433"/>
      <c r="H1005" s="175"/>
      <c r="I1005" s="175"/>
      <c r="J1005" s="175"/>
    </row>
    <row r="1006" s="2" customFormat="true" ht="18.75" hidden="false" customHeight="true" outlineLevel="0" collapsed="false">
      <c r="E1006" s="433"/>
      <c r="H1006" s="175"/>
      <c r="I1006" s="175"/>
      <c r="J1006" s="175"/>
    </row>
    <row r="1007" s="2" customFormat="true" ht="18.75" hidden="false" customHeight="true" outlineLevel="0" collapsed="false">
      <c r="E1007" s="433"/>
      <c r="H1007" s="175"/>
      <c r="I1007" s="175"/>
      <c r="J1007" s="175"/>
    </row>
    <row r="1008" s="2" customFormat="true" ht="18.75" hidden="false" customHeight="true" outlineLevel="0" collapsed="false">
      <c r="E1008" s="433"/>
      <c r="H1008" s="175"/>
      <c r="I1008" s="175"/>
      <c r="J1008" s="175"/>
    </row>
    <row r="1009" s="2" customFormat="true" ht="18.75" hidden="false" customHeight="true" outlineLevel="0" collapsed="false">
      <c r="E1009" s="433"/>
      <c r="H1009" s="175"/>
      <c r="I1009" s="175"/>
      <c r="J1009" s="175"/>
    </row>
    <row r="1010" s="2" customFormat="true" ht="18.75" hidden="false" customHeight="true" outlineLevel="0" collapsed="false">
      <c r="E1010" s="433"/>
      <c r="H1010" s="175"/>
      <c r="I1010" s="175"/>
      <c r="J1010" s="175"/>
    </row>
    <row r="1011" s="2" customFormat="true" ht="18.75" hidden="false" customHeight="true" outlineLevel="0" collapsed="false">
      <c r="E1011" s="433"/>
      <c r="H1011" s="175"/>
      <c r="I1011" s="175"/>
      <c r="J1011" s="175"/>
    </row>
    <row r="1012" s="2" customFormat="true" ht="18.75" hidden="false" customHeight="true" outlineLevel="0" collapsed="false">
      <c r="E1012" s="433"/>
      <c r="H1012" s="175"/>
      <c r="I1012" s="175"/>
      <c r="J1012" s="175"/>
    </row>
    <row r="1013" s="2" customFormat="true" ht="18.75" hidden="false" customHeight="true" outlineLevel="0" collapsed="false">
      <c r="E1013" s="433"/>
      <c r="H1013" s="175"/>
      <c r="I1013" s="175"/>
      <c r="J1013" s="175"/>
    </row>
    <row r="1014" s="2" customFormat="true" ht="18.75" hidden="false" customHeight="true" outlineLevel="0" collapsed="false">
      <c r="E1014" s="433"/>
      <c r="H1014" s="175"/>
      <c r="I1014" s="175"/>
      <c r="J1014" s="175"/>
    </row>
    <row r="1015" s="2" customFormat="true" ht="18.75" hidden="false" customHeight="true" outlineLevel="0" collapsed="false">
      <c r="E1015" s="433"/>
      <c r="H1015" s="175"/>
      <c r="I1015" s="175"/>
      <c r="J1015" s="175"/>
    </row>
    <row r="1016" s="2" customFormat="true" ht="18.75" hidden="false" customHeight="true" outlineLevel="0" collapsed="false">
      <c r="E1016" s="433"/>
      <c r="H1016" s="175"/>
      <c r="I1016" s="175"/>
      <c r="J1016" s="175"/>
    </row>
    <row r="1017" s="2" customFormat="true" ht="18.75" hidden="false" customHeight="true" outlineLevel="0" collapsed="false">
      <c r="E1017" s="433"/>
      <c r="H1017" s="175"/>
      <c r="I1017" s="175"/>
      <c r="J1017" s="175"/>
    </row>
    <row r="1018" s="2" customFormat="true" ht="18.75" hidden="false" customHeight="true" outlineLevel="0" collapsed="false">
      <c r="E1018" s="433"/>
      <c r="H1018" s="175"/>
      <c r="I1018" s="175"/>
      <c r="J1018" s="175"/>
    </row>
    <row r="1019" s="2" customFormat="true" ht="18.75" hidden="false" customHeight="true" outlineLevel="0" collapsed="false">
      <c r="E1019" s="433"/>
      <c r="H1019" s="175"/>
      <c r="I1019" s="175"/>
      <c r="J1019" s="175"/>
    </row>
    <row r="1020" s="2" customFormat="true" ht="18.75" hidden="false" customHeight="true" outlineLevel="0" collapsed="false">
      <c r="E1020" s="433"/>
      <c r="H1020" s="175"/>
      <c r="I1020" s="175"/>
      <c r="J1020" s="175"/>
    </row>
    <row r="1021" s="2" customFormat="true" ht="18.75" hidden="false" customHeight="true" outlineLevel="0" collapsed="false">
      <c r="E1021" s="433"/>
      <c r="H1021" s="175"/>
      <c r="I1021" s="175"/>
      <c r="J1021" s="17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75" defaultRowHeight="18.75" zeroHeight="false" outlineLevelRow="0" outlineLevelCol="0"/>
  <cols>
    <col collapsed="false" customWidth="false" hidden="false" outlineLevel="0" max="1" min="1" style="2" width="8.75"/>
    <col collapsed="false" customWidth="true" hidden="false" outlineLevel="0" max="2" min="2" style="2" width="11.25"/>
    <col collapsed="false" customWidth="true" hidden="false" outlineLevel="0" max="3" min="3" style="2" width="17.5"/>
    <col collapsed="false" customWidth="true" hidden="false" outlineLevel="0" max="4" min="4" style="2" width="21.13"/>
    <col collapsed="false" customWidth="true" hidden="false" outlineLevel="0" max="5" min="5" style="433" width="13.38"/>
    <col collapsed="false" customWidth="true" hidden="false" outlineLevel="0" max="6" min="6" style="2" width="11.25"/>
    <col collapsed="false" customWidth="true" hidden="false" outlineLevel="0" max="7" min="7" style="2" width="20.38"/>
    <col collapsed="false" customWidth="true" hidden="false" outlineLevel="0" max="9" min="8" style="175" width="13.38"/>
    <col collapsed="false" customWidth="true" hidden="false" outlineLevel="0" max="10" min="10" style="2" width="34.13"/>
    <col collapsed="false" customWidth="false" hidden="false" outlineLevel="0" max="16384" min="11" style="2" width="8.75"/>
  </cols>
  <sheetData>
    <row r="1" s="2" customFormat="true" ht="18.75" hidden="false" customHeight="true" outlineLevel="0" collapsed="false"/>
    <row r="2" s="2" customFormat="true" ht="18.75" hidden="false" customHeight="true" outlineLevel="0" collapsed="false">
      <c r="B2" s="342"/>
      <c r="C2" s="342"/>
    </row>
    <row r="3" customFormat="false" ht="39" hidden="false" customHeight="true" outlineLevel="0" collapsed="false">
      <c r="B3" s="208" t="s">
        <v>321</v>
      </c>
      <c r="C3" s="208" t="s">
        <v>321</v>
      </c>
      <c r="D3" s="409" t="s">
        <v>471</v>
      </c>
      <c r="E3" s="409" t="s">
        <v>472</v>
      </c>
      <c r="F3" s="409" t="s">
        <v>479</v>
      </c>
      <c r="G3" s="409" t="s">
        <v>480</v>
      </c>
      <c r="H3" s="409" t="s">
        <v>464</v>
      </c>
      <c r="I3" s="409" t="s">
        <v>465</v>
      </c>
      <c r="J3" s="178" t="s">
        <v>217</v>
      </c>
    </row>
    <row r="4" customFormat="false" ht="39" hidden="false" customHeight="true" outlineLevel="0" collapsed="false">
      <c r="B4" s="452" t="s">
        <v>481</v>
      </c>
      <c r="C4" s="320" t="s">
        <v>482</v>
      </c>
      <c r="D4" s="319" t="s">
        <v>483</v>
      </c>
      <c r="E4" s="453" t="s">
        <v>380</v>
      </c>
      <c r="F4" s="429" t="s">
        <v>484</v>
      </c>
      <c r="G4" s="319" t="s">
        <v>485</v>
      </c>
      <c r="H4" s="431" t="n">
        <v>458409</v>
      </c>
      <c r="I4" s="431" t="n">
        <v>1263500</v>
      </c>
      <c r="J4" s="454" t="s">
        <v>486</v>
      </c>
    </row>
    <row r="5" customFormat="false" ht="39" hidden="false" customHeight="true" outlineLevel="0" collapsed="false">
      <c r="B5" s="452"/>
      <c r="C5" s="320"/>
      <c r="D5" s="319"/>
      <c r="E5" s="453"/>
      <c r="F5" s="429"/>
      <c r="G5" s="319"/>
      <c r="H5" s="431"/>
      <c r="I5" s="431"/>
      <c r="J5" s="454"/>
    </row>
    <row r="6" customFormat="false" ht="19.5" hidden="false" customHeight="true" outlineLevel="0" collapsed="false">
      <c r="B6" s="320"/>
      <c r="C6" s="320"/>
      <c r="D6" s="320"/>
      <c r="E6" s="455"/>
      <c r="F6" s="321"/>
      <c r="G6" s="320"/>
      <c r="H6" s="31"/>
      <c r="I6" s="31"/>
      <c r="J6" s="445"/>
    </row>
    <row r="7" customFormat="false" ht="22.5" hidden="false" customHeight="true" outlineLevel="0" collapsed="false">
      <c r="B7" s="446"/>
      <c r="C7" s="446"/>
      <c r="D7" s="320"/>
      <c r="E7" s="447"/>
      <c r="F7" s="320"/>
      <c r="G7" s="320"/>
      <c r="H7" s="31"/>
      <c r="I7" s="31"/>
      <c r="J7" s="445"/>
    </row>
    <row r="8" customFormat="false" ht="22.5" hidden="false" customHeight="true" outlineLevel="0" collapsed="false">
      <c r="B8" s="446"/>
      <c r="C8" s="446"/>
      <c r="D8" s="320"/>
      <c r="E8" s="447"/>
      <c r="F8" s="320"/>
      <c r="G8" s="320"/>
      <c r="H8" s="31"/>
      <c r="I8" s="31"/>
      <c r="J8" s="445"/>
    </row>
    <row r="9" customFormat="false" ht="22.5" hidden="false" customHeight="true" outlineLevel="0" collapsed="false">
      <c r="B9" s="446"/>
      <c r="C9" s="446"/>
      <c r="D9" s="320"/>
      <c r="E9" s="447"/>
      <c r="F9" s="320"/>
      <c r="G9" s="320"/>
      <c r="H9" s="31"/>
      <c r="I9" s="31"/>
      <c r="J9" s="445"/>
    </row>
    <row r="10" customFormat="false" ht="18.75" hidden="false" customHeight="true" outlineLevel="0" collapsed="false">
      <c r="G10" s="456"/>
    </row>
    <row r="11" customFormat="false" ht="22.5" hidden="false" customHeight="true" outlineLevel="0" collapsed="false">
      <c r="B11" s="446"/>
      <c r="C11" s="446"/>
      <c r="D11" s="320"/>
      <c r="E11" s="447"/>
      <c r="F11" s="320"/>
      <c r="G11" s="320"/>
      <c r="H11" s="31"/>
      <c r="I11" s="31"/>
      <c r="J11" s="445"/>
    </row>
    <row r="12" customFormat="false" ht="18.75" hidden="false" customHeight="true" outlineLevel="0" collapsed="false">
      <c r="G12" s="456"/>
    </row>
    <row r="14" s="2" customFormat="true" ht="18.75" hidden="false" customHeight="true" outlineLevel="0" collapsed="false">
      <c r="B14" s="342"/>
      <c r="C14" s="342"/>
    </row>
    <row r="15" customFormat="false" ht="39" hidden="false" customHeight="true" outlineLevel="0" collapsed="false">
      <c r="B15" s="208"/>
      <c r="C15" s="208"/>
      <c r="D15" s="409"/>
      <c r="E15" s="409"/>
      <c r="F15" s="409"/>
      <c r="G15" s="409"/>
      <c r="H15" s="409"/>
      <c r="I15" s="409"/>
      <c r="J15" s="178"/>
    </row>
    <row r="16" customFormat="false" ht="39" hidden="false" customHeight="true" outlineLevel="0" collapsed="false">
      <c r="B16" s="452"/>
      <c r="C16" s="320"/>
      <c r="D16" s="319"/>
      <c r="E16" s="453"/>
      <c r="F16" s="429"/>
      <c r="G16" s="319"/>
      <c r="H16" s="431"/>
      <c r="I16" s="431"/>
      <c r="J16" s="454"/>
    </row>
    <row r="17" customFormat="false" ht="22.5" hidden="false" customHeight="true" outlineLevel="0" collapsed="false">
      <c r="B17" s="320"/>
      <c r="C17" s="320"/>
      <c r="D17" s="320"/>
      <c r="E17" s="447"/>
      <c r="F17" s="320"/>
      <c r="G17" s="319"/>
      <c r="H17" s="31"/>
      <c r="I17" s="31"/>
      <c r="J17" s="454"/>
    </row>
    <row r="18" customFormat="false" ht="19.5" hidden="false" customHeight="true" outlineLevel="0" collapsed="false">
      <c r="B18" s="320"/>
      <c r="C18" s="320"/>
      <c r="D18" s="320"/>
      <c r="E18" s="455"/>
      <c r="F18" s="321"/>
      <c r="G18" s="320"/>
      <c r="H18" s="31"/>
      <c r="I18" s="31"/>
      <c r="J18" s="445"/>
    </row>
    <row r="19" customFormat="false" ht="22.5" hidden="false" customHeight="true" outlineLevel="0" collapsed="false">
      <c r="B19" s="446"/>
      <c r="C19" s="446"/>
      <c r="D19" s="320"/>
      <c r="E19" s="447"/>
      <c r="F19" s="320"/>
      <c r="G19" s="320"/>
      <c r="H19" s="31"/>
      <c r="I19" s="31"/>
      <c r="J19" s="445"/>
    </row>
    <row r="20" customFormat="false" ht="22.5" hidden="false" customHeight="true" outlineLevel="0" collapsed="false">
      <c r="B20" s="446"/>
      <c r="C20" s="446"/>
      <c r="D20" s="320"/>
      <c r="E20" s="447"/>
      <c r="F20" s="320"/>
      <c r="G20" s="320"/>
      <c r="H20" s="31"/>
      <c r="I20" s="31"/>
      <c r="J20" s="445"/>
    </row>
    <row r="21" customFormat="false" ht="22.5" hidden="false" customHeight="true" outlineLevel="0" collapsed="false">
      <c r="B21" s="446"/>
      <c r="C21" s="446"/>
      <c r="D21" s="320"/>
      <c r="E21" s="447"/>
      <c r="F21" s="320"/>
      <c r="G21" s="320"/>
      <c r="H21" s="31"/>
      <c r="I21" s="31"/>
      <c r="J21" s="44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8" zeroHeight="false" outlineLevelRow="0" outlineLevelCol="0"/>
  <cols>
    <col collapsed="false" customWidth="true" hidden="false" outlineLevel="0" max="2" min="2" style="1" width="5.25"/>
    <col collapsed="false" customWidth="true" hidden="false" outlineLevel="0" max="10" min="3" style="20" width="16.13"/>
    <col collapsed="false" customWidth="true" hidden="false" outlineLevel="0" max="11" min="11" style="20" width="55.5"/>
  </cols>
  <sheetData>
    <row r="2" customFormat="false" ht="19.5" hidden="false" customHeight="true" outlineLevel="0" collapsed="false">
      <c r="B2" s="323" t="s">
        <v>204</v>
      </c>
      <c r="C2" s="61" t="s">
        <v>6</v>
      </c>
      <c r="D2" s="177" t="s">
        <v>487</v>
      </c>
      <c r="E2" s="177" t="s">
        <v>488</v>
      </c>
      <c r="F2" s="177" t="s">
        <v>489</v>
      </c>
      <c r="G2" s="177" t="s">
        <v>490</v>
      </c>
      <c r="H2" s="177" t="s">
        <v>491</v>
      </c>
      <c r="I2" s="457" t="s">
        <v>492</v>
      </c>
      <c r="J2" s="457" t="s">
        <v>493</v>
      </c>
      <c r="K2" s="178" t="s">
        <v>494</v>
      </c>
    </row>
    <row r="3" customFormat="false" ht="22.5" hidden="false" customHeight="true" outlineLevel="0" collapsed="false">
      <c r="B3" s="379"/>
      <c r="C3" s="458" t="s">
        <v>495</v>
      </c>
      <c r="D3" s="458"/>
      <c r="E3" s="458"/>
      <c r="F3" s="415"/>
      <c r="G3" s="415"/>
      <c r="H3" s="415"/>
      <c r="I3" s="415"/>
      <c r="J3" s="415"/>
      <c r="K3" s="454" t="s">
        <v>496</v>
      </c>
    </row>
    <row r="4" customFormat="false" ht="22.5" hidden="false" customHeight="true" outlineLevel="0" collapsed="false">
      <c r="B4" s="417"/>
      <c r="C4" s="309"/>
      <c r="D4" s="309"/>
      <c r="E4" s="309"/>
      <c r="F4" s="389"/>
      <c r="G4" s="389"/>
      <c r="H4" s="389"/>
      <c r="I4" s="389"/>
      <c r="J4" s="459"/>
      <c r="K4" s="460" t="s">
        <v>496</v>
      </c>
    </row>
    <row r="5" customFormat="false" ht="22.5" hidden="false" customHeight="true" outlineLevel="0" collapsed="false">
      <c r="B5" s="379"/>
      <c r="C5" s="309"/>
      <c r="D5" s="309"/>
      <c r="E5" s="309"/>
      <c r="F5" s="389"/>
      <c r="G5" s="389"/>
      <c r="H5" s="389"/>
      <c r="I5" s="389"/>
      <c r="J5" s="459"/>
      <c r="K5" s="461" t="s">
        <v>496</v>
      </c>
    </row>
    <row r="6" customFormat="false" ht="22.5" hidden="false" customHeight="true" outlineLevel="0" collapsed="false">
      <c r="B6" s="417"/>
      <c r="C6" s="309"/>
      <c r="D6" s="309"/>
      <c r="E6" s="309"/>
      <c r="F6" s="389"/>
      <c r="G6" s="389"/>
      <c r="H6" s="389"/>
      <c r="I6" s="389"/>
      <c r="J6" s="459"/>
      <c r="K6" s="461" t="s">
        <v>496</v>
      </c>
    </row>
    <row r="7" customFormat="false" ht="22.5" hidden="false" customHeight="true" outlineLevel="0" collapsed="false">
      <c r="B7" s="379"/>
      <c r="C7" s="309"/>
      <c r="D7" s="309"/>
      <c r="E7" s="309"/>
      <c r="F7" s="389"/>
      <c r="G7" s="389"/>
      <c r="H7" s="389"/>
      <c r="I7" s="389"/>
      <c r="J7" s="459"/>
      <c r="K7" s="461" t="s">
        <v>496</v>
      </c>
    </row>
    <row r="8" customFormat="false" ht="22.5" hidden="false" customHeight="true" outlineLevel="0" collapsed="false">
      <c r="B8" s="417"/>
      <c r="C8" s="309"/>
      <c r="D8" s="309"/>
      <c r="E8" s="309"/>
      <c r="F8" s="389"/>
      <c r="G8" s="389"/>
      <c r="H8" s="389"/>
      <c r="I8" s="389"/>
      <c r="J8" s="459"/>
      <c r="K8" s="461" t="s">
        <v>496</v>
      </c>
    </row>
    <row r="9" customFormat="false" ht="22.5" hidden="false" customHeight="true" outlineLevel="0" collapsed="false">
      <c r="B9" s="379"/>
      <c r="C9" s="458"/>
      <c r="D9" s="458"/>
      <c r="E9" s="458"/>
      <c r="F9" s="415"/>
      <c r="G9" s="415"/>
      <c r="H9" s="415"/>
      <c r="I9" s="415"/>
      <c r="J9" s="415"/>
      <c r="K9" s="454" t="s">
        <v>496</v>
      </c>
    </row>
    <row r="10" customFormat="false" ht="22.5" hidden="false" customHeight="true" outlineLevel="0" collapsed="false">
      <c r="B10" s="417"/>
      <c r="C10" s="309"/>
      <c r="D10" s="309"/>
      <c r="E10" s="309"/>
      <c r="F10" s="389"/>
      <c r="G10" s="389"/>
      <c r="H10" s="389"/>
      <c r="I10" s="389"/>
      <c r="J10" s="459"/>
      <c r="K10" s="460" t="s">
        <v>496</v>
      </c>
    </row>
    <row r="11" customFormat="false" ht="22.5" hidden="false" customHeight="true" outlineLevel="0" collapsed="false">
      <c r="B11" s="379"/>
      <c r="C11" s="309"/>
      <c r="D11" s="309"/>
      <c r="E11" s="309"/>
      <c r="F11" s="389"/>
      <c r="G11" s="389"/>
      <c r="H11" s="389"/>
      <c r="I11" s="389"/>
      <c r="J11" s="459"/>
      <c r="K11" s="461" t="s">
        <v>496</v>
      </c>
    </row>
    <row r="12" customFormat="false" ht="22.5" hidden="false" customHeight="true" outlineLevel="0" collapsed="false">
      <c r="B12" s="417"/>
      <c r="C12" s="309"/>
      <c r="D12" s="309"/>
      <c r="E12" s="309"/>
      <c r="F12" s="389"/>
      <c r="G12" s="389"/>
      <c r="H12" s="389"/>
      <c r="I12" s="389"/>
      <c r="J12" s="459"/>
      <c r="K12" s="461" t="s">
        <v>496</v>
      </c>
    </row>
    <row r="13" s="400" customFormat="true" ht="22.5" hidden="false" customHeight="true" outlineLevel="0" collapsed="false">
      <c r="B13" s="462"/>
      <c r="C13" s="463"/>
      <c r="D13" s="463"/>
      <c r="E13" s="463"/>
      <c r="F13" s="464"/>
      <c r="G13" s="464"/>
      <c r="H13" s="464"/>
      <c r="I13" s="464"/>
      <c r="J13" s="464"/>
      <c r="K13" s="465"/>
    </row>
    <row r="14" customFormat="false" ht="22.5" hidden="false" customHeight="true" outlineLevel="0" collapsed="false">
      <c r="B14" s="379"/>
      <c r="C14" s="309"/>
      <c r="D14" s="309"/>
      <c r="E14" s="309"/>
      <c r="F14" s="389"/>
      <c r="G14" s="389"/>
      <c r="H14" s="389"/>
      <c r="I14" s="389"/>
      <c r="J14" s="459"/>
      <c r="K14" s="461" t="s">
        <v>496</v>
      </c>
    </row>
    <row r="15" customFormat="false" ht="22.5" hidden="false" customHeight="true" outlineLevel="0" collapsed="false">
      <c r="B15" s="417"/>
      <c r="C15" s="309"/>
      <c r="D15" s="309"/>
      <c r="E15" s="309"/>
      <c r="F15" s="389"/>
      <c r="G15" s="389"/>
      <c r="H15" s="389"/>
      <c r="I15" s="389"/>
      <c r="J15" s="459"/>
      <c r="K15" s="461" t="s">
        <v>496</v>
      </c>
    </row>
    <row r="16" customFormat="false" ht="22.5" hidden="false" customHeight="true" outlineLevel="0" collapsed="false">
      <c r="B16" s="379"/>
      <c r="C16" s="458"/>
      <c r="D16" s="458"/>
      <c r="E16" s="458"/>
      <c r="F16" s="415"/>
      <c r="G16" s="415"/>
      <c r="H16" s="415"/>
      <c r="I16" s="415"/>
      <c r="J16" s="415"/>
      <c r="K16" s="454" t="s">
        <v>496</v>
      </c>
    </row>
    <row r="17" customFormat="false" ht="22.5" hidden="false" customHeight="true" outlineLevel="0" collapsed="false">
      <c r="B17" s="417"/>
      <c r="C17" s="309"/>
      <c r="D17" s="309"/>
      <c r="E17" s="309"/>
      <c r="F17" s="389"/>
      <c r="G17" s="389"/>
      <c r="H17" s="389"/>
      <c r="I17" s="389"/>
      <c r="J17" s="459"/>
      <c r="K17" s="460" t="s">
        <v>496</v>
      </c>
    </row>
    <row r="18" customFormat="false" ht="22.5" hidden="false" customHeight="true" outlineLevel="0" collapsed="false">
      <c r="B18" s="379"/>
      <c r="C18" s="309"/>
      <c r="D18" s="309"/>
      <c r="E18" s="309"/>
      <c r="F18" s="389"/>
      <c r="G18" s="389"/>
      <c r="H18" s="389"/>
      <c r="I18" s="389"/>
      <c r="J18" s="459"/>
      <c r="K18" s="461" t="s">
        <v>496</v>
      </c>
    </row>
    <row r="19" customFormat="false" ht="22.5" hidden="false" customHeight="true" outlineLevel="0" collapsed="false">
      <c r="B19" s="417"/>
      <c r="C19" s="309"/>
      <c r="D19" s="309"/>
      <c r="E19" s="309"/>
      <c r="F19" s="389"/>
      <c r="G19" s="389"/>
      <c r="H19" s="389"/>
      <c r="I19" s="389"/>
      <c r="J19" s="459"/>
      <c r="K19" s="461" t="s">
        <v>496</v>
      </c>
    </row>
    <row r="20" customFormat="false" ht="22.5" hidden="false" customHeight="true" outlineLevel="0" collapsed="false">
      <c r="B20" s="379"/>
      <c r="C20" s="309"/>
      <c r="D20" s="309"/>
      <c r="E20" s="309"/>
      <c r="F20" s="389"/>
      <c r="G20" s="389"/>
      <c r="H20" s="389"/>
      <c r="I20" s="389"/>
      <c r="J20" s="459"/>
      <c r="K20" s="461" t="s">
        <v>496</v>
      </c>
    </row>
    <row r="21" customFormat="false" ht="22.5" hidden="false" customHeight="true" outlineLevel="0" collapsed="false">
      <c r="B21" s="417"/>
      <c r="C21" s="309"/>
      <c r="D21" s="309"/>
      <c r="E21" s="309"/>
      <c r="F21" s="389"/>
      <c r="G21" s="389"/>
      <c r="H21" s="389"/>
      <c r="I21" s="389"/>
      <c r="J21" s="459"/>
      <c r="K21" s="461" t="s">
        <v>496</v>
      </c>
    </row>
    <row r="22" s="400" customFormat="true" ht="22.5" hidden="false" customHeight="true" outlineLevel="0" collapsed="false">
      <c r="B22" s="462"/>
      <c r="C22" s="463"/>
      <c r="D22" s="463"/>
      <c r="E22" s="463"/>
      <c r="F22" s="464"/>
      <c r="G22" s="464"/>
      <c r="H22" s="464"/>
      <c r="I22" s="464"/>
      <c r="J22" s="464"/>
      <c r="K22" s="46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75" defaultRowHeight="18" zeroHeight="false" outlineLevelRow="0" outlineLevelCol="0"/>
  <cols>
    <col collapsed="false" customWidth="false" hidden="false" outlineLevel="0" max="1" min="1" style="6" width="8.75"/>
    <col collapsed="false" customWidth="true" hidden="false" outlineLevel="0" max="5" min="2" style="6" width="16.13"/>
    <col collapsed="false" customWidth="true" hidden="false" outlineLevel="0" max="6" min="6" style="6" width="55.5"/>
    <col collapsed="false" customWidth="false" hidden="false" outlineLevel="0" max="16384" min="7" style="6" width="8.75"/>
  </cols>
  <sheetData>
    <row r="1" customFormat="false" ht="18" hidden="false" customHeight="true" outlineLevel="0" collapsed="false">
      <c r="B1" s="466"/>
    </row>
    <row r="2" customFormat="false" ht="19.5" hidden="false" customHeight="true" outlineLevel="0" collapsed="false">
      <c r="B2" s="467" t="s">
        <v>497</v>
      </c>
      <c r="C2" s="468"/>
      <c r="D2" s="468"/>
      <c r="E2" s="468"/>
      <c r="F2" s="468"/>
    </row>
    <row r="3" customFormat="false" ht="22.5" hidden="false" customHeight="true" outlineLevel="0" collapsed="false">
      <c r="B3" s="469"/>
      <c r="C3" s="470"/>
      <c r="D3" s="470"/>
      <c r="E3" s="470"/>
      <c r="F3" s="196"/>
    </row>
    <row r="4" customFormat="false" ht="22.5" hidden="false" customHeight="true" outlineLevel="0" collapsed="false">
      <c r="B4" s="471"/>
      <c r="C4" s="470"/>
      <c r="D4" s="470"/>
      <c r="E4" s="470"/>
      <c r="F4" s="196"/>
    </row>
    <row r="5" customFormat="false" ht="22.5" hidden="false" customHeight="true" outlineLevel="0" collapsed="false">
      <c r="B5" s="469"/>
      <c r="C5" s="470"/>
      <c r="D5" s="470"/>
      <c r="E5" s="470"/>
      <c r="F5" s="472"/>
    </row>
    <row r="6" customFormat="false" ht="22.5" hidden="false" customHeight="true" outlineLevel="0" collapsed="false">
      <c r="B6" s="469"/>
      <c r="C6" s="470"/>
      <c r="D6" s="470"/>
      <c r="E6" s="470"/>
      <c r="F6" s="472"/>
    </row>
    <row r="7" customFormat="false" ht="22.5" hidden="false" customHeight="true" outlineLevel="0" collapsed="false">
      <c r="B7" s="469"/>
      <c r="C7" s="470"/>
      <c r="D7" s="470"/>
      <c r="E7" s="470"/>
      <c r="F7" s="472"/>
    </row>
    <row r="8" customFormat="false" ht="22.5" hidden="false" customHeight="true" outlineLevel="0" collapsed="false">
      <c r="B8" s="469"/>
      <c r="C8" s="470"/>
      <c r="D8" s="470"/>
      <c r="E8" s="470"/>
      <c r="F8" s="472"/>
    </row>
    <row r="11" customFormat="false" ht="19.5" hidden="false" customHeight="true" outlineLevel="0" collapsed="false">
      <c r="B11" s="468"/>
      <c r="C11" s="468"/>
      <c r="D11" s="468"/>
      <c r="E11" s="468"/>
      <c r="F11" s="468"/>
    </row>
    <row r="12" customFormat="false" ht="19.5" hidden="false" customHeight="true" outlineLevel="0" collapsed="false">
      <c r="B12" s="473"/>
      <c r="C12" s="470"/>
      <c r="D12" s="470"/>
      <c r="E12" s="470"/>
      <c r="F12" s="196"/>
    </row>
    <row r="13" customFormat="false" ht="19.5" hidden="false" customHeight="true" outlineLevel="0" collapsed="false">
      <c r="B13" s="473"/>
      <c r="C13" s="470"/>
      <c r="D13" s="470"/>
      <c r="E13" s="470"/>
      <c r="F13" s="196"/>
    </row>
    <row r="14" customFormat="false" ht="19.5" hidden="false" customHeight="true" outlineLevel="0" collapsed="false">
      <c r="B14" s="473"/>
      <c r="C14" s="470"/>
      <c r="D14" s="470"/>
      <c r="E14" s="470"/>
      <c r="F14" s="472"/>
    </row>
    <row r="15" customFormat="false" ht="19.5" hidden="false" customHeight="true" outlineLevel="0" collapsed="false">
      <c r="B15" s="473"/>
      <c r="C15" s="470"/>
      <c r="D15" s="470"/>
      <c r="E15" s="470"/>
      <c r="F15" s="472"/>
    </row>
    <row r="16" customFormat="false" ht="19.5" hidden="false" customHeight="true" outlineLevel="0" collapsed="false">
      <c r="B16" s="473"/>
      <c r="C16" s="470"/>
      <c r="D16" s="470"/>
      <c r="E16" s="470"/>
      <c r="F16" s="472"/>
    </row>
    <row r="17" customFormat="false" ht="19.5" hidden="false" customHeight="true" outlineLevel="0" collapsed="false">
      <c r="B17" s="473"/>
      <c r="C17" s="470"/>
      <c r="D17" s="470"/>
      <c r="E17" s="470"/>
      <c r="F17" s="472"/>
    </row>
    <row r="20" customFormat="false" ht="19.5" hidden="false" customHeight="true" outlineLevel="0" collapsed="false">
      <c r="B20" s="468"/>
      <c r="C20" s="468"/>
      <c r="D20" s="468"/>
      <c r="E20" s="468"/>
    </row>
    <row r="21" customFormat="false" ht="18" hidden="false" customHeight="true" outlineLevel="0" collapsed="false">
      <c r="B21" s="473"/>
      <c r="C21" s="470"/>
      <c r="D21" s="474"/>
      <c r="E21" s="470"/>
    </row>
    <row r="22" customFormat="false" ht="18" hidden="false" customHeight="true" outlineLevel="0" collapsed="false">
      <c r="B22" s="473"/>
      <c r="C22" s="470"/>
      <c r="D22" s="474"/>
      <c r="E22" s="470"/>
    </row>
    <row r="23" customFormat="false" ht="18" hidden="false" customHeight="true" outlineLevel="0" collapsed="false">
      <c r="B23" s="473"/>
      <c r="C23" s="470"/>
      <c r="D23" s="474"/>
      <c r="E23" s="470"/>
    </row>
    <row r="24" customFormat="false" ht="18" hidden="false" customHeight="true" outlineLevel="0" collapsed="false">
      <c r="B24" s="473"/>
      <c r="C24" s="470"/>
      <c r="D24" s="474"/>
      <c r="E24" s="470"/>
    </row>
    <row r="25" customFormat="false" ht="18" hidden="false" customHeight="true" outlineLevel="0" collapsed="false">
      <c r="B25" s="473"/>
      <c r="C25" s="470"/>
      <c r="D25" s="474"/>
      <c r="E25" s="470"/>
    </row>
    <row r="26" customFormat="false" ht="18" hidden="false" customHeight="true" outlineLevel="0" collapsed="false">
      <c r="B26" s="473"/>
      <c r="C26" s="470"/>
      <c r="D26" s="474"/>
      <c r="E26" s="470"/>
    </row>
    <row r="29" customFormat="false" ht="19.5" hidden="false" customHeight="true" outlineLevel="0" collapsed="false">
      <c r="B29" s="468"/>
      <c r="C29" s="468"/>
      <c r="D29" s="468"/>
      <c r="E29" s="468"/>
    </row>
    <row r="30" customFormat="false" ht="18" hidden="false" customHeight="true" outlineLevel="0" collapsed="false">
      <c r="B30" s="473"/>
      <c r="C30" s="470"/>
      <c r="D30" s="470"/>
      <c r="E30" s="470"/>
    </row>
    <row r="31" customFormat="false" ht="18" hidden="false" customHeight="true" outlineLevel="0" collapsed="false">
      <c r="B31" s="473"/>
      <c r="C31" s="470"/>
      <c r="D31" s="470"/>
      <c r="E31" s="470"/>
    </row>
    <row r="32" customFormat="false" ht="18" hidden="false" customHeight="true" outlineLevel="0" collapsed="false">
      <c r="B32" s="473"/>
      <c r="C32" s="470"/>
      <c r="D32" s="470"/>
      <c r="E32" s="470"/>
    </row>
    <row r="33" customFormat="false" ht="18" hidden="false" customHeight="true" outlineLevel="0" collapsed="false">
      <c r="B33" s="473"/>
      <c r="C33" s="470"/>
      <c r="D33" s="470"/>
      <c r="E33" s="470"/>
    </row>
    <row r="34" customFormat="false" ht="18" hidden="false" customHeight="true" outlineLevel="0" collapsed="false">
      <c r="B34" s="473"/>
      <c r="C34" s="474"/>
      <c r="D34" s="474"/>
      <c r="E34" s="474"/>
    </row>
    <row r="35" customFormat="false" ht="18" hidden="false" customHeight="true" outlineLevel="0" collapsed="false">
      <c r="B35" s="473"/>
      <c r="C35" s="474"/>
      <c r="D35" s="474"/>
      <c r="E35" s="474"/>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A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6" activeCellId="0" sqref="K16"/>
    </sheetView>
  </sheetViews>
  <sheetFormatPr defaultColWidth="8.5390625" defaultRowHeight="18" zeroHeight="false" outlineLevelRow="0" outlineLevelCol="0"/>
  <sheetData>
    <row r="1" customFormat="false" ht="18" hidden="false" customHeight="true" outlineLevel="0" collapsed="false">
      <c r="A1" s="2" t="s">
        <v>498</v>
      </c>
    </row>
    <row r="2" customFormat="false" ht="14.25" hidden="false" customHeight="true" outlineLevel="0" collapsed="false">
      <c r="A2" s="475" t="s">
        <v>499</v>
      </c>
    </row>
    <row r="3" customFormat="false" ht="14.25" hidden="false" customHeight="true" outlineLevel="0" collapsed="false">
      <c r="A3" s="475" t="s">
        <v>500</v>
      </c>
    </row>
    <row r="4" customFormat="false" ht="14.25" hidden="false" customHeight="true" outlineLevel="0" collapsed="false">
      <c r="A4" s="475" t="s">
        <v>501</v>
      </c>
    </row>
    <row r="5" customFormat="false" ht="14.25" hidden="false" customHeight="true" outlineLevel="0" collapsed="false">
      <c r="A5" s="475" t="s">
        <v>502</v>
      </c>
    </row>
    <row r="6" customFormat="false" ht="14.25" hidden="false" customHeight="true" outlineLevel="0" collapsed="false">
      <c r="A6" s="475" t="s">
        <v>503</v>
      </c>
    </row>
    <row r="7" customFormat="false" ht="14.25" hidden="false" customHeight="true" outlineLevel="0" collapsed="false">
      <c r="A7" s="475" t="s">
        <v>504</v>
      </c>
    </row>
    <row r="8" customFormat="false" ht="14.25" hidden="false" customHeight="true" outlineLevel="0" collapsed="false">
      <c r="A8" s="475" t="s">
        <v>505</v>
      </c>
    </row>
    <row r="9" customFormat="false" ht="14.25" hidden="false" customHeight="true" outlineLevel="0" collapsed="false">
      <c r="A9" s="475" t="s">
        <v>506</v>
      </c>
    </row>
    <row r="10" customFormat="false" ht="14.25" hidden="false" customHeight="true" outlineLevel="0" collapsed="false">
      <c r="A10" s="475" t="s">
        <v>507</v>
      </c>
    </row>
    <row r="11" customFormat="false" ht="14.25" hidden="false" customHeight="true" outlineLevel="0" collapsed="false">
      <c r="A11" s="475" t="s">
        <v>508</v>
      </c>
    </row>
    <row r="12" customFormat="false" ht="14.25" hidden="false" customHeight="true" outlineLevel="0" collapsed="false">
      <c r="A12" s="475" t="s">
        <v>509</v>
      </c>
    </row>
    <row r="14" customFormat="false" ht="14.25" hidden="false" customHeight="true" outlineLevel="0" collapsed="false">
      <c r="A14" s="2" t="s">
        <v>510</v>
      </c>
    </row>
    <row r="15" customFormat="false" ht="14.25" hidden="false" customHeight="true" outlineLevel="0" collapsed="false">
      <c r="A15" s="2" t="s">
        <v>511</v>
      </c>
    </row>
    <row r="16" customFormat="false" ht="14.25" hidden="false" customHeight="true" outlineLevel="0" collapsed="false">
      <c r="A16" s="2" t="s">
        <v>512</v>
      </c>
    </row>
    <row r="17" customFormat="false" ht="14.25" hidden="false" customHeight="true" outlineLevel="0" collapsed="false">
      <c r="A17" s="2" t="s">
        <v>513</v>
      </c>
    </row>
    <row r="18" customFormat="false" ht="14.25" hidden="false" customHeight="true" outlineLevel="0" collapsed="false">
      <c r="A18" s="2" t="s">
        <v>514</v>
      </c>
    </row>
    <row r="19" customFormat="false" ht="14.25" hidden="false" customHeight="true" outlineLevel="0" collapsed="false">
      <c r="A19" s="2" t="s">
        <v>515</v>
      </c>
    </row>
    <row r="20" customFormat="false" ht="14.25" hidden="false" customHeight="true" outlineLevel="0" collapsed="false">
      <c r="A20" s="2" t="s">
        <v>516</v>
      </c>
    </row>
    <row r="21" customFormat="false" ht="14.25" hidden="false" customHeight="true" outlineLevel="0" collapsed="false">
      <c r="A21" s="2" t="s">
        <v>517</v>
      </c>
    </row>
    <row r="22" customFormat="false" ht="14.25" hidden="false" customHeight="true" outlineLevel="0" collapsed="false">
      <c r="A22" s="2" t="s">
        <v>518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75" defaultRowHeight="18.75" zeroHeight="false" outlineLevelRow="0" outlineLevelCol="0"/>
  <cols>
    <col collapsed="false" customWidth="true" hidden="false" outlineLevel="0" max="1" min="1" style="476" width="6.13"/>
    <col collapsed="false" customWidth="true" hidden="false" outlineLevel="0" max="2" min="2" style="477" width="5.38"/>
    <col collapsed="false" customWidth="true" hidden="false" outlineLevel="0" max="3" min="3" style="477" width="25.25"/>
    <col collapsed="false" customWidth="true" hidden="false" outlineLevel="0" max="113" min="4" style="478" width="3.13"/>
    <col collapsed="false" customWidth="true" hidden="false" outlineLevel="0" max="114" min="114" style="476" width="3.13"/>
    <col collapsed="false" customWidth="true" hidden="false" outlineLevel="0" max="115" min="115" style="476" width="5.25"/>
    <col collapsed="false" customWidth="false" hidden="false" outlineLevel="0" max="16384" min="116" style="476" width="8.75"/>
  </cols>
  <sheetData>
    <row r="1" customFormat="false" ht="19.5" hidden="false" customHeight="true" outlineLevel="0" collapsed="false">
      <c r="D1" s="479"/>
      <c r="E1" s="479"/>
      <c r="F1" s="479"/>
      <c r="G1" s="479"/>
      <c r="H1" s="479"/>
      <c r="I1" s="479"/>
      <c r="J1" s="479"/>
      <c r="K1" s="479"/>
      <c r="L1" s="479"/>
      <c r="M1" s="479"/>
      <c r="N1" s="479"/>
      <c r="O1" s="479"/>
      <c r="P1" s="479"/>
      <c r="Q1" s="479"/>
      <c r="R1" s="479"/>
      <c r="S1" s="479"/>
      <c r="T1" s="479"/>
      <c r="U1" s="479"/>
      <c r="V1" s="479"/>
      <c r="W1" s="479"/>
      <c r="X1" s="479"/>
      <c r="Y1" s="479"/>
      <c r="Z1" s="479"/>
      <c r="AA1" s="479"/>
      <c r="AB1" s="479"/>
      <c r="AC1" s="479"/>
      <c r="AD1" s="479"/>
      <c r="AE1" s="479"/>
      <c r="AF1" s="479"/>
      <c r="AG1" s="479"/>
      <c r="AH1" s="479"/>
      <c r="AI1" s="479"/>
      <c r="AJ1" s="479"/>
      <c r="AK1" s="479"/>
      <c r="AL1" s="479"/>
      <c r="AM1" s="479"/>
      <c r="AN1" s="479"/>
      <c r="AO1" s="479"/>
      <c r="AP1" s="479"/>
      <c r="AQ1" s="479"/>
      <c r="AR1" s="479"/>
      <c r="AS1" s="479"/>
      <c r="AT1" s="479"/>
      <c r="AU1" s="479"/>
      <c r="AV1" s="479"/>
      <c r="AW1" s="479"/>
      <c r="AX1" s="479"/>
      <c r="AY1" s="479"/>
      <c r="AZ1" s="479"/>
      <c r="BA1" s="479"/>
      <c r="BB1" s="479"/>
      <c r="BC1" s="479"/>
      <c r="BD1" s="479"/>
      <c r="BE1" s="479"/>
      <c r="BF1" s="479"/>
      <c r="BG1" s="479"/>
      <c r="BH1" s="479"/>
      <c r="BI1" s="479"/>
      <c r="BJ1" s="479"/>
      <c r="BK1" s="479"/>
      <c r="BL1" s="479"/>
      <c r="BM1" s="479"/>
      <c r="BN1" s="479"/>
      <c r="BO1" s="479"/>
      <c r="BP1" s="479"/>
      <c r="BQ1" s="479"/>
      <c r="BR1" s="479"/>
      <c r="BS1" s="479"/>
      <c r="BT1" s="479"/>
      <c r="BU1" s="479"/>
      <c r="BV1" s="479"/>
      <c r="BW1" s="479"/>
      <c r="BX1" s="479"/>
      <c r="BY1" s="479"/>
      <c r="BZ1" s="479"/>
      <c r="CA1" s="479"/>
      <c r="CB1" s="479"/>
      <c r="CC1" s="479"/>
      <c r="CD1" s="479"/>
      <c r="CE1" s="479"/>
      <c r="CF1" s="479"/>
      <c r="CG1" s="479"/>
      <c r="CH1" s="479"/>
      <c r="CI1" s="479"/>
      <c r="CJ1" s="479"/>
      <c r="CK1" s="479"/>
      <c r="CL1" s="479"/>
      <c r="CM1" s="479"/>
      <c r="CN1" s="479"/>
      <c r="CO1" s="479"/>
      <c r="CP1" s="479"/>
      <c r="CQ1" s="479"/>
      <c r="CR1" s="479"/>
      <c r="CS1" s="479"/>
      <c r="CT1" s="479"/>
      <c r="CU1" s="479"/>
      <c r="CV1" s="479"/>
      <c r="CW1" s="479"/>
      <c r="CX1" s="479"/>
      <c r="CY1" s="479"/>
      <c r="CZ1" s="479"/>
      <c r="DA1" s="479"/>
      <c r="DB1" s="479"/>
      <c r="DC1" s="479"/>
      <c r="DD1" s="479"/>
      <c r="DE1" s="479"/>
      <c r="DF1" s="479"/>
      <c r="DG1" s="479"/>
      <c r="DH1" s="479"/>
      <c r="DI1" s="479"/>
    </row>
    <row r="2" customFormat="false" ht="6.75" hidden="false" customHeight="true" outlineLevel="0" collapsed="false"/>
    <row r="3" customFormat="false" ht="18.75" hidden="false" customHeight="true" outlineLevel="0" collapsed="false">
      <c r="B3" s="480" t="s">
        <v>519</v>
      </c>
      <c r="C3" s="480"/>
      <c r="D3" s="480" t="s">
        <v>520</v>
      </c>
      <c r="E3" s="480"/>
      <c r="F3" s="480"/>
      <c r="G3" s="480"/>
      <c r="H3" s="480"/>
      <c r="I3" s="480"/>
      <c r="J3" s="480"/>
      <c r="K3" s="480"/>
      <c r="L3" s="480"/>
      <c r="M3" s="480"/>
      <c r="N3" s="480"/>
      <c r="O3" s="480"/>
      <c r="P3" s="480"/>
      <c r="Q3" s="480"/>
      <c r="R3" s="480"/>
      <c r="S3" s="480"/>
      <c r="T3" s="480"/>
      <c r="U3" s="480" t="s">
        <v>521</v>
      </c>
      <c r="V3" s="480"/>
      <c r="W3" s="480"/>
      <c r="X3" s="480"/>
      <c r="Y3" s="480"/>
      <c r="Z3" s="480"/>
      <c r="AA3" s="480"/>
      <c r="AB3" s="480"/>
      <c r="AC3" s="480"/>
      <c r="AD3" s="480"/>
      <c r="AE3" s="480"/>
      <c r="AF3" s="480"/>
      <c r="AG3" s="480"/>
      <c r="AH3" s="480"/>
      <c r="AI3" s="480"/>
      <c r="AJ3" s="480"/>
      <c r="AK3" s="480"/>
      <c r="AL3" s="480"/>
      <c r="AM3" s="480"/>
      <c r="AN3" s="480"/>
      <c r="AO3" s="480"/>
      <c r="AP3" s="480"/>
      <c r="AQ3" s="480"/>
      <c r="AR3" s="480"/>
      <c r="AS3" s="480"/>
      <c r="AT3" s="480"/>
      <c r="AU3" s="480"/>
      <c r="AV3" s="480"/>
      <c r="AW3" s="480"/>
      <c r="AX3" s="480"/>
      <c r="AY3" s="480"/>
      <c r="AZ3" s="480" t="s">
        <v>522</v>
      </c>
      <c r="BA3" s="480"/>
      <c r="BB3" s="480"/>
      <c r="BC3" s="480"/>
      <c r="BD3" s="480"/>
      <c r="BE3" s="480"/>
      <c r="BF3" s="480"/>
      <c r="BG3" s="480"/>
      <c r="BH3" s="480"/>
      <c r="BI3" s="480"/>
      <c r="BJ3" s="480"/>
      <c r="BK3" s="480"/>
      <c r="BL3" s="480"/>
      <c r="BM3" s="480"/>
      <c r="BN3" s="480"/>
      <c r="BO3" s="480"/>
      <c r="BP3" s="480"/>
      <c r="BQ3" s="480"/>
      <c r="BR3" s="480"/>
      <c r="BS3" s="480"/>
      <c r="BT3" s="480"/>
      <c r="BU3" s="480"/>
      <c r="BV3" s="480"/>
      <c r="BW3" s="480"/>
      <c r="BX3" s="480"/>
      <c r="BY3" s="480"/>
      <c r="BZ3" s="480"/>
      <c r="CA3" s="480"/>
      <c r="CB3" s="480"/>
      <c r="CC3" s="480"/>
      <c r="CD3" s="480"/>
      <c r="CE3" s="480" t="s">
        <v>523</v>
      </c>
      <c r="CF3" s="480"/>
      <c r="CG3" s="480"/>
      <c r="CH3" s="480"/>
      <c r="CI3" s="480"/>
      <c r="CJ3" s="480"/>
      <c r="CK3" s="480"/>
      <c r="CL3" s="480"/>
      <c r="CM3" s="480"/>
      <c r="CN3" s="480"/>
      <c r="CO3" s="480"/>
      <c r="CP3" s="480"/>
      <c r="CQ3" s="480"/>
      <c r="CR3" s="480"/>
      <c r="CS3" s="480"/>
      <c r="CT3" s="480"/>
      <c r="CU3" s="480"/>
      <c r="CV3" s="480"/>
      <c r="CW3" s="480"/>
      <c r="CX3" s="480"/>
      <c r="CY3" s="480"/>
      <c r="CZ3" s="480"/>
      <c r="DA3" s="480"/>
      <c r="DB3" s="480"/>
      <c r="DC3" s="480"/>
      <c r="DD3" s="480"/>
      <c r="DE3" s="480"/>
      <c r="DF3" s="480"/>
      <c r="DG3" s="480"/>
      <c r="DH3" s="480"/>
      <c r="DI3" s="480"/>
    </row>
    <row r="4" customFormat="false" ht="18.75" hidden="false" customHeight="true" outlineLevel="0" collapsed="false">
      <c r="B4" s="480"/>
      <c r="C4" s="480"/>
      <c r="D4" s="481" t="n">
        <v>12</v>
      </c>
      <c r="E4" s="482" t="n">
        <v>13</v>
      </c>
      <c r="F4" s="483" t="n">
        <v>14</v>
      </c>
      <c r="G4" s="481" t="n">
        <v>15</v>
      </c>
      <c r="H4" s="481" t="n">
        <v>16</v>
      </c>
      <c r="I4" s="481" t="n">
        <v>17</v>
      </c>
      <c r="J4" s="481" t="n">
        <v>18</v>
      </c>
      <c r="K4" s="481" t="n">
        <v>19</v>
      </c>
      <c r="L4" s="481" t="n">
        <v>20</v>
      </c>
      <c r="M4" s="481" t="n">
        <v>21</v>
      </c>
      <c r="N4" s="481" t="n">
        <v>22</v>
      </c>
      <c r="O4" s="481" t="n">
        <v>23</v>
      </c>
      <c r="P4" s="481" t="n">
        <v>24</v>
      </c>
      <c r="Q4" s="481" t="n">
        <v>25</v>
      </c>
      <c r="R4" s="481" t="n">
        <v>26</v>
      </c>
      <c r="S4" s="481" t="n">
        <v>27</v>
      </c>
      <c r="T4" s="481" t="n">
        <v>28</v>
      </c>
      <c r="U4" s="481" t="n">
        <v>1</v>
      </c>
      <c r="V4" s="481" t="n">
        <v>2</v>
      </c>
      <c r="W4" s="481" t="n">
        <v>3</v>
      </c>
      <c r="X4" s="481" t="n">
        <v>4</v>
      </c>
      <c r="Y4" s="481" t="n">
        <v>5</v>
      </c>
      <c r="Z4" s="481" t="n">
        <v>6</v>
      </c>
      <c r="AA4" s="481" t="n">
        <v>7</v>
      </c>
      <c r="AB4" s="481" t="n">
        <v>8</v>
      </c>
      <c r="AC4" s="481" t="n">
        <v>9</v>
      </c>
      <c r="AD4" s="481" t="n">
        <v>10</v>
      </c>
      <c r="AE4" s="481" t="n">
        <v>11</v>
      </c>
      <c r="AF4" s="481" t="n">
        <v>12</v>
      </c>
      <c r="AG4" s="481" t="n">
        <v>13</v>
      </c>
      <c r="AH4" s="481" t="n">
        <v>14</v>
      </c>
      <c r="AI4" s="481" t="n">
        <v>15</v>
      </c>
      <c r="AJ4" s="481" t="n">
        <v>16</v>
      </c>
      <c r="AK4" s="481" t="n">
        <v>17</v>
      </c>
      <c r="AL4" s="481" t="n">
        <v>18</v>
      </c>
      <c r="AM4" s="481" t="n">
        <v>19</v>
      </c>
      <c r="AN4" s="481" t="n">
        <v>20</v>
      </c>
      <c r="AO4" s="481" t="n">
        <v>21</v>
      </c>
      <c r="AP4" s="481" t="n">
        <v>22</v>
      </c>
      <c r="AQ4" s="481" t="n">
        <v>23</v>
      </c>
      <c r="AR4" s="481" t="n">
        <v>24</v>
      </c>
      <c r="AS4" s="481" t="n">
        <v>25</v>
      </c>
      <c r="AT4" s="481" t="n">
        <v>26</v>
      </c>
      <c r="AU4" s="481" t="n">
        <v>27</v>
      </c>
      <c r="AV4" s="481" t="n">
        <v>28</v>
      </c>
      <c r="AW4" s="481" t="n">
        <v>29</v>
      </c>
      <c r="AX4" s="481" t="n">
        <v>30</v>
      </c>
      <c r="AY4" s="481" t="n">
        <v>31</v>
      </c>
      <c r="AZ4" s="481" t="n">
        <v>1</v>
      </c>
      <c r="BA4" s="481" t="n">
        <v>2</v>
      </c>
      <c r="BB4" s="481" t="n">
        <v>3</v>
      </c>
      <c r="BC4" s="481" t="n">
        <v>4</v>
      </c>
      <c r="BD4" s="481" t="n">
        <v>5</v>
      </c>
      <c r="BE4" s="481" t="n">
        <v>6</v>
      </c>
      <c r="BF4" s="481" t="n">
        <v>7</v>
      </c>
      <c r="BG4" s="481" t="n">
        <v>8</v>
      </c>
      <c r="BH4" s="481" t="n">
        <v>9</v>
      </c>
      <c r="BI4" s="481" t="n">
        <v>10</v>
      </c>
      <c r="BJ4" s="481" t="n">
        <v>11</v>
      </c>
      <c r="BK4" s="481" t="n">
        <v>12</v>
      </c>
      <c r="BL4" s="481" t="n">
        <v>13</v>
      </c>
      <c r="BM4" s="481" t="n">
        <v>14</v>
      </c>
      <c r="BN4" s="481" t="n">
        <v>15</v>
      </c>
      <c r="BO4" s="481" t="n">
        <v>16</v>
      </c>
      <c r="BP4" s="481" t="n">
        <v>17</v>
      </c>
      <c r="BQ4" s="481" t="n">
        <v>18</v>
      </c>
      <c r="BR4" s="481" t="n">
        <v>19</v>
      </c>
      <c r="BS4" s="481" t="n">
        <v>20</v>
      </c>
      <c r="BT4" s="481" t="n">
        <v>21</v>
      </c>
      <c r="BU4" s="481" t="n">
        <v>22</v>
      </c>
      <c r="BV4" s="481" t="n">
        <v>23</v>
      </c>
      <c r="BW4" s="481" t="n">
        <v>24</v>
      </c>
      <c r="BX4" s="481" t="n">
        <v>25</v>
      </c>
      <c r="BY4" s="481" t="n">
        <v>26</v>
      </c>
      <c r="BZ4" s="481" t="n">
        <v>27</v>
      </c>
      <c r="CA4" s="481" t="n">
        <v>28</v>
      </c>
      <c r="CB4" s="481" t="n">
        <v>29</v>
      </c>
      <c r="CC4" s="481" t="n">
        <v>30</v>
      </c>
      <c r="CD4" s="481" t="n">
        <v>31</v>
      </c>
      <c r="CE4" s="481" t="n">
        <v>1</v>
      </c>
      <c r="CF4" s="481" t="n">
        <v>2</v>
      </c>
      <c r="CG4" s="481" t="n">
        <v>3</v>
      </c>
      <c r="CH4" s="481" t="n">
        <v>4</v>
      </c>
      <c r="CI4" s="481" t="n">
        <v>5</v>
      </c>
      <c r="CJ4" s="481" t="n">
        <v>6</v>
      </c>
      <c r="CK4" s="481" t="n">
        <v>7</v>
      </c>
      <c r="CL4" s="481" t="n">
        <v>8</v>
      </c>
      <c r="CM4" s="481" t="n">
        <v>9</v>
      </c>
      <c r="CN4" s="481" t="n">
        <v>10</v>
      </c>
      <c r="CO4" s="481" t="n">
        <v>11</v>
      </c>
      <c r="CP4" s="481" t="n">
        <v>12</v>
      </c>
      <c r="CQ4" s="481" t="n">
        <v>13</v>
      </c>
      <c r="CR4" s="481" t="n">
        <v>14</v>
      </c>
      <c r="CS4" s="481" t="n">
        <v>15</v>
      </c>
      <c r="CT4" s="481" t="n">
        <v>16</v>
      </c>
      <c r="CU4" s="481" t="n">
        <v>17</v>
      </c>
      <c r="CV4" s="481" t="n">
        <v>18</v>
      </c>
      <c r="CW4" s="481" t="n">
        <v>19</v>
      </c>
      <c r="CX4" s="481" t="n">
        <v>20</v>
      </c>
      <c r="CY4" s="481" t="n">
        <v>21</v>
      </c>
      <c r="CZ4" s="481" t="n">
        <v>22</v>
      </c>
      <c r="DA4" s="481" t="n">
        <v>23</v>
      </c>
      <c r="DB4" s="481" t="n">
        <v>24</v>
      </c>
      <c r="DC4" s="481" t="n">
        <v>25</v>
      </c>
      <c r="DD4" s="481" t="n">
        <v>26</v>
      </c>
      <c r="DE4" s="481" t="n">
        <v>27</v>
      </c>
      <c r="DF4" s="481" t="n">
        <v>28</v>
      </c>
      <c r="DG4" s="481" t="n">
        <v>29</v>
      </c>
      <c r="DH4" s="481" t="n">
        <v>30</v>
      </c>
      <c r="DI4" s="481" t="n">
        <v>31</v>
      </c>
    </row>
    <row r="5" customFormat="false" ht="18.75" hidden="false" customHeight="true" outlineLevel="0" collapsed="false">
      <c r="B5" s="484" t="s">
        <v>524</v>
      </c>
      <c r="C5" s="485" t="s">
        <v>525</v>
      </c>
      <c r="D5" s="486"/>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487"/>
      <c r="AH5" s="487"/>
      <c r="AI5" s="487"/>
      <c r="AJ5" s="487"/>
      <c r="AK5" s="487"/>
      <c r="AL5" s="487"/>
      <c r="AM5" s="487"/>
      <c r="AN5" s="487"/>
      <c r="AO5" s="487"/>
      <c r="AP5" s="487"/>
      <c r="AQ5" s="487"/>
      <c r="AR5" s="487"/>
      <c r="AS5" s="487"/>
      <c r="AT5" s="487"/>
      <c r="AU5" s="487"/>
      <c r="AV5" s="487"/>
      <c r="AW5" s="487"/>
      <c r="AX5" s="487"/>
      <c r="AY5" s="487"/>
      <c r="AZ5" s="487"/>
      <c r="BA5" s="487"/>
      <c r="BB5" s="487"/>
      <c r="BC5" s="487"/>
      <c r="BD5" s="487"/>
      <c r="BE5" s="487"/>
      <c r="BF5" s="487"/>
      <c r="BG5" s="487"/>
      <c r="BH5" s="487"/>
      <c r="BI5" s="487"/>
      <c r="BJ5" s="487"/>
      <c r="BK5" s="487"/>
      <c r="BL5" s="487"/>
      <c r="BM5" s="487"/>
      <c r="BN5" s="487"/>
      <c r="BO5" s="487"/>
      <c r="BP5" s="487"/>
      <c r="BQ5" s="487"/>
      <c r="BR5" s="487"/>
      <c r="BS5" s="487"/>
      <c r="BT5" s="487"/>
      <c r="BU5" s="487"/>
      <c r="BV5" s="487"/>
      <c r="BW5" s="487"/>
      <c r="BX5" s="487"/>
      <c r="BY5" s="487"/>
      <c r="BZ5" s="487"/>
      <c r="CA5" s="487"/>
      <c r="CB5" s="487"/>
      <c r="CC5" s="487"/>
      <c r="CD5" s="487"/>
      <c r="CE5" s="487"/>
      <c r="CF5" s="487"/>
      <c r="CG5" s="487"/>
      <c r="CH5" s="487"/>
      <c r="CI5" s="487"/>
      <c r="CJ5" s="487"/>
      <c r="CK5" s="487"/>
      <c r="CL5" s="487"/>
      <c r="CM5" s="487"/>
      <c r="CN5" s="487"/>
      <c r="CO5" s="487"/>
      <c r="CP5" s="487"/>
      <c r="CQ5" s="487"/>
      <c r="CR5" s="487"/>
      <c r="CS5" s="487"/>
      <c r="CT5" s="487"/>
      <c r="CU5" s="487"/>
      <c r="CV5" s="487"/>
      <c r="CW5" s="487"/>
      <c r="CX5" s="487"/>
      <c r="CY5" s="487"/>
      <c r="CZ5" s="487"/>
      <c r="DA5" s="487"/>
      <c r="DB5" s="487"/>
      <c r="DC5" s="487"/>
      <c r="DD5" s="487"/>
      <c r="DE5" s="487"/>
      <c r="DF5" s="487"/>
      <c r="DG5" s="487"/>
      <c r="DH5" s="487"/>
      <c r="DI5" s="487"/>
    </row>
    <row r="6" customFormat="false" ht="18.75" hidden="false" customHeight="true" outlineLevel="0" collapsed="false">
      <c r="B6" s="484"/>
      <c r="C6" s="485" t="s">
        <v>526</v>
      </c>
      <c r="D6" s="487"/>
      <c r="E6" s="486"/>
      <c r="F6" s="486"/>
      <c r="G6" s="487"/>
      <c r="H6" s="487"/>
      <c r="I6" s="487"/>
      <c r="J6" s="487"/>
      <c r="K6" s="487"/>
      <c r="L6" s="487"/>
      <c r="M6" s="487"/>
      <c r="N6" s="487"/>
      <c r="O6" s="487"/>
      <c r="P6" s="487"/>
      <c r="Q6" s="487"/>
      <c r="R6" s="487"/>
      <c r="S6" s="487"/>
      <c r="T6" s="487"/>
      <c r="U6" s="487"/>
      <c r="V6" s="487"/>
      <c r="W6" s="487"/>
      <c r="X6" s="487"/>
      <c r="Y6" s="487"/>
      <c r="Z6" s="487"/>
      <c r="AA6" s="487"/>
      <c r="AB6" s="487"/>
      <c r="AC6" s="487"/>
      <c r="AD6" s="487"/>
      <c r="AE6" s="487"/>
      <c r="AF6" s="487"/>
      <c r="AG6" s="487"/>
      <c r="AH6" s="487"/>
      <c r="AI6" s="487"/>
      <c r="AJ6" s="487"/>
      <c r="AK6" s="487"/>
      <c r="AL6" s="487"/>
      <c r="AM6" s="487"/>
      <c r="AN6" s="487"/>
      <c r="AO6" s="487"/>
      <c r="AP6" s="487"/>
      <c r="AQ6" s="487"/>
      <c r="AR6" s="487"/>
      <c r="AS6" s="487"/>
      <c r="AT6" s="487"/>
      <c r="AU6" s="487"/>
      <c r="AV6" s="487"/>
      <c r="AW6" s="487"/>
      <c r="AX6" s="487"/>
      <c r="AY6" s="487"/>
      <c r="AZ6" s="487"/>
      <c r="BA6" s="487"/>
      <c r="BB6" s="487"/>
      <c r="BC6" s="487"/>
      <c r="BD6" s="487"/>
      <c r="BE6" s="487"/>
      <c r="BF6" s="487"/>
      <c r="BG6" s="487"/>
      <c r="BH6" s="487"/>
      <c r="BI6" s="487"/>
      <c r="BJ6" s="487"/>
      <c r="BK6" s="487"/>
      <c r="BL6" s="487"/>
      <c r="BM6" s="487"/>
      <c r="BN6" s="487"/>
      <c r="BO6" s="487"/>
      <c r="BP6" s="487"/>
      <c r="BQ6" s="487"/>
      <c r="BR6" s="487"/>
      <c r="BS6" s="487"/>
      <c r="BT6" s="487"/>
      <c r="BU6" s="487"/>
      <c r="BV6" s="487"/>
      <c r="BW6" s="487"/>
      <c r="BX6" s="487"/>
      <c r="BY6" s="487"/>
      <c r="BZ6" s="487"/>
      <c r="CA6" s="487"/>
      <c r="CB6" s="487"/>
      <c r="CC6" s="487"/>
      <c r="CD6" s="487"/>
      <c r="CE6" s="487"/>
      <c r="CF6" s="487"/>
      <c r="CG6" s="487"/>
      <c r="CH6" s="487"/>
      <c r="CI6" s="487"/>
      <c r="CJ6" s="487"/>
      <c r="CK6" s="487"/>
      <c r="CL6" s="487"/>
      <c r="CM6" s="487"/>
      <c r="CN6" s="487"/>
      <c r="CO6" s="487"/>
      <c r="CP6" s="487"/>
      <c r="CQ6" s="487"/>
      <c r="CR6" s="487"/>
      <c r="CS6" s="487"/>
      <c r="CT6" s="487"/>
      <c r="CU6" s="487"/>
      <c r="CV6" s="487"/>
      <c r="CW6" s="487"/>
      <c r="CX6" s="487"/>
      <c r="CY6" s="487"/>
      <c r="CZ6" s="487"/>
      <c r="DA6" s="487"/>
      <c r="DB6" s="487"/>
      <c r="DC6" s="487"/>
      <c r="DD6" s="487"/>
      <c r="DE6" s="487"/>
      <c r="DF6" s="487"/>
      <c r="DG6" s="487"/>
      <c r="DH6" s="487"/>
      <c r="DI6" s="487"/>
    </row>
    <row r="7" customFormat="false" ht="18.75" hidden="false" customHeight="true" outlineLevel="0" collapsed="false">
      <c r="B7" s="484"/>
      <c r="C7" s="485" t="s">
        <v>527</v>
      </c>
      <c r="D7" s="487"/>
      <c r="E7" s="487"/>
      <c r="F7" s="487"/>
      <c r="G7" s="486"/>
      <c r="H7" s="487"/>
      <c r="I7" s="487"/>
      <c r="J7" s="487"/>
      <c r="K7" s="487"/>
      <c r="L7" s="487"/>
      <c r="M7" s="487"/>
      <c r="N7" s="487"/>
      <c r="O7" s="487"/>
      <c r="P7" s="487"/>
      <c r="Q7" s="487"/>
      <c r="R7" s="487"/>
      <c r="S7" s="487"/>
      <c r="T7" s="487"/>
      <c r="U7" s="487"/>
      <c r="V7" s="487"/>
      <c r="W7" s="487"/>
      <c r="X7" s="487"/>
      <c r="Y7" s="487"/>
      <c r="Z7" s="487"/>
      <c r="AA7" s="487"/>
      <c r="AB7" s="487"/>
      <c r="AC7" s="487"/>
      <c r="AD7" s="487"/>
      <c r="AE7" s="487"/>
      <c r="AF7" s="487"/>
      <c r="AG7" s="487"/>
      <c r="AH7" s="487"/>
      <c r="AI7" s="487"/>
      <c r="AJ7" s="487"/>
      <c r="AK7" s="487"/>
      <c r="AL7" s="487"/>
      <c r="AM7" s="487"/>
      <c r="AN7" s="487"/>
      <c r="AO7" s="487"/>
      <c r="AP7" s="487"/>
      <c r="AQ7" s="487"/>
      <c r="AR7" s="487"/>
      <c r="AS7" s="487"/>
      <c r="AT7" s="487"/>
      <c r="AU7" s="487"/>
      <c r="AV7" s="487"/>
      <c r="AW7" s="487"/>
      <c r="AX7" s="487"/>
      <c r="AY7" s="487"/>
      <c r="AZ7" s="487"/>
      <c r="BA7" s="487"/>
      <c r="BB7" s="487"/>
      <c r="BC7" s="487"/>
      <c r="BD7" s="487"/>
      <c r="BE7" s="487"/>
      <c r="BF7" s="487"/>
      <c r="BG7" s="487"/>
      <c r="BH7" s="487"/>
      <c r="BI7" s="487"/>
      <c r="BJ7" s="487"/>
      <c r="BK7" s="487"/>
      <c r="BL7" s="487"/>
      <c r="BM7" s="487"/>
      <c r="BN7" s="487"/>
      <c r="BO7" s="487"/>
      <c r="BP7" s="487"/>
      <c r="BQ7" s="487"/>
      <c r="BR7" s="487"/>
      <c r="BS7" s="487"/>
      <c r="BT7" s="487"/>
      <c r="BU7" s="487"/>
      <c r="BV7" s="487"/>
      <c r="BW7" s="487"/>
      <c r="BX7" s="487"/>
      <c r="BY7" s="487"/>
      <c r="BZ7" s="487"/>
      <c r="CA7" s="487"/>
      <c r="CB7" s="487"/>
      <c r="CC7" s="487"/>
      <c r="CD7" s="487"/>
      <c r="CE7" s="487"/>
      <c r="CF7" s="487"/>
      <c r="CG7" s="487"/>
      <c r="CH7" s="487"/>
      <c r="CI7" s="487"/>
      <c r="CJ7" s="487"/>
      <c r="CK7" s="487"/>
      <c r="CL7" s="487"/>
      <c r="CM7" s="487"/>
      <c r="CN7" s="487"/>
      <c r="CO7" s="487"/>
      <c r="CP7" s="487"/>
      <c r="CQ7" s="487"/>
      <c r="CR7" s="487"/>
      <c r="CS7" s="487"/>
      <c r="CT7" s="487"/>
      <c r="CU7" s="487"/>
      <c r="CV7" s="487"/>
      <c r="CW7" s="487"/>
      <c r="CX7" s="487"/>
      <c r="CY7" s="487"/>
      <c r="CZ7" s="487"/>
      <c r="DA7" s="487"/>
      <c r="DB7" s="487"/>
      <c r="DC7" s="487"/>
      <c r="DD7" s="487"/>
      <c r="DE7" s="487"/>
      <c r="DF7" s="487"/>
      <c r="DG7" s="487"/>
      <c r="DH7" s="487"/>
      <c r="DI7" s="487"/>
    </row>
    <row r="8" customFormat="false" ht="18.75" hidden="false" customHeight="true" outlineLevel="0" collapsed="false">
      <c r="B8" s="484"/>
      <c r="C8" s="485" t="s">
        <v>528</v>
      </c>
      <c r="D8" s="487"/>
      <c r="E8" s="487"/>
      <c r="F8" s="487"/>
      <c r="G8" s="486"/>
      <c r="H8" s="487"/>
      <c r="I8" s="487"/>
      <c r="J8" s="487"/>
      <c r="K8" s="487"/>
      <c r="L8" s="487"/>
      <c r="M8" s="487"/>
      <c r="N8" s="487"/>
      <c r="O8" s="487"/>
      <c r="P8" s="487"/>
      <c r="Q8" s="487"/>
      <c r="R8" s="487"/>
      <c r="S8" s="487"/>
      <c r="T8" s="487"/>
      <c r="U8" s="488"/>
      <c r="V8" s="488"/>
      <c r="W8" s="488"/>
      <c r="X8" s="488"/>
      <c r="Y8" s="488"/>
      <c r="Z8" s="488"/>
      <c r="AA8" s="488"/>
      <c r="AB8" s="488"/>
      <c r="AC8" s="488"/>
      <c r="AD8" s="488"/>
      <c r="AE8" s="488"/>
      <c r="AF8" s="488"/>
      <c r="AG8" s="488"/>
      <c r="AH8" s="488"/>
      <c r="AI8" s="488"/>
      <c r="AJ8" s="488"/>
      <c r="AK8" s="488"/>
      <c r="AL8" s="488"/>
      <c r="AM8" s="488"/>
      <c r="AN8" s="488"/>
      <c r="AO8" s="488"/>
      <c r="AP8" s="488"/>
      <c r="AQ8" s="488"/>
      <c r="AR8" s="488"/>
      <c r="AS8" s="488"/>
      <c r="AT8" s="488"/>
      <c r="AU8" s="488"/>
      <c r="AV8" s="488"/>
      <c r="AW8" s="488"/>
      <c r="AX8" s="488"/>
      <c r="AY8" s="487"/>
      <c r="AZ8" s="488"/>
      <c r="BA8" s="488"/>
      <c r="BB8" s="488"/>
      <c r="BC8" s="488"/>
      <c r="BD8" s="488"/>
      <c r="BE8" s="488"/>
      <c r="BF8" s="488"/>
      <c r="BG8" s="488"/>
      <c r="BH8" s="488"/>
      <c r="BI8" s="488"/>
      <c r="BJ8" s="488"/>
      <c r="BK8" s="488"/>
      <c r="BL8" s="488"/>
      <c r="BM8" s="488"/>
      <c r="BN8" s="488"/>
      <c r="BO8" s="488"/>
      <c r="BP8" s="488"/>
      <c r="BQ8" s="488"/>
      <c r="BR8" s="488"/>
      <c r="BS8" s="488"/>
      <c r="BT8" s="488"/>
      <c r="BU8" s="488"/>
      <c r="BV8" s="488"/>
      <c r="BW8" s="488"/>
      <c r="BX8" s="488"/>
      <c r="BY8" s="488"/>
      <c r="BZ8" s="488"/>
      <c r="CA8" s="488"/>
      <c r="CB8" s="488"/>
      <c r="CC8" s="488"/>
      <c r="CD8" s="487"/>
      <c r="CE8" s="488"/>
      <c r="CF8" s="488"/>
      <c r="CG8" s="488"/>
      <c r="CH8" s="488"/>
      <c r="CI8" s="488"/>
      <c r="CJ8" s="488"/>
      <c r="CK8" s="488"/>
      <c r="CL8" s="488"/>
      <c r="CM8" s="488"/>
      <c r="CN8" s="488"/>
      <c r="CO8" s="488"/>
      <c r="CP8" s="488"/>
      <c r="CQ8" s="488"/>
      <c r="CR8" s="488"/>
      <c r="CS8" s="488"/>
      <c r="CT8" s="488"/>
      <c r="CU8" s="488"/>
      <c r="CV8" s="488"/>
      <c r="CW8" s="488"/>
      <c r="CX8" s="488"/>
      <c r="CY8" s="488"/>
      <c r="CZ8" s="488"/>
      <c r="DA8" s="488"/>
      <c r="DB8" s="488"/>
      <c r="DC8" s="488"/>
      <c r="DD8" s="488"/>
      <c r="DE8" s="488"/>
      <c r="DF8" s="488"/>
      <c r="DG8" s="488"/>
      <c r="DH8" s="488"/>
      <c r="DI8" s="487"/>
    </row>
    <row r="9" customFormat="false" ht="18.75" hidden="false" customHeight="true" outlineLevel="0" collapsed="false">
      <c r="B9" s="489" t="s">
        <v>529</v>
      </c>
      <c r="C9" s="485" t="s">
        <v>530</v>
      </c>
      <c r="D9" s="487"/>
      <c r="E9" s="487"/>
      <c r="F9" s="487"/>
      <c r="G9" s="487"/>
      <c r="H9" s="486"/>
      <c r="I9" s="487"/>
      <c r="J9" s="487"/>
      <c r="K9" s="487"/>
      <c r="L9" s="487"/>
      <c r="M9" s="487"/>
      <c r="N9" s="487"/>
      <c r="O9" s="487"/>
      <c r="P9" s="487"/>
      <c r="Q9" s="487"/>
      <c r="R9" s="487"/>
      <c r="S9" s="487"/>
      <c r="T9" s="487"/>
      <c r="U9" s="487"/>
      <c r="V9" s="487"/>
      <c r="W9" s="487"/>
      <c r="X9" s="487"/>
      <c r="Y9" s="487"/>
      <c r="Z9" s="487"/>
      <c r="AA9" s="487"/>
      <c r="AB9" s="487"/>
      <c r="AC9" s="487"/>
      <c r="AD9" s="487"/>
      <c r="AE9" s="487"/>
      <c r="AF9" s="487"/>
      <c r="AG9" s="487"/>
      <c r="AH9" s="487"/>
      <c r="AI9" s="487"/>
      <c r="AJ9" s="487"/>
      <c r="AK9" s="487"/>
      <c r="AL9" s="487"/>
      <c r="AM9" s="487"/>
      <c r="AN9" s="487"/>
      <c r="AO9" s="487"/>
      <c r="AP9" s="487"/>
      <c r="AQ9" s="487"/>
      <c r="AR9" s="487"/>
      <c r="AS9" s="487"/>
      <c r="AT9" s="487"/>
      <c r="AU9" s="487"/>
      <c r="AV9" s="487"/>
      <c r="AW9" s="487"/>
      <c r="AX9" s="487"/>
      <c r="AY9" s="487"/>
      <c r="AZ9" s="487"/>
      <c r="BA9" s="487"/>
      <c r="BB9" s="487"/>
      <c r="BC9" s="487"/>
      <c r="BD9" s="487"/>
      <c r="BE9" s="487"/>
      <c r="BF9" s="487"/>
      <c r="BG9" s="487"/>
      <c r="BH9" s="487"/>
      <c r="BI9" s="487"/>
      <c r="BJ9" s="487"/>
      <c r="BK9" s="487"/>
      <c r="BL9" s="487"/>
      <c r="BM9" s="487"/>
      <c r="BN9" s="487"/>
      <c r="BO9" s="487"/>
      <c r="BP9" s="487"/>
      <c r="BQ9" s="487"/>
      <c r="BR9" s="487"/>
      <c r="BS9" s="487"/>
      <c r="BT9" s="487"/>
      <c r="BU9" s="487"/>
      <c r="BV9" s="487"/>
      <c r="BW9" s="487"/>
      <c r="BX9" s="487"/>
      <c r="BY9" s="487"/>
      <c r="BZ9" s="487"/>
      <c r="CA9" s="487"/>
      <c r="CB9" s="487"/>
      <c r="CC9" s="487"/>
      <c r="CD9" s="487"/>
      <c r="CE9" s="487"/>
      <c r="CF9" s="487"/>
      <c r="CG9" s="487"/>
      <c r="CH9" s="487"/>
      <c r="CI9" s="487"/>
      <c r="CJ9" s="487"/>
      <c r="CK9" s="487"/>
      <c r="CL9" s="487"/>
      <c r="CM9" s="487"/>
      <c r="CN9" s="487"/>
      <c r="CO9" s="487"/>
      <c r="CP9" s="487"/>
      <c r="CQ9" s="487"/>
      <c r="CR9" s="487"/>
      <c r="CS9" s="487"/>
      <c r="CT9" s="487"/>
      <c r="CU9" s="487"/>
      <c r="CV9" s="487"/>
      <c r="CW9" s="487"/>
      <c r="CX9" s="487"/>
      <c r="CY9" s="487"/>
      <c r="CZ9" s="487"/>
      <c r="DA9" s="487"/>
      <c r="DB9" s="487"/>
      <c r="DC9" s="487"/>
      <c r="DD9" s="487"/>
      <c r="DE9" s="487"/>
      <c r="DF9" s="487"/>
      <c r="DG9" s="487"/>
      <c r="DH9" s="487"/>
      <c r="DI9" s="487"/>
    </row>
    <row r="10" customFormat="false" ht="18.75" hidden="false" customHeight="true" outlineLevel="0" collapsed="false">
      <c r="B10" s="489"/>
      <c r="C10" s="485" t="s">
        <v>531</v>
      </c>
      <c r="D10" s="487"/>
      <c r="E10" s="487"/>
      <c r="F10" s="487"/>
      <c r="G10" s="487"/>
      <c r="H10" s="487"/>
      <c r="I10" s="486"/>
      <c r="J10" s="487"/>
      <c r="K10" s="487"/>
      <c r="L10" s="487"/>
      <c r="M10" s="487"/>
      <c r="N10" s="487"/>
      <c r="O10" s="487"/>
      <c r="P10" s="487"/>
      <c r="Q10" s="487"/>
      <c r="R10" s="487"/>
      <c r="S10" s="487"/>
      <c r="T10" s="487"/>
      <c r="U10" s="487"/>
      <c r="V10" s="487"/>
      <c r="W10" s="487"/>
      <c r="X10" s="487"/>
      <c r="Y10" s="487"/>
      <c r="Z10" s="487"/>
      <c r="AA10" s="487"/>
      <c r="AB10" s="487"/>
      <c r="AC10" s="487"/>
      <c r="AD10" s="487"/>
      <c r="AE10" s="487"/>
      <c r="AF10" s="487"/>
      <c r="AG10" s="487"/>
      <c r="AH10" s="487"/>
      <c r="AI10" s="487"/>
      <c r="AJ10" s="487"/>
      <c r="AK10" s="487"/>
      <c r="AL10" s="487"/>
      <c r="AM10" s="487"/>
      <c r="AN10" s="487"/>
      <c r="AO10" s="487"/>
      <c r="AP10" s="487"/>
      <c r="AQ10" s="487"/>
      <c r="AR10" s="487"/>
      <c r="AS10" s="487"/>
      <c r="AT10" s="487"/>
      <c r="AU10" s="487"/>
      <c r="AV10" s="487"/>
      <c r="AW10" s="487"/>
      <c r="AX10" s="487"/>
      <c r="AY10" s="487"/>
      <c r="AZ10" s="487"/>
      <c r="BA10" s="487"/>
      <c r="BB10" s="487"/>
      <c r="BC10" s="487"/>
      <c r="BD10" s="487"/>
      <c r="BE10" s="487"/>
      <c r="BF10" s="487"/>
      <c r="BG10" s="487"/>
      <c r="BH10" s="487"/>
      <c r="BI10" s="487"/>
      <c r="BJ10" s="487"/>
      <c r="BK10" s="487"/>
      <c r="BL10" s="487"/>
      <c r="BM10" s="487"/>
      <c r="BN10" s="487"/>
      <c r="BO10" s="487"/>
      <c r="BP10" s="487"/>
      <c r="BQ10" s="487"/>
      <c r="BR10" s="487"/>
      <c r="BS10" s="487"/>
      <c r="BT10" s="487"/>
      <c r="BU10" s="487"/>
      <c r="BV10" s="487"/>
      <c r="BW10" s="487"/>
      <c r="BX10" s="487"/>
      <c r="BY10" s="487"/>
      <c r="BZ10" s="487"/>
      <c r="CA10" s="487"/>
      <c r="CB10" s="487"/>
      <c r="CC10" s="487"/>
      <c r="CD10" s="487"/>
      <c r="CE10" s="487"/>
      <c r="CF10" s="487"/>
      <c r="CG10" s="487"/>
      <c r="CH10" s="487"/>
      <c r="CI10" s="487"/>
      <c r="CJ10" s="487"/>
      <c r="CK10" s="487"/>
      <c r="CL10" s="487"/>
      <c r="CM10" s="487"/>
      <c r="CN10" s="487"/>
      <c r="CO10" s="487"/>
      <c r="CP10" s="487"/>
      <c r="CQ10" s="487"/>
      <c r="CR10" s="487"/>
      <c r="CS10" s="487"/>
      <c r="CT10" s="487"/>
      <c r="CU10" s="487"/>
      <c r="CV10" s="487"/>
      <c r="CW10" s="487"/>
      <c r="CX10" s="487"/>
      <c r="CY10" s="487"/>
      <c r="CZ10" s="487"/>
      <c r="DA10" s="487"/>
      <c r="DB10" s="487"/>
      <c r="DC10" s="487"/>
      <c r="DD10" s="487"/>
      <c r="DE10" s="487"/>
      <c r="DF10" s="487"/>
      <c r="DG10" s="487"/>
      <c r="DH10" s="487"/>
      <c r="DI10" s="487"/>
    </row>
    <row r="11" customFormat="false" ht="18.75" hidden="false" customHeight="true" outlineLevel="0" collapsed="false">
      <c r="B11" s="489"/>
      <c r="C11" s="485" t="s">
        <v>532</v>
      </c>
      <c r="D11" s="487"/>
      <c r="E11" s="487"/>
      <c r="F11" s="487"/>
      <c r="G11" s="487"/>
      <c r="H11" s="487"/>
      <c r="I11" s="487"/>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7"/>
      <c r="AR11" s="487"/>
      <c r="AS11" s="487"/>
      <c r="AT11" s="487"/>
      <c r="AU11" s="487"/>
      <c r="AV11" s="487"/>
      <c r="AW11" s="487"/>
      <c r="AX11" s="487"/>
      <c r="AY11" s="487"/>
      <c r="AZ11" s="487"/>
      <c r="BA11" s="487"/>
      <c r="BB11" s="487"/>
      <c r="BC11" s="487"/>
      <c r="BD11" s="487"/>
      <c r="BE11" s="487"/>
      <c r="BF11" s="487"/>
      <c r="BG11" s="487"/>
      <c r="BH11" s="487"/>
      <c r="BI11" s="487"/>
      <c r="BJ11" s="487"/>
      <c r="BK11" s="487"/>
      <c r="BL11" s="487"/>
      <c r="BM11" s="487"/>
      <c r="BN11" s="487"/>
      <c r="BO11" s="487"/>
      <c r="BP11" s="487"/>
      <c r="BQ11" s="487"/>
      <c r="BR11" s="487"/>
      <c r="BS11" s="487"/>
      <c r="BT11" s="487"/>
      <c r="BU11" s="487"/>
      <c r="BV11" s="487"/>
      <c r="BW11" s="487"/>
      <c r="BX11" s="487"/>
      <c r="BY11" s="487"/>
      <c r="BZ11" s="487"/>
      <c r="CA11" s="487"/>
      <c r="CB11" s="487"/>
      <c r="CC11" s="487"/>
      <c r="CD11" s="487"/>
      <c r="CE11" s="487"/>
      <c r="CF11" s="487"/>
      <c r="CG11" s="487"/>
      <c r="CH11" s="487"/>
      <c r="CI11" s="487"/>
      <c r="CJ11" s="487"/>
      <c r="CK11" s="487"/>
      <c r="CL11" s="487"/>
      <c r="CM11" s="487"/>
      <c r="CN11" s="487"/>
      <c r="CO11" s="487"/>
      <c r="CP11" s="487"/>
      <c r="CQ11" s="487"/>
      <c r="CR11" s="487"/>
      <c r="CS11" s="487"/>
      <c r="CT11" s="487"/>
      <c r="CU11" s="487"/>
      <c r="CV11" s="487"/>
      <c r="CW11" s="487"/>
      <c r="CX11" s="487"/>
      <c r="CY11" s="487"/>
      <c r="CZ11" s="487"/>
      <c r="DA11" s="487"/>
      <c r="DB11" s="487"/>
      <c r="DC11" s="487"/>
      <c r="DD11" s="487"/>
      <c r="DE11" s="487"/>
      <c r="DF11" s="487"/>
      <c r="DG11" s="487"/>
      <c r="DH11" s="487"/>
      <c r="DI11" s="487"/>
    </row>
    <row r="12" customFormat="false" ht="18.75" hidden="false" customHeight="true" outlineLevel="0" collapsed="false">
      <c r="B12" s="489"/>
      <c r="C12" s="490" t="s">
        <v>533</v>
      </c>
      <c r="D12" s="487"/>
      <c r="E12" s="487"/>
      <c r="F12" s="487"/>
      <c r="G12" s="487"/>
      <c r="H12" s="487"/>
      <c r="I12" s="487"/>
      <c r="J12" s="487"/>
      <c r="K12" s="487"/>
      <c r="L12" s="491" t="s">
        <v>450</v>
      </c>
      <c r="M12" s="487"/>
      <c r="N12" s="487"/>
      <c r="O12" s="487"/>
      <c r="P12" s="487"/>
      <c r="Q12" s="487"/>
      <c r="R12" s="487"/>
      <c r="S12" s="487"/>
      <c r="T12" s="487"/>
      <c r="U12" s="487"/>
      <c r="V12" s="487"/>
      <c r="W12" s="487"/>
      <c r="X12" s="487"/>
      <c r="Y12" s="487"/>
      <c r="Z12" s="487"/>
      <c r="AA12" s="491" t="s">
        <v>458</v>
      </c>
      <c r="AB12" s="491" t="s">
        <v>534</v>
      </c>
      <c r="AC12" s="487"/>
      <c r="AD12" s="487"/>
      <c r="AE12" s="487"/>
      <c r="AF12" s="487"/>
      <c r="AG12" s="487"/>
      <c r="AH12" s="487"/>
      <c r="AI12" s="487"/>
      <c r="AJ12" s="487"/>
      <c r="AK12" s="487"/>
      <c r="AL12" s="487"/>
      <c r="AM12" s="487"/>
      <c r="AN12" s="487"/>
      <c r="AO12" s="487"/>
      <c r="AP12" s="487"/>
      <c r="AQ12" s="487"/>
      <c r="AR12" s="487"/>
      <c r="AS12" s="487"/>
      <c r="AT12" s="487"/>
      <c r="AU12" s="487"/>
      <c r="AV12" s="487"/>
      <c r="AW12" s="487"/>
      <c r="AX12" s="487"/>
      <c r="AY12" s="487"/>
      <c r="AZ12" s="487"/>
      <c r="BA12" s="487"/>
      <c r="BB12" s="487"/>
      <c r="BC12" s="487"/>
      <c r="BD12" s="487"/>
      <c r="BE12" s="487"/>
      <c r="BF12" s="487"/>
      <c r="BG12" s="487"/>
      <c r="BH12" s="487"/>
      <c r="BI12" s="487"/>
      <c r="BJ12" s="487"/>
      <c r="BK12" s="487"/>
      <c r="BL12" s="487"/>
      <c r="BM12" s="487"/>
      <c r="BN12" s="487"/>
      <c r="BO12" s="487"/>
      <c r="BP12" s="487"/>
      <c r="BQ12" s="487"/>
      <c r="BR12" s="487"/>
      <c r="BS12" s="487"/>
      <c r="BT12" s="487"/>
      <c r="BU12" s="487"/>
      <c r="BV12" s="487"/>
      <c r="BW12" s="487"/>
      <c r="BX12" s="487"/>
      <c r="BY12" s="487"/>
      <c r="BZ12" s="487"/>
      <c r="CA12" s="487"/>
      <c r="CB12" s="487"/>
      <c r="CC12" s="487"/>
      <c r="CD12" s="487"/>
      <c r="CE12" s="487"/>
      <c r="CF12" s="487"/>
      <c r="CG12" s="487"/>
      <c r="CH12" s="487"/>
      <c r="CI12" s="487"/>
      <c r="CJ12" s="487"/>
      <c r="CK12" s="487"/>
      <c r="CL12" s="487"/>
      <c r="CM12" s="487"/>
      <c r="CN12" s="487"/>
      <c r="CO12" s="487"/>
      <c r="CP12" s="487"/>
      <c r="CQ12" s="487"/>
      <c r="CR12" s="487"/>
      <c r="CS12" s="487"/>
      <c r="CT12" s="487"/>
      <c r="CU12" s="487"/>
      <c r="CV12" s="487"/>
      <c r="CW12" s="487"/>
      <c r="CX12" s="487"/>
      <c r="CY12" s="487"/>
      <c r="CZ12" s="487"/>
      <c r="DA12" s="487"/>
      <c r="DB12" s="487"/>
      <c r="DC12" s="487"/>
      <c r="DD12" s="487"/>
      <c r="DE12" s="487"/>
      <c r="DF12" s="487"/>
      <c r="DG12" s="487"/>
      <c r="DH12" s="487"/>
      <c r="DI12" s="487"/>
    </row>
    <row r="13" customFormat="false" ht="18.75" hidden="false" customHeight="true" outlineLevel="0" collapsed="false">
      <c r="B13" s="489"/>
      <c r="C13" s="485" t="s">
        <v>535</v>
      </c>
      <c r="D13" s="487"/>
      <c r="E13" s="487"/>
      <c r="F13" s="487"/>
      <c r="G13" s="487"/>
      <c r="H13" s="487"/>
      <c r="I13" s="487"/>
      <c r="J13" s="487"/>
      <c r="K13" s="487"/>
      <c r="L13" s="487"/>
      <c r="M13" s="487"/>
      <c r="N13" s="487"/>
      <c r="O13" s="487"/>
      <c r="P13" s="487"/>
      <c r="Q13" s="487"/>
      <c r="R13" s="487"/>
      <c r="S13" s="487"/>
      <c r="T13" s="487"/>
      <c r="U13" s="487"/>
      <c r="V13" s="487"/>
      <c r="W13" s="487"/>
      <c r="X13" s="487"/>
      <c r="Y13" s="487"/>
      <c r="Z13" s="487"/>
      <c r="AA13" s="487"/>
      <c r="AB13" s="487"/>
      <c r="AC13" s="487"/>
      <c r="AD13" s="487"/>
      <c r="AE13" s="487"/>
      <c r="AF13" s="487"/>
      <c r="AG13" s="487"/>
      <c r="AH13" s="487"/>
      <c r="AI13" s="487"/>
      <c r="AJ13" s="487"/>
      <c r="AK13" s="487"/>
      <c r="AL13" s="487"/>
      <c r="AM13" s="487"/>
      <c r="AN13" s="487"/>
      <c r="AO13" s="487"/>
      <c r="AP13" s="487"/>
      <c r="AQ13" s="487"/>
      <c r="AR13" s="487"/>
      <c r="AS13" s="487"/>
      <c r="AT13" s="487"/>
      <c r="AU13" s="487"/>
      <c r="AV13" s="487"/>
      <c r="AW13" s="487"/>
      <c r="AX13" s="491" t="s">
        <v>458</v>
      </c>
      <c r="AY13" s="491" t="s">
        <v>534</v>
      </c>
      <c r="AZ13" s="487"/>
      <c r="BA13" s="487"/>
      <c r="BB13" s="487"/>
      <c r="BC13" s="487"/>
      <c r="BD13" s="487"/>
      <c r="BE13" s="487"/>
      <c r="BF13" s="487"/>
      <c r="BG13" s="487"/>
      <c r="BH13" s="487"/>
      <c r="BI13" s="487"/>
      <c r="BJ13" s="487"/>
      <c r="BK13" s="487"/>
      <c r="BL13" s="487"/>
      <c r="BM13" s="487"/>
      <c r="BN13" s="487"/>
      <c r="BO13" s="487"/>
      <c r="BP13" s="487"/>
      <c r="BQ13" s="487"/>
      <c r="BR13" s="487"/>
      <c r="BS13" s="487"/>
      <c r="BT13" s="487"/>
      <c r="BU13" s="487"/>
      <c r="BV13" s="487"/>
      <c r="BW13" s="487"/>
      <c r="BX13" s="487"/>
      <c r="BY13" s="487"/>
      <c r="BZ13" s="487"/>
      <c r="CA13" s="487"/>
      <c r="CB13" s="487"/>
      <c r="CC13" s="487"/>
      <c r="CD13" s="487"/>
      <c r="CE13" s="487"/>
      <c r="CF13" s="487"/>
      <c r="CG13" s="487"/>
      <c r="CH13" s="487"/>
      <c r="CI13" s="487"/>
      <c r="CJ13" s="487"/>
      <c r="CK13" s="487"/>
      <c r="CL13" s="487"/>
      <c r="CM13" s="487"/>
      <c r="CN13" s="487"/>
      <c r="CO13" s="487"/>
      <c r="CP13" s="487"/>
      <c r="CQ13" s="487"/>
      <c r="CR13" s="487"/>
      <c r="CS13" s="487"/>
      <c r="CT13" s="487"/>
      <c r="CU13" s="487"/>
      <c r="CV13" s="487"/>
      <c r="CW13" s="487"/>
      <c r="CX13" s="487"/>
      <c r="CY13" s="487"/>
      <c r="CZ13" s="487"/>
      <c r="DA13" s="487"/>
      <c r="DB13" s="487"/>
      <c r="DC13" s="487"/>
      <c r="DD13" s="487"/>
      <c r="DE13" s="487"/>
      <c r="DF13" s="487"/>
      <c r="DG13" s="487"/>
      <c r="DH13" s="487"/>
      <c r="DI13" s="487"/>
    </row>
    <row r="14" customFormat="false" ht="18" hidden="false" customHeight="true" outlineLevel="0" collapsed="false">
      <c r="B14" s="484" t="s">
        <v>536</v>
      </c>
      <c r="C14" s="485" t="s">
        <v>537</v>
      </c>
      <c r="D14" s="487"/>
      <c r="E14" s="487"/>
      <c r="F14" s="487"/>
      <c r="G14" s="487"/>
      <c r="H14" s="487"/>
      <c r="I14" s="487"/>
      <c r="J14" s="487"/>
      <c r="K14" s="487"/>
      <c r="L14" s="487"/>
      <c r="M14" s="487"/>
      <c r="N14" s="487"/>
      <c r="O14" s="487"/>
      <c r="P14" s="487"/>
      <c r="Q14" s="487"/>
      <c r="R14" s="487"/>
      <c r="S14" s="487"/>
      <c r="T14" s="487"/>
      <c r="U14" s="487"/>
      <c r="V14" s="487"/>
      <c r="W14" s="487"/>
      <c r="X14" s="487"/>
      <c r="Y14" s="487"/>
      <c r="Z14" s="487"/>
      <c r="AA14" s="487"/>
      <c r="AB14" s="487"/>
      <c r="AC14" s="487"/>
      <c r="AD14" s="487"/>
      <c r="AE14" s="487"/>
      <c r="AF14" s="487"/>
      <c r="AG14" s="487"/>
      <c r="AH14" s="487"/>
      <c r="AI14" s="487"/>
      <c r="AJ14" s="487"/>
      <c r="AK14" s="487"/>
      <c r="AL14" s="487"/>
      <c r="AM14" s="487"/>
      <c r="AN14" s="487"/>
      <c r="AO14" s="487"/>
      <c r="AP14" s="486"/>
      <c r="AQ14" s="486"/>
      <c r="AR14" s="486"/>
      <c r="AS14" s="486"/>
      <c r="AT14" s="486"/>
      <c r="AU14" s="486"/>
      <c r="AV14" s="486"/>
      <c r="AW14" s="486"/>
      <c r="AX14" s="486"/>
      <c r="AY14" s="486"/>
      <c r="AZ14" s="486"/>
      <c r="BA14" s="486"/>
      <c r="BB14" s="486"/>
      <c r="BC14" s="486"/>
      <c r="BD14" s="486"/>
      <c r="BE14" s="486"/>
      <c r="BF14" s="486"/>
      <c r="BG14" s="486"/>
      <c r="BH14" s="486"/>
      <c r="BI14" s="486"/>
      <c r="BJ14" s="486"/>
      <c r="BK14" s="486"/>
      <c r="BL14" s="486"/>
      <c r="BM14" s="486"/>
      <c r="BN14" s="486"/>
      <c r="BO14" s="486"/>
      <c r="BP14" s="486"/>
      <c r="BQ14" s="486"/>
      <c r="BR14" s="486"/>
      <c r="BS14" s="486"/>
      <c r="BT14" s="486"/>
      <c r="BU14" s="486"/>
      <c r="BV14" s="486"/>
      <c r="BW14" s="486"/>
      <c r="BX14" s="486"/>
      <c r="BY14" s="486"/>
      <c r="BZ14" s="487"/>
      <c r="CA14" s="487"/>
      <c r="CB14" s="487"/>
      <c r="CC14" s="487"/>
      <c r="CD14" s="487"/>
      <c r="CE14" s="487"/>
      <c r="CF14" s="487"/>
      <c r="CG14" s="487"/>
      <c r="CH14" s="487"/>
      <c r="CI14" s="487"/>
      <c r="CJ14" s="487"/>
      <c r="CK14" s="487"/>
      <c r="CL14" s="487"/>
      <c r="CM14" s="487"/>
      <c r="CN14" s="487"/>
      <c r="CO14" s="487"/>
      <c r="CP14" s="487"/>
      <c r="CQ14" s="487"/>
      <c r="CR14" s="487"/>
      <c r="CS14" s="487"/>
      <c r="CT14" s="487"/>
      <c r="CU14" s="487"/>
      <c r="CV14" s="487"/>
      <c r="CW14" s="487"/>
      <c r="CX14" s="487"/>
      <c r="CY14" s="487"/>
      <c r="CZ14" s="487"/>
      <c r="DA14" s="487"/>
      <c r="DB14" s="487"/>
      <c r="DC14" s="487"/>
      <c r="DD14" s="487"/>
      <c r="DE14" s="487"/>
      <c r="DF14" s="487"/>
      <c r="DG14" s="487"/>
      <c r="DH14" s="487"/>
      <c r="DI14" s="487"/>
    </row>
    <row r="15" customFormat="false" ht="18.75" hidden="false" customHeight="true" outlineLevel="0" collapsed="false">
      <c r="B15" s="484"/>
      <c r="C15" s="485" t="s">
        <v>538</v>
      </c>
      <c r="D15" s="487"/>
      <c r="E15" s="487"/>
      <c r="F15" s="487"/>
      <c r="G15" s="487"/>
      <c r="H15" s="487"/>
      <c r="I15" s="487"/>
      <c r="J15" s="487"/>
      <c r="K15" s="487"/>
      <c r="L15" s="487"/>
      <c r="M15" s="487"/>
      <c r="N15" s="487"/>
      <c r="O15" s="487"/>
      <c r="P15" s="487"/>
      <c r="Q15" s="487"/>
      <c r="R15" s="487"/>
      <c r="S15" s="487"/>
      <c r="T15" s="487"/>
      <c r="U15" s="487"/>
      <c r="V15" s="487"/>
      <c r="W15" s="487"/>
      <c r="X15" s="487"/>
      <c r="Y15" s="487"/>
      <c r="Z15" s="487"/>
      <c r="AA15" s="487"/>
      <c r="AB15" s="487"/>
      <c r="AC15" s="487"/>
      <c r="AD15" s="487"/>
      <c r="AE15" s="487"/>
      <c r="AF15" s="487"/>
      <c r="AG15" s="487"/>
      <c r="AH15" s="487"/>
      <c r="AI15" s="487"/>
      <c r="AJ15" s="487"/>
      <c r="AK15" s="487"/>
      <c r="AL15" s="487"/>
      <c r="AM15" s="487"/>
      <c r="AN15" s="487"/>
      <c r="AO15" s="487"/>
      <c r="AP15" s="487"/>
      <c r="AQ15" s="487"/>
      <c r="AR15" s="487"/>
      <c r="AS15" s="487"/>
      <c r="AT15" s="487"/>
      <c r="AU15" s="487"/>
      <c r="AV15" s="487"/>
      <c r="AW15" s="487"/>
      <c r="AX15" s="487"/>
      <c r="AY15" s="487"/>
      <c r="AZ15" s="487"/>
      <c r="BA15" s="487"/>
      <c r="BB15" s="487"/>
      <c r="BC15" s="487"/>
      <c r="BD15" s="487"/>
      <c r="BE15" s="487"/>
      <c r="BF15" s="487"/>
      <c r="BG15" s="487"/>
      <c r="BH15" s="487"/>
      <c r="BI15" s="487"/>
      <c r="BJ15" s="487"/>
      <c r="BK15" s="487"/>
      <c r="BL15" s="487"/>
      <c r="BM15" s="487"/>
      <c r="BN15" s="487"/>
      <c r="BO15" s="487"/>
      <c r="BP15" s="487"/>
      <c r="BQ15" s="487"/>
      <c r="BR15" s="487"/>
      <c r="BS15" s="487"/>
      <c r="BT15" s="487"/>
      <c r="BU15" s="487"/>
      <c r="BV15" s="487"/>
      <c r="BW15" s="487"/>
      <c r="BX15" s="487"/>
      <c r="BY15" s="487"/>
      <c r="BZ15" s="487"/>
      <c r="CA15" s="487"/>
      <c r="CB15" s="487"/>
      <c r="CC15" s="487"/>
      <c r="CD15" s="486"/>
      <c r="CE15" s="487"/>
      <c r="CF15" s="487"/>
      <c r="CG15" s="487"/>
      <c r="CH15" s="487"/>
      <c r="CI15" s="487"/>
      <c r="CJ15" s="487"/>
      <c r="CK15" s="487"/>
      <c r="CL15" s="487"/>
      <c r="CM15" s="487"/>
      <c r="CN15" s="487"/>
      <c r="CO15" s="487"/>
      <c r="CP15" s="487"/>
      <c r="CQ15" s="487"/>
      <c r="CR15" s="487"/>
      <c r="CS15" s="487"/>
      <c r="CT15" s="487"/>
      <c r="CU15" s="487"/>
      <c r="CV15" s="487"/>
      <c r="CW15" s="487"/>
      <c r="CX15" s="487"/>
      <c r="CY15" s="487"/>
      <c r="CZ15" s="487"/>
      <c r="DA15" s="487"/>
      <c r="DB15" s="487"/>
      <c r="DC15" s="487"/>
      <c r="DD15" s="487"/>
      <c r="DE15" s="487"/>
      <c r="DF15" s="487"/>
      <c r="DG15" s="487"/>
      <c r="DH15" s="487"/>
      <c r="DI15" s="487"/>
    </row>
    <row r="16" customFormat="false" ht="18.75" hidden="false" customHeight="true" outlineLevel="0" collapsed="false">
      <c r="B16" s="484"/>
      <c r="C16" s="485" t="s">
        <v>539</v>
      </c>
      <c r="D16" s="487"/>
      <c r="E16" s="487"/>
      <c r="F16" s="487"/>
      <c r="G16" s="487"/>
      <c r="H16" s="487"/>
      <c r="I16" s="487"/>
      <c r="J16" s="487"/>
      <c r="K16" s="487"/>
      <c r="L16" s="487"/>
      <c r="M16" s="487"/>
      <c r="N16" s="487"/>
      <c r="O16" s="487"/>
      <c r="P16" s="487"/>
      <c r="Q16" s="487"/>
      <c r="R16" s="487"/>
      <c r="S16" s="487"/>
      <c r="T16" s="487"/>
      <c r="U16" s="487"/>
      <c r="V16" s="487"/>
      <c r="W16" s="487"/>
      <c r="X16" s="487"/>
      <c r="Y16" s="487"/>
      <c r="Z16" s="487"/>
      <c r="AA16" s="487"/>
      <c r="AB16" s="487"/>
      <c r="AC16" s="487"/>
      <c r="AD16" s="487"/>
      <c r="AE16" s="487"/>
      <c r="AF16" s="487"/>
      <c r="AG16" s="487"/>
      <c r="AH16" s="487"/>
      <c r="AI16" s="487"/>
      <c r="AJ16" s="487"/>
      <c r="AK16" s="487"/>
      <c r="AL16" s="487"/>
      <c r="AM16" s="487"/>
      <c r="AN16" s="487"/>
      <c r="AO16" s="487"/>
      <c r="AP16" s="487"/>
      <c r="AQ16" s="487"/>
      <c r="AR16" s="487"/>
      <c r="AS16" s="487"/>
      <c r="AT16" s="487"/>
      <c r="AU16" s="487"/>
      <c r="AV16" s="487"/>
      <c r="AW16" s="487"/>
      <c r="AX16" s="487"/>
      <c r="AY16" s="487"/>
      <c r="AZ16" s="487"/>
      <c r="BA16" s="487"/>
      <c r="BB16" s="487"/>
      <c r="BC16" s="487"/>
      <c r="BD16" s="487"/>
      <c r="BE16" s="487"/>
      <c r="BF16" s="487"/>
      <c r="BG16" s="487"/>
      <c r="BH16" s="487"/>
      <c r="BI16" s="487"/>
      <c r="BJ16" s="487"/>
      <c r="BK16" s="487"/>
      <c r="BL16" s="487"/>
      <c r="BM16" s="487"/>
      <c r="BN16" s="487"/>
      <c r="BO16" s="487"/>
      <c r="BP16" s="487"/>
      <c r="BQ16" s="487"/>
      <c r="BR16" s="487"/>
      <c r="BS16" s="487"/>
      <c r="BT16" s="487"/>
      <c r="BU16" s="487"/>
      <c r="BV16" s="487"/>
      <c r="BW16" s="487"/>
      <c r="BX16" s="487"/>
      <c r="BY16" s="487"/>
      <c r="BZ16" s="487"/>
      <c r="CA16" s="487"/>
      <c r="CB16" s="487"/>
      <c r="CC16" s="487"/>
      <c r="CD16" s="487"/>
      <c r="CE16" s="486"/>
      <c r="CF16" s="486"/>
      <c r="CG16" s="486"/>
      <c r="CH16" s="486"/>
      <c r="CI16" s="486"/>
      <c r="CJ16" s="486"/>
      <c r="CK16" s="486"/>
      <c r="CL16" s="486"/>
      <c r="CM16" s="486"/>
      <c r="CN16" s="486"/>
      <c r="CO16" s="486"/>
      <c r="CP16" s="486"/>
      <c r="CQ16" s="486"/>
      <c r="CR16" s="486"/>
      <c r="CS16" s="486"/>
      <c r="CT16" s="486"/>
      <c r="CU16" s="486"/>
      <c r="CV16" s="486"/>
      <c r="CW16" s="486"/>
      <c r="CX16" s="486"/>
      <c r="CY16" s="486"/>
      <c r="CZ16" s="486"/>
      <c r="DA16" s="487"/>
      <c r="DB16" s="487"/>
      <c r="DC16" s="487"/>
      <c r="DD16" s="487"/>
      <c r="DE16" s="487"/>
      <c r="DF16" s="487"/>
      <c r="DG16" s="487"/>
      <c r="DH16" s="487"/>
      <c r="DI16" s="487"/>
    </row>
    <row r="17" customFormat="false" ht="18.75" hidden="false" customHeight="true" outlineLevel="0" collapsed="false">
      <c r="B17" s="484"/>
      <c r="C17" s="490" t="s">
        <v>540</v>
      </c>
      <c r="D17" s="487"/>
      <c r="E17" s="487"/>
      <c r="F17" s="487"/>
      <c r="G17" s="487"/>
      <c r="H17" s="487"/>
      <c r="I17" s="487"/>
      <c r="J17" s="487"/>
      <c r="K17" s="487"/>
      <c r="L17" s="487"/>
      <c r="M17" s="487"/>
      <c r="N17" s="487"/>
      <c r="O17" s="487"/>
      <c r="P17" s="487"/>
      <c r="Q17" s="487"/>
      <c r="R17" s="487"/>
      <c r="S17" s="487"/>
      <c r="T17" s="487"/>
      <c r="U17" s="487"/>
      <c r="V17" s="487"/>
      <c r="W17" s="487"/>
      <c r="X17" s="487"/>
      <c r="Y17" s="487"/>
      <c r="Z17" s="487"/>
      <c r="AA17" s="487"/>
      <c r="AB17" s="487"/>
      <c r="AC17" s="487"/>
      <c r="AD17" s="487"/>
      <c r="AE17" s="487"/>
      <c r="AF17" s="487"/>
      <c r="AG17" s="487"/>
      <c r="AH17" s="487"/>
      <c r="AI17" s="487"/>
      <c r="AJ17" s="487"/>
      <c r="AK17" s="487"/>
      <c r="AL17" s="487"/>
      <c r="AM17" s="487"/>
      <c r="AN17" s="487"/>
      <c r="AO17" s="487"/>
      <c r="AP17" s="487"/>
      <c r="AQ17" s="487"/>
      <c r="AR17" s="487"/>
      <c r="AS17" s="487"/>
      <c r="AT17" s="487"/>
      <c r="AU17" s="487"/>
      <c r="AV17" s="487"/>
      <c r="AW17" s="487"/>
      <c r="AX17" s="487"/>
      <c r="AY17" s="487"/>
      <c r="AZ17" s="487"/>
      <c r="BA17" s="487"/>
      <c r="BB17" s="487"/>
      <c r="BC17" s="487"/>
      <c r="BD17" s="487"/>
      <c r="BE17" s="487"/>
      <c r="BF17" s="487"/>
      <c r="BG17" s="487"/>
      <c r="BH17" s="487"/>
      <c r="BI17" s="487"/>
      <c r="BJ17" s="487"/>
      <c r="BK17" s="487"/>
      <c r="BL17" s="487"/>
      <c r="BM17" s="487"/>
      <c r="BN17" s="487"/>
      <c r="BO17" s="487"/>
      <c r="BP17" s="487"/>
      <c r="BQ17" s="487"/>
      <c r="BR17" s="487"/>
      <c r="BS17" s="487"/>
      <c r="BT17" s="487"/>
      <c r="BU17" s="487"/>
      <c r="BV17" s="487"/>
      <c r="BW17" s="487"/>
      <c r="BX17" s="487"/>
      <c r="BY17" s="487"/>
      <c r="BZ17" s="487"/>
      <c r="CA17" s="487"/>
      <c r="CB17" s="487"/>
      <c r="CC17" s="487"/>
      <c r="CD17" s="487"/>
      <c r="CE17" s="487"/>
      <c r="CF17" s="487"/>
      <c r="CG17" s="487"/>
      <c r="CH17" s="487"/>
      <c r="CI17" s="487"/>
      <c r="CJ17" s="487"/>
      <c r="CK17" s="487"/>
      <c r="CL17" s="487"/>
      <c r="CM17" s="487"/>
      <c r="CN17" s="487"/>
      <c r="CO17" s="487"/>
      <c r="CP17" s="487"/>
      <c r="CQ17" s="487"/>
      <c r="CR17" s="487"/>
      <c r="CS17" s="487"/>
      <c r="CT17" s="487"/>
      <c r="CU17" s="487"/>
      <c r="CV17" s="487"/>
      <c r="CW17" s="487"/>
      <c r="CX17" s="487"/>
      <c r="CY17" s="487"/>
      <c r="CZ17" s="487"/>
      <c r="DA17" s="486"/>
      <c r="DB17" s="487"/>
      <c r="DC17" s="487"/>
      <c r="DD17" s="487"/>
      <c r="DE17" s="487"/>
      <c r="DF17" s="487"/>
      <c r="DG17" s="487"/>
      <c r="DH17" s="487"/>
      <c r="DI17" s="487"/>
    </row>
    <row r="18" customFormat="false" ht="18" hidden="false" customHeight="true" outlineLevel="0" collapsed="false">
      <c r="B18" s="484"/>
      <c r="C18" s="490" t="s">
        <v>541</v>
      </c>
      <c r="D18" s="487"/>
      <c r="E18" s="487"/>
      <c r="F18" s="487"/>
      <c r="G18" s="487"/>
      <c r="H18" s="487"/>
      <c r="I18" s="487"/>
      <c r="J18" s="487"/>
      <c r="K18" s="487"/>
      <c r="L18" s="487"/>
      <c r="M18" s="487"/>
      <c r="N18" s="487"/>
      <c r="O18" s="487"/>
      <c r="P18" s="487"/>
      <c r="Q18" s="487"/>
      <c r="R18" s="487"/>
      <c r="S18" s="487"/>
      <c r="T18" s="487"/>
      <c r="U18" s="487"/>
      <c r="V18" s="487"/>
      <c r="W18" s="487"/>
      <c r="X18" s="487"/>
      <c r="Y18" s="487"/>
      <c r="Z18" s="487"/>
      <c r="AA18" s="487"/>
      <c r="AB18" s="487"/>
      <c r="AC18" s="487"/>
      <c r="AD18" s="487"/>
      <c r="AE18" s="487"/>
      <c r="AF18" s="487"/>
      <c r="AG18" s="487"/>
      <c r="AH18" s="487"/>
      <c r="AI18" s="487"/>
      <c r="AJ18" s="487"/>
      <c r="AK18" s="487"/>
      <c r="AL18" s="487"/>
      <c r="AM18" s="487"/>
      <c r="AN18" s="487"/>
      <c r="AO18" s="487"/>
      <c r="AP18" s="487"/>
      <c r="AQ18" s="487"/>
      <c r="AR18" s="487"/>
      <c r="AS18" s="487"/>
      <c r="AT18" s="487"/>
      <c r="AU18" s="487"/>
      <c r="AV18" s="487"/>
      <c r="AW18" s="487"/>
      <c r="AX18" s="487"/>
      <c r="AY18" s="487"/>
      <c r="AZ18" s="487"/>
      <c r="BA18" s="487"/>
      <c r="BB18" s="487"/>
      <c r="BC18" s="487"/>
      <c r="BD18" s="487"/>
      <c r="BE18" s="487"/>
      <c r="BF18" s="487"/>
      <c r="BG18" s="487"/>
      <c r="BH18" s="487"/>
      <c r="BI18" s="487"/>
      <c r="BJ18" s="487"/>
      <c r="BK18" s="487"/>
      <c r="BL18" s="487"/>
      <c r="BM18" s="487"/>
      <c r="BN18" s="487"/>
      <c r="BO18" s="487"/>
      <c r="BP18" s="487"/>
      <c r="BQ18" s="487"/>
      <c r="BR18" s="487"/>
      <c r="BS18" s="487"/>
      <c r="BT18" s="487"/>
      <c r="BU18" s="487"/>
      <c r="BV18" s="487"/>
      <c r="BW18" s="487"/>
      <c r="BX18" s="487"/>
      <c r="BY18" s="487"/>
      <c r="BZ18" s="487"/>
      <c r="CA18" s="487"/>
      <c r="CB18" s="487"/>
      <c r="CC18" s="487"/>
      <c r="CD18" s="487"/>
      <c r="CE18" s="487"/>
      <c r="CF18" s="487"/>
      <c r="CG18" s="487"/>
      <c r="CH18" s="487"/>
      <c r="CI18" s="487"/>
      <c r="CJ18" s="487"/>
      <c r="CK18" s="487"/>
      <c r="CL18" s="487"/>
      <c r="CM18" s="487"/>
      <c r="CN18" s="487"/>
      <c r="CO18" s="487"/>
      <c r="CP18" s="487"/>
      <c r="CQ18" s="487"/>
      <c r="CR18" s="487"/>
      <c r="CS18" s="487"/>
      <c r="CT18" s="487"/>
      <c r="CU18" s="487"/>
      <c r="CV18" s="487"/>
      <c r="CW18" s="487"/>
      <c r="CX18" s="487"/>
      <c r="CY18" s="487"/>
      <c r="CZ18" s="487"/>
      <c r="DA18" s="486"/>
      <c r="DB18" s="487"/>
      <c r="DC18" s="487"/>
      <c r="DD18" s="487"/>
      <c r="DE18" s="487"/>
      <c r="DF18" s="487"/>
      <c r="DG18" s="487"/>
      <c r="DH18" s="487"/>
      <c r="DI18" s="487"/>
    </row>
    <row r="19" customFormat="false" ht="18.75" hidden="false" customHeight="true" outlineLevel="0" collapsed="false">
      <c r="B19" s="489" t="s">
        <v>542</v>
      </c>
      <c r="C19" s="490" t="s">
        <v>543</v>
      </c>
      <c r="D19" s="487"/>
      <c r="E19" s="487"/>
      <c r="F19" s="487"/>
      <c r="G19" s="487"/>
      <c r="H19" s="487"/>
      <c r="I19" s="487"/>
      <c r="J19" s="487"/>
      <c r="K19" s="487"/>
      <c r="L19" s="487"/>
      <c r="M19" s="487"/>
      <c r="N19" s="487"/>
      <c r="O19" s="487"/>
      <c r="P19" s="487"/>
      <c r="Q19" s="487"/>
      <c r="R19" s="487"/>
      <c r="S19" s="487"/>
      <c r="T19" s="487"/>
      <c r="U19" s="487"/>
      <c r="V19" s="487"/>
      <c r="W19" s="487"/>
      <c r="X19" s="487"/>
      <c r="Y19" s="487"/>
      <c r="Z19" s="487"/>
      <c r="AA19" s="487"/>
      <c r="AB19" s="487"/>
      <c r="AC19" s="487"/>
      <c r="AD19" s="487"/>
      <c r="AE19" s="487"/>
      <c r="AF19" s="487"/>
      <c r="AG19" s="487"/>
      <c r="AH19" s="487"/>
      <c r="AI19" s="487"/>
      <c r="AJ19" s="487"/>
      <c r="AK19" s="487"/>
      <c r="AL19" s="487"/>
      <c r="AM19" s="487"/>
      <c r="AN19" s="487"/>
      <c r="AO19" s="487"/>
      <c r="AP19" s="487"/>
      <c r="AQ19" s="487"/>
      <c r="AR19" s="487"/>
      <c r="AS19" s="487"/>
      <c r="AT19" s="487"/>
      <c r="AU19" s="487"/>
      <c r="AV19" s="487"/>
      <c r="AW19" s="487"/>
      <c r="AX19" s="487"/>
      <c r="AY19" s="487"/>
      <c r="AZ19" s="487"/>
      <c r="BA19" s="487"/>
      <c r="BB19" s="487"/>
      <c r="BC19" s="487"/>
      <c r="BD19" s="487"/>
      <c r="BE19" s="487"/>
      <c r="BF19" s="487"/>
      <c r="BG19" s="487"/>
      <c r="BH19" s="487"/>
      <c r="BI19" s="487"/>
      <c r="BJ19" s="487"/>
      <c r="BK19" s="487"/>
      <c r="BL19" s="487"/>
      <c r="BM19" s="487"/>
      <c r="BN19" s="487"/>
      <c r="BO19" s="487"/>
      <c r="BP19" s="487"/>
      <c r="BQ19" s="487"/>
      <c r="BR19" s="487"/>
      <c r="BS19" s="487"/>
      <c r="BT19" s="487"/>
      <c r="BU19" s="487"/>
      <c r="BV19" s="487"/>
      <c r="BW19" s="487"/>
      <c r="BX19" s="487"/>
      <c r="BY19" s="487"/>
      <c r="BZ19" s="487"/>
      <c r="CA19" s="487"/>
      <c r="CB19" s="487"/>
      <c r="CC19" s="487"/>
      <c r="CD19" s="487"/>
      <c r="CE19" s="487"/>
      <c r="CF19" s="487"/>
      <c r="CG19" s="487"/>
      <c r="CH19" s="487"/>
      <c r="CI19" s="487"/>
      <c r="CJ19" s="487"/>
      <c r="CK19" s="487"/>
      <c r="CL19" s="487"/>
      <c r="CM19" s="487"/>
      <c r="CN19" s="487"/>
      <c r="CO19" s="487"/>
      <c r="CP19" s="487"/>
      <c r="CQ19" s="487"/>
      <c r="CR19" s="487"/>
      <c r="CS19" s="487"/>
      <c r="CT19" s="487"/>
      <c r="CU19" s="487"/>
      <c r="CV19" s="487"/>
      <c r="CW19" s="487"/>
      <c r="CX19" s="487"/>
      <c r="CY19" s="487"/>
      <c r="CZ19" s="487"/>
      <c r="DA19" s="486"/>
      <c r="DB19" s="486"/>
      <c r="DC19" s="486"/>
      <c r="DD19" s="486"/>
      <c r="DE19" s="486"/>
      <c r="DF19" s="486"/>
      <c r="DG19" s="486"/>
      <c r="DH19" s="486"/>
      <c r="DI19" s="486"/>
    </row>
    <row r="20" customFormat="false" ht="18.75" hidden="false" customHeight="true" outlineLevel="0" collapsed="false">
      <c r="B20" s="489"/>
      <c r="C20" s="490" t="s">
        <v>544</v>
      </c>
      <c r="D20" s="487"/>
      <c r="E20" s="487"/>
      <c r="F20" s="487"/>
      <c r="G20" s="487"/>
      <c r="H20" s="487"/>
      <c r="I20" s="487"/>
      <c r="J20" s="487"/>
      <c r="K20" s="487"/>
      <c r="L20" s="487"/>
      <c r="M20" s="487"/>
      <c r="N20" s="487"/>
      <c r="O20" s="487"/>
      <c r="P20" s="487"/>
      <c r="Q20" s="487"/>
      <c r="R20" s="487"/>
      <c r="S20" s="487"/>
      <c r="T20" s="487"/>
      <c r="U20" s="487"/>
      <c r="V20" s="487"/>
      <c r="W20" s="487"/>
      <c r="X20" s="487"/>
      <c r="Y20" s="487"/>
      <c r="Z20" s="487"/>
      <c r="AA20" s="487"/>
      <c r="AB20" s="487"/>
      <c r="AC20" s="487"/>
      <c r="AD20" s="487"/>
      <c r="AE20" s="487"/>
      <c r="AF20" s="487"/>
      <c r="AG20" s="487"/>
      <c r="AH20" s="487"/>
      <c r="AI20" s="487"/>
      <c r="AJ20" s="487"/>
      <c r="AK20" s="487"/>
      <c r="AL20" s="487"/>
      <c r="AM20" s="487"/>
      <c r="AN20" s="487"/>
      <c r="AO20" s="487"/>
      <c r="AP20" s="487"/>
      <c r="AQ20" s="487"/>
      <c r="AR20" s="487"/>
      <c r="AS20" s="487"/>
      <c r="AT20" s="487"/>
      <c r="AU20" s="487"/>
      <c r="AV20" s="487"/>
      <c r="AW20" s="487"/>
      <c r="AX20" s="487"/>
      <c r="AY20" s="487"/>
      <c r="AZ20" s="487"/>
      <c r="BA20" s="487"/>
      <c r="BB20" s="487"/>
      <c r="BC20" s="487"/>
      <c r="BD20" s="487"/>
      <c r="BE20" s="487"/>
      <c r="BF20" s="487"/>
      <c r="BG20" s="487"/>
      <c r="BH20" s="487"/>
      <c r="BI20" s="487"/>
      <c r="BJ20" s="487"/>
      <c r="BK20" s="487"/>
      <c r="BL20" s="487"/>
      <c r="BM20" s="487"/>
      <c r="BN20" s="487"/>
      <c r="BO20" s="487"/>
      <c r="BP20" s="487"/>
      <c r="BQ20" s="487"/>
      <c r="BR20" s="487"/>
      <c r="BS20" s="487"/>
      <c r="BT20" s="487"/>
      <c r="BU20" s="487"/>
      <c r="BV20" s="487"/>
      <c r="BW20" s="487"/>
      <c r="BX20" s="487"/>
      <c r="BY20" s="487"/>
      <c r="BZ20" s="487"/>
      <c r="CA20" s="487"/>
      <c r="CB20" s="487"/>
      <c r="CC20" s="487"/>
      <c r="CD20" s="487"/>
      <c r="CE20" s="487"/>
      <c r="CF20" s="487"/>
      <c r="CG20" s="487"/>
      <c r="CH20" s="487"/>
      <c r="CI20" s="487"/>
      <c r="CJ20" s="487"/>
      <c r="CK20" s="487"/>
      <c r="CL20" s="487"/>
      <c r="CM20" s="487"/>
      <c r="CN20" s="487"/>
      <c r="CO20" s="487"/>
      <c r="CP20" s="487"/>
      <c r="CQ20" s="487"/>
      <c r="CR20" s="487"/>
      <c r="CS20" s="487"/>
      <c r="CT20" s="487"/>
      <c r="CU20" s="487"/>
      <c r="CV20" s="487"/>
      <c r="CW20" s="487"/>
      <c r="CX20" s="487"/>
      <c r="CY20" s="487"/>
      <c r="CZ20" s="487"/>
      <c r="DA20" s="486"/>
      <c r="DB20" s="486"/>
      <c r="DC20" s="486"/>
      <c r="DD20" s="486"/>
      <c r="DE20" s="486"/>
      <c r="DF20" s="486"/>
      <c r="DG20" s="486"/>
      <c r="DH20" s="486"/>
      <c r="DI20" s="486"/>
    </row>
    <row r="21" customFormat="false" ht="18.75" hidden="false" customHeight="true" outlineLevel="0" collapsed="false">
      <c r="B21" s="489"/>
      <c r="C21" s="492" t="s">
        <v>545</v>
      </c>
      <c r="D21" s="487"/>
      <c r="E21" s="487"/>
      <c r="F21" s="487"/>
      <c r="G21" s="487"/>
      <c r="H21" s="487"/>
      <c r="I21" s="487"/>
      <c r="J21" s="487"/>
      <c r="K21" s="487"/>
      <c r="L21" s="487"/>
      <c r="M21" s="487"/>
      <c r="N21" s="487"/>
      <c r="O21" s="487"/>
      <c r="P21" s="487"/>
      <c r="Q21" s="487"/>
      <c r="R21" s="487"/>
      <c r="S21" s="487"/>
      <c r="T21" s="487"/>
      <c r="U21" s="487"/>
      <c r="V21" s="487"/>
      <c r="W21" s="487"/>
      <c r="X21" s="487"/>
      <c r="Y21" s="487"/>
      <c r="Z21" s="487"/>
      <c r="AA21" s="487"/>
      <c r="AB21" s="487"/>
      <c r="AC21" s="487"/>
      <c r="AD21" s="487"/>
      <c r="AE21" s="487"/>
      <c r="AF21" s="487"/>
      <c r="AG21" s="487"/>
      <c r="AH21" s="487"/>
      <c r="AI21" s="487"/>
      <c r="AJ21" s="487"/>
      <c r="AK21" s="487"/>
      <c r="AL21" s="487"/>
      <c r="AM21" s="487"/>
      <c r="AN21" s="487"/>
      <c r="AO21" s="487"/>
      <c r="AP21" s="487"/>
      <c r="AQ21" s="487"/>
      <c r="AR21" s="487"/>
      <c r="AS21" s="487"/>
      <c r="AT21" s="487"/>
      <c r="AU21" s="487"/>
      <c r="AV21" s="487"/>
      <c r="AW21" s="487"/>
      <c r="AX21" s="487"/>
      <c r="AY21" s="487"/>
      <c r="AZ21" s="487"/>
      <c r="BA21" s="487"/>
      <c r="BB21" s="487"/>
      <c r="BC21" s="487"/>
      <c r="BD21" s="487"/>
      <c r="BE21" s="487"/>
      <c r="BF21" s="487"/>
      <c r="BG21" s="487"/>
      <c r="BH21" s="487"/>
      <c r="BI21" s="487"/>
      <c r="BJ21" s="487"/>
      <c r="BK21" s="487"/>
      <c r="BL21" s="487"/>
      <c r="BM21" s="487"/>
      <c r="BN21" s="487"/>
      <c r="BO21" s="487"/>
      <c r="BP21" s="487"/>
      <c r="BQ21" s="487"/>
      <c r="BR21" s="487"/>
      <c r="BS21" s="487"/>
      <c r="BT21" s="487"/>
      <c r="BU21" s="487"/>
      <c r="BV21" s="487"/>
      <c r="BW21" s="487"/>
      <c r="BX21" s="487"/>
      <c r="BY21" s="487"/>
      <c r="BZ21" s="487"/>
      <c r="CA21" s="487"/>
      <c r="CB21" s="487"/>
      <c r="CC21" s="487"/>
      <c r="CD21" s="487"/>
      <c r="CE21" s="487"/>
      <c r="CF21" s="487"/>
      <c r="CG21" s="487"/>
      <c r="CH21" s="487"/>
      <c r="CI21" s="487"/>
      <c r="CJ21" s="487"/>
      <c r="CK21" s="487"/>
      <c r="CL21" s="487"/>
      <c r="CM21" s="487"/>
      <c r="CN21" s="487"/>
      <c r="CO21" s="487"/>
      <c r="CP21" s="487"/>
      <c r="CQ21" s="487"/>
      <c r="CR21" s="487"/>
      <c r="CS21" s="487"/>
      <c r="CT21" s="487"/>
      <c r="CU21" s="487"/>
      <c r="CV21" s="487"/>
      <c r="CW21" s="487"/>
      <c r="CX21" s="487"/>
      <c r="CY21" s="487"/>
      <c r="CZ21" s="487"/>
      <c r="DA21" s="486"/>
      <c r="DB21" s="486"/>
      <c r="DC21" s="486"/>
      <c r="DD21" s="486"/>
      <c r="DE21" s="486"/>
      <c r="DF21" s="486"/>
      <c r="DG21" s="486"/>
      <c r="DH21" s="486"/>
      <c r="DI21" s="486"/>
      <c r="DK21" s="493" t="s">
        <v>546</v>
      </c>
      <c r="DL21" s="494" t="s">
        <v>547</v>
      </c>
    </row>
    <row r="22" customFormat="false" ht="18.75" hidden="false" customHeight="true" outlineLevel="0" collapsed="false">
      <c r="B22" s="492"/>
      <c r="C22" s="492"/>
      <c r="D22" s="487"/>
      <c r="E22" s="487"/>
      <c r="F22" s="487"/>
      <c r="G22" s="487"/>
      <c r="H22" s="487"/>
      <c r="I22" s="487"/>
      <c r="J22" s="487"/>
      <c r="K22" s="487"/>
      <c r="L22" s="487"/>
      <c r="M22" s="487"/>
      <c r="N22" s="487"/>
      <c r="O22" s="487"/>
      <c r="P22" s="487"/>
      <c r="Q22" s="487"/>
      <c r="R22" s="487"/>
      <c r="S22" s="487"/>
      <c r="T22" s="487"/>
      <c r="U22" s="487"/>
      <c r="V22" s="487"/>
      <c r="W22" s="487"/>
      <c r="X22" s="487"/>
      <c r="Y22" s="487"/>
      <c r="Z22" s="487"/>
      <c r="AA22" s="487"/>
      <c r="AB22" s="487"/>
      <c r="AC22" s="487"/>
      <c r="AD22" s="487"/>
      <c r="AE22" s="487"/>
      <c r="AF22" s="487"/>
      <c r="AG22" s="487"/>
      <c r="AH22" s="487"/>
      <c r="AI22" s="487"/>
      <c r="AJ22" s="487"/>
      <c r="AK22" s="487"/>
      <c r="AL22" s="487"/>
      <c r="AM22" s="487"/>
      <c r="AN22" s="487"/>
      <c r="AO22" s="487"/>
      <c r="AP22" s="487"/>
      <c r="AQ22" s="487"/>
      <c r="AR22" s="487"/>
      <c r="AS22" s="487"/>
      <c r="AT22" s="487"/>
      <c r="AU22" s="487"/>
      <c r="AV22" s="487"/>
      <c r="AW22" s="487"/>
      <c r="AX22" s="487"/>
      <c r="AY22" s="487"/>
      <c r="AZ22" s="487"/>
      <c r="BA22" s="487"/>
      <c r="BB22" s="487"/>
      <c r="BC22" s="487"/>
      <c r="BD22" s="487"/>
      <c r="BE22" s="487"/>
      <c r="BF22" s="487"/>
      <c r="BG22" s="487"/>
      <c r="BH22" s="487"/>
      <c r="BI22" s="487"/>
      <c r="BJ22" s="487"/>
      <c r="BK22" s="487"/>
      <c r="BL22" s="487"/>
      <c r="BM22" s="487"/>
      <c r="BN22" s="487"/>
      <c r="BO22" s="487"/>
      <c r="BP22" s="487"/>
      <c r="BQ22" s="487"/>
      <c r="BR22" s="487"/>
      <c r="BS22" s="487"/>
      <c r="BT22" s="487"/>
      <c r="BU22" s="487"/>
      <c r="BV22" s="487"/>
      <c r="BW22" s="487"/>
      <c r="BX22" s="487"/>
      <c r="BY22" s="487"/>
      <c r="BZ22" s="487"/>
      <c r="CA22" s="487"/>
      <c r="CB22" s="487"/>
      <c r="CC22" s="487"/>
      <c r="CD22" s="487"/>
      <c r="CE22" s="487"/>
      <c r="CF22" s="487"/>
      <c r="CG22" s="487"/>
      <c r="CH22" s="487"/>
      <c r="CI22" s="487"/>
      <c r="CJ22" s="487"/>
      <c r="CK22" s="487"/>
      <c r="CL22" s="487"/>
      <c r="CM22" s="487"/>
      <c r="CN22" s="487"/>
      <c r="CO22" s="487"/>
      <c r="CP22" s="487"/>
      <c r="CQ22" s="487"/>
      <c r="CR22" s="487"/>
      <c r="CS22" s="487"/>
      <c r="CT22" s="487"/>
      <c r="CU22" s="487"/>
      <c r="CV22" s="487"/>
      <c r="CW22" s="487"/>
      <c r="CX22" s="487"/>
      <c r="CY22" s="487"/>
      <c r="CZ22" s="487"/>
      <c r="DA22" s="487"/>
      <c r="DB22" s="487"/>
      <c r="DC22" s="487"/>
      <c r="DD22" s="487"/>
      <c r="DE22" s="487"/>
      <c r="DF22" s="487"/>
      <c r="DG22" s="487"/>
      <c r="DH22" s="487"/>
      <c r="DI22" s="487"/>
    </row>
    <row r="23" customFormat="false" ht="18.75" hidden="false" customHeight="true" outlineLevel="0" collapsed="false">
      <c r="B23" s="492"/>
      <c r="C23" s="492"/>
      <c r="D23" s="487"/>
      <c r="E23" s="487"/>
      <c r="F23" s="487"/>
      <c r="G23" s="487"/>
      <c r="H23" s="487"/>
      <c r="I23" s="487"/>
      <c r="J23" s="487"/>
      <c r="K23" s="487"/>
      <c r="L23" s="487"/>
      <c r="M23" s="487"/>
      <c r="N23" s="487"/>
      <c r="O23" s="487"/>
      <c r="P23" s="487"/>
      <c r="Q23" s="487"/>
      <c r="R23" s="487"/>
      <c r="S23" s="487"/>
      <c r="T23" s="487"/>
      <c r="U23" s="487"/>
      <c r="V23" s="487"/>
      <c r="W23" s="487"/>
      <c r="X23" s="487"/>
      <c r="Y23" s="487"/>
      <c r="Z23" s="487"/>
      <c r="AA23" s="487"/>
      <c r="AB23" s="487"/>
      <c r="AC23" s="487"/>
      <c r="AD23" s="487"/>
      <c r="AE23" s="487"/>
      <c r="AF23" s="487"/>
      <c r="AG23" s="487"/>
      <c r="AH23" s="487"/>
      <c r="AI23" s="487"/>
      <c r="AJ23" s="487"/>
      <c r="AK23" s="487"/>
      <c r="AL23" s="487"/>
      <c r="AM23" s="487"/>
      <c r="AN23" s="487"/>
      <c r="AO23" s="487"/>
      <c r="AP23" s="487"/>
      <c r="AQ23" s="487"/>
      <c r="AR23" s="487"/>
      <c r="AS23" s="487"/>
      <c r="AT23" s="487"/>
      <c r="AU23" s="487"/>
      <c r="AV23" s="487"/>
      <c r="AW23" s="487"/>
      <c r="AX23" s="487"/>
      <c r="AY23" s="487"/>
      <c r="AZ23" s="487"/>
      <c r="BA23" s="487"/>
      <c r="BB23" s="487"/>
      <c r="BC23" s="487"/>
      <c r="BD23" s="487"/>
      <c r="BE23" s="487"/>
      <c r="BF23" s="487"/>
      <c r="BG23" s="487"/>
      <c r="BH23" s="487"/>
      <c r="BI23" s="487"/>
      <c r="BJ23" s="487"/>
      <c r="BK23" s="487"/>
      <c r="BL23" s="487"/>
      <c r="BM23" s="487"/>
      <c r="BN23" s="487"/>
      <c r="BO23" s="487"/>
      <c r="BP23" s="487"/>
      <c r="BQ23" s="487"/>
      <c r="BR23" s="487"/>
      <c r="BS23" s="487"/>
      <c r="BT23" s="487"/>
      <c r="BU23" s="487"/>
      <c r="BV23" s="487"/>
      <c r="BW23" s="487"/>
      <c r="BX23" s="487"/>
      <c r="BY23" s="487"/>
      <c r="BZ23" s="487"/>
      <c r="CA23" s="487"/>
      <c r="CB23" s="487"/>
      <c r="CC23" s="487"/>
      <c r="CD23" s="487"/>
      <c r="CE23" s="487"/>
      <c r="CF23" s="487"/>
      <c r="CG23" s="487"/>
      <c r="CH23" s="487"/>
      <c r="CI23" s="487"/>
      <c r="CJ23" s="487"/>
      <c r="CK23" s="487"/>
      <c r="CL23" s="487"/>
      <c r="CM23" s="487"/>
      <c r="CN23" s="487"/>
      <c r="CO23" s="487"/>
      <c r="CP23" s="487"/>
      <c r="CQ23" s="487"/>
      <c r="CR23" s="487"/>
      <c r="CS23" s="487"/>
      <c r="CT23" s="487"/>
      <c r="CU23" s="487"/>
      <c r="CV23" s="487"/>
      <c r="CW23" s="487"/>
      <c r="CX23" s="487"/>
      <c r="CY23" s="487"/>
      <c r="CZ23" s="487"/>
      <c r="DA23" s="487"/>
      <c r="DB23" s="487"/>
      <c r="DC23" s="487"/>
      <c r="DD23" s="487"/>
      <c r="DE23" s="487"/>
      <c r="DF23" s="487"/>
      <c r="DG23" s="487"/>
      <c r="DH23" s="487"/>
      <c r="DI23" s="487"/>
    </row>
    <row r="24" customFormat="false" ht="18.75" hidden="false" customHeight="true" outlineLevel="0" collapsed="false">
      <c r="B24" s="492"/>
      <c r="C24" s="492"/>
      <c r="D24" s="487"/>
      <c r="E24" s="487"/>
      <c r="F24" s="487"/>
      <c r="G24" s="487"/>
      <c r="H24" s="487"/>
      <c r="I24" s="487"/>
      <c r="J24" s="487"/>
      <c r="K24" s="487"/>
      <c r="L24" s="487"/>
      <c r="M24" s="487"/>
      <c r="N24" s="487"/>
      <c r="O24" s="487"/>
      <c r="P24" s="487"/>
      <c r="Q24" s="487"/>
      <c r="R24" s="487"/>
      <c r="S24" s="487"/>
      <c r="T24" s="487"/>
      <c r="U24" s="487"/>
      <c r="V24" s="487"/>
      <c r="W24" s="487"/>
      <c r="X24" s="487"/>
      <c r="Y24" s="487"/>
      <c r="Z24" s="487"/>
      <c r="AA24" s="487"/>
      <c r="AB24" s="487"/>
      <c r="AC24" s="487"/>
      <c r="AD24" s="487"/>
      <c r="AE24" s="487"/>
      <c r="AF24" s="487"/>
      <c r="AG24" s="487"/>
      <c r="AH24" s="487"/>
      <c r="AI24" s="487"/>
      <c r="AJ24" s="487"/>
      <c r="AK24" s="487"/>
      <c r="AL24" s="487"/>
      <c r="AM24" s="487"/>
      <c r="AN24" s="487"/>
      <c r="AO24" s="487"/>
      <c r="AP24" s="487"/>
      <c r="AQ24" s="487"/>
      <c r="AR24" s="487"/>
      <c r="AS24" s="487"/>
      <c r="AT24" s="487"/>
      <c r="AU24" s="487"/>
      <c r="AV24" s="487"/>
      <c r="AW24" s="487"/>
      <c r="AX24" s="487"/>
      <c r="AY24" s="487"/>
      <c r="AZ24" s="487"/>
      <c r="BA24" s="487"/>
      <c r="BB24" s="487"/>
      <c r="BC24" s="487"/>
      <c r="BD24" s="487"/>
      <c r="BE24" s="487"/>
      <c r="BF24" s="487"/>
      <c r="BG24" s="487"/>
      <c r="BH24" s="487"/>
      <c r="BI24" s="487"/>
      <c r="BJ24" s="487"/>
      <c r="BK24" s="487"/>
      <c r="BL24" s="487"/>
      <c r="BM24" s="487"/>
      <c r="BN24" s="487"/>
      <c r="BO24" s="487"/>
      <c r="BP24" s="487"/>
      <c r="BQ24" s="487"/>
      <c r="BR24" s="487"/>
      <c r="BS24" s="487"/>
      <c r="BT24" s="487"/>
      <c r="BU24" s="487"/>
      <c r="BV24" s="487"/>
      <c r="BW24" s="487"/>
      <c r="BX24" s="487"/>
      <c r="BY24" s="487"/>
      <c r="BZ24" s="487"/>
      <c r="CA24" s="487"/>
      <c r="CB24" s="487"/>
      <c r="CC24" s="487"/>
      <c r="CD24" s="487"/>
      <c r="CE24" s="487"/>
      <c r="CF24" s="487"/>
      <c r="CG24" s="487"/>
      <c r="CH24" s="487"/>
      <c r="CI24" s="487"/>
      <c r="CJ24" s="487"/>
      <c r="CK24" s="487"/>
      <c r="CL24" s="487"/>
      <c r="CM24" s="487"/>
      <c r="CN24" s="487"/>
      <c r="CO24" s="487"/>
      <c r="CP24" s="487"/>
      <c r="CQ24" s="487"/>
      <c r="CR24" s="487"/>
      <c r="CS24" s="487"/>
      <c r="CT24" s="487"/>
      <c r="CU24" s="487"/>
      <c r="CV24" s="487"/>
      <c r="CW24" s="487"/>
      <c r="CX24" s="487"/>
      <c r="CY24" s="487"/>
      <c r="CZ24" s="487"/>
      <c r="DA24" s="487"/>
      <c r="DB24" s="487"/>
      <c r="DC24" s="487"/>
      <c r="DD24" s="487"/>
      <c r="DE24" s="487"/>
      <c r="DF24" s="487"/>
      <c r="DG24" s="487"/>
      <c r="DH24" s="487"/>
      <c r="DI24" s="487"/>
    </row>
    <row r="25" customFormat="false" ht="18.75" hidden="false" customHeight="true" outlineLevel="0" collapsed="false">
      <c r="B25" s="492"/>
      <c r="C25" s="492"/>
      <c r="D25" s="487"/>
      <c r="E25" s="487"/>
      <c r="F25" s="487"/>
      <c r="G25" s="487"/>
      <c r="H25" s="487"/>
      <c r="I25" s="487"/>
      <c r="J25" s="487"/>
      <c r="K25" s="487"/>
      <c r="L25" s="487"/>
      <c r="M25" s="487"/>
      <c r="N25" s="487"/>
      <c r="O25" s="487"/>
      <c r="P25" s="487"/>
      <c r="Q25" s="487"/>
      <c r="R25" s="487"/>
      <c r="S25" s="487"/>
      <c r="T25" s="487"/>
      <c r="U25" s="487"/>
      <c r="V25" s="487"/>
      <c r="W25" s="487"/>
      <c r="X25" s="487"/>
      <c r="Y25" s="487"/>
      <c r="Z25" s="487"/>
      <c r="AA25" s="487"/>
      <c r="AB25" s="487"/>
      <c r="AC25" s="487"/>
      <c r="AD25" s="487"/>
      <c r="AE25" s="487"/>
      <c r="AF25" s="487"/>
      <c r="AG25" s="487"/>
      <c r="AH25" s="487"/>
      <c r="AI25" s="487"/>
      <c r="AJ25" s="487"/>
      <c r="AK25" s="487"/>
      <c r="AL25" s="487"/>
      <c r="AM25" s="487"/>
      <c r="AN25" s="487"/>
      <c r="AO25" s="487"/>
      <c r="AP25" s="487"/>
      <c r="AQ25" s="487"/>
      <c r="AR25" s="487"/>
      <c r="AS25" s="487"/>
      <c r="AT25" s="487"/>
      <c r="AU25" s="487"/>
      <c r="AV25" s="487"/>
      <c r="AW25" s="487"/>
      <c r="AX25" s="487"/>
      <c r="AY25" s="487"/>
      <c r="AZ25" s="487"/>
      <c r="BA25" s="487"/>
      <c r="BB25" s="487"/>
      <c r="BC25" s="487"/>
      <c r="BD25" s="487"/>
      <c r="BE25" s="487"/>
      <c r="BF25" s="487"/>
      <c r="BG25" s="487"/>
      <c r="BH25" s="487"/>
      <c r="BI25" s="487"/>
      <c r="BJ25" s="487"/>
      <c r="BK25" s="487"/>
      <c r="BL25" s="487"/>
      <c r="BM25" s="487"/>
      <c r="BN25" s="487"/>
      <c r="BO25" s="487"/>
      <c r="BP25" s="487"/>
      <c r="BQ25" s="487"/>
      <c r="BR25" s="487"/>
      <c r="BS25" s="487"/>
      <c r="BT25" s="487"/>
      <c r="BU25" s="487"/>
      <c r="BV25" s="487"/>
      <c r="BW25" s="487"/>
      <c r="BX25" s="487"/>
      <c r="BY25" s="487"/>
      <c r="BZ25" s="487"/>
      <c r="CA25" s="487"/>
      <c r="CB25" s="487"/>
      <c r="CC25" s="487"/>
      <c r="CD25" s="487"/>
      <c r="CE25" s="487"/>
      <c r="CF25" s="487"/>
      <c r="CG25" s="487"/>
      <c r="CH25" s="487"/>
      <c r="CI25" s="487"/>
      <c r="CJ25" s="487"/>
      <c r="CK25" s="487"/>
      <c r="CL25" s="487"/>
      <c r="CM25" s="487"/>
      <c r="CN25" s="487"/>
      <c r="CO25" s="487"/>
      <c r="CP25" s="487"/>
      <c r="CQ25" s="487"/>
      <c r="CR25" s="487"/>
      <c r="CS25" s="487"/>
      <c r="CT25" s="487"/>
      <c r="CU25" s="487"/>
      <c r="CV25" s="487"/>
      <c r="CW25" s="487"/>
      <c r="CX25" s="487"/>
      <c r="CY25" s="487"/>
      <c r="CZ25" s="487"/>
      <c r="DA25" s="487"/>
      <c r="DB25" s="487"/>
      <c r="DC25" s="487"/>
      <c r="DD25" s="487"/>
      <c r="DE25" s="487"/>
      <c r="DF25" s="487"/>
      <c r="DG25" s="487"/>
      <c r="DH25" s="487"/>
      <c r="DI25" s="487"/>
    </row>
    <row r="28" customFormat="false" ht="18.75" hidden="false" customHeight="true" outlineLevel="0" collapsed="false">
      <c r="C28" s="495"/>
    </row>
    <row r="29" customFormat="false" ht="18.75" hidden="false" customHeight="true" outlineLevel="0" collapsed="false">
      <c r="C29" s="496"/>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75" defaultRowHeight="18.75" zeroHeight="false" outlineLevelRow="0" outlineLevelCol="0"/>
  <cols>
    <col collapsed="false" customWidth="true" hidden="false" outlineLevel="0" max="1" min="1" style="2" width="8.38"/>
    <col collapsed="false" customWidth="true" hidden="false" outlineLevel="0" max="2" min="2" style="497" width="10.25"/>
    <col collapsed="false" customWidth="true" hidden="false" outlineLevel="0" max="3" min="3" style="498" width="7.38"/>
    <col collapsed="false" customWidth="true" hidden="false" outlineLevel="0" max="6" min="4" style="2" width="30.63"/>
    <col collapsed="false" customWidth="false" hidden="false" outlineLevel="0" max="16384" min="7" style="2" width="8.75"/>
  </cols>
  <sheetData>
    <row r="1" customFormat="false" ht="9" hidden="false" customHeight="true" outlineLevel="0" collapsed="false">
      <c r="C1" s="499"/>
      <c r="D1" s="499"/>
      <c r="E1" s="499"/>
      <c r="F1" s="499"/>
    </row>
    <row r="2" customFormat="false" ht="18" hidden="false" customHeight="true" outlineLevel="0" collapsed="false">
      <c r="A2" s="499"/>
      <c r="B2" s="500" t="s">
        <v>548</v>
      </c>
      <c r="C2" s="499"/>
      <c r="D2" s="499"/>
      <c r="E2" s="499"/>
      <c r="F2" s="499"/>
    </row>
    <row r="3" customFormat="false" ht="23.25" hidden="false" customHeight="true" outlineLevel="0" collapsed="false">
      <c r="B3" s="501" t="s">
        <v>549</v>
      </c>
      <c r="C3" s="501" t="s">
        <v>550</v>
      </c>
      <c r="D3" s="502" t="s">
        <v>551</v>
      </c>
      <c r="E3" s="502" t="s">
        <v>552</v>
      </c>
      <c r="F3" s="503" t="s">
        <v>553</v>
      </c>
    </row>
    <row r="4" customFormat="false" ht="18.75" hidden="false" customHeight="true" outlineLevel="0" collapsed="false">
      <c r="A4" s="504" t="s">
        <v>554</v>
      </c>
      <c r="B4" s="505" t="n">
        <v>45931</v>
      </c>
      <c r="C4" s="505" t="str">
        <f aca="false">TEXT(B4,"aaa")</f>
        <v>Wed</v>
      </c>
      <c r="D4" s="506" t="s">
        <v>555</v>
      </c>
      <c r="E4" s="506"/>
      <c r="F4" s="506"/>
    </row>
    <row r="5" customFormat="false" ht="18.75" hidden="false" customHeight="true" outlineLevel="0" collapsed="false">
      <c r="B5" s="490" t="n">
        <f aca="false">B4+1</f>
        <v>45932</v>
      </c>
      <c r="C5" s="490" t="str">
        <f aca="false">TEXT(B5,"aaa")</f>
        <v>Thu</v>
      </c>
      <c r="D5" s="507"/>
      <c r="E5" s="508" t="s">
        <v>556</v>
      </c>
      <c r="F5" s="507"/>
    </row>
    <row r="6" customFormat="false" ht="18.75" hidden="false" customHeight="true" outlineLevel="0" collapsed="false">
      <c r="B6" s="490" t="n">
        <f aca="false">B5+1</f>
        <v>45933</v>
      </c>
      <c r="C6" s="490" t="str">
        <f aca="false">TEXT(B6,"aaa")</f>
        <v>Fri</v>
      </c>
      <c r="D6" s="507"/>
      <c r="E6" s="508" t="s">
        <v>557</v>
      </c>
      <c r="F6" s="509" t="s">
        <v>558</v>
      </c>
    </row>
    <row r="7" customFormat="false" ht="18" hidden="false" customHeight="true" outlineLevel="0" collapsed="false">
      <c r="B7" s="510" t="n">
        <f aca="false">B6+1</f>
        <v>45934</v>
      </c>
      <c r="C7" s="510" t="str">
        <f aca="false">TEXT(B7,"aaa")</f>
        <v>Sat</v>
      </c>
      <c r="D7" s="507"/>
      <c r="E7" s="507"/>
      <c r="F7" s="507"/>
    </row>
    <row r="8" customFormat="false" ht="18.75" hidden="false" customHeight="true" outlineLevel="0" collapsed="false">
      <c r="B8" s="511" t="n">
        <f aca="false">B7+1</f>
        <v>45935</v>
      </c>
      <c r="C8" s="511" t="str">
        <f aca="false">TEXT(B8,"aaa")</f>
        <v>Sun</v>
      </c>
      <c r="D8" s="507"/>
      <c r="E8" s="507"/>
      <c r="F8" s="507"/>
    </row>
    <row r="9" customFormat="false" ht="18.75" hidden="false" customHeight="true" outlineLevel="0" collapsed="false">
      <c r="B9" s="490" t="n">
        <f aca="false">B8+1</f>
        <v>45936</v>
      </c>
      <c r="C9" s="490" t="str">
        <f aca="false">TEXT(B9,"aaa")</f>
        <v>Mon</v>
      </c>
      <c r="D9" s="507"/>
      <c r="E9" s="507"/>
      <c r="F9" s="507"/>
    </row>
    <row r="10" customFormat="false" ht="18.75" hidden="false" customHeight="true" outlineLevel="0" collapsed="false">
      <c r="B10" s="490" t="n">
        <f aca="false">B9+1</f>
        <v>45937</v>
      </c>
      <c r="C10" s="490" t="str">
        <f aca="false">TEXT(B10,"aaa")</f>
        <v>Tue</v>
      </c>
      <c r="D10" s="507"/>
      <c r="E10" s="507"/>
      <c r="F10" s="507"/>
    </row>
    <row r="11" customFormat="false" ht="18.75" hidden="false" customHeight="true" outlineLevel="0" collapsed="false">
      <c r="B11" s="490" t="n">
        <f aca="false">B10+1</f>
        <v>45938</v>
      </c>
      <c r="C11" s="490" t="str">
        <f aca="false">TEXT(B11,"aaa")</f>
        <v>Wed</v>
      </c>
      <c r="D11" s="509" t="s">
        <v>525</v>
      </c>
      <c r="E11" s="509"/>
      <c r="F11" s="509"/>
    </row>
    <row r="12" customFormat="false" ht="18.75" hidden="false" customHeight="true" outlineLevel="0" collapsed="false">
      <c r="B12" s="490" t="n">
        <f aca="false">B11+1</f>
        <v>45939</v>
      </c>
      <c r="C12" s="490" t="str">
        <f aca="false">TEXT(B12,"aaa")</f>
        <v>Thu</v>
      </c>
      <c r="D12" s="507"/>
      <c r="E12" s="507"/>
      <c r="F12" s="507"/>
    </row>
    <row r="13" customFormat="false" ht="18.75" hidden="false" customHeight="true" outlineLevel="0" collapsed="false">
      <c r="B13" s="490" t="n">
        <f aca="false">B12+1</f>
        <v>45940</v>
      </c>
      <c r="C13" s="490" t="str">
        <f aca="false">TEXT(B13,"aaa")</f>
        <v>Fri</v>
      </c>
      <c r="D13" s="507"/>
      <c r="E13" s="507"/>
      <c r="F13" s="507"/>
    </row>
    <row r="14" customFormat="false" ht="18" hidden="false" customHeight="true" outlineLevel="0" collapsed="false">
      <c r="B14" s="510" t="n">
        <f aca="false">B13+1</f>
        <v>45941</v>
      </c>
      <c r="C14" s="510" t="str">
        <f aca="false">TEXT(B14,"aaa")</f>
        <v>Sat</v>
      </c>
      <c r="D14" s="507"/>
      <c r="E14" s="507"/>
      <c r="F14" s="507"/>
    </row>
    <row r="15" customFormat="false" ht="18.75" hidden="false" customHeight="true" outlineLevel="0" collapsed="false">
      <c r="B15" s="511" t="n">
        <f aca="false">B14+1</f>
        <v>45942</v>
      </c>
      <c r="C15" s="511" t="str">
        <f aca="false">TEXT(B15,"aaa")</f>
        <v>Sun</v>
      </c>
      <c r="D15" s="507"/>
      <c r="E15" s="507"/>
      <c r="F15" s="507"/>
    </row>
    <row r="16" customFormat="false" ht="18.75" hidden="false" customHeight="true" outlineLevel="0" collapsed="false">
      <c r="B16" s="512" t="n">
        <f aca="false">B15+1</f>
        <v>45943</v>
      </c>
      <c r="C16" s="512" t="str">
        <f aca="false">TEXT(B16,"aaa")</f>
        <v>Mon</v>
      </c>
      <c r="D16" s="507"/>
      <c r="E16" s="507"/>
      <c r="F16" s="507"/>
    </row>
    <row r="17" customFormat="false" ht="18.75" hidden="false" customHeight="true" outlineLevel="0" collapsed="false">
      <c r="B17" s="490" t="n">
        <f aca="false">B16+1</f>
        <v>45944</v>
      </c>
      <c r="C17" s="490" t="str">
        <f aca="false">TEXT(B17,"aaa")</f>
        <v>Tue</v>
      </c>
      <c r="D17" s="507"/>
      <c r="E17" s="508" t="s">
        <v>527</v>
      </c>
      <c r="F17" s="507"/>
    </row>
    <row r="18" customFormat="false" ht="18.75" hidden="false" customHeight="true" outlineLevel="0" collapsed="false">
      <c r="B18" s="490" t="n">
        <f aca="false">B17+1</f>
        <v>45945</v>
      </c>
      <c r="C18" s="490" t="str">
        <f aca="false">TEXT(B18,"aaa")</f>
        <v>Wed</v>
      </c>
      <c r="D18" s="507"/>
      <c r="E18" s="508" t="s">
        <v>559</v>
      </c>
      <c r="F18" s="507"/>
    </row>
    <row r="19" customFormat="false" ht="18.75" hidden="false" customHeight="true" outlineLevel="0" collapsed="false">
      <c r="B19" s="490" t="n">
        <f aca="false">B18+1</f>
        <v>45946</v>
      </c>
      <c r="C19" s="490" t="str">
        <f aca="false">TEXT(B19,"aaa")</f>
        <v>Thu</v>
      </c>
      <c r="D19" s="507"/>
      <c r="E19" s="507"/>
      <c r="F19" s="507"/>
    </row>
    <row r="20" customFormat="false" ht="18.75" hidden="false" customHeight="true" outlineLevel="0" collapsed="false">
      <c r="B20" s="490" t="n">
        <f aca="false">B19+1</f>
        <v>45947</v>
      </c>
      <c r="C20" s="490" t="str">
        <f aca="false">TEXT(B20,"aaa")</f>
        <v>Fri</v>
      </c>
      <c r="D20" s="508" t="s">
        <v>560</v>
      </c>
      <c r="E20" s="513" t="s">
        <v>561</v>
      </c>
      <c r="F20" s="508" t="s">
        <v>562</v>
      </c>
    </row>
    <row r="21" customFormat="false" ht="18" hidden="false" customHeight="true" outlineLevel="0" collapsed="false">
      <c r="B21" s="510" t="n">
        <f aca="false">B20+1</f>
        <v>45948</v>
      </c>
      <c r="C21" s="510" t="str">
        <f aca="false">TEXT(B21,"aaa")</f>
        <v>Sat</v>
      </c>
      <c r="D21" s="507"/>
      <c r="E21" s="507"/>
      <c r="F21" s="507"/>
    </row>
    <row r="22" customFormat="false" ht="18.75" hidden="false" customHeight="true" outlineLevel="0" collapsed="false">
      <c r="B22" s="511" t="n">
        <f aca="false">B21+1</f>
        <v>45949</v>
      </c>
      <c r="C22" s="511" t="str">
        <f aca="false">TEXT(B22,"aaa")</f>
        <v>Sun</v>
      </c>
      <c r="D22" s="507"/>
      <c r="E22" s="507"/>
      <c r="F22" s="507"/>
    </row>
    <row r="23" customFormat="false" ht="18.75" hidden="false" customHeight="true" outlineLevel="0" collapsed="false">
      <c r="B23" s="490" t="n">
        <f aca="false">B22+1</f>
        <v>45950</v>
      </c>
      <c r="C23" s="490" t="str">
        <f aca="false">TEXT(B23,"aaa")</f>
        <v>Mon</v>
      </c>
      <c r="D23" s="507"/>
      <c r="E23" s="507"/>
      <c r="F23" s="507"/>
    </row>
    <row r="24" customFormat="false" ht="18.75" hidden="false" customHeight="true" outlineLevel="0" collapsed="false">
      <c r="B24" s="490" t="n">
        <f aca="false">B23+1</f>
        <v>45951</v>
      </c>
      <c r="C24" s="490" t="str">
        <f aca="false">TEXT(B24,"aaa")</f>
        <v>Tue</v>
      </c>
      <c r="D24" s="507"/>
      <c r="E24" s="507"/>
      <c r="F24" s="507"/>
    </row>
    <row r="25" customFormat="false" ht="18.75" hidden="false" customHeight="true" outlineLevel="0" collapsed="false">
      <c r="B25" s="490" t="n">
        <f aca="false">B24+1</f>
        <v>45952</v>
      </c>
      <c r="C25" s="490" t="str">
        <f aca="false">TEXT(B25,"aaa")</f>
        <v>Wed</v>
      </c>
      <c r="D25" s="507"/>
      <c r="E25" s="508" t="s">
        <v>563</v>
      </c>
      <c r="F25" s="507"/>
    </row>
    <row r="26" customFormat="false" ht="18" hidden="false" customHeight="true" outlineLevel="0" collapsed="false">
      <c r="B26" s="490" t="n">
        <f aca="false">B25+1</f>
        <v>45953</v>
      </c>
      <c r="C26" s="490" t="str">
        <f aca="false">TEXT(B26,"aaa")</f>
        <v>Thu</v>
      </c>
      <c r="D26" s="507"/>
      <c r="E26" s="507"/>
      <c r="F26" s="507"/>
    </row>
    <row r="27" customFormat="false" ht="18.75" hidden="false" customHeight="true" outlineLevel="0" collapsed="false">
      <c r="B27" s="490" t="n">
        <f aca="false">B26+1</f>
        <v>45954</v>
      </c>
      <c r="C27" s="490" t="str">
        <f aca="false">TEXT(B27,"aaa")</f>
        <v>Fri</v>
      </c>
      <c r="D27" s="507"/>
      <c r="E27" s="507"/>
      <c r="F27" s="507"/>
    </row>
    <row r="28" customFormat="false" ht="18.75" hidden="false" customHeight="true" outlineLevel="0" collapsed="false">
      <c r="B28" s="510" t="n">
        <f aca="false">B27+1</f>
        <v>45955</v>
      </c>
      <c r="C28" s="510" t="str">
        <f aca="false">TEXT(B28,"aaa")</f>
        <v>Sat</v>
      </c>
      <c r="D28" s="507"/>
      <c r="E28" s="507"/>
      <c r="F28" s="507"/>
    </row>
    <row r="29" customFormat="false" ht="18.75" hidden="false" customHeight="true" outlineLevel="0" collapsed="false">
      <c r="B29" s="511" t="n">
        <f aca="false">B28+1</f>
        <v>45956</v>
      </c>
      <c r="C29" s="511" t="str">
        <f aca="false">TEXT(B29,"aaa")</f>
        <v>Sun</v>
      </c>
      <c r="D29" s="507"/>
      <c r="E29" s="507"/>
      <c r="F29" s="507"/>
    </row>
    <row r="30" customFormat="false" ht="18.75" hidden="false" customHeight="true" outlineLevel="0" collapsed="false">
      <c r="B30" s="490" t="n">
        <f aca="false">B29+1</f>
        <v>45957</v>
      </c>
      <c r="C30" s="490" t="str">
        <f aca="false">TEXT(B30,"aaa")</f>
        <v>Mon</v>
      </c>
      <c r="D30" s="507"/>
      <c r="E30" s="508" t="s">
        <v>564</v>
      </c>
      <c r="F30" s="508"/>
    </row>
    <row r="31" customFormat="false" ht="18.75" hidden="false" customHeight="true" outlineLevel="0" collapsed="false">
      <c r="B31" s="490" t="n">
        <f aca="false">B30+1</f>
        <v>45958</v>
      </c>
      <c r="C31" s="490" t="str">
        <f aca="false">TEXT(B31,"aaa")</f>
        <v>Tue</v>
      </c>
      <c r="D31" s="508" t="s">
        <v>565</v>
      </c>
      <c r="E31" s="508" t="s">
        <v>566</v>
      </c>
      <c r="F31" s="508" t="s">
        <v>565</v>
      </c>
    </row>
    <row r="32" customFormat="false" ht="18.75" hidden="false" customHeight="true" outlineLevel="0" collapsed="false">
      <c r="B32" s="490" t="n">
        <f aca="false">B31+1</f>
        <v>45959</v>
      </c>
      <c r="C32" s="490" t="str">
        <f aca="false">TEXT(B32,"aaa")</f>
        <v>Wed</v>
      </c>
      <c r="D32" s="508"/>
      <c r="E32" s="508" t="s">
        <v>567</v>
      </c>
      <c r="F32" s="508"/>
    </row>
    <row r="33" customFormat="false" ht="18.75" hidden="false" customHeight="true" outlineLevel="0" collapsed="false">
      <c r="B33" s="490" t="n">
        <f aca="false">B32+1</f>
        <v>45960</v>
      </c>
      <c r="C33" s="490" t="str">
        <f aca="false">TEXT(B33,"aaa")</f>
        <v>Thu</v>
      </c>
      <c r="D33" s="508"/>
      <c r="E33" s="508"/>
      <c r="F33" s="508"/>
    </row>
    <row r="34" customFormat="false" ht="18.75" hidden="false" customHeight="true" outlineLevel="0" collapsed="false">
      <c r="B34" s="490" t="n">
        <f aca="false">B33+1</f>
        <v>45961</v>
      </c>
      <c r="C34" s="490" t="str">
        <f aca="false">TEXT(B34,"aaa")</f>
        <v>Fri</v>
      </c>
      <c r="D34" s="508"/>
      <c r="E34" s="508"/>
      <c r="F34" s="508"/>
    </row>
    <row r="35" customFormat="false" ht="18.75" hidden="false" customHeight="true" outlineLevel="0" collapsed="false">
      <c r="B35" s="510" t="n">
        <f aca="false">B34+1</f>
        <v>45962</v>
      </c>
      <c r="C35" s="510" t="str">
        <f aca="false">TEXT(B35,"aaa")</f>
        <v>Sat</v>
      </c>
      <c r="D35" s="507"/>
      <c r="E35" s="507"/>
      <c r="F35" s="507"/>
    </row>
    <row r="36" customFormat="false" ht="18.75" hidden="false" customHeight="true" outlineLevel="0" collapsed="false">
      <c r="B36" s="511" t="n">
        <f aca="false">B35+1</f>
        <v>45963</v>
      </c>
      <c r="C36" s="511" t="str">
        <f aca="false">TEXT(B36,"aaa")</f>
        <v>Sun</v>
      </c>
      <c r="D36" s="507"/>
      <c r="E36" s="507"/>
      <c r="F36" s="507"/>
    </row>
    <row r="37" customFormat="false" ht="18.75" hidden="false" customHeight="true" outlineLevel="0" collapsed="false">
      <c r="B37" s="512" t="n">
        <f aca="false">B36+1</f>
        <v>45964</v>
      </c>
      <c r="C37" s="512" t="str">
        <f aca="false">TEXT(B37,"aaa")</f>
        <v>Mon</v>
      </c>
      <c r="D37" s="507"/>
      <c r="E37" s="507"/>
      <c r="F37" s="507"/>
    </row>
    <row r="38" customFormat="false" ht="18.75" hidden="false" customHeight="true" outlineLevel="0" collapsed="false">
      <c r="B38" s="490" t="n">
        <f aca="false">B37+1</f>
        <v>45965</v>
      </c>
      <c r="C38" s="490" t="str">
        <f aca="false">TEXT(B38,"aaa")</f>
        <v>Tue</v>
      </c>
      <c r="D38" s="508" t="s">
        <v>565</v>
      </c>
      <c r="E38" s="508" t="s">
        <v>567</v>
      </c>
      <c r="F38" s="508" t="s">
        <v>565</v>
      </c>
    </row>
    <row r="39" customFormat="false" ht="18.75" hidden="false" customHeight="true" outlineLevel="0" collapsed="false">
      <c r="B39" s="490" t="n">
        <f aca="false">B38+1</f>
        <v>45966</v>
      </c>
      <c r="C39" s="490" t="str">
        <f aca="false">TEXT(B39,"aaa")</f>
        <v>Wed</v>
      </c>
      <c r="D39" s="508"/>
      <c r="E39" s="508"/>
      <c r="F39" s="508"/>
    </row>
    <row r="40" customFormat="false" ht="18.75" hidden="false" customHeight="true" outlineLevel="0" collapsed="false">
      <c r="B40" s="490" t="n">
        <f aca="false">B39+1</f>
        <v>45967</v>
      </c>
      <c r="C40" s="490" t="str">
        <f aca="false">TEXT(B40,"aaa")</f>
        <v>Thu</v>
      </c>
      <c r="D40" s="508"/>
      <c r="E40" s="508"/>
      <c r="F40" s="508"/>
    </row>
    <row r="41" customFormat="false" ht="18.75" hidden="false" customHeight="true" outlineLevel="0" collapsed="false">
      <c r="B41" s="490" t="n">
        <f aca="false">B40+1</f>
        <v>45968</v>
      </c>
      <c r="C41" s="490" t="str">
        <f aca="false">TEXT(B41,"aaa")</f>
        <v>Fri</v>
      </c>
      <c r="D41" s="508"/>
      <c r="E41" s="508"/>
      <c r="F41" s="508"/>
    </row>
    <row r="42" customFormat="false" ht="18" hidden="false" customHeight="true" outlineLevel="0" collapsed="false">
      <c r="B42" s="510" t="n">
        <f aca="false">B41+1</f>
        <v>45969</v>
      </c>
      <c r="C42" s="510" t="str">
        <f aca="false">TEXT(B42,"aaa")</f>
        <v>Sat</v>
      </c>
      <c r="D42" s="507"/>
      <c r="E42" s="507"/>
      <c r="F42" s="507"/>
    </row>
    <row r="43" customFormat="false" ht="18.75" hidden="false" customHeight="true" outlineLevel="0" collapsed="false">
      <c r="B43" s="511" t="n">
        <f aca="false">B42+1</f>
        <v>45970</v>
      </c>
      <c r="C43" s="511" t="str">
        <f aca="false">TEXT(B43,"aaa")</f>
        <v>Sun</v>
      </c>
      <c r="D43" s="507"/>
      <c r="E43" s="507"/>
      <c r="F43" s="507"/>
    </row>
    <row r="44" customFormat="false" ht="18.75" hidden="false" customHeight="true" outlineLevel="0" collapsed="false">
      <c r="B44" s="490" t="n">
        <f aca="false">B43+1</f>
        <v>45971</v>
      </c>
      <c r="C44" s="490" t="str">
        <f aca="false">TEXT(B44,"aaa")</f>
        <v>Mon</v>
      </c>
      <c r="D44" s="508" t="s">
        <v>565</v>
      </c>
      <c r="E44" s="508" t="s">
        <v>567</v>
      </c>
      <c r="F44" s="508" t="s">
        <v>565</v>
      </c>
    </row>
    <row r="45" customFormat="false" ht="18.75" hidden="false" customHeight="true" outlineLevel="0" collapsed="false">
      <c r="B45" s="490" t="n">
        <f aca="false">B44+1</f>
        <v>45972</v>
      </c>
      <c r="C45" s="490" t="str">
        <f aca="false">TEXT(B45,"aaa")</f>
        <v>Tue</v>
      </c>
      <c r="D45" s="508"/>
      <c r="E45" s="508"/>
      <c r="F45" s="508"/>
    </row>
    <row r="46" customFormat="false" ht="18.75" hidden="false" customHeight="true" outlineLevel="0" collapsed="false">
      <c r="B46" s="490" t="n">
        <f aca="false">B45+1</f>
        <v>45973</v>
      </c>
      <c r="C46" s="490" t="str">
        <f aca="false">TEXT(B46,"aaa")</f>
        <v>Wed</v>
      </c>
      <c r="D46" s="508" t="s">
        <v>568</v>
      </c>
      <c r="E46" s="508"/>
      <c r="F46" s="508"/>
    </row>
    <row r="47" customFormat="false" ht="18.75" hidden="false" customHeight="true" outlineLevel="0" collapsed="false">
      <c r="B47" s="490" t="n">
        <f aca="false">B46+1</f>
        <v>45974</v>
      </c>
      <c r="C47" s="490" t="str">
        <f aca="false">TEXT(B47,"aaa")</f>
        <v>Thu</v>
      </c>
      <c r="D47" s="507"/>
      <c r="E47" s="507"/>
      <c r="F47" s="507"/>
    </row>
    <row r="48" customFormat="false" ht="18.75" hidden="false" customHeight="true" outlineLevel="0" collapsed="false">
      <c r="B48" s="490" t="n">
        <f aca="false">B47+1</f>
        <v>45975</v>
      </c>
      <c r="C48" s="490" t="str">
        <f aca="false">TEXT(B48,"aaa")</f>
        <v>Fri</v>
      </c>
      <c r="D48" s="507"/>
      <c r="E48" s="507"/>
      <c r="F48" s="507"/>
    </row>
    <row r="49" customFormat="false" ht="18.75" hidden="false" customHeight="true" outlineLevel="0" collapsed="false">
      <c r="B49" s="510" t="n">
        <f aca="false">B48+1</f>
        <v>45976</v>
      </c>
      <c r="C49" s="510" t="str">
        <f aca="false">TEXT(B49,"aaa")</f>
        <v>Sat</v>
      </c>
      <c r="D49" s="507"/>
      <c r="E49" s="507"/>
      <c r="F49" s="507"/>
    </row>
    <row r="50" customFormat="false" ht="18.75" hidden="false" customHeight="true" outlineLevel="0" collapsed="false">
      <c r="B50" s="511" t="n">
        <f aca="false">B49+1</f>
        <v>45977</v>
      </c>
      <c r="C50" s="511" t="str">
        <f aca="false">TEXT(B50,"aaa")</f>
        <v>Sun</v>
      </c>
      <c r="D50" s="507"/>
      <c r="E50" s="507"/>
      <c r="F50" s="507"/>
    </row>
    <row r="51" customFormat="false" ht="18.75" hidden="false" customHeight="true" outlineLevel="0" collapsed="false">
      <c r="B51" s="490" t="n">
        <f aca="false">B50+1</f>
        <v>45978</v>
      </c>
      <c r="C51" s="490" t="str">
        <f aca="false">TEXT(B51,"aaa")</f>
        <v>Mon</v>
      </c>
      <c r="D51" s="507"/>
      <c r="E51" s="508" t="s">
        <v>569</v>
      </c>
      <c r="F51" s="508" t="s">
        <v>570</v>
      </c>
    </row>
    <row r="52" customFormat="false" ht="18.75" hidden="false" customHeight="true" outlineLevel="0" collapsed="false">
      <c r="B52" s="490" t="n">
        <f aca="false">B51+1</f>
        <v>45979</v>
      </c>
      <c r="C52" s="490" t="str">
        <f aca="false">TEXT(B52,"aaa")</f>
        <v>Tue</v>
      </c>
      <c r="D52" s="507"/>
      <c r="E52" s="507"/>
      <c r="F52" s="507"/>
    </row>
    <row r="53" customFormat="false" ht="18.75" hidden="false" customHeight="true" outlineLevel="0" collapsed="false">
      <c r="B53" s="490" t="n">
        <f aca="false">B52+1</f>
        <v>45980</v>
      </c>
      <c r="C53" s="490" t="str">
        <f aca="false">TEXT(B53,"aaa")</f>
        <v>Wed</v>
      </c>
      <c r="D53" s="507"/>
      <c r="E53" s="507"/>
      <c r="F53" s="507"/>
    </row>
    <row r="54" customFormat="false" ht="18.75" hidden="false" customHeight="true" outlineLevel="0" collapsed="false">
      <c r="B54" s="490" t="n">
        <f aca="false">B53+1</f>
        <v>45981</v>
      </c>
      <c r="C54" s="490" t="str">
        <f aca="false">TEXT(B54,"aaa")</f>
        <v>Thu</v>
      </c>
      <c r="D54" s="507"/>
      <c r="E54" s="507"/>
      <c r="F54" s="507"/>
    </row>
    <row r="55" customFormat="false" ht="18.75" hidden="false" customHeight="true" outlineLevel="0" collapsed="false">
      <c r="B55" s="490" t="n">
        <f aca="false">B54+1</f>
        <v>45982</v>
      </c>
      <c r="C55" s="490" t="str">
        <f aca="false">TEXT(B55,"aaa")</f>
        <v>Fri</v>
      </c>
      <c r="D55" s="507"/>
      <c r="E55" s="508" t="s">
        <v>571</v>
      </c>
      <c r="F55" s="507"/>
    </row>
    <row r="56" customFormat="false" ht="18.75" hidden="false" customHeight="true" outlineLevel="0" collapsed="false">
      <c r="B56" s="510" t="n">
        <f aca="false">B55+1</f>
        <v>45983</v>
      </c>
      <c r="C56" s="510" t="str">
        <f aca="false">TEXT(B56,"aaa")</f>
        <v>Sat</v>
      </c>
      <c r="D56" s="507"/>
      <c r="E56" s="507"/>
      <c r="F56" s="507"/>
    </row>
    <row r="57" customFormat="false" ht="18.75" hidden="false" customHeight="true" outlineLevel="0" collapsed="false">
      <c r="B57" s="512" t="n">
        <f aca="false">B56+1</f>
        <v>45984</v>
      </c>
      <c r="C57" s="512" t="str">
        <f aca="false">TEXT(B57,"aaa")</f>
        <v>Sun</v>
      </c>
      <c r="D57" s="507"/>
      <c r="E57" s="507"/>
      <c r="F57" s="507"/>
    </row>
    <row r="58" customFormat="false" ht="18.75" hidden="false" customHeight="true" outlineLevel="0" collapsed="false">
      <c r="B58" s="512" t="n">
        <f aca="false">B57+1</f>
        <v>45985</v>
      </c>
      <c r="C58" s="512" t="str">
        <f aca="false">TEXT(B58,"aaa")</f>
        <v>Mon</v>
      </c>
      <c r="D58" s="507"/>
      <c r="E58" s="507"/>
      <c r="F58" s="507"/>
    </row>
    <row r="59" customFormat="false" ht="18.75" hidden="false" customHeight="true" outlineLevel="0" collapsed="false">
      <c r="B59" s="490" t="n">
        <f aca="false">B58+1</f>
        <v>45986</v>
      </c>
      <c r="C59" s="490" t="str">
        <f aca="false">TEXT(B59,"aaa")</f>
        <v>Tue</v>
      </c>
      <c r="D59" s="507"/>
      <c r="E59" s="508" t="s">
        <v>572</v>
      </c>
      <c r="F59" s="507"/>
    </row>
    <row r="60" customFormat="false" ht="18.75" hidden="false" customHeight="true" outlineLevel="0" collapsed="false">
      <c r="B60" s="490" t="n">
        <f aca="false">B59+1</f>
        <v>45987</v>
      </c>
      <c r="C60" s="490" t="str">
        <f aca="false">TEXT(B60,"aaa")</f>
        <v>Wed</v>
      </c>
      <c r="D60" s="508" t="s">
        <v>573</v>
      </c>
      <c r="E60" s="508"/>
      <c r="F60" s="508"/>
    </row>
    <row r="61" customFormat="false" ht="18.75" hidden="false" customHeight="true" outlineLevel="0" collapsed="false">
      <c r="B61" s="490" t="n">
        <f aca="false">B60+1</f>
        <v>45988</v>
      </c>
      <c r="C61" s="490" t="str">
        <f aca="false">TEXT(B61,"aaa")</f>
        <v>Thu</v>
      </c>
      <c r="D61" s="508"/>
      <c r="E61" s="508"/>
      <c r="F61" s="508"/>
    </row>
    <row r="62" customFormat="false" ht="18.75" hidden="false" customHeight="true" outlineLevel="0" collapsed="false">
      <c r="B62" s="490" t="n">
        <f aca="false">B61+1</f>
        <v>45989</v>
      </c>
      <c r="C62" s="490" t="str">
        <f aca="false">TEXT(B62,"aaa")</f>
        <v>Fri</v>
      </c>
      <c r="D62" s="508"/>
      <c r="E62" s="508"/>
      <c r="F62" s="508"/>
    </row>
    <row r="63" customFormat="false" ht="18.75" hidden="false" customHeight="true" outlineLevel="0" collapsed="false">
      <c r="B63" s="510" t="n">
        <f aca="false">B62+1</f>
        <v>45990</v>
      </c>
      <c r="C63" s="510" t="str">
        <f aca="false">TEXT(B63,"aaa")</f>
        <v>Sat</v>
      </c>
      <c r="D63" s="507"/>
      <c r="E63" s="507"/>
      <c r="F63" s="507"/>
    </row>
    <row r="64" customFormat="false" ht="18.75" hidden="false" customHeight="true" outlineLevel="0" collapsed="false">
      <c r="B64" s="511" t="n">
        <f aca="false">B63+1</f>
        <v>45991</v>
      </c>
      <c r="C64" s="511" t="str">
        <f aca="false">TEXT(B64,"aaa")</f>
        <v>Sun</v>
      </c>
      <c r="D64" s="507"/>
      <c r="E64" s="507"/>
      <c r="F64" s="507"/>
    </row>
    <row r="65" customFormat="false" ht="18.75" hidden="false" customHeight="true" outlineLevel="0" collapsed="false">
      <c r="B65" s="490" t="n">
        <f aca="false">B64+1</f>
        <v>45992</v>
      </c>
      <c r="C65" s="490" t="str">
        <f aca="false">TEXT(B65,"aaa")</f>
        <v>Mon</v>
      </c>
      <c r="D65" s="508" t="s">
        <v>573</v>
      </c>
      <c r="E65" s="508"/>
      <c r="F65" s="508"/>
    </row>
    <row r="66" customFormat="false" ht="18.75" hidden="false" customHeight="true" outlineLevel="0" collapsed="false">
      <c r="B66" s="490" t="n">
        <f aca="false">B65+1</f>
        <v>45993</v>
      </c>
      <c r="C66" s="490" t="str">
        <f aca="false">TEXT(B66,"aaa")</f>
        <v>Tue</v>
      </c>
      <c r="D66" s="508"/>
      <c r="E66" s="508"/>
      <c r="F66" s="508"/>
    </row>
    <row r="67" customFormat="false" ht="18.75" hidden="false" customHeight="true" outlineLevel="0" collapsed="false">
      <c r="B67" s="490" t="n">
        <f aca="false">B66+1</f>
        <v>45994</v>
      </c>
      <c r="C67" s="490" t="str">
        <f aca="false">TEXT(B67,"aaa")</f>
        <v>Wed</v>
      </c>
      <c r="D67" s="508"/>
      <c r="E67" s="508"/>
      <c r="F67" s="508"/>
    </row>
    <row r="68" customFormat="false" ht="18.75" hidden="false" customHeight="true" outlineLevel="0" collapsed="false">
      <c r="B68" s="490" t="n">
        <f aca="false">B67+1</f>
        <v>45995</v>
      </c>
      <c r="C68" s="490" t="str">
        <f aca="false">TEXT(B68,"aaa")</f>
        <v>Thu</v>
      </c>
      <c r="D68" s="508"/>
      <c r="E68" s="508"/>
      <c r="F68" s="508"/>
    </row>
    <row r="69" customFormat="false" ht="18.75" hidden="false" customHeight="true" outlineLevel="0" collapsed="false">
      <c r="B69" s="490" t="n">
        <f aca="false">B68+1</f>
        <v>45996</v>
      </c>
      <c r="C69" s="490" t="str">
        <f aca="false">TEXT(B69,"aaa")</f>
        <v>Fri</v>
      </c>
      <c r="D69" s="508"/>
      <c r="E69" s="508"/>
      <c r="F69" s="508"/>
    </row>
    <row r="70" customFormat="false" ht="18.75" hidden="false" customHeight="true" outlineLevel="0" collapsed="false">
      <c r="B70" s="510" t="n">
        <f aca="false">B69+1</f>
        <v>45997</v>
      </c>
      <c r="C70" s="510" t="str">
        <f aca="false">TEXT(B70,"aaa")</f>
        <v>Sat</v>
      </c>
      <c r="D70" s="507"/>
      <c r="E70" s="507"/>
      <c r="F70" s="507"/>
    </row>
    <row r="71" customFormat="false" ht="18.75" hidden="false" customHeight="true" outlineLevel="0" collapsed="false">
      <c r="B71" s="511" t="n">
        <f aca="false">B70+1</f>
        <v>45998</v>
      </c>
      <c r="C71" s="511" t="str">
        <f aca="false">TEXT(B71,"aaa")</f>
        <v>Sun</v>
      </c>
      <c r="D71" s="507"/>
      <c r="E71" s="507"/>
      <c r="F71" s="507"/>
    </row>
    <row r="72" customFormat="false" ht="18.75" hidden="false" customHeight="true" outlineLevel="0" collapsed="false">
      <c r="B72" s="490" t="n">
        <f aca="false">B71+1</f>
        <v>45999</v>
      </c>
      <c r="C72" s="490" t="str">
        <f aca="false">TEXT(B72,"aaa")</f>
        <v>Mon</v>
      </c>
      <c r="D72" s="508" t="s">
        <v>573</v>
      </c>
      <c r="E72" s="508"/>
      <c r="F72" s="508"/>
    </row>
    <row r="73" customFormat="false" ht="18.75" hidden="false" customHeight="true" outlineLevel="0" collapsed="false">
      <c r="B73" s="490" t="n">
        <f aca="false">B72+1</f>
        <v>46000</v>
      </c>
      <c r="C73" s="490" t="str">
        <f aca="false">TEXT(B73,"aaa")</f>
        <v>Tue</v>
      </c>
      <c r="D73" s="508"/>
      <c r="E73" s="508"/>
      <c r="F73" s="508"/>
    </row>
    <row r="74" customFormat="false" ht="18.75" hidden="false" customHeight="true" outlineLevel="0" collapsed="false">
      <c r="B74" s="490" t="n">
        <f aca="false">B73+1</f>
        <v>46001</v>
      </c>
      <c r="C74" s="490" t="str">
        <f aca="false">TEXT(B74,"aaa")</f>
        <v>Wed</v>
      </c>
      <c r="D74" s="508"/>
      <c r="E74" s="508"/>
      <c r="F74" s="508"/>
    </row>
    <row r="75" customFormat="false" ht="18.75" hidden="false" customHeight="true" outlineLevel="0" collapsed="false">
      <c r="B75" s="490" t="n">
        <f aca="false">B74+1</f>
        <v>46002</v>
      </c>
      <c r="C75" s="490" t="str">
        <f aca="false">TEXT(B75,"aaa")</f>
        <v>Thu</v>
      </c>
      <c r="D75" s="507"/>
      <c r="E75" s="507"/>
      <c r="F75" s="507"/>
    </row>
    <row r="76" customFormat="false" ht="18.75" hidden="false" customHeight="true" outlineLevel="0" collapsed="false">
      <c r="B76" s="490" t="n">
        <f aca="false">B75+1</f>
        <v>46003</v>
      </c>
      <c r="C76" s="490" t="str">
        <f aca="false">TEXT(B76,"aaa")</f>
        <v>Fri</v>
      </c>
      <c r="D76" s="513" t="s">
        <v>574</v>
      </c>
      <c r="E76" s="513"/>
      <c r="F76" s="513"/>
    </row>
    <row r="77" customFormat="false" ht="18.75" hidden="false" customHeight="true" outlineLevel="0" collapsed="false">
      <c r="B77" s="510" t="n">
        <f aca="false">B76+1</f>
        <v>46004</v>
      </c>
      <c r="C77" s="510" t="str">
        <f aca="false">TEXT(B77,"aaa")</f>
        <v>Sat</v>
      </c>
      <c r="D77" s="507"/>
      <c r="E77" s="507"/>
      <c r="F77" s="507"/>
    </row>
    <row r="78" customFormat="false" ht="18.75" hidden="false" customHeight="true" outlineLevel="0" collapsed="false">
      <c r="B78" s="511" t="n">
        <f aca="false">B77+1</f>
        <v>46005</v>
      </c>
      <c r="C78" s="511" t="str">
        <f aca="false">TEXT(B78,"aaa")</f>
        <v>Sun</v>
      </c>
      <c r="D78" s="507"/>
      <c r="E78" s="507"/>
      <c r="F78" s="507"/>
    </row>
    <row r="79" customFormat="false" ht="18.75" hidden="false" customHeight="true" outlineLevel="0" collapsed="false">
      <c r="B79" s="490" t="n">
        <f aca="false">B78+1</f>
        <v>46006</v>
      </c>
      <c r="C79" s="490" t="str">
        <f aca="false">TEXT(B79,"aaa")</f>
        <v>Mon</v>
      </c>
      <c r="D79" s="508" t="s">
        <v>575</v>
      </c>
      <c r="E79" s="507"/>
      <c r="F79" s="508" t="s">
        <v>575</v>
      </c>
    </row>
    <row r="80" customFormat="false" ht="18.75" hidden="false" customHeight="true" outlineLevel="0" collapsed="false">
      <c r="B80" s="490" t="n">
        <f aca="false">B79+1</f>
        <v>46007</v>
      </c>
      <c r="C80" s="490" t="str">
        <f aca="false">TEXT(B80,"aaa")</f>
        <v>Tue</v>
      </c>
      <c r="D80" s="508"/>
      <c r="E80" s="507"/>
      <c r="F80" s="508"/>
    </row>
    <row r="81" customFormat="false" ht="18.75" hidden="false" customHeight="true" outlineLevel="0" collapsed="false">
      <c r="B81" s="490" t="n">
        <f aca="false">B80+1</f>
        <v>46008</v>
      </c>
      <c r="C81" s="490" t="str">
        <f aca="false">TEXT(B81,"aaa")</f>
        <v>Wed</v>
      </c>
      <c r="D81" s="508"/>
      <c r="E81" s="507"/>
      <c r="F81" s="508"/>
    </row>
    <row r="82" customFormat="false" ht="18.75" hidden="false" customHeight="true" outlineLevel="0" collapsed="false">
      <c r="B82" s="490" t="n">
        <f aca="false">B81+1</f>
        <v>46009</v>
      </c>
      <c r="C82" s="490" t="str">
        <f aca="false">TEXT(B82,"aaa")</f>
        <v>Thu</v>
      </c>
      <c r="D82" s="508"/>
      <c r="E82" s="507"/>
      <c r="F82" s="508"/>
    </row>
    <row r="83" customFormat="false" ht="18.75" hidden="false" customHeight="true" outlineLevel="0" collapsed="false">
      <c r="B83" s="490" t="n">
        <f aca="false">B82+1</f>
        <v>46010</v>
      </c>
      <c r="C83" s="490" t="str">
        <f aca="false">TEXT(B83,"aaa")</f>
        <v>Fri</v>
      </c>
      <c r="D83" s="513" t="s">
        <v>576</v>
      </c>
      <c r="E83" s="513"/>
      <c r="F83" s="513"/>
    </row>
    <row r="84" customFormat="false" ht="18.75" hidden="false" customHeight="true" outlineLevel="0" collapsed="false">
      <c r="B84" s="510" t="n">
        <f aca="false">B83+1</f>
        <v>46011</v>
      </c>
      <c r="C84" s="510" t="str">
        <f aca="false">TEXT(B84,"aaa")</f>
        <v>Sat</v>
      </c>
      <c r="D84" s="507"/>
      <c r="E84" s="507"/>
      <c r="F84" s="507"/>
    </row>
    <row r="85" customFormat="false" ht="18.75" hidden="false" customHeight="true" outlineLevel="0" collapsed="false">
      <c r="B85" s="511" t="n">
        <f aca="false">B84+1</f>
        <v>46012</v>
      </c>
      <c r="C85" s="511" t="str">
        <f aca="false">TEXT(B85,"aaa")</f>
        <v>Sun</v>
      </c>
      <c r="D85" s="507"/>
      <c r="E85" s="507"/>
      <c r="F85" s="507"/>
    </row>
    <row r="86" customFormat="false" ht="18.75" hidden="false" customHeight="true" outlineLevel="0" collapsed="false">
      <c r="B86" s="490" t="n">
        <f aca="false">B85+1</f>
        <v>46013</v>
      </c>
      <c r="C86" s="490" t="str">
        <f aca="false">TEXT(B86,"aaa")</f>
        <v>Mon</v>
      </c>
      <c r="D86" s="514" t="s">
        <v>577</v>
      </c>
      <c r="E86" s="514"/>
      <c r="F86" s="507"/>
    </row>
    <row r="87" customFormat="false" ht="18.75" hidden="false" customHeight="true" outlineLevel="0" collapsed="false">
      <c r="B87" s="490" t="n">
        <f aca="false">B86+1</f>
        <v>46014</v>
      </c>
      <c r="C87" s="490" t="str">
        <f aca="false">TEXT(B87,"aaa")</f>
        <v>Tue</v>
      </c>
      <c r="D87" s="507"/>
      <c r="E87" s="507"/>
      <c r="F87" s="507"/>
    </row>
    <row r="88" customFormat="false" ht="18.75" hidden="false" customHeight="true" outlineLevel="0" collapsed="false">
      <c r="B88" s="490" t="n">
        <f aca="false">B87+1</f>
        <v>46015</v>
      </c>
      <c r="C88" s="490" t="str">
        <f aca="false">TEXT(B88,"aaa")</f>
        <v>Wed</v>
      </c>
      <c r="D88" s="507"/>
      <c r="E88" s="507"/>
      <c r="F88" s="507"/>
    </row>
    <row r="89" customFormat="false" ht="18.75" hidden="false" customHeight="true" outlineLevel="0" collapsed="false">
      <c r="B89" s="490" t="n">
        <f aca="false">B88+1</f>
        <v>46016</v>
      </c>
      <c r="C89" s="490" t="str">
        <f aca="false">TEXT(B89,"aaa")</f>
        <v>Thu</v>
      </c>
      <c r="D89" s="507"/>
      <c r="E89" s="507"/>
      <c r="F89" s="507"/>
    </row>
    <row r="90" customFormat="false" ht="18.75" hidden="false" customHeight="true" outlineLevel="0" collapsed="false">
      <c r="B90" s="490" t="n">
        <f aca="false">B89+1</f>
        <v>46017</v>
      </c>
      <c r="C90" s="490" t="str">
        <f aca="false">TEXT(B90,"aaa")</f>
        <v>Fri</v>
      </c>
      <c r="D90" s="507"/>
      <c r="E90" s="507"/>
      <c r="F90" s="507"/>
    </row>
    <row r="91" customFormat="false" ht="18.75" hidden="false" customHeight="true" outlineLevel="0" collapsed="false">
      <c r="B91" s="510" t="n">
        <f aca="false">B90+1</f>
        <v>46018</v>
      </c>
      <c r="C91" s="510" t="str">
        <f aca="false">TEXT(B91,"aaa")</f>
        <v>Sat</v>
      </c>
      <c r="D91" s="507"/>
      <c r="E91" s="507"/>
      <c r="F91" s="507"/>
    </row>
    <row r="92" customFormat="false" ht="18.75" hidden="false" customHeight="true" outlineLevel="0" collapsed="false">
      <c r="B92" s="511" t="n">
        <f aca="false">B91+1</f>
        <v>46019</v>
      </c>
      <c r="C92" s="511" t="str">
        <f aca="false">TEXT(B92,"aaa")</f>
        <v>Sun</v>
      </c>
      <c r="D92" s="507"/>
      <c r="E92" s="507"/>
      <c r="F92" s="507"/>
    </row>
    <row r="93" customFormat="false" ht="18.75" hidden="false" customHeight="true" outlineLevel="0" collapsed="false">
      <c r="B93" s="490" t="n">
        <f aca="false">B92+1</f>
        <v>46020</v>
      </c>
      <c r="C93" s="490" t="str">
        <f aca="false">TEXT(B93,"aaa")</f>
        <v>Mon</v>
      </c>
      <c r="D93" s="507"/>
      <c r="E93" s="507"/>
      <c r="F93" s="507"/>
    </row>
    <row r="94" customFormat="false" ht="18.75" hidden="false" customHeight="true" outlineLevel="0" collapsed="false">
      <c r="B94" s="490" t="n">
        <f aca="false">B93+1</f>
        <v>46021</v>
      </c>
      <c r="C94" s="490" t="str">
        <f aca="false">TEXT(B94,"aaa")</f>
        <v>Tue</v>
      </c>
      <c r="D94" s="507"/>
      <c r="E94" s="507"/>
      <c r="F94" s="507"/>
    </row>
    <row r="95" customFormat="false" ht="18.75" hidden="false" customHeight="true" outlineLevel="0" collapsed="false">
      <c r="B95" s="512" t="n">
        <f aca="false">B94+1</f>
        <v>46022</v>
      </c>
      <c r="C95" s="512" t="str">
        <f aca="false">TEXT(B95,"aaa")</f>
        <v>Wed</v>
      </c>
      <c r="D95" s="507"/>
      <c r="E95" s="507"/>
      <c r="F95" s="507"/>
    </row>
    <row r="96" customFormat="false" ht="18.75" hidden="false" customHeight="true" outlineLevel="0" collapsed="false">
      <c r="A96" s="504" t="s">
        <v>578</v>
      </c>
      <c r="B96" s="512" t="n">
        <f aca="false">B95+1</f>
        <v>46023</v>
      </c>
      <c r="C96" s="512" t="str">
        <f aca="false">TEXT(B96,"aaa")</f>
        <v>Thu</v>
      </c>
      <c r="D96" s="507"/>
      <c r="E96" s="507"/>
      <c r="F96" s="507"/>
    </row>
    <row r="97" customFormat="false" ht="18.75" hidden="false" customHeight="true" outlineLevel="0" collapsed="false">
      <c r="B97" s="512" t="n">
        <f aca="false">B96+1</f>
        <v>46024</v>
      </c>
      <c r="C97" s="512" t="str">
        <f aca="false">TEXT(B97,"aaa")</f>
        <v>Fri</v>
      </c>
      <c r="D97" s="507"/>
      <c r="E97" s="507"/>
      <c r="F97" s="507"/>
    </row>
    <row r="98" customFormat="false" ht="18.75" hidden="false" customHeight="true" outlineLevel="0" collapsed="false">
      <c r="B98" s="510" t="n">
        <f aca="false">B97+1</f>
        <v>46025</v>
      </c>
      <c r="C98" s="510" t="str">
        <f aca="false">TEXT(B98,"aaa")</f>
        <v>Sat</v>
      </c>
      <c r="D98" s="507"/>
      <c r="E98" s="507"/>
      <c r="F98" s="507"/>
    </row>
    <row r="99" customFormat="false" ht="18.75" hidden="false" customHeight="true" outlineLevel="0" collapsed="false">
      <c r="B99" s="511" t="n">
        <f aca="false">B98+1</f>
        <v>46026</v>
      </c>
      <c r="C99" s="511" t="str">
        <f aca="false">TEXT(B99,"aaa")</f>
        <v>Sun</v>
      </c>
      <c r="D99" s="507"/>
      <c r="E99" s="507"/>
      <c r="F99" s="507"/>
    </row>
    <row r="100" customFormat="false" ht="18.75" hidden="false" customHeight="true" outlineLevel="0" collapsed="false">
      <c r="B100" s="490" t="n">
        <f aca="false">B99+1</f>
        <v>46027</v>
      </c>
      <c r="C100" s="490" t="str">
        <f aca="false">TEXT(B100,"aaa")</f>
        <v>Mon</v>
      </c>
      <c r="D100" s="507"/>
      <c r="E100" s="507"/>
      <c r="F100" s="507"/>
    </row>
    <row r="101" customFormat="false" ht="18.75" hidden="false" customHeight="true" outlineLevel="0" collapsed="false">
      <c r="B101" s="490" t="n">
        <f aca="false">B100+1</f>
        <v>46028</v>
      </c>
      <c r="C101" s="490" t="str">
        <f aca="false">TEXT(B101,"aaa")</f>
        <v>Tue</v>
      </c>
      <c r="D101" s="507"/>
      <c r="E101" s="507"/>
      <c r="F101" s="507"/>
    </row>
    <row r="102" customFormat="false" ht="18.75" hidden="false" customHeight="true" outlineLevel="0" collapsed="false">
      <c r="B102" s="490" t="n">
        <f aca="false">B101+1</f>
        <v>46029</v>
      </c>
      <c r="C102" s="490" t="str">
        <f aca="false">TEXT(B102,"aaa")</f>
        <v>Wed</v>
      </c>
      <c r="D102" s="507"/>
      <c r="E102" s="507"/>
      <c r="F102" s="507"/>
    </row>
    <row r="103" customFormat="false" ht="18.75" hidden="false" customHeight="true" outlineLevel="0" collapsed="false">
      <c r="B103" s="490" t="n">
        <f aca="false">B102+1</f>
        <v>46030</v>
      </c>
      <c r="C103" s="490" t="str">
        <f aca="false">TEXT(B103,"aaa")</f>
        <v>Thu</v>
      </c>
      <c r="D103" s="507"/>
      <c r="E103" s="507"/>
      <c r="F103" s="507"/>
    </row>
    <row r="104" customFormat="false" ht="18.75" hidden="false" customHeight="true" outlineLevel="0" collapsed="false">
      <c r="B104" s="490" t="n">
        <f aca="false">B103+1</f>
        <v>46031</v>
      </c>
      <c r="C104" s="490" t="str">
        <f aca="false">TEXT(B104,"aaa")</f>
        <v>Fri</v>
      </c>
      <c r="D104" s="507"/>
      <c r="E104" s="507"/>
      <c r="F104" s="507"/>
    </row>
    <row r="105" customFormat="false" ht="18.75" hidden="false" customHeight="true" outlineLevel="0" collapsed="false">
      <c r="B105" s="510" t="n">
        <f aca="false">B104+1</f>
        <v>46032</v>
      </c>
      <c r="C105" s="510" t="str">
        <f aca="false">TEXT(B105,"aaa")</f>
        <v>Sat</v>
      </c>
      <c r="D105" s="507"/>
      <c r="E105" s="507"/>
      <c r="F105" s="507"/>
    </row>
    <row r="106" customFormat="false" ht="18.75" hidden="false" customHeight="true" outlineLevel="0" collapsed="false">
      <c r="B106" s="511" t="n">
        <f aca="false">B105+1</f>
        <v>46033</v>
      </c>
      <c r="C106" s="511" t="str">
        <f aca="false">TEXT(B106,"aaa")</f>
        <v>Sun</v>
      </c>
      <c r="D106" s="507"/>
      <c r="E106" s="507"/>
      <c r="F106" s="507"/>
    </row>
    <row r="107" customFormat="false" ht="18.75" hidden="false" customHeight="true" outlineLevel="0" collapsed="false">
      <c r="B107" s="490" t="n">
        <f aca="false">B106+1</f>
        <v>46034</v>
      </c>
      <c r="C107" s="490" t="str">
        <f aca="false">TEXT(B107,"aaa")</f>
        <v>Mon</v>
      </c>
      <c r="D107" s="507"/>
      <c r="E107" s="507"/>
      <c r="F107" s="507"/>
    </row>
    <row r="108" customFormat="false" ht="18.75" hidden="false" customHeight="true" outlineLevel="0" collapsed="false">
      <c r="B108" s="490" t="n">
        <f aca="false">B107+1</f>
        <v>46035</v>
      </c>
      <c r="C108" s="490" t="str">
        <f aca="false">TEXT(B108,"aaa")</f>
        <v>Tue</v>
      </c>
      <c r="D108" s="507"/>
      <c r="E108" s="507"/>
      <c r="F108" s="507"/>
    </row>
    <row r="109" customFormat="false" ht="18.75" hidden="false" customHeight="true" outlineLevel="0" collapsed="false">
      <c r="B109" s="490" t="n">
        <f aca="false">B108+1</f>
        <v>46036</v>
      </c>
      <c r="C109" s="490" t="str">
        <f aca="false">TEXT(B109,"aaa")</f>
        <v>Wed</v>
      </c>
      <c r="D109" s="507"/>
      <c r="E109" s="507"/>
      <c r="F109" s="507"/>
    </row>
    <row r="110" customFormat="false" ht="18.75" hidden="false" customHeight="true" outlineLevel="0" collapsed="false">
      <c r="B110" s="490" t="n">
        <f aca="false">B109+1</f>
        <v>46037</v>
      </c>
      <c r="C110" s="490" t="str">
        <f aca="false">TEXT(B110,"aaa")</f>
        <v>Thu</v>
      </c>
      <c r="D110" s="507"/>
      <c r="E110" s="507"/>
      <c r="F110" s="507"/>
    </row>
    <row r="111" customFormat="false" ht="18.75" hidden="false" customHeight="true" outlineLevel="0" collapsed="false">
      <c r="B111" s="490" t="n">
        <f aca="false">B110+1</f>
        <v>46038</v>
      </c>
      <c r="C111" s="490" t="str">
        <f aca="false">TEXT(B111,"aaa")</f>
        <v>Fri</v>
      </c>
      <c r="D111" s="507"/>
      <c r="E111" s="507"/>
      <c r="F111" s="507"/>
    </row>
    <row r="112" customFormat="false" ht="18.75" hidden="false" customHeight="true" outlineLevel="0" collapsed="false">
      <c r="B112" s="510" t="n">
        <f aca="false">B111+1</f>
        <v>46039</v>
      </c>
      <c r="C112" s="510" t="str">
        <f aca="false">TEXT(B112,"aaa")</f>
        <v>Sat</v>
      </c>
      <c r="D112" s="507"/>
      <c r="E112" s="507"/>
      <c r="F112" s="507"/>
    </row>
    <row r="113" customFormat="false" ht="18.75" hidden="false" customHeight="true" outlineLevel="0" collapsed="false">
      <c r="B113" s="511" t="n">
        <f aca="false">B112+1</f>
        <v>46040</v>
      </c>
      <c r="C113" s="511" t="str">
        <f aca="false">TEXT(B113,"aaa")</f>
        <v>Sun</v>
      </c>
      <c r="D113" s="507"/>
      <c r="E113" s="507"/>
      <c r="F113" s="507"/>
    </row>
    <row r="114" customFormat="false" ht="18.75" hidden="false" customHeight="true" outlineLevel="0" collapsed="false">
      <c r="B114" s="490" t="n">
        <f aca="false">B113+1</f>
        <v>46041</v>
      </c>
      <c r="C114" s="490" t="str">
        <f aca="false">TEXT(B114,"aaa")</f>
        <v>Mon</v>
      </c>
      <c r="D114" s="507"/>
      <c r="E114" s="507"/>
      <c r="F114" s="507"/>
    </row>
    <row r="115" customFormat="false" ht="18.75" hidden="false" customHeight="true" outlineLevel="0" collapsed="false">
      <c r="B115" s="490" t="n">
        <f aca="false">B114+1</f>
        <v>46042</v>
      </c>
      <c r="C115" s="490" t="str">
        <f aca="false">TEXT(B115,"aaa")</f>
        <v>Tue</v>
      </c>
      <c r="D115" s="507"/>
      <c r="E115" s="507"/>
      <c r="F115" s="507"/>
    </row>
    <row r="116" customFormat="false" ht="18.75" hidden="false" customHeight="true" outlineLevel="0" collapsed="false">
      <c r="B116" s="490" t="n">
        <f aca="false">B115+1</f>
        <v>46043</v>
      </c>
      <c r="C116" s="490" t="str">
        <f aca="false">TEXT(B116,"aaa")</f>
        <v>Wed</v>
      </c>
      <c r="D116" s="507"/>
      <c r="E116" s="507"/>
      <c r="F116" s="507"/>
    </row>
    <row r="117" customFormat="false" ht="18.75" hidden="false" customHeight="true" outlineLevel="0" collapsed="false">
      <c r="B117" s="490" t="n">
        <f aca="false">B116+1</f>
        <v>46044</v>
      </c>
      <c r="C117" s="490" t="str">
        <f aca="false">TEXT(B117,"aaa")</f>
        <v>Thu</v>
      </c>
      <c r="D117" s="507"/>
      <c r="E117" s="507"/>
      <c r="F117" s="507"/>
    </row>
    <row r="118" customFormat="false" ht="18.75" hidden="false" customHeight="true" outlineLevel="0" collapsed="false">
      <c r="B118" s="490" t="n">
        <f aca="false">B117+1</f>
        <v>46045</v>
      </c>
      <c r="C118" s="490" t="str">
        <f aca="false">TEXT(B118,"aaa")</f>
        <v>Fri</v>
      </c>
      <c r="D118" s="507"/>
      <c r="E118" s="507"/>
      <c r="F118" s="507"/>
    </row>
    <row r="119" customFormat="false" ht="18.75" hidden="false" customHeight="true" outlineLevel="0" collapsed="false">
      <c r="B119" s="510" t="n">
        <f aca="false">B118+1</f>
        <v>46046</v>
      </c>
      <c r="C119" s="510" t="str">
        <f aca="false">TEXT(B119,"aaa")</f>
        <v>Sat</v>
      </c>
      <c r="D119" s="507"/>
      <c r="E119" s="507"/>
      <c r="F119" s="507"/>
    </row>
    <row r="120" customFormat="false" ht="18.75" hidden="false" customHeight="true" outlineLevel="0" collapsed="false">
      <c r="B120" s="511" t="n">
        <f aca="false">B119+1</f>
        <v>46047</v>
      </c>
      <c r="C120" s="511" t="str">
        <f aca="false">TEXT(B120,"aaa")</f>
        <v>Sun</v>
      </c>
      <c r="D120" s="507"/>
      <c r="E120" s="507"/>
      <c r="F120" s="507"/>
    </row>
    <row r="121" customFormat="false" ht="18.75" hidden="false" customHeight="true" outlineLevel="0" collapsed="false">
      <c r="B121" s="490" t="n">
        <f aca="false">B120+1</f>
        <v>46048</v>
      </c>
      <c r="C121" s="490" t="str">
        <f aca="false">TEXT(B121,"aaa")</f>
        <v>Mon</v>
      </c>
      <c r="D121" s="507"/>
      <c r="E121" s="507"/>
      <c r="F121" s="507"/>
    </row>
    <row r="122" customFormat="false" ht="18.75" hidden="false" customHeight="true" outlineLevel="0" collapsed="false">
      <c r="B122" s="490" t="n">
        <f aca="false">B121+1</f>
        <v>46049</v>
      </c>
      <c r="C122" s="490" t="str">
        <f aca="false">TEXT(B122,"aaa")</f>
        <v>Tue</v>
      </c>
      <c r="D122" s="507"/>
      <c r="E122" s="507"/>
      <c r="F122" s="507"/>
    </row>
    <row r="123" customFormat="false" ht="18.75" hidden="false" customHeight="true" outlineLevel="0" collapsed="false">
      <c r="B123" s="490" t="n">
        <f aca="false">B122+1</f>
        <v>46050</v>
      </c>
      <c r="C123" s="490" t="str">
        <f aca="false">TEXT(B123,"aaa")</f>
        <v>Wed</v>
      </c>
      <c r="D123" s="507"/>
      <c r="E123" s="507"/>
      <c r="F123" s="507"/>
    </row>
    <row r="124" customFormat="false" ht="18.75" hidden="false" customHeight="true" outlineLevel="0" collapsed="false">
      <c r="B124" s="490" t="n">
        <f aca="false">B123+1</f>
        <v>46051</v>
      </c>
      <c r="C124" s="490" t="str">
        <f aca="false">TEXT(B124,"aaa")</f>
        <v>Thu</v>
      </c>
      <c r="D124" s="507"/>
      <c r="E124" s="507"/>
      <c r="F124" s="507"/>
    </row>
    <row r="125" customFormat="false" ht="18.75" hidden="false" customHeight="true" outlineLevel="0" collapsed="false">
      <c r="B125" s="490" t="n">
        <f aca="false">B124+1</f>
        <v>46052</v>
      </c>
      <c r="C125" s="490" t="str">
        <f aca="false">TEXT(B125,"aaa")</f>
        <v>Fri</v>
      </c>
      <c r="D125" s="507"/>
      <c r="E125" s="507"/>
      <c r="F125" s="507"/>
    </row>
    <row r="126" customFormat="false" ht="18.75" hidden="false" customHeight="true" outlineLevel="0" collapsed="false">
      <c r="B126" s="510" t="n">
        <f aca="false">B125+1</f>
        <v>46053</v>
      </c>
      <c r="C126" s="510" t="str">
        <f aca="false">TEXT(B126,"aaa")</f>
        <v>Sat</v>
      </c>
      <c r="D126" s="507"/>
      <c r="E126" s="507"/>
      <c r="F126" s="507"/>
    </row>
    <row r="127" customFormat="false" ht="18.75" hidden="false" customHeight="true" outlineLevel="0" collapsed="false">
      <c r="B127" s="511" t="n">
        <f aca="false">B126+1</f>
        <v>46054</v>
      </c>
      <c r="C127" s="511" t="str">
        <f aca="false">TEXT(B127,"aaa")</f>
        <v>Sun</v>
      </c>
      <c r="D127" s="507"/>
      <c r="E127" s="507"/>
      <c r="F127" s="507"/>
    </row>
    <row r="128" customFormat="false" ht="18.75" hidden="false" customHeight="true" outlineLevel="0" collapsed="false">
      <c r="B128" s="490" t="n">
        <f aca="false">B127+1</f>
        <v>46055</v>
      </c>
      <c r="C128" s="490" t="str">
        <f aca="false">TEXT(B128,"aaa")</f>
        <v>Mon</v>
      </c>
      <c r="D128" s="507"/>
      <c r="E128" s="507"/>
      <c r="F128" s="507"/>
    </row>
    <row r="129" customFormat="false" ht="18.75" hidden="false" customHeight="true" outlineLevel="0" collapsed="false">
      <c r="B129" s="490" t="n">
        <f aca="false">B128+1</f>
        <v>46056</v>
      </c>
      <c r="C129" s="490" t="str">
        <f aca="false">TEXT(B129,"aaa")</f>
        <v>Tue</v>
      </c>
      <c r="D129" s="507"/>
      <c r="E129" s="507"/>
      <c r="F129" s="507"/>
    </row>
    <row r="130" customFormat="false" ht="18.75" hidden="false" customHeight="true" outlineLevel="0" collapsed="false">
      <c r="B130" s="490" t="n">
        <f aca="false">B129+1</f>
        <v>46057</v>
      </c>
      <c r="C130" s="490" t="str">
        <f aca="false">TEXT(B130,"aaa")</f>
        <v>Wed</v>
      </c>
      <c r="D130" s="507"/>
      <c r="E130" s="507"/>
      <c r="F130" s="507"/>
    </row>
    <row r="131" customFormat="false" ht="18.75" hidden="false" customHeight="true" outlineLevel="0" collapsed="false">
      <c r="B131" s="490" t="n">
        <f aca="false">B130+1</f>
        <v>46058</v>
      </c>
      <c r="C131" s="490" t="str">
        <f aca="false">TEXT(B131,"aaa")</f>
        <v>Thu</v>
      </c>
      <c r="D131" s="507"/>
      <c r="E131" s="507"/>
      <c r="F131" s="507"/>
    </row>
    <row r="132" customFormat="false" ht="18.75" hidden="false" customHeight="true" outlineLevel="0" collapsed="false">
      <c r="B132" s="490" t="n">
        <f aca="false">B131+1</f>
        <v>46059</v>
      </c>
      <c r="C132" s="490" t="str">
        <f aca="false">TEXT(B132,"aaa")</f>
        <v>Fri</v>
      </c>
      <c r="D132" s="507"/>
      <c r="E132" s="507"/>
      <c r="F132" s="507"/>
    </row>
    <row r="133" customFormat="false" ht="18.75" hidden="false" customHeight="true" outlineLevel="0" collapsed="false">
      <c r="B133" s="510" t="n">
        <f aca="false">B132+1</f>
        <v>46060</v>
      </c>
      <c r="C133" s="510" t="str">
        <f aca="false">TEXT(B133,"aaa")</f>
        <v>Sat</v>
      </c>
      <c r="D133" s="507"/>
      <c r="E133" s="507"/>
      <c r="F133" s="507"/>
    </row>
    <row r="134" customFormat="false" ht="18.75" hidden="false" customHeight="true" outlineLevel="0" collapsed="false">
      <c r="B134" s="511" t="n">
        <f aca="false">B133+1</f>
        <v>46061</v>
      </c>
      <c r="C134" s="511" t="str">
        <f aca="false">TEXT(B134,"aaa")</f>
        <v>Sun</v>
      </c>
      <c r="D134" s="507"/>
      <c r="E134" s="507"/>
      <c r="F134" s="507"/>
    </row>
    <row r="135" customFormat="false" ht="18.75" hidden="false" customHeight="true" outlineLevel="0" collapsed="false">
      <c r="B135" s="490" t="n">
        <f aca="false">B134+1</f>
        <v>46062</v>
      </c>
      <c r="C135" s="490" t="str">
        <f aca="false">TEXT(B135,"aaa")</f>
        <v>Mon</v>
      </c>
      <c r="D135" s="507"/>
      <c r="E135" s="507"/>
      <c r="F135" s="507"/>
    </row>
    <row r="136" customFormat="false" ht="18.75" hidden="false" customHeight="true" outlineLevel="0" collapsed="false">
      <c r="B136" s="490" t="n">
        <f aca="false">B135+1</f>
        <v>46063</v>
      </c>
      <c r="C136" s="490" t="str">
        <f aca="false">TEXT(B136,"aaa")</f>
        <v>Tue</v>
      </c>
      <c r="D136" s="507"/>
      <c r="E136" s="507"/>
      <c r="F136" s="507"/>
    </row>
    <row r="137" customFormat="false" ht="18.75" hidden="false" customHeight="true" outlineLevel="0" collapsed="false">
      <c r="B137" s="512" t="n">
        <f aca="false">B136+1</f>
        <v>46064</v>
      </c>
      <c r="C137" s="512" t="str">
        <f aca="false">TEXT(B137,"aaa")</f>
        <v>Wed</v>
      </c>
      <c r="D137" s="507"/>
      <c r="E137" s="507"/>
      <c r="F137" s="507"/>
    </row>
    <row r="138" customFormat="false" ht="18.75" hidden="false" customHeight="true" outlineLevel="0" collapsed="false">
      <c r="B138" s="490" t="n">
        <f aca="false">B137+1</f>
        <v>46065</v>
      </c>
      <c r="C138" s="490" t="str">
        <f aca="false">TEXT(B138,"aaa")</f>
        <v>Thu</v>
      </c>
      <c r="D138" s="507"/>
      <c r="E138" s="507"/>
      <c r="F138" s="507"/>
    </row>
    <row r="139" customFormat="false" ht="18.75" hidden="false" customHeight="true" outlineLevel="0" collapsed="false">
      <c r="B139" s="490" t="n">
        <f aca="false">B138+1</f>
        <v>46066</v>
      </c>
      <c r="C139" s="490" t="str">
        <f aca="false">TEXT(B139,"aaa")</f>
        <v>Fri</v>
      </c>
      <c r="D139" s="507"/>
      <c r="E139" s="507"/>
      <c r="F139" s="507"/>
    </row>
    <row r="140" customFormat="false" ht="18.75" hidden="false" customHeight="true" outlineLevel="0" collapsed="false">
      <c r="B140" s="510" t="n">
        <f aca="false">B139+1</f>
        <v>46067</v>
      </c>
      <c r="C140" s="510" t="str">
        <f aca="false">TEXT(B140,"aaa")</f>
        <v>Sat</v>
      </c>
      <c r="D140" s="507"/>
      <c r="E140" s="507"/>
      <c r="F140" s="507"/>
    </row>
    <row r="141" customFormat="false" ht="18.75" hidden="false" customHeight="true" outlineLevel="0" collapsed="false">
      <c r="B141" s="511" t="n">
        <f aca="false">B140+1</f>
        <v>46068</v>
      </c>
      <c r="C141" s="511" t="str">
        <f aca="false">TEXT(B141,"aaa")</f>
        <v>Sun</v>
      </c>
      <c r="D141" s="507"/>
      <c r="E141" s="507"/>
      <c r="F141" s="507"/>
    </row>
    <row r="142" customFormat="false" ht="18.75" hidden="false" customHeight="true" outlineLevel="0" collapsed="false">
      <c r="B142" s="490" t="n">
        <f aca="false">B141+1</f>
        <v>46069</v>
      </c>
      <c r="C142" s="490" t="str">
        <f aca="false">TEXT(B142,"aaa")</f>
        <v>Mon</v>
      </c>
      <c r="D142" s="507"/>
      <c r="E142" s="507"/>
      <c r="F142" s="507"/>
    </row>
    <row r="143" customFormat="false" ht="18.75" hidden="false" customHeight="true" outlineLevel="0" collapsed="false">
      <c r="B143" s="490" t="n">
        <f aca="false">B142+1</f>
        <v>46070</v>
      </c>
      <c r="C143" s="490" t="str">
        <f aca="false">TEXT(B143,"aaa")</f>
        <v>Tue</v>
      </c>
      <c r="D143" s="507"/>
      <c r="E143" s="507"/>
      <c r="F143" s="507"/>
    </row>
    <row r="144" customFormat="false" ht="18.75" hidden="false" customHeight="true" outlineLevel="0" collapsed="false">
      <c r="B144" s="490" t="n">
        <f aca="false">B143+1</f>
        <v>46071</v>
      </c>
      <c r="C144" s="490" t="str">
        <f aca="false">TEXT(B144,"aaa")</f>
        <v>Wed</v>
      </c>
      <c r="D144" s="507"/>
      <c r="E144" s="507"/>
      <c r="F144" s="507"/>
    </row>
    <row r="145" customFormat="false" ht="18.75" hidden="false" customHeight="true" outlineLevel="0" collapsed="false">
      <c r="B145" s="490" t="n">
        <f aca="false">B144+1</f>
        <v>46072</v>
      </c>
      <c r="C145" s="490" t="str">
        <f aca="false">TEXT(B145,"aaa")</f>
        <v>Thu</v>
      </c>
      <c r="D145" s="507"/>
      <c r="E145" s="507"/>
      <c r="F145" s="507"/>
    </row>
    <row r="146" customFormat="false" ht="18.75" hidden="false" customHeight="true" outlineLevel="0" collapsed="false">
      <c r="B146" s="490" t="n">
        <f aca="false">B145+1</f>
        <v>46073</v>
      </c>
      <c r="C146" s="490" t="str">
        <f aca="false">TEXT(B146,"aaa")</f>
        <v>Fri</v>
      </c>
      <c r="D146" s="507"/>
      <c r="E146" s="507"/>
      <c r="F146" s="507"/>
    </row>
    <row r="147" customFormat="false" ht="18.75" hidden="false" customHeight="true" outlineLevel="0" collapsed="false">
      <c r="B147" s="510" t="n">
        <f aca="false">B146+1</f>
        <v>46074</v>
      </c>
      <c r="C147" s="510" t="str">
        <f aca="false">TEXT(B147,"aaa")</f>
        <v>Sat</v>
      </c>
      <c r="D147" s="507"/>
      <c r="E147" s="507"/>
      <c r="F147" s="507"/>
    </row>
    <row r="148" customFormat="false" ht="18.75" hidden="false" customHeight="true" outlineLevel="0" collapsed="false">
      <c r="B148" s="511" t="n">
        <f aca="false">B147+1</f>
        <v>46075</v>
      </c>
      <c r="C148" s="511" t="str">
        <f aca="false">TEXT(B148,"aaa")</f>
        <v>Sun</v>
      </c>
      <c r="D148" s="507"/>
      <c r="E148" s="507"/>
      <c r="F148" s="507"/>
    </row>
    <row r="149" customFormat="false" ht="18.75" hidden="false" customHeight="true" outlineLevel="0" collapsed="false">
      <c r="B149" s="512" t="n">
        <f aca="false">B148+1</f>
        <v>46076</v>
      </c>
      <c r="C149" s="512" t="str">
        <f aca="false">TEXT(B149,"aaa")</f>
        <v>Mon</v>
      </c>
      <c r="D149" s="507"/>
      <c r="E149" s="507"/>
      <c r="F149" s="507"/>
    </row>
    <row r="150" customFormat="false" ht="18.75" hidden="false" customHeight="true" outlineLevel="0" collapsed="false">
      <c r="B150" s="490" t="n">
        <f aca="false">B149+1</f>
        <v>46077</v>
      </c>
      <c r="C150" s="490" t="str">
        <f aca="false">TEXT(B150,"aaa")</f>
        <v>Tue</v>
      </c>
      <c r="D150" s="507"/>
      <c r="E150" s="507"/>
      <c r="F150" s="507"/>
    </row>
    <row r="151" customFormat="false" ht="18.75" hidden="false" customHeight="true" outlineLevel="0" collapsed="false">
      <c r="B151" s="490" t="n">
        <f aca="false">B150+1</f>
        <v>46078</v>
      </c>
      <c r="C151" s="490" t="str">
        <f aca="false">TEXT(B151,"aaa")</f>
        <v>Wed</v>
      </c>
      <c r="D151" s="507"/>
      <c r="E151" s="507"/>
      <c r="F151" s="507"/>
    </row>
    <row r="152" customFormat="false" ht="18.75" hidden="false" customHeight="true" outlineLevel="0" collapsed="false">
      <c r="B152" s="490" t="n">
        <f aca="false">B151+1</f>
        <v>46079</v>
      </c>
      <c r="C152" s="490" t="str">
        <f aca="false">TEXT(B152,"aaa")</f>
        <v>Thu</v>
      </c>
      <c r="D152" s="507"/>
      <c r="E152" s="507"/>
      <c r="F152" s="507"/>
    </row>
    <row r="153" customFormat="false" ht="18.75" hidden="false" customHeight="true" outlineLevel="0" collapsed="false">
      <c r="B153" s="490" t="n">
        <f aca="false">B152+1</f>
        <v>46080</v>
      </c>
      <c r="C153" s="490" t="str">
        <f aca="false">TEXT(B153,"aaa")</f>
        <v>Fri</v>
      </c>
      <c r="D153" s="507"/>
      <c r="E153" s="507"/>
      <c r="F153" s="507"/>
    </row>
    <row r="154" customFormat="false" ht="18.75" hidden="false" customHeight="true" outlineLevel="0" collapsed="false">
      <c r="B154" s="510" t="n">
        <f aca="false">B153+1</f>
        <v>46081</v>
      </c>
      <c r="C154" s="510" t="str">
        <f aca="false">TEXT(B154,"aaa")</f>
        <v>Sat</v>
      </c>
      <c r="D154" s="507"/>
      <c r="E154" s="507"/>
      <c r="F154" s="507"/>
    </row>
    <row r="155" customFormat="false" ht="18.75" hidden="false" customHeight="true" outlineLevel="0" collapsed="false">
      <c r="B155" s="511" t="n">
        <f aca="false">B154+1</f>
        <v>46082</v>
      </c>
      <c r="C155" s="511" t="str">
        <f aca="false">TEXT(B155,"aaa")</f>
        <v>Sun</v>
      </c>
      <c r="D155" s="507"/>
      <c r="E155" s="507"/>
      <c r="F155" s="507"/>
    </row>
    <row r="156" customFormat="false" ht="18.75" hidden="false" customHeight="true" outlineLevel="0" collapsed="false">
      <c r="B156" s="490" t="n">
        <f aca="false">B155+1</f>
        <v>46083</v>
      </c>
      <c r="C156" s="490" t="str">
        <f aca="false">TEXT(B156,"aaa")</f>
        <v>Mon</v>
      </c>
      <c r="D156" s="507"/>
      <c r="E156" s="507"/>
      <c r="F156" s="507"/>
    </row>
    <row r="157" customFormat="false" ht="18.75" hidden="false" customHeight="true" outlineLevel="0" collapsed="false">
      <c r="B157" s="490" t="n">
        <f aca="false">B156+1</f>
        <v>46084</v>
      </c>
      <c r="C157" s="490" t="str">
        <f aca="false">TEXT(B157,"aaa")</f>
        <v>Tue</v>
      </c>
      <c r="D157" s="507"/>
      <c r="E157" s="507"/>
      <c r="F157" s="507"/>
    </row>
    <row r="158" customFormat="false" ht="18.75" hidden="false" customHeight="true" outlineLevel="0" collapsed="false">
      <c r="B158" s="490" t="n">
        <f aca="false">B157+1</f>
        <v>46085</v>
      </c>
      <c r="C158" s="490" t="str">
        <f aca="false">TEXT(B158,"aaa")</f>
        <v>Wed</v>
      </c>
      <c r="D158" s="507"/>
      <c r="E158" s="507"/>
      <c r="F158" s="507"/>
    </row>
    <row r="159" customFormat="false" ht="18.75" hidden="false" customHeight="true" outlineLevel="0" collapsed="false">
      <c r="B159" s="490" t="n">
        <f aca="false">B158+1</f>
        <v>46086</v>
      </c>
      <c r="C159" s="490" t="str">
        <f aca="false">TEXT(B159,"aaa")</f>
        <v>Thu</v>
      </c>
      <c r="D159" s="507"/>
      <c r="E159" s="507"/>
      <c r="F159" s="507"/>
    </row>
    <row r="160" customFormat="false" ht="18.75" hidden="false" customHeight="true" outlineLevel="0" collapsed="false">
      <c r="B160" s="490" t="n">
        <f aca="false">B159+1</f>
        <v>46087</v>
      </c>
      <c r="C160" s="490" t="str">
        <f aca="false">TEXT(B160,"aaa")</f>
        <v>Fri</v>
      </c>
      <c r="D160" s="507"/>
      <c r="E160" s="507"/>
      <c r="F160" s="507"/>
    </row>
    <row r="161" customFormat="false" ht="18.75" hidden="false" customHeight="true" outlineLevel="0" collapsed="false">
      <c r="B161" s="510" t="n">
        <f aca="false">B160+1</f>
        <v>46088</v>
      </c>
      <c r="C161" s="510" t="str">
        <f aca="false">TEXT(B161,"aaa")</f>
        <v>Sat</v>
      </c>
      <c r="D161" s="507"/>
      <c r="E161" s="507"/>
      <c r="F161" s="507"/>
    </row>
    <row r="162" customFormat="false" ht="18.75" hidden="false" customHeight="true" outlineLevel="0" collapsed="false">
      <c r="B162" s="511" t="n">
        <f aca="false">B161+1</f>
        <v>46089</v>
      </c>
      <c r="C162" s="511" t="str">
        <f aca="false">TEXT(B162,"aaa")</f>
        <v>Sun</v>
      </c>
      <c r="D162" s="507"/>
      <c r="E162" s="507"/>
      <c r="F162" s="507"/>
    </row>
    <row r="163" customFormat="false" ht="18.75" hidden="false" customHeight="true" outlineLevel="0" collapsed="false">
      <c r="B163" s="490" t="n">
        <f aca="false">B162+1</f>
        <v>46090</v>
      </c>
      <c r="C163" s="490" t="str">
        <f aca="false">TEXT(B163,"aaa")</f>
        <v>Mon</v>
      </c>
      <c r="D163" s="507"/>
      <c r="E163" s="507"/>
      <c r="F163" s="507"/>
    </row>
    <row r="164" customFormat="false" ht="18.75" hidden="false" customHeight="true" outlineLevel="0" collapsed="false">
      <c r="B164" s="490" t="n">
        <f aca="false">B163+1</f>
        <v>46091</v>
      </c>
      <c r="C164" s="490" t="str">
        <f aca="false">TEXT(B164,"aaa")</f>
        <v>Tue</v>
      </c>
      <c r="D164" s="507"/>
      <c r="E164" s="507"/>
      <c r="F164" s="507"/>
    </row>
    <row r="165" customFormat="false" ht="18.75" hidden="false" customHeight="true" outlineLevel="0" collapsed="false">
      <c r="B165" s="490" t="n">
        <f aca="false">B164+1</f>
        <v>46092</v>
      </c>
      <c r="C165" s="490" t="str">
        <f aca="false">TEXT(B165,"aaa")</f>
        <v>Wed</v>
      </c>
      <c r="D165" s="507"/>
      <c r="E165" s="507"/>
      <c r="F165" s="507"/>
    </row>
    <row r="166" customFormat="false" ht="18.75" hidden="false" customHeight="true" outlineLevel="0" collapsed="false">
      <c r="B166" s="490" t="n">
        <f aca="false">B165+1</f>
        <v>46093</v>
      </c>
      <c r="C166" s="490" t="str">
        <f aca="false">TEXT(B166,"aaa")</f>
        <v>Thu</v>
      </c>
      <c r="D166" s="507"/>
      <c r="E166" s="507"/>
      <c r="F166" s="507"/>
    </row>
    <row r="167" customFormat="false" ht="18.75" hidden="false" customHeight="true" outlineLevel="0" collapsed="false">
      <c r="B167" s="490" t="n">
        <f aca="false">B166+1</f>
        <v>46094</v>
      </c>
      <c r="C167" s="490" t="str">
        <f aca="false">TEXT(B167,"aaa")</f>
        <v>Fri</v>
      </c>
      <c r="D167" s="507"/>
      <c r="E167" s="507"/>
      <c r="F167" s="507"/>
    </row>
    <row r="168" customFormat="false" ht="18.75" hidden="false" customHeight="true" outlineLevel="0" collapsed="false">
      <c r="B168" s="510" t="n">
        <f aca="false">B167+1</f>
        <v>46095</v>
      </c>
      <c r="C168" s="510" t="str">
        <f aca="false">TEXT(B168,"aaa")</f>
        <v>Sat</v>
      </c>
      <c r="D168" s="507"/>
      <c r="E168" s="507"/>
      <c r="F168" s="507"/>
    </row>
    <row r="169" customFormat="false" ht="18.75" hidden="false" customHeight="true" outlineLevel="0" collapsed="false">
      <c r="B169" s="511" t="n">
        <f aca="false">B168+1</f>
        <v>46096</v>
      </c>
      <c r="C169" s="511" t="str">
        <f aca="false">TEXT(B169,"aaa")</f>
        <v>Sun</v>
      </c>
      <c r="D169" s="507"/>
      <c r="E169" s="507"/>
      <c r="F169" s="507"/>
    </row>
    <row r="170" customFormat="false" ht="18.75" hidden="false" customHeight="true" outlineLevel="0" collapsed="false">
      <c r="B170" s="490" t="n">
        <f aca="false">B169+1</f>
        <v>46097</v>
      </c>
      <c r="C170" s="490" t="str">
        <f aca="false">TEXT(B170,"aaa")</f>
        <v>Mon</v>
      </c>
      <c r="D170" s="507"/>
      <c r="E170" s="507"/>
      <c r="F170" s="507"/>
    </row>
    <row r="171" customFormat="false" ht="18.75" hidden="false" customHeight="true" outlineLevel="0" collapsed="false">
      <c r="B171" s="490" t="n">
        <f aca="false">B170+1</f>
        <v>46098</v>
      </c>
      <c r="C171" s="490" t="str">
        <f aca="false">TEXT(B171,"aaa")</f>
        <v>Tue</v>
      </c>
      <c r="D171" s="507"/>
      <c r="E171" s="507"/>
      <c r="F171" s="507"/>
    </row>
    <row r="172" customFormat="false" ht="18.75" hidden="false" customHeight="true" outlineLevel="0" collapsed="false">
      <c r="B172" s="490" t="n">
        <f aca="false">B171+1</f>
        <v>46099</v>
      </c>
      <c r="C172" s="490" t="str">
        <f aca="false">TEXT(B172,"aaa")</f>
        <v>Wed</v>
      </c>
      <c r="D172" s="507"/>
      <c r="E172" s="507"/>
      <c r="F172" s="507"/>
    </row>
    <row r="173" customFormat="false" ht="18.75" hidden="false" customHeight="true" outlineLevel="0" collapsed="false">
      <c r="B173" s="490" t="n">
        <f aca="false">B172+1</f>
        <v>46100</v>
      </c>
      <c r="C173" s="490" t="str">
        <f aca="false">TEXT(B173,"aaa")</f>
        <v>Thu</v>
      </c>
      <c r="D173" s="507"/>
      <c r="E173" s="507"/>
      <c r="F173" s="507"/>
    </row>
    <row r="174" customFormat="false" ht="18.75" hidden="false" customHeight="true" outlineLevel="0" collapsed="false">
      <c r="B174" s="512" t="n">
        <f aca="false">B173+1</f>
        <v>46101</v>
      </c>
      <c r="C174" s="512" t="str">
        <f aca="false">TEXT(B174,"aaa")</f>
        <v>Fri</v>
      </c>
      <c r="D174" s="507"/>
      <c r="E174" s="507"/>
      <c r="F174" s="507"/>
    </row>
    <row r="175" customFormat="false" ht="18.75" hidden="false" customHeight="true" outlineLevel="0" collapsed="false">
      <c r="B175" s="510" t="n">
        <f aca="false">B174+1</f>
        <v>46102</v>
      </c>
      <c r="C175" s="510" t="str">
        <f aca="false">TEXT(B175,"aaa")</f>
        <v>Sat</v>
      </c>
      <c r="D175" s="507"/>
      <c r="E175" s="507"/>
      <c r="F175" s="507"/>
    </row>
    <row r="176" customFormat="false" ht="18.75" hidden="false" customHeight="true" outlineLevel="0" collapsed="false">
      <c r="B176" s="511" t="n">
        <f aca="false">B175+1</f>
        <v>46103</v>
      </c>
      <c r="C176" s="511" t="str">
        <f aca="false">TEXT(B176,"aaa")</f>
        <v>Sun</v>
      </c>
      <c r="D176" s="507"/>
      <c r="E176" s="507"/>
      <c r="F176" s="507"/>
    </row>
    <row r="177" customFormat="false" ht="18.75" hidden="false" customHeight="true" outlineLevel="0" collapsed="false">
      <c r="B177" s="490" t="n">
        <f aca="false">B176+1</f>
        <v>46104</v>
      </c>
      <c r="C177" s="490" t="str">
        <f aca="false">TEXT(B177,"aaa")</f>
        <v>Mon</v>
      </c>
      <c r="D177" s="507"/>
      <c r="E177" s="507"/>
      <c r="F177" s="507"/>
    </row>
    <row r="178" customFormat="false" ht="18.75" hidden="false" customHeight="true" outlineLevel="0" collapsed="false">
      <c r="B178" s="490" t="n">
        <f aca="false">B177+1</f>
        <v>46105</v>
      </c>
      <c r="C178" s="490" t="str">
        <f aca="false">TEXT(B178,"aaa")</f>
        <v>Tue</v>
      </c>
      <c r="D178" s="507"/>
      <c r="E178" s="507"/>
      <c r="F178" s="507"/>
    </row>
    <row r="179" customFormat="false" ht="18.75" hidden="false" customHeight="true" outlineLevel="0" collapsed="false">
      <c r="B179" s="490" t="n">
        <f aca="false">B178+1</f>
        <v>46106</v>
      </c>
      <c r="C179" s="490" t="str">
        <f aca="false">TEXT(B179,"aaa")</f>
        <v>Wed</v>
      </c>
      <c r="D179" s="507"/>
      <c r="E179" s="507"/>
      <c r="F179" s="507"/>
    </row>
    <row r="180" customFormat="false" ht="18.75" hidden="false" customHeight="true" outlineLevel="0" collapsed="false">
      <c r="B180" s="490" t="n">
        <f aca="false">B179+1</f>
        <v>46107</v>
      </c>
      <c r="C180" s="490" t="str">
        <f aca="false">TEXT(B180,"aaa")</f>
        <v>Thu</v>
      </c>
      <c r="D180" s="507"/>
      <c r="E180" s="507"/>
      <c r="F180" s="507"/>
    </row>
    <row r="181" customFormat="false" ht="18.75" hidden="false" customHeight="true" outlineLevel="0" collapsed="false">
      <c r="B181" s="490" t="n">
        <f aca="false">B180+1</f>
        <v>46108</v>
      </c>
      <c r="C181" s="490" t="str">
        <f aca="false">TEXT(B181,"aaa")</f>
        <v>Fri</v>
      </c>
      <c r="D181" s="507"/>
      <c r="E181" s="507"/>
      <c r="F181" s="507"/>
    </row>
    <row r="182" customFormat="false" ht="18.75" hidden="false" customHeight="true" outlineLevel="0" collapsed="false">
      <c r="B182" s="510" t="n">
        <f aca="false">B181+1</f>
        <v>46109</v>
      </c>
      <c r="C182" s="510" t="str">
        <f aca="false">TEXT(B182,"aaa")</f>
        <v>Sat</v>
      </c>
      <c r="D182" s="507"/>
      <c r="E182" s="507"/>
      <c r="F182" s="507"/>
    </row>
    <row r="183" customFormat="false" ht="18.75" hidden="false" customHeight="true" outlineLevel="0" collapsed="false">
      <c r="B183" s="511" t="n">
        <f aca="false">B182+1</f>
        <v>46110</v>
      </c>
      <c r="C183" s="511" t="str">
        <f aca="false">TEXT(B183,"aaa")</f>
        <v>Sun</v>
      </c>
      <c r="D183" s="507"/>
      <c r="E183" s="507"/>
      <c r="F183" s="507"/>
    </row>
    <row r="184" customFormat="false" ht="18.75" hidden="false" customHeight="true" outlineLevel="0" collapsed="false">
      <c r="B184" s="490" t="n">
        <f aca="false">B183+1</f>
        <v>46111</v>
      </c>
      <c r="C184" s="490" t="str">
        <f aca="false">TEXT(B184,"aaa")</f>
        <v>Mon</v>
      </c>
      <c r="D184" s="507"/>
      <c r="E184" s="507"/>
      <c r="F184" s="507"/>
    </row>
    <row r="185" customFormat="false" ht="18.75" hidden="false" customHeight="true" outlineLevel="0" collapsed="false">
      <c r="B185" s="490" t="n">
        <f aca="false">B184+1</f>
        <v>46112</v>
      </c>
      <c r="C185" s="490" t="str">
        <f aca="false">TEXT(B185,"aaa")</f>
        <v>Tue</v>
      </c>
      <c r="D185" s="507"/>
      <c r="E185" s="507"/>
      <c r="F185" s="507"/>
    </row>
    <row r="186" customFormat="false" ht="18.75" hidden="false" customHeight="true" outlineLevel="0" collapsed="false">
      <c r="B186" s="490" t="n">
        <f aca="false">B185+1</f>
        <v>46113</v>
      </c>
      <c r="C186" s="490" t="str">
        <f aca="false">TEXT(B186,"aaa")</f>
        <v>Wed</v>
      </c>
      <c r="D186" s="507"/>
      <c r="E186" s="507"/>
      <c r="F186" s="507"/>
    </row>
    <row r="187" customFormat="false" ht="18.75" hidden="false" customHeight="true" outlineLevel="0" collapsed="false">
      <c r="B187" s="490" t="n">
        <f aca="false">B186+1</f>
        <v>46114</v>
      </c>
      <c r="C187" s="490" t="str">
        <f aca="false">TEXT(B187,"aaa")</f>
        <v>Thu</v>
      </c>
      <c r="D187" s="507"/>
      <c r="E187" s="507"/>
      <c r="F187" s="507"/>
    </row>
    <row r="188" customFormat="false" ht="18.75" hidden="false" customHeight="true" outlineLevel="0" collapsed="false">
      <c r="B188" s="490" t="n">
        <f aca="false">B187+1</f>
        <v>46115</v>
      </c>
      <c r="C188" s="490" t="str">
        <f aca="false">TEXT(B188,"aaa")</f>
        <v>Fri</v>
      </c>
      <c r="D188" s="507"/>
      <c r="E188" s="507"/>
      <c r="F188" s="507"/>
    </row>
    <row r="189" customFormat="false" ht="18.75" hidden="false" customHeight="true" outlineLevel="0" collapsed="false">
      <c r="B189" s="510" t="n">
        <f aca="false">B188+1</f>
        <v>46116</v>
      </c>
      <c r="C189" s="510" t="str">
        <f aca="false">TEXT(B189,"aaa")</f>
        <v>Sat</v>
      </c>
      <c r="D189" s="507"/>
      <c r="E189" s="507"/>
      <c r="F189" s="507"/>
    </row>
    <row r="190" customFormat="false" ht="18.75" hidden="false" customHeight="true" outlineLevel="0" collapsed="false">
      <c r="B190" s="511" t="n">
        <f aca="false">B189+1</f>
        <v>46117</v>
      </c>
      <c r="C190" s="511" t="str">
        <f aca="false">TEXT(B190,"aaa")</f>
        <v>Sun</v>
      </c>
      <c r="D190" s="507"/>
      <c r="E190" s="507"/>
      <c r="F190" s="507"/>
    </row>
    <row r="191" customFormat="false" ht="18.75" hidden="false" customHeight="true" outlineLevel="0" collapsed="false">
      <c r="B191" s="490" t="n">
        <f aca="false">B190+1</f>
        <v>46118</v>
      </c>
      <c r="C191" s="490" t="str">
        <f aca="false">TEXT(B191,"aaa")</f>
        <v>Mon</v>
      </c>
      <c r="D191" s="507"/>
      <c r="E191" s="507"/>
      <c r="F191" s="507"/>
    </row>
    <row r="192" customFormat="false" ht="18.75" hidden="false" customHeight="true" outlineLevel="0" collapsed="false">
      <c r="B192" s="490" t="n">
        <f aca="false">B191+1</f>
        <v>46119</v>
      </c>
      <c r="C192" s="490" t="str">
        <f aca="false">TEXT(B192,"aaa")</f>
        <v>Tue</v>
      </c>
      <c r="D192" s="507"/>
      <c r="E192" s="507"/>
      <c r="F192" s="507"/>
    </row>
    <row r="193" customFormat="false" ht="18.75" hidden="false" customHeight="true" outlineLevel="0" collapsed="false">
      <c r="B193" s="490" t="n">
        <f aca="false">B192+1</f>
        <v>46120</v>
      </c>
      <c r="C193" s="490" t="str">
        <f aca="false">TEXT(B193,"aaa")</f>
        <v>Wed</v>
      </c>
      <c r="D193" s="507"/>
      <c r="E193" s="507"/>
      <c r="F193" s="507"/>
    </row>
    <row r="194" customFormat="false" ht="18.75" hidden="false" customHeight="true" outlineLevel="0" collapsed="false">
      <c r="B194" s="490" t="n">
        <f aca="false">B193+1</f>
        <v>46121</v>
      </c>
      <c r="C194" s="490" t="str">
        <f aca="false">TEXT(B194,"aaa")</f>
        <v>Thu</v>
      </c>
      <c r="D194" s="507"/>
      <c r="E194" s="507"/>
      <c r="F194" s="507"/>
    </row>
    <row r="195" customFormat="false" ht="18.75" hidden="false" customHeight="true" outlineLevel="0" collapsed="false">
      <c r="B195" s="490" t="n">
        <f aca="false">B194+1</f>
        <v>46122</v>
      </c>
      <c r="C195" s="490" t="str">
        <f aca="false">TEXT(B195,"aaa")</f>
        <v>Fri</v>
      </c>
      <c r="D195" s="507"/>
      <c r="E195" s="507"/>
      <c r="F195" s="507"/>
    </row>
    <row r="196" customFormat="false" ht="18.75" hidden="false" customHeight="true" outlineLevel="0" collapsed="false">
      <c r="B196" s="510" t="n">
        <f aca="false">B195+1</f>
        <v>46123</v>
      </c>
      <c r="C196" s="510" t="str">
        <f aca="false">TEXT(B196,"aaa")</f>
        <v>Sat</v>
      </c>
      <c r="D196" s="507"/>
      <c r="E196" s="507"/>
      <c r="F196" s="507"/>
    </row>
    <row r="197" customFormat="false" ht="18.75" hidden="false" customHeight="true" outlineLevel="0" collapsed="false">
      <c r="B197" s="511" t="n">
        <f aca="false">B196+1</f>
        <v>46124</v>
      </c>
      <c r="C197" s="511" t="str">
        <f aca="false">TEXT(B197,"aaa")</f>
        <v>Sun</v>
      </c>
      <c r="D197" s="507"/>
      <c r="E197" s="507"/>
      <c r="F197" s="507"/>
    </row>
    <row r="198" customFormat="false" ht="18.75" hidden="false" customHeight="true" outlineLevel="0" collapsed="false">
      <c r="B198" s="490" t="n">
        <f aca="false">B197+1</f>
        <v>46125</v>
      </c>
      <c r="C198" s="490" t="str">
        <f aca="false">TEXT(B198,"aaa")</f>
        <v>Mon</v>
      </c>
      <c r="D198" s="507"/>
      <c r="E198" s="507"/>
      <c r="F198" s="507"/>
    </row>
    <row r="199" customFormat="false" ht="18.75" hidden="false" customHeight="true" outlineLevel="0" collapsed="false">
      <c r="B199" s="490" t="n">
        <f aca="false">B198+1</f>
        <v>46126</v>
      </c>
      <c r="C199" s="490" t="str">
        <f aca="false">TEXT(B199,"aaa")</f>
        <v>Tue</v>
      </c>
      <c r="D199" s="507"/>
      <c r="E199" s="507"/>
      <c r="F199" s="507"/>
    </row>
    <row r="200" customFormat="false" ht="18.75" hidden="false" customHeight="true" outlineLevel="0" collapsed="false">
      <c r="B200" s="490" t="n">
        <f aca="false">B199+1</f>
        <v>46127</v>
      </c>
      <c r="C200" s="490" t="str">
        <f aca="false">TEXT(B200,"aaa")</f>
        <v>Wed</v>
      </c>
      <c r="D200" s="507"/>
      <c r="E200" s="507"/>
      <c r="F200" s="507"/>
    </row>
    <row r="201" customFormat="false" ht="18.75" hidden="false" customHeight="true" outlineLevel="0" collapsed="false">
      <c r="B201" s="490" t="n">
        <f aca="false">B200+1</f>
        <v>46128</v>
      </c>
      <c r="C201" s="490" t="str">
        <f aca="false">TEXT(B201,"aaa")</f>
        <v>Thu</v>
      </c>
      <c r="D201" s="507"/>
      <c r="E201" s="507"/>
      <c r="F201" s="507"/>
    </row>
    <row r="202" customFormat="false" ht="18.75" hidden="false" customHeight="true" outlineLevel="0" collapsed="false">
      <c r="B202" s="490" t="n">
        <f aca="false">B201+1</f>
        <v>46129</v>
      </c>
      <c r="C202" s="490" t="str">
        <f aca="false">TEXT(B202,"aaa")</f>
        <v>Fri</v>
      </c>
      <c r="D202" s="507"/>
      <c r="E202" s="507"/>
      <c r="F202" s="507"/>
    </row>
    <row r="203" customFormat="false" ht="18.75" hidden="false" customHeight="true" outlineLevel="0" collapsed="false">
      <c r="B203" s="510" t="n">
        <f aca="false">B202+1</f>
        <v>46130</v>
      </c>
      <c r="C203" s="510" t="str">
        <f aca="false">TEXT(B203,"aaa")</f>
        <v>Sat</v>
      </c>
      <c r="D203" s="507"/>
      <c r="E203" s="507"/>
      <c r="F203" s="507"/>
    </row>
    <row r="204" customFormat="false" ht="18.75" hidden="false" customHeight="true" outlineLevel="0" collapsed="false">
      <c r="B204" s="511" t="n">
        <f aca="false">B203+1</f>
        <v>46131</v>
      </c>
      <c r="C204" s="511" t="str">
        <f aca="false">TEXT(B204,"aaa")</f>
        <v>Sun</v>
      </c>
      <c r="D204" s="507"/>
      <c r="E204" s="507"/>
      <c r="F204" s="507"/>
    </row>
    <row r="205" customFormat="false" ht="18.75" hidden="false" customHeight="true" outlineLevel="0" collapsed="false">
      <c r="B205" s="490" t="n">
        <f aca="false">B204+1</f>
        <v>46132</v>
      </c>
      <c r="C205" s="490" t="str">
        <f aca="false">TEXT(B205,"aaa")</f>
        <v>Mon</v>
      </c>
      <c r="D205" s="507"/>
      <c r="E205" s="507"/>
      <c r="F205" s="507"/>
    </row>
    <row r="206" customFormat="false" ht="18.75" hidden="false" customHeight="true" outlineLevel="0" collapsed="false">
      <c r="B206" s="490" t="n">
        <f aca="false">B205+1</f>
        <v>46133</v>
      </c>
      <c r="C206" s="490" t="str">
        <f aca="false">TEXT(B206,"aaa")</f>
        <v>Tue</v>
      </c>
      <c r="D206" s="507"/>
      <c r="E206" s="507"/>
      <c r="F206" s="507"/>
    </row>
    <row r="207" customFormat="false" ht="18.75" hidden="false" customHeight="true" outlineLevel="0" collapsed="false">
      <c r="B207" s="490" t="n">
        <f aca="false">B206+1</f>
        <v>46134</v>
      </c>
      <c r="C207" s="490" t="str">
        <f aca="false">TEXT(B207,"aaa")</f>
        <v>Wed</v>
      </c>
      <c r="D207" s="507"/>
      <c r="E207" s="507"/>
      <c r="F207" s="507"/>
    </row>
    <row r="208" customFormat="false" ht="18.75" hidden="false" customHeight="true" outlineLevel="0" collapsed="false">
      <c r="B208" s="490" t="n">
        <f aca="false">B207+1</f>
        <v>46135</v>
      </c>
      <c r="C208" s="490" t="str">
        <f aca="false">TEXT(B208,"aaa")</f>
        <v>Thu</v>
      </c>
      <c r="D208" s="507"/>
      <c r="E208" s="507"/>
      <c r="F208" s="507"/>
    </row>
    <row r="209" customFormat="false" ht="18.75" hidden="false" customHeight="true" outlineLevel="0" collapsed="false">
      <c r="B209" s="490" t="n">
        <f aca="false">B208+1</f>
        <v>46136</v>
      </c>
      <c r="C209" s="490" t="str">
        <f aca="false">TEXT(B209,"aaa")</f>
        <v>Fri</v>
      </c>
      <c r="D209" s="507"/>
      <c r="E209" s="507"/>
      <c r="F209" s="507"/>
    </row>
    <row r="210" customFormat="false" ht="18.75" hidden="false" customHeight="true" outlineLevel="0" collapsed="false">
      <c r="B210" s="510" t="n">
        <f aca="false">B209+1</f>
        <v>46137</v>
      </c>
      <c r="C210" s="510" t="str">
        <f aca="false">TEXT(B210,"aaa")</f>
        <v>Sat</v>
      </c>
      <c r="D210" s="507"/>
      <c r="E210" s="507"/>
      <c r="F210" s="507"/>
    </row>
    <row r="211" customFormat="false" ht="18.75" hidden="false" customHeight="true" outlineLevel="0" collapsed="false">
      <c r="B211" s="511" t="n">
        <f aca="false">B210+1</f>
        <v>46138</v>
      </c>
      <c r="C211" s="511" t="str">
        <f aca="false">TEXT(B211,"aaa")</f>
        <v>Sun</v>
      </c>
      <c r="D211" s="507"/>
      <c r="E211" s="507"/>
      <c r="F211" s="507"/>
    </row>
    <row r="212" customFormat="false" ht="18.75" hidden="false" customHeight="true" outlineLevel="0" collapsed="false">
      <c r="B212" s="490" t="n">
        <f aca="false">B211+1</f>
        <v>46139</v>
      </c>
      <c r="C212" s="490" t="str">
        <f aca="false">TEXT(B212,"aaa")</f>
        <v>Mon</v>
      </c>
      <c r="D212" s="507"/>
      <c r="E212" s="507"/>
      <c r="F212" s="507"/>
    </row>
    <row r="213" customFormat="false" ht="18.75" hidden="false" customHeight="true" outlineLevel="0" collapsed="false">
      <c r="B213" s="490" t="n">
        <f aca="false">B212+1</f>
        <v>46140</v>
      </c>
      <c r="C213" s="490" t="str">
        <f aca="false">TEXT(B213,"aaa")</f>
        <v>Tue</v>
      </c>
      <c r="D213" s="507"/>
      <c r="E213" s="507"/>
      <c r="F213" s="507"/>
    </row>
    <row r="214" customFormat="false" ht="18.75" hidden="false" customHeight="true" outlineLevel="0" collapsed="false">
      <c r="B214" s="512" t="n">
        <f aca="false">B213+1</f>
        <v>46141</v>
      </c>
      <c r="C214" s="512" t="str">
        <f aca="false">TEXT(B214,"aaa")</f>
        <v>Wed</v>
      </c>
      <c r="D214" s="507"/>
      <c r="E214" s="507"/>
      <c r="F214" s="507"/>
    </row>
    <row r="215" customFormat="false" ht="18.75" hidden="false" customHeight="true" outlineLevel="0" collapsed="false">
      <c r="B215" s="490" t="n">
        <f aca="false">B214+1</f>
        <v>46142</v>
      </c>
      <c r="C215" s="490" t="str">
        <f aca="false">TEXT(B215,"aaa")</f>
        <v>Thu</v>
      </c>
      <c r="D215" s="507"/>
      <c r="E215" s="507"/>
      <c r="F215" s="507"/>
    </row>
    <row r="216" customFormat="false" ht="18.75" hidden="false" customHeight="true" outlineLevel="0" collapsed="false">
      <c r="B216" s="490" t="n">
        <f aca="false">B215+1</f>
        <v>46143</v>
      </c>
      <c r="C216" s="490" t="str">
        <f aca="false">TEXT(B216,"aaa")</f>
        <v>Fri</v>
      </c>
      <c r="D216" s="507"/>
      <c r="E216" s="507"/>
      <c r="F216" s="507"/>
    </row>
    <row r="217" customFormat="false" ht="18.75" hidden="false" customHeight="true" outlineLevel="0" collapsed="false">
      <c r="B217" s="510" t="n">
        <f aca="false">B216+1</f>
        <v>46144</v>
      </c>
      <c r="C217" s="510" t="str">
        <f aca="false">TEXT(B217,"aaa")</f>
        <v>Sat</v>
      </c>
      <c r="D217" s="507"/>
      <c r="E217" s="507"/>
      <c r="F217" s="507"/>
    </row>
    <row r="218" customFormat="false" ht="18.75" hidden="false" customHeight="true" outlineLevel="0" collapsed="false">
      <c r="B218" s="512" t="n">
        <f aca="false">B217+1</f>
        <v>46145</v>
      </c>
      <c r="C218" s="512" t="str">
        <f aca="false">TEXT(B218,"aaa")</f>
        <v>Sun</v>
      </c>
      <c r="D218" s="507"/>
      <c r="E218" s="507"/>
      <c r="F218" s="507"/>
    </row>
    <row r="219" customFormat="false" ht="18.75" hidden="false" customHeight="true" outlineLevel="0" collapsed="false">
      <c r="B219" s="512" t="n">
        <f aca="false">B218+1</f>
        <v>46146</v>
      </c>
      <c r="C219" s="512" t="str">
        <f aca="false">TEXT(B219,"aaa")</f>
        <v>Mon</v>
      </c>
      <c r="D219" s="507"/>
      <c r="E219" s="507"/>
      <c r="F219" s="507"/>
    </row>
    <row r="220" customFormat="false" ht="18.75" hidden="false" customHeight="true" outlineLevel="0" collapsed="false">
      <c r="B220" s="512" t="n">
        <f aca="false">B219+1</f>
        <v>46147</v>
      </c>
      <c r="C220" s="512" t="str">
        <f aca="false">TEXT(B220,"aaa")</f>
        <v>Tue</v>
      </c>
      <c r="D220" s="507"/>
      <c r="E220" s="507"/>
      <c r="F220" s="507"/>
    </row>
    <row r="221" customFormat="false" ht="18.75" hidden="false" customHeight="true" outlineLevel="0" collapsed="false">
      <c r="B221" s="512" t="n">
        <f aca="false">B220+1</f>
        <v>46148</v>
      </c>
      <c r="C221" s="512" t="str">
        <f aca="false">TEXT(B221,"aaa")</f>
        <v>Wed</v>
      </c>
      <c r="D221" s="507"/>
      <c r="E221" s="507"/>
      <c r="F221" s="507"/>
    </row>
    <row r="222" customFormat="false" ht="18.75" hidden="false" customHeight="true" outlineLevel="0" collapsed="false">
      <c r="B222" s="490" t="n">
        <f aca="false">B221+1</f>
        <v>46149</v>
      </c>
      <c r="C222" s="490" t="str">
        <f aca="false">TEXT(B222,"aaa")</f>
        <v>Thu</v>
      </c>
      <c r="D222" s="507"/>
      <c r="E222" s="507"/>
      <c r="F222" s="507"/>
    </row>
    <row r="223" customFormat="false" ht="18.75" hidden="false" customHeight="true" outlineLevel="0" collapsed="false">
      <c r="B223" s="490" t="n">
        <f aca="false">B222+1</f>
        <v>46150</v>
      </c>
      <c r="C223" s="490" t="str">
        <f aca="false">TEXT(B223,"aaa")</f>
        <v>Fri</v>
      </c>
      <c r="D223" s="507"/>
      <c r="E223" s="507"/>
      <c r="F223" s="507"/>
    </row>
    <row r="224" customFormat="false" ht="18.75" hidden="false" customHeight="true" outlineLevel="0" collapsed="false">
      <c r="B224" s="510" t="n">
        <f aca="false">B223+1</f>
        <v>46151</v>
      </c>
      <c r="C224" s="510" t="str">
        <f aca="false">TEXT(B224,"aaa")</f>
        <v>Sat</v>
      </c>
      <c r="D224" s="507"/>
      <c r="E224" s="507"/>
      <c r="F224" s="507"/>
    </row>
    <row r="225" customFormat="false" ht="18.75" hidden="false" customHeight="true" outlineLevel="0" collapsed="false">
      <c r="B225" s="511" t="n">
        <f aca="false">B224+1</f>
        <v>46152</v>
      </c>
      <c r="C225" s="511" t="str">
        <f aca="false">TEXT(B225,"aaa")</f>
        <v>Sun</v>
      </c>
      <c r="D225" s="507"/>
      <c r="E225" s="507"/>
      <c r="F225" s="507"/>
    </row>
    <row r="226" customFormat="false" ht="18.75" hidden="false" customHeight="true" outlineLevel="0" collapsed="false">
      <c r="B226" s="490" t="n">
        <f aca="false">B225+1</f>
        <v>46153</v>
      </c>
      <c r="C226" s="490" t="str">
        <f aca="false">TEXT(B226,"aaa")</f>
        <v>Mon</v>
      </c>
      <c r="D226" s="507"/>
      <c r="E226" s="507"/>
      <c r="F226" s="507"/>
    </row>
    <row r="227" customFormat="false" ht="18.75" hidden="false" customHeight="true" outlineLevel="0" collapsed="false">
      <c r="B227" s="490" t="n">
        <f aca="false">B226+1</f>
        <v>46154</v>
      </c>
      <c r="C227" s="490" t="str">
        <f aca="false">TEXT(B227,"aaa")</f>
        <v>Tue</v>
      </c>
      <c r="D227" s="507"/>
      <c r="E227" s="507"/>
      <c r="F227" s="507"/>
    </row>
    <row r="228" customFormat="false" ht="18.75" hidden="false" customHeight="true" outlineLevel="0" collapsed="false">
      <c r="B228" s="490" t="n">
        <f aca="false">B227+1</f>
        <v>46155</v>
      </c>
      <c r="C228" s="490" t="str">
        <f aca="false">TEXT(B228,"aaa")</f>
        <v>Wed</v>
      </c>
      <c r="D228" s="507"/>
      <c r="E228" s="507"/>
      <c r="F228" s="507"/>
    </row>
    <row r="229" customFormat="false" ht="18.75" hidden="false" customHeight="true" outlineLevel="0" collapsed="false">
      <c r="B229" s="490" t="n">
        <f aca="false">B228+1</f>
        <v>46156</v>
      </c>
      <c r="C229" s="490" t="str">
        <f aca="false">TEXT(B229,"aaa")</f>
        <v>Thu</v>
      </c>
      <c r="D229" s="507"/>
      <c r="E229" s="507"/>
      <c r="F229" s="507"/>
    </row>
    <row r="230" customFormat="false" ht="18.75" hidden="false" customHeight="true" outlineLevel="0" collapsed="false">
      <c r="B230" s="490" t="n">
        <f aca="false">B229+1</f>
        <v>46157</v>
      </c>
      <c r="C230" s="490" t="str">
        <f aca="false">TEXT(B230,"aaa")</f>
        <v>Fri</v>
      </c>
      <c r="D230" s="507"/>
      <c r="E230" s="507"/>
      <c r="F230" s="507"/>
    </row>
    <row r="231" customFormat="false" ht="18.75" hidden="false" customHeight="true" outlineLevel="0" collapsed="false">
      <c r="B231" s="510" t="n">
        <f aca="false">B230+1</f>
        <v>46158</v>
      </c>
      <c r="C231" s="510" t="str">
        <f aca="false">TEXT(B231,"aaa")</f>
        <v>Sat</v>
      </c>
      <c r="D231" s="507"/>
      <c r="E231" s="507"/>
      <c r="F231" s="507"/>
    </row>
    <row r="232" customFormat="false" ht="18.75" hidden="false" customHeight="true" outlineLevel="0" collapsed="false">
      <c r="B232" s="511" t="n">
        <f aca="false">B231+1</f>
        <v>46159</v>
      </c>
      <c r="C232" s="511" t="str">
        <f aca="false">TEXT(B232,"aaa")</f>
        <v>Sun</v>
      </c>
      <c r="D232" s="507"/>
      <c r="E232" s="507"/>
      <c r="F232" s="507"/>
    </row>
    <row r="233" customFormat="false" ht="18.75" hidden="false" customHeight="true" outlineLevel="0" collapsed="false">
      <c r="B233" s="490" t="n">
        <f aca="false">B232+1</f>
        <v>46160</v>
      </c>
      <c r="C233" s="490" t="str">
        <f aca="false">TEXT(B233,"aaa")</f>
        <v>Mon</v>
      </c>
      <c r="D233" s="507"/>
      <c r="E233" s="507"/>
      <c r="F233" s="507"/>
    </row>
    <row r="234" customFormat="false" ht="18.75" hidden="false" customHeight="true" outlineLevel="0" collapsed="false">
      <c r="B234" s="490" t="n">
        <f aca="false">B233+1</f>
        <v>46161</v>
      </c>
      <c r="C234" s="490" t="str">
        <f aca="false">TEXT(B234,"aaa")</f>
        <v>Tue</v>
      </c>
      <c r="D234" s="507"/>
      <c r="E234" s="507"/>
      <c r="F234" s="507"/>
    </row>
    <row r="235" customFormat="false" ht="18.75" hidden="false" customHeight="true" outlineLevel="0" collapsed="false">
      <c r="B235" s="490" t="n">
        <f aca="false">B234+1</f>
        <v>46162</v>
      </c>
      <c r="C235" s="490" t="str">
        <f aca="false">TEXT(B235,"aaa")</f>
        <v>Wed</v>
      </c>
      <c r="D235" s="507"/>
      <c r="E235" s="507"/>
      <c r="F235" s="507"/>
    </row>
    <row r="236" customFormat="false" ht="18.75" hidden="false" customHeight="true" outlineLevel="0" collapsed="false">
      <c r="B236" s="490" t="n">
        <f aca="false">B235+1</f>
        <v>46163</v>
      </c>
      <c r="C236" s="490" t="str">
        <f aca="false">TEXT(B236,"aaa")</f>
        <v>Thu</v>
      </c>
      <c r="D236" s="507"/>
      <c r="E236" s="507"/>
      <c r="F236" s="507"/>
    </row>
    <row r="237" customFormat="false" ht="18.75" hidden="false" customHeight="true" outlineLevel="0" collapsed="false">
      <c r="B237" s="490" t="n">
        <f aca="false">B236+1</f>
        <v>46164</v>
      </c>
      <c r="C237" s="490" t="str">
        <f aca="false">TEXT(B237,"aaa")</f>
        <v>Fri</v>
      </c>
      <c r="D237" s="507"/>
      <c r="E237" s="507"/>
      <c r="F237" s="507"/>
    </row>
    <row r="238" customFormat="false" ht="18.75" hidden="false" customHeight="true" outlineLevel="0" collapsed="false">
      <c r="B238" s="510" t="n">
        <f aca="false">B237+1</f>
        <v>46165</v>
      </c>
      <c r="C238" s="510" t="str">
        <f aca="false">TEXT(B238,"aaa")</f>
        <v>Sat</v>
      </c>
      <c r="D238" s="507"/>
      <c r="E238" s="507"/>
      <c r="F238" s="507"/>
    </row>
    <row r="239" customFormat="false" ht="18.75" hidden="false" customHeight="true" outlineLevel="0" collapsed="false">
      <c r="B239" s="511" t="n">
        <f aca="false">B238+1</f>
        <v>46166</v>
      </c>
      <c r="C239" s="511" t="str">
        <f aca="false">TEXT(B239,"aaa")</f>
        <v>Sun</v>
      </c>
      <c r="D239" s="507"/>
      <c r="E239" s="507"/>
      <c r="F239" s="507"/>
    </row>
    <row r="240" customFormat="false" ht="18.75" hidden="false" customHeight="true" outlineLevel="0" collapsed="false">
      <c r="B240" s="490" t="n">
        <f aca="false">B239+1</f>
        <v>46167</v>
      </c>
      <c r="C240" s="490" t="str">
        <f aca="false">TEXT(B240,"aaa")</f>
        <v>Mon</v>
      </c>
      <c r="D240" s="507"/>
      <c r="E240" s="507"/>
      <c r="F240" s="507"/>
    </row>
    <row r="241" customFormat="false" ht="18.75" hidden="false" customHeight="true" outlineLevel="0" collapsed="false">
      <c r="B241" s="490" t="n">
        <f aca="false">B240+1</f>
        <v>46168</v>
      </c>
      <c r="C241" s="490" t="str">
        <f aca="false">TEXT(B241,"aaa")</f>
        <v>Tue</v>
      </c>
      <c r="D241" s="507"/>
      <c r="E241" s="507"/>
      <c r="F241" s="507"/>
    </row>
    <row r="242" customFormat="false" ht="18.75" hidden="false" customHeight="true" outlineLevel="0" collapsed="false">
      <c r="B242" s="490" t="n">
        <f aca="false">B241+1</f>
        <v>46169</v>
      </c>
      <c r="C242" s="490" t="str">
        <f aca="false">TEXT(B242,"aaa")</f>
        <v>Wed</v>
      </c>
      <c r="D242" s="507"/>
      <c r="E242" s="507"/>
      <c r="F242" s="507"/>
    </row>
    <row r="243" customFormat="false" ht="18.75" hidden="false" customHeight="true" outlineLevel="0" collapsed="false">
      <c r="B243" s="490" t="n">
        <f aca="false">B242+1</f>
        <v>46170</v>
      </c>
      <c r="C243" s="490" t="str">
        <f aca="false">TEXT(B243,"aaa")</f>
        <v>Thu</v>
      </c>
      <c r="D243" s="507"/>
      <c r="E243" s="507"/>
      <c r="F243" s="507"/>
    </row>
    <row r="244" customFormat="false" ht="18.75" hidden="false" customHeight="true" outlineLevel="0" collapsed="false">
      <c r="B244" s="490" t="n">
        <f aca="false">B243+1</f>
        <v>46171</v>
      </c>
      <c r="C244" s="490" t="str">
        <f aca="false">TEXT(B244,"aaa")</f>
        <v>Fri</v>
      </c>
      <c r="D244" s="507"/>
      <c r="E244" s="507"/>
      <c r="F244" s="507"/>
    </row>
    <row r="245" customFormat="false" ht="18.75" hidden="false" customHeight="true" outlineLevel="0" collapsed="false">
      <c r="B245" s="510" t="n">
        <f aca="false">B244+1</f>
        <v>46172</v>
      </c>
      <c r="C245" s="510" t="str">
        <f aca="false">TEXT(B245,"aaa")</f>
        <v>Sat</v>
      </c>
      <c r="D245" s="507"/>
      <c r="E245" s="507"/>
      <c r="F245" s="507"/>
    </row>
    <row r="246" customFormat="false" ht="18.75" hidden="false" customHeight="true" outlineLevel="0" collapsed="false">
      <c r="B246" s="511" t="n">
        <f aca="false">B245+1</f>
        <v>46173</v>
      </c>
      <c r="C246" s="511" t="str">
        <f aca="false">TEXT(B246,"aaa")</f>
        <v>Sun</v>
      </c>
      <c r="D246" s="507"/>
      <c r="E246" s="507"/>
      <c r="F246" s="507"/>
    </row>
    <row r="247" customFormat="false" ht="18.75" hidden="false" customHeight="true" outlineLevel="0" collapsed="false">
      <c r="B247" s="490" t="n">
        <f aca="false">B246+1</f>
        <v>46174</v>
      </c>
      <c r="C247" s="490" t="str">
        <f aca="false">TEXT(B247,"aaa")</f>
        <v>Mon</v>
      </c>
      <c r="D247" s="507"/>
      <c r="E247" s="507"/>
      <c r="F247" s="507"/>
    </row>
    <row r="248" customFormat="false" ht="18.75" hidden="false" customHeight="true" outlineLevel="0" collapsed="false">
      <c r="B248" s="490" t="n">
        <f aca="false">B247+1</f>
        <v>46175</v>
      </c>
      <c r="C248" s="490" t="str">
        <f aca="false">TEXT(B248,"aaa")</f>
        <v>Tue</v>
      </c>
      <c r="D248" s="507"/>
      <c r="E248" s="507"/>
      <c r="F248" s="507"/>
    </row>
    <row r="249" customFormat="false" ht="18.75" hidden="false" customHeight="true" outlineLevel="0" collapsed="false">
      <c r="B249" s="490" t="n">
        <f aca="false">B248+1</f>
        <v>46176</v>
      </c>
      <c r="C249" s="490" t="str">
        <f aca="false">TEXT(B249,"aaa")</f>
        <v>Wed</v>
      </c>
      <c r="D249" s="507"/>
      <c r="E249" s="507"/>
      <c r="F249" s="507"/>
    </row>
    <row r="250" customFormat="false" ht="18.75" hidden="false" customHeight="true" outlineLevel="0" collapsed="false">
      <c r="B250" s="490" t="n">
        <f aca="false">B249+1</f>
        <v>46177</v>
      </c>
      <c r="C250" s="490" t="str">
        <f aca="false">TEXT(B250,"aaa")</f>
        <v>Thu</v>
      </c>
      <c r="D250" s="507"/>
      <c r="E250" s="507"/>
      <c r="F250" s="507"/>
    </row>
    <row r="251" customFormat="false" ht="18.75" hidden="false" customHeight="true" outlineLevel="0" collapsed="false">
      <c r="B251" s="490" t="n">
        <f aca="false">B250+1</f>
        <v>46178</v>
      </c>
      <c r="C251" s="490" t="str">
        <f aca="false">TEXT(B251,"aaa")</f>
        <v>Fri</v>
      </c>
      <c r="D251" s="507"/>
      <c r="E251" s="507"/>
      <c r="F251" s="507"/>
    </row>
    <row r="252" customFormat="false" ht="18.75" hidden="false" customHeight="true" outlineLevel="0" collapsed="false">
      <c r="B252" s="510" t="n">
        <f aca="false">B251+1</f>
        <v>46179</v>
      </c>
      <c r="C252" s="510" t="str">
        <f aca="false">TEXT(B252,"aaa")</f>
        <v>Sat</v>
      </c>
      <c r="D252" s="507"/>
      <c r="E252" s="507"/>
      <c r="F252" s="507"/>
    </row>
    <row r="253" customFormat="false" ht="18.75" hidden="false" customHeight="true" outlineLevel="0" collapsed="false">
      <c r="B253" s="511" t="n">
        <f aca="false">B252+1</f>
        <v>46180</v>
      </c>
      <c r="C253" s="511" t="str">
        <f aca="false">TEXT(B253,"aaa")</f>
        <v>Sun</v>
      </c>
      <c r="D253" s="507"/>
      <c r="E253" s="507"/>
      <c r="F253" s="507"/>
    </row>
    <row r="254" customFormat="false" ht="18.75" hidden="false" customHeight="true" outlineLevel="0" collapsed="false">
      <c r="B254" s="490" t="n">
        <f aca="false">B253+1</f>
        <v>46181</v>
      </c>
      <c r="C254" s="490" t="str">
        <f aca="false">TEXT(B254,"aaa")</f>
        <v>Mon</v>
      </c>
      <c r="D254" s="507"/>
      <c r="E254" s="507"/>
      <c r="F254" s="507"/>
    </row>
    <row r="255" customFormat="false" ht="18.75" hidden="false" customHeight="true" outlineLevel="0" collapsed="false">
      <c r="B255" s="490" t="n">
        <f aca="false">B254+1</f>
        <v>46182</v>
      </c>
      <c r="C255" s="490" t="str">
        <f aca="false">TEXT(B255,"aaa")</f>
        <v>Tue</v>
      </c>
      <c r="D255" s="507"/>
      <c r="E255" s="507"/>
      <c r="F255" s="507"/>
    </row>
    <row r="256" customFormat="false" ht="18.75" hidden="false" customHeight="true" outlineLevel="0" collapsed="false">
      <c r="B256" s="490" t="n">
        <f aca="false">B255+1</f>
        <v>46183</v>
      </c>
      <c r="C256" s="490" t="str">
        <f aca="false">TEXT(B256,"aaa")</f>
        <v>Wed</v>
      </c>
      <c r="D256" s="507"/>
      <c r="E256" s="507"/>
      <c r="F256" s="507"/>
    </row>
    <row r="257" customFormat="false" ht="18.75" hidden="false" customHeight="true" outlineLevel="0" collapsed="false">
      <c r="B257" s="490" t="n">
        <f aca="false">B256+1</f>
        <v>46184</v>
      </c>
      <c r="C257" s="490" t="str">
        <f aca="false">TEXT(B257,"aaa")</f>
        <v>Thu</v>
      </c>
      <c r="D257" s="507"/>
      <c r="E257" s="507"/>
      <c r="F257" s="507"/>
    </row>
    <row r="258" customFormat="false" ht="18.75" hidden="false" customHeight="true" outlineLevel="0" collapsed="false">
      <c r="B258" s="490" t="n">
        <f aca="false">B257+1</f>
        <v>46185</v>
      </c>
      <c r="C258" s="490" t="str">
        <f aca="false">TEXT(B258,"aaa")</f>
        <v>Fri</v>
      </c>
      <c r="D258" s="507"/>
      <c r="E258" s="507"/>
      <c r="F258" s="507"/>
    </row>
    <row r="259" customFormat="false" ht="18.75" hidden="false" customHeight="true" outlineLevel="0" collapsed="false">
      <c r="B259" s="510" t="n">
        <f aca="false">B258+1</f>
        <v>46186</v>
      </c>
      <c r="C259" s="510" t="str">
        <f aca="false">TEXT(B259,"aaa")</f>
        <v>Sat</v>
      </c>
      <c r="D259" s="507"/>
      <c r="E259" s="507"/>
      <c r="F259" s="507"/>
    </row>
    <row r="260" customFormat="false" ht="18.75" hidden="false" customHeight="true" outlineLevel="0" collapsed="false">
      <c r="B260" s="511" t="n">
        <f aca="false">B259+1</f>
        <v>46187</v>
      </c>
      <c r="C260" s="511" t="str">
        <f aca="false">TEXT(B260,"aaa")</f>
        <v>Sun</v>
      </c>
      <c r="D260" s="507"/>
      <c r="E260" s="507"/>
      <c r="F260" s="507"/>
    </row>
    <row r="261" customFormat="false" ht="18.75" hidden="false" customHeight="true" outlineLevel="0" collapsed="false">
      <c r="B261" s="490" t="n">
        <f aca="false">B260+1</f>
        <v>46188</v>
      </c>
      <c r="C261" s="490" t="str">
        <f aca="false">TEXT(B261,"aaa")</f>
        <v>Mon</v>
      </c>
      <c r="D261" s="507"/>
      <c r="E261" s="507"/>
      <c r="F261" s="507"/>
    </row>
    <row r="262" customFormat="false" ht="18.75" hidden="false" customHeight="true" outlineLevel="0" collapsed="false">
      <c r="B262" s="490" t="n">
        <f aca="false">B261+1</f>
        <v>46189</v>
      </c>
      <c r="C262" s="490" t="str">
        <f aca="false">TEXT(B262,"aaa")</f>
        <v>Tue</v>
      </c>
      <c r="D262" s="507"/>
      <c r="E262" s="507"/>
      <c r="F262" s="507"/>
    </row>
    <row r="263" customFormat="false" ht="18.75" hidden="false" customHeight="true" outlineLevel="0" collapsed="false">
      <c r="B263" s="490" t="n">
        <f aca="false">B262+1</f>
        <v>46190</v>
      </c>
      <c r="C263" s="490" t="str">
        <f aca="false">TEXT(B263,"aaa")</f>
        <v>Wed</v>
      </c>
      <c r="D263" s="507"/>
      <c r="E263" s="507"/>
      <c r="F263" s="507"/>
    </row>
    <row r="264" customFormat="false" ht="18.75" hidden="false" customHeight="true" outlineLevel="0" collapsed="false">
      <c r="B264" s="490" t="n">
        <f aca="false">B263+1</f>
        <v>46191</v>
      </c>
      <c r="C264" s="490" t="str">
        <f aca="false">TEXT(B264,"aaa")</f>
        <v>Thu</v>
      </c>
      <c r="D264" s="507"/>
      <c r="E264" s="507"/>
      <c r="F264" s="507"/>
    </row>
    <row r="265" customFormat="false" ht="18.75" hidden="false" customHeight="true" outlineLevel="0" collapsed="false">
      <c r="B265" s="490" t="n">
        <f aca="false">B264+1</f>
        <v>46192</v>
      </c>
      <c r="C265" s="490" t="str">
        <f aca="false">TEXT(B265,"aaa")</f>
        <v>Fri</v>
      </c>
      <c r="D265" s="507"/>
      <c r="E265" s="507"/>
      <c r="F265" s="507"/>
    </row>
    <row r="266" customFormat="false" ht="18.75" hidden="false" customHeight="true" outlineLevel="0" collapsed="false">
      <c r="B266" s="510" t="n">
        <f aca="false">B265+1</f>
        <v>46193</v>
      </c>
      <c r="C266" s="510" t="str">
        <f aca="false">TEXT(B266,"aaa")</f>
        <v>Sat</v>
      </c>
      <c r="D266" s="507"/>
      <c r="E266" s="507"/>
      <c r="F266" s="507"/>
    </row>
    <row r="267" customFormat="false" ht="18.75" hidden="false" customHeight="true" outlineLevel="0" collapsed="false">
      <c r="B267" s="511" t="n">
        <f aca="false">B266+1</f>
        <v>46194</v>
      </c>
      <c r="C267" s="511" t="str">
        <f aca="false">TEXT(B267,"aaa")</f>
        <v>Sun</v>
      </c>
      <c r="D267" s="507"/>
      <c r="E267" s="507"/>
      <c r="F267" s="507"/>
    </row>
    <row r="268" customFormat="false" ht="18.75" hidden="false" customHeight="true" outlineLevel="0" collapsed="false">
      <c r="B268" s="490" t="n">
        <f aca="false">B267+1</f>
        <v>46195</v>
      </c>
      <c r="C268" s="490" t="str">
        <f aca="false">TEXT(B268,"aaa")</f>
        <v>Mon</v>
      </c>
      <c r="D268" s="507"/>
      <c r="E268" s="507"/>
      <c r="F268" s="507"/>
    </row>
    <row r="269" customFormat="false" ht="18.75" hidden="false" customHeight="true" outlineLevel="0" collapsed="false">
      <c r="B269" s="490" t="n">
        <f aca="false">B268+1</f>
        <v>46196</v>
      </c>
      <c r="C269" s="490" t="str">
        <f aca="false">TEXT(B269,"aaa")</f>
        <v>Tue</v>
      </c>
      <c r="D269" s="507"/>
      <c r="E269" s="507"/>
      <c r="F269" s="507"/>
    </row>
    <row r="270" customFormat="false" ht="18.75" hidden="false" customHeight="true" outlineLevel="0" collapsed="false">
      <c r="B270" s="490" t="n">
        <f aca="false">B269+1</f>
        <v>46197</v>
      </c>
      <c r="C270" s="490" t="str">
        <f aca="false">TEXT(B270,"aaa")</f>
        <v>Wed</v>
      </c>
      <c r="D270" s="507"/>
      <c r="E270" s="507"/>
      <c r="F270" s="507"/>
    </row>
    <row r="271" customFormat="false" ht="18.75" hidden="false" customHeight="true" outlineLevel="0" collapsed="false">
      <c r="B271" s="490" t="n">
        <f aca="false">B270+1</f>
        <v>46198</v>
      </c>
      <c r="C271" s="490" t="str">
        <f aca="false">TEXT(B271,"aaa")</f>
        <v>Thu</v>
      </c>
      <c r="D271" s="507"/>
      <c r="E271" s="507"/>
      <c r="F271" s="507"/>
    </row>
    <row r="272" customFormat="false" ht="18.75" hidden="false" customHeight="true" outlineLevel="0" collapsed="false">
      <c r="B272" s="490" t="n">
        <f aca="false">B271+1</f>
        <v>46199</v>
      </c>
      <c r="C272" s="490" t="str">
        <f aca="false">TEXT(B272,"aaa")</f>
        <v>Fri</v>
      </c>
      <c r="D272" s="507"/>
      <c r="E272" s="507"/>
      <c r="F272" s="507"/>
    </row>
    <row r="273" customFormat="false" ht="18.75" hidden="false" customHeight="true" outlineLevel="0" collapsed="false">
      <c r="B273" s="510" t="n">
        <f aca="false">B272+1</f>
        <v>46200</v>
      </c>
      <c r="C273" s="510" t="str">
        <f aca="false">TEXT(B273,"aaa")</f>
        <v>Sat</v>
      </c>
      <c r="D273" s="507"/>
      <c r="E273" s="507"/>
      <c r="F273" s="507"/>
    </row>
    <row r="274" customFormat="false" ht="18.75" hidden="false" customHeight="true" outlineLevel="0" collapsed="false">
      <c r="B274" s="511" t="n">
        <f aca="false">B273+1</f>
        <v>46201</v>
      </c>
      <c r="C274" s="511" t="str">
        <f aca="false">TEXT(B274,"aaa")</f>
        <v>Sun</v>
      </c>
      <c r="D274" s="507"/>
      <c r="E274" s="507"/>
      <c r="F274" s="507"/>
    </row>
    <row r="275" customFormat="false" ht="18.75" hidden="false" customHeight="true" outlineLevel="0" collapsed="false">
      <c r="B275" s="490" t="n">
        <f aca="false">B274+1</f>
        <v>46202</v>
      </c>
      <c r="C275" s="490" t="str">
        <f aca="false">TEXT(B275,"aaa")</f>
        <v>Mon</v>
      </c>
      <c r="D275" s="507"/>
      <c r="E275" s="507"/>
      <c r="F275" s="507"/>
    </row>
    <row r="276" customFormat="false" ht="18.75" hidden="false" customHeight="true" outlineLevel="0" collapsed="false">
      <c r="B276" s="490" t="n">
        <f aca="false">B275+1</f>
        <v>46203</v>
      </c>
      <c r="C276" s="490" t="str">
        <f aca="false">TEXT(B276,"aaa")</f>
        <v>Tue</v>
      </c>
      <c r="D276" s="507"/>
      <c r="E276" s="507"/>
      <c r="F276" s="507"/>
    </row>
    <row r="277" customFormat="false" ht="18.75" hidden="false" customHeight="true" outlineLevel="0" collapsed="false">
      <c r="B277" s="490" t="n">
        <f aca="false">B276+1</f>
        <v>46204</v>
      </c>
      <c r="C277" s="490" t="str">
        <f aca="false">TEXT(B277,"aaa")</f>
        <v>Wed</v>
      </c>
      <c r="D277" s="507"/>
      <c r="E277" s="507"/>
      <c r="F277" s="507"/>
    </row>
    <row r="278" customFormat="false" ht="18.75" hidden="false" customHeight="true" outlineLevel="0" collapsed="false">
      <c r="B278" s="490" t="n">
        <f aca="false">B277+1</f>
        <v>46205</v>
      </c>
      <c r="C278" s="490" t="str">
        <f aca="false">TEXT(B278,"aaa")</f>
        <v>Thu</v>
      </c>
      <c r="D278" s="507"/>
      <c r="E278" s="507"/>
      <c r="F278" s="507"/>
    </row>
    <row r="279" customFormat="false" ht="18.75" hidden="false" customHeight="true" outlineLevel="0" collapsed="false">
      <c r="B279" s="490" t="n">
        <f aca="false">B278+1</f>
        <v>46206</v>
      </c>
      <c r="C279" s="490" t="str">
        <f aca="false">TEXT(B279,"aaa")</f>
        <v>Fri</v>
      </c>
      <c r="D279" s="507"/>
      <c r="E279" s="507"/>
      <c r="F279" s="507"/>
    </row>
    <row r="280" customFormat="false" ht="18.75" hidden="false" customHeight="true" outlineLevel="0" collapsed="false">
      <c r="B280" s="510" t="n">
        <f aca="false">B279+1</f>
        <v>46207</v>
      </c>
      <c r="C280" s="510" t="str">
        <f aca="false">TEXT(B280,"aaa")</f>
        <v>Sat</v>
      </c>
      <c r="D280" s="507"/>
      <c r="E280" s="507"/>
      <c r="F280" s="507"/>
    </row>
    <row r="281" customFormat="false" ht="18.75" hidden="false" customHeight="true" outlineLevel="0" collapsed="false">
      <c r="B281" s="511" t="n">
        <f aca="false">B280+1</f>
        <v>46208</v>
      </c>
      <c r="C281" s="511" t="str">
        <f aca="false">TEXT(B281,"aaa")</f>
        <v>Sun</v>
      </c>
      <c r="D281" s="507"/>
      <c r="E281" s="507"/>
      <c r="F281" s="507"/>
    </row>
    <row r="282" customFormat="false" ht="18.75" hidden="false" customHeight="true" outlineLevel="0" collapsed="false">
      <c r="B282" s="490" t="n">
        <f aca="false">B281+1</f>
        <v>46209</v>
      </c>
      <c r="C282" s="490" t="str">
        <f aca="false">TEXT(B282,"aaa")</f>
        <v>Mon</v>
      </c>
      <c r="D282" s="507"/>
      <c r="E282" s="507"/>
      <c r="F282" s="507"/>
    </row>
    <row r="283" customFormat="false" ht="18.75" hidden="false" customHeight="true" outlineLevel="0" collapsed="false">
      <c r="B283" s="490" t="n">
        <f aca="false">B282+1</f>
        <v>46210</v>
      </c>
      <c r="C283" s="490" t="str">
        <f aca="false">TEXT(B283,"aaa")</f>
        <v>Tue</v>
      </c>
      <c r="D283" s="507"/>
      <c r="E283" s="507"/>
      <c r="F283" s="507"/>
    </row>
    <row r="284" customFormat="false" ht="18.75" hidden="false" customHeight="true" outlineLevel="0" collapsed="false">
      <c r="B284" s="490" t="n">
        <f aca="false">B283+1</f>
        <v>46211</v>
      </c>
      <c r="C284" s="490" t="str">
        <f aca="false">TEXT(B284,"aaa")</f>
        <v>Wed</v>
      </c>
      <c r="D284" s="507"/>
      <c r="E284" s="507"/>
      <c r="F284" s="507"/>
    </row>
    <row r="285" customFormat="false" ht="18.75" hidden="false" customHeight="true" outlineLevel="0" collapsed="false">
      <c r="B285" s="490" t="n">
        <f aca="false">B284+1</f>
        <v>46212</v>
      </c>
      <c r="C285" s="490" t="str">
        <f aca="false">TEXT(B285,"aaa")</f>
        <v>Thu</v>
      </c>
      <c r="D285" s="507"/>
      <c r="E285" s="507"/>
      <c r="F285" s="507"/>
    </row>
    <row r="286" customFormat="false" ht="18.75" hidden="false" customHeight="true" outlineLevel="0" collapsed="false">
      <c r="B286" s="490" t="n">
        <f aca="false">B285+1</f>
        <v>46213</v>
      </c>
      <c r="C286" s="490" t="str">
        <f aca="false">TEXT(B286,"aaa")</f>
        <v>Fri</v>
      </c>
      <c r="D286" s="507"/>
      <c r="E286" s="507"/>
      <c r="F286" s="507"/>
    </row>
    <row r="287" customFormat="false" ht="18.75" hidden="false" customHeight="true" outlineLevel="0" collapsed="false">
      <c r="B287" s="510" t="n">
        <f aca="false">B286+1</f>
        <v>46214</v>
      </c>
      <c r="C287" s="510" t="str">
        <f aca="false">TEXT(B287,"aaa")</f>
        <v>Sat</v>
      </c>
      <c r="D287" s="507"/>
      <c r="E287" s="507"/>
      <c r="F287" s="507"/>
    </row>
    <row r="288" customFormat="false" ht="18.75" hidden="false" customHeight="true" outlineLevel="0" collapsed="false">
      <c r="B288" s="511" t="n">
        <f aca="false">B287+1</f>
        <v>46215</v>
      </c>
      <c r="C288" s="511" t="str">
        <f aca="false">TEXT(B288,"aaa")</f>
        <v>Sun</v>
      </c>
      <c r="D288" s="507"/>
      <c r="E288" s="507"/>
      <c r="F288" s="507"/>
    </row>
    <row r="289" customFormat="false" ht="18.75" hidden="false" customHeight="true" outlineLevel="0" collapsed="false">
      <c r="B289" s="490" t="n">
        <f aca="false">B288+1</f>
        <v>46216</v>
      </c>
      <c r="C289" s="490" t="str">
        <f aca="false">TEXT(B289,"aaa")</f>
        <v>Mon</v>
      </c>
      <c r="D289" s="507"/>
      <c r="E289" s="507"/>
      <c r="F289" s="507"/>
    </row>
    <row r="290" customFormat="false" ht="18.75" hidden="false" customHeight="true" outlineLevel="0" collapsed="false">
      <c r="B290" s="490" t="n">
        <f aca="false">B289+1</f>
        <v>46217</v>
      </c>
      <c r="C290" s="490" t="str">
        <f aca="false">TEXT(B290,"aaa")</f>
        <v>Tue</v>
      </c>
      <c r="D290" s="507"/>
      <c r="E290" s="507"/>
      <c r="F290" s="507"/>
    </row>
    <row r="291" customFormat="false" ht="18.75" hidden="false" customHeight="true" outlineLevel="0" collapsed="false">
      <c r="B291" s="490" t="n">
        <f aca="false">B290+1</f>
        <v>46218</v>
      </c>
      <c r="C291" s="490" t="str">
        <f aca="false">TEXT(B291,"aaa")</f>
        <v>Wed</v>
      </c>
      <c r="D291" s="507"/>
      <c r="E291" s="507"/>
      <c r="F291" s="507"/>
    </row>
    <row r="292" customFormat="false" ht="18.75" hidden="false" customHeight="true" outlineLevel="0" collapsed="false">
      <c r="B292" s="490" t="n">
        <f aca="false">B291+1</f>
        <v>46219</v>
      </c>
      <c r="C292" s="490" t="str">
        <f aca="false">TEXT(B292,"aaa")</f>
        <v>Thu</v>
      </c>
      <c r="D292" s="507"/>
      <c r="E292" s="507"/>
      <c r="F292" s="507"/>
    </row>
    <row r="293" customFormat="false" ht="18.75" hidden="false" customHeight="true" outlineLevel="0" collapsed="false">
      <c r="B293" s="490" t="n">
        <f aca="false">B292+1</f>
        <v>46220</v>
      </c>
      <c r="C293" s="490" t="str">
        <f aca="false">TEXT(B293,"aaa")</f>
        <v>Fri</v>
      </c>
      <c r="D293" s="507"/>
      <c r="E293" s="507"/>
      <c r="F293" s="507"/>
    </row>
    <row r="294" customFormat="false" ht="18.75" hidden="false" customHeight="true" outlineLevel="0" collapsed="false">
      <c r="B294" s="510" t="n">
        <f aca="false">B293+1</f>
        <v>46221</v>
      </c>
      <c r="C294" s="510" t="str">
        <f aca="false">TEXT(B294,"aaa")</f>
        <v>Sat</v>
      </c>
      <c r="D294" s="507"/>
      <c r="E294" s="507"/>
      <c r="F294" s="507"/>
    </row>
    <row r="295" customFormat="false" ht="18.75" hidden="false" customHeight="true" outlineLevel="0" collapsed="false">
      <c r="B295" s="511" t="n">
        <f aca="false">B294+1</f>
        <v>46222</v>
      </c>
      <c r="C295" s="511" t="str">
        <f aca="false">TEXT(B295,"aaa")</f>
        <v>Sun</v>
      </c>
      <c r="D295" s="507"/>
      <c r="E295" s="507"/>
      <c r="F295" s="507"/>
    </row>
    <row r="296" customFormat="false" ht="18.75" hidden="false" customHeight="true" outlineLevel="0" collapsed="false">
      <c r="B296" s="512" t="n">
        <f aca="false">B295+1</f>
        <v>46223</v>
      </c>
      <c r="C296" s="512" t="str">
        <f aca="false">TEXT(B296,"aaa")</f>
        <v>Mon</v>
      </c>
      <c r="D296" s="507"/>
      <c r="E296" s="507"/>
      <c r="F296" s="507"/>
    </row>
    <row r="297" customFormat="false" ht="18.75" hidden="false" customHeight="true" outlineLevel="0" collapsed="false">
      <c r="B297" s="490" t="n">
        <f aca="false">B296+1</f>
        <v>46224</v>
      </c>
      <c r="C297" s="490" t="str">
        <f aca="false">TEXT(B297,"aaa")</f>
        <v>Tue</v>
      </c>
      <c r="D297" s="507"/>
      <c r="E297" s="507"/>
      <c r="F297" s="507"/>
    </row>
    <row r="298" customFormat="false" ht="18.75" hidden="false" customHeight="true" outlineLevel="0" collapsed="false">
      <c r="B298" s="490" t="n">
        <f aca="false">B297+1</f>
        <v>46225</v>
      </c>
      <c r="C298" s="490" t="str">
        <f aca="false">TEXT(B298,"aaa")</f>
        <v>Wed</v>
      </c>
      <c r="D298" s="507"/>
      <c r="E298" s="507"/>
      <c r="F298" s="507"/>
    </row>
    <row r="299" customFormat="false" ht="18.75" hidden="false" customHeight="true" outlineLevel="0" collapsed="false">
      <c r="B299" s="490" t="n">
        <f aca="false">B298+1</f>
        <v>46226</v>
      </c>
      <c r="C299" s="490" t="str">
        <f aca="false">TEXT(B299,"aaa")</f>
        <v>Thu</v>
      </c>
      <c r="D299" s="507"/>
      <c r="E299" s="507"/>
      <c r="F299" s="507"/>
    </row>
    <row r="300" customFormat="false" ht="18.75" hidden="false" customHeight="true" outlineLevel="0" collapsed="false">
      <c r="B300" s="490" t="n">
        <f aca="false">B299+1</f>
        <v>46227</v>
      </c>
      <c r="C300" s="490" t="str">
        <f aca="false">TEXT(B300,"aaa")</f>
        <v>Fri</v>
      </c>
      <c r="D300" s="507"/>
      <c r="E300" s="507"/>
      <c r="F300" s="507"/>
    </row>
    <row r="301" customFormat="false" ht="18.75" hidden="false" customHeight="true" outlineLevel="0" collapsed="false">
      <c r="B301" s="510" t="n">
        <f aca="false">B300+1</f>
        <v>46228</v>
      </c>
      <c r="C301" s="510" t="str">
        <f aca="false">TEXT(B301,"aaa")</f>
        <v>Sat</v>
      </c>
      <c r="D301" s="507"/>
      <c r="E301" s="507"/>
      <c r="F301" s="507"/>
    </row>
    <row r="302" customFormat="false" ht="18.75" hidden="false" customHeight="true" outlineLevel="0" collapsed="false">
      <c r="B302" s="511" t="n">
        <f aca="false">B301+1</f>
        <v>46229</v>
      </c>
      <c r="C302" s="511" t="str">
        <f aca="false">TEXT(B302,"aaa")</f>
        <v>Sun</v>
      </c>
      <c r="D302" s="507"/>
      <c r="E302" s="507"/>
      <c r="F302" s="507"/>
    </row>
    <row r="303" customFormat="false" ht="18.75" hidden="false" customHeight="true" outlineLevel="0" collapsed="false">
      <c r="B303" s="490" t="n">
        <f aca="false">B302+1</f>
        <v>46230</v>
      </c>
      <c r="C303" s="490" t="str">
        <f aca="false">TEXT(B303,"aaa")</f>
        <v>Mon</v>
      </c>
      <c r="D303" s="507"/>
      <c r="E303" s="507"/>
      <c r="F303" s="507"/>
    </row>
    <row r="304" customFormat="false" ht="18.75" hidden="false" customHeight="true" outlineLevel="0" collapsed="false">
      <c r="B304" s="490" t="n">
        <f aca="false">B303+1</f>
        <v>46231</v>
      </c>
      <c r="C304" s="490" t="str">
        <f aca="false">TEXT(B304,"aaa")</f>
        <v>Tue</v>
      </c>
      <c r="D304" s="507"/>
      <c r="E304" s="507"/>
      <c r="F304" s="507"/>
    </row>
    <row r="305" customFormat="false" ht="18.75" hidden="false" customHeight="true" outlineLevel="0" collapsed="false">
      <c r="B305" s="490" t="n">
        <f aca="false">B304+1</f>
        <v>46232</v>
      </c>
      <c r="C305" s="490" t="str">
        <f aca="false">TEXT(B305,"aaa")</f>
        <v>Wed</v>
      </c>
      <c r="D305" s="507"/>
      <c r="E305" s="507"/>
      <c r="F305" s="507"/>
    </row>
    <row r="306" customFormat="false" ht="18.75" hidden="false" customHeight="true" outlineLevel="0" collapsed="false">
      <c r="B306" s="490" t="n">
        <f aca="false">B305+1</f>
        <v>46233</v>
      </c>
      <c r="C306" s="490" t="str">
        <f aca="false">TEXT(B306,"aaa")</f>
        <v>Thu</v>
      </c>
      <c r="D306" s="507"/>
      <c r="E306" s="507"/>
      <c r="F306" s="507"/>
    </row>
    <row r="307" customFormat="false" ht="18.75" hidden="false" customHeight="true" outlineLevel="0" collapsed="false">
      <c r="B307" s="490" t="n">
        <f aca="false">B306+1</f>
        <v>46234</v>
      </c>
      <c r="C307" s="490" t="str">
        <f aca="false">TEXT(B307,"aaa")</f>
        <v>Fri</v>
      </c>
      <c r="D307" s="507"/>
      <c r="E307" s="507"/>
      <c r="F307" s="507"/>
    </row>
    <row r="308" customFormat="false" ht="18.75" hidden="false" customHeight="true" outlineLevel="0" collapsed="false">
      <c r="B308" s="510" t="n">
        <f aca="false">B307+1</f>
        <v>46235</v>
      </c>
      <c r="C308" s="510" t="str">
        <f aca="false">TEXT(B308,"aaa")</f>
        <v>Sat</v>
      </c>
      <c r="D308" s="507"/>
      <c r="E308" s="507"/>
      <c r="F308" s="507"/>
    </row>
    <row r="309" customFormat="false" ht="18.75" hidden="false" customHeight="true" outlineLevel="0" collapsed="false">
      <c r="B309" s="511" t="n">
        <f aca="false">B308+1</f>
        <v>46236</v>
      </c>
      <c r="C309" s="511" t="str">
        <f aca="false">TEXT(B309,"aaa")</f>
        <v>Sun</v>
      </c>
      <c r="D309" s="507"/>
      <c r="E309" s="507"/>
      <c r="F309" s="507"/>
    </row>
    <row r="310" customFormat="false" ht="18.75" hidden="false" customHeight="true" outlineLevel="0" collapsed="false">
      <c r="B310" s="490" t="n">
        <f aca="false">B309+1</f>
        <v>46237</v>
      </c>
      <c r="C310" s="490" t="str">
        <f aca="false">TEXT(B310,"aaa")</f>
        <v>Mon</v>
      </c>
      <c r="D310" s="507"/>
      <c r="E310" s="507"/>
      <c r="F310" s="507"/>
    </row>
    <row r="311" customFormat="false" ht="18.75" hidden="false" customHeight="true" outlineLevel="0" collapsed="false">
      <c r="B311" s="490" t="n">
        <f aca="false">B310+1</f>
        <v>46238</v>
      </c>
      <c r="C311" s="490" t="str">
        <f aca="false">TEXT(B311,"aaa")</f>
        <v>Tue</v>
      </c>
      <c r="D311" s="507"/>
      <c r="E311" s="507"/>
      <c r="F311" s="507"/>
    </row>
    <row r="312" customFormat="false" ht="18.75" hidden="false" customHeight="true" outlineLevel="0" collapsed="false">
      <c r="B312" s="490" t="n">
        <f aca="false">B311+1</f>
        <v>46239</v>
      </c>
      <c r="C312" s="490" t="str">
        <f aca="false">TEXT(B312,"aaa")</f>
        <v>Wed</v>
      </c>
      <c r="D312" s="507"/>
      <c r="E312" s="507"/>
      <c r="F312" s="507"/>
    </row>
    <row r="313" customFormat="false" ht="18.75" hidden="false" customHeight="true" outlineLevel="0" collapsed="false">
      <c r="B313" s="490" t="n">
        <f aca="false">B312+1</f>
        <v>46240</v>
      </c>
      <c r="C313" s="490" t="str">
        <f aca="false">TEXT(B313,"aaa")</f>
        <v>Thu</v>
      </c>
      <c r="D313" s="507"/>
      <c r="E313" s="507"/>
      <c r="F313" s="507"/>
    </row>
    <row r="314" customFormat="false" ht="18.75" hidden="false" customHeight="true" outlineLevel="0" collapsed="false">
      <c r="B314" s="490" t="n">
        <f aca="false">B313+1</f>
        <v>46241</v>
      </c>
      <c r="C314" s="490" t="str">
        <f aca="false">TEXT(B314,"aaa")</f>
        <v>Fri</v>
      </c>
      <c r="D314" s="507"/>
      <c r="E314" s="507"/>
      <c r="F314" s="507"/>
    </row>
    <row r="315" customFormat="false" ht="18.75" hidden="false" customHeight="true" outlineLevel="0" collapsed="false">
      <c r="B315" s="510" t="n">
        <f aca="false">B314+1</f>
        <v>46242</v>
      </c>
      <c r="C315" s="510" t="str">
        <f aca="false">TEXT(B315,"aaa")</f>
        <v>Sat</v>
      </c>
      <c r="D315" s="507"/>
      <c r="E315" s="507"/>
      <c r="F315" s="507"/>
    </row>
    <row r="316" customFormat="false" ht="18.75" hidden="false" customHeight="true" outlineLevel="0" collapsed="false">
      <c r="B316" s="511" t="n">
        <f aca="false">B315+1</f>
        <v>46243</v>
      </c>
      <c r="C316" s="511" t="str">
        <f aca="false">TEXT(B316,"aaa")</f>
        <v>Sun</v>
      </c>
      <c r="D316" s="507"/>
      <c r="E316" s="507"/>
      <c r="F316" s="507"/>
    </row>
    <row r="317" customFormat="false" ht="18.75" hidden="false" customHeight="true" outlineLevel="0" collapsed="false">
      <c r="B317" s="490" t="n">
        <f aca="false">B316+1</f>
        <v>46244</v>
      </c>
      <c r="C317" s="490" t="str">
        <f aca="false">TEXT(B317,"aaa")</f>
        <v>Mon</v>
      </c>
      <c r="D317" s="507"/>
      <c r="E317" s="507"/>
      <c r="F317" s="507"/>
    </row>
    <row r="318" customFormat="false" ht="18.75" hidden="false" customHeight="true" outlineLevel="0" collapsed="false">
      <c r="B318" s="512" t="n">
        <f aca="false">B317+1</f>
        <v>46245</v>
      </c>
      <c r="C318" s="512" t="str">
        <f aca="false">TEXT(B318,"aaa")</f>
        <v>Tue</v>
      </c>
      <c r="D318" s="507"/>
      <c r="E318" s="507"/>
      <c r="F318" s="507"/>
    </row>
    <row r="319" customFormat="false" ht="18.75" hidden="false" customHeight="true" outlineLevel="0" collapsed="false">
      <c r="B319" s="490" t="n">
        <f aca="false">B318+1</f>
        <v>46246</v>
      </c>
      <c r="C319" s="490" t="str">
        <f aca="false">TEXT(B319,"aaa")</f>
        <v>Wed</v>
      </c>
      <c r="D319" s="507"/>
      <c r="E319" s="507"/>
      <c r="F319" s="507"/>
    </row>
    <row r="320" customFormat="false" ht="18.75" hidden="false" customHeight="true" outlineLevel="0" collapsed="false">
      <c r="B320" s="490" t="n">
        <f aca="false">B319+1</f>
        <v>46247</v>
      </c>
      <c r="C320" s="490" t="str">
        <f aca="false">TEXT(B320,"aaa")</f>
        <v>Thu</v>
      </c>
      <c r="D320" s="507"/>
      <c r="E320" s="507"/>
      <c r="F320" s="507"/>
    </row>
    <row r="321" customFormat="false" ht="18.75" hidden="false" customHeight="true" outlineLevel="0" collapsed="false">
      <c r="B321" s="490" t="n">
        <f aca="false">B320+1</f>
        <v>46248</v>
      </c>
      <c r="C321" s="490" t="str">
        <f aca="false">TEXT(B321,"aaa")</f>
        <v>Fri</v>
      </c>
      <c r="D321" s="507"/>
      <c r="E321" s="507"/>
      <c r="F321" s="507"/>
    </row>
    <row r="322" customFormat="false" ht="18.75" hidden="false" customHeight="true" outlineLevel="0" collapsed="false">
      <c r="B322" s="510" t="n">
        <f aca="false">B321+1</f>
        <v>46249</v>
      </c>
      <c r="C322" s="510" t="str">
        <f aca="false">TEXT(B322,"aaa")</f>
        <v>Sat</v>
      </c>
      <c r="D322" s="507"/>
      <c r="E322" s="507"/>
      <c r="F322" s="507"/>
    </row>
    <row r="323" customFormat="false" ht="18.75" hidden="false" customHeight="true" outlineLevel="0" collapsed="false">
      <c r="B323" s="511" t="n">
        <f aca="false">B322+1</f>
        <v>46250</v>
      </c>
      <c r="C323" s="511" t="str">
        <f aca="false">TEXT(B323,"aaa")</f>
        <v>Sun</v>
      </c>
      <c r="D323" s="507"/>
      <c r="E323" s="507"/>
      <c r="F323" s="507"/>
    </row>
    <row r="324" customFormat="false" ht="18.75" hidden="false" customHeight="true" outlineLevel="0" collapsed="false">
      <c r="B324" s="490" t="n">
        <f aca="false">B323+1</f>
        <v>46251</v>
      </c>
      <c r="C324" s="490" t="str">
        <f aca="false">TEXT(B324,"aaa")</f>
        <v>Mon</v>
      </c>
      <c r="D324" s="507"/>
      <c r="E324" s="507"/>
      <c r="F324" s="507"/>
    </row>
    <row r="325" customFormat="false" ht="18.75" hidden="false" customHeight="true" outlineLevel="0" collapsed="false">
      <c r="B325" s="490" t="n">
        <f aca="false">B324+1</f>
        <v>46252</v>
      </c>
      <c r="C325" s="490" t="str">
        <f aca="false">TEXT(B325,"aaa")</f>
        <v>Tue</v>
      </c>
      <c r="D325" s="507"/>
      <c r="E325" s="507"/>
      <c r="F325" s="507"/>
    </row>
    <row r="326" customFormat="false" ht="18.75" hidden="false" customHeight="true" outlineLevel="0" collapsed="false">
      <c r="B326" s="490" t="n">
        <f aca="false">B325+1</f>
        <v>46253</v>
      </c>
      <c r="C326" s="490" t="str">
        <f aca="false">TEXT(B326,"aaa")</f>
        <v>Wed</v>
      </c>
      <c r="D326" s="507"/>
      <c r="E326" s="507"/>
      <c r="F326" s="507"/>
    </row>
    <row r="327" customFormat="false" ht="18.75" hidden="false" customHeight="true" outlineLevel="0" collapsed="false">
      <c r="B327" s="490" t="n">
        <f aca="false">B326+1</f>
        <v>46254</v>
      </c>
      <c r="C327" s="490" t="str">
        <f aca="false">TEXT(B327,"aaa")</f>
        <v>Thu</v>
      </c>
      <c r="D327" s="507"/>
      <c r="E327" s="507"/>
      <c r="F327" s="507"/>
    </row>
    <row r="328" customFormat="false" ht="18.75" hidden="false" customHeight="true" outlineLevel="0" collapsed="false">
      <c r="B328" s="490" t="n">
        <f aca="false">B327+1</f>
        <v>46255</v>
      </c>
      <c r="C328" s="490" t="str">
        <f aca="false">TEXT(B328,"aaa")</f>
        <v>Fri</v>
      </c>
      <c r="D328" s="507"/>
      <c r="E328" s="507"/>
      <c r="F328" s="507"/>
    </row>
    <row r="329" customFormat="false" ht="18.75" hidden="false" customHeight="true" outlineLevel="0" collapsed="false">
      <c r="B329" s="510" t="n">
        <f aca="false">B328+1</f>
        <v>46256</v>
      </c>
      <c r="C329" s="510" t="str">
        <f aca="false">TEXT(B329,"aaa")</f>
        <v>Sat</v>
      </c>
      <c r="D329" s="507"/>
      <c r="E329" s="507"/>
      <c r="F329" s="507"/>
    </row>
    <row r="330" customFormat="false" ht="18.75" hidden="false" customHeight="true" outlineLevel="0" collapsed="false">
      <c r="B330" s="511" t="n">
        <f aca="false">B329+1</f>
        <v>46257</v>
      </c>
      <c r="C330" s="511" t="str">
        <f aca="false">TEXT(B330,"aaa")</f>
        <v>Sun</v>
      </c>
      <c r="D330" s="507"/>
      <c r="E330" s="507"/>
      <c r="F330" s="507"/>
    </row>
    <row r="331" customFormat="false" ht="18.75" hidden="false" customHeight="true" outlineLevel="0" collapsed="false">
      <c r="B331" s="490" t="n">
        <f aca="false">B330+1</f>
        <v>46258</v>
      </c>
      <c r="C331" s="490" t="str">
        <f aca="false">TEXT(B331,"aaa")</f>
        <v>Mon</v>
      </c>
      <c r="D331" s="507"/>
      <c r="E331" s="507"/>
      <c r="F331" s="507"/>
    </row>
    <row r="332" customFormat="false" ht="18.75" hidden="false" customHeight="true" outlineLevel="0" collapsed="false">
      <c r="B332" s="490" t="n">
        <f aca="false">B331+1</f>
        <v>46259</v>
      </c>
      <c r="C332" s="490" t="str">
        <f aca="false">TEXT(B332,"aaa")</f>
        <v>Tue</v>
      </c>
      <c r="D332" s="507"/>
      <c r="E332" s="507"/>
      <c r="F332" s="507"/>
    </row>
    <row r="333" customFormat="false" ht="18.75" hidden="false" customHeight="true" outlineLevel="0" collapsed="false">
      <c r="B333" s="490" t="n">
        <f aca="false">B332+1</f>
        <v>46260</v>
      </c>
      <c r="C333" s="490" t="str">
        <f aca="false">TEXT(B333,"aaa")</f>
        <v>Wed</v>
      </c>
      <c r="D333" s="507"/>
      <c r="E333" s="507"/>
      <c r="F333" s="507"/>
    </row>
    <row r="334" customFormat="false" ht="18.75" hidden="false" customHeight="true" outlineLevel="0" collapsed="false">
      <c r="B334" s="490" t="n">
        <f aca="false">B333+1</f>
        <v>46261</v>
      </c>
      <c r="C334" s="490" t="str">
        <f aca="false">TEXT(B334,"aaa")</f>
        <v>Thu</v>
      </c>
      <c r="D334" s="507"/>
      <c r="E334" s="507"/>
      <c r="F334" s="507"/>
    </row>
    <row r="335" customFormat="false" ht="18.75" hidden="false" customHeight="true" outlineLevel="0" collapsed="false">
      <c r="B335" s="490" t="n">
        <f aca="false">B334+1</f>
        <v>46262</v>
      </c>
      <c r="C335" s="490" t="str">
        <f aca="false">TEXT(B335,"aaa")</f>
        <v>Fri</v>
      </c>
      <c r="D335" s="507"/>
      <c r="E335" s="507"/>
      <c r="F335" s="507"/>
    </row>
    <row r="336" customFormat="false" ht="18.75" hidden="false" customHeight="true" outlineLevel="0" collapsed="false">
      <c r="B336" s="510" t="n">
        <f aca="false">B335+1</f>
        <v>46263</v>
      </c>
      <c r="C336" s="510" t="str">
        <f aca="false">TEXT(B336,"aaa")</f>
        <v>Sat</v>
      </c>
      <c r="D336" s="507"/>
      <c r="E336" s="507"/>
      <c r="F336" s="507"/>
    </row>
    <row r="337" customFormat="false" ht="18.75" hidden="false" customHeight="true" outlineLevel="0" collapsed="false">
      <c r="B337" s="511" t="n">
        <f aca="false">B336+1</f>
        <v>46264</v>
      </c>
      <c r="C337" s="511" t="str">
        <f aca="false">TEXT(B337,"aaa")</f>
        <v>Sun</v>
      </c>
      <c r="D337" s="507"/>
      <c r="E337" s="507"/>
      <c r="F337" s="507"/>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90625" defaultRowHeight="18" zeroHeight="false" outlineLevelRow="0" outlineLevelCol="0"/>
  <sheetData>
    <row r="2" customFormat="false" ht="18" hidden="false" customHeight="true" outlineLevel="0" collapsed="false">
      <c r="B2" s="475" t="s">
        <v>579</v>
      </c>
      <c r="C2" s="475" t="s">
        <v>445</v>
      </c>
      <c r="D2" s="475" t="s">
        <v>450</v>
      </c>
      <c r="E2" s="475" t="s">
        <v>453</v>
      </c>
      <c r="S2" s="475" t="s">
        <v>579</v>
      </c>
      <c r="T2" s="475" t="s">
        <v>445</v>
      </c>
    </row>
    <row r="3" customFormat="false" ht="18" hidden="false" customHeight="true" outlineLevel="0" collapsed="false">
      <c r="B3" s="2" t="s">
        <v>580</v>
      </c>
      <c r="C3" s="475" t="n">
        <v>50</v>
      </c>
      <c r="D3" s="475" t="n">
        <v>10</v>
      </c>
      <c r="E3" s="475" t="n">
        <v>20</v>
      </c>
      <c r="S3" s="2" t="s">
        <v>580</v>
      </c>
      <c r="T3" s="475" t="n">
        <v>50</v>
      </c>
    </row>
    <row r="4" customFormat="false" ht="18" hidden="false" customHeight="true" outlineLevel="0" collapsed="false">
      <c r="B4" s="2" t="s">
        <v>581</v>
      </c>
      <c r="C4" s="475" t="n">
        <v>55</v>
      </c>
      <c r="D4" s="475" t="n">
        <v>25</v>
      </c>
      <c r="E4" s="475" t="n">
        <v>22</v>
      </c>
      <c r="S4" s="2" t="s">
        <v>581</v>
      </c>
      <c r="T4" s="475" t="n">
        <v>55</v>
      </c>
    </row>
    <row r="5" customFormat="false" ht="18" hidden="false" customHeight="true" outlineLevel="0" collapsed="false">
      <c r="B5" s="2" t="s">
        <v>582</v>
      </c>
      <c r="C5" s="475" t="n">
        <v>52</v>
      </c>
      <c r="D5" s="475" t="n">
        <v>45</v>
      </c>
      <c r="E5" s="475" t="n">
        <v>25</v>
      </c>
      <c r="S5" s="2" t="s">
        <v>582</v>
      </c>
      <c r="T5" s="475" t="n">
        <v>52</v>
      </c>
    </row>
    <row r="6" customFormat="false" ht="18" hidden="false" customHeight="true" outlineLevel="0" collapsed="false">
      <c r="B6" s="2" t="s">
        <v>583</v>
      </c>
      <c r="C6" s="475" t="n">
        <v>50</v>
      </c>
      <c r="D6" s="475" t="n">
        <v>70</v>
      </c>
      <c r="E6" s="475" t="n">
        <v>25</v>
      </c>
      <c r="S6" s="2" t="s">
        <v>583</v>
      </c>
      <c r="T6" s="475" t="n">
        <v>80</v>
      </c>
    </row>
    <row r="16" customFormat="false" ht="18" hidden="false" customHeight="true" outlineLevel="0" collapsed="false">
      <c r="AF16" s="2" t="s">
        <v>584</v>
      </c>
    </row>
    <row r="18" customFormat="false" ht="18" hidden="false" customHeight="true" outlineLevel="0" collapsed="false">
      <c r="B18" s="475" t="s">
        <v>579</v>
      </c>
      <c r="C18" s="475" t="s">
        <v>445</v>
      </c>
      <c r="D18" s="475" t="s">
        <v>450</v>
      </c>
      <c r="E18" s="475" t="s">
        <v>453</v>
      </c>
    </row>
    <row r="19" customFormat="false" ht="18" hidden="false" customHeight="true" outlineLevel="0" collapsed="false">
      <c r="B19" s="475" t="s">
        <v>585</v>
      </c>
      <c r="C19" s="475" t="n">
        <v>100</v>
      </c>
      <c r="D19" s="475" t="n">
        <v>100</v>
      </c>
      <c r="E19" s="475" t="n">
        <v>100</v>
      </c>
      <c r="S19" s="475" t="s">
        <v>579</v>
      </c>
      <c r="T19" s="475" t="s">
        <v>445</v>
      </c>
    </row>
    <row r="20" customFormat="false" ht="18" hidden="false" customHeight="true" outlineLevel="0" collapsed="false">
      <c r="B20" s="475" t="s">
        <v>586</v>
      </c>
      <c r="C20" s="475" t="n">
        <v>105</v>
      </c>
      <c r="D20" s="475" t="n">
        <v>90</v>
      </c>
      <c r="E20" s="475" t="n">
        <v>110</v>
      </c>
      <c r="S20" s="2" t="s">
        <v>580</v>
      </c>
      <c r="T20" s="475" t="n">
        <v>50</v>
      </c>
    </row>
    <row r="21" customFormat="false" ht="18" hidden="false" customHeight="true" outlineLevel="0" collapsed="false">
      <c r="B21" s="475" t="s">
        <v>587</v>
      </c>
      <c r="C21" s="475" t="n">
        <v>110</v>
      </c>
      <c r="D21" s="475" t="n">
        <v>75</v>
      </c>
      <c r="E21" s="475" t="n">
        <v>90</v>
      </c>
      <c r="S21" s="2" t="s">
        <v>581</v>
      </c>
      <c r="T21" s="475" t="n">
        <v>55</v>
      </c>
    </row>
    <row r="22" customFormat="false" ht="18" hidden="false" customHeight="true" outlineLevel="0" collapsed="false">
      <c r="B22" s="475" t="s">
        <v>588</v>
      </c>
      <c r="C22" s="475" t="n">
        <v>115</v>
      </c>
      <c r="D22" s="475" t="n">
        <v>60</v>
      </c>
      <c r="E22" s="475" t="n">
        <v>80</v>
      </c>
      <c r="S22" s="2" t="s">
        <v>582</v>
      </c>
      <c r="T22" s="475" t="n">
        <v>52</v>
      </c>
    </row>
    <row r="23" customFormat="false" ht="18" hidden="false" customHeight="true" outlineLevel="0" collapsed="false">
      <c r="B23" s="475" t="s">
        <v>589</v>
      </c>
      <c r="C23" s="475" t="n">
        <v>120</v>
      </c>
      <c r="D23" s="475" t="n">
        <v>55</v>
      </c>
      <c r="E23" s="475" t="n">
        <v>45</v>
      </c>
      <c r="S23" s="2" t="s">
        <v>583</v>
      </c>
      <c r="T23" s="475" t="n">
        <v>80</v>
      </c>
    </row>
    <row r="33" customFormat="false" ht="18" hidden="false" customHeight="true" outlineLevel="0" collapsed="false">
      <c r="B33" s="475" t="s">
        <v>579</v>
      </c>
      <c r="C33" s="2" t="s">
        <v>590</v>
      </c>
    </row>
    <row r="34" customFormat="false" ht="18" hidden="false" customHeight="true" outlineLevel="0" collapsed="false">
      <c r="B34" s="475" t="s">
        <v>445</v>
      </c>
      <c r="C34" s="475" t="n">
        <v>60</v>
      </c>
    </row>
    <row r="35" customFormat="false" ht="18" hidden="false" customHeight="true" outlineLevel="0" collapsed="false">
      <c r="B35" s="475" t="s">
        <v>450</v>
      </c>
      <c r="C35" s="475" t="n">
        <v>20</v>
      </c>
    </row>
    <row r="36" customFormat="false" ht="18" hidden="false" customHeight="true" outlineLevel="0" collapsed="false">
      <c r="B36" s="475" t="s">
        <v>453</v>
      </c>
      <c r="C36" s="475" t="n">
        <v>15</v>
      </c>
    </row>
    <row r="37" customFormat="false" ht="18" hidden="false" customHeight="true" outlineLevel="0" collapsed="false">
      <c r="B37" s="475" t="s">
        <v>455</v>
      </c>
      <c r="C37" s="475" t="n">
        <v>5</v>
      </c>
    </row>
    <row r="51" customFormat="false" ht="18" hidden="false" customHeight="true" outlineLevel="0" collapsed="false">
      <c r="B51" s="475" t="s">
        <v>579</v>
      </c>
      <c r="C51" s="475" t="s">
        <v>591</v>
      </c>
      <c r="D51" s="475" t="s">
        <v>592</v>
      </c>
      <c r="E51" s="475" t="s">
        <v>593</v>
      </c>
    </row>
    <row r="52" customFormat="false" ht="18" hidden="false" customHeight="true" outlineLevel="0" collapsed="false">
      <c r="B52" s="475" t="s">
        <v>455</v>
      </c>
      <c r="C52" s="475" t="n">
        <v>4.3</v>
      </c>
      <c r="D52" s="475" t="n">
        <v>2.4</v>
      </c>
      <c r="E52" s="475" t="n">
        <v>2</v>
      </c>
    </row>
    <row r="53" customFormat="false" ht="18" hidden="false" customHeight="true" outlineLevel="0" collapsed="false">
      <c r="B53" s="475" t="s">
        <v>453</v>
      </c>
      <c r="C53" s="475" t="n">
        <v>2.5</v>
      </c>
      <c r="D53" s="475" t="n">
        <v>4.4</v>
      </c>
      <c r="E53" s="475" t="n">
        <v>2</v>
      </c>
    </row>
    <row r="54" customFormat="false" ht="18" hidden="false" customHeight="true" outlineLevel="0" collapsed="false">
      <c r="B54" s="475" t="s">
        <v>450</v>
      </c>
      <c r="C54" s="475" t="n">
        <v>3.5</v>
      </c>
      <c r="D54" s="475" t="n">
        <v>1.8</v>
      </c>
      <c r="E54" s="475" t="n">
        <v>3</v>
      </c>
    </row>
    <row r="55" customFormat="false" ht="18" hidden="false" customHeight="true" outlineLevel="0" collapsed="false">
      <c r="B55" s="475" t="s">
        <v>445</v>
      </c>
      <c r="C55" s="475" t="n">
        <v>4.5</v>
      </c>
      <c r="D55" s="475" t="n">
        <v>2.8</v>
      </c>
      <c r="E55" s="475"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90625" defaultRowHeight="18" zeroHeight="false" outlineLevelRow="0" outlineLevelCol="0"/>
  <cols>
    <col collapsed="false" customWidth="true" hidden="false" outlineLevel="0" max="5" min="2" style="20" width="16.13"/>
    <col collapsed="false" customWidth="true" hidden="false" outlineLevel="0" max="6" min="6" style="20" width="55.5"/>
  </cols>
  <sheetData>
    <row r="2" customFormat="false" ht="19.5" hidden="false" customHeight="true" outlineLevel="0" collapsed="false">
      <c r="B2" s="61" t="s">
        <v>594</v>
      </c>
      <c r="C2" s="177" t="s">
        <v>594</v>
      </c>
      <c r="D2" s="177" t="s">
        <v>594</v>
      </c>
      <c r="E2" s="177" t="s">
        <v>594</v>
      </c>
      <c r="F2" s="178" t="s">
        <v>594</v>
      </c>
    </row>
    <row r="3" customFormat="false" ht="22.5" hidden="false" customHeight="true" outlineLevel="0" collapsed="false">
      <c r="B3" s="289" t="s">
        <v>595</v>
      </c>
      <c r="C3" s="415" t="s">
        <v>596</v>
      </c>
      <c r="D3" s="415" t="s">
        <v>596</v>
      </c>
      <c r="E3" s="415" t="s">
        <v>596</v>
      </c>
      <c r="F3" s="454" t="s">
        <v>496</v>
      </c>
    </row>
    <row r="4" customFormat="false" ht="22.5" hidden="false" customHeight="true" outlineLevel="0" collapsed="false">
      <c r="B4" s="145" t="s">
        <v>595</v>
      </c>
      <c r="C4" s="389" t="s">
        <v>596</v>
      </c>
      <c r="D4" s="389" t="s">
        <v>596</v>
      </c>
      <c r="E4" s="459" t="s">
        <v>596</v>
      </c>
      <c r="F4" s="460" t="s">
        <v>496</v>
      </c>
    </row>
    <row r="5" customFormat="false" ht="22.5" hidden="false" customHeight="true" outlineLevel="0" collapsed="false">
      <c r="B5" s="145" t="s">
        <v>595</v>
      </c>
      <c r="C5" s="389" t="s">
        <v>596</v>
      </c>
      <c r="D5" s="389" t="s">
        <v>596</v>
      </c>
      <c r="E5" s="459" t="s">
        <v>596</v>
      </c>
      <c r="F5" s="461" t="s">
        <v>496</v>
      </c>
    </row>
    <row r="6" customFormat="false" ht="22.5" hidden="false" customHeight="true" outlineLevel="0" collapsed="false">
      <c r="B6" s="145" t="s">
        <v>595</v>
      </c>
      <c r="C6" s="389" t="s">
        <v>596</v>
      </c>
      <c r="D6" s="389" t="s">
        <v>596</v>
      </c>
      <c r="E6" s="459" t="s">
        <v>596</v>
      </c>
      <c r="F6" s="461" t="s">
        <v>496</v>
      </c>
    </row>
    <row r="7" customFormat="false" ht="22.5" hidden="false" customHeight="true" outlineLevel="0" collapsed="false">
      <c r="B7" s="145" t="s">
        <v>595</v>
      </c>
      <c r="C7" s="389" t="s">
        <v>596</v>
      </c>
      <c r="D7" s="389" t="s">
        <v>596</v>
      </c>
      <c r="E7" s="459" t="s">
        <v>596</v>
      </c>
      <c r="F7" s="461" t="s">
        <v>496</v>
      </c>
    </row>
    <row r="8" customFormat="false" ht="22.5" hidden="false" customHeight="true" outlineLevel="0" collapsed="false">
      <c r="B8" s="145" t="s">
        <v>595</v>
      </c>
      <c r="C8" s="389" t="s">
        <v>596</v>
      </c>
      <c r="D8" s="389" t="s">
        <v>596</v>
      </c>
      <c r="E8" s="459" t="s">
        <v>596</v>
      </c>
      <c r="F8" s="461" t="s">
        <v>496</v>
      </c>
    </row>
    <row r="11" customFormat="false" ht="19.5" hidden="false" customHeight="true" outlineLevel="0" collapsed="false">
      <c r="B11" s="61" t="s">
        <v>594</v>
      </c>
      <c r="C11" s="177" t="s">
        <v>594</v>
      </c>
      <c r="D11" s="177" t="s">
        <v>594</v>
      </c>
      <c r="E11" s="177" t="s">
        <v>594</v>
      </c>
      <c r="F11" s="178" t="s">
        <v>594</v>
      </c>
    </row>
    <row r="12" customFormat="false" ht="19.5" hidden="false" customHeight="true" outlineLevel="0" collapsed="false">
      <c r="B12" s="515" t="s">
        <v>595</v>
      </c>
      <c r="C12" s="516" t="s">
        <v>596</v>
      </c>
      <c r="D12" s="516" t="s">
        <v>596</v>
      </c>
      <c r="E12" s="517" t="s">
        <v>596</v>
      </c>
      <c r="F12" s="518" t="s">
        <v>496</v>
      </c>
    </row>
    <row r="13" customFormat="false" ht="19.5" hidden="false" customHeight="true" outlineLevel="0" collapsed="false">
      <c r="B13" s="515"/>
      <c r="C13" s="389" t="s">
        <v>596</v>
      </c>
      <c r="D13" s="389" t="s">
        <v>596</v>
      </c>
      <c r="E13" s="519" t="s">
        <v>596</v>
      </c>
      <c r="F13" s="460" t="s">
        <v>496</v>
      </c>
    </row>
    <row r="14" customFormat="false" ht="19.5" hidden="false" customHeight="true" outlineLevel="0" collapsed="false">
      <c r="B14" s="145" t="s">
        <v>595</v>
      </c>
      <c r="C14" s="520" t="s">
        <v>596</v>
      </c>
      <c r="D14" s="520" t="s">
        <v>596</v>
      </c>
      <c r="E14" s="520" t="s">
        <v>596</v>
      </c>
      <c r="F14" s="521" t="s">
        <v>496</v>
      </c>
    </row>
    <row r="15" customFormat="false" ht="19.5" hidden="false" customHeight="true" outlineLevel="0" collapsed="false">
      <c r="B15" s="145"/>
      <c r="C15" s="389" t="s">
        <v>596</v>
      </c>
      <c r="D15" s="389" t="s">
        <v>596</v>
      </c>
      <c r="E15" s="389" t="s">
        <v>596</v>
      </c>
      <c r="F15" s="461" t="s">
        <v>496</v>
      </c>
    </row>
    <row r="16" customFormat="false" ht="19.5" hidden="false" customHeight="true" outlineLevel="0" collapsed="false">
      <c r="B16" s="145" t="s">
        <v>595</v>
      </c>
      <c r="C16" s="520" t="s">
        <v>596</v>
      </c>
      <c r="D16" s="520" t="s">
        <v>596</v>
      </c>
      <c r="E16" s="520" t="s">
        <v>596</v>
      </c>
      <c r="F16" s="521" t="s">
        <v>496</v>
      </c>
    </row>
    <row r="17" customFormat="false" ht="19.5" hidden="false" customHeight="true" outlineLevel="0" collapsed="false">
      <c r="B17" s="145"/>
      <c r="C17" s="389" t="s">
        <v>596</v>
      </c>
      <c r="D17" s="389" t="s">
        <v>596</v>
      </c>
      <c r="E17" s="389" t="s">
        <v>596</v>
      </c>
      <c r="F17" s="461" t="s">
        <v>496</v>
      </c>
    </row>
    <row r="20" customFormat="false" ht="19.5" hidden="false" customHeight="true" outlineLevel="0" collapsed="false">
      <c r="B20" s="61" t="s">
        <v>594</v>
      </c>
      <c r="C20" s="177" t="s">
        <v>594</v>
      </c>
      <c r="D20" s="522" t="s">
        <v>594</v>
      </c>
      <c r="E20" s="177" t="s">
        <v>594</v>
      </c>
    </row>
    <row r="21" customFormat="false" ht="18" hidden="false" customHeight="true" outlineLevel="0" collapsed="false">
      <c r="B21" s="515" t="s">
        <v>595</v>
      </c>
      <c r="C21" s="523" t="s">
        <v>596</v>
      </c>
      <c r="D21" s="524" t="s">
        <v>596</v>
      </c>
      <c r="E21" s="525" t="s">
        <v>596</v>
      </c>
    </row>
    <row r="22" customFormat="false" ht="18" hidden="false" customHeight="true" outlineLevel="0" collapsed="false">
      <c r="B22" s="515"/>
      <c r="C22" s="526" t="s">
        <v>596</v>
      </c>
      <c r="D22" s="527" t="s">
        <v>596</v>
      </c>
      <c r="E22" s="528" t="s">
        <v>596</v>
      </c>
    </row>
    <row r="23" customFormat="false" ht="18" hidden="false" customHeight="true" outlineLevel="0" collapsed="false">
      <c r="B23" s="145" t="s">
        <v>595</v>
      </c>
      <c r="C23" s="529" t="s">
        <v>596</v>
      </c>
      <c r="D23" s="530" t="s">
        <v>596</v>
      </c>
      <c r="E23" s="531" t="s">
        <v>596</v>
      </c>
    </row>
    <row r="24" customFormat="false" ht="18" hidden="false" customHeight="true" outlineLevel="0" collapsed="false">
      <c r="B24" s="145"/>
      <c r="C24" s="532" t="s">
        <v>596</v>
      </c>
      <c r="D24" s="533" t="s">
        <v>596</v>
      </c>
      <c r="E24" s="534" t="s">
        <v>596</v>
      </c>
    </row>
    <row r="25" customFormat="false" ht="18" hidden="false" customHeight="true" outlineLevel="0" collapsed="false">
      <c r="B25" s="145" t="s">
        <v>595</v>
      </c>
      <c r="C25" s="535" t="s">
        <v>596</v>
      </c>
      <c r="D25" s="536" t="s">
        <v>596</v>
      </c>
      <c r="E25" s="537" t="s">
        <v>596</v>
      </c>
    </row>
    <row r="26" customFormat="false" ht="18.75" hidden="false" customHeight="true" outlineLevel="0" collapsed="false">
      <c r="B26" s="145"/>
      <c r="C26" s="526" t="s">
        <v>596</v>
      </c>
      <c r="D26" s="538" t="s">
        <v>596</v>
      </c>
      <c r="E26" s="534" t="s">
        <v>596</v>
      </c>
    </row>
    <row r="27" customFormat="false" ht="18.75" hidden="false" customHeight="true" outlineLevel="0" collapsed="false">
      <c r="D27" s="539"/>
    </row>
    <row r="29" customFormat="false" ht="19.5" hidden="false" customHeight="true" outlineLevel="0" collapsed="false">
      <c r="B29" s="61" t="s">
        <v>594</v>
      </c>
      <c r="C29" s="177" t="s">
        <v>594</v>
      </c>
      <c r="D29" s="177" t="s">
        <v>594</v>
      </c>
      <c r="E29" s="177" t="s">
        <v>594</v>
      </c>
    </row>
    <row r="30" customFormat="false" ht="18" hidden="false" customHeight="true" outlineLevel="0" collapsed="false">
      <c r="B30" s="515" t="s">
        <v>595</v>
      </c>
      <c r="C30" s="516" t="s">
        <v>596</v>
      </c>
      <c r="D30" s="516" t="s">
        <v>596</v>
      </c>
      <c r="E30" s="517" t="s">
        <v>596</v>
      </c>
    </row>
    <row r="31" customFormat="false" ht="18" hidden="false" customHeight="true" outlineLevel="0" collapsed="false">
      <c r="B31" s="515"/>
      <c r="C31" s="389" t="s">
        <v>596</v>
      </c>
      <c r="D31" s="389" t="s">
        <v>596</v>
      </c>
      <c r="E31" s="519" t="s">
        <v>596</v>
      </c>
    </row>
    <row r="32" customFormat="false" ht="18" hidden="false" customHeight="true" outlineLevel="0" collapsed="false">
      <c r="B32" s="540" t="s">
        <v>595</v>
      </c>
      <c r="C32" s="520" t="s">
        <v>596</v>
      </c>
      <c r="D32" s="520" t="s">
        <v>596</v>
      </c>
      <c r="E32" s="520" t="s">
        <v>596</v>
      </c>
    </row>
    <row r="33" customFormat="false" ht="18.75" hidden="false" customHeight="true" outlineLevel="0" collapsed="false">
      <c r="B33" s="540"/>
      <c r="C33" s="541" t="s">
        <v>596</v>
      </c>
      <c r="D33" s="541" t="s">
        <v>596</v>
      </c>
      <c r="E33" s="541" t="s">
        <v>596</v>
      </c>
    </row>
    <row r="34" customFormat="false" ht="18.75" hidden="false" customHeight="true" outlineLevel="0" collapsed="false">
      <c r="B34" s="542" t="s">
        <v>595</v>
      </c>
      <c r="C34" s="543" t="s">
        <v>596</v>
      </c>
      <c r="D34" s="543" t="s">
        <v>596</v>
      </c>
      <c r="E34" s="544" t="s">
        <v>596</v>
      </c>
      <c r="F34" s="545"/>
    </row>
    <row r="35" customFormat="false" ht="18.75" hidden="false" customHeight="true" outlineLevel="0" collapsed="false">
      <c r="B35" s="542"/>
      <c r="C35" s="546" t="s">
        <v>596</v>
      </c>
      <c r="D35" s="546" t="s">
        <v>596</v>
      </c>
      <c r="E35" s="547" t="s">
        <v>596</v>
      </c>
      <c r="F35" s="545"/>
    </row>
    <row r="36" customFormat="false" ht="18.75" hidden="false" customHeight="true" outlineLevel="0" collapsed="false">
      <c r="B36" s="539"/>
      <c r="C36" s="539"/>
      <c r="D36" s="539"/>
      <c r="E36" s="539"/>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2026-07-28T13:52:57Z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