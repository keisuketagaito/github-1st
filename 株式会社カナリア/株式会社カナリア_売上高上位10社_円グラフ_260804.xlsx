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売上高　上位10社" sheetId="1" state="visible" r:id="rId1"/>
    <sheet xmlns:r="http://schemas.openxmlformats.org/officeDocument/2006/relationships" name="仕入等支払実績　8割程度" sheetId="2" state="visible" r:id="rId2"/>
  </sheets>
  <definedNames/>
  <calcPr calcId="191029" fullCalcOnLoad="1" refMode="R1C1"/>
</workbook>
</file>

<file path=xl/styles.xml><?xml version="1.0" encoding="utf-8"?>
<styleSheet xmlns="http://schemas.openxmlformats.org/spreadsheetml/2006/main">
  <numFmts count="3">
    <numFmt numFmtId="164" formatCode="#,##0_);[Red]\(#,##0\)"/>
    <numFmt numFmtId="165" formatCode="#,##0_ "/>
    <numFmt numFmtId="166" formatCode="#,##0,;\△#,##0,;\-"/>
  </numFmts>
  <fonts count="8">
    <font>
      <name val="游ゴシック"/>
      <charset val="128"/>
      <family val="2"/>
      <color theme="1"/>
      <sz val="11"/>
      <scheme val="minor"/>
    </font>
    <font>
      <name val="ＭＳ Ｐゴシック"/>
      <charset val="128"/>
      <family val="3"/>
      <sz val="11"/>
    </font>
    <font>
      <name val="游ゴシック"/>
      <charset val="128"/>
      <family val="3"/>
      <sz val="11"/>
    </font>
    <font>
      <name val="游ゴシック"/>
      <charset val="128"/>
      <family val="2"/>
      <sz val="6"/>
      <scheme val="minor"/>
    </font>
    <font>
      <name val="游ゴシック"/>
      <charset val="128"/>
      <family val="3"/>
      <b val="1"/>
      <color theme="1"/>
      <sz val="11"/>
      <scheme val="minor"/>
    </font>
    <font>
      <name val="游ゴシック"/>
      <charset val="128"/>
      <family val="3"/>
      <color theme="1"/>
      <sz val="11"/>
    </font>
    <font>
      <name val="游ゴシック"/>
      <charset val="128"/>
      <family val="3"/>
      <b val="1"/>
      <color theme="1"/>
      <sz val="11"/>
    </font>
    <font>
      <name val="游ゴシック"/>
      <color rgb="FF595959"/>
      <sz val="9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thin">
        <color indexed="64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</borders>
  <cellStyleXfs count="2">
    <xf numFmtId="0" fontId="0" fillId="0" borderId="0" applyAlignment="1">
      <alignment vertical="center"/>
    </xf>
    <xf numFmtId="0" fontId="1" fillId="0" borderId="0"/>
  </cellStyleXfs>
  <cellXfs count="65">
    <xf numFmtId="0" fontId="0" fillId="0" borderId="0" applyAlignment="1" pivotButton="0" quotePrefix="0" xfId="0">
      <alignment vertical="center"/>
    </xf>
    <xf numFmtId="49" fontId="2" fillId="0" borderId="1" pivotButton="0" quotePrefix="0" xfId="1"/>
    <xf numFmtId="49" fontId="2" fillId="0" borderId="3" pivotButton="0" quotePrefix="0" xfId="1"/>
    <xf numFmtId="49" fontId="2" fillId="0" borderId="5" pivotButton="0" quotePrefix="0" xfId="1"/>
    <xf numFmtId="164" fontId="0" fillId="0" borderId="6" applyAlignment="1" pivotButton="0" quotePrefix="0" xfId="0">
      <alignment horizontal="right" vertical="center"/>
    </xf>
    <xf numFmtId="164" fontId="0" fillId="0" borderId="2" applyAlignment="1" pivotButton="0" quotePrefix="0" xfId="0">
      <alignment horizontal="right" vertical="center"/>
    </xf>
    <xf numFmtId="164" fontId="2" fillId="0" borderId="2" applyAlignment="1" pivotButton="0" quotePrefix="0" xfId="1">
      <alignment horizontal="right"/>
    </xf>
    <xf numFmtId="164" fontId="0" fillId="0" borderId="4" applyAlignment="1" pivotButton="0" quotePrefix="0" xfId="0">
      <alignment horizontal="right" vertical="center"/>
    </xf>
    <xf numFmtId="0" fontId="4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49" fontId="2" fillId="0" borderId="9" pivotButton="0" quotePrefix="0" xfId="1"/>
    <xf numFmtId="0" fontId="0" fillId="0" borderId="9" applyAlignment="1" pivotButton="0" quotePrefix="0" xfId="0">
      <alignment vertical="center"/>
    </xf>
    <xf numFmtId="165" fontId="4" fillId="0" borderId="0" applyAlignment="1" pivotButton="0" quotePrefix="0" xfId="0">
      <alignment vertical="center"/>
    </xf>
    <xf numFmtId="0" fontId="4" fillId="0" borderId="11" applyAlignment="1" pivotButton="0" quotePrefix="0" xfId="0">
      <alignment horizontal="center" vertical="center"/>
    </xf>
    <xf numFmtId="164" fontId="0" fillId="0" borderId="14" applyAlignment="1" pivotButton="0" quotePrefix="0" xfId="0">
      <alignment horizontal="right" vertical="center"/>
    </xf>
    <xf numFmtId="0" fontId="4" fillId="0" borderId="10" applyAlignment="1" pivotButton="0" quotePrefix="0" xfId="0">
      <alignment horizontal="center" vertical="center"/>
    </xf>
    <xf numFmtId="0" fontId="0" fillId="0" borderId="17" applyAlignment="1" pivotButton="0" quotePrefix="0" xfId="0">
      <alignment vertical="center"/>
    </xf>
    <xf numFmtId="164" fontId="0" fillId="0" borderId="17" applyAlignment="1" pivotButton="0" quotePrefix="0" xfId="0">
      <alignment horizontal="right" vertical="center"/>
    </xf>
    <xf numFmtId="164" fontId="0" fillId="0" borderId="18" applyAlignment="1" pivotButton="0" quotePrefix="0" xfId="0">
      <alignment horizontal="right" vertical="center"/>
    </xf>
    <xf numFmtId="164" fontId="0" fillId="0" borderId="12" applyAlignment="1" pivotButton="0" quotePrefix="0" xfId="0">
      <alignment horizontal="right" vertical="center"/>
    </xf>
    <xf numFmtId="0" fontId="0" fillId="0" borderId="15" applyAlignment="1" pivotButton="0" quotePrefix="0" xfId="0">
      <alignment vertical="center"/>
    </xf>
    <xf numFmtId="164" fontId="0" fillId="0" borderId="16" applyAlignment="1" pivotButton="0" quotePrefix="0" xfId="0">
      <alignment horizontal="right" vertical="center"/>
    </xf>
    <xf numFmtId="164" fontId="0" fillId="0" borderId="13" applyAlignment="1" pivotButton="0" quotePrefix="0" xfId="0">
      <alignment horizontal="right" vertical="center"/>
    </xf>
    <xf numFmtId="0" fontId="0" fillId="0" borderId="16" applyAlignment="1" pivotButton="0" quotePrefix="0" xfId="0">
      <alignment vertical="center"/>
    </xf>
    <xf numFmtId="164" fontId="2" fillId="0" borderId="13" applyAlignment="1" pivotButton="0" quotePrefix="0" xfId="1">
      <alignment horizontal="right"/>
    </xf>
    <xf numFmtId="164" fontId="2" fillId="0" borderId="16" applyAlignment="1" pivotButton="0" quotePrefix="0" xfId="1">
      <alignment horizontal="right"/>
    </xf>
    <xf numFmtId="164" fontId="0" fillId="0" borderId="16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0" fillId="0" borderId="13" applyAlignment="1" pivotButton="0" quotePrefix="0" xfId="0">
      <alignment vertical="center"/>
    </xf>
    <xf numFmtId="49" fontId="2" fillId="0" borderId="19" pivotButton="0" quotePrefix="0" xfId="1"/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right" vertical="center"/>
    </xf>
    <xf numFmtId="0" fontId="6" fillId="0" borderId="7" applyAlignment="1" pivotButton="0" quotePrefix="0" xfId="0">
      <alignment horizontal="center" vertical="center"/>
    </xf>
    <xf numFmtId="0" fontId="6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vertical="center"/>
    </xf>
    <xf numFmtId="49" fontId="2" fillId="0" borderId="0" pivotButton="0" quotePrefix="0" xfId="1"/>
    <xf numFmtId="166" fontId="5" fillId="0" borderId="6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166" fontId="2" fillId="0" borderId="2" applyAlignment="1" pivotButton="0" quotePrefix="0" xfId="1">
      <alignment horizontal="right"/>
    </xf>
    <xf numFmtId="166" fontId="5" fillId="0" borderId="4" applyAlignment="1" pivotButton="0" quotePrefix="0" xfId="0">
      <alignment horizontal="right" vertical="center"/>
    </xf>
    <xf numFmtId="166" fontId="2" fillId="0" borderId="20" applyAlignment="1" pivotButton="0" quotePrefix="0" xfId="1">
      <alignment horizontal="right"/>
    </xf>
    <xf numFmtId="0" fontId="0" fillId="0" borderId="0" pivotButton="0" quotePrefix="0" xfId="0"/>
    <xf numFmtId="166" fontId="5" fillId="0" borderId="6" applyAlignment="1" pivotButton="0" quotePrefix="0" xfId="0">
      <alignment horizontal="right" vertical="center"/>
    </xf>
    <xf numFmtId="166" fontId="5" fillId="0" borderId="2" applyAlignment="1" pivotButton="0" quotePrefix="0" xfId="0">
      <alignment horizontal="right" vertical="center"/>
    </xf>
    <xf numFmtId="166" fontId="2" fillId="0" borderId="2" applyAlignment="1" pivotButton="0" quotePrefix="0" xfId="1">
      <alignment horizontal="right"/>
    </xf>
    <xf numFmtId="166" fontId="5" fillId="0" borderId="4" applyAlignment="1" pivotButton="0" quotePrefix="0" xfId="0">
      <alignment horizontal="right" vertical="center"/>
    </xf>
    <xf numFmtId="166" fontId="2" fillId="0" borderId="20" applyAlignment="1" pivotButton="0" quotePrefix="0" xfId="1">
      <alignment horizontal="right"/>
    </xf>
    <xf numFmtId="166" fontId="5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164" fontId="0" fillId="0" borderId="18" applyAlignment="1" pivotButton="0" quotePrefix="0" xfId="0">
      <alignment horizontal="right" vertical="center"/>
    </xf>
    <xf numFmtId="164" fontId="0" fillId="0" borderId="6" applyAlignment="1" pivotButton="0" quotePrefix="0" xfId="0">
      <alignment horizontal="right" vertical="center"/>
    </xf>
    <xf numFmtId="164" fontId="0" fillId="0" borderId="12" applyAlignment="1" pivotButton="0" quotePrefix="0" xfId="0">
      <alignment horizontal="right" vertical="center"/>
    </xf>
    <xf numFmtId="164" fontId="0" fillId="0" borderId="16" applyAlignment="1" pivotButton="0" quotePrefix="0" xfId="0">
      <alignment horizontal="right" vertical="center"/>
    </xf>
    <xf numFmtId="164" fontId="0" fillId="0" borderId="2" applyAlignment="1" pivotButton="0" quotePrefix="0" xfId="0">
      <alignment horizontal="right" vertical="center"/>
    </xf>
    <xf numFmtId="164" fontId="0" fillId="0" borderId="13" applyAlignment="1" pivotButton="0" quotePrefix="0" xfId="0">
      <alignment horizontal="right" vertical="center"/>
    </xf>
    <xf numFmtId="164" fontId="2" fillId="0" borderId="13" applyAlignment="1" pivotButton="0" quotePrefix="0" xfId="1">
      <alignment horizontal="right"/>
    </xf>
    <xf numFmtId="164" fontId="2" fillId="0" borderId="16" applyAlignment="1" pivotButton="0" quotePrefix="0" xfId="1">
      <alignment horizontal="right"/>
    </xf>
    <xf numFmtId="164" fontId="2" fillId="0" borderId="2" applyAlignment="1" pivotButton="0" quotePrefix="0" xfId="1">
      <alignment horizontal="right"/>
    </xf>
    <xf numFmtId="164" fontId="0" fillId="0" borderId="16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4" fontId="0" fillId="0" borderId="13" applyAlignment="1" pivotButton="0" quotePrefix="0" xfId="0">
      <alignment vertical="center"/>
    </xf>
    <xf numFmtId="164" fontId="0" fillId="0" borderId="17" applyAlignment="1" pivotButton="0" quotePrefix="0" xfId="0">
      <alignment horizontal="right" vertical="center"/>
    </xf>
    <xf numFmtId="164" fontId="0" fillId="0" borderId="4" applyAlignment="1" pivotButton="0" quotePrefix="0" xfId="0">
      <alignment horizontal="right" vertical="center"/>
    </xf>
    <xf numFmtId="164" fontId="0" fillId="0" borderId="14" applyAlignment="1" pivotButton="0" quotePrefix="0" xfId="0">
      <alignment horizontal="right" vertical="center"/>
    </xf>
    <xf numFmtId="165" fontId="4" fillId="0" borderId="0" applyAlignment="1" pivotButton="0" quotePrefix="0" xfId="0">
      <alignment vertical="center"/>
    </xf>
  </cellXfs>
  <cellStyles count="2">
    <cellStyle name="標準" xfId="0" builtinId="0"/>
    <cellStyle name="Normal 1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F1F1E"/>
                </a:solidFill>
              </a:defRPr>
            </a:pPr>
            <a:r>
              <a:t>2024年1月期（上位10社計 295,533千円）</a:t>
            </a:r>
          </a:p>
        </rich>
      </tx>
    </title>
    <plotArea>
      <pieChart>
        <varyColors val="1"/>
        <ser>
          <idx val="0"/>
          <order val="0"/>
          <tx>
            <strRef>
              <f>'売上高　上位10社'!B3</f>
            </strRef>
          </tx>
          <spPr>
            <a:ln xmlns:a="http://schemas.openxmlformats.org/drawingml/2006/main" w="19050">
              <a:solidFill>
                <a:srgbClr val="FFFFFF"/>
              </a:solidFill>
              <a:prstDash val="solid"/>
            </a:ln>
          </spPr>
          <dPt>
            <idx val="0"/>
            <spPr>
              <a:solidFill xmlns:a="http://schemas.openxmlformats.org/drawingml/2006/main">
                <a:srgbClr val="4A3AA7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B6834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1BAF7A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2A78D6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EDA100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2F2F2C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008300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585853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86867F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B9B9B1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cat>
            <numRef>
              <f>'売上高　上位10社'!$A$4:$A$13</f>
            </numRef>
          </cat>
          <val>
            <numRef>
              <f>'売上高　上位10社'!$B$4:$B$13</f>
            </numRef>
          </val>
        </ser>
        <dLbls>
          <numFmt formatCode="0.0%" sourceLinked="0"/>
          <txPr>
            <a:bodyPr xmlns:a="http://schemas.openxmlformats.org/drawingml/2006/main"/>
            <a:p xmlns:a="http://schemas.openxmlformats.org/drawingml/2006/main">
              <a:pPr>
                <a:defRPr sz="800" b="0">
                  <a:solidFill>
                    <a:srgbClr val="3D3D3B"/>
                  </a:solidFill>
                </a:defRPr>
              </a:pPr>
              <a:r>
                <a:t/>
              </a:r>
              <a:endParaRPr sz="800" b="0">
                <a:solidFill>
                  <a:srgbClr val="3D3D3B"/>
                </a:solidFill>
              </a:endParaRPr>
            </a:p>
          </txPr>
          <dLblPos val="outEnd"/>
          <showLegendKey val="0"/>
          <showVal val="0"/>
          <showCatName val="0"/>
          <showSerName val="0"/>
          <showPercent val="1"/>
          <showBubbleSize val="0"/>
          <showLeaderLines val="1"/>
        </dLbls>
        <firstSliceAng val="0"/>
      </pieChart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700" b="0">
              <a:solidFill>
                <a:srgbClr val="3D3D3B"/>
              </a:solidFill>
            </a:defRPr>
          </a:pPr>
          <a:r>
            <a:t/>
          </a:r>
          <a:endParaRPr sz="700" b="0">
            <a:solidFill>
              <a:srgbClr val="3D3D3B"/>
            </a:solidFill>
          </a:endParaRP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F1F1E"/>
                </a:solidFill>
              </a:defRPr>
            </a:pPr>
            <a:r>
              <a:t>2025年1月期（上位10社計 432,335千円）</a:t>
            </a:r>
          </a:p>
        </rich>
      </tx>
    </title>
    <plotArea>
      <pieChart>
        <varyColors val="1"/>
        <ser>
          <idx val="0"/>
          <order val="0"/>
          <tx>
            <strRef>
              <f>'売上高　上位10社'!D3</f>
            </strRef>
          </tx>
          <spPr>
            <a:ln xmlns:a="http://schemas.openxmlformats.org/drawingml/2006/main" w="19050">
              <a:solidFill>
                <a:srgbClr val="FFFFFF"/>
              </a:solidFill>
              <a:prstDash val="solid"/>
            </a:ln>
          </spPr>
          <dPt>
            <idx val="0"/>
            <spPr>
              <a:solidFill xmlns:a="http://schemas.openxmlformats.org/drawingml/2006/main">
                <a:srgbClr val="2A78D6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4A3AA7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008300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87BA4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EDA100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E34948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1BAF7A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EB6834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585853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2F2F2C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cat>
            <numRef>
              <f>'売上高　上位10社'!$C$4:$C$13</f>
            </numRef>
          </cat>
          <val>
            <numRef>
              <f>'売上高　上位10社'!$D$4:$D$13</f>
            </numRef>
          </val>
        </ser>
        <dLbls>
          <numFmt formatCode="0.0%" sourceLinked="0"/>
          <txPr>
            <a:bodyPr xmlns:a="http://schemas.openxmlformats.org/drawingml/2006/main"/>
            <a:p xmlns:a="http://schemas.openxmlformats.org/drawingml/2006/main">
              <a:pPr>
                <a:defRPr sz="800" b="0">
                  <a:solidFill>
                    <a:srgbClr val="3D3D3B"/>
                  </a:solidFill>
                </a:defRPr>
              </a:pPr>
              <a:r>
                <a:t/>
              </a:r>
              <a:endParaRPr sz="800" b="0">
                <a:solidFill>
                  <a:srgbClr val="3D3D3B"/>
                </a:solidFill>
              </a:endParaRPr>
            </a:p>
          </txPr>
          <dLblPos val="outEnd"/>
          <showLegendKey val="0"/>
          <showVal val="0"/>
          <showCatName val="0"/>
          <showSerName val="0"/>
          <showPercent val="1"/>
          <showBubbleSize val="0"/>
          <showLeaderLines val="1"/>
        </dLbls>
        <firstSliceAng val="0"/>
      </pieChart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700" b="0">
              <a:solidFill>
                <a:srgbClr val="3D3D3B"/>
              </a:solidFill>
            </a:defRPr>
          </a:pPr>
          <a:r>
            <a:t/>
          </a:r>
          <a:endParaRPr sz="700" b="0">
            <a:solidFill>
              <a:srgbClr val="3D3D3B"/>
            </a:solidFill>
          </a:endParaRPr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F1F1E"/>
                </a:solidFill>
              </a:defRPr>
            </a:pPr>
            <a:r>
              <a:t>2026年1月期（上位10社計 419,016千円）</a:t>
            </a:r>
          </a:p>
        </rich>
      </tx>
    </title>
    <plotArea>
      <pieChart>
        <varyColors val="1"/>
        <ser>
          <idx val="0"/>
          <order val="0"/>
          <tx>
            <strRef>
              <f>'売上高　上位10社'!F3</f>
            </strRef>
          </tx>
          <spPr>
            <a:ln xmlns:a="http://schemas.openxmlformats.org/drawingml/2006/main" w="19050">
              <a:solidFill>
                <a:srgbClr val="FFFFFF"/>
              </a:solidFill>
              <a:prstDash val="solid"/>
            </a:ln>
          </spPr>
          <dPt>
            <idx val="0"/>
            <spPr>
              <a:solidFill xmlns:a="http://schemas.openxmlformats.org/drawingml/2006/main">
                <a:srgbClr val="2A78D6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4A3AA7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DA100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87BA4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008300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1BAF7A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EB6834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B9B9B1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585853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86867F"/>
              </a:solidFill>
              <a:ln xmlns:a="http://schemas.openxmlformats.org/drawingml/2006/main" w="19050">
                <a:solidFill>
                  <a:srgbClr val="FFFFFF"/>
                </a:solidFill>
                <a:prstDash val="solid"/>
              </a:ln>
            </spPr>
          </dPt>
          <cat>
            <numRef>
              <f>'売上高　上位10社'!$E$4:$E$13</f>
            </numRef>
          </cat>
          <val>
            <numRef>
              <f>'売上高　上位10社'!$F$4:$F$13</f>
            </numRef>
          </val>
        </ser>
        <dLbls>
          <dLbl>
            <idx val="7"/>
            <delete val="1"/>
          </dLbl>
          <dLbl>
            <idx val="8"/>
            <delete val="1"/>
          </dLbl>
          <dLbl>
            <idx val="9"/>
            <delete val="1"/>
          </dLbl>
          <numFmt formatCode="0.0%" sourceLinked="0"/>
          <txPr>
            <a:bodyPr xmlns:a="http://schemas.openxmlformats.org/drawingml/2006/main"/>
            <a:p xmlns:a="http://schemas.openxmlformats.org/drawingml/2006/main">
              <a:pPr>
                <a:defRPr sz="800" b="0">
                  <a:solidFill>
                    <a:srgbClr val="3D3D3B"/>
                  </a:solidFill>
                </a:defRPr>
              </a:pPr>
              <a:r>
                <a:t/>
              </a:r>
              <a:endParaRPr sz="800" b="0">
                <a:solidFill>
                  <a:srgbClr val="3D3D3B"/>
                </a:solidFill>
              </a:endParaRPr>
            </a:p>
          </txPr>
          <dLblPos val="outEnd"/>
          <showLegendKey val="0"/>
          <showVal val="0"/>
          <showCatName val="0"/>
          <showSerName val="0"/>
          <showPercent val="1"/>
          <showBubbleSize val="0"/>
          <showLeaderLines val="1"/>
        </dLbls>
        <firstSliceAng val="0"/>
      </pieChart>
    </plotArea>
    <legend>
      <legendPos val="b"/>
      <overlay val="0"/>
      <txPr>
        <a:bodyPr xmlns:a="http://schemas.openxmlformats.org/drawingml/2006/main"/>
        <a:p xmlns:a="http://schemas.openxmlformats.org/drawingml/2006/main">
          <a:pPr>
            <a:defRPr sz="700" b="0">
              <a:solidFill>
                <a:srgbClr val="3D3D3B"/>
              </a:solidFill>
            </a:defRPr>
          </a:pPr>
          <a:r>
            <a:t/>
          </a:r>
          <a:endParaRPr sz="700" b="0">
            <a:solidFill>
              <a:srgbClr val="3D3D3B"/>
            </a:solidFill>
          </a:endParaRPr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20</row>
      <rowOff>0</rowOff>
    </from>
    <ext cx="3384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</col>
      <colOff>0</colOff>
      <row>20</row>
      <rowOff>0</rowOff>
    </from>
    <ext cx="3384000" cy="57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20</row>
      <rowOff>0</rowOff>
    </from>
    <ext cx="3384000" cy="57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F19"/>
  <sheetViews>
    <sheetView tabSelected="1" workbookViewId="0">
      <selection activeCell="A2" sqref="A2:F14"/>
    </sheetView>
  </sheetViews>
  <sheetFormatPr baseColWidth="8" defaultRowHeight="18"/>
  <cols>
    <col width="31.83203125" customWidth="1" style="30" min="1" max="1"/>
    <col width="18" customWidth="1" style="30" min="2" max="2"/>
    <col width="31.83203125" customWidth="1" style="30" min="3" max="3"/>
    <col width="18" customWidth="1" style="30" min="4" max="4"/>
    <col width="31.83203125" customWidth="1" style="30" min="5" max="5"/>
    <col width="18" customWidth="1" style="30" min="6" max="6"/>
    <col width="8.6640625" customWidth="1" style="30" min="7" max="16384"/>
  </cols>
  <sheetData>
    <row r="2">
      <c r="F2" s="31" t="inlineStr">
        <is>
          <t>(単位：千円)</t>
        </is>
      </c>
    </row>
    <row r="3" ht="25.75" customHeight="1" s="41">
      <c r="A3" s="32" t="inlineStr">
        <is>
          <t>取引先</t>
        </is>
      </c>
      <c r="B3" s="33" t="inlineStr">
        <is>
          <t>2024年1月期</t>
        </is>
      </c>
      <c r="C3" s="32" t="inlineStr">
        <is>
          <t>取引先</t>
        </is>
      </c>
      <c r="D3" s="33" t="inlineStr">
        <is>
          <t>2025年1月期</t>
        </is>
      </c>
      <c r="E3" s="32" t="inlineStr">
        <is>
          <t>取引先</t>
        </is>
      </c>
      <c r="F3" s="33" t="inlineStr">
        <is>
          <t>2026年1月期</t>
        </is>
      </c>
    </row>
    <row r="4" ht="25.75" customHeight="1" s="41">
      <c r="A4" s="3" t="inlineStr">
        <is>
          <t>㈱KADOKAWA　Game　Linkag</t>
        </is>
      </c>
      <c r="B4" s="42" t="n">
        <v>84036762</v>
      </c>
      <c r="C4" s="3" t="inlineStr">
        <is>
          <t>㈱セガ</t>
        </is>
      </c>
      <c r="D4" s="42" t="n">
        <v>109941383</v>
      </c>
      <c r="E4" s="3" t="inlineStr">
        <is>
          <t>㈱セガ</t>
        </is>
      </c>
      <c r="F4" s="42" t="n">
        <v>202068680</v>
      </c>
    </row>
    <row r="5" ht="25.75" customHeight="1" s="41">
      <c r="A5" s="1" t="inlineStr">
        <is>
          <t>㈱ケンメディア</t>
        </is>
      </c>
      <c r="B5" s="43" t="n">
        <v>54354381</v>
      </c>
      <c r="C5" s="1" t="inlineStr">
        <is>
          <t>㈱KADOKAWA　Game　Linkag</t>
        </is>
      </c>
      <c r="D5" s="43" t="n">
        <v>69227005</v>
      </c>
      <c r="E5" s="1" t="inlineStr">
        <is>
          <t>㈱KADOKAWA　Game　Linkag</t>
        </is>
      </c>
      <c r="F5" s="43" t="n">
        <v>60264237</v>
      </c>
    </row>
    <row r="6" ht="25.75" customHeight="1" s="41">
      <c r="A6" s="1" t="inlineStr">
        <is>
          <t>㈱ｿﾙ･インターナショナル</t>
        </is>
      </c>
      <c r="B6" s="43" t="n">
        <v>34096085</v>
      </c>
      <c r="C6" s="1" t="inlineStr">
        <is>
          <t>杭州迷萌文化創意</t>
        </is>
      </c>
      <c r="D6" s="43" t="n">
        <v>69086138</v>
      </c>
      <c r="E6" s="1" t="inlineStr">
        <is>
          <t>㈱ムービック</t>
        </is>
      </c>
      <c r="F6" s="43" t="n">
        <v>43807641</v>
      </c>
    </row>
    <row r="7" ht="25.75" customHeight="1" s="41">
      <c r="A7" s="1" t="inlineStr">
        <is>
          <t>㈱セガ</t>
        </is>
      </c>
      <c r="B7" s="43" t="n">
        <v>33801606</v>
      </c>
      <c r="C7" s="1" t="inlineStr">
        <is>
          <t>Dongguan city xinming</t>
        </is>
      </c>
      <c r="D7" s="43" t="n">
        <v>62380000</v>
      </c>
      <c r="E7" s="1" t="inlineStr">
        <is>
          <t xml:space="preserve">㈱ｽﾓｰﾙﾌﾟﾗﾈｯﾄ　</t>
        </is>
      </c>
      <c r="F7" s="43" t="n">
        <v>42545792</v>
      </c>
    </row>
    <row r="8" ht="25.75" customHeight="1" s="41">
      <c r="A8" s="1" t="inlineStr">
        <is>
          <t>㈱ムービック</t>
        </is>
      </c>
      <c r="B8" s="43" t="n">
        <v>28015124</v>
      </c>
      <c r="C8" s="1" t="inlineStr">
        <is>
          <t>㈱ムービック</t>
        </is>
      </c>
      <c r="D8" s="43" t="n">
        <v>36032647</v>
      </c>
      <c r="E8" s="1" t="inlineStr">
        <is>
          <t>杭州迷萌文化創意</t>
        </is>
      </c>
      <c r="F8" s="43" t="n">
        <v>33677325</v>
      </c>
    </row>
    <row r="9" ht="25.75" customHeight="1" s="41">
      <c r="A9" s="1" t="inlineStr">
        <is>
          <t>㈱カフェレオ</t>
        </is>
      </c>
      <c r="B9" s="43" t="n">
        <v>19205930</v>
      </c>
      <c r="C9" s="1" t="inlineStr">
        <is>
          <t>GuangDong　Nanmanshi</t>
        </is>
      </c>
      <c r="D9" s="43" t="n">
        <v>27022500</v>
      </c>
      <c r="E9" s="1" t="inlineStr">
        <is>
          <t>㈱ｿﾙ･インターナショナル</t>
        </is>
      </c>
      <c r="F9" s="43" t="n">
        <v>19081708</v>
      </c>
    </row>
    <row r="10" ht="25.75" customHeight="1" s="41">
      <c r="A10" s="1" t="inlineStr">
        <is>
          <t>杭州迷萌文化創意</t>
        </is>
      </c>
      <c r="B10" s="44" t="n">
        <v>15179525</v>
      </c>
      <c r="C10" s="1" t="inlineStr">
        <is>
          <t>㈱ｿﾙ･インターナショナル</t>
        </is>
      </c>
      <c r="D10" s="44" t="n">
        <v>24321530</v>
      </c>
      <c r="E10" s="1" t="inlineStr">
        <is>
          <t>㈱ケンメディア</t>
        </is>
      </c>
      <c r="F10" s="44" t="n">
        <v>12358967</v>
      </c>
    </row>
    <row r="11" ht="25.75" customHeight="1" s="41">
      <c r="A11" s="1" t="inlineStr">
        <is>
          <t>㈱ﾆｭｰﾄﾗﾙｺｰﾎﾟﾚｰｼｮﾝ</t>
        </is>
      </c>
      <c r="B11" s="43" t="n">
        <v>12750750</v>
      </c>
      <c r="C11" s="1" t="inlineStr">
        <is>
          <t>㈱ケンメディア</t>
        </is>
      </c>
      <c r="D11" s="43" t="n">
        <v>16120455</v>
      </c>
      <c r="E11" s="1" t="inlineStr">
        <is>
          <t>㈱KADOKAWA</t>
        </is>
      </c>
      <c r="F11" s="43" t="n">
        <v>2050323</v>
      </c>
    </row>
    <row r="12" ht="25.75" customHeight="1" s="41">
      <c r="A12" s="1" t="inlineStr">
        <is>
          <t>㈱TBSグロウディア</t>
        </is>
      </c>
      <c r="B12" s="44" t="n">
        <v>10214882</v>
      </c>
      <c r="C12" s="1" t="inlineStr">
        <is>
          <t>㈱PHP　JAPAN</t>
        </is>
      </c>
      <c r="D12" s="44" t="n">
        <v>10179051</v>
      </c>
      <c r="E12" s="1" t="inlineStr">
        <is>
          <t>㈱PHP　JAPAN</t>
        </is>
      </c>
      <c r="F12" s="44" t="n">
        <v>1636230</v>
      </c>
    </row>
    <row r="13" ht="25.75" customHeight="1" s="41">
      <c r="A13" s="2" t="inlineStr">
        <is>
          <t>㈱KADOKAWA</t>
        </is>
      </c>
      <c r="B13" s="45" t="n">
        <v>3877760</v>
      </c>
      <c r="C13" s="2" t="inlineStr">
        <is>
          <t>㈱カフェレオ</t>
        </is>
      </c>
      <c r="D13" s="45" t="n">
        <v>8024513</v>
      </c>
      <c r="E13" s="2" t="inlineStr">
        <is>
          <t>花禾㈱</t>
        </is>
      </c>
      <c r="F13" s="45" t="n">
        <v>1525462</v>
      </c>
    </row>
    <row r="14" ht="25.75" customHeight="1" s="41">
      <c r="A14" s="29" t="inlineStr">
        <is>
          <t>他11社</t>
        </is>
      </c>
      <c r="B14" s="46">
        <f>B16-SUM(B4:B13)</f>
        <v/>
      </c>
      <c r="C14" s="29" t="inlineStr">
        <is>
          <t>他8社</t>
        </is>
      </c>
      <c r="D14" s="46">
        <f>D16-SUM(D4:D13)</f>
        <v/>
      </c>
      <c r="E14" s="29" t="inlineStr">
        <is>
          <t>他8社</t>
        </is>
      </c>
      <c r="F14" s="46">
        <f>F16-SUM(F4:F13)</f>
        <v/>
      </c>
    </row>
    <row r="15" ht="25.75" customHeight="1" s="41">
      <c r="A15" s="10" t="n"/>
      <c r="B15" s="34" t="n"/>
      <c r="C15" s="10" t="n"/>
      <c r="D15" s="34" t="n"/>
      <c r="E15" s="10" t="n"/>
      <c r="F15" s="34" t="n"/>
    </row>
    <row r="16">
      <c r="A16" s="35" t="inlineStr">
        <is>
          <t>売上高</t>
        </is>
      </c>
      <c r="B16" s="47" t="n">
        <v>316755490</v>
      </c>
      <c r="D16" s="47" t="n">
        <v>443868051</v>
      </c>
      <c r="F16" s="47" t="n">
        <v>422474507</v>
      </c>
    </row>
    <row r="18">
      <c r="A18" s="48" t="inlineStr">
        <is>
          <t>※ 円グラフは各期の上位10社のみを対象とし、「他11社」「他8社」は除外している。構成比は上位10社合計に対する比率（売上高合計に対する比率ではない）。</t>
        </is>
      </c>
    </row>
    <row r="19">
      <c r="A19" s="48" t="inlineStr">
        <is>
          <t>※ 色は取引先ごとに固定しており、期をまたいで同一色は同一取引先を指す。ただし当該期にのみ登場する取引先については、同一期内で重複しない範囲で色を再利用している。</t>
        </is>
      </c>
    </row>
  </sheetData>
  <pageMargins left="0.25" right="0.25" top="0.75" bottom="0.75" header="0.3" footer="0.3"/>
  <pageSetup orientation="landscape" paperSize="9" scale="88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D33"/>
  <sheetViews>
    <sheetView zoomScaleNormal="100" workbookViewId="0">
      <selection activeCell="B18" sqref="B18"/>
    </sheetView>
  </sheetViews>
  <sheetFormatPr baseColWidth="8" defaultRowHeight="18"/>
  <cols>
    <col width="18" customWidth="1" style="41" min="1" max="3"/>
    <col width="59.83203125" customWidth="1" style="41" min="4" max="4"/>
  </cols>
  <sheetData>
    <row r="2">
      <c r="C2" s="9" t="inlineStr">
        <is>
          <t>(円：税込)</t>
        </is>
      </c>
    </row>
    <row r="3" ht="25.75" customHeight="1" s="41">
      <c r="A3" s="15" t="inlineStr">
        <is>
          <t>令和６年１月期</t>
        </is>
      </c>
      <c r="B3" s="8" t="inlineStr">
        <is>
          <t>令和７年１月期</t>
        </is>
      </c>
      <c r="C3" s="13" t="inlineStr">
        <is>
          <t>令和８年１月期</t>
        </is>
      </c>
      <c r="D3" s="15" t="inlineStr">
        <is>
          <t>仕入・外注内容</t>
        </is>
      </c>
    </row>
    <row r="4" ht="25.75" customHeight="1" s="41">
      <c r="A4" s="49" t="n">
        <v>96294830</v>
      </c>
      <c r="B4" s="50" t="n">
        <v>172075524</v>
      </c>
      <c r="C4" s="51" t="n">
        <v>122908613</v>
      </c>
      <c r="D4" s="20" t="inlineStr">
        <is>
          <t>貿易商社　主に中国製のものを作成依頼</t>
        </is>
      </c>
    </row>
    <row r="5" ht="25.75" customHeight="1" s="41">
      <c r="A5" s="52" t="n">
        <v>40487005</v>
      </c>
      <c r="B5" s="53" t="n">
        <v>24487628</v>
      </c>
      <c r="C5" s="54" t="n">
        <v>27083161</v>
      </c>
      <c r="D5" s="23" t="inlineStr">
        <is>
          <t>アクリルの日本メーカー</t>
        </is>
      </c>
    </row>
    <row r="6" ht="25.75" customHeight="1" s="41">
      <c r="A6" s="52" t="n">
        <v>14347622</v>
      </c>
      <c r="B6" s="53" t="n">
        <v>23586066</v>
      </c>
      <c r="C6" s="55" t="n">
        <v>4906753</v>
      </c>
      <c r="D6" s="23" t="inlineStr">
        <is>
          <t>ロイヤリティー支払い先</t>
        </is>
      </c>
    </row>
    <row r="7" ht="25.75" customHeight="1" s="41">
      <c r="A7" s="52" t="n">
        <v>9045807</v>
      </c>
      <c r="B7" s="53" t="n">
        <v>441302</v>
      </c>
      <c r="C7" s="54" t="n">
        <v>4118</v>
      </c>
      <c r="D7" s="23" t="inlineStr">
        <is>
          <t>クリアファイル、缶バッジ、アクリルの日本メーカー</t>
        </is>
      </c>
    </row>
    <row r="8" ht="25.75" customHeight="1" s="41">
      <c r="A8" s="52" t="n">
        <v>11236641</v>
      </c>
      <c r="B8" s="53" t="n">
        <v>19689920</v>
      </c>
      <c r="C8" s="54" t="n">
        <v>24773941</v>
      </c>
      <c r="D8" s="23" t="inlineStr">
        <is>
          <t>アクリル、缶バッジ、紙類の日本メーカー</t>
        </is>
      </c>
    </row>
    <row r="9" ht="25.75" customHeight="1" s="41">
      <c r="A9" s="52" t="n">
        <v>3753383</v>
      </c>
      <c r="B9" s="53" t="n">
        <v>534958</v>
      </c>
      <c r="C9" s="54" t="n"/>
      <c r="D9" s="23" t="inlineStr">
        <is>
          <t>ロイヤリティー支払い先</t>
        </is>
      </c>
    </row>
    <row r="10" ht="25.75" customHeight="1" s="41">
      <c r="A10" s="56" t="n">
        <v>3494251</v>
      </c>
      <c r="B10" s="53" t="n">
        <v>5197717</v>
      </c>
      <c r="C10" s="54" t="n">
        <v>165000</v>
      </c>
      <c r="D10" s="23" t="inlineStr">
        <is>
          <t>ロイヤリティー支払い先</t>
        </is>
      </c>
    </row>
    <row r="11" ht="25.75" customHeight="1" s="41">
      <c r="A11" s="52" t="n">
        <v>2031864</v>
      </c>
      <c r="B11" s="53" t="n">
        <v>3372268</v>
      </c>
      <c r="C11" s="55" t="n">
        <v>4186592</v>
      </c>
      <c r="D11" s="23" t="inlineStr">
        <is>
          <t>アパレル商品の日本メーカー</t>
        </is>
      </c>
    </row>
    <row r="12" ht="25.75" customHeight="1" s="41">
      <c r="A12" s="56" t="n">
        <v>3863470</v>
      </c>
      <c r="B12" s="57" t="n">
        <v>5495712</v>
      </c>
      <c r="C12" s="54" t="n">
        <v>1825332</v>
      </c>
      <c r="D12" s="58" t="inlineStr">
        <is>
          <t>クリアファイル、缶バッジ、アクリルの日本メーカー</t>
        </is>
      </c>
    </row>
    <row r="13" ht="25.75" customHeight="1" s="41">
      <c r="A13" s="52" t="n">
        <v>3150466</v>
      </c>
      <c r="B13" s="53" t="n"/>
      <c r="C13" s="54" t="n"/>
      <c r="D13" s="23" t="inlineStr">
        <is>
          <t>タオル類の日本メーカー</t>
        </is>
      </c>
    </row>
    <row r="14" ht="25.75" customHeight="1" s="41">
      <c r="A14" s="52" t="n">
        <v>3135209</v>
      </c>
      <c r="B14" s="53" t="n">
        <v>1999195</v>
      </c>
      <c r="C14" s="55" t="n"/>
      <c r="D14" s="23" t="inlineStr">
        <is>
          <t>縫製品の日本メーカー</t>
        </is>
      </c>
    </row>
    <row r="15" ht="25.75" customHeight="1" s="41">
      <c r="A15" s="52" t="n">
        <v>2431528</v>
      </c>
      <c r="B15" s="53" t="n">
        <v>561744</v>
      </c>
      <c r="D15" s="23" t="inlineStr">
        <is>
          <t>グッズ全般の総合商社兼メーカー</t>
        </is>
      </c>
    </row>
    <row r="16" ht="25.75" customHeight="1" s="41">
      <c r="A16" s="52" t="n">
        <v>2494893</v>
      </c>
      <c r="B16" s="53" t="n">
        <v>2035000</v>
      </c>
      <c r="C16" s="55" t="n"/>
      <c r="D16" s="23" t="inlineStr">
        <is>
          <t>ありものの名入れの日本メーカー</t>
        </is>
      </c>
    </row>
    <row r="17" ht="25.75" customHeight="1" s="41">
      <c r="A17" s="56" t="n">
        <v>2640000</v>
      </c>
      <c r="B17" s="53" t="n"/>
      <c r="C17" s="54" t="n"/>
      <c r="D17" s="23" t="inlineStr">
        <is>
          <t>ロイヤリティー支払い先</t>
        </is>
      </c>
    </row>
    <row r="18" ht="25.75" customHeight="1" s="41">
      <c r="A18" s="52" t="n">
        <v>2012834</v>
      </c>
      <c r="B18" s="57" t="n">
        <v>6348611</v>
      </c>
      <c r="C18" s="55" t="n">
        <v>2352580</v>
      </c>
      <c r="D18" s="23" t="inlineStr">
        <is>
          <t>シール類の日本メーカー</t>
        </is>
      </c>
    </row>
    <row r="19" ht="25.75" customHeight="1" s="41">
      <c r="A19" s="56" t="n">
        <v>2460480</v>
      </c>
      <c r="B19" s="53" t="n"/>
      <c r="C19" s="54" t="n">
        <v>368016</v>
      </c>
      <c r="D19" s="23" t="inlineStr">
        <is>
          <t>ロイヤリティー支払い先</t>
        </is>
      </c>
    </row>
    <row r="20" ht="25.75" customHeight="1" s="41">
      <c r="A20" s="52" t="n"/>
      <c r="B20" s="53" t="n">
        <v>21450907</v>
      </c>
      <c r="C20" s="59" t="n">
        <v>2667061</v>
      </c>
      <c r="D20" s="23" t="inlineStr">
        <is>
          <t>ロイヤリティー支払い先</t>
        </is>
      </c>
    </row>
    <row r="21" ht="25.75" customHeight="1" s="41">
      <c r="A21" s="52" t="n"/>
      <c r="B21" s="53" t="n">
        <v>17563377</v>
      </c>
      <c r="C21" s="54" t="n">
        <v>10979527</v>
      </c>
      <c r="D21" s="23" t="inlineStr">
        <is>
          <t>成形品、ぬいぐるみの中国メーカー</t>
        </is>
      </c>
    </row>
    <row r="22" ht="25.75" customHeight="1" s="41">
      <c r="A22" s="52" t="n">
        <v>1524137</v>
      </c>
      <c r="B22" s="53" t="n">
        <v>5124647</v>
      </c>
      <c r="C22" s="60" t="n">
        <v>2688290</v>
      </c>
      <c r="D22" s="23" t="inlineStr">
        <is>
          <t>紙類の日本商社</t>
        </is>
      </c>
    </row>
    <row r="23" ht="25.75" customHeight="1" s="41">
      <c r="A23" s="52" t="n">
        <v>678755</v>
      </c>
      <c r="B23" s="53" t="n">
        <v>2689881</v>
      </c>
      <c r="C23" s="54" t="n">
        <v>5225159</v>
      </c>
      <c r="D23" s="23" t="inlineStr">
        <is>
          <t>紙類の日本商社</t>
        </is>
      </c>
    </row>
    <row r="24" ht="25.75" customHeight="1" s="41">
      <c r="A24" s="52" t="n"/>
      <c r="B24" s="53" t="n">
        <v>1188000</v>
      </c>
      <c r="C24" s="55" t="n">
        <v>2882000</v>
      </c>
      <c r="D24" s="23" t="inlineStr">
        <is>
          <t>描き下ろしのデザイン会社</t>
        </is>
      </c>
    </row>
    <row r="25" ht="25.75" customHeight="1" s="41">
      <c r="A25" s="52" t="n"/>
      <c r="B25" s="53" t="n"/>
      <c r="C25" s="54" t="n">
        <v>33755639</v>
      </c>
      <c r="D25" s="23" t="inlineStr">
        <is>
          <t>アパレル商品の日本メーカー</t>
        </is>
      </c>
    </row>
    <row r="26" ht="25.75" customHeight="1" s="41">
      <c r="A26" s="52" t="n"/>
      <c r="B26" s="53" t="n"/>
      <c r="C26" s="54" t="n">
        <v>30943171</v>
      </c>
      <c r="D26" s="23" t="inlineStr">
        <is>
          <t>アパレル商品の貿易商社</t>
        </is>
      </c>
    </row>
    <row r="27" ht="25.75" customHeight="1" s="41">
      <c r="A27" s="52" t="n"/>
      <c r="B27" s="53" t="n"/>
      <c r="C27" s="55" t="n">
        <v>7582630</v>
      </c>
      <c r="D27" s="23" t="inlineStr">
        <is>
          <t>缶バッジの特殊加工の日本メーカー</t>
        </is>
      </c>
    </row>
    <row r="28" ht="25.75" customHeight="1" s="41">
      <c r="A28" s="52" t="n"/>
      <c r="B28" s="53" t="n"/>
      <c r="C28" s="54" t="n">
        <v>5271200</v>
      </c>
      <c r="D28" s="23" t="inlineStr">
        <is>
          <t>デジタル機能付きのグッズの日本メーカー</t>
        </is>
      </c>
    </row>
    <row r="29" ht="25.75" customHeight="1" s="41">
      <c r="A29" s="52" t="n">
        <v>220000</v>
      </c>
      <c r="B29" s="53" t="n">
        <v>691900</v>
      </c>
      <c r="C29" s="54" t="n">
        <v>4601630</v>
      </c>
      <c r="D29" s="23" t="inlineStr">
        <is>
          <t>陶磁器類の日本メーカー</t>
        </is>
      </c>
    </row>
    <row r="30" ht="25.75" customHeight="1" s="41">
      <c r="A30" s="52" t="n"/>
      <c r="B30" s="53" t="n">
        <v>979031</v>
      </c>
      <c r="C30" s="54" t="n">
        <v>3532795</v>
      </c>
      <c r="D30" s="23" t="inlineStr">
        <is>
          <t>ロイヤリティー支払い先</t>
        </is>
      </c>
    </row>
    <row r="31" ht="25.75" customHeight="1" s="41">
      <c r="A31" s="61" t="n"/>
      <c r="B31" s="62" t="n"/>
      <c r="C31" s="63" t="n"/>
      <c r="D31" s="16" t="n"/>
    </row>
    <row r="32" ht="25.75" customHeight="1" s="41">
      <c r="A32" s="11" t="n"/>
      <c r="B32" s="11" t="n"/>
      <c r="C32" s="11" t="n"/>
    </row>
    <row r="33" ht="25.75" customHeight="1" s="41">
      <c r="A33" s="64" t="n"/>
      <c r="B33" s="64" t="n"/>
      <c r="C33" s="64" t="n"/>
    </row>
  </sheetData>
  <pageMargins left="0.25" right="0.25" top="0.75" bottom="0.75" header="0.3" footer="0.3"/>
  <pageSetup orientation="portrait" paperSize="9" scale="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啓子 鵜川</dc:creator>
  <dcterms:created xmlns:dcterms="http://purl.org/dc/terms/" xmlns:xsi="http://www.w3.org/2001/XMLSchema-instance" xsi:type="dcterms:W3CDTF">2026-07-13T02:51:40Z</dcterms:created>
  <dcterms:modified xmlns:dcterms="http://purl.org/dc/terms/" xmlns:xsi="http://www.w3.org/2001/XMLSchema-instance" xsi:type="dcterms:W3CDTF">2026-08-04T02:01:17Z</dcterms:modified>
  <cp:lastModifiedBy>田垣内 啓介</cp:lastModifiedBy>
  <cp:lastPrinted>2026-07-14T03:22:05Z</cp:lastPrinted>
</cp:coreProperties>
</file>